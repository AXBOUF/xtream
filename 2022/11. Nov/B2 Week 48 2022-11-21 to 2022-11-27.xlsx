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67CE6915-276F-4FD6-B414-3D1F11392A36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E23" i="8"/>
  <c r="K11" i="3" l="1"/>
  <c r="K13" i="3"/>
  <c r="J5" i="6"/>
  <c r="K5" i="6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L31" i="2"/>
  <c r="M30" i="2"/>
  <c r="M31" i="2" s="1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J16" i="2"/>
  <c r="U15" i="2"/>
  <c r="K15" i="2"/>
  <c r="J15" i="2"/>
  <c r="U14" i="2"/>
  <c r="K14" i="2"/>
  <c r="J14" i="2"/>
  <c r="U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M31" i="1" s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J39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L30" i="1"/>
  <c r="I30" i="1"/>
  <c r="I31" i="1" s="1"/>
  <c r="H30" i="1"/>
  <c r="H31" i="1" s="1"/>
  <c r="J29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J21" i="1"/>
  <c r="K20" i="1"/>
  <c r="J20" i="1"/>
  <c r="T19" i="1"/>
  <c r="S19" i="1"/>
  <c r="K19" i="1"/>
  <c r="J19" i="1"/>
  <c r="K18" i="1"/>
  <c r="J18" i="1"/>
  <c r="J17" i="1"/>
  <c r="K16" i="1"/>
  <c r="J16" i="1"/>
  <c r="U15" i="1"/>
  <c r="J15" i="1"/>
  <c r="U14" i="1"/>
  <c r="J14" i="1"/>
  <c r="U13" i="1"/>
  <c r="K13" i="1"/>
  <c r="J13" i="1"/>
  <c r="U12" i="1"/>
  <c r="K12" i="1"/>
  <c r="J12" i="1"/>
  <c r="U11" i="1"/>
  <c r="K11" i="1"/>
  <c r="J11" i="1"/>
  <c r="U10" i="1"/>
  <c r="J10" i="1"/>
  <c r="U9" i="1"/>
  <c r="K9" i="1"/>
  <c r="J9" i="1"/>
  <c r="U8" i="1"/>
  <c r="K8" i="1"/>
  <c r="J8" i="1"/>
  <c r="U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J15" i="3"/>
  <c r="U14" i="3"/>
  <c r="K14" i="3"/>
  <c r="J14" i="3"/>
  <c r="U13" i="3"/>
  <c r="J13" i="3"/>
  <c r="U12" i="3"/>
  <c r="J12" i="3"/>
  <c r="U11" i="3"/>
  <c r="J11" i="3"/>
  <c r="U10" i="3"/>
  <c r="J10" i="3"/>
  <c r="U9" i="3"/>
  <c r="J9" i="3"/>
  <c r="U8" i="3"/>
  <c r="K8" i="3"/>
  <c r="J8" i="3"/>
  <c r="U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K29" i="4"/>
  <c r="J29" i="4"/>
  <c r="K28" i="4"/>
  <c r="J28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J20" i="4"/>
  <c r="T19" i="4"/>
  <c r="S19" i="4"/>
  <c r="J19" i="4"/>
  <c r="K18" i="4"/>
  <c r="J18" i="4"/>
  <c r="K17" i="4"/>
  <c r="J17" i="4"/>
  <c r="J16" i="4"/>
  <c r="U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J10" i="4"/>
  <c r="U9" i="4"/>
  <c r="J9" i="4"/>
  <c r="U8" i="4"/>
  <c r="J8" i="4"/>
  <c r="U7" i="4"/>
  <c r="K7" i="4"/>
  <c r="J7" i="4"/>
  <c r="U6" i="4"/>
  <c r="K6" i="4"/>
  <c r="J6" i="4"/>
  <c r="U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J16" i="5"/>
  <c r="U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S32" i="2" l="1"/>
  <c r="H33" i="8" s="1"/>
  <c r="J30" i="2"/>
  <c r="J31" i="2" s="1"/>
  <c r="H35" i="8" s="1"/>
  <c r="K30" i="2"/>
  <c r="K31" i="2" s="1"/>
  <c r="H34" i="8" s="1"/>
  <c r="U16" i="2"/>
  <c r="S16" i="2" s="1"/>
  <c r="S32" i="1"/>
  <c r="H28" i="8" s="1"/>
  <c r="J62" i="1"/>
  <c r="K62" i="1"/>
  <c r="K30" i="1"/>
  <c r="J30" i="1"/>
  <c r="U16" i="1"/>
  <c r="E31" i="8" s="1"/>
  <c r="S32" i="3"/>
  <c r="K30" i="3"/>
  <c r="K31" i="3" s="1"/>
  <c r="J30" i="3"/>
  <c r="J31" i="3" s="1"/>
  <c r="U16" i="3"/>
  <c r="R16" i="3" s="1"/>
  <c r="H31" i="4"/>
  <c r="S31" i="4" s="1"/>
  <c r="H17" i="8" s="1"/>
  <c r="J62" i="4"/>
  <c r="K62" i="4"/>
  <c r="K30" i="4"/>
  <c r="J30" i="4"/>
  <c r="S32" i="4"/>
  <c r="H18" i="8" s="1"/>
  <c r="U16" i="4"/>
  <c r="S16" i="4" s="1"/>
  <c r="S32" i="5"/>
  <c r="H13" i="8" s="1"/>
  <c r="U16" i="5"/>
  <c r="R16" i="5" s="1"/>
  <c r="J30" i="5"/>
  <c r="J31" i="5" s="1"/>
  <c r="K30" i="5"/>
  <c r="K31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0" i="7"/>
  <c r="K19" i="7"/>
  <c r="K18" i="7"/>
  <c r="K17" i="7"/>
  <c r="K16" i="7"/>
  <c r="U15" i="7"/>
  <c r="K15" i="7"/>
  <c r="U14" i="7"/>
  <c r="K14" i="7"/>
  <c r="U13" i="7"/>
  <c r="U12" i="7"/>
  <c r="K12" i="7"/>
  <c r="U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2" i="8"/>
  <c r="E9" i="8"/>
  <c r="E8" i="8"/>
  <c r="E7" i="8"/>
  <c r="V32" i="8" l="1"/>
  <c r="C32" i="2"/>
  <c r="O32" i="2" s="1"/>
  <c r="L33" i="8" s="1"/>
  <c r="R16" i="2"/>
  <c r="E36" i="8"/>
  <c r="J31" i="1"/>
  <c r="K31" i="1"/>
  <c r="S16" i="1"/>
  <c r="R16" i="1"/>
  <c r="E26" i="8"/>
  <c r="S16" i="3"/>
  <c r="C32" i="3"/>
  <c r="O32" i="3" s="1"/>
  <c r="J31" i="4"/>
  <c r="K31" i="4"/>
  <c r="R16" i="4"/>
  <c r="S16" i="5"/>
  <c r="C32" i="5"/>
  <c r="P32" i="5" s="1"/>
  <c r="R16" i="6"/>
  <c r="S16" i="6"/>
  <c r="S32" i="7"/>
  <c r="H3" i="8" s="1"/>
  <c r="S31" i="7"/>
  <c r="H2" i="8" s="1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K32" i="2" l="1"/>
  <c r="U25" i="2"/>
  <c r="P32" i="2"/>
  <c r="N32" i="2"/>
  <c r="L32" i="8" s="1"/>
  <c r="Q32" i="2"/>
  <c r="L35" i="8" s="1"/>
  <c r="T16" i="2"/>
  <c r="C32" i="1"/>
  <c r="P32" i="1" s="1"/>
  <c r="P32" i="3"/>
  <c r="L24" i="8" s="1"/>
  <c r="Q32" i="3"/>
  <c r="L25" i="8" s="1"/>
  <c r="U25" i="3"/>
  <c r="K32" i="3"/>
  <c r="N32" i="3"/>
  <c r="L22" i="8" s="1"/>
  <c r="T16" i="3"/>
  <c r="C32" i="4"/>
  <c r="T16" i="4" s="1"/>
  <c r="K32" i="4"/>
  <c r="O32" i="5"/>
  <c r="N32" i="5"/>
  <c r="T16" i="5"/>
  <c r="K32" i="5"/>
  <c r="Q32" i="5"/>
  <c r="U25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L23" i="8"/>
  <c r="H25" i="8"/>
  <c r="V22" i="8" s="1"/>
  <c r="H24" i="8"/>
  <c r="H14" i="8"/>
  <c r="H9" i="8"/>
  <c r="L9" i="8"/>
  <c r="E30" i="8"/>
  <c r="E29" i="8"/>
  <c r="E28" i="8"/>
  <c r="E27" i="8"/>
  <c r="T16" i="1" l="1"/>
  <c r="U25" i="1"/>
  <c r="O32" i="1"/>
  <c r="Q32" i="1"/>
  <c r="K32" i="1"/>
  <c r="N32" i="1"/>
  <c r="O32" i="4"/>
  <c r="L18" i="8" s="1"/>
  <c r="Q32" i="4"/>
  <c r="N32" i="4"/>
  <c r="P32" i="4"/>
  <c r="U25" i="4"/>
  <c r="U49" i="8"/>
  <c r="C32" i="7"/>
  <c r="Q32" i="7" s="1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<sst xmlns="http://schemas.openxmlformats.org/spreadsheetml/2006/main" count="1932" uniqueCount="491">
  <si>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</si>
  <si>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</si>
  <si>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</si>
  <si>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</si>
  <si>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</si>
  <si>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</si>
  <si>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</si>
  <si>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</si>
  <si>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</si>
  <si>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</si>
  <si>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</si>
  <si>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</si>
  <si>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</si>
  <si>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</si>
  <si>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</si>
  <si>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</si>
  <si>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</si>
  <si>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</si>
  <si>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</si>
  <si>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</si>
  <si>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</si>
  <si>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</si>
  <si>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</si>
  <si>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</si>
  <si>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</si>
  <si>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</si>
  <si>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</si>
  <si>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</si>
  <si>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</si>
  <si>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</si>
  <si>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</si>
  <si>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</si>
  <si>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</si>
  <si>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</si>
  <si>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</si>
  <si>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</si>
  <si>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</si>
  <si>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</si>
  <si>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</si>
  <si>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</si>
  <si>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</si>
  <si>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</si>
  <si>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</si>
  <si>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</si>
  <si>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</si>
  <si>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</si>
  <si>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</si>
  <si>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</si>
  <si>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</si>
  <si>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</si>
  <si>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</si>
  <si>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</si>
  <si>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</si>
  <si>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</si>
  <si>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</si>
  <si>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</si>
  <si>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</si>
  <si>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</si>
  <si>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</si>
  <si>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</si>
  <si>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</si>
  <si>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</si>
  <si>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</si>
  <si>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</si>
  <si>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</si>
  <si>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</si>
  <si>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</si>
  <si>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</si>
  <si>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</si>
  <si>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</si>
  <si>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</si>
  <si>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</si>
  <si>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</si>
  <si>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</si>
  <si>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</si>
  <si>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</si>
  <si>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</si>
  <si>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</si>
  <si>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</si>
  <si>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</si>
  <si>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</si>
  <si>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</si>
  <si>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</si>
  <si>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</si>
  <si>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</si>
  <si>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</si>
  <si>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</si>
  <si>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</si>
  <si>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</si>
  <si>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</si>
  <si>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</si>
  <si>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</si>
  <si>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</si>
  <si>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</si>
  <si>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</si>
  <si>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</si>
  <si>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</si>
  <si>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21-11-2022</t>
    <phoneticPr fontId="3" type="noConversion"/>
  </si>
  <si>
    <t>JOHN</t>
  </si>
  <si>
    <t>HENDRA</t>
  </si>
  <si>
    <t>KUROSH</t>
  </si>
  <si>
    <t>VINNY</t>
  </si>
  <si>
    <t>ARIANTO</t>
    <phoneticPr fontId="3" type="noConversion"/>
  </si>
  <si>
    <t>MONA</t>
    <phoneticPr fontId="3" type="noConversion"/>
  </si>
  <si>
    <t>HENDRA 2</t>
    <phoneticPr fontId="3" type="noConversion"/>
  </si>
  <si>
    <t>615AM5</t>
    <phoneticPr fontId="3" type="noConversion"/>
  </si>
  <si>
    <t>D</t>
    <phoneticPr fontId="3" type="noConversion"/>
  </si>
  <si>
    <t>DC14EV</t>
    <phoneticPr fontId="3" type="noConversion"/>
  </si>
  <si>
    <t>0415735655</t>
    <phoneticPr fontId="3" type="noConversion"/>
  </si>
  <si>
    <t>AMS22C</t>
    <phoneticPr fontId="3" type="noConversion"/>
  </si>
  <si>
    <t>0418888910</t>
    <phoneticPr fontId="3" type="noConversion"/>
  </si>
  <si>
    <t>ERK56L</t>
    <phoneticPr fontId="3" type="noConversion"/>
  </si>
  <si>
    <t>04311364114</t>
    <phoneticPr fontId="3" type="noConversion"/>
  </si>
  <si>
    <t>X</t>
    <phoneticPr fontId="3" type="noConversion"/>
  </si>
  <si>
    <t>JL63</t>
    <phoneticPr fontId="3" type="noConversion"/>
  </si>
  <si>
    <t>0488888168</t>
    <phoneticPr fontId="3" type="noConversion"/>
  </si>
  <si>
    <t>F/D</t>
    <phoneticPr fontId="3" type="noConversion"/>
  </si>
  <si>
    <t>KJD888</t>
    <phoneticPr fontId="3" type="noConversion"/>
  </si>
  <si>
    <t>0412822216</t>
    <phoneticPr fontId="3" type="noConversion"/>
  </si>
  <si>
    <t>PCL</t>
    <phoneticPr fontId="3" type="noConversion"/>
  </si>
  <si>
    <t>22130(1/6)</t>
    <phoneticPr fontId="3" type="noConversion"/>
  </si>
  <si>
    <t>0450718881</t>
    <phoneticPr fontId="3" type="noConversion"/>
  </si>
  <si>
    <t>BYCAL</t>
    <phoneticPr fontId="3" type="noConversion"/>
  </si>
  <si>
    <t>0416211162</t>
    <phoneticPr fontId="3" type="noConversion"/>
  </si>
  <si>
    <t>22181(1/6)</t>
    <phoneticPr fontId="3" type="noConversion"/>
  </si>
  <si>
    <t>EGD12M</t>
    <phoneticPr fontId="3" type="noConversion"/>
  </si>
  <si>
    <t>0414730777</t>
    <phoneticPr fontId="3" type="noConversion"/>
  </si>
  <si>
    <t>DTG85P</t>
    <phoneticPr fontId="3" type="noConversion"/>
  </si>
  <si>
    <t>0418202573</t>
    <phoneticPr fontId="3" type="noConversion"/>
  </si>
  <si>
    <t>REGW68N</t>
    <phoneticPr fontId="3" type="noConversion"/>
  </si>
  <si>
    <t>0456616279</t>
    <phoneticPr fontId="3" type="noConversion"/>
  </si>
  <si>
    <t>EU37EY</t>
    <phoneticPr fontId="3" type="noConversion"/>
  </si>
  <si>
    <t>0417045194</t>
    <phoneticPr fontId="3" type="noConversion"/>
  </si>
  <si>
    <t>CRJ80S</t>
    <phoneticPr fontId="3" type="noConversion"/>
  </si>
  <si>
    <t>0409226365</t>
    <phoneticPr fontId="3" type="noConversion"/>
  </si>
  <si>
    <t>DXF85M</t>
    <phoneticPr fontId="3" type="noConversion"/>
  </si>
  <si>
    <t>04358852752</t>
    <phoneticPr fontId="3" type="noConversion"/>
  </si>
  <si>
    <t>SUNNY</t>
    <phoneticPr fontId="3" type="noConversion"/>
  </si>
  <si>
    <t>JOHN</t>
    <phoneticPr fontId="3" type="noConversion"/>
  </si>
  <si>
    <t>DFZ70N</t>
    <phoneticPr fontId="3" type="noConversion"/>
  </si>
  <si>
    <t>0439026438</t>
    <phoneticPr fontId="3" type="noConversion"/>
  </si>
  <si>
    <t>ECE65A</t>
    <phoneticPr fontId="3" type="noConversion"/>
  </si>
  <si>
    <t>0414439170</t>
    <phoneticPr fontId="3" type="noConversion"/>
  </si>
  <si>
    <t>NCG29G</t>
    <phoneticPr fontId="3" type="noConversion"/>
  </si>
  <si>
    <t>0452337926</t>
    <phoneticPr fontId="3" type="noConversion"/>
  </si>
  <si>
    <t>22132(1/6)</t>
    <phoneticPr fontId="3" type="noConversion"/>
  </si>
  <si>
    <t>ERT66D</t>
    <phoneticPr fontId="3" type="noConversion"/>
  </si>
  <si>
    <t>0404125119</t>
    <phoneticPr fontId="3" type="noConversion"/>
  </si>
  <si>
    <t>22057(2/6)</t>
    <phoneticPr fontId="3" type="noConversion"/>
  </si>
  <si>
    <t>22-11-2022</t>
    <phoneticPr fontId="3" type="noConversion"/>
  </si>
  <si>
    <t>0415888891</t>
    <phoneticPr fontId="3" type="noConversion"/>
  </si>
  <si>
    <t>HENDRA</t>
    <phoneticPr fontId="3" type="noConversion"/>
  </si>
  <si>
    <t>JAMES</t>
    <phoneticPr fontId="3" type="noConversion"/>
  </si>
  <si>
    <t>DANIEL</t>
    <phoneticPr fontId="3" type="noConversion"/>
  </si>
  <si>
    <t>KUROSH</t>
    <phoneticPr fontId="3" type="noConversion"/>
  </si>
  <si>
    <t>DAY56Y</t>
    <phoneticPr fontId="3" type="noConversion"/>
  </si>
  <si>
    <t>0419999906</t>
    <phoneticPr fontId="3" type="noConversion"/>
  </si>
  <si>
    <t>DYT79Y</t>
    <phoneticPr fontId="3" type="noConversion"/>
  </si>
  <si>
    <t>0452419678</t>
    <phoneticPr fontId="3" type="noConversion"/>
  </si>
  <si>
    <t>EHN08X</t>
    <phoneticPr fontId="3" type="noConversion"/>
  </si>
  <si>
    <t>0413687485</t>
    <phoneticPr fontId="3" type="noConversion"/>
  </si>
  <si>
    <t>D/ST</t>
    <phoneticPr fontId="3" type="noConversion"/>
  </si>
  <si>
    <t>DWL85D</t>
    <phoneticPr fontId="3" type="noConversion"/>
  </si>
  <si>
    <t>0404987935</t>
    <phoneticPr fontId="3" type="noConversion"/>
  </si>
  <si>
    <t>ST1988</t>
    <phoneticPr fontId="3" type="noConversion"/>
  </si>
  <si>
    <t>0439991290</t>
    <phoneticPr fontId="3" type="noConversion"/>
  </si>
  <si>
    <t>45LAN</t>
    <phoneticPr fontId="3" type="noConversion"/>
  </si>
  <si>
    <t>0400288880</t>
    <phoneticPr fontId="3" type="noConversion"/>
  </si>
  <si>
    <t>W/O</t>
    <phoneticPr fontId="3" type="noConversion"/>
  </si>
  <si>
    <t>DZC70W</t>
    <phoneticPr fontId="3" type="noConversion"/>
  </si>
  <si>
    <t>0402919656</t>
    <phoneticPr fontId="3" type="noConversion"/>
  </si>
  <si>
    <t>DGE18N</t>
    <phoneticPr fontId="3" type="noConversion"/>
  </si>
  <si>
    <t>0449836667</t>
    <phoneticPr fontId="3" type="noConversion"/>
  </si>
  <si>
    <t>22039(4/6)</t>
    <phoneticPr fontId="3" type="noConversion"/>
  </si>
  <si>
    <t>MT8082</t>
    <phoneticPr fontId="3" type="noConversion"/>
  </si>
  <si>
    <t>0416088368</t>
    <phoneticPr fontId="3" type="noConversion"/>
  </si>
  <si>
    <t>EAW86N</t>
    <phoneticPr fontId="3" type="noConversion"/>
  </si>
  <si>
    <t>0408974670</t>
    <phoneticPr fontId="3" type="noConversion"/>
  </si>
  <si>
    <t>CYS78Y</t>
    <phoneticPr fontId="3" type="noConversion"/>
  </si>
  <si>
    <t>0413924610</t>
    <phoneticPr fontId="3" type="noConversion"/>
  </si>
  <si>
    <t>X/CLAY</t>
    <phoneticPr fontId="3" type="noConversion"/>
  </si>
  <si>
    <t>CW11LW</t>
    <phoneticPr fontId="3" type="noConversion"/>
  </si>
  <si>
    <t>0488288470</t>
    <phoneticPr fontId="3" type="noConversion"/>
  </si>
  <si>
    <t>ERB22T</t>
    <phoneticPr fontId="3" type="noConversion"/>
  </si>
  <si>
    <t>0419809433</t>
    <phoneticPr fontId="3" type="noConversion"/>
  </si>
  <si>
    <t>VINNY</t>
    <phoneticPr fontId="3" type="noConversion"/>
  </si>
  <si>
    <t>55ROCK</t>
    <phoneticPr fontId="3" type="noConversion"/>
  </si>
  <si>
    <t>0400818912</t>
    <phoneticPr fontId="3" type="noConversion"/>
  </si>
  <si>
    <t>22037(2/6)</t>
    <phoneticPr fontId="3" type="noConversion"/>
  </si>
  <si>
    <t>CYD23W</t>
    <phoneticPr fontId="3" type="noConversion"/>
  </si>
  <si>
    <t>0409363593</t>
    <phoneticPr fontId="3" type="noConversion"/>
  </si>
  <si>
    <t>DP469</t>
    <phoneticPr fontId="3" type="noConversion"/>
  </si>
  <si>
    <t>0408417669</t>
    <phoneticPr fontId="3" type="noConversion"/>
  </si>
  <si>
    <t>AWK26S</t>
    <phoneticPr fontId="3" type="noConversion"/>
  </si>
  <si>
    <t>0400400117</t>
    <phoneticPr fontId="3" type="noConversion"/>
  </si>
  <si>
    <t>YJW92C</t>
    <phoneticPr fontId="3" type="noConversion"/>
  </si>
  <si>
    <t>0416987155</t>
    <phoneticPr fontId="3" type="noConversion"/>
  </si>
  <si>
    <t>D110X</t>
    <phoneticPr fontId="3" type="noConversion"/>
  </si>
  <si>
    <t>0433017205</t>
    <phoneticPr fontId="3" type="noConversion"/>
  </si>
  <si>
    <t>22077(5/6)</t>
    <phoneticPr fontId="3" type="noConversion"/>
  </si>
  <si>
    <t>CRV06M</t>
    <phoneticPr fontId="3" type="noConversion"/>
  </si>
  <si>
    <t>0403673139</t>
    <phoneticPr fontId="3" type="noConversion"/>
  </si>
  <si>
    <t>S/D</t>
    <phoneticPr fontId="3" type="noConversion"/>
  </si>
  <si>
    <t>MIAOWU</t>
    <phoneticPr fontId="3" type="noConversion"/>
  </si>
  <si>
    <t>0410499193</t>
    <phoneticPr fontId="3" type="noConversion"/>
  </si>
  <si>
    <t>DFN37X</t>
    <phoneticPr fontId="3" type="noConversion"/>
  </si>
  <si>
    <t>0402704181</t>
    <phoneticPr fontId="3" type="noConversion"/>
  </si>
  <si>
    <t>H/CLAY</t>
    <phoneticPr fontId="3" type="noConversion"/>
  </si>
  <si>
    <t>CDS89N</t>
    <phoneticPr fontId="3" type="noConversion"/>
  </si>
  <si>
    <t>0447514956</t>
    <phoneticPr fontId="3" type="noConversion"/>
  </si>
  <si>
    <t>23 - 11 - 2022</t>
    <phoneticPr fontId="3" type="noConversion"/>
  </si>
  <si>
    <t>PAG616</t>
    <phoneticPr fontId="3" type="noConversion"/>
  </si>
  <si>
    <t>0419699022</t>
    <phoneticPr fontId="3" type="noConversion"/>
  </si>
  <si>
    <t>M</t>
  </si>
  <si>
    <t>ESX02Y</t>
    <phoneticPr fontId="3" type="noConversion"/>
  </si>
  <si>
    <t>0419290060</t>
    <phoneticPr fontId="3" type="noConversion"/>
  </si>
  <si>
    <t>EOK68A</t>
    <phoneticPr fontId="3" type="noConversion"/>
  </si>
  <si>
    <t>0407628575</t>
    <phoneticPr fontId="3" type="noConversion"/>
  </si>
  <si>
    <t>CZC66M</t>
    <phoneticPr fontId="3" type="noConversion"/>
  </si>
  <si>
    <t>0401599199</t>
    <phoneticPr fontId="3" type="noConversion"/>
  </si>
  <si>
    <t>PCS</t>
    <phoneticPr fontId="3" type="noConversion"/>
  </si>
  <si>
    <t>22065(2/6)</t>
    <phoneticPr fontId="3" type="noConversion"/>
  </si>
  <si>
    <t>DGG001</t>
    <phoneticPr fontId="3" type="noConversion"/>
  </si>
  <si>
    <t>0423588182</t>
    <phoneticPr fontId="3" type="noConversion"/>
  </si>
  <si>
    <t>EIM54Y</t>
    <phoneticPr fontId="3" type="noConversion"/>
  </si>
  <si>
    <t>0409921951</t>
    <phoneticPr fontId="3" type="noConversion"/>
  </si>
  <si>
    <t>ANT90S</t>
    <phoneticPr fontId="3" type="noConversion"/>
  </si>
  <si>
    <t>0407416907</t>
    <phoneticPr fontId="3" type="noConversion"/>
  </si>
  <si>
    <t>H</t>
    <phoneticPr fontId="3" type="noConversion"/>
  </si>
  <si>
    <t>CMY63V</t>
    <phoneticPr fontId="3" type="noConversion"/>
  </si>
  <si>
    <t>0433551831</t>
    <phoneticPr fontId="3" type="noConversion"/>
  </si>
  <si>
    <t>NCC95K</t>
    <phoneticPr fontId="3" type="noConversion"/>
  </si>
  <si>
    <t>0431103901</t>
    <phoneticPr fontId="3" type="noConversion"/>
  </si>
  <si>
    <t>MAC604</t>
    <phoneticPr fontId="3" type="noConversion"/>
  </si>
  <si>
    <t>0405140432</t>
    <phoneticPr fontId="3" type="noConversion"/>
  </si>
  <si>
    <t>OSMEN</t>
    <phoneticPr fontId="3" type="noConversion"/>
  </si>
  <si>
    <t>0488181888</t>
    <phoneticPr fontId="3" type="noConversion"/>
  </si>
  <si>
    <t>22064(2/6)</t>
    <phoneticPr fontId="3" type="noConversion"/>
  </si>
  <si>
    <t>DVW71F</t>
    <phoneticPr fontId="3" type="noConversion"/>
  </si>
  <si>
    <t>0404579666</t>
    <phoneticPr fontId="3" type="noConversion"/>
  </si>
  <si>
    <t>22133(1/6)</t>
    <phoneticPr fontId="3" type="noConversion"/>
  </si>
  <si>
    <t>RINI</t>
    <phoneticPr fontId="3" type="noConversion"/>
  </si>
  <si>
    <t>24-11-2022</t>
    <phoneticPr fontId="3" type="noConversion"/>
  </si>
  <si>
    <t>KADAM</t>
    <phoneticPr fontId="3" type="noConversion"/>
  </si>
  <si>
    <t>HENDRI</t>
    <phoneticPr fontId="3" type="noConversion"/>
  </si>
  <si>
    <t>ANDREW OCTEC</t>
    <phoneticPr fontId="3" type="noConversion"/>
  </si>
  <si>
    <t>JUL</t>
    <phoneticPr fontId="3" type="noConversion"/>
  </si>
  <si>
    <t>0403073338</t>
    <phoneticPr fontId="3" type="noConversion"/>
  </si>
  <si>
    <t>22011(5/6),22134(NEW)</t>
    <phoneticPr fontId="3" type="noConversion"/>
  </si>
  <si>
    <t>CRQ96X</t>
    <phoneticPr fontId="3" type="noConversion"/>
  </si>
  <si>
    <t>0408062082</t>
    <phoneticPr fontId="3" type="noConversion"/>
  </si>
  <si>
    <t>F</t>
  </si>
  <si>
    <t>KING9</t>
    <phoneticPr fontId="3" type="noConversion"/>
  </si>
  <si>
    <t>0488801999</t>
    <phoneticPr fontId="3" type="noConversion"/>
  </si>
  <si>
    <t>22101(3/6)</t>
    <phoneticPr fontId="3" type="noConversion"/>
  </si>
  <si>
    <t>3K</t>
    <phoneticPr fontId="3" type="noConversion"/>
  </si>
  <si>
    <t>0448989377</t>
    <phoneticPr fontId="3" type="noConversion"/>
  </si>
  <si>
    <t>22008(3/6)</t>
    <phoneticPr fontId="3" type="noConversion"/>
  </si>
  <si>
    <t>CXD09B</t>
    <phoneticPr fontId="3" type="noConversion"/>
  </si>
  <si>
    <t>0468522525</t>
    <phoneticPr fontId="3" type="noConversion"/>
  </si>
  <si>
    <t>2112066(3/6)</t>
    <phoneticPr fontId="3" type="noConversion"/>
  </si>
  <si>
    <t>YDC56T</t>
    <phoneticPr fontId="3" type="noConversion"/>
  </si>
  <si>
    <t>0409588329*</t>
    <phoneticPr fontId="3" type="noConversion"/>
  </si>
  <si>
    <t>NPH169</t>
    <phoneticPr fontId="3" type="noConversion"/>
  </si>
  <si>
    <t>0410477934</t>
    <phoneticPr fontId="3" type="noConversion"/>
  </si>
  <si>
    <t>EEH66M</t>
    <phoneticPr fontId="3" type="noConversion"/>
  </si>
  <si>
    <t>0410477935</t>
    <phoneticPr fontId="3" type="noConversion"/>
  </si>
  <si>
    <t>EBN34R</t>
    <phoneticPr fontId="3" type="noConversion"/>
  </si>
  <si>
    <t>0422613530</t>
    <phoneticPr fontId="3" type="noConversion"/>
  </si>
  <si>
    <t>CZN61D</t>
    <phoneticPr fontId="3" type="noConversion"/>
  </si>
  <si>
    <t>0410255587</t>
    <phoneticPr fontId="3" type="noConversion"/>
  </si>
  <si>
    <t>DPK83U</t>
    <phoneticPr fontId="3" type="noConversion"/>
  </si>
  <si>
    <t>0414883455</t>
    <phoneticPr fontId="3" type="noConversion"/>
  </si>
  <si>
    <t>GA22028(2/6)</t>
    <phoneticPr fontId="3" type="noConversion"/>
  </si>
  <si>
    <t>VV2888</t>
    <phoneticPr fontId="3" type="noConversion"/>
  </si>
  <si>
    <t>0408844728</t>
    <phoneticPr fontId="3" type="noConversion"/>
  </si>
  <si>
    <t>22058(4/6)</t>
    <phoneticPr fontId="3" type="noConversion"/>
  </si>
  <si>
    <t>AKB88A</t>
    <phoneticPr fontId="3" type="noConversion"/>
  </si>
  <si>
    <t>EQT52M</t>
    <phoneticPr fontId="3" type="noConversion"/>
  </si>
  <si>
    <t>0433089141</t>
    <phoneticPr fontId="3" type="noConversion"/>
  </si>
  <si>
    <t>DNK08Z</t>
    <phoneticPr fontId="3" type="noConversion"/>
  </si>
  <si>
    <t>0426818096</t>
    <phoneticPr fontId="3" type="noConversion"/>
  </si>
  <si>
    <t>22045(2/6)</t>
    <phoneticPr fontId="3" type="noConversion"/>
  </si>
  <si>
    <t>DQC86M</t>
    <phoneticPr fontId="3" type="noConversion"/>
  </si>
  <si>
    <t>0411832570</t>
    <phoneticPr fontId="3" type="noConversion"/>
  </si>
  <si>
    <t>22049(2/6)</t>
    <phoneticPr fontId="3" type="noConversion"/>
  </si>
  <si>
    <t>ASY82H</t>
    <phoneticPr fontId="3" type="noConversion"/>
  </si>
  <si>
    <t>0416281953</t>
    <phoneticPr fontId="3" type="noConversion"/>
  </si>
  <si>
    <t>CAC05B</t>
    <phoneticPr fontId="3" type="noConversion"/>
  </si>
  <si>
    <t>0401994744</t>
    <phoneticPr fontId="3" type="noConversion"/>
  </si>
  <si>
    <t>ARX75G</t>
    <phoneticPr fontId="3" type="noConversion"/>
  </si>
  <si>
    <t>0434589332</t>
    <phoneticPr fontId="3" type="noConversion"/>
  </si>
  <si>
    <t>NINA88</t>
    <phoneticPr fontId="3" type="noConversion"/>
  </si>
  <si>
    <t>0416447765</t>
    <phoneticPr fontId="3" type="noConversion"/>
  </si>
  <si>
    <t>EOL09V</t>
    <phoneticPr fontId="3" type="noConversion"/>
  </si>
  <si>
    <t>0410586575</t>
    <phoneticPr fontId="3" type="noConversion"/>
  </si>
  <si>
    <t>WSE77S</t>
    <phoneticPr fontId="3" type="noConversion"/>
  </si>
  <si>
    <t>0418221743</t>
    <phoneticPr fontId="3" type="noConversion"/>
  </si>
  <si>
    <t>EIU13E</t>
    <phoneticPr fontId="3" type="noConversion"/>
  </si>
  <si>
    <t>0414665174</t>
    <phoneticPr fontId="3" type="noConversion"/>
  </si>
  <si>
    <t>22050(2/6)</t>
    <phoneticPr fontId="3" type="noConversion"/>
  </si>
  <si>
    <t>EWL52J</t>
    <phoneticPr fontId="3" type="noConversion"/>
  </si>
  <si>
    <t>0405131399</t>
    <phoneticPr fontId="3" type="noConversion"/>
  </si>
  <si>
    <t>ETR13C</t>
    <phoneticPr fontId="3" type="noConversion"/>
  </si>
  <si>
    <t>0427242574</t>
    <phoneticPr fontId="3" type="noConversion"/>
  </si>
  <si>
    <t>DGI28N</t>
    <phoneticPr fontId="3" type="noConversion"/>
  </si>
  <si>
    <t>0425216938</t>
    <phoneticPr fontId="3" type="noConversion"/>
  </si>
  <si>
    <t>MF1992</t>
    <phoneticPr fontId="3" type="noConversion"/>
  </si>
  <si>
    <t>0419163765</t>
    <phoneticPr fontId="3" type="noConversion"/>
  </si>
  <si>
    <t>ENA16N</t>
    <phoneticPr fontId="3" type="noConversion"/>
  </si>
  <si>
    <t>0406644078</t>
    <phoneticPr fontId="3" type="noConversion"/>
  </si>
  <si>
    <t>25-11-2022</t>
    <phoneticPr fontId="3" type="noConversion"/>
  </si>
  <si>
    <t>CHARLIE</t>
    <phoneticPr fontId="3" type="noConversion"/>
  </si>
  <si>
    <t>CTB27N</t>
    <phoneticPr fontId="3" type="noConversion"/>
  </si>
  <si>
    <t>0404021633</t>
    <phoneticPr fontId="3" type="noConversion"/>
  </si>
  <si>
    <t>ROU13R</t>
    <phoneticPr fontId="3" type="noConversion"/>
  </si>
  <si>
    <t>0402138508</t>
    <phoneticPr fontId="3" type="noConversion"/>
  </si>
  <si>
    <t>DHS111</t>
    <phoneticPr fontId="3" type="noConversion"/>
  </si>
  <si>
    <t>0412255630</t>
    <phoneticPr fontId="3" type="noConversion"/>
  </si>
  <si>
    <t>22035(6/6), 22135(NEW)</t>
    <phoneticPr fontId="3" type="noConversion"/>
  </si>
  <si>
    <t>DDD63W</t>
    <phoneticPr fontId="3" type="noConversion"/>
  </si>
  <si>
    <t>0401713226</t>
    <phoneticPr fontId="3" type="noConversion"/>
  </si>
  <si>
    <t>EQJ49T</t>
    <phoneticPr fontId="3" type="noConversion"/>
  </si>
  <si>
    <t>0449051688</t>
    <phoneticPr fontId="3" type="noConversion"/>
  </si>
  <si>
    <t>22029(3/6)H</t>
    <phoneticPr fontId="3" type="noConversion"/>
  </si>
  <si>
    <t>QY268</t>
    <phoneticPr fontId="3" type="noConversion"/>
  </si>
  <si>
    <t>0435198156</t>
    <phoneticPr fontId="3" type="noConversion"/>
  </si>
  <si>
    <t>22109(2/6)H</t>
    <phoneticPr fontId="3" type="noConversion"/>
  </si>
  <si>
    <t>SAA333</t>
    <phoneticPr fontId="3" type="noConversion"/>
  </si>
  <si>
    <t>0418473469</t>
    <phoneticPr fontId="3" type="noConversion"/>
  </si>
  <si>
    <t>22033(6/6)</t>
    <phoneticPr fontId="3" type="noConversion"/>
  </si>
  <si>
    <t>DTI73M</t>
    <phoneticPr fontId="3" type="noConversion"/>
  </si>
  <si>
    <t>0411288857</t>
    <phoneticPr fontId="3" type="noConversion"/>
  </si>
  <si>
    <t>EOS72L</t>
    <phoneticPr fontId="3" type="noConversion"/>
  </si>
  <si>
    <t>0488388023</t>
    <phoneticPr fontId="3" type="noConversion"/>
  </si>
  <si>
    <t>CTM31U</t>
    <phoneticPr fontId="3" type="noConversion"/>
  </si>
  <si>
    <t>ERF61D</t>
    <phoneticPr fontId="3" type="noConversion"/>
  </si>
  <si>
    <t>0422880728</t>
    <phoneticPr fontId="3" type="noConversion"/>
  </si>
  <si>
    <t>22113(2/6)</t>
    <phoneticPr fontId="3" type="noConversion"/>
  </si>
  <si>
    <t>CEG94H</t>
    <phoneticPr fontId="3" type="noConversion"/>
  </si>
  <si>
    <t>0438670883</t>
    <phoneticPr fontId="3" type="noConversion"/>
  </si>
  <si>
    <t>DYY86T</t>
    <phoneticPr fontId="3" type="noConversion"/>
  </si>
  <si>
    <t>0450618787</t>
    <phoneticPr fontId="3" type="noConversion"/>
  </si>
  <si>
    <t>EBN67A</t>
    <phoneticPr fontId="3" type="noConversion"/>
  </si>
  <si>
    <t>0433706002</t>
    <phoneticPr fontId="3" type="noConversion"/>
  </si>
  <si>
    <t>DHQ86L</t>
    <phoneticPr fontId="3" type="noConversion"/>
  </si>
  <si>
    <t>0411199922</t>
    <phoneticPr fontId="3" type="noConversion"/>
  </si>
  <si>
    <t>DFG58B</t>
    <phoneticPr fontId="3" type="noConversion"/>
  </si>
  <si>
    <t>0417487028</t>
    <phoneticPr fontId="3" type="noConversion"/>
  </si>
  <si>
    <t>CGF82S</t>
    <phoneticPr fontId="3" type="noConversion"/>
  </si>
  <si>
    <t>0481175990</t>
    <phoneticPr fontId="3" type="noConversion"/>
  </si>
  <si>
    <t>LP127</t>
    <phoneticPr fontId="3" type="noConversion"/>
  </si>
  <si>
    <t>0419417672</t>
    <phoneticPr fontId="3" type="noConversion"/>
  </si>
  <si>
    <t>EKO79A</t>
    <phoneticPr fontId="3" type="noConversion"/>
  </si>
  <si>
    <t>0404613854</t>
    <phoneticPr fontId="3" type="noConversion"/>
  </si>
  <si>
    <t>CKL001</t>
    <phoneticPr fontId="3" type="noConversion"/>
  </si>
  <si>
    <t>0400892000</t>
    <phoneticPr fontId="3" type="noConversion"/>
  </si>
  <si>
    <t>CW96GC</t>
    <phoneticPr fontId="3" type="noConversion"/>
  </si>
  <si>
    <t>0403048707</t>
    <phoneticPr fontId="3" type="noConversion"/>
  </si>
  <si>
    <t>DHG63Z</t>
    <phoneticPr fontId="3" type="noConversion"/>
  </si>
  <si>
    <t>0413693636</t>
    <phoneticPr fontId="3" type="noConversion"/>
  </si>
  <si>
    <t>YJO84F</t>
    <phoneticPr fontId="3" type="noConversion"/>
  </si>
  <si>
    <t>0408626915</t>
    <phoneticPr fontId="3" type="noConversion"/>
  </si>
  <si>
    <t>RW2288</t>
    <phoneticPr fontId="3" type="noConversion"/>
  </si>
  <si>
    <t>0422801818</t>
    <phoneticPr fontId="3" type="noConversion"/>
  </si>
  <si>
    <t>DCU21W</t>
    <phoneticPr fontId="3" type="noConversion"/>
  </si>
  <si>
    <t>0448792258</t>
    <phoneticPr fontId="3" type="noConversion"/>
  </si>
  <si>
    <t>26 - 12 - 2022</t>
    <phoneticPr fontId="3" type="noConversion"/>
  </si>
  <si>
    <t>SUVASH</t>
    <phoneticPr fontId="3" type="noConversion"/>
  </si>
  <si>
    <t>CNK76Q</t>
    <phoneticPr fontId="3" type="noConversion"/>
  </si>
  <si>
    <t>0405223869</t>
    <phoneticPr fontId="3" type="noConversion"/>
  </si>
  <si>
    <t>TAX</t>
    <phoneticPr fontId="3" type="noConversion"/>
  </si>
  <si>
    <t>A8EIJ</t>
    <phoneticPr fontId="3" type="noConversion"/>
  </si>
  <si>
    <t>0402009886</t>
    <phoneticPr fontId="3" type="noConversion"/>
  </si>
  <si>
    <t>EOK89T</t>
    <phoneticPr fontId="3" type="noConversion"/>
  </si>
  <si>
    <t>0419237162</t>
    <phoneticPr fontId="3" type="noConversion"/>
  </si>
  <si>
    <t>DQK98W</t>
    <phoneticPr fontId="3" type="noConversion"/>
  </si>
  <si>
    <t>0411036536</t>
    <phoneticPr fontId="3" type="noConversion"/>
  </si>
  <si>
    <t>AQA74J</t>
    <phoneticPr fontId="3" type="noConversion"/>
  </si>
  <si>
    <t>0407424895</t>
    <phoneticPr fontId="3" type="noConversion"/>
  </si>
  <si>
    <t>ETY27Y</t>
    <phoneticPr fontId="3" type="noConversion"/>
  </si>
  <si>
    <t>0402251701</t>
    <phoneticPr fontId="3" type="noConversion"/>
  </si>
  <si>
    <t>22060(3/6)</t>
    <phoneticPr fontId="3" type="noConversion"/>
  </si>
  <si>
    <t>DLX98T</t>
    <phoneticPr fontId="3" type="noConversion"/>
  </si>
  <si>
    <t>0412058567</t>
    <phoneticPr fontId="3" type="noConversion"/>
  </si>
  <si>
    <t>BU36KC</t>
    <phoneticPr fontId="3" type="noConversion"/>
  </si>
  <si>
    <t>0424249294</t>
    <phoneticPr fontId="3" type="noConversion"/>
  </si>
  <si>
    <t>CTC81B</t>
    <phoneticPr fontId="3" type="noConversion"/>
  </si>
  <si>
    <t>0423710031</t>
    <phoneticPr fontId="3" type="noConversion"/>
  </si>
  <si>
    <t>ENA10G</t>
    <phoneticPr fontId="3" type="noConversion"/>
  </si>
  <si>
    <t>0401134428</t>
    <phoneticPr fontId="3" type="noConversion"/>
  </si>
  <si>
    <t>22054(2/6)H</t>
    <phoneticPr fontId="3" type="noConversion"/>
  </si>
  <si>
    <t>ETS020</t>
    <phoneticPr fontId="3" type="noConversion"/>
  </si>
  <si>
    <t>0413669993</t>
    <phoneticPr fontId="3" type="noConversion"/>
  </si>
  <si>
    <t>22137(1/6)</t>
    <phoneticPr fontId="3" type="noConversion"/>
  </si>
  <si>
    <t>WSE74A</t>
    <phoneticPr fontId="3" type="noConversion"/>
  </si>
  <si>
    <t>0417259029</t>
    <phoneticPr fontId="3" type="noConversion"/>
  </si>
  <si>
    <t>BM91KY</t>
    <phoneticPr fontId="3" type="noConversion"/>
  </si>
  <si>
    <t>0416267416</t>
    <phoneticPr fontId="3" type="noConversion"/>
  </si>
  <si>
    <t>22071(1/6)</t>
    <phoneticPr fontId="3" type="noConversion"/>
  </si>
  <si>
    <t>DGE430</t>
    <phoneticPr fontId="3" type="noConversion"/>
  </si>
  <si>
    <t>0415239892</t>
    <phoneticPr fontId="3" type="noConversion"/>
  </si>
  <si>
    <t>EGH08B</t>
    <phoneticPr fontId="3" type="noConversion"/>
  </si>
  <si>
    <t>0401370944</t>
    <phoneticPr fontId="3" type="noConversion"/>
  </si>
  <si>
    <t>EOG66N</t>
    <phoneticPr fontId="3" type="noConversion"/>
  </si>
  <si>
    <t>0435176425</t>
    <phoneticPr fontId="3" type="noConversion"/>
  </si>
  <si>
    <t>DTM54Z</t>
    <phoneticPr fontId="3" type="noConversion"/>
  </si>
  <si>
    <t>0409841966</t>
    <phoneticPr fontId="3" type="noConversion"/>
  </si>
  <si>
    <t>202918(5-6/6), 22138(NEW)</t>
    <phoneticPr fontId="3" type="noConversion"/>
  </si>
  <si>
    <t>EGE65V</t>
    <phoneticPr fontId="3" type="noConversion"/>
  </si>
  <si>
    <t>0426169466</t>
    <phoneticPr fontId="3" type="noConversion"/>
  </si>
  <si>
    <t>EQU16A</t>
    <phoneticPr fontId="3" type="noConversion"/>
  </si>
  <si>
    <t>0422703122</t>
    <phoneticPr fontId="3" type="noConversion"/>
  </si>
  <si>
    <t>SKY5</t>
    <phoneticPr fontId="3" type="noConversion"/>
  </si>
  <si>
    <t>0406222111</t>
    <phoneticPr fontId="3" type="noConversion"/>
  </si>
  <si>
    <t>22060(4/6)</t>
    <phoneticPr fontId="3" type="noConversion"/>
  </si>
  <si>
    <t>EDA97W</t>
    <phoneticPr fontId="3" type="noConversion"/>
  </si>
  <si>
    <t>0412082955</t>
    <phoneticPr fontId="3" type="noConversion"/>
  </si>
  <si>
    <t>ELU85F</t>
    <phoneticPr fontId="3" type="noConversion"/>
  </si>
  <si>
    <t>0447403091</t>
    <phoneticPr fontId="3" type="noConversion"/>
  </si>
  <si>
    <t>COZ11H</t>
    <phoneticPr fontId="3" type="noConversion"/>
  </si>
  <si>
    <t>0402213350</t>
    <phoneticPr fontId="3" type="noConversion"/>
  </si>
  <si>
    <t>EOJ78M</t>
    <phoneticPr fontId="3" type="noConversion"/>
  </si>
  <si>
    <t>0410597810</t>
    <phoneticPr fontId="3" type="noConversion"/>
  </si>
  <si>
    <t>22139(1/6)</t>
    <phoneticPr fontId="3" type="noConversion"/>
  </si>
  <si>
    <t>F9F</t>
    <phoneticPr fontId="3" type="noConversion"/>
  </si>
  <si>
    <t>0488891999</t>
    <phoneticPr fontId="3" type="noConversion"/>
  </si>
  <si>
    <t>22101(4/6)</t>
    <phoneticPr fontId="3" type="noConversion"/>
  </si>
  <si>
    <t>CYW85P</t>
    <phoneticPr fontId="3" type="noConversion"/>
  </si>
  <si>
    <t>0481788095</t>
    <phoneticPr fontId="3" type="noConversion"/>
  </si>
  <si>
    <t>22055(4/6), 22141(NEW)</t>
    <phoneticPr fontId="3" type="noConversion"/>
  </si>
  <si>
    <t>EQH67Q</t>
    <phoneticPr fontId="3" type="noConversion"/>
  </si>
  <si>
    <t>0420574664</t>
    <phoneticPr fontId="3" type="noConversion"/>
  </si>
  <si>
    <t>CHH66R</t>
    <phoneticPr fontId="3" type="noConversion"/>
  </si>
  <si>
    <t>0413646573</t>
    <phoneticPr fontId="3" type="noConversion"/>
  </si>
  <si>
    <t>22140(1/6)</t>
    <phoneticPr fontId="3" type="noConversion"/>
  </si>
  <si>
    <t>22004(5/6), 22136(NEW)H</t>
    <phoneticPr fontId="3" type="noConversion"/>
  </si>
  <si>
    <t>DYA04E</t>
    <phoneticPr fontId="3" type="noConversion"/>
  </si>
  <si>
    <t>0499090796</t>
    <phoneticPr fontId="3" type="noConversion"/>
  </si>
  <si>
    <t>NBS15W</t>
    <phoneticPr fontId="3" type="noConversion"/>
  </si>
  <si>
    <t>0403381281</t>
    <phoneticPr fontId="3" type="noConversion"/>
  </si>
  <si>
    <t>27-11-2022</t>
    <phoneticPr fontId="3" type="noConversion"/>
  </si>
  <si>
    <t>DMS63Z</t>
    <phoneticPr fontId="3" type="noConversion"/>
  </si>
  <si>
    <t>043466669</t>
    <phoneticPr fontId="3" type="noConversion"/>
  </si>
  <si>
    <t>DA53HR</t>
    <phoneticPr fontId="3" type="noConversion"/>
  </si>
  <si>
    <t>0418529576</t>
    <phoneticPr fontId="3" type="noConversion"/>
  </si>
  <si>
    <t>DJJ86M</t>
    <phoneticPr fontId="3" type="noConversion"/>
  </si>
  <si>
    <t>0468733594</t>
    <phoneticPr fontId="3" type="noConversion"/>
  </si>
  <si>
    <t>EJO88U</t>
    <phoneticPr fontId="3" type="noConversion"/>
  </si>
  <si>
    <t>0491126888</t>
    <phoneticPr fontId="3" type="noConversion"/>
  </si>
  <si>
    <t>22016(5/6)</t>
    <phoneticPr fontId="3" type="noConversion"/>
  </si>
  <si>
    <t>RVT213</t>
    <phoneticPr fontId="3" type="noConversion"/>
  </si>
  <si>
    <t>0402348111</t>
    <phoneticPr fontId="3" type="noConversion"/>
  </si>
  <si>
    <t>DJN81A</t>
    <phoneticPr fontId="3" type="noConversion"/>
  </si>
  <si>
    <t>0400530868</t>
    <phoneticPr fontId="3" type="noConversion"/>
  </si>
  <si>
    <t>CR63GU</t>
    <phoneticPr fontId="3" type="noConversion"/>
  </si>
  <si>
    <t>0459167535</t>
    <phoneticPr fontId="3" type="noConversion"/>
  </si>
  <si>
    <t>EPV66Q</t>
    <phoneticPr fontId="3" type="noConversion"/>
  </si>
  <si>
    <t>0414730371</t>
    <phoneticPr fontId="3" type="noConversion"/>
  </si>
  <si>
    <t>ENS70J</t>
    <phoneticPr fontId="3" type="noConversion"/>
  </si>
  <si>
    <t>0404599665</t>
    <phoneticPr fontId="3" type="noConversion"/>
  </si>
  <si>
    <t>22143(1/6)</t>
    <phoneticPr fontId="3" type="noConversion"/>
  </si>
  <si>
    <t>CVR89K</t>
    <phoneticPr fontId="3" type="noConversion"/>
  </si>
  <si>
    <t>0418259609</t>
    <phoneticPr fontId="3" type="noConversion"/>
  </si>
  <si>
    <t>EBN17X</t>
    <phoneticPr fontId="3" type="noConversion"/>
  </si>
  <si>
    <t>0410447065</t>
    <phoneticPr fontId="3" type="noConversion"/>
  </si>
  <si>
    <t>CST93D</t>
    <phoneticPr fontId="3" type="noConversion"/>
  </si>
  <si>
    <t>0414665096</t>
    <phoneticPr fontId="3" type="noConversion"/>
  </si>
  <si>
    <t>CSC594</t>
    <phoneticPr fontId="3" type="noConversion"/>
  </si>
  <si>
    <t>0401124909</t>
    <phoneticPr fontId="3" type="noConversion"/>
  </si>
  <si>
    <t>22081(1/6)</t>
    <phoneticPr fontId="3" type="noConversion"/>
  </si>
  <si>
    <t>EBB08Q</t>
    <phoneticPr fontId="3" type="noConversion"/>
  </si>
  <si>
    <t>0401197480</t>
    <phoneticPr fontId="3" type="noConversion"/>
  </si>
  <si>
    <t>DDM87M</t>
    <phoneticPr fontId="3" type="noConversion"/>
  </si>
  <si>
    <t>0466241618</t>
    <phoneticPr fontId="3" type="noConversion"/>
  </si>
  <si>
    <t>ETA52W</t>
    <phoneticPr fontId="3" type="noConversion"/>
  </si>
  <si>
    <t>0414339744</t>
    <phoneticPr fontId="3" type="noConversion"/>
  </si>
  <si>
    <t>CED48B</t>
    <phoneticPr fontId="3" type="noConversion"/>
  </si>
  <si>
    <t>0433452907</t>
    <phoneticPr fontId="3" type="noConversion"/>
  </si>
  <si>
    <t>CT288</t>
    <phoneticPr fontId="3" type="noConversion"/>
  </si>
  <si>
    <t>0414774022</t>
    <phoneticPr fontId="3" type="noConversion"/>
  </si>
  <si>
    <t>BXC81W</t>
    <phoneticPr fontId="3" type="noConversion"/>
  </si>
  <si>
    <t>04070157117</t>
    <phoneticPr fontId="3" type="noConversion"/>
  </si>
  <si>
    <t>EDJ82U</t>
    <phoneticPr fontId="3" type="noConversion"/>
  </si>
  <si>
    <t>0417190374</t>
    <phoneticPr fontId="3" type="noConversion"/>
  </si>
  <si>
    <t>EGJ56P</t>
    <phoneticPr fontId="3" type="noConversion"/>
  </si>
  <si>
    <t>0414317490</t>
    <phoneticPr fontId="3" type="noConversion"/>
  </si>
  <si>
    <t>EQQ19L</t>
    <phoneticPr fontId="3" type="noConversion"/>
  </si>
  <si>
    <t>0499221567</t>
    <phoneticPr fontId="3" type="noConversion"/>
  </si>
  <si>
    <t>BMO88R</t>
    <phoneticPr fontId="3" type="noConversion"/>
  </si>
  <si>
    <t>0416566898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</si>
</sst>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5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65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23" fillId="14" borderId="4" xfId="4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shrinkToFit="1"/>
    </xf>
    <xf numFmtId="178" fontId="23" fillId="14" borderId="61" xfId="4" applyNumberFormat="1" applyBorder="1" applyAlignment="1">
      <alignment horizontal="center" shrinkToFit="1"/>
    </xf>
    <xf numFmtId="178" fontId="23" fillId="14" borderId="26" xfId="4" applyNumberFormat="1" applyBorder="1" applyAlignment="1">
      <alignment horizontal="center" shrinkToFit="1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23" fillId="14" borderId="1" xfId="4" applyBorder="1" applyAlignment="1"/>
    <xf numFmtId="49" fontId="23" fillId="14" borderId="2" xfId="4" applyNumberFormat="1" applyBorder="1" applyAlignment="1">
      <alignment horizontal="left"/>
    </xf>
    <xf numFmtId="179" fontId="23" fillId="14" borderId="39" xfId="4" applyNumberFormat="1" applyBorder="1" applyAlignment="1">
      <alignment horizontal="left"/>
    </xf>
    <xf numFmtId="0" fontId="29" fillId="2" borderId="9" xfId="0" applyFont="1" applyFill="1" applyBorder="1" applyAlignment="1">
      <alignment shrinkToFit="1"/>
    </xf>
    <xf numFmtId="0" fontId="0" fillId="0" borderId="1" xfId="0" applyBorder="1" applyAlignment="1">
      <alignment horizontal="center" shrinkToFit="1"/>
    </xf>
    <xf numFmtId="0" fontId="30" fillId="2" borderId="9" xfId="0" applyFont="1" applyFill="1" applyBorder="1" applyAlignment="1">
      <alignment shrinkToFit="1"/>
    </xf>
    <xf numFmtId="0" fontId="23" fillId="14" borderId="19" xfId="4" applyBorder="1" applyAlignment="1">
      <alignment horizontal="center" shrinkToFit="1"/>
    </xf>
    <xf numFmtId="0" fontId="23" fillId="14" borderId="1" xfId="4" applyBorder="1" applyAlignment="1">
      <alignment horizontal="left"/>
    </xf>
    <xf numFmtId="179" fontId="23" fillId="14" borderId="26" xfId="4" applyNumberFormat="1" applyBorder="1" applyAlignment="1">
      <alignment horizontal="left"/>
    </xf>
    <xf numFmtId="0" fontId="23" fillId="14" borderId="9" xfId="4" applyBorder="1" applyAlignment="1">
      <alignment horizontal="center" shrinkToFit="1"/>
    </xf>
    <xf numFmtId="49" fontId="23" fillId="14" borderId="2" xfId="4" applyNumberFormat="1" applyBorder="1" applyAlignment="1">
      <alignment horizontal="left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14" borderId="6" xfId="4" applyBorder="1" applyAlignment="1">
      <alignment horizontal="center" shrinkToFit="1"/>
    </xf>
    <xf numFmtId="0" fontId="23" fillId="14" borderId="37" xfId="4" applyBorder="1" applyAlignment="1">
      <alignment horizontal="center" shrinkToFit="1"/>
    </xf>
    <xf numFmtId="0" fontId="23" fillId="14" borderId="47" xfId="4" applyBorder="1" applyAlignment="1">
      <alignment horizontal="center" shrinkToFit="1"/>
    </xf>
    <xf numFmtId="0" fontId="23" fillId="14" borderId="2" xfId="4" applyBorder="1" applyAlignment="1">
      <alignment horizontal="center" vertical="center" shrinkToFit="1"/>
    </xf>
    <xf numFmtId="0" fontId="23" fillId="14" borderId="29" xfId="4" applyBorder="1" applyAlignment="1">
      <alignment horizontal="center" vertical="center" shrinkToFit="1"/>
    </xf>
    <xf numFmtId="0" fontId="23" fillId="14" borderId="17" xfId="4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L24" sqref="L2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97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137</v>
      </c>
      <c r="K2" s="345"/>
      <c r="L2" s="347" t="s">
        <v>96</v>
      </c>
      <c r="M2" s="348"/>
      <c r="N2" s="346"/>
      <c r="O2" s="344" t="s">
        <v>138</v>
      </c>
      <c r="P2" s="344"/>
      <c r="Q2" s="345"/>
      <c r="R2" s="347" t="s">
        <v>51</v>
      </c>
      <c r="S2" s="346"/>
      <c r="T2" s="335">
        <v>7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6" t="s">
        <v>8</v>
      </c>
      <c r="P4" s="336"/>
      <c r="Q4" s="336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12352</v>
      </c>
      <c r="C5" s="68" t="s">
        <v>105</v>
      </c>
      <c r="D5" s="200" t="s">
        <v>150</v>
      </c>
      <c r="E5" s="181" t="s">
        <v>91</v>
      </c>
      <c r="F5" s="170">
        <v>900</v>
      </c>
      <c r="G5" s="118" t="s">
        <v>106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138</v>
      </c>
      <c r="O5" s="385"/>
      <c r="P5" s="386"/>
      <c r="Q5" s="387"/>
      <c r="R5" s="33" t="s">
        <v>98</v>
      </c>
      <c r="S5" s="31">
        <v>0.34375</v>
      </c>
      <c r="T5" s="32">
        <v>0.6875</v>
      </c>
      <c r="U5" s="92">
        <f t="shared" ref="U5:U15" si="0">(T5-S5)*24</f>
        <v>8.25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12353</v>
      </c>
      <c r="C6" s="67" t="s">
        <v>133</v>
      </c>
      <c r="D6" s="200" t="s">
        <v>134</v>
      </c>
      <c r="E6" s="181" t="s">
        <v>91</v>
      </c>
      <c r="F6" s="171">
        <v>910</v>
      </c>
      <c r="G6" s="118" t="s">
        <v>116</v>
      </c>
      <c r="H6" s="91"/>
      <c r="I6" s="124">
        <v>420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138</v>
      </c>
      <c r="O6" s="337"/>
      <c r="P6" s="338"/>
      <c r="Q6" s="339"/>
      <c r="R6" s="132" t="s">
        <v>99</v>
      </c>
      <c r="S6" s="31">
        <v>0.33333333333333331</v>
      </c>
      <c r="T6" s="32">
        <v>0.64583333333333337</v>
      </c>
      <c r="U6" s="92">
        <f t="shared" si="0"/>
        <v>7.5000000000000018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12354</v>
      </c>
      <c r="C7" s="67" t="s">
        <v>107</v>
      </c>
      <c r="D7" s="200" t="s">
        <v>108</v>
      </c>
      <c r="E7" s="181" t="s">
        <v>92</v>
      </c>
      <c r="F7" s="171">
        <v>900</v>
      </c>
      <c r="G7" s="118" t="s">
        <v>106</v>
      </c>
      <c r="H7" s="91">
        <v>55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138</v>
      </c>
      <c r="O7" s="310"/>
      <c r="P7" s="309"/>
      <c r="Q7" s="311"/>
      <c r="R7" s="134" t="s">
        <v>100</v>
      </c>
      <c r="S7" s="31">
        <v>0.35416666666666669</v>
      </c>
      <c r="T7" s="32">
        <v>0.6875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12355</v>
      </c>
      <c r="C8" s="27" t="s">
        <v>109</v>
      </c>
      <c r="D8" s="200" t="s">
        <v>110</v>
      </c>
      <c r="E8" s="181" t="s">
        <v>92</v>
      </c>
      <c r="F8" s="171">
        <v>910</v>
      </c>
      <c r="G8" s="118" t="s">
        <v>106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138</v>
      </c>
      <c r="O8" s="340"/>
      <c r="P8" s="341"/>
      <c r="Q8" s="342"/>
      <c r="R8" s="26" t="s">
        <v>102</v>
      </c>
      <c r="S8" s="31">
        <v>0.35416666666666669</v>
      </c>
      <c r="T8" s="32">
        <v>0.66666666666666663</v>
      </c>
      <c r="U8" s="92">
        <f t="shared" si="0"/>
        <v>7.4999999999999982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12356</v>
      </c>
      <c r="C9" s="63" t="s">
        <v>111</v>
      </c>
      <c r="D9" s="201" t="s">
        <v>112</v>
      </c>
      <c r="E9" s="181" t="s">
        <v>92</v>
      </c>
      <c r="F9" s="172">
        <v>950</v>
      </c>
      <c r="G9" s="119" t="s">
        <v>113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138</v>
      </c>
      <c r="O9" s="340"/>
      <c r="P9" s="341"/>
      <c r="Q9" s="342"/>
      <c r="R9" s="26" t="s">
        <v>101</v>
      </c>
      <c r="S9" s="31">
        <v>0.44791666666666669</v>
      </c>
      <c r="T9" s="32">
        <v>0.6875</v>
      </c>
      <c r="U9" s="92">
        <f t="shared" si="0"/>
        <v>5.75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12357</v>
      </c>
      <c r="C10" s="28" t="s">
        <v>114</v>
      </c>
      <c r="D10" s="202" t="s">
        <v>115</v>
      </c>
      <c r="E10" s="181" t="s">
        <v>91</v>
      </c>
      <c r="F10" s="173">
        <v>1010</v>
      </c>
      <c r="G10" s="120" t="s">
        <v>116</v>
      </c>
      <c r="H10" s="123">
        <v>480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138</v>
      </c>
      <c r="O10" s="332"/>
      <c r="P10" s="333"/>
      <c r="Q10" s="334"/>
      <c r="R10" s="26" t="s">
        <v>103</v>
      </c>
      <c r="S10" s="31">
        <v>0.41666666666666669</v>
      </c>
      <c r="T10" s="32">
        <v>0.67708333333333337</v>
      </c>
      <c r="U10" s="92">
        <f t="shared" si="0"/>
        <v>6.25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267">
        <v>12358</v>
      </c>
      <c r="C11" s="268" t="s">
        <v>117</v>
      </c>
      <c r="D11" s="269" t="s">
        <v>118</v>
      </c>
      <c r="E11" s="270" t="s">
        <v>92</v>
      </c>
      <c r="F11" s="271">
        <v>1020</v>
      </c>
      <c r="G11" s="272" t="s">
        <v>119</v>
      </c>
      <c r="H11" s="273"/>
      <c r="I11" s="274"/>
      <c r="J11" s="274" t="str">
        <f t="shared" si="1"/>
        <v>0</v>
      </c>
      <c r="K11" s="274">
        <v>79.099999999999994</v>
      </c>
      <c r="L11" s="275"/>
      <c r="M11" s="275">
        <v>475</v>
      </c>
      <c r="N11" s="276" t="s">
        <v>138</v>
      </c>
      <c r="O11" s="376" t="s">
        <v>120</v>
      </c>
      <c r="P11" s="377"/>
      <c r="Q11" s="378"/>
      <c r="R11" s="26" t="s">
        <v>104</v>
      </c>
      <c r="S11" s="31">
        <v>0.375</v>
      </c>
      <c r="T11" s="32">
        <v>0.44791666666666669</v>
      </c>
      <c r="U11" s="92">
        <f t="shared" si="0"/>
        <v>1.7500000000000004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12359</v>
      </c>
      <c r="C12" s="119">
        <v>478</v>
      </c>
      <c r="D12" s="204" t="s">
        <v>121</v>
      </c>
      <c r="E12" s="181" t="s">
        <v>92</v>
      </c>
      <c r="F12" s="173">
        <v>1042</v>
      </c>
      <c r="G12" s="119" t="s">
        <v>113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138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267">
        <v>12360</v>
      </c>
      <c r="C13" s="277" t="s">
        <v>122</v>
      </c>
      <c r="D13" s="278" t="s">
        <v>123</v>
      </c>
      <c r="E13" s="270" t="s">
        <v>91</v>
      </c>
      <c r="F13" s="279">
        <v>1115</v>
      </c>
      <c r="G13" s="280" t="s">
        <v>119</v>
      </c>
      <c r="H13" s="281"/>
      <c r="I13" s="282"/>
      <c r="J13" s="274" t="str">
        <f t="shared" si="1"/>
        <v>0</v>
      </c>
      <c r="K13" s="274">
        <v>79.099999999999994</v>
      </c>
      <c r="L13" s="275">
        <v>475</v>
      </c>
      <c r="M13" s="275"/>
      <c r="N13" s="276" t="s">
        <v>138</v>
      </c>
      <c r="O13" s="376" t="s">
        <v>124</v>
      </c>
      <c r="P13" s="377"/>
      <c r="Q13" s="37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12361</v>
      </c>
      <c r="C14" s="65" t="s">
        <v>125</v>
      </c>
      <c r="D14" s="205" t="s">
        <v>126</v>
      </c>
      <c r="E14" s="181" t="s">
        <v>92</v>
      </c>
      <c r="F14" s="174">
        <v>1130</v>
      </c>
      <c r="G14" s="122" t="s">
        <v>113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138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12362</v>
      </c>
      <c r="C15" s="65" t="s">
        <v>127</v>
      </c>
      <c r="D15" s="205" t="s">
        <v>128</v>
      </c>
      <c r="E15" s="181" t="s">
        <v>92</v>
      </c>
      <c r="F15" s="174">
        <v>1140</v>
      </c>
      <c r="G15" s="122" t="s">
        <v>106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138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12363</v>
      </c>
      <c r="C16" s="65" t="s">
        <v>129</v>
      </c>
      <c r="D16" s="205" t="s">
        <v>130</v>
      </c>
      <c r="E16" s="181" t="s">
        <v>92</v>
      </c>
      <c r="F16" s="174">
        <v>1200</v>
      </c>
      <c r="G16" s="122" t="s">
        <v>113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138</v>
      </c>
      <c r="O16" s="310"/>
      <c r="P16" s="309"/>
      <c r="Q16" s="311"/>
      <c r="R16" s="82">
        <f>H32/U16</f>
        <v>0.4</v>
      </c>
      <c r="S16" s="83">
        <f>H32/(U16-U5)</f>
        <v>0.48979591836734693</v>
      </c>
      <c r="T16" s="83">
        <f>C32/U16</f>
        <v>49.717777777777783</v>
      </c>
      <c r="U16" s="83">
        <f>SUM(U5:U15)</f>
        <v>45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12364</v>
      </c>
      <c r="C17" s="18" t="s">
        <v>131</v>
      </c>
      <c r="D17" s="203" t="s">
        <v>132</v>
      </c>
      <c r="E17" s="181" t="s">
        <v>92</v>
      </c>
      <c r="F17" s="66">
        <v>1230</v>
      </c>
      <c r="G17" s="121" t="s">
        <v>113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138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12365</v>
      </c>
      <c r="C18" s="18" t="s">
        <v>135</v>
      </c>
      <c r="D18" s="203" t="s">
        <v>136</v>
      </c>
      <c r="E18" s="181" t="s">
        <v>92</v>
      </c>
      <c r="F18" s="66">
        <v>1320</v>
      </c>
      <c r="G18" s="20" t="s">
        <v>113</v>
      </c>
      <c r="H18" s="123"/>
      <c r="I18" s="124">
        <v>90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138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12366</v>
      </c>
      <c r="C19" s="18" t="s">
        <v>139</v>
      </c>
      <c r="D19" s="203" t="s">
        <v>140</v>
      </c>
      <c r="E19" s="181" t="s">
        <v>91</v>
      </c>
      <c r="F19" s="66">
        <v>1350</v>
      </c>
      <c r="G19" s="121" t="s">
        <v>113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138</v>
      </c>
      <c r="O19" s="310"/>
      <c r="P19" s="309"/>
      <c r="Q19" s="309"/>
      <c r="R19" s="93" t="s">
        <v>45</v>
      </c>
      <c r="S19" s="94">
        <f>COUNT(L5:M29,L37:M61,L69:M93)</f>
        <v>3</v>
      </c>
      <c r="T19" s="116">
        <f>SUM(L5:M29,L37:M61,L69:M93)</f>
        <v>1425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12367</v>
      </c>
      <c r="C20" s="18" t="s">
        <v>141</v>
      </c>
      <c r="D20" s="203" t="s">
        <v>142</v>
      </c>
      <c r="E20" s="181" t="s">
        <v>92</v>
      </c>
      <c r="F20" s="66">
        <v>1445</v>
      </c>
      <c r="G20" s="121" t="s">
        <v>113</v>
      </c>
      <c r="H20" s="123"/>
      <c r="I20" s="124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138</v>
      </c>
      <c r="O20" s="381"/>
      <c r="P20" s="382"/>
      <c r="Q20" s="38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67">
        <v>12368</v>
      </c>
      <c r="C21" s="268" t="s">
        <v>143</v>
      </c>
      <c r="D21" s="269" t="s">
        <v>144</v>
      </c>
      <c r="E21" s="270" t="s">
        <v>92</v>
      </c>
      <c r="F21" s="271">
        <v>1501</v>
      </c>
      <c r="G21" s="280" t="s">
        <v>119</v>
      </c>
      <c r="H21" s="273"/>
      <c r="I21" s="274"/>
      <c r="J21" s="274" t="str">
        <f t="shared" si="1"/>
        <v>0</v>
      </c>
      <c r="K21" s="274">
        <v>79.099999999999994</v>
      </c>
      <c r="L21" s="275"/>
      <c r="M21" s="275">
        <v>475</v>
      </c>
      <c r="N21" s="276" t="s">
        <v>138</v>
      </c>
      <c r="O21" s="376" t="s">
        <v>145</v>
      </c>
      <c r="P21" s="377"/>
      <c r="Q21" s="37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12369</v>
      </c>
      <c r="C22" s="127" t="s">
        <v>146</v>
      </c>
      <c r="D22" s="206" t="s">
        <v>147</v>
      </c>
      <c r="E22" s="181" t="s">
        <v>91</v>
      </c>
      <c r="F22" s="175">
        <v>1515</v>
      </c>
      <c r="G22" s="214" t="s">
        <v>119</v>
      </c>
      <c r="H22" s="89"/>
      <c r="I22" s="141"/>
      <c r="J22" s="130" t="str">
        <f t="shared" si="1"/>
        <v>0</v>
      </c>
      <c r="K22" s="130">
        <v>125</v>
      </c>
      <c r="L22" s="69"/>
      <c r="M22" s="69"/>
      <c r="N22" s="134" t="s">
        <v>138</v>
      </c>
      <c r="O22" s="310" t="s">
        <v>148</v>
      </c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9"/>
      <c r="Y23" s="380"/>
      <c r="Z23" s="38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3">
        <f>((C32+(R26+S26+T26)*0.5))</f>
        <v>2237.3000000000002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11">
        <f t="shared" ref="H30:M30" si="3">SUM(H5:H29)</f>
        <v>630</v>
      </c>
      <c r="I30" s="105">
        <f>SUM(I5:I29)</f>
        <v>1245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362.29999999999995</v>
      </c>
      <c r="L30" s="106">
        <f t="shared" si="3"/>
        <v>475</v>
      </c>
      <c r="M30" s="106">
        <f t="shared" si="3"/>
        <v>950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12">
        <f t="shared" ref="H31:J31" si="4">H30+H62+H94</f>
        <v>630</v>
      </c>
      <c r="I31" s="103">
        <f t="shared" si="4"/>
        <v>1245</v>
      </c>
      <c r="J31" s="103">
        <f t="shared" si="4"/>
        <v>0</v>
      </c>
      <c r="K31" s="103">
        <f>K30+K62+K94</f>
        <v>362.29999999999995</v>
      </c>
      <c r="L31" s="97">
        <f>L30+L62+L94</f>
        <v>475</v>
      </c>
      <c r="M31" s="97">
        <f>M30+M62+M94</f>
        <v>950</v>
      </c>
      <c r="N31" s="217">
        <f>COUNT(H5:H29,H37:H61,H69:H93)</f>
        <v>3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1105</v>
      </c>
      <c r="T31" s="349">
        <f>H31+I31+L31+M31</f>
        <v>3300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2237.3000000000002</v>
      </c>
      <c r="D32" s="196"/>
      <c r="E32" s="107"/>
      <c r="F32" s="371" t="s">
        <v>53</v>
      </c>
      <c r="G32" s="371"/>
      <c r="H32" s="109">
        <f>COUNT(B5:B29,B37:B61,B69:B93)</f>
        <v>18</v>
      </c>
      <c r="I32" s="372" t="s">
        <v>54</v>
      </c>
      <c r="J32" s="372"/>
      <c r="K32" s="108">
        <f>C32/H32</f>
        <v>124.29444444444445</v>
      </c>
      <c r="L32" s="218"/>
      <c r="M32" s="218"/>
      <c r="N32" s="218">
        <f>H31/C32</f>
        <v>0.281589415813704</v>
      </c>
      <c r="O32" s="218">
        <f>I31/C32</f>
        <v>0.55647432172708167</v>
      </c>
      <c r="P32" s="218">
        <f>K31/C32</f>
        <v>0.16193626245921419</v>
      </c>
      <c r="Q32" s="110">
        <f>J31/C32</f>
        <v>0</v>
      </c>
      <c r="R32" s="99" t="s">
        <v>82</v>
      </c>
      <c r="S32" s="213">
        <f>I31+M31</f>
        <v>2195</v>
      </c>
      <c r="T32" s="351"/>
      <c r="U32" s="352"/>
      <c r="V32" s="55"/>
      <c r="W32" s="55"/>
      <c r="X32" s="56" t="s">
        <v>27</v>
      </c>
      <c r="Y32" s="56"/>
      <c r="Z32" s="54">
        <f>I31</f>
        <v>1245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-1500</v>
      </c>
      <c r="AE33" s="37"/>
      <c r="AF33" s="37"/>
      <c r="AG33" s="59"/>
      <c r="AH33" s="37"/>
    </row>
    <row r="34" spans="1:34" ht="17.25" thickBot="1" x14ac:dyDescent="0.35">
      <c r="A34" s="343" t="str">
        <f>A2</f>
        <v>21-11-2022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7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6" t="s">
        <v>8</v>
      </c>
      <c r="P36" s="336"/>
      <c r="Q36" s="336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21-11-2022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7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6" t="s">
        <v>8</v>
      </c>
      <c r="P68" s="336"/>
      <c r="Q68" s="336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14" sqref="R1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149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137</v>
      </c>
      <c r="K2" s="345"/>
      <c r="L2" s="347" t="s">
        <v>96</v>
      </c>
      <c r="M2" s="348"/>
      <c r="N2" s="346"/>
      <c r="O2" s="344" t="s">
        <v>151</v>
      </c>
      <c r="P2" s="344"/>
      <c r="Q2" s="345"/>
      <c r="R2" s="347" t="s">
        <v>51</v>
      </c>
      <c r="S2" s="346"/>
      <c r="T2" s="335">
        <v>6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12370</v>
      </c>
      <c r="C5" s="68" t="s">
        <v>155</v>
      </c>
      <c r="D5" s="200" t="s">
        <v>156</v>
      </c>
      <c r="E5" s="181" t="s">
        <v>92</v>
      </c>
      <c r="F5" s="170">
        <v>850</v>
      </c>
      <c r="G5" s="118" t="s">
        <v>106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151</v>
      </c>
      <c r="O5" s="385"/>
      <c r="P5" s="386"/>
      <c r="Q5" s="387"/>
      <c r="R5" s="132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12371</v>
      </c>
      <c r="C6" s="67" t="s">
        <v>157</v>
      </c>
      <c r="D6" s="200" t="s">
        <v>158</v>
      </c>
      <c r="E6" s="181" t="s">
        <v>91</v>
      </c>
      <c r="F6" s="171">
        <v>900</v>
      </c>
      <c r="G6" s="118" t="s">
        <v>106</v>
      </c>
      <c r="H6" s="91">
        <v>110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151</v>
      </c>
      <c r="O6" s="337"/>
      <c r="P6" s="338"/>
      <c r="Q6" s="339"/>
      <c r="R6" s="26" t="s">
        <v>102</v>
      </c>
      <c r="S6" s="31">
        <v>0.36458333333333331</v>
      </c>
      <c r="T6" s="32">
        <v>0.67708333333333337</v>
      </c>
      <c r="U6" s="92">
        <f t="shared" si="0"/>
        <v>7.5000000000000018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12372</v>
      </c>
      <c r="C7" s="67" t="s">
        <v>200</v>
      </c>
      <c r="D7" s="200" t="s">
        <v>201</v>
      </c>
      <c r="E7" s="181" t="s">
        <v>91</v>
      </c>
      <c r="F7" s="171">
        <v>910</v>
      </c>
      <c r="G7" s="118" t="s">
        <v>202</v>
      </c>
      <c r="H7" s="91"/>
      <c r="I7" s="124">
        <v>320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151</v>
      </c>
      <c r="O7" s="310"/>
      <c r="P7" s="309"/>
      <c r="Q7" s="311"/>
      <c r="R7" s="26" t="s">
        <v>101</v>
      </c>
      <c r="S7" s="31">
        <v>0.4375</v>
      </c>
      <c r="T7" s="32">
        <v>0.70833333333333337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12373</v>
      </c>
      <c r="C8" s="27" t="s">
        <v>159</v>
      </c>
      <c r="D8" s="200" t="s">
        <v>160</v>
      </c>
      <c r="E8" s="181" t="s">
        <v>92</v>
      </c>
      <c r="F8" s="171">
        <v>1000</v>
      </c>
      <c r="G8" s="118" t="s">
        <v>161</v>
      </c>
      <c r="H8" s="91"/>
      <c r="I8" s="124">
        <v>300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151</v>
      </c>
      <c r="O8" s="340"/>
      <c r="P8" s="341"/>
      <c r="Q8" s="342"/>
      <c r="R8" s="26" t="s">
        <v>152</v>
      </c>
      <c r="S8" s="31">
        <v>0.4375</v>
      </c>
      <c r="T8" s="32">
        <v>0.69791666666666663</v>
      </c>
      <c r="U8" s="92">
        <f t="shared" si="0"/>
        <v>6.2499999999999991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12374</v>
      </c>
      <c r="C9" s="63" t="s">
        <v>162</v>
      </c>
      <c r="D9" s="201" t="s">
        <v>163</v>
      </c>
      <c r="E9" s="181" t="s">
        <v>92</v>
      </c>
      <c r="F9" s="172">
        <v>1005</v>
      </c>
      <c r="G9" s="119" t="s">
        <v>113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151</v>
      </c>
      <c r="O9" s="340"/>
      <c r="P9" s="341"/>
      <c r="Q9" s="342"/>
      <c r="R9" s="26" t="s">
        <v>103</v>
      </c>
      <c r="S9" s="31">
        <v>0.41666666666666669</v>
      </c>
      <c r="T9" s="32">
        <v>0.69791666666666663</v>
      </c>
      <c r="U9" s="92">
        <f t="shared" si="0"/>
        <v>6.7499999999999982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12375</v>
      </c>
      <c r="C10" s="28" t="s">
        <v>164</v>
      </c>
      <c r="D10" s="202" t="s">
        <v>165</v>
      </c>
      <c r="E10" s="181" t="s">
        <v>92</v>
      </c>
      <c r="F10" s="173">
        <v>1010</v>
      </c>
      <c r="G10" s="120" t="s">
        <v>113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151</v>
      </c>
      <c r="O10" s="332"/>
      <c r="P10" s="333"/>
      <c r="Q10" s="334"/>
      <c r="R10" s="26" t="s">
        <v>153</v>
      </c>
      <c r="S10" s="31">
        <v>0.41666666666666669</v>
      </c>
      <c r="T10" s="32">
        <v>0.58333333333333337</v>
      </c>
      <c r="U10" s="92">
        <f t="shared" si="0"/>
        <v>4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12376</v>
      </c>
      <c r="C11" s="18" t="s">
        <v>166</v>
      </c>
      <c r="D11" s="203" t="s">
        <v>167</v>
      </c>
      <c r="E11" s="181" t="s">
        <v>91</v>
      </c>
      <c r="F11" s="66">
        <v>1015</v>
      </c>
      <c r="G11" s="121" t="s">
        <v>168</v>
      </c>
      <c r="H11" s="123">
        <v>65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151</v>
      </c>
      <c r="O11" s="310"/>
      <c r="P11" s="309"/>
      <c r="Q11" s="311"/>
      <c r="R11" s="26" t="s">
        <v>154</v>
      </c>
      <c r="S11" s="31">
        <v>0.5</v>
      </c>
      <c r="T11" s="32">
        <v>0.70833333333333337</v>
      </c>
      <c r="U11" s="92">
        <f t="shared" si="0"/>
        <v>5.0000000000000009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12377</v>
      </c>
      <c r="C12" s="64" t="s">
        <v>169</v>
      </c>
      <c r="D12" s="204" t="s">
        <v>170</v>
      </c>
      <c r="E12" s="181" t="s">
        <v>92</v>
      </c>
      <c r="F12" s="173">
        <v>1030</v>
      </c>
      <c r="G12" s="119" t="s">
        <v>113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151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12378</v>
      </c>
      <c r="C13" s="64" t="s">
        <v>171</v>
      </c>
      <c r="D13" s="204" t="s">
        <v>172</v>
      </c>
      <c r="E13" s="181" t="s">
        <v>92</v>
      </c>
      <c r="F13" s="173">
        <v>1035</v>
      </c>
      <c r="G13" s="119" t="s">
        <v>119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 t="s">
        <v>151</v>
      </c>
      <c r="O13" s="310" t="s">
        <v>173</v>
      </c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12379</v>
      </c>
      <c r="C14" s="65" t="s">
        <v>174</v>
      </c>
      <c r="D14" s="205" t="s">
        <v>175</v>
      </c>
      <c r="E14" s="181" t="s">
        <v>92</v>
      </c>
      <c r="F14" s="174">
        <v>1040</v>
      </c>
      <c r="G14" s="122" t="s">
        <v>106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151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12380</v>
      </c>
      <c r="C15" s="65" t="s">
        <v>176</v>
      </c>
      <c r="D15" s="205" t="s">
        <v>177</v>
      </c>
      <c r="E15" s="181" t="s">
        <v>92</v>
      </c>
      <c r="F15" s="174">
        <v>1120</v>
      </c>
      <c r="G15" s="122" t="s">
        <v>106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151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12381</v>
      </c>
      <c r="C16" s="65" t="s">
        <v>178</v>
      </c>
      <c r="D16" s="205" t="s">
        <v>179</v>
      </c>
      <c r="E16" s="181" t="s">
        <v>92</v>
      </c>
      <c r="F16" s="174">
        <v>1120</v>
      </c>
      <c r="G16" s="122" t="s">
        <v>180</v>
      </c>
      <c r="H16" s="123"/>
      <c r="I16" s="124">
        <v>180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151</v>
      </c>
      <c r="O16" s="310"/>
      <c r="P16" s="309"/>
      <c r="Q16" s="311"/>
      <c r="R16" s="82">
        <f>H32/U16</f>
        <v>0.51111111111111107</v>
      </c>
      <c r="S16" s="83">
        <f>H32/(U16-U5)</f>
        <v>0.63888888888888884</v>
      </c>
      <c r="T16" s="83">
        <f>C32/U16</f>
        <v>52.832888888888888</v>
      </c>
      <c r="U16" s="83">
        <f>SUM(U5:U15)</f>
        <v>45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12382</v>
      </c>
      <c r="C17" s="18" t="s">
        <v>181</v>
      </c>
      <c r="D17" s="203" t="s">
        <v>182</v>
      </c>
      <c r="E17" s="181" t="s">
        <v>91</v>
      </c>
      <c r="F17" s="66">
        <v>1155</v>
      </c>
      <c r="G17" s="121" t="s">
        <v>113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185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12383</v>
      </c>
      <c r="C18" s="18" t="s">
        <v>183</v>
      </c>
      <c r="D18" s="203" t="s">
        <v>184</v>
      </c>
      <c r="E18" s="181" t="s">
        <v>91</v>
      </c>
      <c r="F18" s="66">
        <v>1205</v>
      </c>
      <c r="G18" s="20" t="s">
        <v>168</v>
      </c>
      <c r="H18" s="123">
        <v>70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151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12384</v>
      </c>
      <c r="C19" s="18" t="s">
        <v>186</v>
      </c>
      <c r="D19" s="203" t="s">
        <v>187</v>
      </c>
      <c r="E19" s="181" t="s">
        <v>91</v>
      </c>
      <c r="F19" s="66">
        <v>1215</v>
      </c>
      <c r="G19" s="121" t="s">
        <v>119</v>
      </c>
      <c r="H19" s="123"/>
      <c r="I19" s="124"/>
      <c r="J19" s="130" t="str">
        <f t="shared" si="1"/>
        <v>0</v>
      </c>
      <c r="K19" s="130">
        <v>79.16</v>
      </c>
      <c r="L19" s="131"/>
      <c r="M19" s="131"/>
      <c r="N19" s="134" t="s">
        <v>151</v>
      </c>
      <c r="O19" s="310" t="s">
        <v>188</v>
      </c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12385</v>
      </c>
      <c r="C20" s="18" t="s">
        <v>189</v>
      </c>
      <c r="D20" s="203" t="s">
        <v>190</v>
      </c>
      <c r="E20" s="181" t="s">
        <v>92</v>
      </c>
      <c r="F20" s="66">
        <v>1300</v>
      </c>
      <c r="G20" s="121" t="s">
        <v>106</v>
      </c>
      <c r="H20" s="123">
        <v>55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151</v>
      </c>
      <c r="O20" s="381"/>
      <c r="P20" s="382"/>
      <c r="Q20" s="38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12386</v>
      </c>
      <c r="C21" s="18" t="s">
        <v>191</v>
      </c>
      <c r="D21" s="203" t="s">
        <v>192</v>
      </c>
      <c r="E21" s="181" t="s">
        <v>92</v>
      </c>
      <c r="F21" s="66">
        <v>1300</v>
      </c>
      <c r="G21" s="20" t="s">
        <v>106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151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12387</v>
      </c>
      <c r="C22" s="127" t="s">
        <v>195</v>
      </c>
      <c r="D22" s="206" t="s">
        <v>196</v>
      </c>
      <c r="E22" s="181" t="s">
        <v>91</v>
      </c>
      <c r="F22" s="175">
        <v>1315</v>
      </c>
      <c r="G22" s="263" t="s">
        <v>113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185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12388</v>
      </c>
      <c r="C23" s="136" t="s">
        <v>193</v>
      </c>
      <c r="D23" s="207" t="s">
        <v>194</v>
      </c>
      <c r="E23" s="181" t="s">
        <v>92</v>
      </c>
      <c r="F23" s="176">
        <v>1345</v>
      </c>
      <c r="G23" s="165" t="s">
        <v>106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151</v>
      </c>
      <c r="O23" s="163"/>
      <c r="P23" s="164"/>
      <c r="Q23" s="159"/>
      <c r="R23" s="113"/>
      <c r="S23" s="114"/>
      <c r="T23" s="114"/>
      <c r="U23" s="115"/>
      <c r="X23" s="379"/>
      <c r="Y23" s="380"/>
      <c r="Z23" s="38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12389</v>
      </c>
      <c r="C24" s="127" t="s">
        <v>197</v>
      </c>
      <c r="D24" s="206" t="s">
        <v>198</v>
      </c>
      <c r="E24" s="181" t="s">
        <v>91</v>
      </c>
      <c r="F24" s="175">
        <v>1350</v>
      </c>
      <c r="G24" s="263" t="s">
        <v>119</v>
      </c>
      <c r="H24" s="89"/>
      <c r="I24" s="141"/>
      <c r="J24" s="130" t="str">
        <f t="shared" si="1"/>
        <v>0</v>
      </c>
      <c r="K24" s="130">
        <v>79.16</v>
      </c>
      <c r="L24" s="69"/>
      <c r="M24" s="69"/>
      <c r="N24" s="134" t="s">
        <v>151</v>
      </c>
      <c r="O24" s="310" t="s">
        <v>199</v>
      </c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12390</v>
      </c>
      <c r="C25" s="132" t="s">
        <v>203</v>
      </c>
      <c r="D25" s="208" t="s">
        <v>204</v>
      </c>
      <c r="E25" s="181" t="s">
        <v>91</v>
      </c>
      <c r="F25" s="175">
        <v>1415</v>
      </c>
      <c r="G25" s="263" t="s">
        <v>106</v>
      </c>
      <c r="H25" s="90">
        <v>55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185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3">
        <f>((C32+(R26+S26+T26)*0.5))</f>
        <v>2377.48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12391</v>
      </c>
      <c r="C26" s="27" t="s">
        <v>205</v>
      </c>
      <c r="D26" s="209" t="s">
        <v>206</v>
      </c>
      <c r="E26" s="181" t="s">
        <v>91</v>
      </c>
      <c r="F26" s="177">
        <v>1420</v>
      </c>
      <c r="G26" s="20" t="s">
        <v>207</v>
      </c>
      <c r="H26" s="89">
        <v>120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151</v>
      </c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12392</v>
      </c>
      <c r="C27" s="27" t="s">
        <v>208</v>
      </c>
      <c r="D27" s="209" t="s">
        <v>209</v>
      </c>
      <c r="E27" s="181" t="s">
        <v>91</v>
      </c>
      <c r="F27" s="177">
        <v>1515</v>
      </c>
      <c r="G27" s="20" t="s">
        <v>106</v>
      </c>
      <c r="H27" s="89"/>
      <c r="I27" s="141">
        <v>55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152</v>
      </c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550</v>
      </c>
      <c r="I30" s="105">
        <f>SUM(I5:I29)</f>
        <v>1590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237.48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550</v>
      </c>
      <c r="I31" s="103">
        <f t="shared" si="4"/>
        <v>1590</v>
      </c>
      <c r="J31" s="103">
        <f t="shared" si="4"/>
        <v>0</v>
      </c>
      <c r="K31" s="103">
        <f>K30+K62+K94</f>
        <v>237.48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550</v>
      </c>
      <c r="T31" s="349">
        <f>H31+I31+L31+M31</f>
        <v>2140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2377.48</v>
      </c>
      <c r="D32" s="196"/>
      <c r="E32" s="107"/>
      <c r="F32" s="371" t="s">
        <v>53</v>
      </c>
      <c r="G32" s="371"/>
      <c r="H32" s="109">
        <f>COUNT(B5:B29,B37:B61,B69:B93)</f>
        <v>23</v>
      </c>
      <c r="I32" s="372" t="s">
        <v>54</v>
      </c>
      <c r="J32" s="372"/>
      <c r="K32" s="108">
        <f>C32/H32</f>
        <v>103.36869565217391</v>
      </c>
      <c r="L32" s="260"/>
      <c r="M32" s="260"/>
      <c r="N32" s="260">
        <f>H31/C32</f>
        <v>0.23133738243854837</v>
      </c>
      <c r="O32" s="260">
        <f>I31/C32</f>
        <v>0.66877534195871258</v>
      </c>
      <c r="P32" s="260">
        <f>K31/C32</f>
        <v>9.9887275602739023E-2</v>
      </c>
      <c r="Q32" s="110">
        <f>J31/C32</f>
        <v>0</v>
      </c>
      <c r="R32" s="99" t="s">
        <v>82</v>
      </c>
      <c r="S32" s="266">
        <f>I31+M31</f>
        <v>1590</v>
      </c>
      <c r="T32" s="351"/>
      <c r="U32" s="352"/>
      <c r="V32" s="55"/>
      <c r="W32" s="55"/>
      <c r="X32" s="56" t="s">
        <v>27</v>
      </c>
      <c r="Y32" s="56"/>
      <c r="Z32" s="54">
        <f>I31</f>
        <v>1590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-1155</v>
      </c>
      <c r="AE33" s="37"/>
      <c r="AF33" s="37"/>
      <c r="AG33" s="59"/>
      <c r="AH33" s="37"/>
    </row>
    <row r="34" spans="1:34" ht="17.25" thickBot="1" x14ac:dyDescent="0.35">
      <c r="A34" s="343" t="str">
        <f>A2</f>
        <v>22-11-2022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6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22-11-2022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6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D16" sqref="D1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210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137</v>
      </c>
      <c r="K2" s="345"/>
      <c r="L2" s="347" t="s">
        <v>96</v>
      </c>
      <c r="M2" s="348"/>
      <c r="N2" s="346"/>
      <c r="O2" s="344" t="s">
        <v>138</v>
      </c>
      <c r="P2" s="344"/>
      <c r="Q2" s="345"/>
      <c r="R2" s="347" t="s">
        <v>51</v>
      </c>
      <c r="S2" s="346"/>
      <c r="T2" s="335">
        <v>6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12393</v>
      </c>
      <c r="C5" s="68" t="s">
        <v>211</v>
      </c>
      <c r="D5" s="200" t="s">
        <v>212</v>
      </c>
      <c r="E5" s="181" t="s">
        <v>213</v>
      </c>
      <c r="F5" s="170">
        <v>815</v>
      </c>
      <c r="G5" s="118" t="s">
        <v>113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138</v>
      </c>
      <c r="O5" s="385"/>
      <c r="P5" s="386"/>
      <c r="Q5" s="387"/>
      <c r="R5" s="33" t="s">
        <v>138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12394</v>
      </c>
      <c r="C6" s="67" t="s">
        <v>214</v>
      </c>
      <c r="D6" s="200" t="s">
        <v>215</v>
      </c>
      <c r="E6" s="181" t="s">
        <v>92</v>
      </c>
      <c r="F6" s="171">
        <v>930</v>
      </c>
      <c r="G6" s="118" t="s">
        <v>106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138</v>
      </c>
      <c r="O6" s="337"/>
      <c r="P6" s="338"/>
      <c r="Q6" s="339"/>
      <c r="R6" s="132" t="s">
        <v>99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12395</v>
      </c>
      <c r="C7" s="67" t="s">
        <v>218</v>
      </c>
      <c r="D7" s="200" t="s">
        <v>219</v>
      </c>
      <c r="E7" s="181" t="s">
        <v>92</v>
      </c>
      <c r="F7" s="171">
        <v>1000</v>
      </c>
      <c r="G7" s="118" t="s">
        <v>220</v>
      </c>
      <c r="H7" s="91"/>
      <c r="I7" s="124">
        <v>60</v>
      </c>
      <c r="J7" s="130" t="str">
        <f t="shared" si="1"/>
        <v>0</v>
      </c>
      <c r="K7" s="130">
        <v>62.5</v>
      </c>
      <c r="L7" s="131"/>
      <c r="M7" s="131"/>
      <c r="N7" s="134" t="s">
        <v>138</v>
      </c>
      <c r="O7" s="310" t="s">
        <v>221</v>
      </c>
      <c r="P7" s="309"/>
      <c r="Q7" s="311"/>
      <c r="R7" s="26" t="s">
        <v>102</v>
      </c>
      <c r="S7" s="31">
        <v>0.35416666666666669</v>
      </c>
      <c r="T7" s="32">
        <v>0.57291666666666663</v>
      </c>
      <c r="U7" s="92">
        <f t="shared" si="0"/>
        <v>5.2499999999999982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12396</v>
      </c>
      <c r="C8" s="67" t="s">
        <v>216</v>
      </c>
      <c r="D8" s="200" t="s">
        <v>217</v>
      </c>
      <c r="E8" s="181" t="s">
        <v>92</v>
      </c>
      <c r="F8" s="171">
        <v>1020</v>
      </c>
      <c r="G8" s="118" t="s">
        <v>113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138</v>
      </c>
      <c r="O8" s="340"/>
      <c r="P8" s="341"/>
      <c r="Q8" s="342"/>
      <c r="R8" s="26"/>
      <c r="S8" s="31">
        <v>0.61458333333333337</v>
      </c>
      <c r="T8" s="32">
        <v>0.625</v>
      </c>
      <c r="U8" s="92">
        <f t="shared" si="0"/>
        <v>0.24999999999999911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12397</v>
      </c>
      <c r="C9" s="63" t="s">
        <v>222</v>
      </c>
      <c r="D9" s="201" t="s">
        <v>223</v>
      </c>
      <c r="E9" s="181" t="s">
        <v>92</v>
      </c>
      <c r="F9" s="172">
        <v>1020</v>
      </c>
      <c r="G9" s="119" t="s">
        <v>113</v>
      </c>
      <c r="H9" s="91">
        <v>95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138</v>
      </c>
      <c r="O9" s="340"/>
      <c r="P9" s="341"/>
      <c r="Q9" s="342"/>
      <c r="R9" s="26" t="s">
        <v>152</v>
      </c>
      <c r="S9" s="31">
        <v>0.36458333333333331</v>
      </c>
      <c r="T9" s="32">
        <v>0.4375</v>
      </c>
      <c r="U9" s="92">
        <f t="shared" si="0"/>
        <v>1.7500000000000004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12398</v>
      </c>
      <c r="C10" s="28" t="s">
        <v>224</v>
      </c>
      <c r="D10" s="202" t="s">
        <v>225</v>
      </c>
      <c r="E10" s="181" t="s">
        <v>91</v>
      </c>
      <c r="F10" s="173">
        <v>1030</v>
      </c>
      <c r="G10" s="120" t="s">
        <v>113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138</v>
      </c>
      <c r="O10" s="332"/>
      <c r="P10" s="333"/>
      <c r="Q10" s="334"/>
      <c r="R10" s="26"/>
      <c r="S10" s="31">
        <v>0.61458333333333337</v>
      </c>
      <c r="T10" s="32">
        <v>0.64583333333333337</v>
      </c>
      <c r="U10" s="92">
        <f t="shared" si="0"/>
        <v>0.75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12399</v>
      </c>
      <c r="C11" s="18" t="s">
        <v>226</v>
      </c>
      <c r="D11" s="203" t="s">
        <v>227</v>
      </c>
      <c r="E11" s="181" t="s">
        <v>92</v>
      </c>
      <c r="F11" s="66">
        <v>1045</v>
      </c>
      <c r="G11" s="121" t="s">
        <v>228</v>
      </c>
      <c r="H11" s="123">
        <v>120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138</v>
      </c>
      <c r="O11" s="310"/>
      <c r="P11" s="309"/>
      <c r="Q11" s="311"/>
      <c r="R11" s="26" t="s">
        <v>154</v>
      </c>
      <c r="S11" s="31">
        <v>0.35416666666666669</v>
      </c>
      <c r="T11" s="32">
        <v>0.5625</v>
      </c>
      <c r="U11" s="92">
        <f t="shared" si="0"/>
        <v>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12400</v>
      </c>
      <c r="C12" s="64" t="s">
        <v>229</v>
      </c>
      <c r="D12" s="204" t="s">
        <v>230</v>
      </c>
      <c r="E12" s="181" t="s">
        <v>92</v>
      </c>
      <c r="F12" s="173">
        <v>1110</v>
      </c>
      <c r="G12" s="119" t="s">
        <v>106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138</v>
      </c>
      <c r="O12" s="310"/>
      <c r="P12" s="309"/>
      <c r="Q12" s="311"/>
      <c r="R12" s="26"/>
      <c r="S12" s="31">
        <v>0.61458333333333337</v>
      </c>
      <c r="T12" s="32">
        <v>0.64583333333333337</v>
      </c>
      <c r="U12" s="92">
        <f t="shared" si="0"/>
        <v>0.75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12401</v>
      </c>
      <c r="C13" s="64" t="s">
        <v>231</v>
      </c>
      <c r="D13" s="204" t="s">
        <v>232</v>
      </c>
      <c r="E13" s="181" t="s">
        <v>92</v>
      </c>
      <c r="F13" s="173">
        <v>1120</v>
      </c>
      <c r="G13" s="119" t="s">
        <v>106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138</v>
      </c>
      <c r="O13" s="310"/>
      <c r="P13" s="309"/>
      <c r="Q13" s="311"/>
      <c r="R13" s="33" t="s">
        <v>241</v>
      </c>
      <c r="S13" s="31">
        <v>0.375</v>
      </c>
      <c r="T13" s="32">
        <v>0.57291666666666663</v>
      </c>
      <c r="U13" s="92">
        <f t="shared" si="0"/>
        <v>4.7499999999999991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12402</v>
      </c>
      <c r="C14" s="65" t="s">
        <v>233</v>
      </c>
      <c r="D14" s="205" t="s">
        <v>234</v>
      </c>
      <c r="E14" s="181" t="s">
        <v>92</v>
      </c>
      <c r="F14" s="174">
        <v>1130</v>
      </c>
      <c r="G14" s="122" t="s">
        <v>228</v>
      </c>
      <c r="H14" s="123"/>
      <c r="I14" s="125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138</v>
      </c>
      <c r="O14" s="310"/>
      <c r="P14" s="309"/>
      <c r="Q14" s="311"/>
      <c r="R14" s="26"/>
      <c r="S14" s="31">
        <v>0.61458333333333337</v>
      </c>
      <c r="T14" s="32">
        <v>0.64583333333333337</v>
      </c>
      <c r="U14" s="92">
        <f t="shared" si="0"/>
        <v>0.75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12403</v>
      </c>
      <c r="C15" s="65" t="s">
        <v>235</v>
      </c>
      <c r="D15" s="205" t="s">
        <v>236</v>
      </c>
      <c r="E15" s="181" t="s">
        <v>92</v>
      </c>
      <c r="F15" s="174">
        <v>1205</v>
      </c>
      <c r="G15" s="122" t="s">
        <v>119</v>
      </c>
      <c r="H15" s="123"/>
      <c r="I15" s="124"/>
      <c r="J15" s="130" t="str">
        <f t="shared" si="1"/>
        <v>0</v>
      </c>
      <c r="K15" s="130">
        <v>79.099999999999994</v>
      </c>
      <c r="L15" s="131"/>
      <c r="M15" s="131"/>
      <c r="N15" s="134" t="s">
        <v>138</v>
      </c>
      <c r="O15" s="310" t="s">
        <v>237</v>
      </c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280">
        <v>12404</v>
      </c>
      <c r="C16" s="283" t="s">
        <v>238</v>
      </c>
      <c r="D16" s="284" t="s">
        <v>239</v>
      </c>
      <c r="E16" s="270" t="s">
        <v>92</v>
      </c>
      <c r="F16" s="285">
        <v>1240</v>
      </c>
      <c r="G16" s="267" t="s">
        <v>119</v>
      </c>
      <c r="H16" s="273"/>
      <c r="I16" s="274"/>
      <c r="J16" s="274" t="str">
        <f t="shared" si="1"/>
        <v>0</v>
      </c>
      <c r="K16" s="274">
        <v>79.099999999999994</v>
      </c>
      <c r="L16" s="275"/>
      <c r="M16" s="275">
        <v>475</v>
      </c>
      <c r="N16" s="276" t="s">
        <v>138</v>
      </c>
      <c r="O16" s="376" t="s">
        <v>240</v>
      </c>
      <c r="P16" s="377"/>
      <c r="Q16" s="378"/>
      <c r="R16" s="82">
        <f>H32/U16</f>
        <v>0.33103448275862069</v>
      </c>
      <c r="S16" s="83">
        <f>H32/(U16-U5)</f>
        <v>0.43243243243243246</v>
      </c>
      <c r="T16" s="83">
        <f>C32/U16</f>
        <v>31.329655172413794</v>
      </c>
      <c r="U16" s="83">
        <f>SUM(U5:U15)</f>
        <v>36.25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0"/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81"/>
      <c r="P20" s="382"/>
      <c r="Q20" s="38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9"/>
      <c r="Y23" s="380"/>
      <c r="Z23" s="38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3">
        <f>((C32+(R26+S26+T26)*0.5))</f>
        <v>1135.7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310</v>
      </c>
      <c r="I30" s="105">
        <f>SUM(I5:I29)</f>
        <v>605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220.7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310</v>
      </c>
      <c r="I31" s="103">
        <f t="shared" si="4"/>
        <v>605</v>
      </c>
      <c r="J31" s="103">
        <f t="shared" si="4"/>
        <v>0</v>
      </c>
      <c r="K31" s="103">
        <f>K30+K62+K94</f>
        <v>220.7</v>
      </c>
      <c r="L31" s="97">
        <f>L30+L62+L94</f>
        <v>0</v>
      </c>
      <c r="M31" s="97">
        <f>M30+M62+M94</f>
        <v>475</v>
      </c>
      <c r="N31" s="262">
        <f>COUNT(H5:H29,H37:H61,H69:H93)</f>
        <v>3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310</v>
      </c>
      <c r="T31" s="349">
        <f>H31+I31+L31+M31</f>
        <v>1390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1135.7</v>
      </c>
      <c r="D32" s="196"/>
      <c r="E32" s="107"/>
      <c r="F32" s="371" t="s">
        <v>53</v>
      </c>
      <c r="G32" s="371"/>
      <c r="H32" s="109">
        <f>COUNT(B5:B29,B37:B61,B69:B93)</f>
        <v>12</v>
      </c>
      <c r="I32" s="372" t="s">
        <v>54</v>
      </c>
      <c r="J32" s="372"/>
      <c r="K32" s="108">
        <f>C32/H32</f>
        <v>94.641666666666666</v>
      </c>
      <c r="L32" s="260"/>
      <c r="M32" s="260"/>
      <c r="N32" s="260">
        <f>H31/C32</f>
        <v>0.27295940829444393</v>
      </c>
      <c r="O32" s="260">
        <f>I31/C32</f>
        <v>0.53271110328431803</v>
      </c>
      <c r="P32" s="260">
        <f>K31/C32</f>
        <v>0.19432948842123798</v>
      </c>
      <c r="Q32" s="110">
        <f>J31/C32</f>
        <v>0</v>
      </c>
      <c r="R32" s="99" t="s">
        <v>82</v>
      </c>
      <c r="S32" s="266">
        <f>I31+M31</f>
        <v>1080</v>
      </c>
      <c r="T32" s="351"/>
      <c r="U32" s="352"/>
      <c r="V32" s="55"/>
      <c r="W32" s="55"/>
      <c r="X32" s="56" t="s">
        <v>27</v>
      </c>
      <c r="Y32" s="56"/>
      <c r="Z32" s="54">
        <f>I31</f>
        <v>605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-2140</v>
      </c>
      <c r="AE33" s="37"/>
      <c r="AF33" s="37"/>
      <c r="AG33" s="59"/>
      <c r="AH33" s="37"/>
    </row>
    <row r="34" spans="1:34" ht="17.25" thickBot="1" x14ac:dyDescent="0.35">
      <c r="A34" s="343" t="str">
        <f>A2</f>
        <v>23 - 11 - 2022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6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23 - 11 - 2022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6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G23" sqref="G2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242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137</v>
      </c>
      <c r="K2" s="345"/>
      <c r="L2" s="347" t="s">
        <v>96</v>
      </c>
      <c r="M2" s="348"/>
      <c r="N2" s="346"/>
      <c r="O2" s="344" t="s">
        <v>138</v>
      </c>
      <c r="P2" s="344"/>
      <c r="Q2" s="345"/>
      <c r="R2" s="347" t="s">
        <v>51</v>
      </c>
      <c r="S2" s="346"/>
      <c r="T2" s="335">
        <v>7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67">
        <v>12405</v>
      </c>
      <c r="C5" s="286" t="s">
        <v>246</v>
      </c>
      <c r="D5" s="287" t="s">
        <v>247</v>
      </c>
      <c r="E5" s="270" t="s">
        <v>91</v>
      </c>
      <c r="F5" s="288">
        <v>820</v>
      </c>
      <c r="G5" s="267" t="s">
        <v>119</v>
      </c>
      <c r="H5" s="274"/>
      <c r="I5" s="274"/>
      <c r="J5" s="274" t="str">
        <f>IF(G5="RSL","55","0")</f>
        <v>0</v>
      </c>
      <c r="K5" s="274">
        <v>79.099999999999994</v>
      </c>
      <c r="L5" s="275"/>
      <c r="M5" s="275">
        <v>475</v>
      </c>
      <c r="N5" s="276" t="s">
        <v>138</v>
      </c>
      <c r="O5" s="388" t="s">
        <v>248</v>
      </c>
      <c r="P5" s="389"/>
      <c r="Q5" s="390"/>
      <c r="R5" s="33" t="s">
        <v>138</v>
      </c>
      <c r="S5" s="31">
        <v>0.34375</v>
      </c>
      <c r="T5" s="32">
        <v>0.71875</v>
      </c>
      <c r="U5" s="92">
        <f t="shared" ref="U5:U15" si="0">(T5-S5)*24</f>
        <v>9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12406</v>
      </c>
      <c r="C6" s="67" t="s">
        <v>263</v>
      </c>
      <c r="D6" s="200" t="s">
        <v>264</v>
      </c>
      <c r="E6" s="181" t="s">
        <v>92</v>
      </c>
      <c r="F6" s="171">
        <v>930</v>
      </c>
      <c r="G6" s="118" t="s">
        <v>113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138</v>
      </c>
      <c r="O6" s="337"/>
      <c r="P6" s="338"/>
      <c r="Q6" s="339"/>
      <c r="R6" s="132" t="s">
        <v>99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12407</v>
      </c>
      <c r="C7" s="67" t="s">
        <v>249</v>
      </c>
      <c r="D7" s="200" t="s">
        <v>250</v>
      </c>
      <c r="E7" s="181" t="s">
        <v>92</v>
      </c>
      <c r="F7" s="171">
        <v>930</v>
      </c>
      <c r="G7" s="118" t="s">
        <v>113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138</v>
      </c>
      <c r="O7" s="310"/>
      <c r="P7" s="309"/>
      <c r="Q7" s="311"/>
      <c r="R7" s="26" t="s">
        <v>102</v>
      </c>
      <c r="S7" s="31">
        <v>0.35416666666666669</v>
      </c>
      <c r="T7" s="32">
        <v>0.66666666666666663</v>
      </c>
      <c r="U7" s="92">
        <f t="shared" si="0"/>
        <v>7.4999999999999982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12408</v>
      </c>
      <c r="C8" s="27" t="s">
        <v>252</v>
      </c>
      <c r="D8" s="200" t="s">
        <v>253</v>
      </c>
      <c r="E8" s="181" t="s">
        <v>91</v>
      </c>
      <c r="F8" s="171">
        <v>930</v>
      </c>
      <c r="G8" s="118" t="s">
        <v>119</v>
      </c>
      <c r="H8" s="91"/>
      <c r="I8" s="124"/>
      <c r="J8" s="130" t="str">
        <f t="shared" si="1"/>
        <v>0</v>
      </c>
      <c r="K8" s="130">
        <v>79.099999999999994</v>
      </c>
      <c r="L8" s="131"/>
      <c r="M8" s="131"/>
      <c r="N8" s="134" t="s">
        <v>138</v>
      </c>
      <c r="O8" s="340" t="s">
        <v>254</v>
      </c>
      <c r="P8" s="341"/>
      <c r="Q8" s="342"/>
      <c r="R8" s="26" t="s">
        <v>243</v>
      </c>
      <c r="S8" s="31">
        <v>0.34375</v>
      </c>
      <c r="T8" s="32">
        <v>0.71875</v>
      </c>
      <c r="U8" s="92">
        <f t="shared" si="0"/>
        <v>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12409</v>
      </c>
      <c r="C9" s="63" t="s">
        <v>258</v>
      </c>
      <c r="D9" s="201" t="s">
        <v>259</v>
      </c>
      <c r="E9" s="181" t="s">
        <v>92</v>
      </c>
      <c r="F9" s="172">
        <v>940</v>
      </c>
      <c r="G9" s="119" t="s">
        <v>119</v>
      </c>
      <c r="H9" s="91"/>
      <c r="I9" s="91"/>
      <c r="J9" s="130" t="str">
        <f t="shared" si="1"/>
        <v>0</v>
      </c>
      <c r="K9" s="130">
        <v>79.099999999999994</v>
      </c>
      <c r="L9" s="131"/>
      <c r="M9" s="131"/>
      <c r="N9" s="134" t="s">
        <v>138</v>
      </c>
      <c r="O9" s="340" t="s">
        <v>260</v>
      </c>
      <c r="P9" s="341"/>
      <c r="Q9" s="342"/>
      <c r="R9" s="26" t="s">
        <v>185</v>
      </c>
      <c r="S9" s="31">
        <v>0.4375</v>
      </c>
      <c r="T9" s="32">
        <v>0.70833333333333337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12410</v>
      </c>
      <c r="C10" s="28" t="s">
        <v>255</v>
      </c>
      <c r="D10" s="202" t="s">
        <v>256</v>
      </c>
      <c r="E10" s="181" t="s">
        <v>92</v>
      </c>
      <c r="F10" s="173">
        <v>945</v>
      </c>
      <c r="G10" s="120" t="s">
        <v>119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/>
      <c r="N10" s="134" t="s">
        <v>138</v>
      </c>
      <c r="O10" s="332" t="s">
        <v>257</v>
      </c>
      <c r="P10" s="333"/>
      <c r="Q10" s="334"/>
      <c r="R10" s="26" t="s">
        <v>241</v>
      </c>
      <c r="S10" s="31">
        <v>0.375</v>
      </c>
      <c r="T10" s="32">
        <v>0.51041666666666663</v>
      </c>
      <c r="U10" s="92">
        <f t="shared" si="0"/>
        <v>3.2499999999999991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12411</v>
      </c>
      <c r="C11" s="18" t="s">
        <v>261</v>
      </c>
      <c r="D11" s="203" t="s">
        <v>262</v>
      </c>
      <c r="E11" s="181" t="s">
        <v>92</v>
      </c>
      <c r="F11" s="66">
        <v>945</v>
      </c>
      <c r="G11" s="121" t="s">
        <v>106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138</v>
      </c>
      <c r="O11" s="310"/>
      <c r="P11" s="309"/>
      <c r="Q11" s="311"/>
      <c r="R11" s="26"/>
      <c r="S11" s="31">
        <v>0.5625</v>
      </c>
      <c r="T11" s="32">
        <v>0.71875</v>
      </c>
      <c r="U11" s="92">
        <f t="shared" si="0"/>
        <v>3.75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12412</v>
      </c>
      <c r="C12" s="64" t="s">
        <v>265</v>
      </c>
      <c r="D12" s="204" t="s">
        <v>266</v>
      </c>
      <c r="E12" s="181" t="s">
        <v>92</v>
      </c>
      <c r="F12" s="173">
        <v>1000</v>
      </c>
      <c r="G12" s="119" t="s">
        <v>113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138</v>
      </c>
      <c r="O12" s="310"/>
      <c r="P12" s="309"/>
      <c r="Q12" s="311"/>
      <c r="R12" s="26" t="s">
        <v>244</v>
      </c>
      <c r="S12" s="31">
        <v>0.375</v>
      </c>
      <c r="T12" s="32">
        <v>0.51041666666666663</v>
      </c>
      <c r="U12" s="92">
        <f t="shared" si="0"/>
        <v>3.2499999999999991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12413</v>
      </c>
      <c r="C13" s="64" t="s">
        <v>267</v>
      </c>
      <c r="D13" s="204" t="s">
        <v>268</v>
      </c>
      <c r="E13" s="181" t="s">
        <v>92</v>
      </c>
      <c r="F13" s="173">
        <v>1125</v>
      </c>
      <c r="G13" s="119" t="s">
        <v>228</v>
      </c>
      <c r="H13" s="169"/>
      <c r="I13" s="168">
        <v>150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138</v>
      </c>
      <c r="O13" s="310"/>
      <c r="P13" s="309"/>
      <c r="Q13" s="311"/>
      <c r="R13" s="33"/>
      <c r="S13" s="31">
        <v>0.5625</v>
      </c>
      <c r="T13" s="32">
        <v>0.71875</v>
      </c>
      <c r="U13" s="92">
        <f t="shared" si="0"/>
        <v>3.75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12414</v>
      </c>
      <c r="C14" s="65" t="s">
        <v>269</v>
      </c>
      <c r="D14" s="205" t="s">
        <v>270</v>
      </c>
      <c r="E14" s="181" t="s">
        <v>91</v>
      </c>
      <c r="F14" s="174">
        <v>1200</v>
      </c>
      <c r="G14" s="122" t="s">
        <v>113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138</v>
      </c>
      <c r="O14" s="310"/>
      <c r="P14" s="309"/>
      <c r="Q14" s="311"/>
      <c r="R14" s="289" t="s">
        <v>245</v>
      </c>
      <c r="S14" s="31">
        <v>0.42708333333333331</v>
      </c>
      <c r="T14" s="32">
        <v>0.70833333333333337</v>
      </c>
      <c r="U14" s="92">
        <f t="shared" si="0"/>
        <v>6.7500000000000018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12415</v>
      </c>
      <c r="C15" s="65" t="s">
        <v>271</v>
      </c>
      <c r="D15" s="205" t="s">
        <v>272</v>
      </c>
      <c r="E15" s="181" t="s">
        <v>92</v>
      </c>
      <c r="F15" s="174">
        <v>1200</v>
      </c>
      <c r="G15" s="122" t="s">
        <v>220</v>
      </c>
      <c r="H15" s="123"/>
      <c r="I15" s="124"/>
      <c r="J15" s="130" t="str">
        <f t="shared" si="1"/>
        <v>0</v>
      </c>
      <c r="K15" s="130">
        <v>62.5</v>
      </c>
      <c r="L15" s="131"/>
      <c r="M15" s="131"/>
      <c r="N15" s="134" t="s">
        <v>138</v>
      </c>
      <c r="O15" s="310" t="s">
        <v>273</v>
      </c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12416</v>
      </c>
      <c r="C16" s="65" t="s">
        <v>274</v>
      </c>
      <c r="D16" s="205" t="s">
        <v>275</v>
      </c>
      <c r="E16" s="181" t="s">
        <v>92</v>
      </c>
      <c r="F16" s="174">
        <v>1220</v>
      </c>
      <c r="G16" s="122" t="s">
        <v>119</v>
      </c>
      <c r="H16" s="123"/>
      <c r="I16" s="124"/>
      <c r="J16" s="130" t="str">
        <f t="shared" si="1"/>
        <v>0</v>
      </c>
      <c r="K16" s="130">
        <v>125</v>
      </c>
      <c r="L16" s="131"/>
      <c r="M16" s="131"/>
      <c r="N16" s="134" t="s">
        <v>138</v>
      </c>
      <c r="O16" s="310" t="s">
        <v>276</v>
      </c>
      <c r="P16" s="309"/>
      <c r="Q16" s="311"/>
      <c r="R16" s="82">
        <f>H32/U16</f>
        <v>0.45161290322580644</v>
      </c>
      <c r="S16" s="83">
        <f>H32/(U16-U5)</f>
        <v>0.52830188679245282</v>
      </c>
      <c r="T16" s="83">
        <f>C32/U16</f>
        <v>39.538709677419355</v>
      </c>
      <c r="U16" s="83">
        <f>SUM(U5:U15)</f>
        <v>62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12417</v>
      </c>
      <c r="C17" s="18" t="s">
        <v>277</v>
      </c>
      <c r="D17" s="203" t="s">
        <v>272</v>
      </c>
      <c r="E17" s="181" t="s">
        <v>92</v>
      </c>
      <c r="F17" s="66">
        <v>1225</v>
      </c>
      <c r="G17" s="121" t="s">
        <v>228</v>
      </c>
      <c r="H17" s="123"/>
      <c r="I17" s="124">
        <v>120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138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12418</v>
      </c>
      <c r="C18" s="18" t="s">
        <v>278</v>
      </c>
      <c r="D18" s="203" t="s">
        <v>279</v>
      </c>
      <c r="E18" s="181" t="s">
        <v>92</v>
      </c>
      <c r="F18" s="66">
        <v>1230</v>
      </c>
      <c r="G18" s="20" t="s">
        <v>106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138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12419</v>
      </c>
      <c r="C19" s="18" t="s">
        <v>280</v>
      </c>
      <c r="D19" s="203" t="s">
        <v>281</v>
      </c>
      <c r="E19" s="181" t="s">
        <v>92</v>
      </c>
      <c r="F19" s="66">
        <v>1240</v>
      </c>
      <c r="G19" s="121" t="s">
        <v>220</v>
      </c>
      <c r="H19" s="123"/>
      <c r="I19" s="124"/>
      <c r="J19" s="130" t="str">
        <f t="shared" si="1"/>
        <v>0</v>
      </c>
      <c r="K19" s="130">
        <v>62.5</v>
      </c>
      <c r="L19" s="131"/>
      <c r="M19" s="131"/>
      <c r="N19" s="134" t="s">
        <v>138</v>
      </c>
      <c r="O19" s="310" t="s">
        <v>282</v>
      </c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12420</v>
      </c>
      <c r="C20" s="18" t="s">
        <v>283</v>
      </c>
      <c r="D20" s="203" t="s">
        <v>284</v>
      </c>
      <c r="E20" s="181" t="s">
        <v>92</v>
      </c>
      <c r="F20" s="66">
        <v>1240</v>
      </c>
      <c r="G20" s="121" t="s">
        <v>220</v>
      </c>
      <c r="H20" s="123"/>
      <c r="I20" s="219"/>
      <c r="J20" s="130" t="str">
        <f t="shared" si="1"/>
        <v>0</v>
      </c>
      <c r="K20" s="221">
        <v>62.5</v>
      </c>
      <c r="L20" s="220"/>
      <c r="M20" s="220"/>
      <c r="N20" s="134" t="s">
        <v>138</v>
      </c>
      <c r="O20" s="381" t="s">
        <v>285</v>
      </c>
      <c r="P20" s="382"/>
      <c r="Q20" s="38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12421</v>
      </c>
      <c r="C21" s="18" t="s">
        <v>290</v>
      </c>
      <c r="D21" s="203" t="s">
        <v>291</v>
      </c>
      <c r="E21" s="181" t="s">
        <v>91</v>
      </c>
      <c r="F21" s="66">
        <v>1300</v>
      </c>
      <c r="G21" s="20" t="s">
        <v>106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138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12422</v>
      </c>
      <c r="C22" s="127" t="s">
        <v>286</v>
      </c>
      <c r="D22" s="206" t="s">
        <v>287</v>
      </c>
      <c r="E22" s="181" t="s">
        <v>92</v>
      </c>
      <c r="F22" s="175">
        <v>1315</v>
      </c>
      <c r="G22" s="263" t="s">
        <v>106</v>
      </c>
      <c r="H22" s="89">
        <v>55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138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12423</v>
      </c>
      <c r="C23" s="136" t="s">
        <v>292</v>
      </c>
      <c r="D23" s="207" t="s">
        <v>293</v>
      </c>
      <c r="E23" s="181" t="s">
        <v>91</v>
      </c>
      <c r="F23" s="176">
        <v>1320</v>
      </c>
      <c r="G23" s="165" t="s">
        <v>113</v>
      </c>
      <c r="H23" s="89">
        <v>95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138</v>
      </c>
      <c r="O23" s="163"/>
      <c r="P23" s="164"/>
      <c r="Q23" s="159"/>
      <c r="R23" s="113"/>
      <c r="S23" s="114"/>
      <c r="T23" s="114"/>
      <c r="U23" s="115"/>
      <c r="X23" s="379"/>
      <c r="Y23" s="380"/>
      <c r="Z23" s="38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12424</v>
      </c>
      <c r="C24" s="127" t="s">
        <v>294</v>
      </c>
      <c r="D24" s="206" t="s">
        <v>295</v>
      </c>
      <c r="E24" s="181" t="s">
        <v>92</v>
      </c>
      <c r="F24" s="175">
        <v>1320</v>
      </c>
      <c r="G24" s="263" t="s">
        <v>113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138</v>
      </c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12425</v>
      </c>
      <c r="C25" s="132" t="s">
        <v>296</v>
      </c>
      <c r="D25" s="208" t="s">
        <v>297</v>
      </c>
      <c r="E25" s="181" t="s">
        <v>92</v>
      </c>
      <c r="F25" s="175">
        <v>1320</v>
      </c>
      <c r="G25" s="263" t="s">
        <v>113</v>
      </c>
      <c r="H25" s="90"/>
      <c r="I25" s="90">
        <v>95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138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3">
        <f>((C32+(R26+S26+T26)*0.5))</f>
        <v>2451.4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12426</v>
      </c>
      <c r="C26" s="27" t="s">
        <v>288</v>
      </c>
      <c r="D26" s="209" t="s">
        <v>289</v>
      </c>
      <c r="E26" s="181" t="s">
        <v>251</v>
      </c>
      <c r="F26" s="177">
        <v>1345</v>
      </c>
      <c r="G26" s="20" t="s">
        <v>106</v>
      </c>
      <c r="H26" s="89"/>
      <c r="I26" s="141">
        <v>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138</v>
      </c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12427</v>
      </c>
      <c r="C27" s="27" t="s">
        <v>298</v>
      </c>
      <c r="D27" s="209" t="s">
        <v>299</v>
      </c>
      <c r="E27" s="181" t="s">
        <v>92</v>
      </c>
      <c r="F27" s="177">
        <v>1410</v>
      </c>
      <c r="G27" s="20" t="s">
        <v>220</v>
      </c>
      <c r="H27" s="89"/>
      <c r="I27" s="141"/>
      <c r="J27" s="130" t="str">
        <f t="shared" si="1"/>
        <v>0</v>
      </c>
      <c r="K27" s="130">
        <v>62.5</v>
      </c>
      <c r="L27" s="69"/>
      <c r="M27" s="69"/>
      <c r="N27" s="134" t="s">
        <v>138</v>
      </c>
      <c r="O27" s="310" t="s">
        <v>300</v>
      </c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12428</v>
      </c>
      <c r="C28" s="27" t="s">
        <v>301</v>
      </c>
      <c r="D28" s="209" t="s">
        <v>302</v>
      </c>
      <c r="E28" s="181" t="s">
        <v>92</v>
      </c>
      <c r="F28" s="177">
        <v>1425</v>
      </c>
      <c r="G28" s="20" t="s">
        <v>113</v>
      </c>
      <c r="H28" s="89">
        <v>95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151</v>
      </c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12429</v>
      </c>
      <c r="C29" s="34" t="s">
        <v>303</v>
      </c>
      <c r="D29" s="210" t="s">
        <v>304</v>
      </c>
      <c r="E29" s="182" t="s">
        <v>91</v>
      </c>
      <c r="F29" s="177">
        <v>1450</v>
      </c>
      <c r="G29" s="20" t="s">
        <v>113</v>
      </c>
      <c r="H29" s="89">
        <v>95</v>
      </c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138</v>
      </c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435</v>
      </c>
      <c r="I30" s="105">
        <f>SUM(I5:I29)</f>
        <v>1005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691.4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660</v>
      </c>
      <c r="I31" s="103">
        <f t="shared" si="4"/>
        <v>1100</v>
      </c>
      <c r="J31" s="103">
        <f t="shared" si="4"/>
        <v>0</v>
      </c>
      <c r="K31" s="103">
        <f>K30+K62+K94</f>
        <v>691.4</v>
      </c>
      <c r="L31" s="97">
        <f>L30+L62+L94</f>
        <v>0</v>
      </c>
      <c r="M31" s="97">
        <f>M30+M62+M94</f>
        <v>475</v>
      </c>
      <c r="N31" s="262">
        <f>COUNT(H5:H29,H37:H61,H69:H93)</f>
        <v>7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9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660</v>
      </c>
      <c r="T31" s="349">
        <f>H31+I31+L31+M31</f>
        <v>2235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2451.4</v>
      </c>
      <c r="D32" s="196"/>
      <c r="E32" s="107"/>
      <c r="F32" s="371" t="s">
        <v>53</v>
      </c>
      <c r="G32" s="371"/>
      <c r="H32" s="109">
        <f>COUNT(B5:B29,B37:B61,B69:B93)</f>
        <v>28</v>
      </c>
      <c r="I32" s="372" t="s">
        <v>54</v>
      </c>
      <c r="J32" s="372"/>
      <c r="K32" s="108">
        <f>C32/H32</f>
        <v>87.55</v>
      </c>
      <c r="L32" s="260"/>
      <c r="M32" s="260"/>
      <c r="N32" s="260">
        <f>H31/C32</f>
        <v>0.26923390715509504</v>
      </c>
      <c r="O32" s="260">
        <f>I31/C32</f>
        <v>0.44872317859182509</v>
      </c>
      <c r="P32" s="260">
        <f>K31/C32</f>
        <v>0.28204291425307987</v>
      </c>
      <c r="Q32" s="110">
        <f>J31/C32</f>
        <v>0</v>
      </c>
      <c r="R32" s="99" t="s">
        <v>82</v>
      </c>
      <c r="S32" s="266">
        <f>I31+M31</f>
        <v>1575</v>
      </c>
      <c r="T32" s="351"/>
      <c r="U32" s="352"/>
      <c r="V32" s="55"/>
      <c r="W32" s="55"/>
      <c r="X32" s="56" t="s">
        <v>27</v>
      </c>
      <c r="Y32" s="56"/>
      <c r="Z32" s="54">
        <f>I31</f>
        <v>1100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-1645</v>
      </c>
      <c r="AE33" s="37"/>
      <c r="AF33" s="37"/>
      <c r="AG33" s="59"/>
      <c r="AH33" s="37"/>
    </row>
    <row r="34" spans="1:34" ht="17.25" thickBot="1" x14ac:dyDescent="0.35">
      <c r="A34" s="343" t="str">
        <f>A2</f>
        <v>24-11-2022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7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12430</v>
      </c>
      <c r="C37" s="68" t="s">
        <v>305</v>
      </c>
      <c r="D37" s="258" t="s">
        <v>306</v>
      </c>
      <c r="E37" s="181" t="s">
        <v>91</v>
      </c>
      <c r="F37" s="174">
        <v>1555</v>
      </c>
      <c r="G37" s="118" t="s">
        <v>113</v>
      </c>
      <c r="H37" s="91"/>
      <c r="I37" s="124">
        <v>95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151</v>
      </c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12431</v>
      </c>
      <c r="C38" s="67" t="s">
        <v>307</v>
      </c>
      <c r="D38" s="195" t="s">
        <v>308</v>
      </c>
      <c r="E38" s="181" t="s">
        <v>92</v>
      </c>
      <c r="F38" s="179">
        <v>1635</v>
      </c>
      <c r="G38" s="118" t="s">
        <v>228</v>
      </c>
      <c r="H38" s="91">
        <v>150</v>
      </c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138</v>
      </c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12432</v>
      </c>
      <c r="C39" s="27" t="s">
        <v>309</v>
      </c>
      <c r="D39" s="183" t="s">
        <v>310</v>
      </c>
      <c r="E39" s="181" t="s">
        <v>92</v>
      </c>
      <c r="F39" s="179">
        <v>1640</v>
      </c>
      <c r="G39" s="118" t="s">
        <v>113</v>
      </c>
      <c r="H39" s="91">
        <v>75</v>
      </c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138</v>
      </c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225</v>
      </c>
      <c r="I62" s="322">
        <f t="shared" si="8"/>
        <v>95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24-11-2022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7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7" zoomScaleNormal="100" zoomScaleSheetLayoutView="77" workbookViewId="0">
      <selection activeCell="O20" sqref="O20:Q2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311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137</v>
      </c>
      <c r="K2" s="345"/>
      <c r="L2" s="347" t="s">
        <v>96</v>
      </c>
      <c r="M2" s="348"/>
      <c r="N2" s="346"/>
      <c r="O2" s="344" t="s">
        <v>151</v>
      </c>
      <c r="P2" s="344"/>
      <c r="Q2" s="345"/>
      <c r="R2" s="347" t="s">
        <v>51</v>
      </c>
      <c r="S2" s="346"/>
      <c r="T2" s="335">
        <v>8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12433</v>
      </c>
      <c r="C5" s="68" t="s">
        <v>313</v>
      </c>
      <c r="D5" s="200" t="s">
        <v>314</v>
      </c>
      <c r="E5" s="181" t="s">
        <v>92</v>
      </c>
      <c r="F5" s="170">
        <v>830</v>
      </c>
      <c r="G5" s="118" t="s">
        <v>106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151</v>
      </c>
      <c r="O5" s="385"/>
      <c r="P5" s="386"/>
      <c r="Q5" s="387"/>
      <c r="R5" s="132" t="s">
        <v>99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12434</v>
      </c>
      <c r="C6" s="67" t="s">
        <v>315</v>
      </c>
      <c r="D6" s="200" t="s">
        <v>316</v>
      </c>
      <c r="E6" s="181" t="s">
        <v>91</v>
      </c>
      <c r="F6" s="171">
        <v>835</v>
      </c>
      <c r="G6" s="118" t="s">
        <v>113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151</v>
      </c>
      <c r="O6" s="337"/>
      <c r="P6" s="338"/>
      <c r="Q6" s="339"/>
      <c r="R6" s="26" t="s">
        <v>102</v>
      </c>
      <c r="S6" s="31">
        <v>0.35416666666666669</v>
      </c>
      <c r="T6" s="32">
        <v>0.66666666666666663</v>
      </c>
      <c r="U6" s="92">
        <f t="shared" si="0"/>
        <v>7.4999999999999982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292">
        <v>3</v>
      </c>
      <c r="B7" s="267">
        <v>12435</v>
      </c>
      <c r="C7" s="293" t="s">
        <v>317</v>
      </c>
      <c r="D7" s="287" t="s">
        <v>318</v>
      </c>
      <c r="E7" s="270" t="s">
        <v>92</v>
      </c>
      <c r="F7" s="294">
        <v>845</v>
      </c>
      <c r="G7" s="267" t="s">
        <v>119</v>
      </c>
      <c r="H7" s="274"/>
      <c r="I7" s="274"/>
      <c r="J7" s="274" t="str">
        <f t="shared" si="1"/>
        <v>0</v>
      </c>
      <c r="K7" s="274">
        <v>79.16</v>
      </c>
      <c r="L7" s="275"/>
      <c r="M7" s="275">
        <v>475</v>
      </c>
      <c r="N7" s="276" t="s">
        <v>151</v>
      </c>
      <c r="O7" s="376" t="s">
        <v>319</v>
      </c>
      <c r="P7" s="377"/>
      <c r="Q7" s="378"/>
      <c r="R7" s="26" t="s">
        <v>243</v>
      </c>
      <c r="S7" s="31">
        <v>0.36458333333333331</v>
      </c>
      <c r="T7" s="32">
        <v>0.6875</v>
      </c>
      <c r="U7" s="92">
        <f t="shared" si="0"/>
        <v>7.75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12436</v>
      </c>
      <c r="C8" s="27" t="s">
        <v>320</v>
      </c>
      <c r="D8" s="200" t="s">
        <v>321</v>
      </c>
      <c r="E8" s="181" t="s">
        <v>92</v>
      </c>
      <c r="F8" s="171">
        <v>930</v>
      </c>
      <c r="G8" s="118" t="s">
        <v>106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151</v>
      </c>
      <c r="O8" s="340"/>
      <c r="P8" s="341"/>
      <c r="Q8" s="342"/>
      <c r="R8" s="26" t="s">
        <v>185</v>
      </c>
      <c r="S8" s="31">
        <v>0.41666666666666669</v>
      </c>
      <c r="T8" s="32">
        <v>0.6875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12437</v>
      </c>
      <c r="C9" s="63" t="s">
        <v>322</v>
      </c>
      <c r="D9" s="201" t="s">
        <v>323</v>
      </c>
      <c r="E9" s="181" t="s">
        <v>92</v>
      </c>
      <c r="F9" s="172">
        <v>930</v>
      </c>
      <c r="G9" s="119" t="s">
        <v>119</v>
      </c>
      <c r="H9" s="91"/>
      <c r="I9" s="91"/>
      <c r="J9" s="130" t="str">
        <f t="shared" si="1"/>
        <v>0</v>
      </c>
      <c r="K9" s="130">
        <v>125</v>
      </c>
      <c r="L9" s="131"/>
      <c r="M9" s="131"/>
      <c r="N9" s="134" t="s">
        <v>151</v>
      </c>
      <c r="O9" s="340" t="s">
        <v>324</v>
      </c>
      <c r="P9" s="341"/>
      <c r="Q9" s="342"/>
      <c r="R9" s="26" t="s">
        <v>154</v>
      </c>
      <c r="S9" s="31">
        <v>0.35416666666666669</v>
      </c>
      <c r="T9" s="32">
        <v>0.6875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12438</v>
      </c>
      <c r="C10" s="28" t="s">
        <v>325</v>
      </c>
      <c r="D10" s="202" t="s">
        <v>326</v>
      </c>
      <c r="E10" s="181" t="s">
        <v>91</v>
      </c>
      <c r="F10" s="173">
        <v>940</v>
      </c>
      <c r="G10" s="120" t="s">
        <v>119</v>
      </c>
      <c r="H10" s="123"/>
      <c r="I10" s="125"/>
      <c r="J10" s="130" t="str">
        <f t="shared" si="1"/>
        <v>0</v>
      </c>
      <c r="K10" s="130">
        <v>125</v>
      </c>
      <c r="L10" s="131"/>
      <c r="M10" s="131"/>
      <c r="N10" s="134" t="s">
        <v>151</v>
      </c>
      <c r="O10" s="332" t="s">
        <v>327</v>
      </c>
      <c r="P10" s="333"/>
      <c r="Q10" s="334"/>
      <c r="R10" s="26" t="s">
        <v>312</v>
      </c>
      <c r="S10" s="31">
        <v>0.42708333333333331</v>
      </c>
      <c r="T10" s="32">
        <v>0.67708333333333337</v>
      </c>
      <c r="U10" s="92">
        <f t="shared" si="0"/>
        <v>6.0000000000000018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12439</v>
      </c>
      <c r="C11" s="18" t="s">
        <v>353</v>
      </c>
      <c r="D11" s="203" t="s">
        <v>354</v>
      </c>
      <c r="E11" s="181" t="s">
        <v>92</v>
      </c>
      <c r="F11" s="66">
        <v>945</v>
      </c>
      <c r="G11" s="121" t="s">
        <v>106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151</v>
      </c>
      <c r="O11" s="310"/>
      <c r="P11" s="309"/>
      <c r="Q11" s="311"/>
      <c r="R11" s="26" t="s">
        <v>244</v>
      </c>
      <c r="S11" s="31">
        <v>0.375</v>
      </c>
      <c r="T11" s="32">
        <v>0.67708333333333337</v>
      </c>
      <c r="U11" s="92">
        <f t="shared" si="0"/>
        <v>7.2500000000000009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12440</v>
      </c>
      <c r="C12" s="64" t="s">
        <v>328</v>
      </c>
      <c r="D12" s="204" t="s">
        <v>329</v>
      </c>
      <c r="E12" s="181" t="s">
        <v>91</v>
      </c>
      <c r="F12" s="173">
        <v>1000</v>
      </c>
      <c r="G12" s="119" t="s">
        <v>220</v>
      </c>
      <c r="H12" s="123"/>
      <c r="I12" s="125"/>
      <c r="J12" s="130" t="str">
        <f t="shared" si="1"/>
        <v>0</v>
      </c>
      <c r="K12" s="130">
        <v>62.5</v>
      </c>
      <c r="L12" s="131"/>
      <c r="M12" s="131"/>
      <c r="N12" s="134" t="s">
        <v>151</v>
      </c>
      <c r="O12" s="310" t="s">
        <v>330</v>
      </c>
      <c r="P12" s="309"/>
      <c r="Q12" s="311"/>
      <c r="R12" s="291" t="s">
        <v>245</v>
      </c>
      <c r="S12" s="31">
        <v>0.54166666666666663</v>
      </c>
      <c r="T12" s="32">
        <v>0.66666666666666663</v>
      </c>
      <c r="U12" s="92">
        <f t="shared" si="0"/>
        <v>3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12441</v>
      </c>
      <c r="C13" s="64" t="s">
        <v>336</v>
      </c>
      <c r="D13" s="204" t="s">
        <v>337</v>
      </c>
      <c r="E13" s="181" t="s">
        <v>92</v>
      </c>
      <c r="F13" s="173">
        <v>1015</v>
      </c>
      <c r="G13" s="119" t="s">
        <v>113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151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12442</v>
      </c>
      <c r="C14" s="65" t="s">
        <v>331</v>
      </c>
      <c r="D14" s="205" t="s">
        <v>332</v>
      </c>
      <c r="E14" s="181" t="s">
        <v>92</v>
      </c>
      <c r="F14" s="174">
        <v>1020</v>
      </c>
      <c r="G14" s="122" t="s">
        <v>202</v>
      </c>
      <c r="H14" s="123"/>
      <c r="I14" s="125">
        <v>320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151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12443</v>
      </c>
      <c r="C15" s="65" t="s">
        <v>333</v>
      </c>
      <c r="D15" s="205" t="s">
        <v>334</v>
      </c>
      <c r="E15" s="181" t="s">
        <v>91</v>
      </c>
      <c r="F15" s="174">
        <v>1030</v>
      </c>
      <c r="G15" s="122" t="s">
        <v>119</v>
      </c>
      <c r="H15" s="123"/>
      <c r="I15" s="124"/>
      <c r="J15" s="130" t="str">
        <f t="shared" si="1"/>
        <v>0</v>
      </c>
      <c r="K15" s="130">
        <v>79.16</v>
      </c>
      <c r="L15" s="131"/>
      <c r="M15" s="131"/>
      <c r="N15" s="134" t="s">
        <v>151</v>
      </c>
      <c r="O15" s="310" t="s">
        <v>338</v>
      </c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12444</v>
      </c>
      <c r="C16" s="65" t="s">
        <v>335</v>
      </c>
      <c r="D16" s="205" t="s">
        <v>334</v>
      </c>
      <c r="E16" s="181" t="s">
        <v>91</v>
      </c>
      <c r="F16" s="174">
        <v>1030</v>
      </c>
      <c r="G16" s="122" t="s">
        <v>228</v>
      </c>
      <c r="H16" s="123">
        <v>120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151</v>
      </c>
      <c r="O16" s="310"/>
      <c r="P16" s="309"/>
      <c r="Q16" s="311"/>
      <c r="R16" s="82">
        <f>H32/U16</f>
        <v>0.45871559633027525</v>
      </c>
      <c r="S16" s="83">
        <f>H32/(U16-U5)</f>
        <v>0.54347826086956519</v>
      </c>
      <c r="T16" s="83">
        <f>C32/U16</f>
        <v>42.675596330275226</v>
      </c>
      <c r="U16" s="83">
        <f>SUM(U5:U15)</f>
        <v>54.5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12445</v>
      </c>
      <c r="C17" s="18" t="s">
        <v>339</v>
      </c>
      <c r="D17" s="203" t="s">
        <v>340</v>
      </c>
      <c r="E17" s="181" t="s">
        <v>92</v>
      </c>
      <c r="F17" s="66">
        <v>1040</v>
      </c>
      <c r="G17" s="121" t="s">
        <v>106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151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12446</v>
      </c>
      <c r="C18" s="18" t="s">
        <v>341</v>
      </c>
      <c r="D18" s="203" t="s">
        <v>342</v>
      </c>
      <c r="E18" s="181" t="s">
        <v>92</v>
      </c>
      <c r="F18" s="66">
        <v>1045</v>
      </c>
      <c r="G18" s="20" t="s">
        <v>113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151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12447</v>
      </c>
      <c r="C19" s="18" t="s">
        <v>343</v>
      </c>
      <c r="D19" s="203" t="s">
        <v>344</v>
      </c>
      <c r="E19" s="181" t="s">
        <v>92</v>
      </c>
      <c r="F19" s="66">
        <v>1100</v>
      </c>
      <c r="G19" s="121" t="s">
        <v>106</v>
      </c>
      <c r="H19" s="123">
        <v>120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151</v>
      </c>
      <c r="O19" s="310"/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12448</v>
      </c>
      <c r="C20" s="18" t="s">
        <v>345</v>
      </c>
      <c r="D20" s="203" t="s">
        <v>346</v>
      </c>
      <c r="E20" s="181" t="s">
        <v>91</v>
      </c>
      <c r="F20" s="66">
        <v>1130</v>
      </c>
      <c r="G20" s="121" t="s">
        <v>113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151</v>
      </c>
      <c r="O20" s="381"/>
      <c r="P20" s="382"/>
      <c r="Q20" s="38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12449</v>
      </c>
      <c r="C21" s="18" t="s">
        <v>347</v>
      </c>
      <c r="D21" s="203" t="s">
        <v>348</v>
      </c>
      <c r="E21" s="181" t="s">
        <v>92</v>
      </c>
      <c r="F21" s="66">
        <v>1200</v>
      </c>
      <c r="G21" s="20" t="s">
        <v>106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151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12450</v>
      </c>
      <c r="C22" s="127" t="s">
        <v>355</v>
      </c>
      <c r="D22" s="206" t="s">
        <v>356</v>
      </c>
      <c r="E22" s="181" t="s">
        <v>92</v>
      </c>
      <c r="F22" s="175">
        <v>1210</v>
      </c>
      <c r="G22" s="263" t="s">
        <v>106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151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12451</v>
      </c>
      <c r="C23" s="136" t="s">
        <v>357</v>
      </c>
      <c r="D23" s="207" t="s">
        <v>358</v>
      </c>
      <c r="E23" s="181" t="s">
        <v>91</v>
      </c>
      <c r="F23" s="176">
        <v>1230</v>
      </c>
      <c r="G23" s="165" t="s">
        <v>113</v>
      </c>
      <c r="H23" s="89"/>
      <c r="I23" s="141">
        <v>95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151</v>
      </c>
      <c r="O23" s="163"/>
      <c r="P23" s="164"/>
      <c r="Q23" s="159"/>
      <c r="R23" s="113"/>
      <c r="S23" s="114"/>
      <c r="T23" s="114"/>
      <c r="U23" s="115"/>
      <c r="X23" s="379"/>
      <c r="Y23" s="380"/>
      <c r="Z23" s="38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12452</v>
      </c>
      <c r="C24" s="127" t="s">
        <v>349</v>
      </c>
      <c r="D24" s="206" t="s">
        <v>350</v>
      </c>
      <c r="E24" s="181" t="s">
        <v>92</v>
      </c>
      <c r="F24" s="175">
        <v>1230</v>
      </c>
      <c r="G24" s="263" t="s">
        <v>106</v>
      </c>
      <c r="H24" s="89"/>
      <c r="I24" s="141">
        <v>55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151</v>
      </c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12453</v>
      </c>
      <c r="C25" s="132" t="s">
        <v>351</v>
      </c>
      <c r="D25" s="208" t="s">
        <v>352</v>
      </c>
      <c r="E25" s="181" t="s">
        <v>92</v>
      </c>
      <c r="F25" s="175">
        <v>1240</v>
      </c>
      <c r="G25" s="263" t="s">
        <v>106</v>
      </c>
      <c r="H25" s="90"/>
      <c r="I25" s="90">
        <v>55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151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3">
        <f>((C32+(R26+S26+T26)*0.5))</f>
        <v>2325.8199999999997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12454</v>
      </c>
      <c r="C26" s="27" t="s">
        <v>359</v>
      </c>
      <c r="D26" s="209" t="s">
        <v>360</v>
      </c>
      <c r="E26" s="181" t="s">
        <v>91</v>
      </c>
      <c r="F26" s="177">
        <v>1300</v>
      </c>
      <c r="G26" s="20" t="s">
        <v>106</v>
      </c>
      <c r="H26" s="89"/>
      <c r="I26" s="141">
        <v>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151</v>
      </c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12455</v>
      </c>
      <c r="C27" s="27" t="s">
        <v>361</v>
      </c>
      <c r="D27" s="209" t="s">
        <v>362</v>
      </c>
      <c r="E27" s="181" t="s">
        <v>92</v>
      </c>
      <c r="F27" s="177">
        <v>1345</v>
      </c>
      <c r="G27" s="20" t="s">
        <v>106</v>
      </c>
      <c r="H27" s="89">
        <v>55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151</v>
      </c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12456</v>
      </c>
      <c r="C28" s="27" t="s">
        <v>365</v>
      </c>
      <c r="D28" s="209" t="s">
        <v>366</v>
      </c>
      <c r="E28" s="181" t="s">
        <v>91</v>
      </c>
      <c r="F28" s="177">
        <v>1450</v>
      </c>
      <c r="G28" s="20" t="s">
        <v>113</v>
      </c>
      <c r="H28" s="89"/>
      <c r="I28" s="141">
        <v>95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151</v>
      </c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12457</v>
      </c>
      <c r="C29" s="34" t="s">
        <v>363</v>
      </c>
      <c r="D29" s="210" t="s">
        <v>364</v>
      </c>
      <c r="E29" s="182" t="s">
        <v>91</v>
      </c>
      <c r="F29" s="177">
        <v>1510</v>
      </c>
      <c r="G29" s="20" t="s">
        <v>106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151</v>
      </c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595</v>
      </c>
      <c r="I30" s="105">
        <f>SUM(I5:I29)</f>
        <v>1260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470.81999999999994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595</v>
      </c>
      <c r="I31" s="103">
        <f t="shared" si="4"/>
        <v>1260</v>
      </c>
      <c r="J31" s="103">
        <f t="shared" si="4"/>
        <v>0</v>
      </c>
      <c r="K31" s="103">
        <f>K30+K62+K94</f>
        <v>470.81999999999994</v>
      </c>
      <c r="L31" s="97">
        <f>L30+L62+L94</f>
        <v>0</v>
      </c>
      <c r="M31" s="97">
        <f>M30+M62+M94</f>
        <v>475</v>
      </c>
      <c r="N31" s="262">
        <f>COUNT(H5:H29,H37:H61,H69:H93)</f>
        <v>7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595</v>
      </c>
      <c r="T31" s="349">
        <f>H31+I31+L31+M31</f>
        <v>2330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2325.8199999999997</v>
      </c>
      <c r="D32" s="196"/>
      <c r="E32" s="107"/>
      <c r="F32" s="371" t="s">
        <v>53</v>
      </c>
      <c r="G32" s="371"/>
      <c r="H32" s="109">
        <f>COUNT(B5:B29,B37:B61,B69:B93)</f>
        <v>25</v>
      </c>
      <c r="I32" s="372" t="s">
        <v>54</v>
      </c>
      <c r="J32" s="372"/>
      <c r="K32" s="108">
        <f>C32/H32</f>
        <v>93.032799999999995</v>
      </c>
      <c r="L32" s="260"/>
      <c r="M32" s="260"/>
      <c r="N32" s="260">
        <f>H31/C32</f>
        <v>0.25582375248299527</v>
      </c>
      <c r="O32" s="260">
        <f>I31/C32</f>
        <v>0.54174441702281351</v>
      </c>
      <c r="P32" s="260">
        <f>K31/C32</f>
        <v>0.20243183049419131</v>
      </c>
      <c r="Q32" s="110">
        <f>J31/C32</f>
        <v>0</v>
      </c>
      <c r="R32" s="99" t="s">
        <v>82</v>
      </c>
      <c r="S32" s="266">
        <f>I31+M31</f>
        <v>1735</v>
      </c>
      <c r="T32" s="351"/>
      <c r="U32" s="352"/>
      <c r="V32" s="55"/>
      <c r="W32" s="55"/>
      <c r="X32" s="56" t="s">
        <v>27</v>
      </c>
      <c r="Y32" s="56"/>
      <c r="Z32" s="54">
        <f>I31</f>
        <v>1260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-1485</v>
      </c>
      <c r="AE33" s="37"/>
      <c r="AF33" s="37"/>
      <c r="AG33" s="59"/>
      <c r="AH33" s="37"/>
    </row>
    <row r="34" spans="1:34" ht="17.25" thickBot="1" x14ac:dyDescent="0.35">
      <c r="A34" s="343" t="str">
        <f>A2</f>
        <v>25-11-2022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8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25-11-2022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8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13" zoomScaleNormal="100" zoomScaleSheetLayoutView="77" workbookViewId="0">
      <selection activeCell="I44" sqref="I4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367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137</v>
      </c>
      <c r="K2" s="345"/>
      <c r="L2" s="347" t="s">
        <v>96</v>
      </c>
      <c r="M2" s="348"/>
      <c r="N2" s="346"/>
      <c r="O2" s="344" t="s">
        <v>138</v>
      </c>
      <c r="P2" s="344"/>
      <c r="Q2" s="345"/>
      <c r="R2" s="347" t="s">
        <v>51</v>
      </c>
      <c r="S2" s="346"/>
      <c r="T2" s="335">
        <v>8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12458</v>
      </c>
      <c r="C5" s="68" t="s">
        <v>369</v>
      </c>
      <c r="D5" s="200" t="s">
        <v>370</v>
      </c>
      <c r="E5" s="181" t="s">
        <v>92</v>
      </c>
      <c r="F5" s="170">
        <v>800</v>
      </c>
      <c r="G5" s="118" t="s">
        <v>106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151</v>
      </c>
      <c r="O5" s="385" t="s">
        <v>371</v>
      </c>
      <c r="P5" s="386"/>
      <c r="Q5" s="387"/>
      <c r="R5" s="33" t="s">
        <v>138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12459</v>
      </c>
      <c r="C6" s="67" t="s">
        <v>372</v>
      </c>
      <c r="D6" s="200" t="s">
        <v>373</v>
      </c>
      <c r="E6" s="181" t="s">
        <v>91</v>
      </c>
      <c r="F6" s="171">
        <v>830</v>
      </c>
      <c r="G6" s="118" t="s">
        <v>202</v>
      </c>
      <c r="H6" s="91">
        <v>250</v>
      </c>
      <c r="I6" s="124"/>
      <c r="J6" s="130" t="str">
        <f t="shared" ref="J6:J29" si="1">IF(G6="RSL","55","0")</f>
        <v>0</v>
      </c>
      <c r="K6" s="130" t="str">
        <f t="shared" ref="K6:K27" si="2">IF(G6="GVS","37.5",IF(G6="GVM","41.5",IF(G6="GVL","50",IF(G6="PCS","45.8",IF(G6="PCM","50",IF(G6="PCL","58.3","0"))))))</f>
        <v>0</v>
      </c>
      <c r="L6" s="131"/>
      <c r="M6" s="131"/>
      <c r="N6" s="134" t="s">
        <v>138</v>
      </c>
      <c r="O6" s="337"/>
      <c r="P6" s="338"/>
      <c r="Q6" s="339"/>
      <c r="R6" s="132" t="s">
        <v>151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292">
        <v>3</v>
      </c>
      <c r="B7" s="267">
        <v>12460</v>
      </c>
      <c r="C7" s="293" t="s">
        <v>374</v>
      </c>
      <c r="D7" s="287" t="s">
        <v>375</v>
      </c>
      <c r="E7" s="270" t="s">
        <v>91</v>
      </c>
      <c r="F7" s="294">
        <v>845</v>
      </c>
      <c r="G7" s="267" t="s">
        <v>119</v>
      </c>
      <c r="H7" s="274"/>
      <c r="I7" s="274"/>
      <c r="J7" s="274" t="str">
        <f t="shared" si="1"/>
        <v>0</v>
      </c>
      <c r="K7" s="274">
        <v>125</v>
      </c>
      <c r="L7" s="275"/>
      <c r="M7" s="275">
        <v>750</v>
      </c>
      <c r="N7" s="276" t="s">
        <v>138</v>
      </c>
      <c r="O7" s="376" t="s">
        <v>436</v>
      </c>
      <c r="P7" s="377"/>
      <c r="Q7" s="378"/>
      <c r="R7" s="134" t="s">
        <v>102</v>
      </c>
      <c r="S7" s="31">
        <v>0.36458333333333331</v>
      </c>
      <c r="T7" s="32">
        <v>0.70833333333333337</v>
      </c>
      <c r="U7" s="92">
        <f t="shared" si="0"/>
        <v>8.2500000000000018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12461</v>
      </c>
      <c r="C8" s="27" t="s">
        <v>376</v>
      </c>
      <c r="D8" s="200" t="s">
        <v>377</v>
      </c>
      <c r="E8" s="181" t="s">
        <v>92</v>
      </c>
      <c r="F8" s="171">
        <v>905</v>
      </c>
      <c r="G8" s="118" t="s">
        <v>228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138</v>
      </c>
      <c r="O8" s="340"/>
      <c r="P8" s="341"/>
      <c r="Q8" s="342"/>
      <c r="R8" s="26" t="s">
        <v>154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12462</v>
      </c>
      <c r="C9" s="63" t="s">
        <v>378</v>
      </c>
      <c r="D9" s="201" t="s">
        <v>379</v>
      </c>
      <c r="E9" s="181" t="s">
        <v>92</v>
      </c>
      <c r="F9" s="172">
        <v>910</v>
      </c>
      <c r="G9" s="119" t="s">
        <v>106</v>
      </c>
      <c r="H9" s="91">
        <v>55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138</v>
      </c>
      <c r="O9" s="340"/>
      <c r="P9" s="341"/>
      <c r="Q9" s="342"/>
      <c r="R9" s="26" t="s">
        <v>243</v>
      </c>
      <c r="S9" s="31">
        <v>0.33333333333333331</v>
      </c>
      <c r="T9" s="32">
        <v>0.70833333333333337</v>
      </c>
      <c r="U9" s="92">
        <f t="shared" si="0"/>
        <v>9.0000000000000018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12463</v>
      </c>
      <c r="C10" s="28" t="s">
        <v>380</v>
      </c>
      <c r="D10" s="202" t="s">
        <v>381</v>
      </c>
      <c r="E10" s="181" t="s">
        <v>92</v>
      </c>
      <c r="F10" s="173">
        <v>915</v>
      </c>
      <c r="G10" s="120" t="s">
        <v>119</v>
      </c>
      <c r="H10" s="123"/>
      <c r="I10" s="125"/>
      <c r="J10" s="130" t="str">
        <f t="shared" si="1"/>
        <v>0</v>
      </c>
      <c r="K10" s="130">
        <v>79.16</v>
      </c>
      <c r="L10" s="131"/>
      <c r="M10" s="131"/>
      <c r="N10" s="134" t="s">
        <v>138</v>
      </c>
      <c r="O10" s="332" t="s">
        <v>382</v>
      </c>
      <c r="P10" s="333"/>
      <c r="Q10" s="334"/>
      <c r="R10" s="26" t="s">
        <v>185</v>
      </c>
      <c r="S10" s="31">
        <v>0.47916666666666669</v>
      </c>
      <c r="T10" s="32">
        <v>0.70833333333333337</v>
      </c>
      <c r="U10" s="92">
        <f t="shared" si="0"/>
        <v>5.5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12464</v>
      </c>
      <c r="C11" s="18" t="s">
        <v>383</v>
      </c>
      <c r="D11" s="203" t="s">
        <v>384</v>
      </c>
      <c r="E11" s="181" t="s">
        <v>92</v>
      </c>
      <c r="F11" s="66">
        <v>930</v>
      </c>
      <c r="G11" s="121" t="s">
        <v>113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138</v>
      </c>
      <c r="O11" s="310"/>
      <c r="P11" s="309"/>
      <c r="Q11" s="311"/>
      <c r="R11" s="26" t="s">
        <v>244</v>
      </c>
      <c r="S11" s="31">
        <v>0.375</v>
      </c>
      <c r="T11" s="32">
        <v>0.70833333333333337</v>
      </c>
      <c r="U11" s="92">
        <f t="shared" si="0"/>
        <v>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12465</v>
      </c>
      <c r="C12" s="64" t="s">
        <v>385</v>
      </c>
      <c r="D12" s="204" t="s">
        <v>386</v>
      </c>
      <c r="E12" s="181" t="s">
        <v>91</v>
      </c>
      <c r="F12" s="173">
        <v>930</v>
      </c>
      <c r="G12" s="119" t="s">
        <v>113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138</v>
      </c>
      <c r="O12" s="310"/>
      <c r="P12" s="309"/>
      <c r="Q12" s="311"/>
      <c r="R12" s="26" t="s">
        <v>368</v>
      </c>
      <c r="S12" s="31">
        <v>0.46875</v>
      </c>
      <c r="T12" s="32">
        <v>0.70833333333333337</v>
      </c>
      <c r="U12" s="92">
        <f t="shared" si="0"/>
        <v>5.7500000000000009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12466</v>
      </c>
      <c r="C13" s="64" t="s">
        <v>387</v>
      </c>
      <c r="D13" s="204" t="s">
        <v>388</v>
      </c>
      <c r="E13" s="181" t="s">
        <v>92</v>
      </c>
      <c r="F13" s="173">
        <v>1000</v>
      </c>
      <c r="G13" s="119" t="s">
        <v>113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138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12467</v>
      </c>
      <c r="C14" s="65" t="s">
        <v>389</v>
      </c>
      <c r="D14" s="205" t="s">
        <v>390</v>
      </c>
      <c r="E14" s="181" t="s">
        <v>91</v>
      </c>
      <c r="F14" s="174">
        <v>1005</v>
      </c>
      <c r="G14" s="122" t="s">
        <v>119</v>
      </c>
      <c r="H14" s="123"/>
      <c r="I14" s="125"/>
      <c r="J14" s="130" t="str">
        <f t="shared" si="1"/>
        <v>0</v>
      </c>
      <c r="K14" s="130">
        <v>125</v>
      </c>
      <c r="L14" s="131"/>
      <c r="M14" s="131"/>
      <c r="N14" s="134" t="s">
        <v>138</v>
      </c>
      <c r="O14" s="310" t="s">
        <v>391</v>
      </c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295">
        <v>11</v>
      </c>
      <c r="B15" s="267">
        <v>12468</v>
      </c>
      <c r="C15" s="283" t="s">
        <v>392</v>
      </c>
      <c r="D15" s="284" t="s">
        <v>393</v>
      </c>
      <c r="E15" s="270" t="s">
        <v>91</v>
      </c>
      <c r="F15" s="285">
        <v>1010</v>
      </c>
      <c r="G15" s="267" t="s">
        <v>119</v>
      </c>
      <c r="H15" s="273"/>
      <c r="I15" s="274"/>
      <c r="J15" s="274" t="str">
        <f t="shared" si="1"/>
        <v>0</v>
      </c>
      <c r="K15" s="274">
        <v>79.16</v>
      </c>
      <c r="L15" s="275"/>
      <c r="M15" s="275">
        <v>475</v>
      </c>
      <c r="N15" s="276" t="s">
        <v>138</v>
      </c>
      <c r="O15" s="376" t="s">
        <v>394</v>
      </c>
      <c r="P15" s="377"/>
      <c r="Q15" s="37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12469</v>
      </c>
      <c r="C16" s="65" t="s">
        <v>395</v>
      </c>
      <c r="D16" s="205" t="s">
        <v>396</v>
      </c>
      <c r="E16" s="181" t="s">
        <v>91</v>
      </c>
      <c r="F16" s="174">
        <v>1010</v>
      </c>
      <c r="G16" s="122" t="s">
        <v>113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138</v>
      </c>
      <c r="O16" s="310"/>
      <c r="P16" s="309"/>
      <c r="Q16" s="311"/>
      <c r="R16" s="82">
        <f>H32/U16</f>
        <v>0.49206349206349198</v>
      </c>
      <c r="S16" s="83">
        <f>H32/(U16-U5)</f>
        <v>0.57407407407407396</v>
      </c>
      <c r="T16" s="83">
        <f>C32/U16</f>
        <v>47.552380952380943</v>
      </c>
      <c r="U16" s="83">
        <f>SUM(U5:U15)</f>
        <v>63.000000000000007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295">
        <v>13</v>
      </c>
      <c r="B17" s="267">
        <v>12470</v>
      </c>
      <c r="C17" s="268" t="s">
        <v>397</v>
      </c>
      <c r="D17" s="269" t="s">
        <v>398</v>
      </c>
      <c r="E17" s="270" t="s">
        <v>92</v>
      </c>
      <c r="F17" s="271">
        <v>1100</v>
      </c>
      <c r="G17" s="272" t="s">
        <v>220</v>
      </c>
      <c r="H17" s="273"/>
      <c r="I17" s="274"/>
      <c r="J17" s="274" t="str">
        <f t="shared" si="1"/>
        <v>0</v>
      </c>
      <c r="K17" s="274">
        <v>62.5</v>
      </c>
      <c r="L17" s="275"/>
      <c r="M17" s="275">
        <v>375</v>
      </c>
      <c r="N17" s="276" t="s">
        <v>138</v>
      </c>
      <c r="O17" s="376" t="s">
        <v>399</v>
      </c>
      <c r="P17" s="377"/>
      <c r="Q17" s="37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12471</v>
      </c>
      <c r="C18" s="18" t="s">
        <v>400</v>
      </c>
      <c r="D18" s="203" t="s">
        <v>401</v>
      </c>
      <c r="E18" s="181" t="s">
        <v>92</v>
      </c>
      <c r="F18" s="66">
        <v>1115</v>
      </c>
      <c r="G18" s="20" t="s">
        <v>168</v>
      </c>
      <c r="H18" s="123"/>
      <c r="I18" s="124">
        <v>80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138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12472</v>
      </c>
      <c r="C19" s="18" t="s">
        <v>402</v>
      </c>
      <c r="D19" s="203" t="s">
        <v>403</v>
      </c>
      <c r="E19" s="181" t="s">
        <v>92</v>
      </c>
      <c r="F19" s="66">
        <v>1120</v>
      </c>
      <c r="G19" s="121" t="s">
        <v>113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138</v>
      </c>
      <c r="O19" s="310"/>
      <c r="P19" s="309"/>
      <c r="Q19" s="309"/>
      <c r="R19" s="93" t="s">
        <v>45</v>
      </c>
      <c r="S19" s="94">
        <f>COUNT(L5:M29,L37:M61,L69:M93)</f>
        <v>7</v>
      </c>
      <c r="T19" s="116">
        <f>SUM(L5:M29,L37:M61,L69:M93)</f>
        <v>3725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12473</v>
      </c>
      <c r="C20" s="18" t="s">
        <v>404</v>
      </c>
      <c r="D20" s="203" t="s">
        <v>405</v>
      </c>
      <c r="E20" s="181" t="s">
        <v>92</v>
      </c>
      <c r="F20" s="66">
        <v>1130</v>
      </c>
      <c r="G20" s="121" t="s">
        <v>113</v>
      </c>
      <c r="H20" s="123"/>
      <c r="I20" s="219">
        <v>100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138</v>
      </c>
      <c r="O20" s="381"/>
      <c r="P20" s="382"/>
      <c r="Q20" s="38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295">
        <v>17</v>
      </c>
      <c r="B21" s="267">
        <v>12474</v>
      </c>
      <c r="C21" s="268" t="s">
        <v>406</v>
      </c>
      <c r="D21" s="269" t="s">
        <v>407</v>
      </c>
      <c r="E21" s="270" t="s">
        <v>91</v>
      </c>
      <c r="F21" s="271">
        <v>1145</v>
      </c>
      <c r="G21" s="280" t="s">
        <v>119</v>
      </c>
      <c r="H21" s="273"/>
      <c r="I21" s="274"/>
      <c r="J21" s="274" t="str">
        <f t="shared" si="1"/>
        <v>0</v>
      </c>
      <c r="K21" s="274">
        <v>150</v>
      </c>
      <c r="L21" s="275"/>
      <c r="M21" s="275">
        <v>475</v>
      </c>
      <c r="N21" s="276" t="s">
        <v>138</v>
      </c>
      <c r="O21" s="376" t="s">
        <v>408</v>
      </c>
      <c r="P21" s="377"/>
      <c r="Q21" s="37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12475</v>
      </c>
      <c r="C22" s="127" t="s">
        <v>409</v>
      </c>
      <c r="D22" s="206" t="s">
        <v>410</v>
      </c>
      <c r="E22" s="181" t="s">
        <v>91</v>
      </c>
      <c r="F22" s="175">
        <v>1150</v>
      </c>
      <c r="G22" s="263" t="s">
        <v>113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138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12476</v>
      </c>
      <c r="C23" s="136" t="s">
        <v>411</v>
      </c>
      <c r="D23" s="207" t="s">
        <v>412</v>
      </c>
      <c r="E23" s="181" t="s">
        <v>92</v>
      </c>
      <c r="F23" s="176">
        <v>1220</v>
      </c>
      <c r="G23" s="165" t="s">
        <v>113</v>
      </c>
      <c r="H23" s="89"/>
      <c r="I23" s="141">
        <v>95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138</v>
      </c>
      <c r="O23" s="163"/>
      <c r="P23" s="164"/>
      <c r="Q23" s="159"/>
      <c r="R23" s="113"/>
      <c r="S23" s="114"/>
      <c r="T23" s="114"/>
      <c r="U23" s="115"/>
      <c r="X23" s="379"/>
      <c r="Y23" s="380"/>
      <c r="Z23" s="38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12477</v>
      </c>
      <c r="C24" s="127" t="s">
        <v>413</v>
      </c>
      <c r="D24" s="206" t="s">
        <v>414</v>
      </c>
      <c r="E24" s="181" t="s">
        <v>92</v>
      </c>
      <c r="F24" s="175">
        <v>1230</v>
      </c>
      <c r="G24" s="263" t="s">
        <v>220</v>
      </c>
      <c r="H24" s="89"/>
      <c r="I24" s="141"/>
      <c r="J24" s="130" t="str">
        <f t="shared" si="1"/>
        <v>0</v>
      </c>
      <c r="K24" s="130">
        <v>62.5</v>
      </c>
      <c r="L24" s="69"/>
      <c r="M24" s="69"/>
      <c r="N24" s="134" t="s">
        <v>138</v>
      </c>
      <c r="O24" s="310" t="s">
        <v>415</v>
      </c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12478</v>
      </c>
      <c r="C25" s="132" t="s">
        <v>416</v>
      </c>
      <c r="D25" s="208" t="s">
        <v>417</v>
      </c>
      <c r="E25" s="181" t="s">
        <v>92</v>
      </c>
      <c r="F25" s="175">
        <v>1245</v>
      </c>
      <c r="G25" s="263" t="s">
        <v>113</v>
      </c>
      <c r="H25" s="90"/>
      <c r="I25" s="90">
        <v>95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138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3">
        <f>((C32+(R26+S26+T26)*0.5))</f>
        <v>2995.7999999999997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12479</v>
      </c>
      <c r="C26" s="27" t="s">
        <v>418</v>
      </c>
      <c r="D26" s="209" t="s">
        <v>419</v>
      </c>
      <c r="E26" s="181" t="s">
        <v>91</v>
      </c>
      <c r="F26" s="177">
        <v>1250</v>
      </c>
      <c r="G26" s="20" t="s">
        <v>113</v>
      </c>
      <c r="H26" s="89">
        <v>95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138</v>
      </c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12480</v>
      </c>
      <c r="C27" s="27" t="s">
        <v>420</v>
      </c>
      <c r="D27" s="209" t="s">
        <v>421</v>
      </c>
      <c r="E27" s="181" t="s">
        <v>92</v>
      </c>
      <c r="F27" s="177">
        <v>1310</v>
      </c>
      <c r="G27" s="20" t="s">
        <v>113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138</v>
      </c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295">
        <v>24</v>
      </c>
      <c r="B28" s="280">
        <v>12481</v>
      </c>
      <c r="C28" s="276" t="s">
        <v>422</v>
      </c>
      <c r="D28" s="296" t="s">
        <v>423</v>
      </c>
      <c r="E28" s="270" t="s">
        <v>91</v>
      </c>
      <c r="F28" s="279">
        <v>1330</v>
      </c>
      <c r="G28" s="280" t="s">
        <v>119</v>
      </c>
      <c r="H28" s="273"/>
      <c r="I28" s="273"/>
      <c r="J28" s="274" t="str">
        <f t="shared" si="1"/>
        <v>0</v>
      </c>
      <c r="K28" s="274">
        <v>79.16</v>
      </c>
      <c r="L28" s="274"/>
      <c r="M28" s="274">
        <v>475</v>
      </c>
      <c r="N28" s="276" t="s">
        <v>138</v>
      </c>
      <c r="O28" s="376" t="s">
        <v>424</v>
      </c>
      <c r="P28" s="377"/>
      <c r="Q28" s="378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12482</v>
      </c>
      <c r="C29" s="34" t="s">
        <v>425</v>
      </c>
      <c r="D29" s="210" t="s">
        <v>426</v>
      </c>
      <c r="E29" s="182" t="s">
        <v>91</v>
      </c>
      <c r="F29" s="177">
        <v>1340</v>
      </c>
      <c r="G29" s="20" t="s">
        <v>119</v>
      </c>
      <c r="H29" s="89"/>
      <c r="I29" s="89"/>
      <c r="J29" s="130" t="str">
        <f t="shared" si="1"/>
        <v>0</v>
      </c>
      <c r="K29" s="130">
        <v>79.16</v>
      </c>
      <c r="L29" s="69"/>
      <c r="M29" s="69"/>
      <c r="N29" s="134" t="s">
        <v>138</v>
      </c>
      <c r="O29" s="353" t="s">
        <v>427</v>
      </c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590</v>
      </c>
      <c r="I30" s="105">
        <f>SUM(I5:I29)</f>
        <v>1010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841.63999999999987</v>
      </c>
      <c r="L30" s="106">
        <f t="shared" si="3"/>
        <v>0</v>
      </c>
      <c r="M30" s="106">
        <f t="shared" si="3"/>
        <v>2550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815</v>
      </c>
      <c r="I31" s="103">
        <f t="shared" si="4"/>
        <v>1160</v>
      </c>
      <c r="J31" s="103">
        <f t="shared" si="4"/>
        <v>0</v>
      </c>
      <c r="K31" s="103">
        <f>K30+K62+K94</f>
        <v>1020.7999999999998</v>
      </c>
      <c r="L31" s="97">
        <f>L30+L62+L94</f>
        <v>0</v>
      </c>
      <c r="M31" s="97">
        <f>M30+M62+M94</f>
        <v>3725</v>
      </c>
      <c r="N31" s="262">
        <f>COUNT(H5:H29,H37:H61,H69:H93)</f>
        <v>7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11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815</v>
      </c>
      <c r="T31" s="349">
        <f>H31+I31+L31+M31</f>
        <v>5700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2995.7999999999997</v>
      </c>
      <c r="D32" s="196"/>
      <c r="E32" s="107"/>
      <c r="F32" s="371" t="s">
        <v>53</v>
      </c>
      <c r="G32" s="371"/>
      <c r="H32" s="109">
        <f>COUNT(B5:B29,B37:B61,B69:B93)</f>
        <v>31</v>
      </c>
      <c r="I32" s="372" t="s">
        <v>54</v>
      </c>
      <c r="J32" s="372"/>
      <c r="K32" s="108">
        <f>C32/H32</f>
        <v>96.638709677419342</v>
      </c>
      <c r="L32" s="260"/>
      <c r="M32" s="260"/>
      <c r="N32" s="260">
        <f>H31/C32</f>
        <v>0.2720475332131651</v>
      </c>
      <c r="O32" s="260">
        <f>I31/C32</f>
        <v>0.38720875892916756</v>
      </c>
      <c r="P32" s="260">
        <f>K31/C32</f>
        <v>0.34074370785766739</v>
      </c>
      <c r="Q32" s="110">
        <f>J31/C32</f>
        <v>0</v>
      </c>
      <c r="R32" s="99" t="s">
        <v>82</v>
      </c>
      <c r="S32" s="266">
        <f>I31+M31</f>
        <v>4885</v>
      </c>
      <c r="T32" s="351"/>
      <c r="U32" s="352"/>
      <c r="V32" s="55"/>
      <c r="W32" s="55"/>
      <c r="X32" s="56" t="s">
        <v>27</v>
      </c>
      <c r="Y32" s="56"/>
      <c r="Z32" s="54">
        <f>I31</f>
        <v>1160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-1585</v>
      </c>
      <c r="AE33" s="37"/>
      <c r="AF33" s="37"/>
      <c r="AG33" s="59"/>
      <c r="AH33" s="37"/>
    </row>
    <row r="34" spans="1:34" ht="17.25" thickBot="1" x14ac:dyDescent="0.35">
      <c r="A34" s="343" t="str">
        <f>A2</f>
        <v>26 - 12 - 2022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8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12483</v>
      </c>
      <c r="C37" s="68" t="s">
        <v>431</v>
      </c>
      <c r="D37" s="258" t="s">
        <v>432</v>
      </c>
      <c r="E37" s="181" t="s">
        <v>92</v>
      </c>
      <c r="F37" s="174">
        <v>1400</v>
      </c>
      <c r="G37" s="118" t="s">
        <v>113</v>
      </c>
      <c r="H37" s="91">
        <v>75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138</v>
      </c>
      <c r="O37" s="310"/>
      <c r="P37" s="309"/>
      <c r="Q37" s="311"/>
      <c r="R37" s="60"/>
      <c r="S37" s="61"/>
      <c r="T37" s="61"/>
      <c r="U37" s="70"/>
    </row>
    <row r="38" spans="1:34" x14ac:dyDescent="0.3">
      <c r="A38" s="292">
        <f>A37+1</f>
        <v>27</v>
      </c>
      <c r="B38" s="280">
        <v>12484</v>
      </c>
      <c r="C38" s="293" t="s">
        <v>428</v>
      </c>
      <c r="D38" s="287" t="s">
        <v>429</v>
      </c>
      <c r="E38" s="270" t="s">
        <v>92</v>
      </c>
      <c r="F38" s="271">
        <v>1420</v>
      </c>
      <c r="G38" s="267" t="s">
        <v>119</v>
      </c>
      <c r="H38" s="274"/>
      <c r="I38" s="274"/>
      <c r="J38" s="274" t="str">
        <f t="shared" ref="J38:J61" si="6">IF(G38="RSL","55","0")</f>
        <v>0</v>
      </c>
      <c r="K38" s="274">
        <v>79.16</v>
      </c>
      <c r="L38" s="275"/>
      <c r="M38" s="275">
        <v>475</v>
      </c>
      <c r="N38" s="274" t="s">
        <v>138</v>
      </c>
      <c r="O38" s="391" t="s">
        <v>430</v>
      </c>
      <c r="P38" s="392"/>
      <c r="Q38" s="39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267">
        <v>12485</v>
      </c>
      <c r="C39" s="276" t="s">
        <v>433</v>
      </c>
      <c r="D39" s="296" t="s">
        <v>434</v>
      </c>
      <c r="E39" s="270" t="s">
        <v>92</v>
      </c>
      <c r="F39" s="271">
        <v>1430</v>
      </c>
      <c r="G39" s="267" t="s">
        <v>119</v>
      </c>
      <c r="H39" s="274"/>
      <c r="I39" s="274"/>
      <c r="J39" s="274" t="str">
        <f t="shared" si="6"/>
        <v>0</v>
      </c>
      <c r="K39" s="274">
        <v>100</v>
      </c>
      <c r="L39" s="275"/>
      <c r="M39" s="275">
        <v>700</v>
      </c>
      <c r="N39" s="274" t="s">
        <v>138</v>
      </c>
      <c r="O39" s="376" t="s">
        <v>435</v>
      </c>
      <c r="P39" s="377"/>
      <c r="Q39" s="378"/>
      <c r="R39" s="79"/>
      <c r="S39" s="13"/>
      <c r="T39" s="12"/>
      <c r="U39" s="72"/>
    </row>
    <row r="40" spans="1:34" x14ac:dyDescent="0.3">
      <c r="A40" s="128">
        <f t="shared" si="7"/>
        <v>29</v>
      </c>
      <c r="B40" s="290">
        <v>12486</v>
      </c>
      <c r="C40" s="63" t="s">
        <v>437</v>
      </c>
      <c r="D40" s="184" t="s">
        <v>438</v>
      </c>
      <c r="E40" s="181" t="s">
        <v>92</v>
      </c>
      <c r="F40" s="180">
        <v>1500</v>
      </c>
      <c r="G40" s="119" t="s">
        <v>228</v>
      </c>
      <c r="H40" s="91">
        <v>150</v>
      </c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138</v>
      </c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12487</v>
      </c>
      <c r="C41" s="63" t="s">
        <v>439</v>
      </c>
      <c r="D41" s="184" t="s">
        <v>440</v>
      </c>
      <c r="E41" s="181" t="s">
        <v>91</v>
      </c>
      <c r="F41" s="180">
        <v>1545</v>
      </c>
      <c r="G41" s="119" t="s">
        <v>113</v>
      </c>
      <c r="H41" s="91"/>
      <c r="I41" s="91">
        <v>95</v>
      </c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138</v>
      </c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90">
        <v>12488</v>
      </c>
      <c r="C42" s="28" t="s">
        <v>442</v>
      </c>
      <c r="D42" s="185" t="s">
        <v>443</v>
      </c>
      <c r="E42" s="181" t="s">
        <v>91</v>
      </c>
      <c r="F42" s="173">
        <v>1630</v>
      </c>
      <c r="G42" s="120" t="s">
        <v>106</v>
      </c>
      <c r="H42" s="123"/>
      <c r="I42" s="125">
        <v>55</v>
      </c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138</v>
      </c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225</v>
      </c>
      <c r="I62" s="322">
        <f t="shared" si="8"/>
        <v>150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179.16</v>
      </c>
      <c r="L62" s="325">
        <f t="shared" si="8"/>
        <v>0</v>
      </c>
      <c r="M62" s="328">
        <f t="shared" si="8"/>
        <v>1175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26 - 12 - 2022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8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R12" sqref="R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441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137</v>
      </c>
      <c r="K2" s="345"/>
      <c r="L2" s="347" t="s">
        <v>96</v>
      </c>
      <c r="M2" s="348"/>
      <c r="N2" s="346"/>
      <c r="O2" s="344" t="s">
        <v>138</v>
      </c>
      <c r="P2" s="344"/>
      <c r="Q2" s="345"/>
      <c r="R2" s="347" t="s">
        <v>51</v>
      </c>
      <c r="S2" s="346"/>
      <c r="T2" s="335">
        <v>8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12489</v>
      </c>
      <c r="C5" s="68" t="s">
        <v>446</v>
      </c>
      <c r="D5" s="200" t="s">
        <v>447</v>
      </c>
      <c r="E5" s="181" t="s">
        <v>91</v>
      </c>
      <c r="F5" s="170">
        <v>830</v>
      </c>
      <c r="G5" s="118" t="s">
        <v>113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138</v>
      </c>
      <c r="O5" s="385"/>
      <c r="P5" s="386"/>
      <c r="Q5" s="387"/>
      <c r="R5" s="33" t="s">
        <v>138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12490</v>
      </c>
      <c r="C6" s="67" t="s">
        <v>448</v>
      </c>
      <c r="D6" s="200" t="s">
        <v>449</v>
      </c>
      <c r="E6" s="181" t="s">
        <v>91</v>
      </c>
      <c r="F6" s="171">
        <v>850</v>
      </c>
      <c r="G6" s="118" t="s">
        <v>119</v>
      </c>
      <c r="H6" s="91"/>
      <c r="I6" s="124"/>
      <c r="J6" s="130" t="str">
        <f t="shared" ref="J6:J29" si="1">IF(G6="RSL","55","0")</f>
        <v>0</v>
      </c>
      <c r="K6" s="130">
        <v>79.099999999999994</v>
      </c>
      <c r="L6" s="131"/>
      <c r="M6" s="131"/>
      <c r="N6" s="134" t="s">
        <v>138</v>
      </c>
      <c r="O6" s="337" t="s">
        <v>450</v>
      </c>
      <c r="P6" s="338"/>
      <c r="Q6" s="339"/>
      <c r="R6" s="132" t="s">
        <v>151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12491</v>
      </c>
      <c r="C7" s="68" t="s">
        <v>444</v>
      </c>
      <c r="D7" s="200" t="s">
        <v>445</v>
      </c>
      <c r="E7" s="181" t="s">
        <v>92</v>
      </c>
      <c r="F7" s="170">
        <v>950</v>
      </c>
      <c r="G7" s="118" t="s">
        <v>113</v>
      </c>
      <c r="H7" s="91"/>
      <c r="I7" s="124">
        <v>95</v>
      </c>
      <c r="J7" s="130" t="str">
        <f t="shared" si="1"/>
        <v>0</v>
      </c>
      <c r="K7" s="130" t="str">
        <f t="shared" ref="K6:K29" si="2">IF(G7="GVS","37.5",IF(G7="GVM","41.5",IF(G7="GVL","50",IF(G7="PCS","45.8",IF(G7="PCM","50",IF(G7="PCL","58.3","0"))))))</f>
        <v>0</v>
      </c>
      <c r="L7" s="131"/>
      <c r="M7" s="131"/>
      <c r="N7" s="134" t="s">
        <v>138</v>
      </c>
      <c r="O7" s="310"/>
      <c r="P7" s="309"/>
      <c r="Q7" s="311"/>
      <c r="R7" s="26" t="s">
        <v>154</v>
      </c>
      <c r="S7" s="31">
        <v>0.35416666666666669</v>
      </c>
      <c r="T7" s="32">
        <v>0.46875</v>
      </c>
      <c r="U7" s="92">
        <f t="shared" si="0"/>
        <v>2.7499999999999996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12492</v>
      </c>
      <c r="C8" s="27" t="s">
        <v>451</v>
      </c>
      <c r="D8" s="200" t="s">
        <v>452</v>
      </c>
      <c r="E8" s="181" t="s">
        <v>92</v>
      </c>
      <c r="F8" s="171">
        <v>1000</v>
      </c>
      <c r="G8" s="118" t="s">
        <v>168</v>
      </c>
      <c r="H8" s="91">
        <v>65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138</v>
      </c>
      <c r="O8" s="340"/>
      <c r="P8" s="341"/>
      <c r="Q8" s="342"/>
      <c r="R8" s="26" t="s">
        <v>243</v>
      </c>
      <c r="S8" s="31">
        <v>0.375</v>
      </c>
      <c r="T8" s="32">
        <v>0.63541666666666663</v>
      </c>
      <c r="U8" s="92">
        <f t="shared" si="0"/>
        <v>6.2499999999999991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12493</v>
      </c>
      <c r="C9" s="63" t="s">
        <v>464</v>
      </c>
      <c r="D9" s="201" t="s">
        <v>465</v>
      </c>
      <c r="E9" s="181" t="s">
        <v>92</v>
      </c>
      <c r="F9" s="172">
        <v>1010</v>
      </c>
      <c r="G9" s="119" t="s">
        <v>113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138</v>
      </c>
      <c r="O9" s="340"/>
      <c r="P9" s="341"/>
      <c r="Q9" s="342"/>
      <c r="R9" s="26" t="s">
        <v>185</v>
      </c>
      <c r="S9" s="31">
        <v>0.35416666666666669</v>
      </c>
      <c r="T9" s="32">
        <v>0.70833333333333337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12494</v>
      </c>
      <c r="C10" s="28" t="s">
        <v>453</v>
      </c>
      <c r="D10" s="202" t="s">
        <v>454</v>
      </c>
      <c r="E10" s="181" t="s">
        <v>91</v>
      </c>
      <c r="F10" s="173">
        <v>1020</v>
      </c>
      <c r="G10" s="120" t="s">
        <v>228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138</v>
      </c>
      <c r="O10" s="332"/>
      <c r="P10" s="333"/>
      <c r="Q10" s="334"/>
      <c r="R10" s="26" t="s">
        <v>244</v>
      </c>
      <c r="S10" s="31">
        <v>0.375</v>
      </c>
      <c r="T10" s="32">
        <v>0.61458333333333337</v>
      </c>
      <c r="U10" s="92">
        <f t="shared" si="0"/>
        <v>5.7500000000000009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12495</v>
      </c>
      <c r="C11" s="18" t="s">
        <v>455</v>
      </c>
      <c r="D11" s="203" t="s">
        <v>456</v>
      </c>
      <c r="E11" s="181" t="s">
        <v>91</v>
      </c>
      <c r="F11" s="66">
        <v>1030</v>
      </c>
      <c r="G11" s="121" t="s">
        <v>113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138</v>
      </c>
      <c r="O11" s="310"/>
      <c r="P11" s="309"/>
      <c r="Q11" s="311"/>
      <c r="R11" s="26" t="s">
        <v>103</v>
      </c>
      <c r="S11" s="31">
        <v>0.42708333333333331</v>
      </c>
      <c r="T11" s="32">
        <v>0.61458333333333337</v>
      </c>
      <c r="U11" s="92">
        <f t="shared" si="0"/>
        <v>4.5000000000000018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12496</v>
      </c>
      <c r="C12" s="64" t="s">
        <v>457</v>
      </c>
      <c r="D12" s="204" t="s">
        <v>458</v>
      </c>
      <c r="E12" s="181" t="s">
        <v>92</v>
      </c>
      <c r="F12" s="173">
        <v>1045</v>
      </c>
      <c r="G12" s="119" t="s">
        <v>168</v>
      </c>
      <c r="H12" s="123"/>
      <c r="I12" s="125">
        <v>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2" t="s">
        <v>151</v>
      </c>
      <c r="O12" s="310"/>
      <c r="P12" s="309"/>
      <c r="Q12" s="311"/>
      <c r="R12" s="26" t="s">
        <v>368</v>
      </c>
      <c r="S12" s="31">
        <v>0.45833333333333331</v>
      </c>
      <c r="T12" s="32">
        <v>0.54166666666666663</v>
      </c>
      <c r="U12" s="92">
        <f t="shared" si="0"/>
        <v>1.9999999999999996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295">
        <v>9</v>
      </c>
      <c r="B13" s="267">
        <v>12497</v>
      </c>
      <c r="C13" s="277" t="s">
        <v>459</v>
      </c>
      <c r="D13" s="278" t="s">
        <v>460</v>
      </c>
      <c r="E13" s="270" t="s">
        <v>92</v>
      </c>
      <c r="F13" s="279">
        <v>1109</v>
      </c>
      <c r="G13" s="280" t="s">
        <v>119</v>
      </c>
      <c r="H13" s="281"/>
      <c r="I13" s="282"/>
      <c r="J13" s="274" t="str">
        <f t="shared" si="1"/>
        <v>0</v>
      </c>
      <c r="K13" s="274">
        <v>79.099999999999994</v>
      </c>
      <c r="L13" s="275"/>
      <c r="M13" s="275">
        <v>475</v>
      </c>
      <c r="N13" s="276" t="s">
        <v>138</v>
      </c>
      <c r="O13" s="376" t="s">
        <v>461</v>
      </c>
      <c r="P13" s="377"/>
      <c r="Q13" s="378"/>
      <c r="R13" s="26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12498</v>
      </c>
      <c r="C14" s="65" t="s">
        <v>462</v>
      </c>
      <c r="D14" s="205" t="s">
        <v>463</v>
      </c>
      <c r="E14" s="181" t="s">
        <v>91</v>
      </c>
      <c r="F14" s="174">
        <v>1110</v>
      </c>
      <c r="G14" s="122" t="s">
        <v>168</v>
      </c>
      <c r="H14" s="123"/>
      <c r="I14" s="125">
        <v>80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138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12499</v>
      </c>
      <c r="C15" s="65" t="s">
        <v>466</v>
      </c>
      <c r="D15" s="205" t="s">
        <v>467</v>
      </c>
      <c r="E15" s="181" t="s">
        <v>91</v>
      </c>
      <c r="F15" s="174">
        <v>1110</v>
      </c>
      <c r="G15" s="122" t="s">
        <v>113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138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95">
        <v>12</v>
      </c>
      <c r="B16" s="280">
        <v>12500</v>
      </c>
      <c r="C16" s="283" t="s">
        <v>468</v>
      </c>
      <c r="D16" s="284" t="s">
        <v>469</v>
      </c>
      <c r="E16" s="270" t="s">
        <v>92</v>
      </c>
      <c r="F16" s="285">
        <v>1120</v>
      </c>
      <c r="G16" s="267" t="s">
        <v>220</v>
      </c>
      <c r="H16" s="273"/>
      <c r="I16" s="274"/>
      <c r="J16" s="274" t="str">
        <f t="shared" si="1"/>
        <v>0</v>
      </c>
      <c r="K16" s="274">
        <v>100</v>
      </c>
      <c r="L16" s="275"/>
      <c r="M16" s="275">
        <v>600</v>
      </c>
      <c r="N16" s="276" t="s">
        <v>138</v>
      </c>
      <c r="O16" s="376" t="s">
        <v>470</v>
      </c>
      <c r="P16" s="377"/>
      <c r="Q16" s="378"/>
      <c r="R16" s="82">
        <f>H32/U16</f>
        <v>0.4607329842931937</v>
      </c>
      <c r="S16" s="83">
        <f>H32/(U16-U5)</f>
        <v>0.56774193548387097</v>
      </c>
      <c r="T16" s="83">
        <f>C32/U16</f>
        <v>40.695287958115188</v>
      </c>
      <c r="U16" s="83">
        <f>SUM(U5:U15)</f>
        <v>47.75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12501</v>
      </c>
      <c r="C17" s="18" t="s">
        <v>471</v>
      </c>
      <c r="D17" s="203" t="s">
        <v>472</v>
      </c>
      <c r="E17" s="181" t="s">
        <v>92</v>
      </c>
      <c r="F17" s="66">
        <v>1120</v>
      </c>
      <c r="G17" s="121" t="s">
        <v>113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138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12502</v>
      </c>
      <c r="C18" s="18" t="s">
        <v>473</v>
      </c>
      <c r="D18" s="203" t="s">
        <v>474</v>
      </c>
      <c r="E18" s="181" t="s">
        <v>92</v>
      </c>
      <c r="F18" s="66">
        <v>1130</v>
      </c>
      <c r="G18" s="20" t="s">
        <v>113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138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12503</v>
      </c>
      <c r="C19" s="18" t="s">
        <v>475</v>
      </c>
      <c r="D19" s="203" t="s">
        <v>476</v>
      </c>
      <c r="E19" s="181" t="s">
        <v>91</v>
      </c>
      <c r="F19" s="66">
        <v>1210</v>
      </c>
      <c r="G19" s="121" t="s">
        <v>168</v>
      </c>
      <c r="H19" s="123"/>
      <c r="I19" s="124">
        <v>65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138</v>
      </c>
      <c r="O19" s="310"/>
      <c r="P19" s="309"/>
      <c r="Q19" s="309"/>
      <c r="R19" s="93" t="s">
        <v>45</v>
      </c>
      <c r="S19" s="94">
        <f>COUNT(L5:M29,L37:M61,L69:M93)</f>
        <v>2</v>
      </c>
      <c r="T19" s="116">
        <f>SUM(L5:M29,L37:M61,L69:M93)</f>
        <v>1075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12504</v>
      </c>
      <c r="C20" s="18" t="s">
        <v>477</v>
      </c>
      <c r="D20" s="203" t="s">
        <v>478</v>
      </c>
      <c r="E20" s="181" t="s">
        <v>92</v>
      </c>
      <c r="F20" s="66">
        <v>1240</v>
      </c>
      <c r="G20" s="121" t="s">
        <v>113</v>
      </c>
      <c r="H20" s="123">
        <v>75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138</v>
      </c>
      <c r="O20" s="381"/>
      <c r="P20" s="382"/>
      <c r="Q20" s="38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12505</v>
      </c>
      <c r="C21" s="18" t="s">
        <v>485</v>
      </c>
      <c r="D21" s="203" t="s">
        <v>486</v>
      </c>
      <c r="E21" s="181" t="s">
        <v>91</v>
      </c>
      <c r="F21" s="66">
        <v>1245</v>
      </c>
      <c r="G21" s="20" t="s">
        <v>113</v>
      </c>
      <c r="H21" s="123">
        <v>95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138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12506</v>
      </c>
      <c r="C22" s="18" t="s">
        <v>479</v>
      </c>
      <c r="D22" s="203" t="s">
        <v>480</v>
      </c>
      <c r="E22" s="181" t="s">
        <v>92</v>
      </c>
      <c r="F22" s="66">
        <v>1250</v>
      </c>
      <c r="G22" s="20" t="s">
        <v>228</v>
      </c>
      <c r="H22" s="123">
        <v>120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138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12507</v>
      </c>
      <c r="C23" s="127" t="s">
        <v>481</v>
      </c>
      <c r="D23" s="206" t="s">
        <v>482</v>
      </c>
      <c r="E23" s="181" t="s">
        <v>92</v>
      </c>
      <c r="F23" s="176">
        <v>1305</v>
      </c>
      <c r="G23" s="165" t="s">
        <v>113</v>
      </c>
      <c r="H23" s="89">
        <v>95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138</v>
      </c>
      <c r="O23" s="163"/>
      <c r="P23" s="164"/>
      <c r="Q23" s="159"/>
      <c r="R23" s="113"/>
      <c r="S23" s="114"/>
      <c r="T23" s="114"/>
      <c r="U23" s="115"/>
      <c r="X23" s="379"/>
      <c r="Y23" s="380"/>
      <c r="Z23" s="38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12508</v>
      </c>
      <c r="C24" s="127" t="s">
        <v>483</v>
      </c>
      <c r="D24" s="206" t="s">
        <v>484</v>
      </c>
      <c r="E24" s="181" t="s">
        <v>92</v>
      </c>
      <c r="F24" s="175">
        <v>1315</v>
      </c>
      <c r="G24" s="263" t="s">
        <v>113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138</v>
      </c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12509</v>
      </c>
      <c r="C25" s="132" t="s">
        <v>487</v>
      </c>
      <c r="D25" s="208" t="s">
        <v>488</v>
      </c>
      <c r="E25" s="181" t="s">
        <v>91</v>
      </c>
      <c r="F25" s="175">
        <v>1330</v>
      </c>
      <c r="G25" s="263" t="s">
        <v>113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138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3">
        <f>((C32+(R26+S26+T26)*0.5))</f>
        <v>1943.2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12510</v>
      </c>
      <c r="C26" s="27" t="s">
        <v>489</v>
      </c>
      <c r="D26" s="209" t="s">
        <v>490</v>
      </c>
      <c r="E26" s="181" t="s">
        <v>91</v>
      </c>
      <c r="F26" s="177">
        <v>1520</v>
      </c>
      <c r="G26" s="20" t="s">
        <v>113</v>
      </c>
      <c r="H26" s="89"/>
      <c r="I26" s="141">
        <v>95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138</v>
      </c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810</v>
      </c>
      <c r="I30" s="105">
        <f>SUM(I5:I29)</f>
        <v>875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258.2</v>
      </c>
      <c r="L30" s="106">
        <f t="shared" si="3"/>
        <v>0</v>
      </c>
      <c r="M30" s="106">
        <f t="shared" si="3"/>
        <v>1075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810</v>
      </c>
      <c r="I31" s="103">
        <f t="shared" si="4"/>
        <v>875</v>
      </c>
      <c r="J31" s="103">
        <f t="shared" si="4"/>
        <v>0</v>
      </c>
      <c r="K31" s="103">
        <f>K30+K62+K94</f>
        <v>258.2</v>
      </c>
      <c r="L31" s="97">
        <f>L30+L62+L94</f>
        <v>0</v>
      </c>
      <c r="M31" s="97">
        <f>M30+M62+M94</f>
        <v>1075</v>
      </c>
      <c r="N31" s="262">
        <f>COUNT(H5:H29,H37:H61,H69:H93)</f>
        <v>9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810</v>
      </c>
      <c r="T31" s="349">
        <f>H31+I31+L31+M31</f>
        <v>2760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1943.2</v>
      </c>
      <c r="D32" s="196"/>
      <c r="E32" s="107"/>
      <c r="F32" s="371" t="s">
        <v>53</v>
      </c>
      <c r="G32" s="371"/>
      <c r="H32" s="109">
        <f>COUNT(B5:B29,B37:B61,B69:B93)</f>
        <v>22</v>
      </c>
      <c r="I32" s="372" t="s">
        <v>54</v>
      </c>
      <c r="J32" s="372"/>
      <c r="K32" s="108">
        <f>C32/H32</f>
        <v>88.327272727272728</v>
      </c>
      <c r="L32" s="260"/>
      <c r="M32" s="260"/>
      <c r="N32" s="260">
        <f>H31/C32</f>
        <v>0.41683820502264307</v>
      </c>
      <c r="O32" s="260">
        <f>I31/C32</f>
        <v>0.45028818443804036</v>
      </c>
      <c r="P32" s="260">
        <f>K31/C32</f>
        <v>0.13287361053931659</v>
      </c>
      <c r="Q32" s="110">
        <f>J31/C32</f>
        <v>0</v>
      </c>
      <c r="R32" s="99" t="s">
        <v>82</v>
      </c>
      <c r="S32" s="266">
        <f>I31+M31</f>
        <v>1950</v>
      </c>
      <c r="T32" s="351"/>
      <c r="U32" s="352"/>
      <c r="V32" s="55"/>
      <c r="W32" s="55"/>
      <c r="X32" s="56" t="s">
        <v>27</v>
      </c>
      <c r="Y32" s="56"/>
      <c r="Z32" s="54">
        <f>I31</f>
        <v>875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-1870</v>
      </c>
      <c r="AE33" s="37"/>
      <c r="AF33" s="37"/>
      <c r="AG33" s="59"/>
      <c r="AH33" s="37"/>
    </row>
    <row r="34" spans="1:34" ht="17.25" thickBot="1" x14ac:dyDescent="0.35">
      <c r="A34" s="343" t="str">
        <f>A2</f>
        <v>27-11-2022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8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27-11-2022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8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0" workbookViewId="0">
      <selection activeCell="E23" sqref="E23:G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22"/>
      <c r="B1" s="622"/>
      <c r="C1" s="622"/>
      <c r="D1" s="622"/>
      <c r="E1" s="621" t="s">
        <v>59</v>
      </c>
      <c r="F1" s="621"/>
      <c r="G1" s="621"/>
      <c r="H1" s="621" t="s">
        <v>60</v>
      </c>
      <c r="I1" s="621"/>
      <c r="J1" s="621"/>
      <c r="K1" s="621"/>
      <c r="L1" s="621" t="s">
        <v>61</v>
      </c>
      <c r="M1" s="621"/>
      <c r="N1" s="621"/>
      <c r="O1" s="621"/>
      <c r="P1" s="621"/>
      <c r="Q1" s="621" t="s">
        <v>62</v>
      </c>
      <c r="R1" s="621"/>
      <c r="S1" s="621"/>
      <c r="T1" s="621"/>
      <c r="U1" s="621"/>
      <c r="V1" s="621" t="s">
        <v>63</v>
      </c>
      <c r="W1" s="621"/>
      <c r="X1" s="621"/>
      <c r="Y1" s="621"/>
      <c r="Z1" s="621"/>
      <c r="AA1" s="621" t="s">
        <v>64</v>
      </c>
      <c r="AB1" s="621"/>
      <c r="AC1" s="621"/>
      <c r="AD1" s="621"/>
    </row>
    <row r="2" spans="1:30" ht="20.100000000000001" customHeight="1" x14ac:dyDescent="0.3">
      <c r="A2" s="702" t="s">
        <v>66</v>
      </c>
      <c r="B2" s="512" t="s">
        <v>57</v>
      </c>
      <c r="C2" s="512"/>
      <c r="D2" s="537"/>
      <c r="E2" s="537">
        <f>MON!N31</f>
        <v>3</v>
      </c>
      <c r="F2" s="537"/>
      <c r="G2" s="537"/>
      <c r="H2" s="506">
        <f>MON!S31</f>
        <v>1105</v>
      </c>
      <c r="I2" s="506"/>
      <c r="J2" s="506"/>
      <c r="K2" s="506"/>
      <c r="L2" s="507">
        <f>MON!N32</f>
        <v>0.281589415813704</v>
      </c>
      <c r="M2" s="507"/>
      <c r="N2" s="507"/>
      <c r="O2" s="507"/>
      <c r="P2" s="507"/>
      <c r="Q2" s="567">
        <f>SUM(E2:G5)</f>
        <v>18</v>
      </c>
      <c r="R2" s="568"/>
      <c r="S2" s="568"/>
      <c r="T2" s="568"/>
      <c r="U2" s="569"/>
      <c r="V2" s="632">
        <f>SUM(H2,H3,H5)</f>
        <v>3300</v>
      </c>
      <c r="W2" s="633"/>
      <c r="X2" s="633"/>
      <c r="Y2" s="633"/>
      <c r="Z2" s="634"/>
      <c r="AA2" s="641">
        <f>V2/Q2</f>
        <v>183.33333333333334</v>
      </c>
      <c r="AB2" s="642"/>
      <c r="AC2" s="642"/>
      <c r="AD2" s="643"/>
    </row>
    <row r="3" spans="1:30" ht="20.100000000000001" customHeight="1" x14ac:dyDescent="0.3">
      <c r="A3" s="703"/>
      <c r="B3" s="512" t="s">
        <v>58</v>
      </c>
      <c r="C3" s="512"/>
      <c r="D3" s="537"/>
      <c r="E3" s="537">
        <f>MON!O31</f>
        <v>11</v>
      </c>
      <c r="F3" s="537"/>
      <c r="G3" s="537"/>
      <c r="H3" s="506">
        <f>MON!S32</f>
        <v>2195</v>
      </c>
      <c r="I3" s="506"/>
      <c r="J3" s="506"/>
      <c r="K3" s="506"/>
      <c r="L3" s="507">
        <f>MON!O32</f>
        <v>0.55647432172708167</v>
      </c>
      <c r="M3" s="507"/>
      <c r="N3" s="507"/>
      <c r="O3" s="507"/>
      <c r="P3" s="507"/>
      <c r="Q3" s="570"/>
      <c r="R3" s="571"/>
      <c r="S3" s="571"/>
      <c r="T3" s="571"/>
      <c r="U3" s="572"/>
      <c r="V3" s="635"/>
      <c r="W3" s="636"/>
      <c r="X3" s="636"/>
      <c r="Y3" s="636"/>
      <c r="Z3" s="637"/>
      <c r="AA3" s="644"/>
      <c r="AB3" s="645"/>
      <c r="AC3" s="645"/>
      <c r="AD3" s="646"/>
    </row>
    <row r="4" spans="1:30" ht="20.100000000000001" customHeight="1" x14ac:dyDescent="0.3">
      <c r="A4" s="703"/>
      <c r="B4" s="512" t="s">
        <v>45</v>
      </c>
      <c r="C4" s="512"/>
      <c r="D4" s="537"/>
      <c r="E4" s="537">
        <f>MON!P31</f>
        <v>4</v>
      </c>
      <c r="F4" s="537"/>
      <c r="G4" s="537"/>
      <c r="H4" s="506">
        <f>MON!K31</f>
        <v>362.29999999999995</v>
      </c>
      <c r="I4" s="506"/>
      <c r="J4" s="506"/>
      <c r="K4" s="506"/>
      <c r="L4" s="507">
        <f>MON!P32</f>
        <v>0.16193626245921419</v>
      </c>
      <c r="M4" s="507"/>
      <c r="N4" s="507"/>
      <c r="O4" s="507"/>
      <c r="P4" s="507"/>
      <c r="Q4" s="570"/>
      <c r="R4" s="571"/>
      <c r="S4" s="571"/>
      <c r="T4" s="571"/>
      <c r="U4" s="572"/>
      <c r="V4" s="635"/>
      <c r="W4" s="636"/>
      <c r="X4" s="636"/>
      <c r="Y4" s="636"/>
      <c r="Z4" s="637"/>
      <c r="AA4" s="644"/>
      <c r="AB4" s="645"/>
      <c r="AC4" s="645"/>
      <c r="AD4" s="646"/>
    </row>
    <row r="5" spans="1:30" ht="20.100000000000001" customHeight="1" x14ac:dyDescent="0.3">
      <c r="A5" s="703"/>
      <c r="B5" s="510" t="s">
        <v>65</v>
      </c>
      <c r="C5" s="511"/>
      <c r="D5" s="512"/>
      <c r="E5" s="510">
        <f>MON!Q31</f>
        <v>0</v>
      </c>
      <c r="F5" s="511"/>
      <c r="G5" s="512"/>
      <c r="H5" s="559">
        <f>MON!J31</f>
        <v>0</v>
      </c>
      <c r="I5" s="560"/>
      <c r="J5" s="560"/>
      <c r="K5" s="561"/>
      <c r="L5" s="562">
        <f>MON!Q32</f>
        <v>0</v>
      </c>
      <c r="M5" s="563"/>
      <c r="N5" s="563"/>
      <c r="O5" s="563"/>
      <c r="P5" s="564"/>
      <c r="Q5" s="573"/>
      <c r="R5" s="574"/>
      <c r="S5" s="574"/>
      <c r="T5" s="574"/>
      <c r="U5" s="575"/>
      <c r="V5" s="638"/>
      <c r="W5" s="639"/>
      <c r="X5" s="639"/>
      <c r="Y5" s="639"/>
      <c r="Z5" s="640"/>
      <c r="AA5" s="647"/>
      <c r="AB5" s="648"/>
      <c r="AC5" s="648"/>
      <c r="AD5" s="649"/>
    </row>
    <row r="6" spans="1:30" ht="20.100000000000001" customHeight="1" x14ac:dyDescent="0.3">
      <c r="A6" s="704"/>
      <c r="B6" s="510" t="s">
        <v>94</v>
      </c>
      <c r="C6" s="511"/>
      <c r="D6" s="512"/>
      <c r="E6" s="510">
        <f>MON!U16</f>
        <v>45</v>
      </c>
      <c r="F6" s="511"/>
      <c r="G6" s="512"/>
      <c r="H6" s="559" t="s">
        <v>95</v>
      </c>
      <c r="I6" s="560"/>
      <c r="J6" s="560"/>
      <c r="K6" s="561"/>
      <c r="L6" s="615">
        <f>MON!T2</f>
        <v>7</v>
      </c>
      <c r="M6" s="616"/>
      <c r="N6" s="616"/>
      <c r="O6" s="616"/>
      <c r="P6" s="617"/>
      <c r="Q6" s="618"/>
      <c r="R6" s="619"/>
      <c r="S6" s="619"/>
      <c r="T6" s="619"/>
      <c r="U6" s="620"/>
      <c r="V6" s="723"/>
      <c r="W6" s="724"/>
      <c r="X6" s="724"/>
      <c r="Y6" s="724"/>
      <c r="Z6" s="725"/>
      <c r="AA6" s="726"/>
      <c r="AB6" s="727"/>
      <c r="AC6" s="727"/>
      <c r="AD6" s="728"/>
    </row>
    <row r="7" spans="1:30" ht="20.100000000000001" customHeight="1" x14ac:dyDescent="0.3">
      <c r="A7" s="705" t="s">
        <v>67</v>
      </c>
      <c r="B7" s="529" t="s">
        <v>57</v>
      </c>
      <c r="C7" s="529"/>
      <c r="D7" s="530"/>
      <c r="E7" s="530">
        <f>TUE!N31</f>
        <v>7</v>
      </c>
      <c r="F7" s="530"/>
      <c r="G7" s="530"/>
      <c r="H7" s="508">
        <f>TUE!S31</f>
        <v>550</v>
      </c>
      <c r="I7" s="508"/>
      <c r="J7" s="508"/>
      <c r="K7" s="508"/>
      <c r="L7" s="520">
        <f>TUE!N32</f>
        <v>0.23133738243854837</v>
      </c>
      <c r="M7" s="521"/>
      <c r="N7" s="521"/>
      <c r="O7" s="521"/>
      <c r="P7" s="522"/>
      <c r="Q7" s="597">
        <f>SUM(E7:G10)</f>
        <v>23</v>
      </c>
      <c r="R7" s="598"/>
      <c r="S7" s="598"/>
      <c r="T7" s="598"/>
      <c r="U7" s="599"/>
      <c r="V7" s="623">
        <f>SUM(H7,H8,H10)</f>
        <v>2140</v>
      </c>
      <c r="W7" s="624"/>
      <c r="X7" s="624"/>
      <c r="Y7" s="624"/>
      <c r="Z7" s="625"/>
      <c r="AA7" s="650">
        <f>V7/Q7</f>
        <v>93.043478260869563</v>
      </c>
      <c r="AB7" s="651"/>
      <c r="AC7" s="651"/>
      <c r="AD7" s="652"/>
    </row>
    <row r="8" spans="1:30" ht="20.100000000000001" customHeight="1" x14ac:dyDescent="0.3">
      <c r="A8" s="706"/>
      <c r="B8" s="529" t="s">
        <v>58</v>
      </c>
      <c r="C8" s="529"/>
      <c r="D8" s="530"/>
      <c r="E8" s="530">
        <f>TUE!O31</f>
        <v>13</v>
      </c>
      <c r="F8" s="530"/>
      <c r="G8" s="530"/>
      <c r="H8" s="508">
        <f>TUE!S32</f>
        <v>1590</v>
      </c>
      <c r="I8" s="508"/>
      <c r="J8" s="508"/>
      <c r="K8" s="508"/>
      <c r="L8" s="520">
        <f>TUE!O32</f>
        <v>0.66877534195871258</v>
      </c>
      <c r="M8" s="521"/>
      <c r="N8" s="521"/>
      <c r="O8" s="521"/>
      <c r="P8" s="522"/>
      <c r="Q8" s="600"/>
      <c r="R8" s="601"/>
      <c r="S8" s="601"/>
      <c r="T8" s="601"/>
      <c r="U8" s="602"/>
      <c r="V8" s="626"/>
      <c r="W8" s="627"/>
      <c r="X8" s="627"/>
      <c r="Y8" s="627"/>
      <c r="Z8" s="628"/>
      <c r="AA8" s="653"/>
      <c r="AB8" s="654"/>
      <c r="AC8" s="654"/>
      <c r="AD8" s="655"/>
    </row>
    <row r="9" spans="1:30" ht="20.100000000000001" customHeight="1" x14ac:dyDescent="0.3">
      <c r="A9" s="706"/>
      <c r="B9" s="529" t="s">
        <v>45</v>
      </c>
      <c r="C9" s="529"/>
      <c r="D9" s="530"/>
      <c r="E9" s="530">
        <f>TUE!P31</f>
        <v>3</v>
      </c>
      <c r="F9" s="530"/>
      <c r="G9" s="530"/>
      <c r="H9" s="508">
        <f>TUE!K31</f>
        <v>237.48</v>
      </c>
      <c r="I9" s="508"/>
      <c r="J9" s="508"/>
      <c r="K9" s="508"/>
      <c r="L9" s="520">
        <f>TUE!P32</f>
        <v>9.9887275602739023E-2</v>
      </c>
      <c r="M9" s="521"/>
      <c r="N9" s="521"/>
      <c r="O9" s="521"/>
      <c r="P9" s="522"/>
      <c r="Q9" s="600"/>
      <c r="R9" s="601"/>
      <c r="S9" s="601"/>
      <c r="T9" s="601"/>
      <c r="U9" s="602"/>
      <c r="V9" s="626"/>
      <c r="W9" s="627"/>
      <c r="X9" s="627"/>
      <c r="Y9" s="627"/>
      <c r="Z9" s="628"/>
      <c r="AA9" s="653"/>
      <c r="AB9" s="654"/>
      <c r="AC9" s="654"/>
      <c r="AD9" s="655"/>
    </row>
    <row r="10" spans="1:30" ht="20.100000000000001" customHeight="1" x14ac:dyDescent="0.3">
      <c r="A10" s="706"/>
      <c r="B10" s="565" t="s">
        <v>65</v>
      </c>
      <c r="C10" s="566"/>
      <c r="D10" s="529"/>
      <c r="E10" s="565">
        <f>TUE!Q31</f>
        <v>0</v>
      </c>
      <c r="F10" s="566"/>
      <c r="G10" s="529"/>
      <c r="H10" s="538">
        <f>TUE!J31</f>
        <v>0</v>
      </c>
      <c r="I10" s="539"/>
      <c r="J10" s="539"/>
      <c r="K10" s="540"/>
      <c r="L10" s="520">
        <f>TUE!Q32</f>
        <v>0</v>
      </c>
      <c r="M10" s="521"/>
      <c r="N10" s="521"/>
      <c r="O10" s="521"/>
      <c r="P10" s="522"/>
      <c r="Q10" s="603"/>
      <c r="R10" s="604"/>
      <c r="S10" s="604"/>
      <c r="T10" s="604"/>
      <c r="U10" s="605"/>
      <c r="V10" s="629"/>
      <c r="W10" s="630"/>
      <c r="X10" s="630"/>
      <c r="Y10" s="630"/>
      <c r="Z10" s="631"/>
      <c r="AA10" s="656"/>
      <c r="AB10" s="657"/>
      <c r="AC10" s="657"/>
      <c r="AD10" s="658"/>
    </row>
    <row r="11" spans="1:30" ht="20.100000000000001" customHeight="1" x14ac:dyDescent="0.3">
      <c r="A11" s="707"/>
      <c r="B11" s="565" t="s">
        <v>94</v>
      </c>
      <c r="C11" s="566"/>
      <c r="D11" s="529"/>
      <c r="E11" s="565">
        <f>TUE!U16</f>
        <v>45</v>
      </c>
      <c r="F11" s="566"/>
      <c r="G11" s="529"/>
      <c r="H11" s="538" t="s">
        <v>95</v>
      </c>
      <c r="I11" s="539"/>
      <c r="J11" s="539"/>
      <c r="K11" s="540"/>
      <c r="L11" s="729">
        <f>TUE!T2</f>
        <v>6</v>
      </c>
      <c r="M11" s="730"/>
      <c r="N11" s="730"/>
      <c r="O11" s="730"/>
      <c r="P11" s="731"/>
      <c r="Q11" s="732"/>
      <c r="R11" s="733"/>
      <c r="S11" s="733"/>
      <c r="T11" s="733"/>
      <c r="U11" s="734"/>
      <c r="V11" s="735"/>
      <c r="W11" s="736"/>
      <c r="X11" s="736"/>
      <c r="Y11" s="736"/>
      <c r="Z11" s="737"/>
      <c r="AA11" s="738"/>
      <c r="AB11" s="739"/>
      <c r="AC11" s="739"/>
      <c r="AD11" s="740"/>
    </row>
    <row r="12" spans="1:30" ht="20.100000000000001" customHeight="1" x14ac:dyDescent="0.3">
      <c r="A12" s="708" t="s">
        <v>68</v>
      </c>
      <c r="B12" s="513" t="s">
        <v>57</v>
      </c>
      <c r="C12" s="513"/>
      <c r="D12" s="319"/>
      <c r="E12" s="319">
        <f>WED!N31</f>
        <v>3</v>
      </c>
      <c r="F12" s="319"/>
      <c r="G12" s="319"/>
      <c r="H12" s="514">
        <f>WED!S31</f>
        <v>310</v>
      </c>
      <c r="I12" s="515"/>
      <c r="J12" s="515"/>
      <c r="K12" s="516"/>
      <c r="L12" s="517">
        <f>WED!N32</f>
        <v>0.27295940829444393</v>
      </c>
      <c r="M12" s="518"/>
      <c r="N12" s="518"/>
      <c r="O12" s="518"/>
      <c r="P12" s="519"/>
      <c r="Q12" s="576">
        <f>SUM(E12:G15)</f>
        <v>13</v>
      </c>
      <c r="R12" s="577"/>
      <c r="S12" s="577"/>
      <c r="T12" s="577"/>
      <c r="U12" s="578"/>
      <c r="V12" s="750">
        <f>SUM(H12,H13,H15)</f>
        <v>1390</v>
      </c>
      <c r="W12" s="751"/>
      <c r="X12" s="751"/>
      <c r="Y12" s="751"/>
      <c r="Z12" s="752"/>
      <c r="AA12" s="741">
        <f>V12/Q12</f>
        <v>106.92307692307692</v>
      </c>
      <c r="AB12" s="742"/>
      <c r="AC12" s="742"/>
      <c r="AD12" s="743"/>
    </row>
    <row r="13" spans="1:30" ht="20.100000000000001" customHeight="1" x14ac:dyDescent="0.3">
      <c r="A13" s="709"/>
      <c r="B13" s="513" t="s">
        <v>58</v>
      </c>
      <c r="C13" s="513"/>
      <c r="D13" s="319"/>
      <c r="E13" s="319">
        <f>WED!O31</f>
        <v>7</v>
      </c>
      <c r="F13" s="319"/>
      <c r="G13" s="319"/>
      <c r="H13" s="514">
        <f>WED!S32</f>
        <v>1080</v>
      </c>
      <c r="I13" s="515"/>
      <c r="J13" s="515"/>
      <c r="K13" s="516"/>
      <c r="L13" s="517">
        <f>WED!O32</f>
        <v>0.53271110328431803</v>
      </c>
      <c r="M13" s="518"/>
      <c r="N13" s="518"/>
      <c r="O13" s="518"/>
      <c r="P13" s="519"/>
      <c r="Q13" s="579"/>
      <c r="R13" s="580"/>
      <c r="S13" s="580"/>
      <c r="T13" s="580"/>
      <c r="U13" s="581"/>
      <c r="V13" s="753"/>
      <c r="W13" s="754"/>
      <c r="X13" s="754"/>
      <c r="Y13" s="754"/>
      <c r="Z13" s="755"/>
      <c r="AA13" s="744"/>
      <c r="AB13" s="745"/>
      <c r="AC13" s="745"/>
      <c r="AD13" s="746"/>
    </row>
    <row r="14" spans="1:30" ht="20.100000000000001" customHeight="1" x14ac:dyDescent="0.3">
      <c r="A14" s="709"/>
      <c r="B14" s="513" t="s">
        <v>45</v>
      </c>
      <c r="C14" s="513"/>
      <c r="D14" s="319"/>
      <c r="E14" s="319">
        <f>WED!P31</f>
        <v>3</v>
      </c>
      <c r="F14" s="319"/>
      <c r="G14" s="319"/>
      <c r="H14" s="514">
        <f>WED!K31</f>
        <v>220.7</v>
      </c>
      <c r="I14" s="515"/>
      <c r="J14" s="515"/>
      <c r="K14" s="516"/>
      <c r="L14" s="517">
        <f>WED!P32</f>
        <v>0.19432948842123798</v>
      </c>
      <c r="M14" s="518"/>
      <c r="N14" s="518"/>
      <c r="O14" s="518"/>
      <c r="P14" s="519"/>
      <c r="Q14" s="579"/>
      <c r="R14" s="580"/>
      <c r="S14" s="580"/>
      <c r="T14" s="580"/>
      <c r="U14" s="581"/>
      <c r="V14" s="753"/>
      <c r="W14" s="754"/>
      <c r="X14" s="754"/>
      <c r="Y14" s="754"/>
      <c r="Z14" s="755"/>
      <c r="AA14" s="744"/>
      <c r="AB14" s="745"/>
      <c r="AC14" s="745"/>
      <c r="AD14" s="746"/>
    </row>
    <row r="15" spans="1:30" ht="20.100000000000001" customHeight="1" x14ac:dyDescent="0.3">
      <c r="A15" s="709"/>
      <c r="B15" s="531" t="s">
        <v>65</v>
      </c>
      <c r="C15" s="532"/>
      <c r="D15" s="513"/>
      <c r="E15" s="531">
        <f>WED!Q31</f>
        <v>0</v>
      </c>
      <c r="F15" s="532"/>
      <c r="G15" s="513"/>
      <c r="H15" s="514">
        <f>WED!J31</f>
        <v>0</v>
      </c>
      <c r="I15" s="515"/>
      <c r="J15" s="515"/>
      <c r="K15" s="516"/>
      <c r="L15" s="517">
        <f>WED!Q32</f>
        <v>0</v>
      </c>
      <c r="M15" s="518"/>
      <c r="N15" s="518"/>
      <c r="O15" s="518"/>
      <c r="P15" s="519"/>
      <c r="Q15" s="582"/>
      <c r="R15" s="583"/>
      <c r="S15" s="583"/>
      <c r="T15" s="583"/>
      <c r="U15" s="584"/>
      <c r="V15" s="756"/>
      <c r="W15" s="757"/>
      <c r="X15" s="757"/>
      <c r="Y15" s="757"/>
      <c r="Z15" s="758"/>
      <c r="AA15" s="747"/>
      <c r="AB15" s="748"/>
      <c r="AC15" s="748"/>
      <c r="AD15" s="749"/>
    </row>
    <row r="16" spans="1:30" ht="20.100000000000001" customHeight="1" x14ac:dyDescent="0.3">
      <c r="A16" s="710"/>
      <c r="B16" s="531" t="s">
        <v>94</v>
      </c>
      <c r="C16" s="532"/>
      <c r="D16" s="513"/>
      <c r="E16" s="531">
        <f>WED!U16</f>
        <v>36.25</v>
      </c>
      <c r="F16" s="532"/>
      <c r="G16" s="513"/>
      <c r="H16" s="514" t="s">
        <v>95</v>
      </c>
      <c r="I16" s="515"/>
      <c r="J16" s="515"/>
      <c r="K16" s="516"/>
      <c r="L16" s="534">
        <f>WED!T2</f>
        <v>6</v>
      </c>
      <c r="M16" s="535"/>
      <c r="N16" s="535"/>
      <c r="O16" s="535"/>
      <c r="P16" s="536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11" t="s">
        <v>69</v>
      </c>
      <c r="B17" s="478" t="s">
        <v>57</v>
      </c>
      <c r="C17" s="478"/>
      <c r="D17" s="524"/>
      <c r="E17" s="524">
        <f>THU!N31</f>
        <v>7</v>
      </c>
      <c r="F17" s="524"/>
      <c r="G17" s="524"/>
      <c r="H17" s="533">
        <f>THU!S31</f>
        <v>660</v>
      </c>
      <c r="I17" s="533"/>
      <c r="J17" s="533"/>
      <c r="K17" s="533"/>
      <c r="L17" s="523">
        <f>THU!N32</f>
        <v>0.26923390715509504</v>
      </c>
      <c r="M17" s="523"/>
      <c r="N17" s="523"/>
      <c r="O17" s="523"/>
      <c r="P17" s="523"/>
      <c r="Q17" s="606">
        <f>SUM(E17:G20)</f>
        <v>28</v>
      </c>
      <c r="R17" s="607"/>
      <c r="S17" s="607"/>
      <c r="T17" s="607"/>
      <c r="U17" s="608"/>
      <c r="V17" s="550">
        <f>SUM(H17,H18,H20)</f>
        <v>2235</v>
      </c>
      <c r="W17" s="551"/>
      <c r="X17" s="551"/>
      <c r="Y17" s="551"/>
      <c r="Z17" s="552"/>
      <c r="AA17" s="541">
        <f>V17/Q17</f>
        <v>79.821428571428569</v>
      </c>
      <c r="AB17" s="542"/>
      <c r="AC17" s="542"/>
      <c r="AD17" s="543"/>
    </row>
    <row r="18" spans="1:30" ht="20.100000000000001" customHeight="1" x14ac:dyDescent="0.3">
      <c r="A18" s="712"/>
      <c r="B18" s="478" t="s">
        <v>58</v>
      </c>
      <c r="C18" s="478"/>
      <c r="D18" s="524"/>
      <c r="E18" s="524">
        <f>THU!O31</f>
        <v>12</v>
      </c>
      <c r="F18" s="524"/>
      <c r="G18" s="524"/>
      <c r="H18" s="533">
        <f>THU!S32</f>
        <v>1575</v>
      </c>
      <c r="I18" s="533"/>
      <c r="J18" s="533"/>
      <c r="K18" s="533"/>
      <c r="L18" s="523">
        <f>THU!O32</f>
        <v>0.44872317859182509</v>
      </c>
      <c r="M18" s="523"/>
      <c r="N18" s="523"/>
      <c r="O18" s="523"/>
      <c r="P18" s="523"/>
      <c r="Q18" s="609"/>
      <c r="R18" s="610"/>
      <c r="S18" s="610"/>
      <c r="T18" s="610"/>
      <c r="U18" s="611"/>
      <c r="V18" s="553"/>
      <c r="W18" s="554"/>
      <c r="X18" s="554"/>
      <c r="Y18" s="554"/>
      <c r="Z18" s="555"/>
      <c r="AA18" s="544"/>
      <c r="AB18" s="545"/>
      <c r="AC18" s="545"/>
      <c r="AD18" s="546"/>
    </row>
    <row r="19" spans="1:30" ht="20.100000000000001" customHeight="1" x14ac:dyDescent="0.3">
      <c r="A19" s="712"/>
      <c r="B19" s="478" t="s">
        <v>45</v>
      </c>
      <c r="C19" s="478"/>
      <c r="D19" s="524"/>
      <c r="E19" s="524">
        <f>THU!P31</f>
        <v>9</v>
      </c>
      <c r="F19" s="524"/>
      <c r="G19" s="524"/>
      <c r="H19" s="533">
        <f>THU!K31</f>
        <v>691.4</v>
      </c>
      <c r="I19" s="533"/>
      <c r="J19" s="533"/>
      <c r="K19" s="533"/>
      <c r="L19" s="523">
        <f>THU!P32</f>
        <v>0.28204291425307987</v>
      </c>
      <c r="M19" s="523"/>
      <c r="N19" s="523"/>
      <c r="O19" s="523"/>
      <c r="P19" s="523"/>
      <c r="Q19" s="609"/>
      <c r="R19" s="610"/>
      <c r="S19" s="610"/>
      <c r="T19" s="610"/>
      <c r="U19" s="611"/>
      <c r="V19" s="553"/>
      <c r="W19" s="554"/>
      <c r="X19" s="554"/>
      <c r="Y19" s="554"/>
      <c r="Z19" s="555"/>
      <c r="AA19" s="544"/>
      <c r="AB19" s="545"/>
      <c r="AC19" s="545"/>
      <c r="AD19" s="546"/>
    </row>
    <row r="20" spans="1:30" ht="20.100000000000001" customHeight="1" x14ac:dyDescent="0.3">
      <c r="A20" s="712"/>
      <c r="B20" s="476" t="s">
        <v>65</v>
      </c>
      <c r="C20" s="477"/>
      <c r="D20" s="478"/>
      <c r="E20" s="476">
        <f>THU!Q31</f>
        <v>0</v>
      </c>
      <c r="F20" s="477"/>
      <c r="G20" s="478"/>
      <c r="H20" s="470">
        <f>THU!J31</f>
        <v>0</v>
      </c>
      <c r="I20" s="471"/>
      <c r="J20" s="471"/>
      <c r="K20" s="472"/>
      <c r="L20" s="526">
        <f>THU!Q32</f>
        <v>0</v>
      </c>
      <c r="M20" s="527"/>
      <c r="N20" s="527"/>
      <c r="O20" s="527"/>
      <c r="P20" s="528"/>
      <c r="Q20" s="612"/>
      <c r="R20" s="613"/>
      <c r="S20" s="613"/>
      <c r="T20" s="613"/>
      <c r="U20" s="614"/>
      <c r="V20" s="556"/>
      <c r="W20" s="557"/>
      <c r="X20" s="557"/>
      <c r="Y20" s="557"/>
      <c r="Z20" s="558"/>
      <c r="AA20" s="547"/>
      <c r="AB20" s="548"/>
      <c r="AC20" s="548"/>
      <c r="AD20" s="549"/>
    </row>
    <row r="21" spans="1:30" ht="20.100000000000001" customHeight="1" x14ac:dyDescent="0.3">
      <c r="A21" s="713"/>
      <c r="B21" s="476" t="s">
        <v>94</v>
      </c>
      <c r="C21" s="477"/>
      <c r="D21" s="478"/>
      <c r="E21" s="476">
        <f>THU!U16</f>
        <v>62</v>
      </c>
      <c r="F21" s="477"/>
      <c r="G21" s="478"/>
      <c r="H21" s="470" t="s">
        <v>95</v>
      </c>
      <c r="I21" s="471"/>
      <c r="J21" s="471"/>
      <c r="K21" s="472"/>
      <c r="L21" s="435">
        <f>THU!T2</f>
        <v>7</v>
      </c>
      <c r="M21" s="436"/>
      <c r="N21" s="436"/>
      <c r="O21" s="436"/>
      <c r="P21" s="437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14" t="s">
        <v>93</v>
      </c>
      <c r="B22" s="433" t="s">
        <v>57</v>
      </c>
      <c r="C22" s="433"/>
      <c r="D22" s="434"/>
      <c r="E22" s="434">
        <f>FRI!N31</f>
        <v>7</v>
      </c>
      <c r="F22" s="434"/>
      <c r="G22" s="434"/>
      <c r="H22" s="525">
        <f>FRI!S31</f>
        <v>595</v>
      </c>
      <c r="I22" s="525"/>
      <c r="J22" s="525"/>
      <c r="K22" s="525"/>
      <c r="L22" s="509">
        <f>FRI!N32</f>
        <v>0.25582375248299527</v>
      </c>
      <c r="M22" s="509"/>
      <c r="N22" s="509"/>
      <c r="O22" s="509"/>
      <c r="P22" s="509"/>
      <c r="Q22" s="488">
        <f>SUM(E22:G25)</f>
        <v>25</v>
      </c>
      <c r="R22" s="489"/>
      <c r="S22" s="489"/>
      <c r="T22" s="489"/>
      <c r="U22" s="490"/>
      <c r="V22" s="497">
        <f>SUM(H22,H23,H25)</f>
        <v>2330</v>
      </c>
      <c r="W22" s="498"/>
      <c r="X22" s="498"/>
      <c r="Y22" s="498"/>
      <c r="Z22" s="499"/>
      <c r="AA22" s="441">
        <f>V22/Q22</f>
        <v>93.2</v>
      </c>
      <c r="AB22" s="442"/>
      <c r="AC22" s="442"/>
      <c r="AD22" s="443"/>
    </row>
    <row r="23" spans="1:30" ht="20.100000000000001" customHeight="1" x14ac:dyDescent="0.3">
      <c r="A23" s="715"/>
      <c r="B23" s="433" t="s">
        <v>58</v>
      </c>
      <c r="C23" s="433"/>
      <c r="D23" s="434"/>
      <c r="E23" s="479">
        <f>FRI!O31</f>
        <v>13</v>
      </c>
      <c r="F23" s="480"/>
      <c r="G23" s="433"/>
      <c r="H23" s="473">
        <f>FRI!S32</f>
        <v>1735</v>
      </c>
      <c r="I23" s="474"/>
      <c r="J23" s="474"/>
      <c r="K23" s="475"/>
      <c r="L23" s="509">
        <f>FRI!O32</f>
        <v>0.54174441702281351</v>
      </c>
      <c r="M23" s="509"/>
      <c r="N23" s="509"/>
      <c r="O23" s="509"/>
      <c r="P23" s="509"/>
      <c r="Q23" s="491"/>
      <c r="R23" s="492"/>
      <c r="S23" s="492"/>
      <c r="T23" s="492"/>
      <c r="U23" s="493"/>
      <c r="V23" s="500"/>
      <c r="W23" s="501"/>
      <c r="X23" s="501"/>
      <c r="Y23" s="501"/>
      <c r="Z23" s="502"/>
      <c r="AA23" s="444"/>
      <c r="AB23" s="445"/>
      <c r="AC23" s="445"/>
      <c r="AD23" s="446"/>
    </row>
    <row r="24" spans="1:30" ht="20.100000000000001" customHeight="1" x14ac:dyDescent="0.3">
      <c r="A24" s="715"/>
      <c r="B24" s="433" t="s">
        <v>45</v>
      </c>
      <c r="C24" s="433"/>
      <c r="D24" s="434"/>
      <c r="E24" s="434">
        <f>FRI!P31</f>
        <v>5</v>
      </c>
      <c r="F24" s="434"/>
      <c r="G24" s="434"/>
      <c r="H24" s="525">
        <f>FRI!K31</f>
        <v>470.81999999999994</v>
      </c>
      <c r="I24" s="525"/>
      <c r="J24" s="525"/>
      <c r="K24" s="525"/>
      <c r="L24" s="509">
        <f>FRI!P32</f>
        <v>0.20243183049419131</v>
      </c>
      <c r="M24" s="509"/>
      <c r="N24" s="509"/>
      <c r="O24" s="509"/>
      <c r="P24" s="509"/>
      <c r="Q24" s="491"/>
      <c r="R24" s="492"/>
      <c r="S24" s="492"/>
      <c r="T24" s="492"/>
      <c r="U24" s="493"/>
      <c r="V24" s="500"/>
      <c r="W24" s="501"/>
      <c r="X24" s="501"/>
      <c r="Y24" s="501"/>
      <c r="Z24" s="502"/>
      <c r="AA24" s="444"/>
      <c r="AB24" s="445"/>
      <c r="AC24" s="445"/>
      <c r="AD24" s="446"/>
    </row>
    <row r="25" spans="1:30" ht="20.100000000000001" customHeight="1" x14ac:dyDescent="0.3">
      <c r="A25" s="715"/>
      <c r="B25" s="479" t="s">
        <v>65</v>
      </c>
      <c r="C25" s="480"/>
      <c r="D25" s="433"/>
      <c r="E25" s="479">
        <f>FRI!Q31</f>
        <v>0</v>
      </c>
      <c r="F25" s="480"/>
      <c r="G25" s="433"/>
      <c r="H25" s="473">
        <f>FRI!J31</f>
        <v>0</v>
      </c>
      <c r="I25" s="474"/>
      <c r="J25" s="474"/>
      <c r="K25" s="475"/>
      <c r="L25" s="485">
        <f>FRI!Q32</f>
        <v>0</v>
      </c>
      <c r="M25" s="486"/>
      <c r="N25" s="486"/>
      <c r="O25" s="486"/>
      <c r="P25" s="487"/>
      <c r="Q25" s="494"/>
      <c r="R25" s="495"/>
      <c r="S25" s="495"/>
      <c r="T25" s="495"/>
      <c r="U25" s="496"/>
      <c r="V25" s="503"/>
      <c r="W25" s="504"/>
      <c r="X25" s="504"/>
      <c r="Y25" s="504"/>
      <c r="Z25" s="505"/>
      <c r="AA25" s="447"/>
      <c r="AB25" s="448"/>
      <c r="AC25" s="448"/>
      <c r="AD25" s="449"/>
    </row>
    <row r="26" spans="1:30" ht="20.100000000000001" customHeight="1" x14ac:dyDescent="0.3">
      <c r="A26" s="716"/>
      <c r="B26" s="479" t="s">
        <v>94</v>
      </c>
      <c r="C26" s="480"/>
      <c r="D26" s="433"/>
      <c r="E26" s="479">
        <f>FRI!U16</f>
        <v>54.5</v>
      </c>
      <c r="F26" s="480"/>
      <c r="G26" s="433"/>
      <c r="H26" s="473" t="s">
        <v>95</v>
      </c>
      <c r="I26" s="474"/>
      <c r="J26" s="474"/>
      <c r="K26" s="475"/>
      <c r="L26" s="438">
        <f>FRI!T2</f>
        <v>8</v>
      </c>
      <c r="M26" s="439"/>
      <c r="N26" s="439"/>
      <c r="O26" s="439"/>
      <c r="P26" s="440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17" t="s">
        <v>70</v>
      </c>
      <c r="B27" s="483" t="s">
        <v>57</v>
      </c>
      <c r="C27" s="483"/>
      <c r="D27" s="468"/>
      <c r="E27" s="468">
        <f>SAT!N31</f>
        <v>7</v>
      </c>
      <c r="F27" s="468"/>
      <c r="G27" s="468"/>
      <c r="H27" s="469">
        <f>SAT!S31</f>
        <v>815</v>
      </c>
      <c r="I27" s="469"/>
      <c r="J27" s="469"/>
      <c r="K27" s="469"/>
      <c r="L27" s="484">
        <f>SAT!N32</f>
        <v>0.2720475332131651</v>
      </c>
      <c r="M27" s="484"/>
      <c r="N27" s="484"/>
      <c r="O27" s="484"/>
      <c r="P27" s="484"/>
      <c r="Q27" s="585">
        <f>SUM(E27:G30)</f>
        <v>31</v>
      </c>
      <c r="R27" s="586"/>
      <c r="S27" s="586"/>
      <c r="T27" s="586"/>
      <c r="U27" s="587"/>
      <c r="V27" s="459">
        <f>SUM(H27,H28,H30)</f>
        <v>5700</v>
      </c>
      <c r="W27" s="460"/>
      <c r="X27" s="460"/>
      <c r="Y27" s="460"/>
      <c r="Z27" s="461"/>
      <c r="AA27" s="450">
        <f>V27/Q27</f>
        <v>183.87096774193549</v>
      </c>
      <c r="AB27" s="451"/>
      <c r="AC27" s="451"/>
      <c r="AD27" s="452"/>
    </row>
    <row r="28" spans="1:30" ht="20.100000000000001" customHeight="1" x14ac:dyDescent="0.3">
      <c r="A28" s="718"/>
      <c r="B28" s="483" t="s">
        <v>58</v>
      </c>
      <c r="C28" s="483"/>
      <c r="D28" s="468"/>
      <c r="E28" s="468">
        <f>SAT!O31</f>
        <v>13</v>
      </c>
      <c r="F28" s="468"/>
      <c r="G28" s="468"/>
      <c r="H28" s="469">
        <f>SAT!S32</f>
        <v>4885</v>
      </c>
      <c r="I28" s="469"/>
      <c r="J28" s="469"/>
      <c r="K28" s="469"/>
      <c r="L28" s="484">
        <f>SAT!O32</f>
        <v>0.38720875892916756</v>
      </c>
      <c r="M28" s="484"/>
      <c r="N28" s="484"/>
      <c r="O28" s="484"/>
      <c r="P28" s="484"/>
      <c r="Q28" s="588"/>
      <c r="R28" s="589"/>
      <c r="S28" s="589"/>
      <c r="T28" s="589"/>
      <c r="U28" s="590"/>
      <c r="V28" s="462"/>
      <c r="W28" s="463"/>
      <c r="X28" s="463"/>
      <c r="Y28" s="463"/>
      <c r="Z28" s="464"/>
      <c r="AA28" s="453"/>
      <c r="AB28" s="454"/>
      <c r="AC28" s="454"/>
      <c r="AD28" s="455"/>
    </row>
    <row r="29" spans="1:30" ht="20.100000000000001" customHeight="1" x14ac:dyDescent="0.3">
      <c r="A29" s="718"/>
      <c r="B29" s="483" t="s">
        <v>45</v>
      </c>
      <c r="C29" s="483"/>
      <c r="D29" s="468"/>
      <c r="E29" s="468">
        <f>SAT!P31</f>
        <v>11</v>
      </c>
      <c r="F29" s="468"/>
      <c r="G29" s="468"/>
      <c r="H29" s="469">
        <f>SAT!K31</f>
        <v>1020.7999999999998</v>
      </c>
      <c r="I29" s="469"/>
      <c r="J29" s="469"/>
      <c r="K29" s="469"/>
      <c r="L29" s="484">
        <f>SAT!P32</f>
        <v>0.34074370785766739</v>
      </c>
      <c r="M29" s="484"/>
      <c r="N29" s="484"/>
      <c r="O29" s="484"/>
      <c r="P29" s="484"/>
      <c r="Q29" s="588"/>
      <c r="R29" s="589"/>
      <c r="S29" s="589"/>
      <c r="T29" s="589"/>
      <c r="U29" s="590"/>
      <c r="V29" s="462"/>
      <c r="W29" s="463"/>
      <c r="X29" s="463"/>
      <c r="Y29" s="463"/>
      <c r="Z29" s="464"/>
      <c r="AA29" s="453"/>
      <c r="AB29" s="454"/>
      <c r="AC29" s="454"/>
      <c r="AD29" s="455"/>
    </row>
    <row r="30" spans="1:30" ht="20.100000000000001" customHeight="1" x14ac:dyDescent="0.3">
      <c r="A30" s="718"/>
      <c r="B30" s="481" t="s">
        <v>65</v>
      </c>
      <c r="C30" s="482"/>
      <c r="D30" s="483"/>
      <c r="E30" s="481">
        <f>SAT!Q31</f>
        <v>0</v>
      </c>
      <c r="F30" s="482"/>
      <c r="G30" s="483"/>
      <c r="H30" s="762">
        <f>SAT!J31</f>
        <v>0</v>
      </c>
      <c r="I30" s="763"/>
      <c r="J30" s="763"/>
      <c r="K30" s="764"/>
      <c r="L30" s="594">
        <f>SAT!Q32</f>
        <v>0</v>
      </c>
      <c r="M30" s="595"/>
      <c r="N30" s="595"/>
      <c r="O30" s="595"/>
      <c r="P30" s="596"/>
      <c r="Q30" s="591"/>
      <c r="R30" s="592"/>
      <c r="S30" s="592"/>
      <c r="T30" s="592"/>
      <c r="U30" s="593"/>
      <c r="V30" s="465"/>
      <c r="W30" s="466"/>
      <c r="X30" s="466"/>
      <c r="Y30" s="466"/>
      <c r="Z30" s="467"/>
      <c r="AA30" s="456"/>
      <c r="AB30" s="457"/>
      <c r="AC30" s="457"/>
      <c r="AD30" s="458"/>
    </row>
    <row r="31" spans="1:30" ht="20.100000000000001" customHeight="1" x14ac:dyDescent="0.3">
      <c r="A31" s="719"/>
      <c r="B31" s="481" t="s">
        <v>94</v>
      </c>
      <c r="C31" s="482"/>
      <c r="D31" s="483"/>
      <c r="E31" s="481">
        <f>SAT!U16</f>
        <v>63.000000000000007</v>
      </c>
      <c r="F31" s="482"/>
      <c r="G31" s="483"/>
      <c r="H31" s="762" t="s">
        <v>95</v>
      </c>
      <c r="I31" s="763"/>
      <c r="J31" s="763"/>
      <c r="K31" s="764"/>
      <c r="L31" s="759">
        <f>SAT!T2</f>
        <v>8</v>
      </c>
      <c r="M31" s="760"/>
      <c r="N31" s="760"/>
      <c r="O31" s="760"/>
      <c r="P31" s="761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20" t="s">
        <v>71</v>
      </c>
      <c r="B32" s="404" t="s">
        <v>57</v>
      </c>
      <c r="C32" s="405"/>
      <c r="D32" s="405"/>
      <c r="E32" s="405">
        <f>SUN!N31</f>
        <v>9</v>
      </c>
      <c r="F32" s="405"/>
      <c r="G32" s="405"/>
      <c r="H32" s="430">
        <f>SUN!S31</f>
        <v>810</v>
      </c>
      <c r="I32" s="430"/>
      <c r="J32" s="430"/>
      <c r="K32" s="430"/>
      <c r="L32" s="431">
        <f>SUN!N32</f>
        <v>0.41683820502264307</v>
      </c>
      <c r="M32" s="431"/>
      <c r="N32" s="431"/>
      <c r="O32" s="431"/>
      <c r="P32" s="431"/>
      <c r="Q32" s="432">
        <f>SUM(E32:G35)</f>
        <v>22</v>
      </c>
      <c r="R32" s="432"/>
      <c r="S32" s="432"/>
      <c r="T32" s="432"/>
      <c r="U32" s="432"/>
      <c r="V32" s="403">
        <f>SUM(H32,H33,H35)</f>
        <v>2760</v>
      </c>
      <c r="W32" s="403"/>
      <c r="X32" s="403"/>
      <c r="Y32" s="403"/>
      <c r="Z32" s="403"/>
      <c r="AA32" s="422">
        <f>V32/Q32</f>
        <v>125.45454545454545</v>
      </c>
      <c r="AB32" s="423"/>
      <c r="AC32" s="423"/>
      <c r="AD32" s="423"/>
    </row>
    <row r="33" spans="1:30" ht="20.100000000000001" customHeight="1" x14ac:dyDescent="0.3">
      <c r="A33" s="721"/>
      <c r="B33" s="404" t="s">
        <v>58</v>
      </c>
      <c r="C33" s="405"/>
      <c r="D33" s="405"/>
      <c r="E33" s="405">
        <f>SUN!O31</f>
        <v>10</v>
      </c>
      <c r="F33" s="405"/>
      <c r="G33" s="405"/>
      <c r="H33" s="430">
        <f>SUN!S32</f>
        <v>1950</v>
      </c>
      <c r="I33" s="430"/>
      <c r="J33" s="430"/>
      <c r="K33" s="430"/>
      <c r="L33" s="431">
        <f>SUN!O32</f>
        <v>0.45028818443804036</v>
      </c>
      <c r="M33" s="431"/>
      <c r="N33" s="431"/>
      <c r="O33" s="431"/>
      <c r="P33" s="431"/>
      <c r="Q33" s="432"/>
      <c r="R33" s="432"/>
      <c r="S33" s="432"/>
      <c r="T33" s="432"/>
      <c r="U33" s="432"/>
      <c r="V33" s="403"/>
      <c r="W33" s="403"/>
      <c r="X33" s="403"/>
      <c r="Y33" s="403"/>
      <c r="Z33" s="403"/>
      <c r="AA33" s="423"/>
      <c r="AB33" s="423"/>
      <c r="AC33" s="423"/>
      <c r="AD33" s="423"/>
    </row>
    <row r="34" spans="1:30" ht="20.100000000000001" customHeight="1" x14ac:dyDescent="0.3">
      <c r="A34" s="721"/>
      <c r="B34" s="404" t="s">
        <v>45</v>
      </c>
      <c r="C34" s="405"/>
      <c r="D34" s="405"/>
      <c r="E34" s="405">
        <f>SUN!P31</f>
        <v>3</v>
      </c>
      <c r="F34" s="405"/>
      <c r="G34" s="405"/>
      <c r="H34" s="430">
        <f>SUN!K31</f>
        <v>258.2</v>
      </c>
      <c r="I34" s="430"/>
      <c r="J34" s="430"/>
      <c r="K34" s="430"/>
      <c r="L34" s="431">
        <f>SUN!P32</f>
        <v>0.13287361053931659</v>
      </c>
      <c r="M34" s="431"/>
      <c r="N34" s="431"/>
      <c r="O34" s="431"/>
      <c r="P34" s="431"/>
      <c r="Q34" s="432"/>
      <c r="R34" s="432"/>
      <c r="S34" s="432"/>
      <c r="T34" s="432"/>
      <c r="U34" s="432"/>
      <c r="V34" s="403"/>
      <c r="W34" s="403"/>
      <c r="X34" s="403"/>
      <c r="Y34" s="403"/>
      <c r="Z34" s="403"/>
      <c r="AA34" s="423"/>
      <c r="AB34" s="423"/>
      <c r="AC34" s="423"/>
      <c r="AD34" s="423"/>
    </row>
    <row r="35" spans="1:30" ht="20.100000000000001" customHeight="1" x14ac:dyDescent="0.3">
      <c r="A35" s="721"/>
      <c r="B35" s="404" t="s">
        <v>65</v>
      </c>
      <c r="C35" s="405"/>
      <c r="D35" s="405"/>
      <c r="E35" s="405">
        <f>SUN!Q31</f>
        <v>0</v>
      </c>
      <c r="F35" s="405"/>
      <c r="G35" s="405"/>
      <c r="H35" s="430">
        <f>SUN!J31</f>
        <v>0</v>
      </c>
      <c r="I35" s="430"/>
      <c r="J35" s="430"/>
      <c r="K35" s="430"/>
      <c r="L35" s="431">
        <f>SUN!Q32</f>
        <v>0</v>
      </c>
      <c r="M35" s="431"/>
      <c r="N35" s="431"/>
      <c r="O35" s="431"/>
      <c r="P35" s="431"/>
      <c r="Q35" s="432"/>
      <c r="R35" s="432"/>
      <c r="S35" s="432"/>
      <c r="T35" s="432"/>
      <c r="U35" s="432"/>
      <c r="V35" s="403"/>
      <c r="W35" s="403"/>
      <c r="X35" s="403"/>
      <c r="Y35" s="403"/>
      <c r="Z35" s="403"/>
      <c r="AA35" s="423"/>
      <c r="AB35" s="423"/>
      <c r="AC35" s="423"/>
      <c r="AD35" s="423"/>
    </row>
    <row r="36" spans="1:30" ht="20.100000000000001" customHeight="1" thickBot="1" x14ac:dyDescent="0.35">
      <c r="A36" s="722"/>
      <c r="B36" s="408" t="s">
        <v>94</v>
      </c>
      <c r="C36" s="409"/>
      <c r="D36" s="410"/>
      <c r="E36" s="408">
        <f>SUN!U16</f>
        <v>47.75</v>
      </c>
      <c r="F36" s="409"/>
      <c r="G36" s="410"/>
      <c r="H36" s="408" t="s">
        <v>95</v>
      </c>
      <c r="I36" s="409"/>
      <c r="J36" s="409"/>
      <c r="K36" s="410"/>
      <c r="L36" s="424">
        <f>SUN!T2</f>
        <v>8</v>
      </c>
      <c r="M36" s="425"/>
      <c r="N36" s="425"/>
      <c r="O36" s="425"/>
      <c r="P36" s="426"/>
      <c r="Q36" s="427"/>
      <c r="R36" s="428"/>
      <c r="S36" s="428"/>
      <c r="T36" s="428"/>
      <c r="U36" s="429"/>
      <c r="V36" s="411"/>
      <c r="W36" s="412"/>
      <c r="X36" s="412"/>
      <c r="Y36" s="412"/>
      <c r="Z36" s="413"/>
      <c r="AA36" s="414"/>
      <c r="AB36" s="415"/>
      <c r="AC36" s="415"/>
      <c r="AD36" s="416"/>
    </row>
    <row r="37" spans="1:30" ht="16.5" customHeight="1" x14ac:dyDescent="0.3">
      <c r="A37" s="394" t="s">
        <v>72</v>
      </c>
      <c r="B37" s="395"/>
      <c r="C37" s="395"/>
      <c r="D37" s="395"/>
      <c r="E37" s="395" t="s">
        <v>73</v>
      </c>
      <c r="F37" s="395"/>
      <c r="G37" s="395"/>
      <c r="H37" s="395"/>
      <c r="I37" s="395"/>
      <c r="J37" s="395"/>
      <c r="K37" s="395" t="s">
        <v>74</v>
      </c>
      <c r="L37" s="395"/>
      <c r="M37" s="395"/>
      <c r="N37" s="395"/>
      <c r="O37" s="395" t="s">
        <v>65</v>
      </c>
      <c r="P37" s="395"/>
      <c r="Q37" s="395"/>
      <c r="R37" s="395"/>
      <c r="S37" s="395"/>
      <c r="T37" s="395" t="s">
        <v>75</v>
      </c>
      <c r="U37" s="395"/>
      <c r="V37" s="395"/>
      <c r="W37" s="395"/>
      <c r="X37" s="395"/>
      <c r="Y37" s="395" t="s">
        <v>76</v>
      </c>
      <c r="Z37" s="395"/>
      <c r="AA37" s="395"/>
      <c r="AB37" s="395"/>
      <c r="AC37" s="395"/>
      <c r="AD37" s="406"/>
    </row>
    <row r="38" spans="1:30" ht="16.5" customHeight="1" x14ac:dyDescent="0.3">
      <c r="A38" s="396"/>
      <c r="B38" s="397"/>
      <c r="C38" s="397"/>
      <c r="D38" s="397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407"/>
    </row>
    <row r="39" spans="1:30" ht="16.5" customHeight="1" x14ac:dyDescent="0.3">
      <c r="A39" s="398">
        <f>SUM(Q2:U35)</f>
        <v>160</v>
      </c>
      <c r="B39" s="399"/>
      <c r="C39" s="399"/>
      <c r="D39" s="399"/>
      <c r="E39" s="402">
        <f>SUM(V2:Z35)</f>
        <v>19855</v>
      </c>
      <c r="F39" s="399"/>
      <c r="G39" s="399"/>
      <c r="H39" s="399"/>
      <c r="I39" s="399"/>
      <c r="J39" s="399"/>
      <c r="K39" s="402">
        <f>E39/A39</f>
        <v>124.09375</v>
      </c>
      <c r="L39" s="399"/>
      <c r="M39" s="399"/>
      <c r="N39" s="399"/>
      <c r="O39" s="399">
        <f>SUM(MON:SUN!Q31)</f>
        <v>0</v>
      </c>
      <c r="P39" s="399"/>
      <c r="Q39" s="399"/>
      <c r="R39" s="399"/>
      <c r="S39" s="399"/>
      <c r="T39" s="399">
        <f>SUM(MON:SUN!P31)</f>
        <v>38</v>
      </c>
      <c r="U39" s="399"/>
      <c r="V39" s="399"/>
      <c r="W39" s="399"/>
      <c r="X39" s="399"/>
      <c r="Y39" s="399">
        <f>SUM(MON:SUN!S19)</f>
        <v>15</v>
      </c>
      <c r="Z39" s="399"/>
      <c r="AA39" s="399"/>
      <c r="AB39" s="399"/>
      <c r="AC39" s="399"/>
      <c r="AD39" s="419"/>
    </row>
    <row r="40" spans="1:30" ht="16.5" customHeight="1" x14ac:dyDescent="0.3">
      <c r="A40" s="398"/>
      <c r="B40" s="399"/>
      <c r="C40" s="399"/>
      <c r="D40" s="399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419"/>
    </row>
    <row r="41" spans="1:30" ht="16.5" customHeight="1" x14ac:dyDescent="0.3">
      <c r="A41" s="398"/>
      <c r="B41" s="399"/>
      <c r="C41" s="399"/>
      <c r="D41" s="399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417">
        <f>SUM(MON:SUN!J31)</f>
        <v>0</v>
      </c>
      <c r="P41" s="417"/>
      <c r="Q41" s="417"/>
      <c r="R41" s="417"/>
      <c r="S41" s="417"/>
      <c r="T41" s="417">
        <f>SUM(MON:SUN!K31)</f>
        <v>3261.7</v>
      </c>
      <c r="U41" s="417"/>
      <c r="V41" s="417"/>
      <c r="W41" s="417"/>
      <c r="X41" s="417"/>
      <c r="Y41" s="417">
        <f>SUM(MON:SUN!T19)</f>
        <v>7650</v>
      </c>
      <c r="Z41" s="417"/>
      <c r="AA41" s="417"/>
      <c r="AB41" s="417"/>
      <c r="AC41" s="417"/>
      <c r="AD41" s="420"/>
    </row>
    <row r="42" spans="1:30" ht="16.5" customHeight="1" thickBot="1" x14ac:dyDescent="0.35">
      <c r="A42" s="400"/>
      <c r="B42" s="401"/>
      <c r="C42" s="401"/>
      <c r="D42" s="401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21"/>
    </row>
    <row r="43" spans="1:30" ht="17.45" customHeight="1" x14ac:dyDescent="0.3">
      <c r="A43" s="677" t="s">
        <v>84</v>
      </c>
      <c r="B43" s="678"/>
      <c r="C43" s="678"/>
      <c r="D43" s="678"/>
      <c r="E43" s="679"/>
      <c r="F43" s="677" t="s">
        <v>85</v>
      </c>
      <c r="G43" s="678"/>
      <c r="H43" s="678"/>
      <c r="I43" s="678"/>
      <c r="J43" s="679"/>
      <c r="K43" s="677" t="s">
        <v>86</v>
      </c>
      <c r="L43" s="678"/>
      <c r="M43" s="678"/>
      <c r="N43" s="678"/>
      <c r="O43" s="679"/>
      <c r="P43" s="677" t="s">
        <v>87</v>
      </c>
      <c r="Q43" s="678"/>
      <c r="R43" s="678"/>
      <c r="S43" s="678"/>
      <c r="T43" s="679"/>
      <c r="U43" s="677" t="s">
        <v>90</v>
      </c>
      <c r="V43" s="678"/>
      <c r="W43" s="678"/>
      <c r="X43" s="678"/>
      <c r="Y43" s="679"/>
      <c r="Z43" s="683" t="s">
        <v>95</v>
      </c>
      <c r="AA43" s="684"/>
      <c r="AB43" s="684"/>
      <c r="AC43" s="684"/>
      <c r="AD43" s="685"/>
    </row>
    <row r="44" spans="1:30" ht="17.45" customHeight="1" x14ac:dyDescent="0.3">
      <c r="A44" s="680"/>
      <c r="B44" s="681"/>
      <c r="C44" s="681"/>
      <c r="D44" s="681"/>
      <c r="E44" s="682"/>
      <c r="F44" s="680"/>
      <c r="G44" s="681"/>
      <c r="H44" s="681"/>
      <c r="I44" s="681"/>
      <c r="J44" s="682"/>
      <c r="K44" s="680"/>
      <c r="L44" s="681"/>
      <c r="M44" s="681"/>
      <c r="N44" s="681"/>
      <c r="O44" s="682"/>
      <c r="P44" s="680"/>
      <c r="Q44" s="681"/>
      <c r="R44" s="681"/>
      <c r="S44" s="681"/>
      <c r="T44" s="682"/>
      <c r="U44" s="680"/>
      <c r="V44" s="681"/>
      <c r="W44" s="681"/>
      <c r="X44" s="681"/>
      <c r="Y44" s="682"/>
      <c r="Z44" s="686"/>
      <c r="AA44" s="687"/>
      <c r="AB44" s="687"/>
      <c r="AC44" s="687"/>
      <c r="AD44" s="688"/>
    </row>
    <row r="45" spans="1:30" x14ac:dyDescent="0.3">
      <c r="A45" s="689">
        <f>SUM(H2,H7,H12,H17,H22,H27,H32)</f>
        <v>4845</v>
      </c>
      <c r="B45" s="690"/>
      <c r="C45" s="690"/>
      <c r="D45" s="690"/>
      <c r="E45" s="691"/>
      <c r="F45" s="689">
        <f>SUM(,H3,H8,H13,H18,H23,H28,H33)</f>
        <v>15010</v>
      </c>
      <c r="G45" s="690"/>
      <c r="H45" s="690"/>
      <c r="I45" s="690"/>
      <c r="J45" s="691"/>
      <c r="K45" s="689">
        <f>SUM(H5,H10,H15,H20,H25,H30,H35)</f>
        <v>0</v>
      </c>
      <c r="L45" s="690"/>
      <c r="M45" s="690"/>
      <c r="N45" s="690"/>
      <c r="O45" s="691"/>
      <c r="P45" s="689">
        <f>SUM(H4,H9,H14,H19,H24,H29,H34)</f>
        <v>3261.7</v>
      </c>
      <c r="Q45" s="690"/>
      <c r="R45" s="690"/>
      <c r="S45" s="690"/>
      <c r="T45" s="691"/>
      <c r="U45" s="698">
        <f>SUM(E6,E11,E16,E21,E26,E31,E36)</f>
        <v>353.5</v>
      </c>
      <c r="V45" s="690"/>
      <c r="W45" s="690"/>
      <c r="X45" s="690"/>
      <c r="Y45" s="691"/>
      <c r="Z45" s="698">
        <f>SUM(L6,L11,L16,L21,L26,L31,L36)</f>
        <v>50</v>
      </c>
      <c r="AA45" s="690"/>
      <c r="AB45" s="690"/>
      <c r="AC45" s="690"/>
      <c r="AD45" s="699"/>
    </row>
    <row r="46" spans="1:30" x14ac:dyDescent="0.3">
      <c r="A46" s="692"/>
      <c r="B46" s="693"/>
      <c r="C46" s="693"/>
      <c r="D46" s="693"/>
      <c r="E46" s="694"/>
      <c r="F46" s="692"/>
      <c r="G46" s="693"/>
      <c r="H46" s="693"/>
      <c r="I46" s="693"/>
      <c r="J46" s="694"/>
      <c r="K46" s="692"/>
      <c r="L46" s="693"/>
      <c r="M46" s="693"/>
      <c r="N46" s="693"/>
      <c r="O46" s="694"/>
      <c r="P46" s="692"/>
      <c r="Q46" s="693"/>
      <c r="R46" s="693"/>
      <c r="S46" s="693"/>
      <c r="T46" s="694"/>
      <c r="U46" s="692"/>
      <c r="V46" s="693"/>
      <c r="W46" s="693"/>
      <c r="X46" s="693"/>
      <c r="Y46" s="694"/>
      <c r="Z46" s="692"/>
      <c r="AA46" s="693"/>
      <c r="AB46" s="693"/>
      <c r="AC46" s="693"/>
      <c r="AD46" s="700"/>
    </row>
    <row r="47" spans="1:30" x14ac:dyDescent="0.3">
      <c r="A47" s="692"/>
      <c r="B47" s="693"/>
      <c r="C47" s="693"/>
      <c r="D47" s="693"/>
      <c r="E47" s="694"/>
      <c r="F47" s="692"/>
      <c r="G47" s="693"/>
      <c r="H47" s="693"/>
      <c r="I47" s="693"/>
      <c r="J47" s="694"/>
      <c r="K47" s="692"/>
      <c r="L47" s="693"/>
      <c r="M47" s="693"/>
      <c r="N47" s="693"/>
      <c r="O47" s="694"/>
      <c r="P47" s="692"/>
      <c r="Q47" s="693"/>
      <c r="R47" s="693"/>
      <c r="S47" s="693"/>
      <c r="T47" s="694"/>
      <c r="U47" s="692"/>
      <c r="V47" s="693"/>
      <c r="W47" s="693"/>
      <c r="X47" s="693"/>
      <c r="Y47" s="694"/>
      <c r="Z47" s="692"/>
      <c r="AA47" s="693"/>
      <c r="AB47" s="693"/>
      <c r="AC47" s="693"/>
      <c r="AD47" s="700"/>
    </row>
    <row r="48" spans="1:30" ht="17.25" thickBot="1" x14ac:dyDescent="0.35">
      <c r="A48" s="695"/>
      <c r="B48" s="696"/>
      <c r="C48" s="696"/>
      <c r="D48" s="696"/>
      <c r="E48" s="697"/>
      <c r="F48" s="695"/>
      <c r="G48" s="696"/>
      <c r="H48" s="696"/>
      <c r="I48" s="696"/>
      <c r="J48" s="697"/>
      <c r="K48" s="695"/>
      <c r="L48" s="696"/>
      <c r="M48" s="696"/>
      <c r="N48" s="696"/>
      <c r="O48" s="697"/>
      <c r="P48" s="695"/>
      <c r="Q48" s="696"/>
      <c r="R48" s="696"/>
      <c r="S48" s="696"/>
      <c r="T48" s="697"/>
      <c r="U48" s="695"/>
      <c r="V48" s="696"/>
      <c r="W48" s="696"/>
      <c r="X48" s="696"/>
      <c r="Y48" s="697"/>
      <c r="Z48" s="695"/>
      <c r="AA48" s="696"/>
      <c r="AB48" s="696"/>
      <c r="AC48" s="696"/>
      <c r="AD48" s="701"/>
    </row>
    <row r="49" spans="1:30" ht="17.45" customHeight="1" x14ac:dyDescent="0.3">
      <c r="A49" s="659">
        <f>A45/E39</f>
        <v>0.24401913875598086</v>
      </c>
      <c r="B49" s="660"/>
      <c r="C49" s="660"/>
      <c r="D49" s="660"/>
      <c r="E49" s="661"/>
      <c r="F49" s="659">
        <f>F45/E39</f>
        <v>0.75598086124401909</v>
      </c>
      <c r="G49" s="660"/>
      <c r="H49" s="660"/>
      <c r="I49" s="660"/>
      <c r="J49" s="661"/>
      <c r="K49" s="659">
        <f>K45/E39</f>
        <v>0</v>
      </c>
      <c r="L49" s="660"/>
      <c r="M49" s="660"/>
      <c r="N49" s="660"/>
      <c r="O49" s="661"/>
      <c r="P49" s="659">
        <f>P45/E39</f>
        <v>0.16427600100730294</v>
      </c>
      <c r="Q49" s="660"/>
      <c r="R49" s="660"/>
      <c r="S49" s="660"/>
      <c r="T49" s="661"/>
      <c r="U49" s="668">
        <f>U45/7</f>
        <v>50.5</v>
      </c>
      <c r="V49" s="669"/>
      <c r="W49" s="669"/>
      <c r="X49" s="669"/>
      <c r="Y49" s="670"/>
      <c r="Z49" s="668">
        <f>U45/Z45</f>
        <v>7.07</v>
      </c>
      <c r="AA49" s="669"/>
      <c r="AB49" s="669"/>
      <c r="AC49" s="669"/>
      <c r="AD49" s="670"/>
    </row>
    <row r="50" spans="1:30" ht="17.45" customHeight="1" x14ac:dyDescent="0.3">
      <c r="A50" s="662"/>
      <c r="B50" s="663"/>
      <c r="C50" s="663"/>
      <c r="D50" s="663"/>
      <c r="E50" s="664"/>
      <c r="F50" s="662"/>
      <c r="G50" s="663"/>
      <c r="H50" s="663"/>
      <c r="I50" s="663"/>
      <c r="J50" s="664"/>
      <c r="K50" s="662"/>
      <c r="L50" s="663"/>
      <c r="M50" s="663"/>
      <c r="N50" s="663"/>
      <c r="O50" s="664"/>
      <c r="P50" s="662"/>
      <c r="Q50" s="663"/>
      <c r="R50" s="663"/>
      <c r="S50" s="663"/>
      <c r="T50" s="664"/>
      <c r="U50" s="671"/>
      <c r="V50" s="672"/>
      <c r="W50" s="672"/>
      <c r="X50" s="672"/>
      <c r="Y50" s="673"/>
      <c r="Z50" s="671"/>
      <c r="AA50" s="672"/>
      <c r="AB50" s="672"/>
      <c r="AC50" s="672"/>
      <c r="AD50" s="673"/>
    </row>
    <row r="51" spans="1:30" ht="17.45" customHeight="1" x14ac:dyDescent="0.3">
      <c r="A51" s="662"/>
      <c r="B51" s="663"/>
      <c r="C51" s="663"/>
      <c r="D51" s="663"/>
      <c r="E51" s="664"/>
      <c r="F51" s="662"/>
      <c r="G51" s="663"/>
      <c r="H51" s="663"/>
      <c r="I51" s="663"/>
      <c r="J51" s="664"/>
      <c r="K51" s="662"/>
      <c r="L51" s="663"/>
      <c r="M51" s="663"/>
      <c r="N51" s="663"/>
      <c r="O51" s="664"/>
      <c r="P51" s="662"/>
      <c r="Q51" s="663"/>
      <c r="R51" s="663"/>
      <c r="S51" s="663"/>
      <c r="T51" s="664"/>
      <c r="U51" s="671"/>
      <c r="V51" s="672"/>
      <c r="W51" s="672"/>
      <c r="X51" s="672"/>
      <c r="Y51" s="673"/>
      <c r="Z51" s="671"/>
      <c r="AA51" s="672"/>
      <c r="AB51" s="672"/>
      <c r="AC51" s="672"/>
      <c r="AD51" s="673"/>
    </row>
    <row r="52" spans="1:30" ht="18" customHeight="1" thickBot="1" x14ac:dyDescent="0.35">
      <c r="A52" s="665"/>
      <c r="B52" s="666"/>
      <c r="C52" s="666"/>
      <c r="D52" s="666"/>
      <c r="E52" s="667"/>
      <c r="F52" s="665"/>
      <c r="G52" s="666"/>
      <c r="H52" s="666"/>
      <c r="I52" s="666"/>
      <c r="J52" s="667"/>
      <c r="K52" s="665"/>
      <c r="L52" s="666"/>
      <c r="M52" s="666"/>
      <c r="N52" s="666"/>
      <c r="O52" s="667"/>
      <c r="P52" s="665"/>
      <c r="Q52" s="666"/>
      <c r="R52" s="666"/>
      <c r="S52" s="666"/>
      <c r="T52" s="667"/>
      <c r="U52" s="674"/>
      <c r="V52" s="675"/>
      <c r="W52" s="675"/>
      <c r="X52" s="675"/>
      <c r="Y52" s="676"/>
      <c r="Z52" s="674"/>
      <c r="AA52" s="675"/>
      <c r="AB52" s="675"/>
      <c r="AC52" s="675"/>
      <c r="AD52" s="676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D2CAB6A1-6F1B-443A-8298-30E772D75CCF}"/>
</file>

<file path=customXml/itemProps2.xml><?xml version="1.0" encoding="utf-8"?>
<ds:datastoreItem xmlns:ds="http://schemas.openxmlformats.org/officeDocument/2006/customXml" ds:itemID="{F750C4B8-294C-447A-BEF4-3204944F573B}"/>
</file>

<file path=customXml/itemProps3.xml><?xml version="1.0" encoding="utf-8"?>
<ds:datastoreItem xmlns:ds="http://schemas.openxmlformats.org/officeDocument/2006/customXml" ds:itemID="{463AC4E0-D120-4A6B-8595-246F128D5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2022-11-27T06:05:51Z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