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s\B2\2022\"/>
    </mc:Choice>
  </mc:AlternateContent>
  <xr:revisionPtr revIDLastSave="0" documentId="13_ncr:1_{C2232C18-B90F-4F41-8415-B05C4B1D31C4}" xr6:coauthVersionLast="47" xr6:coauthVersionMax="47" xr10:uidLastSave="{00000000-0000-0000-0000-000000000000}"/>
  <bookViews>
    <workbookView xWindow="60" yWindow="600" windowWidth="14472" windowHeight="12360" firstSheet="1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A66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J40" i="2"/>
  <c r="J39" i="2"/>
  <c r="K38" i="2"/>
  <c r="J38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H32" i="2"/>
  <c r="Z31" i="2"/>
  <c r="Q31" i="2"/>
  <c r="P31" i="2"/>
  <c r="O31" i="2"/>
  <c r="N31" i="2"/>
  <c r="M31" i="2"/>
  <c r="L31" i="2"/>
  <c r="I31" i="2"/>
  <c r="S32" i="2" s="1"/>
  <c r="H33" i="8" s="1"/>
  <c r="M30" i="2"/>
  <c r="L30" i="2"/>
  <c r="I30" i="2"/>
  <c r="H30" i="2"/>
  <c r="K29" i="2"/>
  <c r="J29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L31" i="1"/>
  <c r="M30" i="1"/>
  <c r="M31" i="1" s="1"/>
  <c r="L30" i="1"/>
  <c r="I30" i="1"/>
  <c r="I31" i="1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J10" i="1"/>
  <c r="U9" i="1"/>
  <c r="K9" i="1"/>
  <c r="J9" i="1"/>
  <c r="U8" i="1"/>
  <c r="K8" i="1"/>
  <c r="J8" i="1"/>
  <c r="U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I31" i="3"/>
  <c r="S32" i="3" s="1"/>
  <c r="M30" i="3"/>
  <c r="L30" i="3"/>
  <c r="I30" i="3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J14" i="3"/>
  <c r="U13" i="3"/>
  <c r="K13" i="3"/>
  <c r="J13" i="3"/>
  <c r="U12" i="3"/>
  <c r="K12" i="3"/>
  <c r="J12" i="3"/>
  <c r="U11" i="3"/>
  <c r="J11" i="3"/>
  <c r="U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I31" i="4"/>
  <c r="S32" i="4" s="1"/>
  <c r="H18" i="8" s="1"/>
  <c r="M30" i="4"/>
  <c r="L30" i="4"/>
  <c r="I30" i="4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J10" i="4"/>
  <c r="U9" i="4"/>
  <c r="J9" i="4"/>
  <c r="U8" i="4"/>
  <c r="K8" i="4"/>
  <c r="J8" i="4"/>
  <c r="U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J17" i="5"/>
  <c r="J16" i="5"/>
  <c r="U15" i="5"/>
  <c r="K15" i="5"/>
  <c r="J15" i="5"/>
  <c r="U14" i="5"/>
  <c r="K14" i="5"/>
  <c r="J14" i="5"/>
  <c r="U13" i="5"/>
  <c r="K13" i="5"/>
  <c r="J13" i="5"/>
  <c r="U12" i="5"/>
  <c r="J12" i="5"/>
  <c r="U11" i="5"/>
  <c r="K11" i="5"/>
  <c r="J11" i="5"/>
  <c r="U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J21" i="6"/>
  <c r="K20" i="6"/>
  <c r="J20" i="6"/>
  <c r="T19" i="6"/>
  <c r="S19" i="6"/>
  <c r="K19" i="6"/>
  <c r="J19" i="6"/>
  <c r="J18" i="6"/>
  <c r="K17" i="6"/>
  <c r="J17" i="6"/>
  <c r="K16" i="6"/>
  <c r="J16" i="6"/>
  <c r="U15" i="6"/>
  <c r="J15" i="6"/>
  <c r="U14" i="6"/>
  <c r="K14" i="6"/>
  <c r="J14" i="6"/>
  <c r="U13" i="6"/>
  <c r="K13" i="6"/>
  <c r="J13" i="6"/>
  <c r="U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H31" i="2" l="1"/>
  <c r="K62" i="2"/>
  <c r="J62" i="2"/>
  <c r="K30" i="2"/>
  <c r="J30" i="2"/>
  <c r="U16" i="2"/>
  <c r="S16" i="2" s="1"/>
  <c r="S32" i="1"/>
  <c r="H28" i="8" s="1"/>
  <c r="J30" i="1"/>
  <c r="J31" i="1" s="1"/>
  <c r="K30" i="1"/>
  <c r="K31" i="1" s="1"/>
  <c r="U16" i="1"/>
  <c r="S16" i="1" s="1"/>
  <c r="K30" i="3"/>
  <c r="K31" i="3" s="1"/>
  <c r="J30" i="3"/>
  <c r="J31" i="3" s="1"/>
  <c r="U16" i="3"/>
  <c r="S16" i="3" s="1"/>
  <c r="K30" i="4"/>
  <c r="K31" i="4" s="1"/>
  <c r="J30" i="4"/>
  <c r="J31" i="4" s="1"/>
  <c r="U16" i="4"/>
  <c r="S16" i="4" s="1"/>
  <c r="K30" i="5"/>
  <c r="K31" i="5" s="1"/>
  <c r="J30" i="5"/>
  <c r="J31" i="5" s="1"/>
  <c r="S32" i="5"/>
  <c r="H13" i="8" s="1"/>
  <c r="U16" i="5"/>
  <c r="S16" i="5" s="1"/>
  <c r="S32" i="6"/>
  <c r="H8" i="8" s="1"/>
  <c r="K30" i="6"/>
  <c r="K31" i="6" s="1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0" i="7"/>
  <c r="K19" i="7"/>
  <c r="K18" i="7"/>
  <c r="K17" i="7"/>
  <c r="K16" i="7"/>
  <c r="U15" i="7"/>
  <c r="K15" i="7"/>
  <c r="U14" i="7"/>
  <c r="K14" i="7"/>
  <c r="U13" i="7"/>
  <c r="U12" i="7"/>
  <c r="K12" i="7"/>
  <c r="U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J31" i="2" l="1"/>
  <c r="H35" i="8" s="1"/>
  <c r="V32" i="8" s="1"/>
  <c r="K31" i="2"/>
  <c r="H34" i="8" s="1"/>
  <c r="R16" i="2"/>
  <c r="E36" i="8"/>
  <c r="E31" i="8"/>
  <c r="R16" i="1"/>
  <c r="C32" i="1"/>
  <c r="P32" i="1" s="1"/>
  <c r="C32" i="3"/>
  <c r="O32" i="3" s="1"/>
  <c r="E26" i="8"/>
  <c r="R16" i="3"/>
  <c r="C32" i="4"/>
  <c r="T16" i="4" s="1"/>
  <c r="R16" i="4"/>
  <c r="R16" i="5"/>
  <c r="C32" i="5"/>
  <c r="P32" i="5" s="1"/>
  <c r="R16" i="6"/>
  <c r="S16" i="6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C32" i="2" l="1"/>
  <c r="O32" i="2" s="1"/>
  <c r="L33" i="8" s="1"/>
  <c r="N32" i="1"/>
  <c r="T16" i="1"/>
  <c r="K32" i="1"/>
  <c r="Q32" i="1"/>
  <c r="U25" i="1"/>
  <c r="O32" i="1"/>
  <c r="U25" i="3"/>
  <c r="T16" i="3"/>
  <c r="N32" i="3"/>
  <c r="L22" i="8" s="1"/>
  <c r="Q32" i="3"/>
  <c r="L25" i="8" s="1"/>
  <c r="P32" i="3"/>
  <c r="L24" i="8" s="1"/>
  <c r="K32" i="3"/>
  <c r="P32" i="4"/>
  <c r="K32" i="4"/>
  <c r="N32" i="4"/>
  <c r="U25" i="4"/>
  <c r="O32" i="4"/>
  <c r="Q32" i="4"/>
  <c r="T16" i="5"/>
  <c r="K32" i="5"/>
  <c r="Q32" i="5"/>
  <c r="U25" i="5"/>
  <c r="N32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K32" i="2" l="1"/>
  <c r="T16" i="2"/>
  <c r="P32" i="2"/>
  <c r="L34" i="8" s="1"/>
  <c r="N32" i="2"/>
  <c r="L32" i="8" s="1"/>
  <c r="Q32" i="2"/>
  <c r="L35" i="8" s="1"/>
  <c r="U25" i="2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<sst xmlns="http://schemas.openxmlformats.org/spreadsheetml/2006/main" count="1841" uniqueCount="454">
  <si>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</si>
  <si>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</si>
  <si>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</si>
  <si>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</si>
  <si>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</si>
  <si>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</si>
  <si>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</si>
  <si>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</si>
  <si>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</si>
  <si>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</si>
  <si>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</si>
  <si>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</si>
  <si>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</si>
  <si>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</si>
  <si>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</si>
  <si>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</si>
  <si>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</si>
  <si>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</si>
  <si>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</si>
  <si>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</si>
  <si>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</si>
  <si>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</si>
  <si>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</si>
  <si>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</si>
  <si>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</si>
  <si>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</si>
  <si>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</si>
  <si>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</si>
  <si>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</si>
  <si>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</si>
  <si>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</si>
  <si>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</si>
  <si>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</si>
  <si>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</si>
  <si>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</si>
  <si>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</si>
  <si>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</si>
  <si>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</si>
  <si>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</si>
  <si>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</si>
  <si>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</si>
  <si>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</si>
  <si>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</si>
  <si>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</si>
  <si>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</si>
  <si>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</si>
  <si>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</si>
  <si>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</si>
  <si>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</si>
  <si>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</si>
  <si>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</si>
  <si>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</si>
  <si>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</si>
  <si>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</si>
  <si>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</si>
  <si>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</si>
  <si>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</si>
  <si>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</si>
  <si>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</si>
  <si>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</si>
  <si>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</si>
  <si>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</si>
  <si>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</si>
  <si>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</si>
  <si>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</si>
  <si>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</si>
  <si>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</si>
  <si>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</si>
  <si>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</si>
  <si>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</si>
  <si>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</si>
  <si>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</si>
  <si>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</si>
  <si>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</si>
  <si>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</si>
  <si>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</si>
  <si>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</si>
  <si>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</si>
  <si>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</si>
  <si>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</si>
  <si>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</si>
  <si>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</si>
  <si>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</si>
  <si>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</si>
  <si>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</si>
  <si>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</si>
  <si>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</si>
  <si>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</si>
  <si>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</si>
  <si>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</si>
  <si>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</si>
  <si>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</si>
  <si>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</si>
  <si>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</si>
  <si>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</si>
  <si>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</si>
  <si>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</si>
  <si>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14-11-2022</t>
    <phoneticPr fontId="3" type="noConversion"/>
  </si>
  <si>
    <t>JOHN</t>
    <phoneticPr fontId="3" type="noConversion"/>
  </si>
  <si>
    <t>HENDRA</t>
    <phoneticPr fontId="3" type="noConversion"/>
  </si>
  <si>
    <t>ARIANTO</t>
    <phoneticPr fontId="3" type="noConversion"/>
  </si>
  <si>
    <t>VINNY</t>
    <phoneticPr fontId="3" type="noConversion"/>
  </si>
  <si>
    <t>MIX</t>
    <phoneticPr fontId="3" type="noConversion"/>
  </si>
  <si>
    <t>MONA</t>
    <phoneticPr fontId="3" type="noConversion"/>
  </si>
  <si>
    <t>DAJ33N</t>
    <phoneticPr fontId="3" type="noConversion"/>
  </si>
  <si>
    <t>0450070973</t>
    <phoneticPr fontId="3" type="noConversion"/>
  </si>
  <si>
    <t>D</t>
    <phoneticPr fontId="3" type="noConversion"/>
  </si>
  <si>
    <t>DSB59R</t>
    <phoneticPr fontId="3" type="noConversion"/>
  </si>
  <si>
    <t>0421284405</t>
    <phoneticPr fontId="3" type="noConversion"/>
  </si>
  <si>
    <t>X</t>
    <phoneticPr fontId="3" type="noConversion"/>
  </si>
  <si>
    <t>BIZ48X</t>
    <phoneticPr fontId="3" type="noConversion"/>
  </si>
  <si>
    <t>0422707127</t>
    <phoneticPr fontId="3" type="noConversion"/>
  </si>
  <si>
    <t>H</t>
    <phoneticPr fontId="3" type="noConversion"/>
  </si>
  <si>
    <t>NBT85S</t>
    <phoneticPr fontId="3" type="noConversion"/>
  </si>
  <si>
    <t>04325158830</t>
    <phoneticPr fontId="3" type="noConversion"/>
  </si>
  <si>
    <t>GBI</t>
    <phoneticPr fontId="3" type="noConversion"/>
  </si>
  <si>
    <t>F/D</t>
    <phoneticPr fontId="3" type="noConversion"/>
  </si>
  <si>
    <t>PTI27N</t>
    <phoneticPr fontId="3" type="noConversion"/>
  </si>
  <si>
    <t>0419434640</t>
    <phoneticPr fontId="3" type="noConversion"/>
  </si>
  <si>
    <t>EOS19V</t>
    <phoneticPr fontId="3" type="noConversion"/>
  </si>
  <si>
    <t>0430372903</t>
    <phoneticPr fontId="3" type="noConversion"/>
  </si>
  <si>
    <t>PCL</t>
    <phoneticPr fontId="3" type="noConversion"/>
  </si>
  <si>
    <t>22124(1/6)</t>
    <phoneticPr fontId="3" type="noConversion"/>
  </si>
  <si>
    <t>DAT46S</t>
    <phoneticPr fontId="3" type="noConversion"/>
  </si>
  <si>
    <t>0412300040</t>
    <phoneticPr fontId="3" type="noConversion"/>
  </si>
  <si>
    <t>EWA77M</t>
    <phoneticPr fontId="3" type="noConversion"/>
  </si>
  <si>
    <t>0413447187</t>
    <phoneticPr fontId="3" type="noConversion"/>
  </si>
  <si>
    <t>VOUCHER</t>
    <phoneticPr fontId="3" type="noConversion"/>
  </si>
  <si>
    <t>XD50-42,43</t>
    <phoneticPr fontId="3" type="noConversion"/>
  </si>
  <si>
    <t>BWM85N</t>
    <phoneticPr fontId="3" type="noConversion"/>
  </si>
  <si>
    <t>0439390711</t>
    <phoneticPr fontId="3" type="noConversion"/>
  </si>
  <si>
    <t>MT2323</t>
    <phoneticPr fontId="3" type="noConversion"/>
  </si>
  <si>
    <t>0416177547</t>
    <phoneticPr fontId="3" type="noConversion"/>
  </si>
  <si>
    <t>CLD072</t>
    <phoneticPr fontId="3" type="noConversion"/>
  </si>
  <si>
    <t>0478091479</t>
    <phoneticPr fontId="3" type="noConversion"/>
  </si>
  <si>
    <t>DVA71X</t>
    <phoneticPr fontId="3" type="noConversion"/>
  </si>
  <si>
    <t>0421312074</t>
    <phoneticPr fontId="3" type="noConversion"/>
  </si>
  <si>
    <t>BKI56F</t>
    <phoneticPr fontId="3" type="noConversion"/>
  </si>
  <si>
    <t>0415523212</t>
    <phoneticPr fontId="3" type="noConversion"/>
  </si>
  <si>
    <t>EDM37N</t>
    <phoneticPr fontId="3" type="noConversion"/>
  </si>
  <si>
    <t>04167376699</t>
    <phoneticPr fontId="3" type="noConversion"/>
  </si>
  <si>
    <t>DJL54R</t>
    <phoneticPr fontId="3" type="noConversion"/>
  </si>
  <si>
    <t>0408752956</t>
    <phoneticPr fontId="3" type="noConversion"/>
  </si>
  <si>
    <t>EKO68R</t>
    <phoneticPr fontId="3" type="noConversion"/>
  </si>
  <si>
    <t>0430312281</t>
    <phoneticPr fontId="3" type="noConversion"/>
  </si>
  <si>
    <t>22027(4/6)</t>
    <phoneticPr fontId="3" type="noConversion"/>
  </si>
  <si>
    <t>0415888891</t>
    <phoneticPr fontId="3" type="noConversion"/>
  </si>
  <si>
    <t>15-11-2022</t>
    <phoneticPr fontId="3" type="noConversion"/>
  </si>
  <si>
    <t>KUROSH</t>
    <phoneticPr fontId="3" type="noConversion"/>
  </si>
  <si>
    <t>SUNNY</t>
    <phoneticPr fontId="3" type="noConversion"/>
  </si>
  <si>
    <t>CRQ96X</t>
    <phoneticPr fontId="3" type="noConversion"/>
  </si>
  <si>
    <t>0408062082</t>
    <phoneticPr fontId="3" type="noConversion"/>
  </si>
  <si>
    <t>KAMAL</t>
    <phoneticPr fontId="3" type="noConversion"/>
  </si>
  <si>
    <t>VV2888</t>
    <phoneticPr fontId="3" type="noConversion"/>
  </si>
  <si>
    <t>0408844728</t>
    <phoneticPr fontId="3" type="noConversion"/>
  </si>
  <si>
    <t>22058(3/6)H</t>
    <phoneticPr fontId="3" type="noConversion"/>
  </si>
  <si>
    <t>DDL60B</t>
    <phoneticPr fontId="3" type="noConversion"/>
  </si>
  <si>
    <t>0400471254</t>
    <phoneticPr fontId="3" type="noConversion"/>
  </si>
  <si>
    <t>EDW31B</t>
    <phoneticPr fontId="3" type="noConversion"/>
  </si>
  <si>
    <t>0400902477</t>
    <phoneticPr fontId="3" type="noConversion"/>
  </si>
  <si>
    <t>ONLINE BOOKING</t>
    <phoneticPr fontId="3" type="noConversion"/>
  </si>
  <si>
    <t>CIU87T</t>
    <phoneticPr fontId="3" type="noConversion"/>
  </si>
  <si>
    <t>0433514343</t>
    <phoneticPr fontId="3" type="noConversion"/>
  </si>
  <si>
    <t>DDROU</t>
    <phoneticPr fontId="3" type="noConversion"/>
  </si>
  <si>
    <t>0432839662</t>
    <phoneticPr fontId="3" type="noConversion"/>
  </si>
  <si>
    <t>DWJ51X</t>
    <phoneticPr fontId="3" type="noConversion"/>
  </si>
  <si>
    <t>0411688883</t>
    <phoneticPr fontId="3" type="noConversion"/>
  </si>
  <si>
    <t>XS66</t>
    <phoneticPr fontId="3" type="noConversion"/>
  </si>
  <si>
    <t>0431875858</t>
    <phoneticPr fontId="3" type="noConversion"/>
  </si>
  <si>
    <t>CST93G</t>
    <phoneticPr fontId="3" type="noConversion"/>
  </si>
  <si>
    <t>0419693309</t>
    <phoneticPr fontId="3" type="noConversion"/>
  </si>
  <si>
    <t>AMG788</t>
    <phoneticPr fontId="3" type="noConversion"/>
  </si>
  <si>
    <t>0497888788</t>
    <phoneticPr fontId="3" type="noConversion"/>
  </si>
  <si>
    <t>W/O</t>
    <phoneticPr fontId="3" type="noConversion"/>
  </si>
  <si>
    <t>EWB63U</t>
    <phoneticPr fontId="3" type="noConversion"/>
  </si>
  <si>
    <t>0438354090</t>
    <phoneticPr fontId="3" type="noConversion"/>
  </si>
  <si>
    <t>IFA8SL</t>
    <phoneticPr fontId="3" type="noConversion"/>
  </si>
  <si>
    <t>0400822822</t>
    <phoneticPr fontId="3" type="noConversion"/>
  </si>
  <si>
    <t>EQB51L</t>
    <phoneticPr fontId="3" type="noConversion"/>
  </si>
  <si>
    <t>0411280746</t>
    <phoneticPr fontId="3" type="noConversion"/>
  </si>
  <si>
    <t>XHZ777</t>
    <phoneticPr fontId="3" type="noConversion"/>
  </si>
  <si>
    <t>0405189999</t>
    <phoneticPr fontId="3" type="noConversion"/>
  </si>
  <si>
    <t>BAO3MH</t>
    <phoneticPr fontId="3" type="noConversion"/>
  </si>
  <si>
    <t>0402836428</t>
    <phoneticPr fontId="3" type="noConversion"/>
  </si>
  <si>
    <t>D/ST</t>
    <phoneticPr fontId="3" type="noConversion"/>
  </si>
  <si>
    <t>DHT87X</t>
    <phoneticPr fontId="3" type="noConversion"/>
  </si>
  <si>
    <t>0411822032</t>
    <phoneticPr fontId="3" type="noConversion"/>
  </si>
  <si>
    <t>0412019460</t>
    <phoneticPr fontId="3" type="noConversion"/>
  </si>
  <si>
    <t>DCD72C</t>
    <phoneticPr fontId="3" type="noConversion"/>
  </si>
  <si>
    <t>RINI</t>
    <phoneticPr fontId="3" type="noConversion"/>
  </si>
  <si>
    <t>16-11-2022</t>
    <phoneticPr fontId="3" type="noConversion"/>
  </si>
  <si>
    <t>NCA15F</t>
    <phoneticPr fontId="3" type="noConversion"/>
  </si>
  <si>
    <t>0411139378</t>
    <phoneticPr fontId="3" type="noConversion"/>
  </si>
  <si>
    <t>F</t>
  </si>
  <si>
    <t>22078(6/6),22126(NEW)</t>
    <phoneticPr fontId="3" type="noConversion"/>
  </si>
  <si>
    <t>DGB62N</t>
    <phoneticPr fontId="3" type="noConversion"/>
  </si>
  <si>
    <t>0417255631</t>
    <phoneticPr fontId="3" type="noConversion"/>
  </si>
  <si>
    <t>DJF90D</t>
    <phoneticPr fontId="3" type="noConversion"/>
  </si>
  <si>
    <t>0450802939</t>
    <phoneticPr fontId="3" type="noConversion"/>
  </si>
  <si>
    <t>EOQ88W</t>
    <phoneticPr fontId="3" type="noConversion"/>
  </si>
  <si>
    <t>0450188519</t>
    <phoneticPr fontId="3" type="noConversion"/>
  </si>
  <si>
    <t>ENT75Q</t>
    <phoneticPr fontId="3" type="noConversion"/>
  </si>
  <si>
    <t>DWL75Q</t>
    <phoneticPr fontId="3" type="noConversion"/>
  </si>
  <si>
    <t>0478518616</t>
    <phoneticPr fontId="3" type="noConversion"/>
  </si>
  <si>
    <t>PCS</t>
    <phoneticPr fontId="3" type="noConversion"/>
  </si>
  <si>
    <t>21037(5,6/6)</t>
    <phoneticPr fontId="3" type="noConversion"/>
  </si>
  <si>
    <t>EGQ53M</t>
    <phoneticPr fontId="3" type="noConversion"/>
  </si>
  <si>
    <t>0433818333</t>
    <phoneticPr fontId="3" type="noConversion"/>
  </si>
  <si>
    <t>EWF83H</t>
    <phoneticPr fontId="3" type="noConversion"/>
  </si>
  <si>
    <t>0417738188</t>
    <phoneticPr fontId="3" type="noConversion"/>
  </si>
  <si>
    <t>22090(2/6)</t>
    <phoneticPr fontId="3" type="noConversion"/>
  </si>
  <si>
    <t>CLB30E</t>
    <phoneticPr fontId="3" type="noConversion"/>
  </si>
  <si>
    <t>0434022699</t>
    <phoneticPr fontId="3" type="noConversion"/>
  </si>
  <si>
    <t>22029(5/6)</t>
    <phoneticPr fontId="3" type="noConversion"/>
  </si>
  <si>
    <t>DYG52K</t>
    <phoneticPr fontId="3" type="noConversion"/>
  </si>
  <si>
    <t>0432792349</t>
    <phoneticPr fontId="3" type="noConversion"/>
  </si>
  <si>
    <t>HD093</t>
    <phoneticPr fontId="3" type="noConversion"/>
  </si>
  <si>
    <t>0413750778</t>
    <phoneticPr fontId="3" type="noConversion"/>
  </si>
  <si>
    <t>EJW83P</t>
    <phoneticPr fontId="3" type="noConversion"/>
  </si>
  <si>
    <t>0420536353</t>
    <phoneticPr fontId="3" type="noConversion"/>
  </si>
  <si>
    <t>21122822(3/6)</t>
    <phoneticPr fontId="3" type="noConversion"/>
  </si>
  <si>
    <t>DBI12C</t>
    <phoneticPr fontId="3" type="noConversion"/>
  </si>
  <si>
    <t>0404479199</t>
    <phoneticPr fontId="3" type="noConversion"/>
  </si>
  <si>
    <t>22047(3/6)</t>
    <phoneticPr fontId="3" type="noConversion"/>
  </si>
  <si>
    <t>BCT24C</t>
    <phoneticPr fontId="3" type="noConversion"/>
  </si>
  <si>
    <t>0411627451</t>
    <phoneticPr fontId="3" type="noConversion"/>
  </si>
  <si>
    <t>JB0212</t>
    <phoneticPr fontId="3" type="noConversion"/>
  </si>
  <si>
    <t>0401704628</t>
    <phoneticPr fontId="3" type="noConversion"/>
  </si>
  <si>
    <t>BNE52M</t>
    <phoneticPr fontId="3" type="noConversion"/>
  </si>
  <si>
    <t>02411302488</t>
    <phoneticPr fontId="3" type="noConversion"/>
  </si>
  <si>
    <t>EDG29X</t>
    <phoneticPr fontId="3" type="noConversion"/>
  </si>
  <si>
    <t>0488007448</t>
    <phoneticPr fontId="3" type="noConversion"/>
  </si>
  <si>
    <t>EIX51L</t>
    <phoneticPr fontId="3" type="noConversion"/>
  </si>
  <si>
    <t>0426813006</t>
    <phoneticPr fontId="3" type="noConversion"/>
  </si>
  <si>
    <t xml:space="preserve">22106(2/6) </t>
    <phoneticPr fontId="3" type="noConversion"/>
  </si>
  <si>
    <t xml:space="preserve">22046(2-3/6) </t>
    <phoneticPr fontId="3" type="noConversion"/>
  </si>
  <si>
    <t xml:space="preserve">22092(1/6) </t>
    <phoneticPr fontId="3" type="noConversion"/>
  </si>
  <si>
    <t xml:space="preserve">22125(1/6) </t>
    <phoneticPr fontId="3" type="noConversion"/>
  </si>
  <si>
    <t>0447514956</t>
    <phoneticPr fontId="3" type="noConversion"/>
  </si>
  <si>
    <t>DYR32X</t>
    <phoneticPr fontId="3" type="noConversion"/>
  </si>
  <si>
    <t>0416571660</t>
    <phoneticPr fontId="3" type="noConversion"/>
  </si>
  <si>
    <t>HELLNJ</t>
    <phoneticPr fontId="3" type="noConversion"/>
  </si>
  <si>
    <t>0416730966</t>
    <phoneticPr fontId="3" type="noConversion"/>
  </si>
  <si>
    <t>17-11-2022</t>
    <phoneticPr fontId="3" type="noConversion"/>
  </si>
  <si>
    <t>22006(2/6)</t>
    <phoneticPr fontId="3" type="noConversion"/>
  </si>
  <si>
    <t>18-11-2022</t>
    <phoneticPr fontId="3" type="noConversion"/>
  </si>
  <si>
    <t>JUNIOR</t>
    <phoneticPr fontId="3" type="noConversion"/>
  </si>
  <si>
    <t>JAMES</t>
    <phoneticPr fontId="3" type="noConversion"/>
  </si>
  <si>
    <t>ANDREW OCTEC</t>
    <phoneticPr fontId="3" type="noConversion"/>
  </si>
  <si>
    <t>KM658</t>
    <phoneticPr fontId="3" type="noConversion"/>
  </si>
  <si>
    <t>0438586989</t>
    <phoneticPr fontId="3" type="noConversion"/>
  </si>
  <si>
    <t>MUZ088</t>
    <phoneticPr fontId="3" type="noConversion"/>
  </si>
  <si>
    <t>0439394186</t>
    <phoneticPr fontId="3" type="noConversion"/>
  </si>
  <si>
    <t>NCJ001</t>
    <phoneticPr fontId="3" type="noConversion"/>
  </si>
  <si>
    <t>0415428888</t>
    <phoneticPr fontId="3" type="noConversion"/>
  </si>
  <si>
    <t>CPE76P</t>
    <phoneticPr fontId="3" type="noConversion"/>
  </si>
  <si>
    <t>0411563998</t>
    <phoneticPr fontId="3" type="noConversion"/>
  </si>
  <si>
    <t>CAD01D</t>
    <phoneticPr fontId="3" type="noConversion"/>
  </si>
  <si>
    <t>0432456464</t>
    <phoneticPr fontId="3" type="noConversion"/>
  </si>
  <si>
    <t>DSY26Z</t>
    <phoneticPr fontId="3" type="noConversion"/>
  </si>
  <si>
    <t>0452212543</t>
    <phoneticPr fontId="3" type="noConversion"/>
  </si>
  <si>
    <t>22067(2/6)</t>
    <phoneticPr fontId="3" type="noConversion"/>
  </si>
  <si>
    <t>DLF31P</t>
    <phoneticPr fontId="3" type="noConversion"/>
  </si>
  <si>
    <t>0421443343</t>
    <phoneticPr fontId="3" type="noConversion"/>
  </si>
  <si>
    <t>DQZ95G</t>
    <phoneticPr fontId="3" type="noConversion"/>
  </si>
  <si>
    <t>0414223602</t>
    <phoneticPr fontId="3" type="noConversion"/>
  </si>
  <si>
    <t>EPT58B</t>
    <phoneticPr fontId="3" type="noConversion"/>
  </si>
  <si>
    <t>0411758747</t>
    <phoneticPr fontId="3" type="noConversion"/>
  </si>
  <si>
    <t>CB0028</t>
    <phoneticPr fontId="3" type="noConversion"/>
  </si>
  <si>
    <t>0439566326</t>
    <phoneticPr fontId="3" type="noConversion"/>
  </si>
  <si>
    <t>EMD57T</t>
    <phoneticPr fontId="3" type="noConversion"/>
  </si>
  <si>
    <t>0413770080</t>
    <phoneticPr fontId="3" type="noConversion"/>
  </si>
  <si>
    <t>0450011692</t>
    <phoneticPr fontId="3" type="noConversion"/>
  </si>
  <si>
    <t>H/ST</t>
    <phoneticPr fontId="3" type="noConversion"/>
  </si>
  <si>
    <t>BJB94L</t>
    <phoneticPr fontId="3" type="noConversion"/>
  </si>
  <si>
    <t>BV65ZL</t>
    <phoneticPr fontId="3" type="noConversion"/>
  </si>
  <si>
    <t>0451634933</t>
    <phoneticPr fontId="3" type="noConversion"/>
  </si>
  <si>
    <t>202903(5,6/6)</t>
    <phoneticPr fontId="3" type="noConversion"/>
  </si>
  <si>
    <t>FJL68C</t>
    <phoneticPr fontId="3" type="noConversion"/>
  </si>
  <si>
    <t>0402984645</t>
    <phoneticPr fontId="3" type="noConversion"/>
  </si>
  <si>
    <t>DGG64K</t>
    <phoneticPr fontId="3" type="noConversion"/>
  </si>
  <si>
    <t>0402213906</t>
    <phoneticPr fontId="3" type="noConversion"/>
  </si>
  <si>
    <t>LIZ88A</t>
    <phoneticPr fontId="3" type="noConversion"/>
  </si>
  <si>
    <t>0416168700</t>
    <phoneticPr fontId="3" type="noConversion"/>
  </si>
  <si>
    <t>x</t>
    <phoneticPr fontId="3" type="noConversion"/>
  </si>
  <si>
    <t>CHARLIE</t>
    <phoneticPr fontId="3" type="noConversion"/>
  </si>
  <si>
    <t>EPO91D</t>
    <phoneticPr fontId="3" type="noConversion"/>
  </si>
  <si>
    <t>0419460470</t>
    <phoneticPr fontId="3" type="noConversion"/>
  </si>
  <si>
    <t>GI88GJ</t>
    <phoneticPr fontId="3" type="noConversion"/>
  </si>
  <si>
    <t>0424051388</t>
    <phoneticPr fontId="3" type="noConversion"/>
  </si>
  <si>
    <t>Z0320E</t>
    <phoneticPr fontId="3" type="noConversion"/>
  </si>
  <si>
    <t>0468341567</t>
    <phoneticPr fontId="3" type="noConversion"/>
  </si>
  <si>
    <t>CNX67C</t>
    <phoneticPr fontId="3" type="noConversion"/>
  </si>
  <si>
    <t>0424139440</t>
    <phoneticPr fontId="3" type="noConversion"/>
  </si>
  <si>
    <t>ERO85W</t>
    <phoneticPr fontId="3" type="noConversion"/>
  </si>
  <si>
    <t>0407546327</t>
    <phoneticPr fontId="3" type="noConversion"/>
  </si>
  <si>
    <t>CPT87W</t>
    <phoneticPr fontId="3" type="noConversion"/>
  </si>
  <si>
    <t>0414258028</t>
    <phoneticPr fontId="3" type="noConversion"/>
  </si>
  <si>
    <t>22051(3/6)X</t>
    <phoneticPr fontId="3" type="noConversion"/>
  </si>
  <si>
    <t>DMJ87F</t>
    <phoneticPr fontId="3" type="noConversion"/>
  </si>
  <si>
    <t>0425373111</t>
    <phoneticPr fontId="3" type="noConversion"/>
  </si>
  <si>
    <t>HVX300</t>
    <phoneticPr fontId="3" type="noConversion"/>
  </si>
  <si>
    <t>0411384250</t>
    <phoneticPr fontId="3" type="noConversion"/>
  </si>
  <si>
    <t>NCA84B</t>
    <phoneticPr fontId="3" type="noConversion"/>
  </si>
  <si>
    <t>0412565392</t>
    <phoneticPr fontId="3" type="noConversion"/>
  </si>
  <si>
    <t>KSI1815</t>
    <phoneticPr fontId="3" type="noConversion"/>
  </si>
  <si>
    <t>0403204617</t>
    <phoneticPr fontId="3" type="noConversion"/>
  </si>
  <si>
    <t>TAX</t>
    <phoneticPr fontId="3" type="noConversion"/>
  </si>
  <si>
    <t>NCG28A</t>
    <phoneticPr fontId="3" type="noConversion"/>
  </si>
  <si>
    <t>0402825719</t>
    <phoneticPr fontId="3" type="noConversion"/>
  </si>
  <si>
    <t>EMB68W</t>
    <phoneticPr fontId="3" type="noConversion"/>
  </si>
  <si>
    <t>0435758408</t>
    <phoneticPr fontId="3" type="noConversion"/>
  </si>
  <si>
    <t>BOX88S</t>
    <phoneticPr fontId="3" type="noConversion"/>
  </si>
  <si>
    <t>0414338221</t>
    <phoneticPr fontId="3" type="noConversion"/>
  </si>
  <si>
    <t>NCD01L</t>
    <phoneticPr fontId="3" type="noConversion"/>
  </si>
  <si>
    <t>0409037279</t>
    <phoneticPr fontId="3" type="noConversion"/>
  </si>
  <si>
    <t>LZC</t>
    <phoneticPr fontId="3" type="noConversion"/>
  </si>
  <si>
    <t>0420205515</t>
    <phoneticPr fontId="3" type="noConversion"/>
  </si>
  <si>
    <t>21023(5/6)H</t>
    <phoneticPr fontId="3" type="noConversion"/>
  </si>
  <si>
    <t>EAP95Q</t>
    <phoneticPr fontId="3" type="noConversion"/>
  </si>
  <si>
    <t>0410403603</t>
    <phoneticPr fontId="3" type="noConversion"/>
  </si>
  <si>
    <t>ST BABY SEAT</t>
    <phoneticPr fontId="3" type="noConversion"/>
  </si>
  <si>
    <t>999CLQ</t>
    <phoneticPr fontId="3" type="noConversion"/>
  </si>
  <si>
    <t>0418645365</t>
    <phoneticPr fontId="3" type="noConversion"/>
  </si>
  <si>
    <t>EKR49Q</t>
    <phoneticPr fontId="3" type="noConversion"/>
  </si>
  <si>
    <t>0498376537</t>
    <phoneticPr fontId="3" type="noConversion"/>
  </si>
  <si>
    <t>88BMWM</t>
    <phoneticPr fontId="3" type="noConversion"/>
  </si>
  <si>
    <t>0479077545</t>
    <phoneticPr fontId="3" type="noConversion"/>
  </si>
  <si>
    <t>KADAM</t>
    <phoneticPr fontId="3" type="noConversion"/>
  </si>
  <si>
    <t>19-11-2022</t>
    <phoneticPr fontId="3" type="noConversion"/>
  </si>
  <si>
    <t>22021(3/6)</t>
    <phoneticPr fontId="3" type="noConversion"/>
  </si>
  <si>
    <t>22030(4/6)</t>
    <phoneticPr fontId="3" type="noConversion"/>
  </si>
  <si>
    <t>SUVASH</t>
    <phoneticPr fontId="3" type="noConversion"/>
  </si>
  <si>
    <t>DGB09X</t>
    <phoneticPr fontId="3" type="noConversion"/>
  </si>
  <si>
    <t>0418405681</t>
    <phoneticPr fontId="3" type="noConversion"/>
  </si>
  <si>
    <t>EQP67M</t>
    <phoneticPr fontId="3" type="noConversion"/>
  </si>
  <si>
    <t>0438212448</t>
    <phoneticPr fontId="3" type="noConversion"/>
  </si>
  <si>
    <t>ETS02W</t>
    <phoneticPr fontId="3" type="noConversion"/>
  </si>
  <si>
    <t>0409976551</t>
    <phoneticPr fontId="3" type="noConversion"/>
  </si>
  <si>
    <t>22127(1/6)</t>
    <phoneticPr fontId="3" type="noConversion"/>
  </si>
  <si>
    <t>EOL27E</t>
    <phoneticPr fontId="3" type="noConversion"/>
  </si>
  <si>
    <t>DZS204</t>
    <phoneticPr fontId="3" type="noConversion"/>
  </si>
  <si>
    <t>0404799629</t>
    <phoneticPr fontId="3" type="noConversion"/>
  </si>
  <si>
    <t>CY69SK</t>
    <phoneticPr fontId="3" type="noConversion"/>
  </si>
  <si>
    <t>0433922025</t>
    <phoneticPr fontId="3" type="noConversion"/>
  </si>
  <si>
    <t>22128(1/6)</t>
    <phoneticPr fontId="3" type="noConversion"/>
  </si>
  <si>
    <t>CRX07Q</t>
    <phoneticPr fontId="3" type="noConversion"/>
  </si>
  <si>
    <t>0437857882</t>
    <phoneticPr fontId="3" type="noConversion"/>
  </si>
  <si>
    <t>DPK84D</t>
    <phoneticPr fontId="3" type="noConversion"/>
  </si>
  <si>
    <t>0412324620</t>
    <phoneticPr fontId="3" type="noConversion"/>
  </si>
  <si>
    <t>DRIV3N</t>
    <phoneticPr fontId="3" type="noConversion"/>
  </si>
  <si>
    <t>0447993791</t>
    <phoneticPr fontId="3" type="noConversion"/>
  </si>
  <si>
    <t>DFX68Z</t>
    <phoneticPr fontId="3" type="noConversion"/>
  </si>
  <si>
    <t>0404856668</t>
    <phoneticPr fontId="3" type="noConversion"/>
  </si>
  <si>
    <t>CDT46W</t>
    <phoneticPr fontId="3" type="noConversion"/>
  </si>
  <si>
    <t>0433978168</t>
    <phoneticPr fontId="3" type="noConversion"/>
  </si>
  <si>
    <t>EPW57Y</t>
    <phoneticPr fontId="3" type="noConversion"/>
  </si>
  <si>
    <t>0408189137</t>
    <phoneticPr fontId="3" type="noConversion"/>
  </si>
  <si>
    <t>EHF22X</t>
    <phoneticPr fontId="3" type="noConversion"/>
  </si>
  <si>
    <t>0411800676</t>
    <phoneticPr fontId="3" type="noConversion"/>
  </si>
  <si>
    <t>CLE00K</t>
    <phoneticPr fontId="3" type="noConversion"/>
  </si>
  <si>
    <t>04203672677</t>
    <phoneticPr fontId="3" type="noConversion"/>
  </si>
  <si>
    <t>X/LETHER</t>
    <phoneticPr fontId="3" type="noConversion"/>
  </si>
  <si>
    <t>NSZ899</t>
    <phoneticPr fontId="3" type="noConversion"/>
  </si>
  <si>
    <t>0422028291</t>
    <phoneticPr fontId="3" type="noConversion"/>
  </si>
  <si>
    <t>22087( 1/ 6)</t>
    <phoneticPr fontId="3" type="noConversion"/>
  </si>
  <si>
    <t>NCE55H</t>
    <phoneticPr fontId="3" type="noConversion"/>
  </si>
  <si>
    <t>0481002570</t>
    <phoneticPr fontId="3" type="noConversion"/>
  </si>
  <si>
    <t>EWH49Q</t>
    <phoneticPr fontId="3" type="noConversion"/>
  </si>
  <si>
    <t>0414135647</t>
    <phoneticPr fontId="3" type="noConversion"/>
  </si>
  <si>
    <t>EHQ91C</t>
    <phoneticPr fontId="3" type="noConversion"/>
  </si>
  <si>
    <t>0488844776</t>
    <phoneticPr fontId="3" type="noConversion"/>
  </si>
  <si>
    <t>CK21TF</t>
    <phoneticPr fontId="3" type="noConversion"/>
  </si>
  <si>
    <t>0403649232</t>
    <phoneticPr fontId="3" type="noConversion"/>
  </si>
  <si>
    <t>EEJ38E</t>
    <phoneticPr fontId="3" type="noConversion"/>
  </si>
  <si>
    <t>0433944264</t>
    <phoneticPr fontId="3" type="noConversion"/>
  </si>
  <si>
    <t>LYN111</t>
    <phoneticPr fontId="3" type="noConversion"/>
  </si>
  <si>
    <t>0412192929</t>
    <phoneticPr fontId="3" type="noConversion"/>
  </si>
  <si>
    <t>NCA76P</t>
    <phoneticPr fontId="3" type="noConversion"/>
  </si>
  <si>
    <t>0403225559</t>
    <phoneticPr fontId="3" type="noConversion"/>
  </si>
  <si>
    <t>MOSAUS</t>
    <phoneticPr fontId="3" type="noConversion"/>
  </si>
  <si>
    <t>0401758007</t>
    <phoneticPr fontId="3" type="noConversion"/>
  </si>
  <si>
    <t>CQD34B</t>
    <phoneticPr fontId="3" type="noConversion"/>
  </si>
  <si>
    <t>0447939687</t>
    <phoneticPr fontId="3" type="noConversion"/>
  </si>
  <si>
    <t>22014(4/6),22129(NEW)</t>
    <phoneticPr fontId="3" type="noConversion"/>
  </si>
  <si>
    <t>20-11-2022</t>
    <phoneticPr fontId="3" type="noConversion"/>
  </si>
  <si>
    <t>YLZ61B</t>
    <phoneticPr fontId="3" type="noConversion"/>
  </si>
  <si>
    <t>0451115789</t>
    <phoneticPr fontId="3" type="noConversion"/>
  </si>
  <si>
    <t>DANIEL</t>
    <phoneticPr fontId="3" type="noConversion"/>
  </si>
  <si>
    <t>DANIEL TRAINING NEW BOYS</t>
    <phoneticPr fontId="3" type="noConversion"/>
  </si>
  <si>
    <t>HENDRI</t>
    <phoneticPr fontId="3" type="noConversion"/>
  </si>
  <si>
    <t>ERY51B</t>
    <phoneticPr fontId="3" type="noConversion"/>
  </si>
  <si>
    <t>0407770517</t>
    <phoneticPr fontId="3" type="noConversion"/>
  </si>
  <si>
    <t>DLY06Y</t>
    <phoneticPr fontId="3" type="noConversion"/>
  </si>
  <si>
    <t>0430020731</t>
    <phoneticPr fontId="3" type="noConversion"/>
  </si>
  <si>
    <t>ESZ55R</t>
    <phoneticPr fontId="3" type="noConversion"/>
  </si>
  <si>
    <t>0410471717</t>
    <phoneticPr fontId="3" type="noConversion"/>
  </si>
  <si>
    <t>NJT75P</t>
    <phoneticPr fontId="3" type="noConversion"/>
  </si>
  <si>
    <t>0477813777</t>
    <phoneticPr fontId="3" type="noConversion"/>
  </si>
  <si>
    <t>ENA1QJ</t>
    <phoneticPr fontId="3" type="noConversion"/>
  </si>
  <si>
    <t>0431733876</t>
    <phoneticPr fontId="3" type="noConversion"/>
  </si>
  <si>
    <t>CPR95A</t>
    <phoneticPr fontId="3" type="noConversion"/>
  </si>
  <si>
    <t>0405744445</t>
    <phoneticPr fontId="3" type="noConversion"/>
  </si>
  <si>
    <t>RBH444</t>
    <phoneticPr fontId="3" type="noConversion"/>
  </si>
  <si>
    <t>0412633862</t>
    <phoneticPr fontId="3" type="noConversion"/>
  </si>
  <si>
    <t>EE165A</t>
    <phoneticPr fontId="3" type="noConversion"/>
  </si>
  <si>
    <t>0416279912</t>
    <phoneticPr fontId="3" type="noConversion"/>
  </si>
  <si>
    <t>EPA58K</t>
    <phoneticPr fontId="3" type="noConversion"/>
  </si>
  <si>
    <t>0400663250</t>
    <phoneticPr fontId="3" type="noConversion"/>
  </si>
  <si>
    <t>W/H</t>
    <phoneticPr fontId="3" type="noConversion"/>
  </si>
  <si>
    <t>DPN28Y</t>
    <phoneticPr fontId="3" type="noConversion"/>
  </si>
  <si>
    <t>0416236260</t>
    <phoneticPr fontId="3" type="noConversion"/>
  </si>
  <si>
    <t>21032(5/6)</t>
    <phoneticPr fontId="3" type="noConversion"/>
  </si>
  <si>
    <t>EJS38V</t>
    <phoneticPr fontId="3" type="noConversion"/>
  </si>
  <si>
    <t>0416070281</t>
    <phoneticPr fontId="3" type="noConversion"/>
  </si>
  <si>
    <t>CI068G</t>
    <phoneticPr fontId="3" type="noConversion"/>
  </si>
  <si>
    <t>0417498676</t>
    <phoneticPr fontId="3" type="noConversion"/>
  </si>
  <si>
    <t>DGF481</t>
    <phoneticPr fontId="3" type="noConversion"/>
  </si>
  <si>
    <t>0438882218</t>
    <phoneticPr fontId="3" type="noConversion"/>
  </si>
  <si>
    <t>CMB80R</t>
    <phoneticPr fontId="3" type="noConversion"/>
  </si>
  <si>
    <t>?????</t>
    <phoneticPr fontId="3" type="noConversion"/>
  </si>
  <si>
    <t>GEA111</t>
    <phoneticPr fontId="3" type="noConversion"/>
  </si>
  <si>
    <t>EQQ75M</t>
    <phoneticPr fontId="3" type="noConversion"/>
  </si>
  <si>
    <t>0412077307</t>
    <phoneticPr fontId="3" type="noConversion"/>
  </si>
  <si>
    <t>NCB77A</t>
    <phoneticPr fontId="3" type="noConversion"/>
  </si>
  <si>
    <t>0413549169</t>
    <phoneticPr fontId="3" type="noConversion"/>
  </si>
  <si>
    <t>COG56P</t>
    <phoneticPr fontId="3" type="noConversion"/>
  </si>
  <si>
    <t>0450021234</t>
    <phoneticPr fontId="3" type="noConversion"/>
  </si>
  <si>
    <t>CPB52W</t>
    <phoneticPr fontId="3" type="noConversion"/>
  </si>
  <si>
    <t>0421026344</t>
    <phoneticPr fontId="3" type="noConversion"/>
  </si>
  <si>
    <t>ENF66X</t>
    <phoneticPr fontId="3" type="noConversion"/>
  </si>
  <si>
    <t>0416054182</t>
    <phoneticPr fontId="3" type="noConversion"/>
  </si>
  <si>
    <t>CXJ58D</t>
    <phoneticPr fontId="3" type="noConversion"/>
  </si>
  <si>
    <t>0412688789</t>
    <phoneticPr fontId="3" type="noConversion"/>
  </si>
  <si>
    <t>HENDRI TRAINING NEW BOYS</t>
    <phoneticPr fontId="3" type="noConversion"/>
  </si>
  <si>
    <t>RT8481</t>
    <phoneticPr fontId="3" type="noConversion"/>
  </si>
  <si>
    <t>0413457509</t>
    <phoneticPr fontId="3" type="noConversion"/>
  </si>
  <si>
    <t>CJ083P</t>
    <phoneticPr fontId="3" type="noConversion"/>
  </si>
  <si>
    <t>0401714252</t>
    <phoneticPr fontId="3" type="noConversion"/>
  </si>
  <si>
    <t>NCD81G</t>
    <phoneticPr fontId="3" type="noConversion"/>
  </si>
  <si>
    <t>0404028865</t>
    <phoneticPr fontId="3" type="noConversion"/>
  </si>
  <si>
    <t>EGN21W</t>
    <phoneticPr fontId="3" type="noConversion"/>
  </si>
  <si>
    <t>0449588321</t>
    <phoneticPr fontId="3" type="noConversion"/>
  </si>
  <si>
    <t>22116(2-4/6)</t>
    <phoneticPr fontId="3" type="noConversion"/>
  </si>
  <si>
    <t>EKY86R</t>
    <phoneticPr fontId="3" type="noConversion"/>
  </si>
  <si>
    <t>0403763576</t>
    <phoneticPr fontId="3" type="noConversion"/>
  </si>
  <si>
    <t>DSW92E</t>
    <phoneticPr fontId="3" type="noConversion"/>
  </si>
  <si>
    <t>0401685626</t>
    <phoneticPr fontId="3" type="noConversion"/>
  </si>
  <si>
    <t>22018(4/6)</t>
    <phoneticPr fontId="3" type="noConversion"/>
  </si>
  <si>
    <t>22041(3/6)</t>
    <phoneticPr fontId="3" type="noConversion"/>
  </si>
  <si>
    <t>22082(3/6)</t>
    <phoneticPr fontId="3" type="noConversion"/>
  </si>
  <si>
    <t>WEI11H</t>
    <phoneticPr fontId="3" type="noConversion"/>
  </si>
  <si>
    <t>0403575606</t>
    <phoneticPr fontId="3" type="noConversion"/>
  </si>
  <si>
    <t>22088(2/6)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</si>
</sst>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</cellStyleXfs>
  <cellXfs count="770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16" fillId="13" borderId="8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23" fillId="14" borderId="4" xfId="4" applyBorder="1" applyAlignment="1">
      <alignment horizontal="center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62" xfId="4" applyBorder="1" applyAlignment="1">
      <alignment horizontal="center" shrinkToFit="1"/>
    </xf>
    <xf numFmtId="0" fontId="23" fillId="14" borderId="26" xfId="4" applyBorder="1" applyAlignment="1">
      <alignment horizontal="left"/>
    </xf>
    <xf numFmtId="0" fontId="23" fillId="14" borderId="1" xfId="4" applyBorder="1" applyAlignment="1">
      <alignment horizontal="center"/>
    </xf>
    <xf numFmtId="178" fontId="23" fillId="14" borderId="1" xfId="4" applyNumberFormat="1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9" fillId="15" borderId="19" xfId="5" applyBorder="1" applyAlignment="1">
      <alignment horizontal="center" shrinkToFit="1"/>
    </xf>
    <xf numFmtId="0" fontId="29" fillId="15" borderId="1" xfId="5" applyBorder="1" applyAlignment="1">
      <alignment horizontal="center" shrinkToFit="1"/>
    </xf>
    <xf numFmtId="0" fontId="29" fillId="15" borderId="1" xfId="5" applyBorder="1" applyAlignment="1">
      <alignment horizontal="left" shrinkToFit="1"/>
    </xf>
    <xf numFmtId="49" fontId="29" fillId="15" borderId="2" xfId="5" applyNumberFormat="1" applyBorder="1" applyAlignment="1">
      <alignment horizontal="left"/>
    </xf>
    <xf numFmtId="0" fontId="29" fillId="15" borderId="62" xfId="5" applyBorder="1" applyAlignment="1">
      <alignment horizontal="center" shrinkToFit="1"/>
    </xf>
    <xf numFmtId="179" fontId="29" fillId="15" borderId="26" xfId="5" applyNumberFormat="1" applyBorder="1" applyAlignment="1">
      <alignment horizontal="left"/>
    </xf>
    <xf numFmtId="0" fontId="29" fillId="15" borderId="4" xfId="5" applyBorder="1" applyAlignment="1">
      <alignment horizontal="center" shrinkToFit="1"/>
    </xf>
    <xf numFmtId="178" fontId="29" fillId="15" borderId="4" xfId="5" applyNumberFormat="1" applyBorder="1" applyAlignment="1">
      <alignment horizontal="center" shrinkToFit="1"/>
    </xf>
    <xf numFmtId="178" fontId="29" fillId="15" borderId="6" xfId="5" applyNumberFormat="1" applyBorder="1" applyAlignment="1">
      <alignment horizontal="center" shrinkToFit="1"/>
    </xf>
    <xf numFmtId="0" fontId="23" fillId="14" borderId="9" xfId="4" applyBorder="1" applyAlignment="1">
      <alignment horizontal="center" shrinkToFit="1"/>
    </xf>
    <xf numFmtId="0" fontId="23" fillId="14" borderId="1" xfId="4" applyBorder="1" applyAlignment="1">
      <alignment horizontal="center" shrinkToFit="1"/>
    </xf>
    <xf numFmtId="0" fontId="23" fillId="14" borderId="1" xfId="4" applyBorder="1" applyAlignment="1"/>
    <xf numFmtId="49" fontId="23" fillId="14" borderId="2" xfId="4" applyNumberFormat="1" applyBorder="1" applyAlignment="1">
      <alignment horizontal="left"/>
    </xf>
    <xf numFmtId="179" fontId="23" fillId="14" borderId="39" xfId="4" applyNumberFormat="1" applyBorder="1" applyAlignment="1">
      <alignment horizontal="left"/>
    </xf>
    <xf numFmtId="0" fontId="30" fillId="2" borderId="9" xfId="0" applyFont="1" applyFill="1" applyBorder="1" applyAlignment="1">
      <alignment shrinkToFit="1"/>
    </xf>
    <xf numFmtId="0" fontId="31" fillId="2" borderId="19" xfId="0" applyFont="1" applyFill="1" applyBorder="1" applyAlignment="1">
      <alignment shrinkToFit="1"/>
    </xf>
    <xf numFmtId="0" fontId="31" fillId="2" borderId="9" xfId="0" applyFont="1" applyFill="1" applyBorder="1" applyAlignment="1">
      <alignment shrinkToFit="1"/>
    </xf>
    <xf numFmtId="0" fontId="6" fillId="0" borderId="62" xfId="0" applyFont="1" applyBorder="1" applyAlignment="1">
      <alignment horizontal="center" shrinkToFit="1"/>
    </xf>
    <xf numFmtId="0" fontId="23" fillId="14" borderId="1" xfId="4" applyBorder="1" applyAlignment="1">
      <alignment horizontal="left"/>
    </xf>
    <xf numFmtId="179" fontId="23" fillId="14" borderId="26" xfId="4" applyNumberFormat="1" applyBorder="1" applyAlignment="1">
      <alignment horizontal="left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0" fontId="29" fillId="15" borderId="2" xfId="5" applyBorder="1" applyAlignment="1">
      <alignment horizontal="center" shrinkToFit="1"/>
    </xf>
    <xf numFmtId="0" fontId="29" fillId="15" borderId="29" xfId="5" applyBorder="1" applyAlignment="1">
      <alignment horizontal="center" shrinkToFit="1"/>
    </xf>
    <xf numFmtId="0" fontId="29" fillId="15" borderId="17" xfId="5" applyBorder="1" applyAlignment="1">
      <alignment horizontal="center" shrinkToFit="1"/>
    </xf>
    <xf numFmtId="0" fontId="23" fillId="14" borderId="6" xfId="4" applyBorder="1" applyAlignment="1">
      <alignment horizontal="center" shrinkToFit="1"/>
    </xf>
    <xf numFmtId="0" fontId="23" fillId="14" borderId="37" xfId="4" applyBorder="1" applyAlignment="1">
      <alignment horizontal="center" shrinkToFit="1"/>
    </xf>
    <xf numFmtId="0" fontId="23" fillId="14" borderId="47" xfId="4" applyBorder="1" applyAlignment="1">
      <alignment horizont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NumberFormat="1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</cellXfs>
  <cellStyles count="6">
    <cellStyle name="Check Cell" xfId="1" builtinId="23"/>
    <cellStyle name="Currency [0]" xfId="2" builtinId="7"/>
    <cellStyle name="Good" xfId="4" builtinId="26"/>
    <cellStyle name="Neutral" xfId="5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E25" sqref="E25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02" t="s">
        <v>77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4"/>
    </row>
    <row r="2" spans="1:44" ht="18" thickBot="1" x14ac:dyDescent="0.45">
      <c r="A2" s="302" t="s">
        <v>97</v>
      </c>
      <c r="B2" s="303"/>
      <c r="C2" s="303"/>
      <c r="D2" s="303"/>
      <c r="E2" s="303"/>
      <c r="F2" s="303"/>
      <c r="G2" s="304"/>
      <c r="H2" s="305" t="s">
        <v>49</v>
      </c>
      <c r="I2" s="306"/>
      <c r="J2" s="302" t="s">
        <v>102</v>
      </c>
      <c r="K2" s="304"/>
      <c r="L2" s="306" t="s">
        <v>96</v>
      </c>
      <c r="M2" s="307"/>
      <c r="N2" s="305"/>
      <c r="O2" s="303" t="s">
        <v>98</v>
      </c>
      <c r="P2" s="303"/>
      <c r="Q2" s="304"/>
      <c r="R2" s="306" t="s">
        <v>51</v>
      </c>
      <c r="S2" s="305"/>
      <c r="T2" s="308">
        <v>5</v>
      </c>
      <c r="U2" s="30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12" t="s">
        <v>8</v>
      </c>
      <c r="P4" s="312"/>
      <c r="Q4" s="312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12210</v>
      </c>
      <c r="C5" s="68" t="s">
        <v>104</v>
      </c>
      <c r="D5" s="200" t="s">
        <v>105</v>
      </c>
      <c r="E5" s="181" t="s">
        <v>92</v>
      </c>
      <c r="F5" s="170">
        <v>815</v>
      </c>
      <c r="G5" s="118" t="s">
        <v>106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99</v>
      </c>
      <c r="O5" s="313"/>
      <c r="P5" s="314"/>
      <c r="Q5" s="315"/>
      <c r="R5" s="33" t="s">
        <v>98</v>
      </c>
      <c r="S5" s="31">
        <v>0.35416666666666669</v>
      </c>
      <c r="T5" s="32">
        <v>0.6875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12211</v>
      </c>
      <c r="C6" s="67" t="s">
        <v>107</v>
      </c>
      <c r="D6" s="200" t="s">
        <v>108</v>
      </c>
      <c r="E6" s="181" t="s">
        <v>92</v>
      </c>
      <c r="F6" s="171">
        <v>920</v>
      </c>
      <c r="G6" s="118" t="s">
        <v>109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16"/>
      <c r="P6" s="317"/>
      <c r="Q6" s="318"/>
      <c r="R6" s="132" t="s">
        <v>99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12212</v>
      </c>
      <c r="C7" s="67" t="s">
        <v>110</v>
      </c>
      <c r="D7" s="200" t="s">
        <v>111</v>
      </c>
      <c r="E7" s="181" t="s">
        <v>91</v>
      </c>
      <c r="F7" s="171">
        <v>1000</v>
      </c>
      <c r="G7" s="118" t="s">
        <v>112</v>
      </c>
      <c r="H7" s="91"/>
      <c r="I7" s="124">
        <v>120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19"/>
      <c r="P7" s="320"/>
      <c r="Q7" s="321"/>
      <c r="R7" s="134" t="s">
        <v>100</v>
      </c>
      <c r="S7" s="31">
        <v>0.35416666666666669</v>
      </c>
      <c r="T7" s="32">
        <v>0.66666666666666663</v>
      </c>
      <c r="U7" s="92">
        <f t="shared" si="0"/>
        <v>7.4999999999999982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12213</v>
      </c>
      <c r="C8" s="27" t="s">
        <v>113</v>
      </c>
      <c r="D8" s="200" t="s">
        <v>114</v>
      </c>
      <c r="E8" s="181" t="s">
        <v>92</v>
      </c>
      <c r="F8" s="171">
        <v>1240</v>
      </c>
      <c r="G8" s="118" t="s">
        <v>112</v>
      </c>
      <c r="H8" s="91"/>
      <c r="I8" s="124">
        <v>120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22"/>
      <c r="P8" s="323"/>
      <c r="Q8" s="324"/>
      <c r="R8" s="26" t="s">
        <v>101</v>
      </c>
      <c r="S8" s="31">
        <v>0.45833333333333331</v>
      </c>
      <c r="T8" s="32">
        <v>0.6875</v>
      </c>
      <c r="U8" s="92">
        <f t="shared" si="0"/>
        <v>5.5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12214</v>
      </c>
      <c r="C9" s="63" t="s">
        <v>115</v>
      </c>
      <c r="D9" s="201" t="s">
        <v>146</v>
      </c>
      <c r="E9" s="181" t="s">
        <v>91</v>
      </c>
      <c r="F9" s="172">
        <v>800</v>
      </c>
      <c r="G9" s="119" t="s">
        <v>116</v>
      </c>
      <c r="H9" s="91"/>
      <c r="I9" s="91">
        <v>450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22"/>
      <c r="P9" s="323"/>
      <c r="Q9" s="324"/>
      <c r="R9" s="26" t="s">
        <v>103</v>
      </c>
      <c r="S9" s="31">
        <v>0.41666666666666669</v>
      </c>
      <c r="T9" s="32">
        <v>0.6875</v>
      </c>
      <c r="U9" s="92">
        <f t="shared" si="0"/>
        <v>6.5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12215</v>
      </c>
      <c r="C10" s="28" t="s">
        <v>123</v>
      </c>
      <c r="D10" s="202" t="s">
        <v>124</v>
      </c>
      <c r="E10" s="181" t="s">
        <v>92</v>
      </c>
      <c r="F10" s="173">
        <v>1115</v>
      </c>
      <c r="G10" s="120" t="s">
        <v>112</v>
      </c>
      <c r="H10" s="123"/>
      <c r="I10" s="125">
        <v>140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309"/>
      <c r="P10" s="310"/>
      <c r="Q10" s="31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267">
        <v>12216</v>
      </c>
      <c r="C11" s="268" t="s">
        <v>119</v>
      </c>
      <c r="D11" s="269" t="s">
        <v>120</v>
      </c>
      <c r="E11" s="270" t="s">
        <v>92</v>
      </c>
      <c r="F11" s="271">
        <v>1145</v>
      </c>
      <c r="G11" s="272" t="s">
        <v>121</v>
      </c>
      <c r="H11" s="273"/>
      <c r="I11" s="274"/>
      <c r="J11" s="274" t="str">
        <f t="shared" si="1"/>
        <v>0</v>
      </c>
      <c r="K11" s="274">
        <v>79.099999999999994</v>
      </c>
      <c r="L11" s="275"/>
      <c r="M11" s="275">
        <v>475</v>
      </c>
      <c r="N11" s="276" t="s">
        <v>98</v>
      </c>
      <c r="O11" s="341" t="s">
        <v>122</v>
      </c>
      <c r="P11" s="342"/>
      <c r="Q11" s="343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12217</v>
      </c>
      <c r="C12" s="64" t="s">
        <v>117</v>
      </c>
      <c r="D12" s="204" t="s">
        <v>118</v>
      </c>
      <c r="E12" s="181" t="s">
        <v>92</v>
      </c>
      <c r="F12" s="173">
        <v>1200</v>
      </c>
      <c r="G12" s="119" t="s">
        <v>106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19"/>
      <c r="P12" s="320"/>
      <c r="Q12" s="32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12218</v>
      </c>
      <c r="C13" s="64" t="s">
        <v>125</v>
      </c>
      <c r="D13" s="204" t="s">
        <v>126</v>
      </c>
      <c r="E13" s="181" t="s">
        <v>92</v>
      </c>
      <c r="F13" s="173">
        <v>1230</v>
      </c>
      <c r="G13" s="119" t="s">
        <v>127</v>
      </c>
      <c r="H13" s="169"/>
      <c r="I13" s="168"/>
      <c r="J13" s="130" t="str">
        <f t="shared" si="1"/>
        <v>0</v>
      </c>
      <c r="K13" s="130">
        <v>100</v>
      </c>
      <c r="L13" s="131"/>
      <c r="M13" s="131"/>
      <c r="N13" s="134" t="s">
        <v>98</v>
      </c>
      <c r="O13" s="319" t="s">
        <v>128</v>
      </c>
      <c r="P13" s="320"/>
      <c r="Q13" s="32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12219</v>
      </c>
      <c r="C14" s="65" t="s">
        <v>131</v>
      </c>
      <c r="D14" s="205" t="s">
        <v>132</v>
      </c>
      <c r="E14" s="181" t="s">
        <v>92</v>
      </c>
      <c r="F14" s="174">
        <v>1240</v>
      </c>
      <c r="G14" s="122" t="s">
        <v>106</v>
      </c>
      <c r="H14" s="123">
        <v>55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19"/>
      <c r="P14" s="320"/>
      <c r="Q14" s="32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12220</v>
      </c>
      <c r="C15" s="65" t="s">
        <v>129</v>
      </c>
      <c r="D15" s="205" t="s">
        <v>130</v>
      </c>
      <c r="E15" s="181" t="s">
        <v>92</v>
      </c>
      <c r="F15" s="174">
        <v>1245</v>
      </c>
      <c r="G15" s="122" t="s">
        <v>109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19"/>
      <c r="P15" s="320"/>
      <c r="Q15" s="32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12221</v>
      </c>
      <c r="C16" s="65" t="s">
        <v>133</v>
      </c>
      <c r="D16" s="205" t="s">
        <v>134</v>
      </c>
      <c r="E16" s="181" t="s">
        <v>91</v>
      </c>
      <c r="F16" s="174">
        <v>1300</v>
      </c>
      <c r="G16" s="122" t="s">
        <v>106</v>
      </c>
      <c r="H16" s="123">
        <v>75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19"/>
      <c r="P16" s="320"/>
      <c r="Q16" s="321"/>
      <c r="R16" s="82">
        <f>H32/U16</f>
        <v>0.47222222222222221</v>
      </c>
      <c r="S16" s="83">
        <f>H32/(U16-U5)</f>
        <v>0.6071428571428571</v>
      </c>
      <c r="T16" s="83">
        <f>C32/U16</f>
        <v>53.283333333333331</v>
      </c>
      <c r="U16" s="83">
        <f>SUM(U5:U15)</f>
        <v>36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12222</v>
      </c>
      <c r="C17" s="18" t="s">
        <v>135</v>
      </c>
      <c r="D17" s="203" t="s">
        <v>136</v>
      </c>
      <c r="E17" s="181" t="s">
        <v>92</v>
      </c>
      <c r="F17" s="66">
        <v>1345</v>
      </c>
      <c r="G17" s="121" t="s">
        <v>106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19"/>
      <c r="P17" s="320"/>
      <c r="Q17" s="32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12223</v>
      </c>
      <c r="C18" s="18" t="s">
        <v>137</v>
      </c>
      <c r="D18" s="203" t="s">
        <v>138</v>
      </c>
      <c r="E18" s="181" t="s">
        <v>92</v>
      </c>
      <c r="F18" s="66">
        <v>1410</v>
      </c>
      <c r="G18" s="20" t="s">
        <v>112</v>
      </c>
      <c r="H18" s="123">
        <v>150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19"/>
      <c r="P18" s="320"/>
      <c r="Q18" s="32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12224</v>
      </c>
      <c r="C19" s="18" t="s">
        <v>139</v>
      </c>
      <c r="D19" s="203" t="s">
        <v>140</v>
      </c>
      <c r="E19" s="181" t="s">
        <v>91</v>
      </c>
      <c r="F19" s="66">
        <v>1445</v>
      </c>
      <c r="G19" s="121" t="s">
        <v>106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9"/>
      <c r="P19" s="320"/>
      <c r="Q19" s="320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12225</v>
      </c>
      <c r="C20" s="18" t="s">
        <v>141</v>
      </c>
      <c r="D20" s="203" t="s">
        <v>142</v>
      </c>
      <c r="E20" s="181" t="s">
        <v>91</v>
      </c>
      <c r="F20" s="66">
        <v>1515</v>
      </c>
      <c r="G20" s="121" t="s">
        <v>106</v>
      </c>
      <c r="H20" s="123"/>
      <c r="I20" s="124">
        <v>100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27"/>
      <c r="P20" s="328"/>
      <c r="Q20" s="32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12226</v>
      </c>
      <c r="C21" s="18" t="s">
        <v>143</v>
      </c>
      <c r="D21" s="203" t="s">
        <v>144</v>
      </c>
      <c r="E21" s="181" t="s">
        <v>92</v>
      </c>
      <c r="F21" s="66">
        <v>1525</v>
      </c>
      <c r="G21" s="20" t="s">
        <v>121</v>
      </c>
      <c r="H21" s="123"/>
      <c r="I21" s="124"/>
      <c r="J21" s="130" t="str">
        <f t="shared" si="1"/>
        <v>0</v>
      </c>
      <c r="K21" s="130">
        <v>79.099999999999994</v>
      </c>
      <c r="L21" s="131"/>
      <c r="M21" s="131"/>
      <c r="N21" s="134" t="s">
        <v>98</v>
      </c>
      <c r="O21" s="319" t="s">
        <v>145</v>
      </c>
      <c r="P21" s="320"/>
      <c r="Q21" s="32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9"/>
      <c r="P22" s="320"/>
      <c r="Q22" s="32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5"/>
      <c r="Y23" s="326"/>
      <c r="Z23" s="326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9"/>
      <c r="P24" s="320"/>
      <c r="Q24" s="32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9"/>
      <c r="P25" s="320"/>
      <c r="Q25" s="32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9">
        <f>((C32+(R26+S26+T26)*0.5))</f>
        <v>1918.2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9"/>
      <c r="P26" s="320"/>
      <c r="Q26" s="321"/>
      <c r="R26" s="112">
        <f>R25*37.5</f>
        <v>0</v>
      </c>
      <c r="S26" s="102">
        <f>S25*41.5</f>
        <v>0</v>
      </c>
      <c r="T26" s="102">
        <f>T25*50</f>
        <v>0</v>
      </c>
      <c r="U26" s="33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9"/>
      <c r="P27" s="320"/>
      <c r="Q27" s="321"/>
      <c r="R27" s="338" t="s">
        <v>56</v>
      </c>
      <c r="S27" s="339"/>
      <c r="T27" s="339"/>
      <c r="U27" s="34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9"/>
      <c r="P28" s="320"/>
      <c r="Q28" s="321"/>
      <c r="R28" s="331"/>
      <c r="S28" s="332"/>
      <c r="T28" s="33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6" t="s">
        <v>48</v>
      </c>
      <c r="B30" s="357"/>
      <c r="C30" s="357"/>
      <c r="D30" s="357"/>
      <c r="E30" s="358"/>
      <c r="F30" s="357"/>
      <c r="G30" s="357"/>
      <c r="H30" s="211">
        <f t="shared" ref="H30:M30" si="3">SUM(H5:H29)</f>
        <v>525</v>
      </c>
      <c r="I30" s="105">
        <f>SUM(I5:I29)</f>
        <v>1135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258.2</v>
      </c>
      <c r="L30" s="106">
        <f t="shared" si="3"/>
        <v>0</v>
      </c>
      <c r="M30" s="106">
        <f t="shared" si="3"/>
        <v>475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1" t="s">
        <v>16</v>
      </c>
      <c r="B31" s="362"/>
      <c r="C31" s="362"/>
      <c r="D31" s="362"/>
      <c r="E31" s="362"/>
      <c r="F31" s="362"/>
      <c r="G31" s="362"/>
      <c r="H31" s="212">
        <f t="shared" ref="H31:J31" si="4">H30+H62+H94</f>
        <v>525</v>
      </c>
      <c r="I31" s="103">
        <f t="shared" si="4"/>
        <v>1135</v>
      </c>
      <c r="J31" s="103">
        <f t="shared" si="4"/>
        <v>0</v>
      </c>
      <c r="K31" s="103">
        <f>K30+K62+K94</f>
        <v>258.2</v>
      </c>
      <c r="L31" s="97">
        <f>L30+L62+L94</f>
        <v>0</v>
      </c>
      <c r="M31" s="97">
        <f>M30+M62+M94</f>
        <v>475</v>
      </c>
      <c r="N31" s="217">
        <f>COUNT(H5:H29,H37:H61,H69:H93)</f>
        <v>6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525</v>
      </c>
      <c r="T31" s="346">
        <f>H31+I31+L31+M31</f>
        <v>2135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34" t="s">
        <v>55</v>
      </c>
      <c r="B32" s="335"/>
      <c r="C32" s="107">
        <f>H31+I31+J31+K31</f>
        <v>1918.2</v>
      </c>
      <c r="D32" s="196"/>
      <c r="E32" s="107"/>
      <c r="F32" s="336" t="s">
        <v>53</v>
      </c>
      <c r="G32" s="336"/>
      <c r="H32" s="109">
        <f>COUNT(B5:B29,B37:B61,B69:B93)</f>
        <v>17</v>
      </c>
      <c r="I32" s="337" t="s">
        <v>54</v>
      </c>
      <c r="J32" s="337"/>
      <c r="K32" s="108">
        <f>C32/H32</f>
        <v>112.83529411764707</v>
      </c>
      <c r="L32" s="218"/>
      <c r="M32" s="218"/>
      <c r="N32" s="218">
        <f>H31/C32</f>
        <v>0.2736940882076947</v>
      </c>
      <c r="O32" s="218">
        <f>I31/C32</f>
        <v>0.59170055260139709</v>
      </c>
      <c r="P32" s="218">
        <f>K31/C32</f>
        <v>0.13460535919090813</v>
      </c>
      <c r="Q32" s="110">
        <f>J31/C32</f>
        <v>0</v>
      </c>
      <c r="R32" s="99" t="s">
        <v>82</v>
      </c>
      <c r="S32" s="213">
        <f>I31+M31</f>
        <v>1610</v>
      </c>
      <c r="T32" s="348"/>
      <c r="U32" s="349"/>
      <c r="V32" s="55"/>
      <c r="W32" s="55"/>
      <c r="X32" s="56" t="s">
        <v>27</v>
      </c>
      <c r="Y32" s="56"/>
      <c r="Z32" s="54">
        <f>I31</f>
        <v>1135</v>
      </c>
      <c r="AE32" s="37"/>
      <c r="AF32" s="37"/>
      <c r="AG32" s="37"/>
      <c r="AH32" s="37"/>
    </row>
    <row r="33" spans="1:34" ht="18" thickBot="1" x14ac:dyDescent="0.45">
      <c r="A33" s="344" t="s">
        <v>24</v>
      </c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03"/>
      <c r="U33" s="304"/>
      <c r="X33" s="57" t="s">
        <v>29</v>
      </c>
      <c r="Y33" s="57"/>
      <c r="Z33" s="58">
        <f>SUM(Z31:Z32)</f>
        <v>-1610</v>
      </c>
      <c r="AE33" s="37"/>
      <c r="AF33" s="37"/>
      <c r="AG33" s="59"/>
      <c r="AH33" s="37"/>
    </row>
    <row r="34" spans="1:34" ht="18" thickBot="1" x14ac:dyDescent="0.45">
      <c r="A34" s="302" t="str">
        <f>A2</f>
        <v>14-11-2022</v>
      </c>
      <c r="B34" s="303"/>
      <c r="C34" s="303"/>
      <c r="D34" s="303"/>
      <c r="E34" s="303"/>
      <c r="F34" s="303"/>
      <c r="G34" s="304"/>
      <c r="H34" s="305" t="s">
        <v>49</v>
      </c>
      <c r="I34" s="306"/>
      <c r="J34" s="302" t="str">
        <f>J2</f>
        <v>MIX</v>
      </c>
      <c r="K34" s="304"/>
      <c r="L34" s="306" t="s">
        <v>50</v>
      </c>
      <c r="M34" s="307"/>
      <c r="N34" s="305"/>
      <c r="O34" s="303" t="str">
        <f>O2</f>
        <v>JOHN</v>
      </c>
      <c r="P34" s="303"/>
      <c r="Q34" s="304"/>
      <c r="R34" s="306" t="s">
        <v>51</v>
      </c>
      <c r="S34" s="305"/>
      <c r="T34" s="308">
        <f>T2</f>
        <v>5</v>
      </c>
      <c r="U34" s="30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12" t="s">
        <v>8</v>
      </c>
      <c r="P36" s="312"/>
      <c r="Q36" s="312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9"/>
      <c r="P37" s="320"/>
      <c r="Q37" s="321"/>
      <c r="R37" s="60"/>
      <c r="S37" s="61"/>
      <c r="T37" s="61"/>
      <c r="U37" s="70"/>
    </row>
    <row r="38" spans="1:34" x14ac:dyDescent="0.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9"/>
      <c r="P39" s="320"/>
      <c r="Q39" s="321"/>
      <c r="R39" s="79"/>
      <c r="S39" s="13"/>
      <c r="T39" s="12"/>
      <c r="U39" s="72"/>
    </row>
    <row r="40" spans="1:34" x14ac:dyDescent="0.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2"/>
      <c r="P40" s="323"/>
      <c r="Q40" s="324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2"/>
      <c r="P41" s="323"/>
      <c r="Q41" s="324"/>
      <c r="R41" s="80"/>
      <c r="S41" s="73"/>
      <c r="T41" s="73"/>
      <c r="U41" s="74"/>
    </row>
    <row r="42" spans="1:34" x14ac:dyDescent="0.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9"/>
      <c r="P42" s="310"/>
      <c r="Q42" s="311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9"/>
      <c r="P43" s="320"/>
      <c r="Q43" s="321"/>
      <c r="R43" s="78"/>
      <c r="S43" s="71"/>
      <c r="T43" s="71"/>
      <c r="U43" s="72"/>
    </row>
    <row r="44" spans="1:34" x14ac:dyDescent="0.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9"/>
      <c r="P44" s="320"/>
      <c r="Q44" s="32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9"/>
      <c r="P45" s="320"/>
      <c r="Q45" s="321"/>
      <c r="R45" s="5"/>
      <c r="S45" s="71"/>
      <c r="T45" s="71"/>
      <c r="U45" s="72"/>
    </row>
    <row r="46" spans="1:34" x14ac:dyDescent="0.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9"/>
      <c r="P46" s="320"/>
      <c r="Q46" s="32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9"/>
      <c r="P47" s="320"/>
      <c r="Q47" s="321"/>
      <c r="R47" s="5"/>
      <c r="S47" s="71"/>
      <c r="T47" s="71"/>
      <c r="U47" s="72"/>
    </row>
    <row r="48" spans="1:34" x14ac:dyDescent="0.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9"/>
      <c r="P48" s="320"/>
      <c r="Q48" s="321"/>
      <c r="R48" s="5"/>
      <c r="S48" s="71"/>
      <c r="T48" s="71"/>
      <c r="U48" s="72"/>
    </row>
    <row r="49" spans="1:21" x14ac:dyDescent="0.4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9"/>
      <c r="P49" s="320"/>
      <c r="Q49" s="321"/>
      <c r="R49" s="5"/>
      <c r="S49" s="71"/>
      <c r="T49" s="75"/>
      <c r="U49" s="72"/>
    </row>
    <row r="50" spans="1:21" x14ac:dyDescent="0.4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9"/>
      <c r="P50" s="320"/>
      <c r="Q50" s="321"/>
      <c r="R50" s="5"/>
      <c r="S50" s="71"/>
      <c r="T50" s="75"/>
      <c r="U50" s="72"/>
    </row>
    <row r="51" spans="1:21" x14ac:dyDescent="0.4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9"/>
      <c r="P51" s="320"/>
      <c r="Q51" s="320"/>
      <c r="R51" s="5"/>
      <c r="S51" s="71"/>
      <c r="T51" s="75"/>
      <c r="U51" s="72"/>
    </row>
    <row r="52" spans="1:21" x14ac:dyDescent="0.4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9"/>
      <c r="P52" s="320"/>
      <c r="Q52" s="320"/>
      <c r="R52" s="81"/>
      <c r="S52" s="68"/>
      <c r="T52" s="76"/>
      <c r="U52" s="77"/>
    </row>
    <row r="53" spans="1:21" x14ac:dyDescent="0.4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3"/>
      <c r="P53" s="319"/>
      <c r="Q53" s="319"/>
      <c r="R53" s="81"/>
      <c r="S53" s="68"/>
      <c r="T53" s="76"/>
      <c r="U53" s="77"/>
    </row>
    <row r="54" spans="1:21" x14ac:dyDescent="0.4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3"/>
      <c r="P54" s="319"/>
      <c r="Q54" s="319"/>
      <c r="R54" s="81"/>
      <c r="S54" s="68"/>
      <c r="T54" s="76"/>
      <c r="U54" s="77"/>
    </row>
    <row r="55" spans="1:21" x14ac:dyDescent="0.4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3"/>
      <c r="P55" s="319"/>
      <c r="Q55" s="319"/>
      <c r="R55" s="81"/>
      <c r="S55" s="68"/>
      <c r="T55" s="76"/>
      <c r="U55" s="77"/>
    </row>
    <row r="56" spans="1:21" x14ac:dyDescent="0.4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0"/>
      <c r="P56" s="320"/>
      <c r="Q56" s="320"/>
      <c r="R56" s="81"/>
      <c r="S56" s="68"/>
      <c r="T56" s="76"/>
      <c r="U56" s="77"/>
    </row>
    <row r="57" spans="1:21" x14ac:dyDescent="0.4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9"/>
      <c r="P57" s="320"/>
      <c r="Q57" s="320"/>
      <c r="R57" s="81"/>
      <c r="S57" s="68"/>
      <c r="T57" s="68"/>
      <c r="U57" s="77"/>
    </row>
    <row r="58" spans="1:21" x14ac:dyDescent="0.4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0"/>
      <c r="P58" s="320"/>
      <c r="Q58" s="320"/>
      <c r="R58" s="81"/>
      <c r="S58" s="68"/>
      <c r="T58" s="68"/>
      <c r="U58" s="77"/>
    </row>
    <row r="59" spans="1:21" x14ac:dyDescent="0.4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0"/>
      <c r="P59" s="320"/>
      <c r="Q59" s="320"/>
      <c r="R59" s="81"/>
      <c r="S59" s="68"/>
      <c r="T59" s="68"/>
      <c r="U59" s="77"/>
    </row>
    <row r="60" spans="1:21" x14ac:dyDescent="0.4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9"/>
      <c r="P60" s="320"/>
      <c r="Q60" s="32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4"/>
      <c r="P61" s="365"/>
      <c r="Q61" s="366"/>
      <c r="R61" s="81"/>
      <c r="S61" s="68"/>
      <c r="T61" s="68"/>
      <c r="U61" s="77"/>
    </row>
    <row r="62" spans="1:21" x14ac:dyDescent="0.4">
      <c r="A62" s="367" t="s">
        <v>48</v>
      </c>
      <c r="B62" s="368"/>
      <c r="C62" s="368"/>
      <c r="D62" s="368"/>
      <c r="E62" s="368"/>
      <c r="F62" s="368"/>
      <c r="G62" s="368"/>
      <c r="H62" s="368">
        <f t="shared" ref="H62:M62" si="8">SUM(H37:H61)</f>
        <v>0</v>
      </c>
      <c r="I62" s="373">
        <f t="shared" si="8"/>
        <v>0</v>
      </c>
      <c r="J62" s="373">
        <f>J61+J60+J59+J58+J57+J56+J55+J54+J53+J52+J51+J50+J49+J48+J47+J46+J45+J44+J43+J42+J41+J40+J39+J38+J37</f>
        <v>0</v>
      </c>
      <c r="K62" s="373">
        <f>K61+K60+K59+K58+K57+K56+K55+K54+K53+K52+K51+K50+K49+K48+K47+K46+K45+K44+K43+K42+K41+K40+K39+K38+K37</f>
        <v>0</v>
      </c>
      <c r="L62" s="376">
        <f t="shared" si="8"/>
        <v>0</v>
      </c>
      <c r="M62" s="379">
        <f t="shared" si="8"/>
        <v>0</v>
      </c>
      <c r="N62" s="382"/>
      <c r="O62" s="383"/>
      <c r="P62" s="383"/>
      <c r="Q62" s="384"/>
      <c r="R62" s="5"/>
      <c r="S62" s="6"/>
      <c r="T62" s="7"/>
      <c r="U62" s="8"/>
    </row>
    <row r="63" spans="1:21" ht="18" thickBot="1" x14ac:dyDescent="0.45">
      <c r="A63" s="369"/>
      <c r="B63" s="370"/>
      <c r="C63" s="370"/>
      <c r="D63" s="370"/>
      <c r="E63" s="370"/>
      <c r="F63" s="370"/>
      <c r="G63" s="370"/>
      <c r="H63" s="370"/>
      <c r="I63" s="374"/>
      <c r="J63" s="374"/>
      <c r="K63" s="374"/>
      <c r="L63" s="377"/>
      <c r="M63" s="380"/>
      <c r="N63" s="385"/>
      <c r="O63" s="386"/>
      <c r="P63" s="386"/>
      <c r="Q63" s="387"/>
      <c r="R63" s="1"/>
      <c r="S63" s="2"/>
      <c r="T63" s="3"/>
      <c r="U63" s="4"/>
    </row>
    <row r="64" spans="1:21" ht="18" thickBot="1" x14ac:dyDescent="0.45">
      <c r="A64" s="371"/>
      <c r="B64" s="372"/>
      <c r="C64" s="372"/>
      <c r="D64" s="372"/>
      <c r="E64" s="372"/>
      <c r="F64" s="372"/>
      <c r="G64" s="372"/>
      <c r="H64" s="372"/>
      <c r="I64" s="375"/>
      <c r="J64" s="375"/>
      <c r="K64" s="375"/>
      <c r="L64" s="378"/>
      <c r="M64" s="381"/>
      <c r="N64" s="344"/>
      <c r="O64" s="345"/>
      <c r="P64" s="345"/>
      <c r="Q64" s="388"/>
      <c r="R64" s="389" t="s">
        <v>17</v>
      </c>
      <c r="S64" s="390"/>
      <c r="T64" s="390"/>
      <c r="U64" s="391"/>
    </row>
    <row r="65" spans="1:21" ht="18" thickBot="1" x14ac:dyDescent="0.45">
      <c r="A65" s="302" t="s">
        <v>24</v>
      </c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4"/>
    </row>
    <row r="66" spans="1:21" ht="18" thickBot="1" x14ac:dyDescent="0.45">
      <c r="A66" s="302" t="str">
        <f>A34</f>
        <v>14-11-2022</v>
      </c>
      <c r="B66" s="303"/>
      <c r="C66" s="303"/>
      <c r="D66" s="303"/>
      <c r="E66" s="303"/>
      <c r="F66" s="303"/>
      <c r="G66" s="304"/>
      <c r="H66" s="305" t="s">
        <v>49</v>
      </c>
      <c r="I66" s="306"/>
      <c r="J66" s="302" t="str">
        <f>J34</f>
        <v>MIX</v>
      </c>
      <c r="K66" s="304"/>
      <c r="L66" s="306" t="s">
        <v>50</v>
      </c>
      <c r="M66" s="307"/>
      <c r="N66" s="305"/>
      <c r="O66" s="303" t="str">
        <f>O34</f>
        <v>JOHN</v>
      </c>
      <c r="P66" s="303"/>
      <c r="Q66" s="304"/>
      <c r="R66" s="306" t="s">
        <v>51</v>
      </c>
      <c r="S66" s="305"/>
      <c r="T66" s="308">
        <f>T34</f>
        <v>5</v>
      </c>
      <c r="U66" s="30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12" t="s">
        <v>8</v>
      </c>
      <c r="P68" s="312"/>
      <c r="Q68" s="312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9"/>
      <c r="P69" s="320"/>
      <c r="Q69" s="321"/>
      <c r="R69" s="60"/>
      <c r="S69" s="61"/>
      <c r="T69" s="61"/>
      <c r="U69" s="70"/>
    </row>
    <row r="70" spans="1:21" x14ac:dyDescent="0.4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9"/>
      <c r="P71" s="320"/>
      <c r="Q71" s="32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2"/>
      <c r="P72" s="323"/>
      <c r="Q72" s="324"/>
      <c r="R72" s="78"/>
      <c r="S72" s="71"/>
      <c r="T72" s="71"/>
      <c r="U72" s="72"/>
    </row>
    <row r="73" spans="1:21" x14ac:dyDescent="0.4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2"/>
      <c r="P73" s="323"/>
      <c r="Q73" s="324"/>
      <c r="R73" s="80"/>
      <c r="S73" s="73"/>
      <c r="T73" s="73"/>
      <c r="U73" s="74"/>
    </row>
    <row r="74" spans="1:21" x14ac:dyDescent="0.4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9"/>
      <c r="P74" s="310"/>
      <c r="Q74" s="311"/>
      <c r="R74" s="80"/>
      <c r="S74" s="73"/>
      <c r="T74" s="73"/>
      <c r="U74" s="74"/>
    </row>
    <row r="75" spans="1:21" x14ac:dyDescent="0.4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9"/>
      <c r="P75" s="320"/>
      <c r="Q75" s="32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9"/>
      <c r="P76" s="320"/>
      <c r="Q76" s="321"/>
      <c r="R76" s="5"/>
      <c r="S76" s="71"/>
      <c r="T76" s="71"/>
      <c r="U76" s="72"/>
    </row>
    <row r="77" spans="1:21" x14ac:dyDescent="0.4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9"/>
      <c r="P77" s="320"/>
      <c r="Q77" s="321"/>
      <c r="R77" s="5"/>
      <c r="S77" s="71"/>
      <c r="T77" s="71"/>
      <c r="U77" s="72"/>
    </row>
    <row r="78" spans="1:21" x14ac:dyDescent="0.4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9"/>
      <c r="P78" s="320"/>
      <c r="Q78" s="321"/>
      <c r="R78" s="5"/>
      <c r="S78" s="71"/>
      <c r="T78" s="71"/>
      <c r="U78" s="72"/>
    </row>
    <row r="79" spans="1:21" x14ac:dyDescent="0.4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9"/>
      <c r="P79" s="320"/>
      <c r="Q79" s="321"/>
      <c r="R79" s="5"/>
      <c r="S79" s="71"/>
      <c r="T79" s="71"/>
      <c r="U79" s="72"/>
    </row>
    <row r="80" spans="1:21" x14ac:dyDescent="0.4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9"/>
      <c r="P80" s="320"/>
      <c r="Q80" s="321"/>
      <c r="R80" s="5"/>
      <c r="S80" s="71"/>
      <c r="T80" s="71"/>
      <c r="U80" s="72"/>
    </row>
    <row r="81" spans="1:21" x14ac:dyDescent="0.4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9"/>
      <c r="P81" s="320"/>
      <c r="Q81" s="321"/>
      <c r="R81" s="5"/>
      <c r="S81" s="71"/>
      <c r="T81" s="75"/>
      <c r="U81" s="72"/>
    </row>
    <row r="82" spans="1:21" x14ac:dyDescent="0.4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9"/>
      <c r="P82" s="320"/>
      <c r="Q82" s="321"/>
      <c r="R82" s="5"/>
      <c r="S82" s="71"/>
      <c r="T82" s="75"/>
      <c r="U82" s="72"/>
    </row>
    <row r="83" spans="1:21" x14ac:dyDescent="0.4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9"/>
      <c r="P83" s="320"/>
      <c r="Q83" s="320"/>
      <c r="R83" s="5"/>
      <c r="S83" s="71"/>
      <c r="T83" s="75"/>
      <c r="U83" s="72"/>
    </row>
    <row r="84" spans="1:21" x14ac:dyDescent="0.4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9"/>
      <c r="P84" s="320"/>
      <c r="Q84" s="32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3"/>
      <c r="P85" s="319"/>
      <c r="Q85" s="319"/>
      <c r="R85" s="81"/>
      <c r="S85" s="68"/>
      <c r="T85" s="76"/>
      <c r="U85" s="77"/>
    </row>
    <row r="86" spans="1:21" x14ac:dyDescent="0.4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3"/>
      <c r="P86" s="319"/>
      <c r="Q86" s="319"/>
      <c r="R86" s="81"/>
      <c r="S86" s="68"/>
      <c r="T86" s="76"/>
      <c r="U86" s="77"/>
    </row>
    <row r="87" spans="1:21" x14ac:dyDescent="0.4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3"/>
      <c r="P87" s="319"/>
      <c r="Q87" s="319"/>
      <c r="R87" s="81"/>
      <c r="S87" s="68"/>
      <c r="T87" s="76"/>
      <c r="U87" s="77"/>
    </row>
    <row r="88" spans="1:21" x14ac:dyDescent="0.4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0"/>
      <c r="P88" s="320"/>
      <c r="Q88" s="32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9"/>
      <c r="P89" s="320"/>
      <c r="Q89" s="32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0"/>
      <c r="P90" s="320"/>
      <c r="Q90" s="32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0"/>
      <c r="P91" s="320"/>
      <c r="Q91" s="32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9"/>
      <c r="P92" s="320"/>
      <c r="Q92" s="32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4"/>
      <c r="P93" s="365"/>
      <c r="Q93" s="366"/>
      <c r="R93" s="81"/>
      <c r="S93" s="68"/>
      <c r="T93" s="68"/>
      <c r="U93" s="77"/>
    </row>
    <row r="94" spans="1:21" x14ac:dyDescent="0.4">
      <c r="A94" s="367" t="s">
        <v>48</v>
      </c>
      <c r="B94" s="368"/>
      <c r="C94" s="368"/>
      <c r="D94" s="368"/>
      <c r="E94" s="392"/>
      <c r="F94" s="368"/>
      <c r="G94" s="368"/>
      <c r="H94" s="368">
        <f t="shared" ref="H94:M94" si="12">SUM(H69:H93)</f>
        <v>0</v>
      </c>
      <c r="I94" s="373">
        <f t="shared" si="12"/>
        <v>0</v>
      </c>
      <c r="J94" s="373">
        <f>J93+J92+J91+J90+J89+J88+J87+J86+J85+J84+J83+J82+J81+J80+J79+J78+J77+J76+J75+J74+J73+J72+J71+J70+J69</f>
        <v>0</v>
      </c>
      <c r="K94" s="373">
        <f>K93+K92+K91+K90+K89+K88+K87+K86+K85+K84+K83+K82+K81+K80+K79+K78+K77+K76+K75+K74+K73+K72+K71+K70+K69</f>
        <v>0</v>
      </c>
      <c r="L94" s="376">
        <f t="shared" si="12"/>
        <v>0</v>
      </c>
      <c r="M94" s="379">
        <f t="shared" si="12"/>
        <v>0</v>
      </c>
      <c r="N94" s="382"/>
      <c r="O94" s="383"/>
      <c r="P94" s="383"/>
      <c r="Q94" s="384"/>
      <c r="R94" s="5"/>
      <c r="S94" s="6"/>
      <c r="T94" s="7"/>
      <c r="U94" s="8"/>
    </row>
    <row r="95" spans="1:21" ht="18" thickBot="1" x14ac:dyDescent="0.45">
      <c r="A95" s="369"/>
      <c r="B95" s="370"/>
      <c r="C95" s="370"/>
      <c r="D95" s="370"/>
      <c r="E95" s="370"/>
      <c r="F95" s="370"/>
      <c r="G95" s="370"/>
      <c r="H95" s="370"/>
      <c r="I95" s="374"/>
      <c r="J95" s="374"/>
      <c r="K95" s="374"/>
      <c r="L95" s="377"/>
      <c r="M95" s="380"/>
      <c r="N95" s="385"/>
      <c r="O95" s="386"/>
      <c r="P95" s="386"/>
      <c r="Q95" s="387"/>
      <c r="R95" s="1"/>
      <c r="S95" s="2"/>
      <c r="T95" s="3"/>
      <c r="U95" s="4"/>
    </row>
    <row r="96" spans="1:21" ht="18" thickBot="1" x14ac:dyDescent="0.45">
      <c r="A96" s="371"/>
      <c r="B96" s="372"/>
      <c r="C96" s="372"/>
      <c r="D96" s="372"/>
      <c r="E96" s="372"/>
      <c r="F96" s="372"/>
      <c r="G96" s="372"/>
      <c r="H96" s="372"/>
      <c r="I96" s="375"/>
      <c r="J96" s="375"/>
      <c r="K96" s="375"/>
      <c r="L96" s="378"/>
      <c r="M96" s="381"/>
      <c r="N96" s="344"/>
      <c r="O96" s="345"/>
      <c r="P96" s="345"/>
      <c r="Q96" s="388"/>
      <c r="R96" s="389" t="s">
        <v>52</v>
      </c>
      <c r="S96" s="390"/>
      <c r="T96" s="390"/>
      <c r="U96" s="391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K16" sqref="K1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02" t="s">
        <v>77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4"/>
    </row>
    <row r="2" spans="1:44" ht="18" thickBot="1" x14ac:dyDescent="0.45">
      <c r="A2" s="302" t="s">
        <v>147</v>
      </c>
      <c r="B2" s="303"/>
      <c r="C2" s="303"/>
      <c r="D2" s="303"/>
      <c r="E2" s="303"/>
      <c r="F2" s="303"/>
      <c r="G2" s="304"/>
      <c r="H2" s="305" t="s">
        <v>49</v>
      </c>
      <c r="I2" s="306"/>
      <c r="J2" s="302" t="s">
        <v>149</v>
      </c>
      <c r="K2" s="304"/>
      <c r="L2" s="306" t="s">
        <v>96</v>
      </c>
      <c r="M2" s="307"/>
      <c r="N2" s="305"/>
      <c r="O2" s="303" t="s">
        <v>99</v>
      </c>
      <c r="P2" s="303"/>
      <c r="Q2" s="304"/>
      <c r="R2" s="306" t="s">
        <v>51</v>
      </c>
      <c r="S2" s="305"/>
      <c r="T2" s="308">
        <v>5</v>
      </c>
      <c r="U2" s="30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2" t="s">
        <v>8</v>
      </c>
      <c r="P4" s="312"/>
      <c r="Q4" s="31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12227</v>
      </c>
      <c r="C5" s="68" t="s">
        <v>150</v>
      </c>
      <c r="D5" s="200" t="s">
        <v>151</v>
      </c>
      <c r="E5" s="181" t="s">
        <v>92</v>
      </c>
      <c r="F5" s="170">
        <v>835</v>
      </c>
      <c r="G5" s="118" t="s">
        <v>106</v>
      </c>
      <c r="H5" s="91">
        <v>70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13"/>
      <c r="P5" s="314"/>
      <c r="Q5" s="315"/>
      <c r="R5" s="132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12228</v>
      </c>
      <c r="C6" s="67" t="s">
        <v>153</v>
      </c>
      <c r="D6" s="200" t="s">
        <v>154</v>
      </c>
      <c r="E6" s="181" t="s">
        <v>92</v>
      </c>
      <c r="F6" s="171">
        <v>850</v>
      </c>
      <c r="G6" s="118" t="s">
        <v>121</v>
      </c>
      <c r="H6" s="91"/>
      <c r="I6" s="124"/>
      <c r="J6" s="130" t="str">
        <f t="shared" ref="J6:J29" si="1">IF(G6="RSL","55","0")</f>
        <v>0</v>
      </c>
      <c r="K6" s="130">
        <v>125</v>
      </c>
      <c r="L6" s="131"/>
      <c r="M6" s="131"/>
      <c r="N6" s="134" t="s">
        <v>99</v>
      </c>
      <c r="O6" s="316" t="s">
        <v>155</v>
      </c>
      <c r="P6" s="317"/>
      <c r="Q6" s="318"/>
      <c r="R6" s="134" t="s">
        <v>100</v>
      </c>
      <c r="S6" s="31">
        <v>0.35416666666666669</v>
      </c>
      <c r="T6" s="32">
        <v>0.66666666666666663</v>
      </c>
      <c r="U6" s="92">
        <f t="shared" si="0"/>
        <v>7.4999999999999982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12229</v>
      </c>
      <c r="C7" s="67" t="s">
        <v>156</v>
      </c>
      <c r="D7" s="200" t="s">
        <v>157</v>
      </c>
      <c r="E7" s="181" t="s">
        <v>92</v>
      </c>
      <c r="F7" s="171">
        <v>945</v>
      </c>
      <c r="G7" s="118" t="s">
        <v>109</v>
      </c>
      <c r="H7" s="91"/>
      <c r="I7" s="124">
        <v>95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99</v>
      </c>
      <c r="O7" s="319"/>
      <c r="P7" s="320"/>
      <c r="Q7" s="321"/>
      <c r="R7" s="26" t="s">
        <v>101</v>
      </c>
      <c r="S7" s="31">
        <v>0.4375</v>
      </c>
      <c r="T7" s="32">
        <v>0.70833333333333337</v>
      </c>
      <c r="U7" s="92">
        <f t="shared" si="0"/>
        <v>6.5000000000000009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277">
        <v>4</v>
      </c>
      <c r="B8" s="278">
        <v>12230</v>
      </c>
      <c r="C8" s="279" t="s">
        <v>158</v>
      </c>
      <c r="D8" s="280" t="s">
        <v>159</v>
      </c>
      <c r="E8" s="281" t="s">
        <v>92</v>
      </c>
      <c r="F8" s="282">
        <v>1000</v>
      </c>
      <c r="G8" s="283" t="s">
        <v>109</v>
      </c>
      <c r="H8" s="284"/>
      <c r="I8" s="284">
        <v>95</v>
      </c>
      <c r="J8" s="284" t="str">
        <f t="shared" si="1"/>
        <v>0</v>
      </c>
      <c r="K8" s="284" t="str">
        <f t="shared" si="2"/>
        <v>0</v>
      </c>
      <c r="L8" s="285"/>
      <c r="M8" s="285"/>
      <c r="N8" s="279" t="s">
        <v>99</v>
      </c>
      <c r="O8" s="393" t="s">
        <v>160</v>
      </c>
      <c r="P8" s="394"/>
      <c r="Q8" s="395"/>
      <c r="R8" s="26" t="s">
        <v>148</v>
      </c>
      <c r="S8" s="31">
        <v>0.36458333333333331</v>
      </c>
      <c r="T8" s="32">
        <v>0.70833333333333337</v>
      </c>
      <c r="U8" s="92">
        <f t="shared" si="0"/>
        <v>8.2500000000000018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12231</v>
      </c>
      <c r="C9" s="63" t="s">
        <v>161</v>
      </c>
      <c r="D9" s="201" t="s">
        <v>162</v>
      </c>
      <c r="E9" s="181" t="s">
        <v>91</v>
      </c>
      <c r="F9" s="172">
        <v>1005</v>
      </c>
      <c r="G9" s="119" t="s">
        <v>106</v>
      </c>
      <c r="H9" s="91">
        <v>55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22"/>
      <c r="P9" s="323"/>
      <c r="Q9" s="324"/>
      <c r="R9" s="26" t="s">
        <v>152</v>
      </c>
      <c r="S9" s="31">
        <v>0.42708333333333331</v>
      </c>
      <c r="T9" s="32">
        <v>0.70833333333333337</v>
      </c>
      <c r="U9" s="92">
        <f t="shared" si="0"/>
        <v>6.7500000000000018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12232</v>
      </c>
      <c r="C10" s="28" t="s">
        <v>163</v>
      </c>
      <c r="D10" s="202" t="s">
        <v>164</v>
      </c>
      <c r="E10" s="181" t="s">
        <v>92</v>
      </c>
      <c r="F10" s="173">
        <v>1015</v>
      </c>
      <c r="G10" s="120" t="s">
        <v>106</v>
      </c>
      <c r="H10" s="123">
        <v>130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9"/>
      <c r="P10" s="310"/>
      <c r="Q10" s="31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12233</v>
      </c>
      <c r="C11" s="18" t="s">
        <v>165</v>
      </c>
      <c r="D11" s="203" t="s">
        <v>166</v>
      </c>
      <c r="E11" s="181" t="s">
        <v>92</v>
      </c>
      <c r="F11" s="66">
        <v>1045</v>
      </c>
      <c r="G11" s="121" t="s">
        <v>109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9"/>
      <c r="P11" s="320"/>
      <c r="Q11" s="32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12234</v>
      </c>
      <c r="C12" s="64" t="s">
        <v>167</v>
      </c>
      <c r="D12" s="204" t="s">
        <v>168</v>
      </c>
      <c r="E12" s="181" t="s">
        <v>92</v>
      </c>
      <c r="F12" s="173">
        <v>1120</v>
      </c>
      <c r="G12" s="119" t="s">
        <v>121</v>
      </c>
      <c r="H12" s="123"/>
      <c r="I12" s="125"/>
      <c r="J12" s="130" t="str">
        <f t="shared" si="1"/>
        <v>0</v>
      </c>
      <c r="K12" s="130">
        <v>79.16</v>
      </c>
      <c r="L12" s="131"/>
      <c r="M12" s="131"/>
      <c r="N12" s="134" t="s">
        <v>99</v>
      </c>
      <c r="O12" s="319" t="s">
        <v>234</v>
      </c>
      <c r="P12" s="320"/>
      <c r="Q12" s="32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12235</v>
      </c>
      <c r="C13" s="64" t="s">
        <v>169</v>
      </c>
      <c r="D13" s="204" t="s">
        <v>170</v>
      </c>
      <c r="E13" s="181" t="s">
        <v>92</v>
      </c>
      <c r="F13" s="173">
        <v>1145</v>
      </c>
      <c r="G13" s="119" t="s">
        <v>116</v>
      </c>
      <c r="H13" s="169"/>
      <c r="I13" s="168">
        <v>480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9"/>
      <c r="P13" s="320"/>
      <c r="Q13" s="32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12236</v>
      </c>
      <c r="C14" s="65" t="s">
        <v>171</v>
      </c>
      <c r="D14" s="205" t="s">
        <v>172</v>
      </c>
      <c r="E14" s="181" t="s">
        <v>91</v>
      </c>
      <c r="F14" s="174">
        <v>1230</v>
      </c>
      <c r="G14" s="122" t="s">
        <v>173</v>
      </c>
      <c r="H14" s="123">
        <v>45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9"/>
      <c r="P14" s="320"/>
      <c r="Q14" s="32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12237</v>
      </c>
      <c r="C15" s="65" t="s">
        <v>182</v>
      </c>
      <c r="D15" s="205" t="s">
        <v>183</v>
      </c>
      <c r="E15" s="181" t="s">
        <v>91</v>
      </c>
      <c r="F15" s="174">
        <v>1245</v>
      </c>
      <c r="G15" s="122" t="s">
        <v>121</v>
      </c>
      <c r="H15" s="123"/>
      <c r="I15" s="124"/>
      <c r="J15" s="130" t="str">
        <f t="shared" si="1"/>
        <v>0</v>
      </c>
      <c r="K15" s="130">
        <v>158.32</v>
      </c>
      <c r="L15" s="131"/>
      <c r="M15" s="131"/>
      <c r="N15" s="134" t="s">
        <v>99</v>
      </c>
      <c r="O15" s="319" t="s">
        <v>235</v>
      </c>
      <c r="P15" s="320"/>
      <c r="Q15" s="32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12238</v>
      </c>
      <c r="C16" s="65" t="s">
        <v>174</v>
      </c>
      <c r="D16" s="205" t="s">
        <v>175</v>
      </c>
      <c r="E16" s="181" t="s">
        <v>92</v>
      </c>
      <c r="F16" s="174">
        <v>1330</v>
      </c>
      <c r="G16" s="122" t="s">
        <v>106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152</v>
      </c>
      <c r="O16" s="319"/>
      <c r="P16" s="320"/>
      <c r="Q16" s="321"/>
      <c r="R16" s="82">
        <f>H32/U16</f>
        <v>0.44736842105263158</v>
      </c>
      <c r="S16" s="83">
        <f>H32/(U16-U5)</f>
        <v>0.58620689655172409</v>
      </c>
      <c r="T16" s="83">
        <f>C32/U16</f>
        <v>53.705263157894734</v>
      </c>
      <c r="U16" s="83">
        <f>SUM(U5:U15)</f>
        <v>38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12239</v>
      </c>
      <c r="C17" s="18" t="s">
        <v>176</v>
      </c>
      <c r="D17" s="203" t="s">
        <v>177</v>
      </c>
      <c r="E17" s="181" t="s">
        <v>92</v>
      </c>
      <c r="F17" s="66">
        <v>1340</v>
      </c>
      <c r="G17" s="121" t="s">
        <v>106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9"/>
      <c r="P17" s="320"/>
      <c r="Q17" s="32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12240</v>
      </c>
      <c r="C18" s="18" t="s">
        <v>178</v>
      </c>
      <c r="D18" s="203" t="s">
        <v>179</v>
      </c>
      <c r="E18" s="181" t="s">
        <v>91</v>
      </c>
      <c r="F18" s="66">
        <v>1400</v>
      </c>
      <c r="G18" s="20" t="s">
        <v>121</v>
      </c>
      <c r="H18" s="123"/>
      <c r="I18" s="124"/>
      <c r="J18" s="130" t="str">
        <f t="shared" si="1"/>
        <v>0</v>
      </c>
      <c r="K18" s="130">
        <v>79.16</v>
      </c>
      <c r="L18" s="131"/>
      <c r="M18" s="131"/>
      <c r="N18" s="134" t="s">
        <v>99</v>
      </c>
      <c r="O18" s="319" t="s">
        <v>236</v>
      </c>
      <c r="P18" s="320"/>
      <c r="Q18" s="32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12241</v>
      </c>
      <c r="C19" s="18" t="s">
        <v>180</v>
      </c>
      <c r="D19" s="203" t="s">
        <v>181</v>
      </c>
      <c r="E19" s="181" t="s">
        <v>91</v>
      </c>
      <c r="F19" s="66">
        <v>1405</v>
      </c>
      <c r="G19" s="121" t="s">
        <v>106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101</v>
      </c>
      <c r="O19" s="319"/>
      <c r="P19" s="320"/>
      <c r="Q19" s="320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12242</v>
      </c>
      <c r="C20" s="18" t="s">
        <v>185</v>
      </c>
      <c r="D20" s="203" t="s">
        <v>186</v>
      </c>
      <c r="E20" s="181" t="s">
        <v>92</v>
      </c>
      <c r="F20" s="66">
        <v>1500</v>
      </c>
      <c r="G20" s="121" t="s">
        <v>184</v>
      </c>
      <c r="H20" s="123">
        <v>250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27"/>
      <c r="P20" s="328"/>
      <c r="Q20" s="32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286">
        <v>17</v>
      </c>
      <c r="B21" s="267">
        <v>12243</v>
      </c>
      <c r="C21" s="268" t="s">
        <v>188</v>
      </c>
      <c r="D21" s="269" t="s">
        <v>187</v>
      </c>
      <c r="E21" s="270" t="s">
        <v>92</v>
      </c>
      <c r="F21" s="271">
        <v>1530</v>
      </c>
      <c r="G21" s="287" t="s">
        <v>121</v>
      </c>
      <c r="H21" s="273"/>
      <c r="I21" s="274"/>
      <c r="J21" s="274" t="str">
        <f t="shared" si="1"/>
        <v>0</v>
      </c>
      <c r="K21" s="274">
        <v>79.16</v>
      </c>
      <c r="L21" s="275"/>
      <c r="M21" s="275">
        <v>475</v>
      </c>
      <c r="N21" s="276" t="s">
        <v>99</v>
      </c>
      <c r="O21" s="341" t="s">
        <v>237</v>
      </c>
      <c r="P21" s="342"/>
      <c r="Q21" s="34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9"/>
      <c r="P22" s="320"/>
      <c r="Q22" s="32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5"/>
      <c r="Y23" s="326"/>
      <c r="Z23" s="326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9"/>
      <c r="P24" s="320"/>
      <c r="Q24" s="32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9"/>
      <c r="P25" s="320"/>
      <c r="Q25" s="32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9">
        <f>((C32+(R26+S26+T26)*0.5))</f>
        <v>2040.8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9"/>
      <c r="P26" s="320"/>
      <c r="Q26" s="321"/>
      <c r="R26" s="112">
        <f>R25*37.5</f>
        <v>0</v>
      </c>
      <c r="S26" s="102">
        <f>S25*41.5</f>
        <v>0</v>
      </c>
      <c r="T26" s="102">
        <f>T25*50</f>
        <v>0</v>
      </c>
      <c r="U26" s="33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9"/>
      <c r="P27" s="320"/>
      <c r="Q27" s="321"/>
      <c r="R27" s="338" t="s">
        <v>56</v>
      </c>
      <c r="S27" s="339"/>
      <c r="T27" s="339"/>
      <c r="U27" s="34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9"/>
      <c r="P28" s="320"/>
      <c r="Q28" s="321"/>
      <c r="R28" s="331"/>
      <c r="S28" s="332"/>
      <c r="T28" s="33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625</v>
      </c>
      <c r="I30" s="105">
        <f>SUM(I5:I29)</f>
        <v>895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520.79999999999995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625</v>
      </c>
      <c r="I31" s="103">
        <f t="shared" si="4"/>
        <v>895</v>
      </c>
      <c r="J31" s="103">
        <f t="shared" si="4"/>
        <v>0</v>
      </c>
      <c r="K31" s="103">
        <f>K30+K62+K94</f>
        <v>520.79999999999995</v>
      </c>
      <c r="L31" s="97">
        <f>L30+L62+L94</f>
        <v>0</v>
      </c>
      <c r="M31" s="97">
        <f>M30+M62+M94</f>
        <v>475</v>
      </c>
      <c r="N31" s="262">
        <f>COUNT(H5:H29,H37:H61,H69:H93)</f>
        <v>6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625</v>
      </c>
      <c r="T31" s="346">
        <f>H31+I31+L31+M31</f>
        <v>1995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34" t="s">
        <v>55</v>
      </c>
      <c r="B32" s="335"/>
      <c r="C32" s="107">
        <f>H31+I31+J31+K31</f>
        <v>2040.8</v>
      </c>
      <c r="D32" s="196"/>
      <c r="E32" s="107"/>
      <c r="F32" s="336" t="s">
        <v>53</v>
      </c>
      <c r="G32" s="336"/>
      <c r="H32" s="109">
        <f>COUNT(B5:B29,B37:B61,B69:B93)</f>
        <v>17</v>
      </c>
      <c r="I32" s="337" t="s">
        <v>54</v>
      </c>
      <c r="J32" s="337"/>
      <c r="K32" s="108">
        <f>C32/H32</f>
        <v>120.04705882352941</v>
      </c>
      <c r="L32" s="260"/>
      <c r="M32" s="260"/>
      <c r="N32" s="260">
        <f>H31/C32</f>
        <v>0.30625245001960016</v>
      </c>
      <c r="O32" s="260">
        <f>I31/C32</f>
        <v>0.43855350842806745</v>
      </c>
      <c r="P32" s="260">
        <f>K31/C32</f>
        <v>0.25519404155233238</v>
      </c>
      <c r="Q32" s="110">
        <f>J31/C32</f>
        <v>0</v>
      </c>
      <c r="R32" s="99" t="s">
        <v>82</v>
      </c>
      <c r="S32" s="266">
        <f>I31+M31</f>
        <v>1370</v>
      </c>
      <c r="T32" s="348"/>
      <c r="U32" s="349"/>
      <c r="V32" s="55"/>
      <c r="W32" s="55"/>
      <c r="X32" s="56" t="s">
        <v>27</v>
      </c>
      <c r="Y32" s="56"/>
      <c r="Z32" s="54">
        <f>I31</f>
        <v>895</v>
      </c>
      <c r="AE32" s="37"/>
      <c r="AF32" s="37"/>
      <c r="AG32" s="37"/>
      <c r="AH32" s="37"/>
    </row>
    <row r="33" spans="1:34" ht="18" thickBot="1" x14ac:dyDescent="0.45">
      <c r="A33" s="344" t="s">
        <v>24</v>
      </c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03"/>
      <c r="U33" s="304"/>
      <c r="X33" s="57" t="s">
        <v>29</v>
      </c>
      <c r="Y33" s="57"/>
      <c r="Z33" s="58">
        <f>SUM(Z31:Z32)</f>
        <v>-1850</v>
      </c>
      <c r="AE33" s="37"/>
      <c r="AF33" s="37"/>
      <c r="AG33" s="59"/>
      <c r="AH33" s="37"/>
    </row>
    <row r="34" spans="1:34" ht="18" thickBot="1" x14ac:dyDescent="0.45">
      <c r="A34" s="302" t="str">
        <f>A2</f>
        <v>15-11-2022</v>
      </c>
      <c r="B34" s="303"/>
      <c r="C34" s="303"/>
      <c r="D34" s="303"/>
      <c r="E34" s="303"/>
      <c r="F34" s="303"/>
      <c r="G34" s="304"/>
      <c r="H34" s="305" t="s">
        <v>49</v>
      </c>
      <c r="I34" s="306"/>
      <c r="J34" s="302" t="str">
        <f>J2</f>
        <v>SUNNY</v>
      </c>
      <c r="K34" s="304"/>
      <c r="L34" s="306" t="s">
        <v>50</v>
      </c>
      <c r="M34" s="307"/>
      <c r="N34" s="305"/>
      <c r="O34" s="303" t="str">
        <f>O2</f>
        <v>HENDRA</v>
      </c>
      <c r="P34" s="303"/>
      <c r="Q34" s="304"/>
      <c r="R34" s="306" t="s">
        <v>51</v>
      </c>
      <c r="S34" s="305"/>
      <c r="T34" s="308">
        <f>T2</f>
        <v>5</v>
      </c>
      <c r="U34" s="30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2" t="s">
        <v>8</v>
      </c>
      <c r="P36" s="312"/>
      <c r="Q36" s="31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9"/>
      <c r="P37" s="320"/>
      <c r="Q37" s="321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9"/>
      <c r="P39" s="320"/>
      <c r="Q39" s="321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2"/>
      <c r="P40" s="323"/>
      <c r="Q40" s="324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2"/>
      <c r="P41" s="323"/>
      <c r="Q41" s="324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9"/>
      <c r="P42" s="310"/>
      <c r="Q42" s="311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9"/>
      <c r="P43" s="320"/>
      <c r="Q43" s="32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9"/>
      <c r="P44" s="320"/>
      <c r="Q44" s="32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9"/>
      <c r="P45" s="320"/>
      <c r="Q45" s="32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9"/>
      <c r="P46" s="320"/>
      <c r="Q46" s="32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9"/>
      <c r="P47" s="320"/>
      <c r="Q47" s="32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9"/>
      <c r="P48" s="320"/>
      <c r="Q48" s="32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9"/>
      <c r="P49" s="320"/>
      <c r="Q49" s="32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9"/>
      <c r="P50" s="320"/>
      <c r="Q50" s="32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9"/>
      <c r="P51" s="320"/>
      <c r="Q51" s="32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9"/>
      <c r="P52" s="320"/>
      <c r="Q52" s="32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3"/>
      <c r="P53" s="319"/>
      <c r="Q53" s="319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3"/>
      <c r="P54" s="319"/>
      <c r="Q54" s="319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3"/>
      <c r="P55" s="319"/>
      <c r="Q55" s="319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0"/>
      <c r="P56" s="320"/>
      <c r="Q56" s="32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9"/>
      <c r="P57" s="320"/>
      <c r="Q57" s="32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0"/>
      <c r="P58" s="320"/>
      <c r="Q58" s="32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0"/>
      <c r="P59" s="320"/>
      <c r="Q59" s="32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9"/>
      <c r="P60" s="320"/>
      <c r="Q60" s="32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4"/>
      <c r="P61" s="365"/>
      <c r="Q61" s="366"/>
      <c r="R61" s="81"/>
      <c r="S61" s="68"/>
      <c r="T61" s="68"/>
      <c r="U61" s="77"/>
    </row>
    <row r="62" spans="1:21" x14ac:dyDescent="0.4">
      <c r="A62" s="367" t="s">
        <v>48</v>
      </c>
      <c r="B62" s="368"/>
      <c r="C62" s="368"/>
      <c r="D62" s="368"/>
      <c r="E62" s="368"/>
      <c r="F62" s="368"/>
      <c r="G62" s="368"/>
      <c r="H62" s="368">
        <f t="shared" ref="H62:M62" si="8">SUM(H37:H61)</f>
        <v>0</v>
      </c>
      <c r="I62" s="373">
        <f t="shared" si="8"/>
        <v>0</v>
      </c>
      <c r="J62" s="373">
        <f>J61+J60+J59+J58+J57+J56+J55+J54+J53+J52+J51+J50+J49+J48+J47+J46+J45+J44+J43+J42+J41+J40+J39+J38+J37</f>
        <v>0</v>
      </c>
      <c r="K62" s="373">
        <f>K61+K60+K59+K58+K57+K56+K55+K54+K53+K52+K51+K50+K49+K48+K47+K46+K45+K44+K43+K42+K41+K40+K39+K38+K37</f>
        <v>0</v>
      </c>
      <c r="L62" s="376">
        <f t="shared" si="8"/>
        <v>0</v>
      </c>
      <c r="M62" s="379">
        <f t="shared" si="8"/>
        <v>0</v>
      </c>
      <c r="N62" s="382"/>
      <c r="O62" s="383"/>
      <c r="P62" s="383"/>
      <c r="Q62" s="384"/>
      <c r="R62" s="5"/>
      <c r="S62" s="6"/>
      <c r="T62" s="7"/>
      <c r="U62" s="8"/>
    </row>
    <row r="63" spans="1:21" ht="18" thickBot="1" x14ac:dyDescent="0.45">
      <c r="A63" s="369"/>
      <c r="B63" s="370"/>
      <c r="C63" s="370"/>
      <c r="D63" s="370"/>
      <c r="E63" s="370"/>
      <c r="F63" s="370"/>
      <c r="G63" s="370"/>
      <c r="H63" s="370"/>
      <c r="I63" s="374"/>
      <c r="J63" s="374"/>
      <c r="K63" s="374"/>
      <c r="L63" s="377"/>
      <c r="M63" s="380"/>
      <c r="N63" s="385"/>
      <c r="O63" s="386"/>
      <c r="P63" s="386"/>
      <c r="Q63" s="387"/>
      <c r="R63" s="1"/>
      <c r="S63" s="2"/>
      <c r="T63" s="3"/>
      <c r="U63" s="4"/>
    </row>
    <row r="64" spans="1:21" ht="18" thickBot="1" x14ac:dyDescent="0.45">
      <c r="A64" s="371"/>
      <c r="B64" s="372"/>
      <c r="C64" s="372"/>
      <c r="D64" s="372"/>
      <c r="E64" s="372"/>
      <c r="F64" s="372"/>
      <c r="G64" s="372"/>
      <c r="H64" s="372"/>
      <c r="I64" s="375"/>
      <c r="J64" s="375"/>
      <c r="K64" s="375"/>
      <c r="L64" s="378"/>
      <c r="M64" s="381"/>
      <c r="N64" s="344"/>
      <c r="O64" s="345"/>
      <c r="P64" s="345"/>
      <c r="Q64" s="388"/>
      <c r="R64" s="389" t="s">
        <v>17</v>
      </c>
      <c r="S64" s="390"/>
      <c r="T64" s="390"/>
      <c r="U64" s="391"/>
    </row>
    <row r="65" spans="1:21" ht="18" thickBot="1" x14ac:dyDescent="0.45">
      <c r="A65" s="302" t="s">
        <v>24</v>
      </c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4"/>
    </row>
    <row r="66" spans="1:21" ht="18" thickBot="1" x14ac:dyDescent="0.45">
      <c r="A66" s="302" t="str">
        <f>A34</f>
        <v>15-11-2022</v>
      </c>
      <c r="B66" s="303"/>
      <c r="C66" s="303"/>
      <c r="D66" s="303"/>
      <c r="E66" s="303"/>
      <c r="F66" s="303"/>
      <c r="G66" s="304"/>
      <c r="H66" s="305" t="s">
        <v>49</v>
      </c>
      <c r="I66" s="306"/>
      <c r="J66" s="302" t="str">
        <f>J34</f>
        <v>SUNNY</v>
      </c>
      <c r="K66" s="304"/>
      <c r="L66" s="306" t="s">
        <v>50</v>
      </c>
      <c r="M66" s="307"/>
      <c r="N66" s="305"/>
      <c r="O66" s="303" t="str">
        <f>O34</f>
        <v>HENDRA</v>
      </c>
      <c r="P66" s="303"/>
      <c r="Q66" s="304"/>
      <c r="R66" s="306" t="s">
        <v>51</v>
      </c>
      <c r="S66" s="305"/>
      <c r="T66" s="308">
        <f>T34</f>
        <v>5</v>
      </c>
      <c r="U66" s="30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2" t="s">
        <v>8</v>
      </c>
      <c r="P68" s="312"/>
      <c r="Q68" s="31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9"/>
      <c r="P69" s="320"/>
      <c r="Q69" s="32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9"/>
      <c r="P71" s="320"/>
      <c r="Q71" s="32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2"/>
      <c r="P72" s="323"/>
      <c r="Q72" s="324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2"/>
      <c r="P73" s="323"/>
      <c r="Q73" s="324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9"/>
      <c r="P74" s="310"/>
      <c r="Q74" s="311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9"/>
      <c r="P75" s="320"/>
      <c r="Q75" s="32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9"/>
      <c r="P76" s="320"/>
      <c r="Q76" s="32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9"/>
      <c r="P77" s="320"/>
      <c r="Q77" s="32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9"/>
      <c r="P78" s="320"/>
      <c r="Q78" s="32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9"/>
      <c r="P79" s="320"/>
      <c r="Q79" s="32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9"/>
      <c r="P80" s="320"/>
      <c r="Q80" s="32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9"/>
      <c r="P81" s="320"/>
      <c r="Q81" s="32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9"/>
      <c r="P82" s="320"/>
      <c r="Q82" s="32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9"/>
      <c r="P83" s="320"/>
      <c r="Q83" s="32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9"/>
      <c r="P84" s="320"/>
      <c r="Q84" s="32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3"/>
      <c r="P85" s="319"/>
      <c r="Q85" s="319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3"/>
      <c r="P86" s="319"/>
      <c r="Q86" s="319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3"/>
      <c r="P87" s="319"/>
      <c r="Q87" s="319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0"/>
      <c r="P88" s="320"/>
      <c r="Q88" s="32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9"/>
      <c r="P89" s="320"/>
      <c r="Q89" s="32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0"/>
      <c r="P90" s="320"/>
      <c r="Q90" s="32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0"/>
      <c r="P91" s="320"/>
      <c r="Q91" s="32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9"/>
      <c r="P92" s="320"/>
      <c r="Q92" s="32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4"/>
      <c r="P93" s="365"/>
      <c r="Q93" s="366"/>
      <c r="R93" s="81"/>
      <c r="S93" s="68"/>
      <c r="T93" s="68"/>
      <c r="U93" s="77"/>
    </row>
    <row r="94" spans="1:21" x14ac:dyDescent="0.4">
      <c r="A94" s="367" t="s">
        <v>48</v>
      </c>
      <c r="B94" s="368"/>
      <c r="C94" s="368"/>
      <c r="D94" s="368"/>
      <c r="E94" s="392"/>
      <c r="F94" s="368"/>
      <c r="G94" s="368"/>
      <c r="H94" s="368">
        <f t="shared" ref="H94:M94" si="12">SUM(H69:H93)</f>
        <v>0</v>
      </c>
      <c r="I94" s="373">
        <f t="shared" si="12"/>
        <v>0</v>
      </c>
      <c r="J94" s="373">
        <f>J93+J92+J91+J90+J89+J88+J87+J86+J85+J84+J83+J82+J81+J80+J79+J78+J77+J76+J75+J74+J73+J72+J71+J70+J69</f>
        <v>0</v>
      </c>
      <c r="K94" s="373">
        <f>K93+K92+K91+K90+K89+K88+K87+K86+K85+K84+K83+K82+K81+K80+K79+K78+K77+K76+K75+K74+K73+K72+K71+K70+K69</f>
        <v>0</v>
      </c>
      <c r="L94" s="376">
        <f t="shared" si="12"/>
        <v>0</v>
      </c>
      <c r="M94" s="379">
        <f t="shared" si="12"/>
        <v>0</v>
      </c>
      <c r="N94" s="382"/>
      <c r="O94" s="383"/>
      <c r="P94" s="383"/>
      <c r="Q94" s="384"/>
      <c r="R94" s="5"/>
      <c r="S94" s="6"/>
      <c r="T94" s="7"/>
      <c r="U94" s="8"/>
    </row>
    <row r="95" spans="1:21" ht="18" thickBot="1" x14ac:dyDescent="0.45">
      <c r="A95" s="369"/>
      <c r="B95" s="370"/>
      <c r="C95" s="370"/>
      <c r="D95" s="370"/>
      <c r="E95" s="370"/>
      <c r="F95" s="370"/>
      <c r="G95" s="370"/>
      <c r="H95" s="370"/>
      <c r="I95" s="374"/>
      <c r="J95" s="374"/>
      <c r="K95" s="374"/>
      <c r="L95" s="377"/>
      <c r="M95" s="380"/>
      <c r="N95" s="385"/>
      <c r="O95" s="386"/>
      <c r="P95" s="386"/>
      <c r="Q95" s="387"/>
      <c r="R95" s="1"/>
      <c r="S95" s="2"/>
      <c r="T95" s="3"/>
      <c r="U95" s="4"/>
    </row>
    <row r="96" spans="1:21" ht="18" thickBot="1" x14ac:dyDescent="0.45">
      <c r="A96" s="371"/>
      <c r="B96" s="372"/>
      <c r="C96" s="372"/>
      <c r="D96" s="372"/>
      <c r="E96" s="372"/>
      <c r="F96" s="372"/>
      <c r="G96" s="372"/>
      <c r="H96" s="372"/>
      <c r="I96" s="375"/>
      <c r="J96" s="375"/>
      <c r="K96" s="375"/>
      <c r="L96" s="378"/>
      <c r="M96" s="381"/>
      <c r="N96" s="344"/>
      <c r="O96" s="345"/>
      <c r="P96" s="345"/>
      <c r="Q96" s="388"/>
      <c r="R96" s="389" t="s">
        <v>52</v>
      </c>
      <c r="S96" s="390"/>
      <c r="T96" s="390"/>
      <c r="U96" s="391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O5" sqref="O5:Q5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02" t="s">
        <v>77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4"/>
    </row>
    <row r="2" spans="1:44" ht="18" thickBot="1" x14ac:dyDescent="0.45">
      <c r="A2" s="302" t="s">
        <v>190</v>
      </c>
      <c r="B2" s="303"/>
      <c r="C2" s="303"/>
      <c r="D2" s="303"/>
      <c r="E2" s="303"/>
      <c r="F2" s="303"/>
      <c r="G2" s="304"/>
      <c r="H2" s="305" t="s">
        <v>49</v>
      </c>
      <c r="I2" s="306"/>
      <c r="J2" s="302" t="s">
        <v>149</v>
      </c>
      <c r="K2" s="304"/>
      <c r="L2" s="306" t="s">
        <v>96</v>
      </c>
      <c r="M2" s="307"/>
      <c r="N2" s="305"/>
      <c r="O2" s="303" t="s">
        <v>98</v>
      </c>
      <c r="P2" s="303"/>
      <c r="Q2" s="304"/>
      <c r="R2" s="306" t="s">
        <v>51</v>
      </c>
      <c r="S2" s="305"/>
      <c r="T2" s="308">
        <v>6</v>
      </c>
      <c r="U2" s="30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2" t="s">
        <v>8</v>
      </c>
      <c r="P4" s="312"/>
      <c r="Q4" s="31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267">
        <v>12244</v>
      </c>
      <c r="C5" s="288" t="s">
        <v>191</v>
      </c>
      <c r="D5" s="289" t="s">
        <v>192</v>
      </c>
      <c r="E5" s="270" t="s">
        <v>193</v>
      </c>
      <c r="F5" s="290">
        <v>800</v>
      </c>
      <c r="G5" s="267" t="s">
        <v>121</v>
      </c>
      <c r="H5" s="274"/>
      <c r="I5" s="274"/>
      <c r="J5" s="274" t="str">
        <f>IF(G5="RSL","55","0")</f>
        <v>0</v>
      </c>
      <c r="K5" s="274">
        <v>79.099999999999994</v>
      </c>
      <c r="L5" s="275"/>
      <c r="M5" s="275">
        <v>475</v>
      </c>
      <c r="N5" s="276" t="s">
        <v>98</v>
      </c>
      <c r="O5" s="396" t="s">
        <v>194</v>
      </c>
      <c r="P5" s="397"/>
      <c r="Q5" s="398"/>
      <c r="R5" s="33" t="s">
        <v>98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12245</v>
      </c>
      <c r="C6" s="67" t="s">
        <v>195</v>
      </c>
      <c r="D6" s="200" t="s">
        <v>196</v>
      </c>
      <c r="E6" s="181" t="s">
        <v>91</v>
      </c>
      <c r="F6" s="171">
        <v>840</v>
      </c>
      <c r="G6" s="118" t="s">
        <v>109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16"/>
      <c r="P6" s="317"/>
      <c r="Q6" s="318"/>
      <c r="R6" s="132" t="s">
        <v>99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12246</v>
      </c>
      <c r="C7" s="67" t="s">
        <v>197</v>
      </c>
      <c r="D7" s="200" t="s">
        <v>198</v>
      </c>
      <c r="E7" s="181" t="s">
        <v>92</v>
      </c>
      <c r="F7" s="171">
        <v>845</v>
      </c>
      <c r="G7" s="118" t="s">
        <v>109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19"/>
      <c r="P7" s="320"/>
      <c r="Q7" s="321"/>
      <c r="R7" s="134" t="s">
        <v>100</v>
      </c>
      <c r="S7" s="31">
        <v>0.38541666666666669</v>
      </c>
      <c r="T7" s="32">
        <v>0.66666666666666663</v>
      </c>
      <c r="U7" s="92">
        <f t="shared" si="0"/>
        <v>6.7499999999999982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12247</v>
      </c>
      <c r="C8" s="27" t="s">
        <v>199</v>
      </c>
      <c r="D8" s="200" t="s">
        <v>200</v>
      </c>
      <c r="E8" s="181" t="s">
        <v>92</v>
      </c>
      <c r="F8" s="171">
        <v>945</v>
      </c>
      <c r="G8" s="118" t="s">
        <v>109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22"/>
      <c r="P8" s="323"/>
      <c r="Q8" s="324"/>
      <c r="R8" s="26" t="s">
        <v>148</v>
      </c>
      <c r="S8" s="31">
        <v>0.36458333333333331</v>
      </c>
      <c r="T8" s="32">
        <v>0.6875</v>
      </c>
      <c r="U8" s="92">
        <f t="shared" si="0"/>
        <v>7.75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12248</v>
      </c>
      <c r="C9" s="63" t="s">
        <v>201</v>
      </c>
      <c r="D9" s="201" t="s">
        <v>238</v>
      </c>
      <c r="E9" s="181" t="s">
        <v>92</v>
      </c>
      <c r="F9" s="172">
        <v>930</v>
      </c>
      <c r="G9" s="119" t="s">
        <v>109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22"/>
      <c r="P9" s="323"/>
      <c r="Q9" s="324"/>
      <c r="R9" s="26" t="s">
        <v>101</v>
      </c>
      <c r="S9" s="31">
        <v>0.44791666666666669</v>
      </c>
      <c r="T9" s="32">
        <v>0.6875</v>
      </c>
      <c r="U9" s="92">
        <f t="shared" si="0"/>
        <v>5.75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12249</v>
      </c>
      <c r="C10" s="28" t="s">
        <v>202</v>
      </c>
      <c r="D10" s="202" t="s">
        <v>203</v>
      </c>
      <c r="E10" s="181" t="s">
        <v>92</v>
      </c>
      <c r="F10" s="173">
        <v>1000</v>
      </c>
      <c r="G10" s="120" t="s">
        <v>204</v>
      </c>
      <c r="H10" s="123"/>
      <c r="I10" s="125"/>
      <c r="J10" s="130" t="str">
        <f t="shared" si="1"/>
        <v>0</v>
      </c>
      <c r="K10" s="130">
        <v>91.6</v>
      </c>
      <c r="L10" s="131"/>
      <c r="M10" s="131"/>
      <c r="N10" s="134" t="s">
        <v>98</v>
      </c>
      <c r="O10" s="309" t="s">
        <v>205</v>
      </c>
      <c r="P10" s="310"/>
      <c r="Q10" s="311"/>
      <c r="R10" s="26" t="s">
        <v>189</v>
      </c>
      <c r="S10" s="31">
        <v>0.375</v>
      </c>
      <c r="T10" s="32">
        <v>0.6875</v>
      </c>
      <c r="U10" s="92">
        <f t="shared" si="0"/>
        <v>7.5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12250</v>
      </c>
      <c r="C11" s="18" t="s">
        <v>206</v>
      </c>
      <c r="D11" s="203" t="s">
        <v>207</v>
      </c>
      <c r="E11" s="181" t="s">
        <v>92</v>
      </c>
      <c r="F11" s="66">
        <v>1005</v>
      </c>
      <c r="G11" s="121" t="s">
        <v>109</v>
      </c>
      <c r="H11" s="123">
        <v>70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19"/>
      <c r="P11" s="320"/>
      <c r="Q11" s="32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12251</v>
      </c>
      <c r="C12" s="64" t="s">
        <v>208</v>
      </c>
      <c r="D12" s="204" t="s">
        <v>209</v>
      </c>
      <c r="E12" s="181" t="s">
        <v>91</v>
      </c>
      <c r="F12" s="173">
        <v>1030</v>
      </c>
      <c r="G12" s="119" t="s">
        <v>121</v>
      </c>
      <c r="H12" s="123"/>
      <c r="I12" s="125"/>
      <c r="J12" s="130" t="str">
        <f t="shared" si="1"/>
        <v>0</v>
      </c>
      <c r="K12" s="130">
        <v>125</v>
      </c>
      <c r="L12" s="131"/>
      <c r="M12" s="131"/>
      <c r="N12" s="134" t="s">
        <v>98</v>
      </c>
      <c r="O12" s="319" t="s">
        <v>210</v>
      </c>
      <c r="P12" s="320"/>
      <c r="Q12" s="32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12252</v>
      </c>
      <c r="C13" s="64" t="s">
        <v>211</v>
      </c>
      <c r="D13" s="204" t="s">
        <v>212</v>
      </c>
      <c r="E13" s="181" t="s">
        <v>91</v>
      </c>
      <c r="F13" s="173">
        <v>1130</v>
      </c>
      <c r="G13" s="119" t="s">
        <v>204</v>
      </c>
      <c r="H13" s="169"/>
      <c r="I13" s="168"/>
      <c r="J13" s="130" t="str">
        <f t="shared" si="1"/>
        <v>0</v>
      </c>
      <c r="K13" s="130" t="str">
        <f t="shared" si="2"/>
        <v>45.8</v>
      </c>
      <c r="L13" s="131"/>
      <c r="M13" s="131"/>
      <c r="N13" s="134" t="s">
        <v>98</v>
      </c>
      <c r="O13" s="319" t="s">
        <v>213</v>
      </c>
      <c r="P13" s="320"/>
      <c r="Q13" s="32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12253</v>
      </c>
      <c r="C14" s="65" t="s">
        <v>214</v>
      </c>
      <c r="D14" s="205" t="s">
        <v>215</v>
      </c>
      <c r="E14" s="181" t="s">
        <v>91</v>
      </c>
      <c r="F14" s="174">
        <v>1130</v>
      </c>
      <c r="G14" s="122" t="s">
        <v>112</v>
      </c>
      <c r="H14" s="123">
        <v>150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19"/>
      <c r="P14" s="320"/>
      <c r="Q14" s="32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12254</v>
      </c>
      <c r="C15" s="65" t="s">
        <v>216</v>
      </c>
      <c r="D15" s="205" t="s">
        <v>217</v>
      </c>
      <c r="E15" s="181" t="s">
        <v>92</v>
      </c>
      <c r="F15" s="174">
        <v>1215</v>
      </c>
      <c r="G15" s="122" t="s">
        <v>106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19"/>
      <c r="P15" s="320"/>
      <c r="Q15" s="32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12255</v>
      </c>
      <c r="C16" s="65" t="s">
        <v>218</v>
      </c>
      <c r="D16" s="205" t="s">
        <v>219</v>
      </c>
      <c r="E16" s="181" t="s">
        <v>91</v>
      </c>
      <c r="F16" s="174">
        <v>1215</v>
      </c>
      <c r="G16" s="122" t="s">
        <v>204</v>
      </c>
      <c r="H16" s="123"/>
      <c r="I16" s="124"/>
      <c r="J16" s="130" t="str">
        <f t="shared" si="1"/>
        <v>0</v>
      </c>
      <c r="K16" s="130">
        <v>62.5</v>
      </c>
      <c r="L16" s="131"/>
      <c r="M16" s="131"/>
      <c r="N16" s="134" t="s">
        <v>98</v>
      </c>
      <c r="O16" s="319" t="s">
        <v>220</v>
      </c>
      <c r="P16" s="320"/>
      <c r="Q16" s="321"/>
      <c r="R16" s="82">
        <f>H32/U16</f>
        <v>0.44692737430167595</v>
      </c>
      <c r="S16" s="83">
        <f>H32/(U16-U5)</f>
        <v>0.55172413793103448</v>
      </c>
      <c r="T16" s="83">
        <f>C32/U16</f>
        <v>41.486033519553075</v>
      </c>
      <c r="U16" s="83">
        <f>SUM(U5:U15)</f>
        <v>44.75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12256</v>
      </c>
      <c r="C17" s="18" t="s">
        <v>221</v>
      </c>
      <c r="D17" s="203" t="s">
        <v>222</v>
      </c>
      <c r="E17" s="181" t="s">
        <v>92</v>
      </c>
      <c r="F17" s="66">
        <v>1230</v>
      </c>
      <c r="G17" s="121" t="s">
        <v>204</v>
      </c>
      <c r="H17" s="123"/>
      <c r="I17" s="124">
        <v>50</v>
      </c>
      <c r="J17" s="130" t="str">
        <f t="shared" si="1"/>
        <v>0</v>
      </c>
      <c r="K17" s="130">
        <v>62.5</v>
      </c>
      <c r="L17" s="131"/>
      <c r="M17" s="131"/>
      <c r="N17" s="134" t="s">
        <v>98</v>
      </c>
      <c r="O17" s="319" t="s">
        <v>223</v>
      </c>
      <c r="P17" s="320"/>
      <c r="Q17" s="32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12257</v>
      </c>
      <c r="C18" s="18" t="s">
        <v>224</v>
      </c>
      <c r="D18" s="203" t="s">
        <v>225</v>
      </c>
      <c r="E18" s="181" t="s">
        <v>91</v>
      </c>
      <c r="F18" s="66">
        <v>1245</v>
      </c>
      <c r="G18" s="20" t="s">
        <v>109</v>
      </c>
      <c r="H18" s="123">
        <v>75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19"/>
      <c r="P18" s="320"/>
      <c r="Q18" s="32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12258</v>
      </c>
      <c r="C19" s="18" t="s">
        <v>226</v>
      </c>
      <c r="D19" s="203" t="s">
        <v>227</v>
      </c>
      <c r="E19" s="181" t="s">
        <v>92</v>
      </c>
      <c r="F19" s="66">
        <v>1300</v>
      </c>
      <c r="G19" s="121" t="s">
        <v>106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98</v>
      </c>
      <c r="O19" s="319"/>
      <c r="P19" s="320"/>
      <c r="Q19" s="320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12259</v>
      </c>
      <c r="C20" s="18" t="s">
        <v>228</v>
      </c>
      <c r="D20" s="203" t="s">
        <v>229</v>
      </c>
      <c r="E20" s="181" t="s">
        <v>91</v>
      </c>
      <c r="F20" s="66">
        <v>1340</v>
      </c>
      <c r="G20" s="121" t="s">
        <v>109</v>
      </c>
      <c r="H20" s="123">
        <v>95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27"/>
      <c r="P20" s="328"/>
      <c r="Q20" s="32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12260</v>
      </c>
      <c r="C21" s="18" t="s">
        <v>230</v>
      </c>
      <c r="D21" s="203" t="s">
        <v>231</v>
      </c>
      <c r="E21" s="181" t="s">
        <v>91</v>
      </c>
      <c r="F21" s="66">
        <v>1345</v>
      </c>
      <c r="G21" s="20" t="s">
        <v>112</v>
      </c>
      <c r="H21" s="123"/>
      <c r="I21" s="124">
        <v>150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98</v>
      </c>
      <c r="O21" s="319"/>
      <c r="P21" s="320"/>
      <c r="Q21" s="32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12261</v>
      </c>
      <c r="C22" s="127" t="s">
        <v>232</v>
      </c>
      <c r="D22" s="206" t="s">
        <v>233</v>
      </c>
      <c r="E22" s="181" t="s">
        <v>92</v>
      </c>
      <c r="F22" s="175">
        <v>1410</v>
      </c>
      <c r="G22" s="263" t="s">
        <v>109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98</v>
      </c>
      <c r="O22" s="319"/>
      <c r="P22" s="320"/>
      <c r="Q22" s="32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12262</v>
      </c>
      <c r="C23" s="136" t="s">
        <v>239</v>
      </c>
      <c r="D23" s="207" t="s">
        <v>240</v>
      </c>
      <c r="E23" s="181" t="s">
        <v>92</v>
      </c>
      <c r="F23" s="176">
        <v>1500</v>
      </c>
      <c r="G23" s="165" t="s">
        <v>109</v>
      </c>
      <c r="H23" s="89">
        <v>95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98</v>
      </c>
      <c r="O23" s="163"/>
      <c r="P23" s="164"/>
      <c r="Q23" s="159"/>
      <c r="R23" s="113"/>
      <c r="S23" s="114"/>
      <c r="T23" s="114"/>
      <c r="U23" s="115"/>
      <c r="X23" s="325"/>
      <c r="Y23" s="326"/>
      <c r="Z23" s="326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12263</v>
      </c>
      <c r="C24" s="127" t="s">
        <v>241</v>
      </c>
      <c r="D24" s="206" t="s">
        <v>242</v>
      </c>
      <c r="E24" s="181" t="s">
        <v>92</v>
      </c>
      <c r="F24" s="175">
        <v>1545</v>
      </c>
      <c r="G24" s="263" t="s">
        <v>204</v>
      </c>
      <c r="H24" s="89"/>
      <c r="I24" s="141"/>
      <c r="J24" s="130" t="str">
        <f t="shared" si="1"/>
        <v>0</v>
      </c>
      <c r="K24" s="130">
        <v>100</v>
      </c>
      <c r="L24" s="69"/>
      <c r="M24" s="69"/>
      <c r="N24" s="134" t="s">
        <v>98</v>
      </c>
      <c r="O24" s="319" t="s">
        <v>244</v>
      </c>
      <c r="P24" s="320"/>
      <c r="Q24" s="32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9"/>
      <c r="P25" s="320"/>
      <c r="Q25" s="32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9">
        <f>((C32+(R26+S26+T26)*0.5))</f>
        <v>1856.5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9"/>
      <c r="P26" s="320"/>
      <c r="Q26" s="321"/>
      <c r="R26" s="112">
        <f>R25*37.5</f>
        <v>0</v>
      </c>
      <c r="S26" s="102">
        <f>S25*41.5</f>
        <v>0</v>
      </c>
      <c r="T26" s="102">
        <f>T25*50</f>
        <v>0</v>
      </c>
      <c r="U26" s="33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9"/>
      <c r="P27" s="320"/>
      <c r="Q27" s="321"/>
      <c r="R27" s="338" t="s">
        <v>56</v>
      </c>
      <c r="S27" s="339"/>
      <c r="T27" s="339"/>
      <c r="U27" s="34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9"/>
      <c r="P28" s="320"/>
      <c r="Q28" s="321"/>
      <c r="R28" s="331"/>
      <c r="S28" s="332"/>
      <c r="T28" s="33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655</v>
      </c>
      <c r="I30" s="105">
        <f>SUM(I5:I29)</f>
        <v>635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566.5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655</v>
      </c>
      <c r="I31" s="103">
        <f t="shared" si="4"/>
        <v>635</v>
      </c>
      <c r="J31" s="103">
        <f t="shared" si="4"/>
        <v>0</v>
      </c>
      <c r="K31" s="103">
        <f>K30+K62+K94</f>
        <v>566.5</v>
      </c>
      <c r="L31" s="97">
        <f>L30+L62+L94</f>
        <v>0</v>
      </c>
      <c r="M31" s="97">
        <f>M30+M62+M94</f>
        <v>475</v>
      </c>
      <c r="N31" s="262">
        <f>COUNT(H5:H29,H37:H61,H69:H93)</f>
        <v>7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7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655</v>
      </c>
      <c r="T31" s="346">
        <f>H31+I31+L31+M31</f>
        <v>1765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34" t="s">
        <v>55</v>
      </c>
      <c r="B32" s="335"/>
      <c r="C32" s="107">
        <f>H31+I31+J31+K31</f>
        <v>1856.5</v>
      </c>
      <c r="D32" s="196"/>
      <c r="E32" s="107"/>
      <c r="F32" s="336" t="s">
        <v>53</v>
      </c>
      <c r="G32" s="336"/>
      <c r="H32" s="109">
        <f>COUNT(B5:B29,B37:B61,B69:B93)</f>
        <v>20</v>
      </c>
      <c r="I32" s="337" t="s">
        <v>54</v>
      </c>
      <c r="J32" s="337"/>
      <c r="K32" s="108">
        <f>C32/H32</f>
        <v>92.825000000000003</v>
      </c>
      <c r="L32" s="260"/>
      <c r="M32" s="260"/>
      <c r="N32" s="260">
        <f>H31/C32</f>
        <v>0.35281443576622679</v>
      </c>
      <c r="O32" s="260">
        <f>I31/C32</f>
        <v>0.34204147589550227</v>
      </c>
      <c r="P32" s="260">
        <f>K31/C32</f>
        <v>0.30514408833827095</v>
      </c>
      <c r="Q32" s="110">
        <f>J31/C32</f>
        <v>0</v>
      </c>
      <c r="R32" s="99" t="s">
        <v>82</v>
      </c>
      <c r="S32" s="266">
        <f>I31+M31</f>
        <v>1110</v>
      </c>
      <c r="T32" s="348"/>
      <c r="U32" s="349"/>
      <c r="V32" s="55"/>
      <c r="W32" s="55"/>
      <c r="X32" s="56" t="s">
        <v>27</v>
      </c>
      <c r="Y32" s="56"/>
      <c r="Z32" s="54">
        <f>I31</f>
        <v>635</v>
      </c>
      <c r="AE32" s="37"/>
      <c r="AF32" s="37"/>
      <c r="AG32" s="37"/>
      <c r="AH32" s="37"/>
    </row>
    <row r="33" spans="1:34" ht="18" thickBot="1" x14ac:dyDescent="0.45">
      <c r="A33" s="344" t="s">
        <v>24</v>
      </c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03"/>
      <c r="U33" s="304"/>
      <c r="X33" s="57" t="s">
        <v>29</v>
      </c>
      <c r="Y33" s="57"/>
      <c r="Z33" s="58">
        <f>SUM(Z31:Z32)</f>
        <v>-2110</v>
      </c>
      <c r="AE33" s="37"/>
      <c r="AF33" s="37"/>
      <c r="AG33" s="59"/>
      <c r="AH33" s="37"/>
    </row>
    <row r="34" spans="1:34" ht="18" thickBot="1" x14ac:dyDescent="0.45">
      <c r="A34" s="302" t="str">
        <f>A2</f>
        <v>16-11-2022</v>
      </c>
      <c r="B34" s="303"/>
      <c r="C34" s="303"/>
      <c r="D34" s="303"/>
      <c r="E34" s="303"/>
      <c r="F34" s="303"/>
      <c r="G34" s="304"/>
      <c r="H34" s="305" t="s">
        <v>49</v>
      </c>
      <c r="I34" s="306"/>
      <c r="J34" s="302" t="str">
        <f>J2</f>
        <v>SUNNY</v>
      </c>
      <c r="K34" s="304"/>
      <c r="L34" s="306" t="s">
        <v>50</v>
      </c>
      <c r="M34" s="307"/>
      <c r="N34" s="305"/>
      <c r="O34" s="303" t="str">
        <f>O2</f>
        <v>JOHN</v>
      </c>
      <c r="P34" s="303"/>
      <c r="Q34" s="304"/>
      <c r="R34" s="306" t="s">
        <v>51</v>
      </c>
      <c r="S34" s="305"/>
      <c r="T34" s="308">
        <f>T2</f>
        <v>6</v>
      </c>
      <c r="U34" s="30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2" t="s">
        <v>8</v>
      </c>
      <c r="P36" s="312"/>
      <c r="Q36" s="31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9"/>
      <c r="P37" s="320"/>
      <c r="Q37" s="321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9"/>
      <c r="P39" s="320"/>
      <c r="Q39" s="321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2"/>
      <c r="P40" s="323"/>
      <c r="Q40" s="324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2"/>
      <c r="P41" s="323"/>
      <c r="Q41" s="324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9"/>
      <c r="P42" s="310"/>
      <c r="Q42" s="311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9"/>
      <c r="P43" s="320"/>
      <c r="Q43" s="32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9"/>
      <c r="P44" s="320"/>
      <c r="Q44" s="32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9"/>
      <c r="P45" s="320"/>
      <c r="Q45" s="32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9"/>
      <c r="P46" s="320"/>
      <c r="Q46" s="32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9"/>
      <c r="P47" s="320"/>
      <c r="Q47" s="32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9"/>
      <c r="P48" s="320"/>
      <c r="Q48" s="32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9"/>
      <c r="P49" s="320"/>
      <c r="Q49" s="32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9"/>
      <c r="P50" s="320"/>
      <c r="Q50" s="32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9"/>
      <c r="P51" s="320"/>
      <c r="Q51" s="32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9"/>
      <c r="P52" s="320"/>
      <c r="Q52" s="32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3"/>
      <c r="P53" s="319"/>
      <c r="Q53" s="319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3"/>
      <c r="P54" s="319"/>
      <c r="Q54" s="319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3"/>
      <c r="P55" s="319"/>
      <c r="Q55" s="319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0"/>
      <c r="P56" s="320"/>
      <c r="Q56" s="32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9"/>
      <c r="P57" s="320"/>
      <c r="Q57" s="32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0"/>
      <c r="P58" s="320"/>
      <c r="Q58" s="32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0"/>
      <c r="P59" s="320"/>
      <c r="Q59" s="32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9"/>
      <c r="P60" s="320"/>
      <c r="Q60" s="32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4"/>
      <c r="P61" s="365"/>
      <c r="Q61" s="366"/>
      <c r="R61" s="81"/>
      <c r="S61" s="68"/>
      <c r="T61" s="68"/>
      <c r="U61" s="77"/>
    </row>
    <row r="62" spans="1:21" x14ac:dyDescent="0.4">
      <c r="A62" s="367" t="s">
        <v>48</v>
      </c>
      <c r="B62" s="368"/>
      <c r="C62" s="368"/>
      <c r="D62" s="368"/>
      <c r="E62" s="368"/>
      <c r="F62" s="368"/>
      <c r="G62" s="368"/>
      <c r="H62" s="368">
        <f t="shared" ref="H62:M62" si="8">SUM(H37:H61)</f>
        <v>0</v>
      </c>
      <c r="I62" s="373">
        <f t="shared" si="8"/>
        <v>0</v>
      </c>
      <c r="J62" s="373">
        <f>J61+J60+J59+J58+J57+J56+J55+J54+J53+J52+J51+J50+J49+J48+J47+J46+J45+J44+J43+J42+J41+J40+J39+J38+J37</f>
        <v>0</v>
      </c>
      <c r="K62" s="373">
        <f>K61+K60+K59+K58+K57+K56+K55+K54+K53+K52+K51+K50+K49+K48+K47+K46+K45+K44+K43+K42+K41+K40+K39+K38+K37</f>
        <v>0</v>
      </c>
      <c r="L62" s="376">
        <f t="shared" si="8"/>
        <v>0</v>
      </c>
      <c r="M62" s="379">
        <f t="shared" si="8"/>
        <v>0</v>
      </c>
      <c r="N62" s="382"/>
      <c r="O62" s="383"/>
      <c r="P62" s="383"/>
      <c r="Q62" s="384"/>
      <c r="R62" s="5"/>
      <c r="S62" s="6"/>
      <c r="T62" s="7"/>
      <c r="U62" s="8"/>
    </row>
    <row r="63" spans="1:21" ht="18" thickBot="1" x14ac:dyDescent="0.45">
      <c r="A63" s="369"/>
      <c r="B63" s="370"/>
      <c r="C63" s="370"/>
      <c r="D63" s="370"/>
      <c r="E63" s="370"/>
      <c r="F63" s="370"/>
      <c r="G63" s="370"/>
      <c r="H63" s="370"/>
      <c r="I63" s="374"/>
      <c r="J63" s="374"/>
      <c r="K63" s="374"/>
      <c r="L63" s="377"/>
      <c r="M63" s="380"/>
      <c r="N63" s="385"/>
      <c r="O63" s="386"/>
      <c r="P63" s="386"/>
      <c r="Q63" s="387"/>
      <c r="R63" s="1"/>
      <c r="S63" s="2"/>
      <c r="T63" s="3"/>
      <c r="U63" s="4"/>
    </row>
    <row r="64" spans="1:21" ht="18" thickBot="1" x14ac:dyDescent="0.45">
      <c r="A64" s="371"/>
      <c r="B64" s="372"/>
      <c r="C64" s="372"/>
      <c r="D64" s="372"/>
      <c r="E64" s="372"/>
      <c r="F64" s="372"/>
      <c r="G64" s="372"/>
      <c r="H64" s="372"/>
      <c r="I64" s="375"/>
      <c r="J64" s="375"/>
      <c r="K64" s="375"/>
      <c r="L64" s="378"/>
      <c r="M64" s="381"/>
      <c r="N64" s="344"/>
      <c r="O64" s="345"/>
      <c r="P64" s="345"/>
      <c r="Q64" s="388"/>
      <c r="R64" s="389" t="s">
        <v>17</v>
      </c>
      <c r="S64" s="390"/>
      <c r="T64" s="390"/>
      <c r="U64" s="391"/>
    </row>
    <row r="65" spans="1:21" ht="18" thickBot="1" x14ac:dyDescent="0.45">
      <c r="A65" s="302" t="s">
        <v>24</v>
      </c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4"/>
    </row>
    <row r="66" spans="1:21" ht="18" thickBot="1" x14ac:dyDescent="0.45">
      <c r="A66" s="302" t="str">
        <f>A34</f>
        <v>16-11-2022</v>
      </c>
      <c r="B66" s="303"/>
      <c r="C66" s="303"/>
      <c r="D66" s="303"/>
      <c r="E66" s="303"/>
      <c r="F66" s="303"/>
      <c r="G66" s="304"/>
      <c r="H66" s="305" t="s">
        <v>49</v>
      </c>
      <c r="I66" s="306"/>
      <c r="J66" s="302" t="str">
        <f>J34</f>
        <v>SUNNY</v>
      </c>
      <c r="K66" s="304"/>
      <c r="L66" s="306" t="s">
        <v>50</v>
      </c>
      <c r="M66" s="307"/>
      <c r="N66" s="305"/>
      <c r="O66" s="303" t="str">
        <f>O34</f>
        <v>JOHN</v>
      </c>
      <c r="P66" s="303"/>
      <c r="Q66" s="304"/>
      <c r="R66" s="306" t="s">
        <v>51</v>
      </c>
      <c r="S66" s="305"/>
      <c r="T66" s="308">
        <f>T34</f>
        <v>6</v>
      </c>
      <c r="U66" s="30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2" t="s">
        <v>8</v>
      </c>
      <c r="P68" s="312"/>
      <c r="Q68" s="31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9"/>
      <c r="P69" s="320"/>
      <c r="Q69" s="32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9"/>
      <c r="P71" s="320"/>
      <c r="Q71" s="32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2"/>
      <c r="P72" s="323"/>
      <c r="Q72" s="324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2"/>
      <c r="P73" s="323"/>
      <c r="Q73" s="324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9"/>
      <c r="P74" s="310"/>
      <c r="Q74" s="311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9"/>
      <c r="P75" s="320"/>
      <c r="Q75" s="32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9"/>
      <c r="P76" s="320"/>
      <c r="Q76" s="32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9"/>
      <c r="P77" s="320"/>
      <c r="Q77" s="32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9"/>
      <c r="P78" s="320"/>
      <c r="Q78" s="32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9"/>
      <c r="P79" s="320"/>
      <c r="Q79" s="32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9"/>
      <c r="P80" s="320"/>
      <c r="Q80" s="32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9"/>
      <c r="P81" s="320"/>
      <c r="Q81" s="32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9"/>
      <c r="P82" s="320"/>
      <c r="Q82" s="32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9"/>
      <c r="P83" s="320"/>
      <c r="Q83" s="32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9"/>
      <c r="P84" s="320"/>
      <c r="Q84" s="32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3"/>
      <c r="P85" s="319"/>
      <c r="Q85" s="319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3"/>
      <c r="P86" s="319"/>
      <c r="Q86" s="319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3"/>
      <c r="P87" s="319"/>
      <c r="Q87" s="319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0"/>
      <c r="P88" s="320"/>
      <c r="Q88" s="32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9"/>
      <c r="P89" s="320"/>
      <c r="Q89" s="32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0"/>
      <c r="P90" s="320"/>
      <c r="Q90" s="32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0"/>
      <c r="P91" s="320"/>
      <c r="Q91" s="32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9"/>
      <c r="P92" s="320"/>
      <c r="Q92" s="32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4"/>
      <c r="P93" s="365"/>
      <c r="Q93" s="366"/>
      <c r="R93" s="81"/>
      <c r="S93" s="68"/>
      <c r="T93" s="68"/>
      <c r="U93" s="77"/>
    </row>
    <row r="94" spans="1:21" x14ac:dyDescent="0.4">
      <c r="A94" s="367" t="s">
        <v>48</v>
      </c>
      <c r="B94" s="368"/>
      <c r="C94" s="368"/>
      <c r="D94" s="368"/>
      <c r="E94" s="392"/>
      <c r="F94" s="368"/>
      <c r="G94" s="368"/>
      <c r="H94" s="368">
        <f t="shared" ref="H94:M94" si="12">SUM(H69:H93)</f>
        <v>0</v>
      </c>
      <c r="I94" s="373">
        <f t="shared" si="12"/>
        <v>0</v>
      </c>
      <c r="J94" s="373">
        <f>J93+J92+J91+J90+J89+J88+J87+J86+J85+J84+J83+J82+J81+J80+J79+J78+J77+J76+J75+J74+J73+J72+J71+J70+J69</f>
        <v>0</v>
      </c>
      <c r="K94" s="373">
        <f>K93+K92+K91+K90+K89+K88+K87+K86+K85+K84+K83+K82+K81+K80+K79+K78+K77+K76+K75+K74+K73+K72+K71+K70+K69</f>
        <v>0</v>
      </c>
      <c r="L94" s="376">
        <f t="shared" si="12"/>
        <v>0</v>
      </c>
      <c r="M94" s="379">
        <f t="shared" si="12"/>
        <v>0</v>
      </c>
      <c r="N94" s="382"/>
      <c r="O94" s="383"/>
      <c r="P94" s="383"/>
      <c r="Q94" s="384"/>
      <c r="R94" s="5"/>
      <c r="S94" s="6"/>
      <c r="T94" s="7"/>
      <c r="U94" s="8"/>
    </row>
    <row r="95" spans="1:21" ht="18" thickBot="1" x14ac:dyDescent="0.45">
      <c r="A95" s="369"/>
      <c r="B95" s="370"/>
      <c r="C95" s="370"/>
      <c r="D95" s="370"/>
      <c r="E95" s="370"/>
      <c r="F95" s="370"/>
      <c r="G95" s="370"/>
      <c r="H95" s="370"/>
      <c r="I95" s="374"/>
      <c r="J95" s="374"/>
      <c r="K95" s="374"/>
      <c r="L95" s="377"/>
      <c r="M95" s="380"/>
      <c r="N95" s="385"/>
      <c r="O95" s="386"/>
      <c r="P95" s="386"/>
      <c r="Q95" s="387"/>
      <c r="R95" s="1"/>
      <c r="S95" s="2"/>
      <c r="T95" s="3"/>
      <c r="U95" s="4"/>
    </row>
    <row r="96" spans="1:21" ht="18" thickBot="1" x14ac:dyDescent="0.45">
      <c r="A96" s="371"/>
      <c r="B96" s="372"/>
      <c r="C96" s="372"/>
      <c r="D96" s="372"/>
      <c r="E96" s="372"/>
      <c r="F96" s="372"/>
      <c r="G96" s="372"/>
      <c r="H96" s="372"/>
      <c r="I96" s="375"/>
      <c r="J96" s="375"/>
      <c r="K96" s="375"/>
      <c r="L96" s="378"/>
      <c r="M96" s="381"/>
      <c r="N96" s="344"/>
      <c r="O96" s="345"/>
      <c r="P96" s="345"/>
      <c r="Q96" s="388"/>
      <c r="R96" s="389" t="s">
        <v>52</v>
      </c>
      <c r="S96" s="390"/>
      <c r="T96" s="390"/>
      <c r="U96" s="39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I18" sqref="I1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02" t="s">
        <v>77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4"/>
    </row>
    <row r="2" spans="1:44" ht="18" thickBot="1" x14ac:dyDescent="0.45">
      <c r="A2" s="302" t="s">
        <v>243</v>
      </c>
      <c r="B2" s="303"/>
      <c r="C2" s="303"/>
      <c r="D2" s="303"/>
      <c r="E2" s="303"/>
      <c r="F2" s="303"/>
      <c r="G2" s="304"/>
      <c r="H2" s="305" t="s">
        <v>49</v>
      </c>
      <c r="I2" s="306"/>
      <c r="J2" s="302" t="s">
        <v>149</v>
      </c>
      <c r="K2" s="304"/>
      <c r="L2" s="306" t="s">
        <v>96</v>
      </c>
      <c r="M2" s="307"/>
      <c r="N2" s="305"/>
      <c r="O2" s="303" t="s">
        <v>98</v>
      </c>
      <c r="P2" s="303"/>
      <c r="Q2" s="304"/>
      <c r="R2" s="306" t="s">
        <v>51</v>
      </c>
      <c r="S2" s="305"/>
      <c r="T2" s="308">
        <v>5</v>
      </c>
      <c r="U2" s="30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2" t="s">
        <v>8</v>
      </c>
      <c r="P4" s="312"/>
      <c r="Q4" s="31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12264</v>
      </c>
      <c r="C5" s="68" t="s">
        <v>249</v>
      </c>
      <c r="D5" s="200" t="s">
        <v>250</v>
      </c>
      <c r="E5" s="181" t="s">
        <v>92</v>
      </c>
      <c r="F5" s="170">
        <v>850</v>
      </c>
      <c r="G5" s="118" t="s">
        <v>106</v>
      </c>
      <c r="H5" s="91">
        <v>55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13"/>
      <c r="P5" s="314"/>
      <c r="Q5" s="315"/>
      <c r="R5" s="33" t="s">
        <v>98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12265</v>
      </c>
      <c r="C6" s="67" t="s">
        <v>251</v>
      </c>
      <c r="D6" s="200" t="s">
        <v>252</v>
      </c>
      <c r="E6" s="181" t="s">
        <v>92</v>
      </c>
      <c r="F6" s="171">
        <v>935</v>
      </c>
      <c r="G6" s="118" t="s">
        <v>112</v>
      </c>
      <c r="H6" s="91"/>
      <c r="I6" s="124">
        <v>150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16"/>
      <c r="P6" s="317"/>
      <c r="Q6" s="318"/>
      <c r="R6" s="132" t="s">
        <v>99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12266</v>
      </c>
      <c r="C7" s="67" t="s">
        <v>253</v>
      </c>
      <c r="D7" s="200" t="s">
        <v>254</v>
      </c>
      <c r="E7" s="181" t="s">
        <v>92</v>
      </c>
      <c r="F7" s="171">
        <v>940</v>
      </c>
      <c r="G7" s="118" t="s">
        <v>121</v>
      </c>
      <c r="H7" s="91"/>
      <c r="I7" s="124"/>
      <c r="J7" s="130" t="str">
        <f t="shared" si="1"/>
        <v>0</v>
      </c>
      <c r="K7" s="130">
        <v>79.099999999999994</v>
      </c>
      <c r="L7" s="131"/>
      <c r="M7" s="131"/>
      <c r="N7" s="134" t="s">
        <v>98</v>
      </c>
      <c r="O7" s="319" t="s">
        <v>223</v>
      </c>
      <c r="P7" s="320"/>
      <c r="Q7" s="321"/>
      <c r="R7" s="134" t="s">
        <v>100</v>
      </c>
      <c r="S7" s="31">
        <v>0.35416666666666669</v>
      </c>
      <c r="T7" s="32">
        <v>0.66666666666666663</v>
      </c>
      <c r="U7" s="92">
        <f t="shared" si="0"/>
        <v>7.4999999999999982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12267</v>
      </c>
      <c r="C8" s="27" t="s">
        <v>255</v>
      </c>
      <c r="D8" s="200" t="s">
        <v>256</v>
      </c>
      <c r="E8" s="181" t="s">
        <v>92</v>
      </c>
      <c r="F8" s="171">
        <v>1020</v>
      </c>
      <c r="G8" s="118" t="s">
        <v>109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22"/>
      <c r="P8" s="323"/>
      <c r="Q8" s="324"/>
      <c r="R8" s="26" t="s">
        <v>148</v>
      </c>
      <c r="S8" s="31">
        <v>0.35416666666666669</v>
      </c>
      <c r="T8" s="32">
        <v>0.4375</v>
      </c>
      <c r="U8" s="92">
        <f t="shared" si="0"/>
        <v>1.9999999999999996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12268</v>
      </c>
      <c r="C9" s="63" t="s">
        <v>257</v>
      </c>
      <c r="D9" s="201" t="s">
        <v>258</v>
      </c>
      <c r="E9" s="181" t="s">
        <v>92</v>
      </c>
      <c r="F9" s="172">
        <v>1040</v>
      </c>
      <c r="G9" s="119" t="s">
        <v>204</v>
      </c>
      <c r="H9" s="91"/>
      <c r="I9" s="91"/>
      <c r="J9" s="130" t="str">
        <f t="shared" si="1"/>
        <v>0</v>
      </c>
      <c r="K9" s="130">
        <v>91.6</v>
      </c>
      <c r="L9" s="131"/>
      <c r="M9" s="131"/>
      <c r="N9" s="134" t="s">
        <v>98</v>
      </c>
      <c r="O9" s="322" t="s">
        <v>277</v>
      </c>
      <c r="P9" s="323"/>
      <c r="Q9" s="324"/>
      <c r="R9" s="26"/>
      <c r="S9" s="31">
        <v>0.48958333333333331</v>
      </c>
      <c r="T9" s="32">
        <v>0.6875</v>
      </c>
      <c r="U9" s="92">
        <f t="shared" si="0"/>
        <v>4.75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12269</v>
      </c>
      <c r="C10" s="28" t="s">
        <v>259</v>
      </c>
      <c r="D10" s="202" t="s">
        <v>260</v>
      </c>
      <c r="E10" s="181" t="s">
        <v>92</v>
      </c>
      <c r="F10" s="173">
        <v>1045</v>
      </c>
      <c r="G10" s="120" t="s">
        <v>121</v>
      </c>
      <c r="H10" s="123"/>
      <c r="I10" s="125"/>
      <c r="J10" s="130" t="str">
        <f t="shared" si="1"/>
        <v>0</v>
      </c>
      <c r="K10" s="130">
        <v>79.099999999999994</v>
      </c>
      <c r="L10" s="131"/>
      <c r="M10" s="131"/>
      <c r="N10" s="134" t="s">
        <v>98</v>
      </c>
      <c r="O10" s="309" t="s">
        <v>261</v>
      </c>
      <c r="P10" s="310"/>
      <c r="Q10" s="311"/>
      <c r="R10" s="26" t="s">
        <v>189</v>
      </c>
      <c r="S10" s="31">
        <v>0.375</v>
      </c>
      <c r="T10" s="32">
        <v>0.6875</v>
      </c>
      <c r="U10" s="92">
        <f t="shared" si="0"/>
        <v>7.5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12270</v>
      </c>
      <c r="C11" s="18" t="s">
        <v>266</v>
      </c>
      <c r="D11" s="203" t="s">
        <v>267</v>
      </c>
      <c r="E11" s="181" t="s">
        <v>91</v>
      </c>
      <c r="F11" s="66">
        <v>1050</v>
      </c>
      <c r="G11" s="121" t="s">
        <v>112</v>
      </c>
      <c r="H11" s="123"/>
      <c r="I11" s="124">
        <v>120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19"/>
      <c r="P11" s="320"/>
      <c r="Q11" s="321"/>
      <c r="R11" s="291" t="s">
        <v>248</v>
      </c>
      <c r="S11" s="31">
        <v>0.41666666666666669</v>
      </c>
      <c r="T11" s="32">
        <v>0.6875</v>
      </c>
      <c r="U11" s="92">
        <f t="shared" si="0"/>
        <v>6.5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12271</v>
      </c>
      <c r="C12" s="64" t="s">
        <v>262</v>
      </c>
      <c r="D12" s="204" t="s">
        <v>263</v>
      </c>
      <c r="E12" s="181" t="s">
        <v>92</v>
      </c>
      <c r="F12" s="173">
        <v>1115</v>
      </c>
      <c r="G12" s="119" t="s">
        <v>112</v>
      </c>
      <c r="H12" s="123"/>
      <c r="I12" s="125">
        <v>140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19"/>
      <c r="P12" s="320"/>
      <c r="Q12" s="32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12272</v>
      </c>
      <c r="C13" s="64" t="s">
        <v>274</v>
      </c>
      <c r="D13" s="204" t="s">
        <v>272</v>
      </c>
      <c r="E13" s="181" t="s">
        <v>92</v>
      </c>
      <c r="F13" s="173">
        <v>1125</v>
      </c>
      <c r="G13" s="119" t="s">
        <v>273</v>
      </c>
      <c r="H13" s="169">
        <v>320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19"/>
      <c r="P13" s="320"/>
      <c r="Q13" s="32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12273</v>
      </c>
      <c r="C14" s="65" t="s">
        <v>264</v>
      </c>
      <c r="D14" s="205" t="s">
        <v>265</v>
      </c>
      <c r="E14" s="181" t="s">
        <v>92</v>
      </c>
      <c r="F14" s="174">
        <v>1130</v>
      </c>
      <c r="G14" s="122" t="s">
        <v>109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19"/>
      <c r="P14" s="320"/>
      <c r="Q14" s="32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12274</v>
      </c>
      <c r="C15" s="65" t="s">
        <v>268</v>
      </c>
      <c r="D15" s="205" t="s">
        <v>269</v>
      </c>
      <c r="E15" s="181" t="s">
        <v>92</v>
      </c>
      <c r="F15" s="174">
        <v>1130</v>
      </c>
      <c r="G15" s="122" t="s">
        <v>112</v>
      </c>
      <c r="H15" s="123"/>
      <c r="I15" s="124">
        <v>130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19"/>
      <c r="P15" s="320"/>
      <c r="Q15" s="32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12275</v>
      </c>
      <c r="C16" s="65" t="s">
        <v>270</v>
      </c>
      <c r="D16" s="205" t="s">
        <v>271</v>
      </c>
      <c r="E16" s="181" t="s">
        <v>92</v>
      </c>
      <c r="F16" s="174">
        <v>1200</v>
      </c>
      <c r="G16" s="122" t="s">
        <v>109</v>
      </c>
      <c r="H16" s="123">
        <v>75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19"/>
      <c r="P16" s="320"/>
      <c r="Q16" s="321"/>
      <c r="R16" s="82">
        <f>H32/U16</f>
        <v>0.35359116022099446</v>
      </c>
      <c r="S16" s="83">
        <f>H32/(U16-U5)</f>
        <v>0.43537414965986393</v>
      </c>
      <c r="T16" s="83">
        <f>C32/U16</f>
        <v>45.409944751381218</v>
      </c>
      <c r="U16" s="83">
        <f>SUM(U5:U15)</f>
        <v>45.25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12276</v>
      </c>
      <c r="C17" s="18" t="s">
        <v>275</v>
      </c>
      <c r="D17" s="203" t="s">
        <v>276</v>
      </c>
      <c r="E17" s="181" t="s">
        <v>92</v>
      </c>
      <c r="F17" s="66">
        <v>1300</v>
      </c>
      <c r="G17" s="121" t="s">
        <v>116</v>
      </c>
      <c r="H17" s="123"/>
      <c r="I17" s="124">
        <v>380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19"/>
      <c r="P17" s="320"/>
      <c r="Q17" s="32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12277</v>
      </c>
      <c r="C18" s="18" t="s">
        <v>278</v>
      </c>
      <c r="D18" s="203" t="s">
        <v>279</v>
      </c>
      <c r="E18" s="181" t="s">
        <v>92</v>
      </c>
      <c r="F18" s="66">
        <v>1500</v>
      </c>
      <c r="G18" s="20" t="s">
        <v>109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19"/>
      <c r="P18" s="320"/>
      <c r="Q18" s="32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12278</v>
      </c>
      <c r="C19" s="18" t="s">
        <v>280</v>
      </c>
      <c r="D19" s="203" t="s">
        <v>281</v>
      </c>
      <c r="E19" s="181" t="s">
        <v>91</v>
      </c>
      <c r="F19" s="66">
        <v>1510</v>
      </c>
      <c r="G19" s="121" t="s">
        <v>106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98</v>
      </c>
      <c r="O19" s="319"/>
      <c r="P19" s="320"/>
      <c r="Q19" s="32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12279</v>
      </c>
      <c r="C20" s="18" t="s">
        <v>282</v>
      </c>
      <c r="D20" s="203" t="s">
        <v>283</v>
      </c>
      <c r="E20" s="181" t="s">
        <v>92</v>
      </c>
      <c r="F20" s="66">
        <v>1520</v>
      </c>
      <c r="G20" s="121" t="s">
        <v>109</v>
      </c>
      <c r="H20" s="123">
        <v>95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27"/>
      <c r="P20" s="328"/>
      <c r="Q20" s="32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9"/>
      <c r="P21" s="320"/>
      <c r="Q21" s="32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9"/>
      <c r="P22" s="320"/>
      <c r="Q22" s="32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5"/>
      <c r="Y23" s="326"/>
      <c r="Z23" s="326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9"/>
      <c r="P24" s="320"/>
      <c r="Q24" s="32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9"/>
      <c r="P25" s="320"/>
      <c r="Q25" s="32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9">
        <f>((C32+(R26+S26+T26)*0.5))</f>
        <v>2054.8000000000002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9"/>
      <c r="P26" s="320"/>
      <c r="Q26" s="321"/>
      <c r="R26" s="112">
        <f>R25*37.5</f>
        <v>0</v>
      </c>
      <c r="S26" s="102">
        <f>S25*41.5</f>
        <v>0</v>
      </c>
      <c r="T26" s="102">
        <f>T25*50</f>
        <v>0</v>
      </c>
      <c r="U26" s="33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9"/>
      <c r="P27" s="320"/>
      <c r="Q27" s="321"/>
      <c r="R27" s="338" t="s">
        <v>56</v>
      </c>
      <c r="S27" s="339"/>
      <c r="T27" s="339"/>
      <c r="U27" s="34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9"/>
      <c r="P28" s="320"/>
      <c r="Q28" s="321"/>
      <c r="R28" s="331"/>
      <c r="S28" s="332"/>
      <c r="T28" s="33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640</v>
      </c>
      <c r="I30" s="105">
        <f>SUM(I5:I29)</f>
        <v>1165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249.79999999999998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640</v>
      </c>
      <c r="I31" s="103">
        <f t="shared" si="4"/>
        <v>1165</v>
      </c>
      <c r="J31" s="103">
        <f t="shared" si="4"/>
        <v>0</v>
      </c>
      <c r="K31" s="103">
        <f>K30+K62+K94</f>
        <v>249.79999999999998</v>
      </c>
      <c r="L31" s="97">
        <f>L30+L62+L94</f>
        <v>0</v>
      </c>
      <c r="M31" s="97">
        <f>M30+M62+M94</f>
        <v>0</v>
      </c>
      <c r="N31" s="262">
        <f>COUNT(H5:H29,H37:H61,H69:H93)</f>
        <v>5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640</v>
      </c>
      <c r="T31" s="346">
        <f>H31+I31+L31+M31</f>
        <v>1805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34" t="s">
        <v>55</v>
      </c>
      <c r="B32" s="335"/>
      <c r="C32" s="107">
        <f>H31+I31+J31+K31</f>
        <v>2054.8000000000002</v>
      </c>
      <c r="D32" s="196"/>
      <c r="E32" s="107"/>
      <c r="F32" s="336" t="s">
        <v>53</v>
      </c>
      <c r="G32" s="336"/>
      <c r="H32" s="109">
        <f>COUNT(B5:B29,B37:B61,B69:B93)</f>
        <v>16</v>
      </c>
      <c r="I32" s="337" t="s">
        <v>54</v>
      </c>
      <c r="J32" s="337"/>
      <c r="K32" s="108">
        <f>C32/H32</f>
        <v>128.42500000000001</v>
      </c>
      <c r="L32" s="260"/>
      <c r="M32" s="260"/>
      <c r="N32" s="260">
        <f>H31/C32</f>
        <v>0.31146583609110373</v>
      </c>
      <c r="O32" s="260">
        <f>I31/C32</f>
        <v>0.56696515475958731</v>
      </c>
      <c r="P32" s="260">
        <f>K31/C32</f>
        <v>0.12156900914930892</v>
      </c>
      <c r="Q32" s="110">
        <f>J31/C32</f>
        <v>0</v>
      </c>
      <c r="R32" s="99" t="s">
        <v>82</v>
      </c>
      <c r="S32" s="266">
        <f>I31+M31</f>
        <v>1165</v>
      </c>
      <c r="T32" s="348"/>
      <c r="U32" s="349"/>
      <c r="V32" s="55"/>
      <c r="W32" s="55"/>
      <c r="X32" s="56" t="s">
        <v>27</v>
      </c>
      <c r="Y32" s="56"/>
      <c r="Z32" s="54">
        <f>I31</f>
        <v>1165</v>
      </c>
      <c r="AE32" s="37"/>
      <c r="AF32" s="37"/>
      <c r="AG32" s="37"/>
      <c r="AH32" s="37"/>
    </row>
    <row r="33" spans="1:34" ht="18" thickBot="1" x14ac:dyDescent="0.45">
      <c r="A33" s="344" t="s">
        <v>24</v>
      </c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03"/>
      <c r="U33" s="304"/>
      <c r="X33" s="57" t="s">
        <v>29</v>
      </c>
      <c r="Y33" s="57"/>
      <c r="Z33" s="58">
        <f>SUM(Z31:Z32)</f>
        <v>-1580</v>
      </c>
      <c r="AE33" s="37"/>
      <c r="AF33" s="37"/>
      <c r="AG33" s="59"/>
      <c r="AH33" s="37"/>
    </row>
    <row r="34" spans="1:34" ht="18" thickBot="1" x14ac:dyDescent="0.45">
      <c r="A34" s="302" t="str">
        <f>A2</f>
        <v>17-11-2022</v>
      </c>
      <c r="B34" s="303"/>
      <c r="C34" s="303"/>
      <c r="D34" s="303"/>
      <c r="E34" s="303"/>
      <c r="F34" s="303"/>
      <c r="G34" s="304"/>
      <c r="H34" s="305" t="s">
        <v>49</v>
      </c>
      <c r="I34" s="306"/>
      <c r="J34" s="302" t="str">
        <f>J2</f>
        <v>SUNNY</v>
      </c>
      <c r="K34" s="304"/>
      <c r="L34" s="306" t="s">
        <v>50</v>
      </c>
      <c r="M34" s="307"/>
      <c r="N34" s="305"/>
      <c r="O34" s="303" t="str">
        <f>O2</f>
        <v>JOHN</v>
      </c>
      <c r="P34" s="303"/>
      <c r="Q34" s="304"/>
      <c r="R34" s="306" t="s">
        <v>51</v>
      </c>
      <c r="S34" s="305"/>
      <c r="T34" s="308">
        <f>T2</f>
        <v>5</v>
      </c>
      <c r="U34" s="30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2" t="s">
        <v>8</v>
      </c>
      <c r="P36" s="312"/>
      <c r="Q36" s="31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9"/>
      <c r="P37" s="320"/>
      <c r="Q37" s="321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9"/>
      <c r="P39" s="320"/>
      <c r="Q39" s="321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2"/>
      <c r="P40" s="323"/>
      <c r="Q40" s="324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2"/>
      <c r="P41" s="323"/>
      <c r="Q41" s="324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9"/>
      <c r="P42" s="310"/>
      <c r="Q42" s="311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9"/>
      <c r="P43" s="320"/>
      <c r="Q43" s="32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9"/>
      <c r="P44" s="320"/>
      <c r="Q44" s="32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9"/>
      <c r="P45" s="320"/>
      <c r="Q45" s="32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9"/>
      <c r="P46" s="320"/>
      <c r="Q46" s="32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9"/>
      <c r="P47" s="320"/>
      <c r="Q47" s="32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9"/>
      <c r="P48" s="320"/>
      <c r="Q48" s="32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9"/>
      <c r="P49" s="320"/>
      <c r="Q49" s="32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9"/>
      <c r="P50" s="320"/>
      <c r="Q50" s="32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9"/>
      <c r="P51" s="320"/>
      <c r="Q51" s="32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9"/>
      <c r="P52" s="320"/>
      <c r="Q52" s="32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3"/>
      <c r="P53" s="319"/>
      <c r="Q53" s="319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3"/>
      <c r="P54" s="319"/>
      <c r="Q54" s="319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3"/>
      <c r="P55" s="319"/>
      <c r="Q55" s="319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0"/>
      <c r="P56" s="320"/>
      <c r="Q56" s="32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9"/>
      <c r="P57" s="320"/>
      <c r="Q57" s="32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0"/>
      <c r="P58" s="320"/>
      <c r="Q58" s="32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0"/>
      <c r="P59" s="320"/>
      <c r="Q59" s="32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9"/>
      <c r="P60" s="320"/>
      <c r="Q60" s="32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4"/>
      <c r="P61" s="365"/>
      <c r="Q61" s="366"/>
      <c r="R61" s="81"/>
      <c r="S61" s="68"/>
      <c r="T61" s="68"/>
      <c r="U61" s="77"/>
    </row>
    <row r="62" spans="1:21" x14ac:dyDescent="0.4">
      <c r="A62" s="367" t="s">
        <v>48</v>
      </c>
      <c r="B62" s="368"/>
      <c r="C62" s="368"/>
      <c r="D62" s="368"/>
      <c r="E62" s="368"/>
      <c r="F62" s="368"/>
      <c r="G62" s="368"/>
      <c r="H62" s="368">
        <f t="shared" ref="H62:M62" si="8">SUM(H37:H61)</f>
        <v>0</v>
      </c>
      <c r="I62" s="373">
        <f t="shared" si="8"/>
        <v>0</v>
      </c>
      <c r="J62" s="373">
        <f>J61+J60+J59+J58+J57+J56+J55+J54+J53+J52+J51+J50+J49+J48+J47+J46+J45+J44+J43+J42+J41+J40+J39+J38+J37</f>
        <v>0</v>
      </c>
      <c r="K62" s="373">
        <f>K61+K60+K59+K58+K57+K56+K55+K54+K53+K52+K51+K50+K49+K48+K47+K46+K45+K44+K43+K42+K41+K40+K39+K38+K37</f>
        <v>0</v>
      </c>
      <c r="L62" s="376">
        <f t="shared" si="8"/>
        <v>0</v>
      </c>
      <c r="M62" s="379">
        <f t="shared" si="8"/>
        <v>0</v>
      </c>
      <c r="N62" s="382"/>
      <c r="O62" s="383"/>
      <c r="P62" s="383"/>
      <c r="Q62" s="384"/>
      <c r="R62" s="5"/>
      <c r="S62" s="6"/>
      <c r="T62" s="7"/>
      <c r="U62" s="8"/>
    </row>
    <row r="63" spans="1:21" ht="18" thickBot="1" x14ac:dyDescent="0.45">
      <c r="A63" s="369"/>
      <c r="B63" s="370"/>
      <c r="C63" s="370"/>
      <c r="D63" s="370"/>
      <c r="E63" s="370"/>
      <c r="F63" s="370"/>
      <c r="G63" s="370"/>
      <c r="H63" s="370"/>
      <c r="I63" s="374"/>
      <c r="J63" s="374"/>
      <c r="K63" s="374"/>
      <c r="L63" s="377"/>
      <c r="M63" s="380"/>
      <c r="N63" s="385"/>
      <c r="O63" s="386"/>
      <c r="P63" s="386"/>
      <c r="Q63" s="387"/>
      <c r="R63" s="1"/>
      <c r="S63" s="2"/>
      <c r="T63" s="3"/>
      <c r="U63" s="4"/>
    </row>
    <row r="64" spans="1:21" ht="18" thickBot="1" x14ac:dyDescent="0.45">
      <c r="A64" s="371"/>
      <c r="B64" s="372"/>
      <c r="C64" s="372"/>
      <c r="D64" s="372"/>
      <c r="E64" s="372"/>
      <c r="F64" s="372"/>
      <c r="G64" s="372"/>
      <c r="H64" s="372"/>
      <c r="I64" s="375"/>
      <c r="J64" s="375"/>
      <c r="K64" s="375"/>
      <c r="L64" s="378"/>
      <c r="M64" s="381"/>
      <c r="N64" s="344"/>
      <c r="O64" s="345"/>
      <c r="P64" s="345"/>
      <c r="Q64" s="388"/>
      <c r="R64" s="389" t="s">
        <v>17</v>
      </c>
      <c r="S64" s="390"/>
      <c r="T64" s="390"/>
      <c r="U64" s="391"/>
    </row>
    <row r="65" spans="1:21" ht="18" thickBot="1" x14ac:dyDescent="0.45">
      <c r="A65" s="302" t="s">
        <v>24</v>
      </c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4"/>
    </row>
    <row r="66" spans="1:21" ht="18" thickBot="1" x14ac:dyDescent="0.45">
      <c r="A66" s="302" t="str">
        <f>A34</f>
        <v>17-11-2022</v>
      </c>
      <c r="B66" s="303"/>
      <c r="C66" s="303"/>
      <c r="D66" s="303"/>
      <c r="E66" s="303"/>
      <c r="F66" s="303"/>
      <c r="G66" s="304"/>
      <c r="H66" s="305" t="s">
        <v>49</v>
      </c>
      <c r="I66" s="306"/>
      <c r="J66" s="302" t="str">
        <f>J34</f>
        <v>SUNNY</v>
      </c>
      <c r="K66" s="304"/>
      <c r="L66" s="306" t="s">
        <v>50</v>
      </c>
      <c r="M66" s="307"/>
      <c r="N66" s="305"/>
      <c r="O66" s="303" t="str">
        <f>O34</f>
        <v>JOHN</v>
      </c>
      <c r="P66" s="303"/>
      <c r="Q66" s="304"/>
      <c r="R66" s="306" t="s">
        <v>51</v>
      </c>
      <c r="S66" s="305"/>
      <c r="T66" s="308">
        <f>T34</f>
        <v>5</v>
      </c>
      <c r="U66" s="30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2" t="s">
        <v>8</v>
      </c>
      <c r="P68" s="312"/>
      <c r="Q68" s="31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9"/>
      <c r="P69" s="320"/>
      <c r="Q69" s="32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9"/>
      <c r="P71" s="320"/>
      <c r="Q71" s="32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2"/>
      <c r="P72" s="323"/>
      <c r="Q72" s="324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2"/>
      <c r="P73" s="323"/>
      <c r="Q73" s="324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9"/>
      <c r="P74" s="310"/>
      <c r="Q74" s="311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9"/>
      <c r="P75" s="320"/>
      <c r="Q75" s="32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9"/>
      <c r="P76" s="320"/>
      <c r="Q76" s="32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9"/>
      <c r="P77" s="320"/>
      <c r="Q77" s="32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9"/>
      <c r="P78" s="320"/>
      <c r="Q78" s="32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9"/>
      <c r="P79" s="320"/>
      <c r="Q79" s="32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9"/>
      <c r="P80" s="320"/>
      <c r="Q80" s="32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9"/>
      <c r="P81" s="320"/>
      <c r="Q81" s="32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9"/>
      <c r="P82" s="320"/>
      <c r="Q82" s="32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9"/>
      <c r="P83" s="320"/>
      <c r="Q83" s="32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9"/>
      <c r="P84" s="320"/>
      <c r="Q84" s="32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3"/>
      <c r="P85" s="319"/>
      <c r="Q85" s="319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3"/>
      <c r="P86" s="319"/>
      <c r="Q86" s="319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3"/>
      <c r="P87" s="319"/>
      <c r="Q87" s="319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0"/>
      <c r="P88" s="320"/>
      <c r="Q88" s="32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9"/>
      <c r="P89" s="320"/>
      <c r="Q89" s="32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0"/>
      <c r="P90" s="320"/>
      <c r="Q90" s="32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0"/>
      <c r="P91" s="320"/>
      <c r="Q91" s="32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9"/>
      <c r="P92" s="320"/>
      <c r="Q92" s="32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4"/>
      <c r="P93" s="365"/>
      <c r="Q93" s="366"/>
      <c r="R93" s="81"/>
      <c r="S93" s="68"/>
      <c r="T93" s="68"/>
      <c r="U93" s="77"/>
    </row>
    <row r="94" spans="1:21" x14ac:dyDescent="0.4">
      <c r="A94" s="367" t="s">
        <v>48</v>
      </c>
      <c r="B94" s="368"/>
      <c r="C94" s="368"/>
      <c r="D94" s="368"/>
      <c r="E94" s="392"/>
      <c r="F94" s="368"/>
      <c r="G94" s="368"/>
      <c r="H94" s="368">
        <f t="shared" ref="H94:M94" si="12">SUM(H69:H93)</f>
        <v>0</v>
      </c>
      <c r="I94" s="373">
        <f t="shared" si="12"/>
        <v>0</v>
      </c>
      <c r="J94" s="373">
        <f>J93+J92+J91+J90+J89+J88+J87+J86+J85+J84+J83+J82+J81+J80+J79+J78+J77+J76+J75+J74+J73+J72+J71+J70+J69</f>
        <v>0</v>
      </c>
      <c r="K94" s="373">
        <f>K93+K92+K91+K90+K89+K88+K87+K86+K85+K84+K83+K82+K81+K80+K79+K78+K77+K76+K75+K74+K73+K72+K71+K70+K69</f>
        <v>0</v>
      </c>
      <c r="L94" s="376">
        <f t="shared" si="12"/>
        <v>0</v>
      </c>
      <c r="M94" s="379">
        <f t="shared" si="12"/>
        <v>0</v>
      </c>
      <c r="N94" s="382"/>
      <c r="O94" s="383"/>
      <c r="P94" s="383"/>
      <c r="Q94" s="384"/>
      <c r="R94" s="5"/>
      <c r="S94" s="6"/>
      <c r="T94" s="7"/>
      <c r="U94" s="8"/>
    </row>
    <row r="95" spans="1:21" ht="18" thickBot="1" x14ac:dyDescent="0.45">
      <c r="A95" s="369"/>
      <c r="B95" s="370"/>
      <c r="C95" s="370"/>
      <c r="D95" s="370"/>
      <c r="E95" s="370"/>
      <c r="F95" s="370"/>
      <c r="G95" s="370"/>
      <c r="H95" s="370"/>
      <c r="I95" s="374"/>
      <c r="J95" s="374"/>
      <c r="K95" s="374"/>
      <c r="L95" s="377"/>
      <c r="M95" s="380"/>
      <c r="N95" s="385"/>
      <c r="O95" s="386"/>
      <c r="P95" s="386"/>
      <c r="Q95" s="387"/>
      <c r="R95" s="1"/>
      <c r="S95" s="2"/>
      <c r="T95" s="3"/>
      <c r="U95" s="4"/>
    </row>
    <row r="96" spans="1:21" ht="18" thickBot="1" x14ac:dyDescent="0.45">
      <c r="A96" s="371"/>
      <c r="B96" s="372"/>
      <c r="C96" s="372"/>
      <c r="D96" s="372"/>
      <c r="E96" s="372"/>
      <c r="F96" s="372"/>
      <c r="G96" s="372"/>
      <c r="H96" s="372"/>
      <c r="I96" s="375"/>
      <c r="J96" s="375"/>
      <c r="K96" s="375"/>
      <c r="L96" s="378"/>
      <c r="M96" s="381"/>
      <c r="N96" s="344"/>
      <c r="O96" s="345"/>
      <c r="P96" s="345"/>
      <c r="Q96" s="388"/>
      <c r="R96" s="389" t="s">
        <v>52</v>
      </c>
      <c r="S96" s="390"/>
      <c r="T96" s="390"/>
      <c r="U96" s="391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O12" sqref="O12:Q12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02" t="s">
        <v>77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4"/>
    </row>
    <row r="2" spans="1:44" ht="18" thickBot="1" x14ac:dyDescent="0.45">
      <c r="A2" s="302" t="s">
        <v>245</v>
      </c>
      <c r="B2" s="303"/>
      <c r="C2" s="303"/>
      <c r="D2" s="303"/>
      <c r="E2" s="303"/>
      <c r="F2" s="303"/>
      <c r="G2" s="304"/>
      <c r="H2" s="305" t="s">
        <v>49</v>
      </c>
      <c r="I2" s="306"/>
      <c r="J2" s="302" t="s">
        <v>149</v>
      </c>
      <c r="K2" s="304"/>
      <c r="L2" s="306" t="s">
        <v>96</v>
      </c>
      <c r="M2" s="307"/>
      <c r="N2" s="305"/>
      <c r="O2" s="303" t="s">
        <v>99</v>
      </c>
      <c r="P2" s="303"/>
      <c r="Q2" s="304"/>
      <c r="R2" s="306" t="s">
        <v>51</v>
      </c>
      <c r="S2" s="305"/>
      <c r="T2" s="308">
        <v>8</v>
      </c>
      <c r="U2" s="30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 t="s">
        <v>284</v>
      </c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2" t="s">
        <v>8</v>
      </c>
      <c r="P4" s="312"/>
      <c r="Q4" s="31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12280</v>
      </c>
      <c r="C5" s="68" t="s">
        <v>286</v>
      </c>
      <c r="D5" s="200" t="s">
        <v>287</v>
      </c>
      <c r="E5" s="181" t="s">
        <v>92</v>
      </c>
      <c r="F5" s="170">
        <v>820</v>
      </c>
      <c r="G5" s="118" t="s">
        <v>204</v>
      </c>
      <c r="H5" s="91"/>
      <c r="I5" s="124"/>
      <c r="J5" s="130" t="str">
        <f>IF(G5="RSL","55","0")</f>
        <v>0</v>
      </c>
      <c r="K5" s="130">
        <v>62.5</v>
      </c>
      <c r="L5" s="131"/>
      <c r="M5" s="131"/>
      <c r="N5" s="134" t="s">
        <v>99</v>
      </c>
      <c r="O5" s="313" t="s">
        <v>298</v>
      </c>
      <c r="P5" s="314"/>
      <c r="Q5" s="315"/>
      <c r="R5" s="132" t="s">
        <v>99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12281</v>
      </c>
      <c r="C6" s="67" t="s">
        <v>288</v>
      </c>
      <c r="D6" s="200" t="s">
        <v>289</v>
      </c>
      <c r="E6" s="181" t="s">
        <v>91</v>
      </c>
      <c r="F6" s="171">
        <v>930</v>
      </c>
      <c r="G6" s="118" t="s">
        <v>109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16"/>
      <c r="P6" s="317"/>
      <c r="Q6" s="318"/>
      <c r="R6" s="26" t="s">
        <v>246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12282</v>
      </c>
      <c r="C7" s="67" t="s">
        <v>290</v>
      </c>
      <c r="D7" s="200" t="s">
        <v>291</v>
      </c>
      <c r="E7" s="181" t="s">
        <v>92</v>
      </c>
      <c r="F7" s="171">
        <v>930</v>
      </c>
      <c r="G7" s="118" t="s">
        <v>112</v>
      </c>
      <c r="H7" s="91">
        <v>150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9"/>
      <c r="P7" s="320"/>
      <c r="Q7" s="321"/>
      <c r="R7" s="26" t="s">
        <v>148</v>
      </c>
      <c r="S7" s="31">
        <v>0.36458333333333331</v>
      </c>
      <c r="T7" s="32">
        <v>0.59375</v>
      </c>
      <c r="U7" s="92">
        <f t="shared" si="0"/>
        <v>5.5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12283</v>
      </c>
      <c r="C8" s="27" t="s">
        <v>292</v>
      </c>
      <c r="D8" s="200" t="s">
        <v>293</v>
      </c>
      <c r="E8" s="181" t="s">
        <v>91</v>
      </c>
      <c r="F8" s="171">
        <v>1000</v>
      </c>
      <c r="G8" s="118" t="s">
        <v>106</v>
      </c>
      <c r="H8" s="91">
        <v>75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22"/>
      <c r="P8" s="323"/>
      <c r="Q8" s="324"/>
      <c r="R8" s="26" t="s">
        <v>247</v>
      </c>
      <c r="S8" s="31">
        <v>0.375</v>
      </c>
      <c r="T8" s="32">
        <v>0.59375</v>
      </c>
      <c r="U8" s="92">
        <f t="shared" si="0"/>
        <v>5.25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12284</v>
      </c>
      <c r="C9" s="63" t="s">
        <v>294</v>
      </c>
      <c r="D9" s="201" t="s">
        <v>295</v>
      </c>
      <c r="E9" s="181" t="s">
        <v>92</v>
      </c>
      <c r="F9" s="172">
        <v>1015</v>
      </c>
      <c r="G9" s="119" t="s">
        <v>109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22"/>
      <c r="P9" s="323"/>
      <c r="Q9" s="324"/>
      <c r="R9" s="26" t="s">
        <v>101</v>
      </c>
      <c r="S9" s="31">
        <v>0.41666666666666669</v>
      </c>
      <c r="T9" s="32">
        <v>0.69791666666666663</v>
      </c>
      <c r="U9" s="92">
        <f t="shared" si="0"/>
        <v>6.7499999999999982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12285</v>
      </c>
      <c r="C10" s="28" t="s">
        <v>296</v>
      </c>
      <c r="D10" s="202" t="s">
        <v>297</v>
      </c>
      <c r="E10" s="181" t="s">
        <v>92</v>
      </c>
      <c r="F10" s="173">
        <v>1045</v>
      </c>
      <c r="G10" s="120" t="s">
        <v>121</v>
      </c>
      <c r="H10" s="123"/>
      <c r="I10" s="125"/>
      <c r="J10" s="130" t="str">
        <f t="shared" si="1"/>
        <v>0</v>
      </c>
      <c r="K10" s="130">
        <v>79.16</v>
      </c>
      <c r="L10" s="131"/>
      <c r="M10" s="131"/>
      <c r="N10" s="134" t="s">
        <v>99</v>
      </c>
      <c r="O10" s="309" t="s">
        <v>330</v>
      </c>
      <c r="P10" s="310"/>
      <c r="Q10" s="311"/>
      <c r="R10" s="26" t="s">
        <v>103</v>
      </c>
      <c r="S10" s="31">
        <v>0.41666666666666669</v>
      </c>
      <c r="T10" s="32">
        <v>0.44791666666666669</v>
      </c>
      <c r="U10" s="92">
        <f t="shared" si="0"/>
        <v>0.75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12286</v>
      </c>
      <c r="C11" s="18" t="s">
        <v>299</v>
      </c>
      <c r="D11" s="203" t="s">
        <v>300</v>
      </c>
      <c r="E11" s="181" t="s">
        <v>92</v>
      </c>
      <c r="F11" s="66">
        <v>1105</v>
      </c>
      <c r="G11" s="121" t="s">
        <v>204</v>
      </c>
      <c r="H11" s="123"/>
      <c r="I11" s="124"/>
      <c r="J11" s="130" t="str">
        <f t="shared" si="1"/>
        <v>0</v>
      </c>
      <c r="K11" s="130">
        <v>62.5</v>
      </c>
      <c r="L11" s="131"/>
      <c r="M11" s="131"/>
      <c r="N11" s="134" t="s">
        <v>247</v>
      </c>
      <c r="O11" s="319" t="s">
        <v>331</v>
      </c>
      <c r="P11" s="320"/>
      <c r="Q11" s="321"/>
      <c r="R11" s="26"/>
      <c r="S11" s="31">
        <v>0.48958333333333331</v>
      </c>
      <c r="T11" s="32">
        <v>0.66666666666666663</v>
      </c>
      <c r="U11" s="92">
        <f t="shared" si="0"/>
        <v>4.25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12287</v>
      </c>
      <c r="C12" s="64" t="s">
        <v>303</v>
      </c>
      <c r="D12" s="204" t="s">
        <v>304</v>
      </c>
      <c r="E12" s="181" t="s">
        <v>92</v>
      </c>
      <c r="F12" s="173">
        <v>1130</v>
      </c>
      <c r="G12" s="119" t="s">
        <v>106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9"/>
      <c r="P12" s="320"/>
      <c r="Q12" s="321"/>
      <c r="R12" s="26" t="s">
        <v>285</v>
      </c>
      <c r="S12" s="31">
        <v>0.41666666666666669</v>
      </c>
      <c r="T12" s="32">
        <v>0.44791666666666669</v>
      </c>
      <c r="U12" s="92">
        <f t="shared" si="0"/>
        <v>0.75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12288</v>
      </c>
      <c r="C13" s="64" t="s">
        <v>301</v>
      </c>
      <c r="D13" s="204" t="s">
        <v>302</v>
      </c>
      <c r="E13" s="181" t="s">
        <v>91</v>
      </c>
      <c r="F13" s="173">
        <v>1130</v>
      </c>
      <c r="G13" s="119" t="s">
        <v>173</v>
      </c>
      <c r="H13" s="169"/>
      <c r="I13" s="168">
        <v>45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9"/>
      <c r="P13" s="320"/>
      <c r="Q13" s="321"/>
      <c r="R13" s="292"/>
      <c r="S13" s="31">
        <v>0.48958333333333331</v>
      </c>
      <c r="T13" s="32">
        <v>0.69791666666666663</v>
      </c>
      <c r="U13" s="92">
        <f t="shared" si="0"/>
        <v>5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12289</v>
      </c>
      <c r="C14" s="65" t="s">
        <v>316</v>
      </c>
      <c r="D14" s="205" t="s">
        <v>317</v>
      </c>
      <c r="E14" s="181" t="s">
        <v>92</v>
      </c>
      <c r="F14" s="174">
        <v>1135</v>
      </c>
      <c r="G14" s="122" t="s">
        <v>121</v>
      </c>
      <c r="H14" s="123"/>
      <c r="I14" s="125"/>
      <c r="J14" s="130" t="str">
        <f t="shared" si="1"/>
        <v>0</v>
      </c>
      <c r="K14" s="130">
        <v>125</v>
      </c>
      <c r="L14" s="131"/>
      <c r="M14" s="131"/>
      <c r="N14" s="134" t="s">
        <v>99</v>
      </c>
      <c r="O14" s="319" t="s">
        <v>318</v>
      </c>
      <c r="P14" s="320"/>
      <c r="Q14" s="321"/>
      <c r="R14" s="293" t="s">
        <v>248</v>
      </c>
      <c r="S14" s="31">
        <v>0.54166666666666663</v>
      </c>
      <c r="T14" s="32">
        <v>0.6875</v>
      </c>
      <c r="U14" s="92">
        <f t="shared" si="0"/>
        <v>3.5000000000000009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12290</v>
      </c>
      <c r="C15" s="65" t="s">
        <v>308</v>
      </c>
      <c r="D15" s="205" t="s">
        <v>309</v>
      </c>
      <c r="E15" s="181" t="s">
        <v>92</v>
      </c>
      <c r="F15" s="174">
        <v>1145</v>
      </c>
      <c r="G15" s="122" t="s">
        <v>109</v>
      </c>
      <c r="H15" s="123">
        <v>95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9" t="s">
        <v>307</v>
      </c>
      <c r="P15" s="320"/>
      <c r="Q15" s="321"/>
      <c r="R15" s="293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12291</v>
      </c>
      <c r="C16" s="65" t="s">
        <v>305</v>
      </c>
      <c r="D16" s="205" t="s">
        <v>306</v>
      </c>
      <c r="E16" s="181" t="s">
        <v>92</v>
      </c>
      <c r="F16" s="174">
        <v>1145</v>
      </c>
      <c r="G16" s="122" t="s">
        <v>112</v>
      </c>
      <c r="H16" s="123"/>
      <c r="I16" s="124">
        <v>180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9" t="s">
        <v>307</v>
      </c>
      <c r="P16" s="320"/>
      <c r="Q16" s="321"/>
      <c r="R16" s="82">
        <f>H32/U16</f>
        <v>0.38578680203045684</v>
      </c>
      <c r="S16" s="83">
        <f>H32/(U16-U5)</f>
        <v>0.46913580246913578</v>
      </c>
      <c r="T16" s="83">
        <f>C32/U16</f>
        <v>40.389035532994924</v>
      </c>
      <c r="U16" s="83">
        <f>SUM(U5:U15)</f>
        <v>49.25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12292</v>
      </c>
      <c r="C17" s="18" t="s">
        <v>310</v>
      </c>
      <c r="D17" s="203" t="s">
        <v>311</v>
      </c>
      <c r="E17" s="181" t="s">
        <v>91</v>
      </c>
      <c r="F17" s="66">
        <v>1145</v>
      </c>
      <c r="G17" s="121" t="s">
        <v>109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9"/>
      <c r="P17" s="320"/>
      <c r="Q17" s="32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12293</v>
      </c>
      <c r="C18" s="18" t="s">
        <v>322</v>
      </c>
      <c r="D18" s="203" t="s">
        <v>323</v>
      </c>
      <c r="E18" s="181" t="s">
        <v>92</v>
      </c>
      <c r="F18" s="66">
        <v>1200</v>
      </c>
      <c r="G18" s="20" t="s">
        <v>112</v>
      </c>
      <c r="H18" s="123"/>
      <c r="I18" s="124">
        <v>180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19"/>
      <c r="P18" s="320"/>
      <c r="Q18" s="32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12294</v>
      </c>
      <c r="C19" s="18" t="s">
        <v>312</v>
      </c>
      <c r="D19" s="203" t="s">
        <v>313</v>
      </c>
      <c r="E19" s="181" t="s">
        <v>91</v>
      </c>
      <c r="F19" s="66">
        <v>1200</v>
      </c>
      <c r="G19" s="121" t="s">
        <v>106</v>
      </c>
      <c r="H19" s="123"/>
      <c r="I19" s="124">
        <v>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9"/>
      <c r="P19" s="320"/>
      <c r="Q19" s="32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12295</v>
      </c>
      <c r="C20" s="18" t="s">
        <v>314</v>
      </c>
      <c r="D20" s="203" t="s">
        <v>315</v>
      </c>
      <c r="E20" s="181" t="s">
        <v>92</v>
      </c>
      <c r="F20" s="66">
        <v>1210</v>
      </c>
      <c r="G20" s="121" t="s">
        <v>106</v>
      </c>
      <c r="H20" s="123">
        <v>75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27"/>
      <c r="P20" s="328"/>
      <c r="Q20" s="32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12296</v>
      </c>
      <c r="C21" s="18" t="s">
        <v>319</v>
      </c>
      <c r="D21" s="203" t="s">
        <v>320</v>
      </c>
      <c r="E21" s="181" t="s">
        <v>91</v>
      </c>
      <c r="F21" s="66">
        <v>1230</v>
      </c>
      <c r="G21" s="20" t="s">
        <v>109</v>
      </c>
      <c r="H21" s="123">
        <v>120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9" t="s">
        <v>321</v>
      </c>
      <c r="P21" s="320"/>
      <c r="Q21" s="32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12297</v>
      </c>
      <c r="C22" s="127" t="s">
        <v>324</v>
      </c>
      <c r="D22" s="206" t="s">
        <v>325</v>
      </c>
      <c r="E22" s="181" t="s">
        <v>92</v>
      </c>
      <c r="F22" s="175">
        <v>1430</v>
      </c>
      <c r="G22" s="263" t="s">
        <v>184</v>
      </c>
      <c r="H22" s="89">
        <v>250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19" t="s">
        <v>41</v>
      </c>
      <c r="P22" s="320"/>
      <c r="Q22" s="32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12298</v>
      </c>
      <c r="C23" s="136" t="s">
        <v>326</v>
      </c>
      <c r="D23" s="207" t="s">
        <v>327</v>
      </c>
      <c r="E23" s="294" t="s">
        <v>91</v>
      </c>
      <c r="F23" s="176">
        <v>1600</v>
      </c>
      <c r="G23" s="165" t="s">
        <v>106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25"/>
      <c r="Y23" s="326"/>
      <c r="Z23" s="326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9"/>
      <c r="P24" s="320"/>
      <c r="Q24" s="32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9"/>
      <c r="P25" s="320"/>
      <c r="Q25" s="32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9">
        <f>((C32+(R26+S26+T26)*0.5))</f>
        <v>1989.1599999999999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9"/>
      <c r="P26" s="320"/>
      <c r="Q26" s="321"/>
      <c r="R26" s="112">
        <f>R25*37.5</f>
        <v>0</v>
      </c>
      <c r="S26" s="102">
        <f>S25*41.5</f>
        <v>0</v>
      </c>
      <c r="T26" s="102">
        <f>T25*50</f>
        <v>0</v>
      </c>
      <c r="U26" s="33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9"/>
      <c r="P27" s="320"/>
      <c r="Q27" s="321"/>
      <c r="R27" s="338" t="s">
        <v>56</v>
      </c>
      <c r="S27" s="339"/>
      <c r="T27" s="339"/>
      <c r="U27" s="34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9"/>
      <c r="P28" s="320"/>
      <c r="Q28" s="321"/>
      <c r="R28" s="331"/>
      <c r="S28" s="332"/>
      <c r="T28" s="33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1030</v>
      </c>
      <c r="I30" s="105">
        <f>SUM(I5:I29)</f>
        <v>630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329.15999999999997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1030</v>
      </c>
      <c r="I31" s="103">
        <f t="shared" si="4"/>
        <v>630</v>
      </c>
      <c r="J31" s="103">
        <f t="shared" si="4"/>
        <v>0</v>
      </c>
      <c r="K31" s="103">
        <f>K30+K62+K94</f>
        <v>329.15999999999997</v>
      </c>
      <c r="L31" s="97">
        <f>L30+L62+L94</f>
        <v>0</v>
      </c>
      <c r="M31" s="97">
        <f>M30+M62+M94</f>
        <v>0</v>
      </c>
      <c r="N31" s="262">
        <f>COUNT(H5:H29,H37:H61,H69:H93)</f>
        <v>9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1030</v>
      </c>
      <c r="T31" s="346">
        <f>H31+I31+L31+M31</f>
        <v>1660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34" t="s">
        <v>55</v>
      </c>
      <c r="B32" s="335"/>
      <c r="C32" s="107">
        <f>H31+I31+J31+K31</f>
        <v>1989.1599999999999</v>
      </c>
      <c r="D32" s="196"/>
      <c r="E32" s="107"/>
      <c r="F32" s="336" t="s">
        <v>53</v>
      </c>
      <c r="G32" s="336"/>
      <c r="H32" s="109">
        <f>COUNT(B5:B29,B37:B61,B69:B93)</f>
        <v>19</v>
      </c>
      <c r="I32" s="337" t="s">
        <v>54</v>
      </c>
      <c r="J32" s="337"/>
      <c r="K32" s="108">
        <f>C32/H32</f>
        <v>104.69263157894736</v>
      </c>
      <c r="L32" s="260"/>
      <c r="M32" s="260"/>
      <c r="N32" s="260">
        <f>H31/C32</f>
        <v>0.51780651129119837</v>
      </c>
      <c r="O32" s="260">
        <f>I31/C32</f>
        <v>0.3167166039936456</v>
      </c>
      <c r="P32" s="260">
        <f>K31/C32</f>
        <v>0.16547688471515615</v>
      </c>
      <c r="Q32" s="110">
        <f>J31/C32</f>
        <v>0</v>
      </c>
      <c r="R32" s="99" t="s">
        <v>82</v>
      </c>
      <c r="S32" s="266">
        <f>I31+M31</f>
        <v>630</v>
      </c>
      <c r="T32" s="348"/>
      <c r="U32" s="349"/>
      <c r="V32" s="55"/>
      <c r="W32" s="55"/>
      <c r="X32" s="56" t="s">
        <v>27</v>
      </c>
      <c r="Y32" s="56"/>
      <c r="Z32" s="54">
        <f>I31</f>
        <v>630</v>
      </c>
      <c r="AE32" s="37"/>
      <c r="AF32" s="37"/>
      <c r="AG32" s="37"/>
      <c r="AH32" s="37"/>
    </row>
    <row r="33" spans="1:34" ht="18" thickBot="1" x14ac:dyDescent="0.45">
      <c r="A33" s="344" t="s">
        <v>24</v>
      </c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03"/>
      <c r="U33" s="304"/>
      <c r="X33" s="57" t="s">
        <v>29</v>
      </c>
      <c r="Y33" s="57"/>
      <c r="Z33" s="58">
        <f>SUM(Z31:Z32)</f>
        <v>-2115</v>
      </c>
      <c r="AE33" s="37"/>
      <c r="AF33" s="37"/>
      <c r="AG33" s="59"/>
      <c r="AH33" s="37"/>
    </row>
    <row r="34" spans="1:34" ht="18" thickBot="1" x14ac:dyDescent="0.45">
      <c r="A34" s="302" t="str">
        <f>A2</f>
        <v>18-11-2022</v>
      </c>
      <c r="B34" s="303"/>
      <c r="C34" s="303"/>
      <c r="D34" s="303"/>
      <c r="E34" s="303"/>
      <c r="F34" s="303"/>
      <c r="G34" s="304"/>
      <c r="H34" s="305" t="s">
        <v>49</v>
      </c>
      <c r="I34" s="306"/>
      <c r="J34" s="302" t="str">
        <f>J2</f>
        <v>SUNNY</v>
      </c>
      <c r="K34" s="304"/>
      <c r="L34" s="306" t="s">
        <v>50</v>
      </c>
      <c r="M34" s="307"/>
      <c r="N34" s="305"/>
      <c r="O34" s="303" t="str">
        <f>O2</f>
        <v>HENDRA</v>
      </c>
      <c r="P34" s="303"/>
      <c r="Q34" s="304"/>
      <c r="R34" s="306" t="s">
        <v>51</v>
      </c>
      <c r="S34" s="305"/>
      <c r="T34" s="308">
        <f>T2</f>
        <v>8</v>
      </c>
      <c r="U34" s="30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2" t="s">
        <v>8</v>
      </c>
      <c r="P36" s="312"/>
      <c r="Q36" s="31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9"/>
      <c r="P37" s="320"/>
      <c r="Q37" s="321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9"/>
      <c r="P39" s="320"/>
      <c r="Q39" s="321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2"/>
      <c r="P40" s="323"/>
      <c r="Q40" s="324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2"/>
      <c r="P41" s="323"/>
      <c r="Q41" s="324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9"/>
      <c r="P42" s="310"/>
      <c r="Q42" s="311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9"/>
      <c r="P43" s="320"/>
      <c r="Q43" s="32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9"/>
      <c r="P44" s="320"/>
      <c r="Q44" s="32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9"/>
      <c r="P45" s="320"/>
      <c r="Q45" s="32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9"/>
      <c r="P46" s="320"/>
      <c r="Q46" s="32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9"/>
      <c r="P47" s="320"/>
      <c r="Q47" s="32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9"/>
      <c r="P48" s="320"/>
      <c r="Q48" s="32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9"/>
      <c r="P49" s="320"/>
      <c r="Q49" s="32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9"/>
      <c r="P50" s="320"/>
      <c r="Q50" s="32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9"/>
      <c r="P51" s="320"/>
      <c r="Q51" s="32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9"/>
      <c r="P52" s="320"/>
      <c r="Q52" s="32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3"/>
      <c r="P53" s="319"/>
      <c r="Q53" s="319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3"/>
      <c r="P54" s="319"/>
      <c r="Q54" s="319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3"/>
      <c r="P55" s="319"/>
      <c r="Q55" s="319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0"/>
      <c r="P56" s="320"/>
      <c r="Q56" s="32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9"/>
      <c r="P57" s="320"/>
      <c r="Q57" s="32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0"/>
      <c r="P58" s="320"/>
      <c r="Q58" s="32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0"/>
      <c r="P59" s="320"/>
      <c r="Q59" s="32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9"/>
      <c r="P60" s="320"/>
      <c r="Q60" s="32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4"/>
      <c r="P61" s="365"/>
      <c r="Q61" s="366"/>
      <c r="R61" s="81"/>
      <c r="S61" s="68"/>
      <c r="T61" s="68"/>
      <c r="U61" s="77"/>
    </row>
    <row r="62" spans="1:21" x14ac:dyDescent="0.4">
      <c r="A62" s="367" t="s">
        <v>48</v>
      </c>
      <c r="B62" s="368"/>
      <c r="C62" s="368"/>
      <c r="D62" s="368"/>
      <c r="E62" s="368"/>
      <c r="F62" s="368"/>
      <c r="G62" s="368"/>
      <c r="H62" s="368">
        <f t="shared" ref="H62:M62" si="8">SUM(H37:H61)</f>
        <v>0</v>
      </c>
      <c r="I62" s="373">
        <f t="shared" si="8"/>
        <v>0</v>
      </c>
      <c r="J62" s="373">
        <f>J61+J60+J59+J58+J57+J56+J55+J54+J53+J52+J51+J50+J49+J48+J47+J46+J45+J44+J43+J42+J41+J40+J39+J38+J37</f>
        <v>0</v>
      </c>
      <c r="K62" s="373">
        <f>K61+K60+K59+K58+K57+K56+K55+K54+K53+K52+K51+K50+K49+K48+K47+K46+K45+K44+K43+K42+K41+K40+K39+K38+K37</f>
        <v>0</v>
      </c>
      <c r="L62" s="376">
        <f t="shared" si="8"/>
        <v>0</v>
      </c>
      <c r="M62" s="379">
        <f t="shared" si="8"/>
        <v>0</v>
      </c>
      <c r="N62" s="382"/>
      <c r="O62" s="383"/>
      <c r="P62" s="383"/>
      <c r="Q62" s="384"/>
      <c r="R62" s="5"/>
      <c r="S62" s="6"/>
      <c r="T62" s="7"/>
      <c r="U62" s="8"/>
    </row>
    <row r="63" spans="1:21" ht="18" thickBot="1" x14ac:dyDescent="0.45">
      <c r="A63" s="369"/>
      <c r="B63" s="370"/>
      <c r="C63" s="370"/>
      <c r="D63" s="370"/>
      <c r="E63" s="370"/>
      <c r="F63" s="370"/>
      <c r="G63" s="370"/>
      <c r="H63" s="370"/>
      <c r="I63" s="374"/>
      <c r="J63" s="374"/>
      <c r="K63" s="374"/>
      <c r="L63" s="377"/>
      <c r="M63" s="380"/>
      <c r="N63" s="385"/>
      <c r="O63" s="386"/>
      <c r="P63" s="386"/>
      <c r="Q63" s="387"/>
      <c r="R63" s="1"/>
      <c r="S63" s="2"/>
      <c r="T63" s="3"/>
      <c r="U63" s="4"/>
    </row>
    <row r="64" spans="1:21" ht="18" thickBot="1" x14ac:dyDescent="0.45">
      <c r="A64" s="371"/>
      <c r="B64" s="372"/>
      <c r="C64" s="372"/>
      <c r="D64" s="372"/>
      <c r="E64" s="372"/>
      <c r="F64" s="372"/>
      <c r="G64" s="372"/>
      <c r="H64" s="372"/>
      <c r="I64" s="375"/>
      <c r="J64" s="375"/>
      <c r="K64" s="375"/>
      <c r="L64" s="378"/>
      <c r="M64" s="381"/>
      <c r="N64" s="344"/>
      <c r="O64" s="345"/>
      <c r="P64" s="345"/>
      <c r="Q64" s="388"/>
      <c r="R64" s="389" t="s">
        <v>17</v>
      </c>
      <c r="S64" s="390"/>
      <c r="T64" s="390"/>
      <c r="U64" s="391"/>
    </row>
    <row r="65" spans="1:21" ht="18" thickBot="1" x14ac:dyDescent="0.45">
      <c r="A65" s="302" t="s">
        <v>24</v>
      </c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4"/>
    </row>
    <row r="66" spans="1:21" ht="18" thickBot="1" x14ac:dyDescent="0.45">
      <c r="A66" s="302" t="str">
        <f>A34</f>
        <v>18-11-2022</v>
      </c>
      <c r="B66" s="303"/>
      <c r="C66" s="303"/>
      <c r="D66" s="303"/>
      <c r="E66" s="303"/>
      <c r="F66" s="303"/>
      <c r="G66" s="304"/>
      <c r="H66" s="305" t="s">
        <v>49</v>
      </c>
      <c r="I66" s="306"/>
      <c r="J66" s="302" t="str">
        <f>J34</f>
        <v>SUNNY</v>
      </c>
      <c r="K66" s="304"/>
      <c r="L66" s="306" t="s">
        <v>50</v>
      </c>
      <c r="M66" s="307"/>
      <c r="N66" s="305"/>
      <c r="O66" s="303" t="str">
        <f>O34</f>
        <v>HENDRA</v>
      </c>
      <c r="P66" s="303"/>
      <c r="Q66" s="304"/>
      <c r="R66" s="306" t="s">
        <v>51</v>
      </c>
      <c r="S66" s="305"/>
      <c r="T66" s="308">
        <f>T34</f>
        <v>8</v>
      </c>
      <c r="U66" s="30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2" t="s">
        <v>8</v>
      </c>
      <c r="P68" s="312"/>
      <c r="Q68" s="31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9"/>
      <c r="P69" s="320"/>
      <c r="Q69" s="32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9"/>
      <c r="P71" s="320"/>
      <c r="Q71" s="32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2"/>
      <c r="P72" s="323"/>
      <c r="Q72" s="324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2"/>
      <c r="P73" s="323"/>
      <c r="Q73" s="324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9"/>
      <c r="P74" s="310"/>
      <c r="Q74" s="311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9"/>
      <c r="P75" s="320"/>
      <c r="Q75" s="32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9"/>
      <c r="P76" s="320"/>
      <c r="Q76" s="32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9"/>
      <c r="P77" s="320"/>
      <c r="Q77" s="32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9"/>
      <c r="P78" s="320"/>
      <c r="Q78" s="32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9"/>
      <c r="P79" s="320"/>
      <c r="Q79" s="32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9"/>
      <c r="P80" s="320"/>
      <c r="Q80" s="32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9"/>
      <c r="P81" s="320"/>
      <c r="Q81" s="32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9"/>
      <c r="P82" s="320"/>
      <c r="Q82" s="32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9"/>
      <c r="P83" s="320"/>
      <c r="Q83" s="32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9"/>
      <c r="P84" s="320"/>
      <c r="Q84" s="32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3"/>
      <c r="P85" s="319"/>
      <c r="Q85" s="319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3"/>
      <c r="P86" s="319"/>
      <c r="Q86" s="319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3"/>
      <c r="P87" s="319"/>
      <c r="Q87" s="319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0"/>
      <c r="P88" s="320"/>
      <c r="Q88" s="32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9"/>
      <c r="P89" s="320"/>
      <c r="Q89" s="32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0"/>
      <c r="P90" s="320"/>
      <c r="Q90" s="32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0"/>
      <c r="P91" s="320"/>
      <c r="Q91" s="32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9"/>
      <c r="P92" s="320"/>
      <c r="Q92" s="32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4"/>
      <c r="P93" s="365"/>
      <c r="Q93" s="366"/>
      <c r="R93" s="81"/>
      <c r="S93" s="68"/>
      <c r="T93" s="68"/>
      <c r="U93" s="77"/>
    </row>
    <row r="94" spans="1:21" x14ac:dyDescent="0.4">
      <c r="A94" s="367" t="s">
        <v>48</v>
      </c>
      <c r="B94" s="368"/>
      <c r="C94" s="368"/>
      <c r="D94" s="368"/>
      <c r="E94" s="392"/>
      <c r="F94" s="368"/>
      <c r="G94" s="368"/>
      <c r="H94" s="368">
        <f t="shared" ref="H94:M94" si="12">SUM(H69:H93)</f>
        <v>0</v>
      </c>
      <c r="I94" s="373">
        <f t="shared" si="12"/>
        <v>0</v>
      </c>
      <c r="J94" s="373">
        <f>J93+J92+J91+J90+J89+J88+J87+J86+J85+J84+J83+J82+J81+J80+J79+J78+J77+J76+J75+J74+J73+J72+J71+J70+J69</f>
        <v>0</v>
      </c>
      <c r="K94" s="373">
        <f>K93+K92+K91+K90+K89+K88+K87+K86+K85+K84+K83+K82+K81+K80+K79+K78+K77+K76+K75+K74+K73+K72+K71+K70+K69</f>
        <v>0</v>
      </c>
      <c r="L94" s="376">
        <f t="shared" si="12"/>
        <v>0</v>
      </c>
      <c r="M94" s="379">
        <f t="shared" si="12"/>
        <v>0</v>
      </c>
      <c r="N94" s="382"/>
      <c r="O94" s="383"/>
      <c r="P94" s="383"/>
      <c r="Q94" s="384"/>
      <c r="R94" s="5"/>
      <c r="S94" s="6"/>
      <c r="T94" s="7"/>
      <c r="U94" s="8"/>
    </row>
    <row r="95" spans="1:21" ht="18" thickBot="1" x14ac:dyDescent="0.45">
      <c r="A95" s="369"/>
      <c r="B95" s="370"/>
      <c r="C95" s="370"/>
      <c r="D95" s="370"/>
      <c r="E95" s="370"/>
      <c r="F95" s="370"/>
      <c r="G95" s="370"/>
      <c r="H95" s="370"/>
      <c r="I95" s="374"/>
      <c r="J95" s="374"/>
      <c r="K95" s="374"/>
      <c r="L95" s="377"/>
      <c r="M95" s="380"/>
      <c r="N95" s="385"/>
      <c r="O95" s="386"/>
      <c r="P95" s="386"/>
      <c r="Q95" s="387"/>
      <c r="R95" s="1"/>
      <c r="S95" s="2"/>
      <c r="T95" s="3"/>
      <c r="U95" s="4"/>
    </row>
    <row r="96" spans="1:21" ht="18" thickBot="1" x14ac:dyDescent="0.45">
      <c r="A96" s="371"/>
      <c r="B96" s="372"/>
      <c r="C96" s="372"/>
      <c r="D96" s="372"/>
      <c r="E96" s="372"/>
      <c r="F96" s="372"/>
      <c r="G96" s="372"/>
      <c r="H96" s="372"/>
      <c r="I96" s="375"/>
      <c r="J96" s="375"/>
      <c r="K96" s="375"/>
      <c r="L96" s="378"/>
      <c r="M96" s="381"/>
      <c r="N96" s="344"/>
      <c r="O96" s="345"/>
      <c r="P96" s="345"/>
      <c r="Q96" s="388"/>
      <c r="R96" s="389" t="s">
        <v>52</v>
      </c>
      <c r="S96" s="390"/>
      <c r="T96" s="390"/>
      <c r="U96" s="39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E17" zoomScaleNormal="100" zoomScaleSheetLayoutView="77" workbookViewId="0">
      <selection activeCell="O24" sqref="O24:Q24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02" t="s">
        <v>77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4"/>
    </row>
    <row r="2" spans="1:44" ht="18" thickBot="1" x14ac:dyDescent="0.45">
      <c r="A2" s="302" t="s">
        <v>329</v>
      </c>
      <c r="B2" s="303"/>
      <c r="C2" s="303"/>
      <c r="D2" s="303"/>
      <c r="E2" s="303"/>
      <c r="F2" s="303"/>
      <c r="G2" s="304"/>
      <c r="H2" s="305" t="s">
        <v>49</v>
      </c>
      <c r="I2" s="306"/>
      <c r="J2" s="302" t="s">
        <v>149</v>
      </c>
      <c r="K2" s="304"/>
      <c r="L2" s="306" t="s">
        <v>96</v>
      </c>
      <c r="M2" s="307"/>
      <c r="N2" s="305"/>
      <c r="O2" s="303" t="s">
        <v>98</v>
      </c>
      <c r="P2" s="303"/>
      <c r="Q2" s="304"/>
      <c r="R2" s="306" t="s">
        <v>51</v>
      </c>
      <c r="S2" s="305"/>
      <c r="T2" s="308">
        <v>7</v>
      </c>
      <c r="U2" s="30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2" t="s">
        <v>8</v>
      </c>
      <c r="P4" s="312"/>
      <c r="Q4" s="31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12299</v>
      </c>
      <c r="C5" s="68" t="s">
        <v>333</v>
      </c>
      <c r="D5" s="200" t="s">
        <v>334</v>
      </c>
      <c r="E5" s="181" t="s">
        <v>91</v>
      </c>
      <c r="F5" s="170">
        <v>845</v>
      </c>
      <c r="G5" s="118" t="s">
        <v>112</v>
      </c>
      <c r="H5" s="91"/>
      <c r="I5" s="124">
        <v>120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13"/>
      <c r="P5" s="314"/>
      <c r="Q5" s="315"/>
      <c r="R5" s="33" t="s">
        <v>98</v>
      </c>
      <c r="S5" s="31">
        <v>0.34375</v>
      </c>
      <c r="T5" s="32">
        <v>0.71875</v>
      </c>
      <c r="U5" s="92">
        <f t="shared" ref="U5:U15" si="0">(T5-S5)*24</f>
        <v>9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12300</v>
      </c>
      <c r="C6" s="67" t="s">
        <v>335</v>
      </c>
      <c r="D6" s="200" t="s">
        <v>336</v>
      </c>
      <c r="E6" s="181" t="s">
        <v>92</v>
      </c>
      <c r="F6" s="171">
        <v>900</v>
      </c>
      <c r="G6" s="118" t="s">
        <v>109</v>
      </c>
      <c r="H6" s="91"/>
      <c r="I6" s="124">
        <v>95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16"/>
      <c r="P6" s="317"/>
      <c r="Q6" s="318"/>
      <c r="R6" s="132" t="s">
        <v>99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267">
        <v>12301</v>
      </c>
      <c r="C7" s="295" t="s">
        <v>337</v>
      </c>
      <c r="D7" s="289" t="s">
        <v>338</v>
      </c>
      <c r="E7" s="270" t="s">
        <v>91</v>
      </c>
      <c r="F7" s="296">
        <v>900</v>
      </c>
      <c r="G7" s="267" t="s">
        <v>121</v>
      </c>
      <c r="H7" s="274"/>
      <c r="I7" s="274"/>
      <c r="J7" s="274" t="str">
        <f t="shared" si="1"/>
        <v>0</v>
      </c>
      <c r="K7" s="274">
        <v>79.099999999999994</v>
      </c>
      <c r="L7" s="275"/>
      <c r="M7" s="275">
        <v>475</v>
      </c>
      <c r="N7" s="276" t="s">
        <v>98</v>
      </c>
      <c r="O7" s="341" t="s">
        <v>339</v>
      </c>
      <c r="P7" s="342"/>
      <c r="Q7" s="343"/>
      <c r="R7" s="26" t="s">
        <v>100</v>
      </c>
      <c r="S7" s="31">
        <v>0.36458333333333331</v>
      </c>
      <c r="T7" s="32">
        <v>0.70833333333333337</v>
      </c>
      <c r="U7" s="92">
        <f t="shared" si="0"/>
        <v>8.2500000000000018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12302</v>
      </c>
      <c r="C8" s="27" t="s">
        <v>340</v>
      </c>
      <c r="D8" s="200"/>
      <c r="E8" s="181" t="s">
        <v>91</v>
      </c>
      <c r="F8" s="171">
        <v>900</v>
      </c>
      <c r="G8" s="118" t="s">
        <v>109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22"/>
      <c r="P8" s="323"/>
      <c r="Q8" s="324"/>
      <c r="R8" s="26" t="s">
        <v>148</v>
      </c>
      <c r="S8" s="31">
        <v>0.36458333333333331</v>
      </c>
      <c r="T8" s="32">
        <v>0.71875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12303</v>
      </c>
      <c r="C9" s="63" t="s">
        <v>341</v>
      </c>
      <c r="D9" s="201" t="s">
        <v>342</v>
      </c>
      <c r="E9" s="181" t="s">
        <v>92</v>
      </c>
      <c r="F9" s="172">
        <v>905</v>
      </c>
      <c r="G9" s="119" t="s">
        <v>173</v>
      </c>
      <c r="H9" s="91"/>
      <c r="I9" s="91">
        <v>80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22"/>
      <c r="P9" s="323"/>
      <c r="Q9" s="324"/>
      <c r="R9" s="26" t="s">
        <v>101</v>
      </c>
      <c r="S9" s="31">
        <v>0.45833333333333331</v>
      </c>
      <c r="T9" s="32">
        <v>0.71875</v>
      </c>
      <c r="U9" s="92">
        <f t="shared" si="0"/>
        <v>6.25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287">
        <v>12304</v>
      </c>
      <c r="C10" s="297" t="s">
        <v>343</v>
      </c>
      <c r="D10" s="298" t="s">
        <v>344</v>
      </c>
      <c r="E10" s="270" t="s">
        <v>91</v>
      </c>
      <c r="F10" s="299">
        <v>910</v>
      </c>
      <c r="G10" s="300" t="s">
        <v>121</v>
      </c>
      <c r="H10" s="273"/>
      <c r="I10" s="273"/>
      <c r="J10" s="274" t="str">
        <f t="shared" si="1"/>
        <v>0</v>
      </c>
      <c r="K10" s="274">
        <v>79.099999999999994</v>
      </c>
      <c r="L10" s="275"/>
      <c r="M10" s="275">
        <v>475</v>
      </c>
      <c r="N10" s="276" t="s">
        <v>98</v>
      </c>
      <c r="O10" s="341" t="s">
        <v>345</v>
      </c>
      <c r="P10" s="342"/>
      <c r="Q10" s="343"/>
      <c r="R10" s="26" t="s">
        <v>328</v>
      </c>
      <c r="S10" s="31">
        <v>0.44791666666666669</v>
      </c>
      <c r="T10" s="32">
        <v>0.61458333333333337</v>
      </c>
      <c r="U10" s="92">
        <f t="shared" si="0"/>
        <v>4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12305</v>
      </c>
      <c r="C11" s="18" t="s">
        <v>346</v>
      </c>
      <c r="D11" s="203" t="s">
        <v>347</v>
      </c>
      <c r="E11" s="181" t="s">
        <v>91</v>
      </c>
      <c r="F11" s="66">
        <v>930</v>
      </c>
      <c r="G11" s="121" t="s">
        <v>112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19"/>
      <c r="P11" s="320"/>
      <c r="Q11" s="321"/>
      <c r="R11" s="26"/>
      <c r="S11" s="31">
        <v>0.65625</v>
      </c>
      <c r="T11" s="32">
        <v>0.71875</v>
      </c>
      <c r="U11" s="92">
        <f t="shared" si="0"/>
        <v>1.5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12306</v>
      </c>
      <c r="C12" s="64" t="s">
        <v>348</v>
      </c>
      <c r="D12" s="204" t="s">
        <v>349</v>
      </c>
      <c r="E12" s="181" t="s">
        <v>91</v>
      </c>
      <c r="F12" s="173">
        <v>930</v>
      </c>
      <c r="G12" s="119" t="s">
        <v>112</v>
      </c>
      <c r="H12" s="123"/>
      <c r="I12" s="125">
        <v>150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19"/>
      <c r="P12" s="320"/>
      <c r="Q12" s="321"/>
      <c r="R12" s="26" t="s">
        <v>332</v>
      </c>
      <c r="S12" s="31">
        <v>0.44791666666666669</v>
      </c>
      <c r="T12" s="32">
        <v>0.59375</v>
      </c>
      <c r="U12" s="92">
        <f t="shared" si="0"/>
        <v>3.4999999999999996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12307</v>
      </c>
      <c r="C13" s="64" t="s">
        <v>350</v>
      </c>
      <c r="D13" s="204" t="s">
        <v>351</v>
      </c>
      <c r="E13" s="181" t="s">
        <v>91</v>
      </c>
      <c r="F13" s="173">
        <v>1005</v>
      </c>
      <c r="G13" s="119" t="s">
        <v>109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19"/>
      <c r="P13" s="320"/>
      <c r="Q13" s="32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12308</v>
      </c>
      <c r="C14" s="65" t="s">
        <v>352</v>
      </c>
      <c r="D14" s="205" t="s">
        <v>353</v>
      </c>
      <c r="E14" s="181" t="s">
        <v>92</v>
      </c>
      <c r="F14" s="174">
        <v>1030</v>
      </c>
      <c r="G14" s="122" t="s">
        <v>109</v>
      </c>
      <c r="H14" s="123">
        <v>95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19"/>
      <c r="P14" s="320"/>
      <c r="Q14" s="32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12309</v>
      </c>
      <c r="C15" s="65" t="s">
        <v>354</v>
      </c>
      <c r="D15" s="205" t="s">
        <v>355</v>
      </c>
      <c r="E15" s="181" t="s">
        <v>91</v>
      </c>
      <c r="F15" s="174">
        <v>1030</v>
      </c>
      <c r="G15" s="122" t="s">
        <v>109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19"/>
      <c r="P15" s="320"/>
      <c r="Q15" s="32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12310</v>
      </c>
      <c r="C16" s="65" t="s">
        <v>356</v>
      </c>
      <c r="D16" s="205" t="s">
        <v>357</v>
      </c>
      <c r="E16" s="181" t="s">
        <v>92</v>
      </c>
      <c r="F16" s="174">
        <v>1200</v>
      </c>
      <c r="G16" s="122" t="s">
        <v>106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19"/>
      <c r="P16" s="320"/>
      <c r="Q16" s="321"/>
      <c r="R16" s="82">
        <f>H32/U16</f>
        <v>0.47761194029850745</v>
      </c>
      <c r="S16" s="83">
        <f>H32/(U16-U5)</f>
        <v>0.58181818181818179</v>
      </c>
      <c r="T16" s="83">
        <f>C32/U16</f>
        <v>48.386069651741295</v>
      </c>
      <c r="U16" s="83">
        <f>SUM(U5:U15)</f>
        <v>50.25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12311</v>
      </c>
      <c r="C17" s="18" t="s">
        <v>358</v>
      </c>
      <c r="D17" s="203" t="s">
        <v>359</v>
      </c>
      <c r="E17" s="181" t="s">
        <v>91</v>
      </c>
      <c r="F17" s="66">
        <v>1210</v>
      </c>
      <c r="G17" s="121" t="s">
        <v>112</v>
      </c>
      <c r="H17" s="123">
        <v>120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19"/>
      <c r="P17" s="320"/>
      <c r="Q17" s="32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12312</v>
      </c>
      <c r="C18" s="18" t="s">
        <v>360</v>
      </c>
      <c r="D18" s="203" t="s">
        <v>361</v>
      </c>
      <c r="E18" s="181" t="s">
        <v>92</v>
      </c>
      <c r="F18" s="66">
        <v>1315</v>
      </c>
      <c r="G18" s="20" t="s">
        <v>362</v>
      </c>
      <c r="H18" s="123"/>
      <c r="I18" s="124">
        <v>300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19"/>
      <c r="P18" s="320"/>
      <c r="Q18" s="32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12313</v>
      </c>
      <c r="C19" s="18" t="s">
        <v>363</v>
      </c>
      <c r="D19" s="203" t="s">
        <v>364</v>
      </c>
      <c r="E19" s="181" t="s">
        <v>92</v>
      </c>
      <c r="F19" s="66">
        <v>1340</v>
      </c>
      <c r="G19" s="121" t="s">
        <v>121</v>
      </c>
      <c r="H19" s="123"/>
      <c r="I19" s="124"/>
      <c r="J19" s="130" t="str">
        <f t="shared" si="1"/>
        <v>0</v>
      </c>
      <c r="K19" s="130">
        <v>79.099999999999994</v>
      </c>
      <c r="L19" s="131"/>
      <c r="M19" s="131"/>
      <c r="N19" s="134" t="s">
        <v>98</v>
      </c>
      <c r="O19" s="319" t="s">
        <v>365</v>
      </c>
      <c r="P19" s="320"/>
      <c r="Q19" s="320"/>
      <c r="R19" s="93" t="s">
        <v>45</v>
      </c>
      <c r="S19" s="94">
        <f>COUNT(L5:M29,L37:M61,L69:M93)</f>
        <v>3</v>
      </c>
      <c r="T19" s="116">
        <f>SUM(L5:M29,L37:M61,L69:M93)</f>
        <v>1425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12314</v>
      </c>
      <c r="C20" s="18" t="s">
        <v>366</v>
      </c>
      <c r="D20" s="203" t="s">
        <v>367</v>
      </c>
      <c r="E20" s="181" t="s">
        <v>91</v>
      </c>
      <c r="F20" s="66">
        <v>1350</v>
      </c>
      <c r="G20" s="121" t="s">
        <v>106</v>
      </c>
      <c r="H20" s="123">
        <v>75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27"/>
      <c r="P20" s="328"/>
      <c r="Q20" s="32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12315</v>
      </c>
      <c r="C21" s="18" t="s">
        <v>368</v>
      </c>
      <c r="D21" s="203" t="s">
        <v>369</v>
      </c>
      <c r="E21" s="181" t="s">
        <v>92</v>
      </c>
      <c r="F21" s="66">
        <v>1445</v>
      </c>
      <c r="G21" s="20" t="s">
        <v>109</v>
      </c>
      <c r="H21" s="123"/>
      <c r="I21" s="124">
        <v>95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98</v>
      </c>
      <c r="O21" s="319"/>
      <c r="P21" s="320"/>
      <c r="Q21" s="32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12316</v>
      </c>
      <c r="C22" s="127" t="s">
        <v>370</v>
      </c>
      <c r="D22" s="206" t="s">
        <v>371</v>
      </c>
      <c r="E22" s="181" t="s">
        <v>91</v>
      </c>
      <c r="F22" s="175">
        <v>1450</v>
      </c>
      <c r="G22" s="263" t="s">
        <v>106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98</v>
      </c>
      <c r="O22" s="319"/>
      <c r="P22" s="320"/>
      <c r="Q22" s="32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12317</v>
      </c>
      <c r="C23" s="136" t="s">
        <v>372</v>
      </c>
      <c r="D23" s="207" t="s">
        <v>373</v>
      </c>
      <c r="E23" s="181" t="s">
        <v>91</v>
      </c>
      <c r="F23" s="176">
        <v>1450</v>
      </c>
      <c r="G23" s="165" t="s">
        <v>106</v>
      </c>
      <c r="H23" s="89"/>
      <c r="I23" s="141">
        <v>55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98</v>
      </c>
      <c r="O23" s="163"/>
      <c r="P23" s="164"/>
      <c r="Q23" s="159"/>
      <c r="R23" s="113"/>
      <c r="S23" s="114"/>
      <c r="T23" s="114"/>
      <c r="U23" s="115"/>
      <c r="X23" s="325"/>
      <c r="Y23" s="326"/>
      <c r="Z23" s="326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287">
        <v>12318</v>
      </c>
      <c r="C24" s="297" t="s">
        <v>380</v>
      </c>
      <c r="D24" s="298" t="s">
        <v>381</v>
      </c>
      <c r="E24" s="270" t="s">
        <v>92</v>
      </c>
      <c r="F24" s="299">
        <v>1500</v>
      </c>
      <c r="G24" s="287" t="s">
        <v>121</v>
      </c>
      <c r="H24" s="273"/>
      <c r="I24" s="273"/>
      <c r="J24" s="274" t="str">
        <f t="shared" si="1"/>
        <v>0</v>
      </c>
      <c r="K24" s="274">
        <v>79.099999999999994</v>
      </c>
      <c r="L24" s="274"/>
      <c r="M24" s="274">
        <v>475</v>
      </c>
      <c r="N24" s="276" t="s">
        <v>98</v>
      </c>
      <c r="O24" s="341" t="s">
        <v>384</v>
      </c>
      <c r="P24" s="342"/>
      <c r="Q24" s="343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12319</v>
      </c>
      <c r="C25" s="132" t="s">
        <v>374</v>
      </c>
      <c r="D25" s="208" t="s">
        <v>375</v>
      </c>
      <c r="E25" s="181" t="s">
        <v>91</v>
      </c>
      <c r="F25" s="175">
        <v>1510</v>
      </c>
      <c r="G25" s="263" t="s">
        <v>112</v>
      </c>
      <c r="H25" s="90">
        <v>120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98</v>
      </c>
      <c r="O25" s="319"/>
      <c r="P25" s="320"/>
      <c r="Q25" s="32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9">
        <f>((C32+(R26+S26+T26)*0.5))</f>
        <v>2431.4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12320</v>
      </c>
      <c r="C26" s="27" t="s">
        <v>376</v>
      </c>
      <c r="D26" s="209" t="s">
        <v>377</v>
      </c>
      <c r="E26" s="181" t="s">
        <v>92</v>
      </c>
      <c r="F26" s="177">
        <v>1530</v>
      </c>
      <c r="G26" s="20" t="s">
        <v>109</v>
      </c>
      <c r="H26" s="89"/>
      <c r="I26" s="141">
        <v>75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98</v>
      </c>
      <c r="O26" s="319"/>
      <c r="P26" s="320"/>
      <c r="Q26" s="321"/>
      <c r="R26" s="112">
        <f>R25*37.5</f>
        <v>0</v>
      </c>
      <c r="S26" s="102">
        <f>S25*41.5</f>
        <v>0</v>
      </c>
      <c r="T26" s="102">
        <f>T25*50</f>
        <v>0</v>
      </c>
      <c r="U26" s="33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12321</v>
      </c>
      <c r="C27" s="27" t="s">
        <v>378</v>
      </c>
      <c r="D27" s="209" t="s">
        <v>379</v>
      </c>
      <c r="E27" s="181" t="s">
        <v>92</v>
      </c>
      <c r="F27" s="177">
        <v>1530</v>
      </c>
      <c r="G27" s="20" t="s">
        <v>109</v>
      </c>
      <c r="H27" s="89"/>
      <c r="I27" s="141">
        <v>95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98</v>
      </c>
      <c r="O27" s="319"/>
      <c r="P27" s="320"/>
      <c r="Q27" s="321"/>
      <c r="R27" s="338" t="s">
        <v>56</v>
      </c>
      <c r="S27" s="339"/>
      <c r="T27" s="339"/>
      <c r="U27" s="34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12322</v>
      </c>
      <c r="C28" s="27" t="s">
        <v>382</v>
      </c>
      <c r="D28" s="209" t="s">
        <v>383</v>
      </c>
      <c r="E28" s="181" t="s">
        <v>92</v>
      </c>
      <c r="F28" s="177">
        <v>1610</v>
      </c>
      <c r="G28" s="20" t="s">
        <v>109</v>
      </c>
      <c r="H28" s="89">
        <v>95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98</v>
      </c>
      <c r="O28" s="319"/>
      <c r="P28" s="320"/>
      <c r="Q28" s="321"/>
      <c r="R28" s="331"/>
      <c r="S28" s="332"/>
      <c r="T28" s="33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0"/>
      <c r="P29" s="351"/>
      <c r="Q29" s="352"/>
      <c r="R29" s="353"/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505</v>
      </c>
      <c r="I30" s="105">
        <f>SUM(I5:I29)</f>
        <v>1610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316.39999999999998</v>
      </c>
      <c r="L30" s="106">
        <f t="shared" si="3"/>
        <v>0</v>
      </c>
      <c r="M30" s="106">
        <f t="shared" si="3"/>
        <v>1425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505</v>
      </c>
      <c r="I31" s="103">
        <f t="shared" si="4"/>
        <v>1610</v>
      </c>
      <c r="J31" s="103">
        <f t="shared" si="4"/>
        <v>0</v>
      </c>
      <c r="K31" s="103">
        <f>K30+K62+K94</f>
        <v>316.39999999999998</v>
      </c>
      <c r="L31" s="97">
        <f>L30+L62+L94</f>
        <v>0</v>
      </c>
      <c r="M31" s="97">
        <f>M30+M62+M94</f>
        <v>1425</v>
      </c>
      <c r="N31" s="262">
        <f>COUNT(H5:H29,H37:H61,H69:H93)</f>
        <v>5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505</v>
      </c>
      <c r="T31" s="346">
        <f>H31+I31+L31+M31</f>
        <v>3540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34" t="s">
        <v>55</v>
      </c>
      <c r="B32" s="335"/>
      <c r="C32" s="107">
        <f>H31+I31+J31+K31</f>
        <v>2431.4</v>
      </c>
      <c r="D32" s="196"/>
      <c r="E32" s="107"/>
      <c r="F32" s="336" t="s">
        <v>53</v>
      </c>
      <c r="G32" s="336"/>
      <c r="H32" s="109">
        <f>COUNT(B5:B29,B37:B61,B69:B93)</f>
        <v>24</v>
      </c>
      <c r="I32" s="337" t="s">
        <v>54</v>
      </c>
      <c r="J32" s="337"/>
      <c r="K32" s="108">
        <f>C32/H32</f>
        <v>101.30833333333334</v>
      </c>
      <c r="L32" s="260"/>
      <c r="M32" s="260"/>
      <c r="N32" s="260">
        <f>H31/C32</f>
        <v>0.20769926791149132</v>
      </c>
      <c r="O32" s="260">
        <f>I31/C32</f>
        <v>0.66216994324257628</v>
      </c>
      <c r="P32" s="260">
        <f>K31/C32</f>
        <v>0.13013078884593238</v>
      </c>
      <c r="Q32" s="110">
        <f>J31/C32</f>
        <v>0</v>
      </c>
      <c r="R32" s="99" t="s">
        <v>82</v>
      </c>
      <c r="S32" s="266">
        <f>I31+M31</f>
        <v>3035</v>
      </c>
      <c r="T32" s="348"/>
      <c r="U32" s="349"/>
      <c r="V32" s="55"/>
      <c r="W32" s="55"/>
      <c r="X32" s="56" t="s">
        <v>27</v>
      </c>
      <c r="Y32" s="56"/>
      <c r="Z32" s="54">
        <f>I31</f>
        <v>1610</v>
      </c>
      <c r="AE32" s="37"/>
      <c r="AF32" s="37"/>
      <c r="AG32" s="37"/>
      <c r="AH32" s="37"/>
    </row>
    <row r="33" spans="1:34" ht="18" thickBot="1" x14ac:dyDescent="0.45">
      <c r="A33" s="344" t="s">
        <v>24</v>
      </c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03"/>
      <c r="U33" s="304"/>
      <c r="X33" s="57" t="s">
        <v>29</v>
      </c>
      <c r="Y33" s="57"/>
      <c r="Z33" s="58">
        <f>SUM(Z31:Z32)</f>
        <v>-1135</v>
      </c>
      <c r="AE33" s="37"/>
      <c r="AF33" s="37"/>
      <c r="AG33" s="59"/>
      <c r="AH33" s="37"/>
    </row>
    <row r="34" spans="1:34" ht="18" thickBot="1" x14ac:dyDescent="0.45">
      <c r="A34" s="302" t="str">
        <f>A2</f>
        <v>19-11-2022</v>
      </c>
      <c r="B34" s="303"/>
      <c r="C34" s="303"/>
      <c r="D34" s="303"/>
      <c r="E34" s="303"/>
      <c r="F34" s="303"/>
      <c r="G34" s="304"/>
      <c r="H34" s="305" t="s">
        <v>49</v>
      </c>
      <c r="I34" s="306"/>
      <c r="J34" s="302" t="str">
        <f>J2</f>
        <v>SUNNY</v>
      </c>
      <c r="K34" s="304"/>
      <c r="L34" s="306" t="s">
        <v>50</v>
      </c>
      <c r="M34" s="307"/>
      <c r="N34" s="305"/>
      <c r="O34" s="303" t="str">
        <f>O2</f>
        <v>JOHN</v>
      </c>
      <c r="P34" s="303"/>
      <c r="Q34" s="304"/>
      <c r="R34" s="306" t="s">
        <v>51</v>
      </c>
      <c r="S34" s="305"/>
      <c r="T34" s="308">
        <f>T2</f>
        <v>7</v>
      </c>
      <c r="U34" s="30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2" t="s">
        <v>8</v>
      </c>
      <c r="P36" s="312"/>
      <c r="Q36" s="31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9"/>
      <c r="P37" s="320"/>
      <c r="Q37" s="321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9"/>
      <c r="P39" s="320"/>
      <c r="Q39" s="321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2"/>
      <c r="P40" s="323"/>
      <c r="Q40" s="324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2"/>
      <c r="P41" s="323"/>
      <c r="Q41" s="324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9"/>
      <c r="P42" s="310"/>
      <c r="Q42" s="311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9"/>
      <c r="P43" s="320"/>
      <c r="Q43" s="32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9"/>
      <c r="P44" s="320"/>
      <c r="Q44" s="32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9"/>
      <c r="P45" s="320"/>
      <c r="Q45" s="32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9"/>
      <c r="P46" s="320"/>
      <c r="Q46" s="32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9"/>
      <c r="P47" s="320"/>
      <c r="Q47" s="32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9"/>
      <c r="P48" s="320"/>
      <c r="Q48" s="32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9"/>
      <c r="P49" s="320"/>
      <c r="Q49" s="32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9"/>
      <c r="P50" s="320"/>
      <c r="Q50" s="32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9"/>
      <c r="P51" s="320"/>
      <c r="Q51" s="32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9"/>
      <c r="P52" s="320"/>
      <c r="Q52" s="32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63"/>
      <c r="P53" s="319"/>
      <c r="Q53" s="319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63"/>
      <c r="P54" s="319"/>
      <c r="Q54" s="319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63"/>
      <c r="P55" s="319"/>
      <c r="Q55" s="319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20"/>
      <c r="P56" s="320"/>
      <c r="Q56" s="32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9"/>
      <c r="P57" s="320"/>
      <c r="Q57" s="32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20"/>
      <c r="P58" s="320"/>
      <c r="Q58" s="32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20"/>
      <c r="P59" s="320"/>
      <c r="Q59" s="32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9"/>
      <c r="P60" s="320"/>
      <c r="Q60" s="32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64"/>
      <c r="P61" s="365"/>
      <c r="Q61" s="366"/>
      <c r="R61" s="81"/>
      <c r="S61" s="68"/>
      <c r="T61" s="68"/>
      <c r="U61" s="77"/>
    </row>
    <row r="62" spans="1:21" x14ac:dyDescent="0.4">
      <c r="A62" s="367" t="s">
        <v>48</v>
      </c>
      <c r="B62" s="368"/>
      <c r="C62" s="368"/>
      <c r="D62" s="368"/>
      <c r="E62" s="368"/>
      <c r="F62" s="368"/>
      <c r="G62" s="368"/>
      <c r="H62" s="368">
        <f t="shared" ref="H62:M62" si="8">SUM(H37:H61)</f>
        <v>0</v>
      </c>
      <c r="I62" s="373">
        <f t="shared" si="8"/>
        <v>0</v>
      </c>
      <c r="J62" s="373">
        <f>J61+J60+J59+J58+J57+J56+J55+J54+J53+J52+J51+J50+J49+J48+J47+J46+J45+J44+J43+J42+J41+J40+J39+J38+J37</f>
        <v>0</v>
      </c>
      <c r="K62" s="373">
        <f>K61+K60+K59+K58+K57+K56+K55+K54+K53+K52+K51+K50+K49+K48+K47+K46+K45+K44+K43+K42+K41+K40+K39+K38+K37</f>
        <v>0</v>
      </c>
      <c r="L62" s="376">
        <f t="shared" si="8"/>
        <v>0</v>
      </c>
      <c r="M62" s="379">
        <f t="shared" si="8"/>
        <v>0</v>
      </c>
      <c r="N62" s="382"/>
      <c r="O62" s="383"/>
      <c r="P62" s="383"/>
      <c r="Q62" s="384"/>
      <c r="R62" s="5"/>
      <c r="S62" s="6"/>
      <c r="T62" s="7"/>
      <c r="U62" s="8"/>
    </row>
    <row r="63" spans="1:21" ht="18" thickBot="1" x14ac:dyDescent="0.45">
      <c r="A63" s="369"/>
      <c r="B63" s="370"/>
      <c r="C63" s="370"/>
      <c r="D63" s="370"/>
      <c r="E63" s="370"/>
      <c r="F63" s="370"/>
      <c r="G63" s="370"/>
      <c r="H63" s="370"/>
      <c r="I63" s="374"/>
      <c r="J63" s="374"/>
      <c r="K63" s="374"/>
      <c r="L63" s="377"/>
      <c r="M63" s="380"/>
      <c r="N63" s="385"/>
      <c r="O63" s="386"/>
      <c r="P63" s="386"/>
      <c r="Q63" s="387"/>
      <c r="R63" s="1"/>
      <c r="S63" s="2"/>
      <c r="T63" s="3"/>
      <c r="U63" s="4"/>
    </row>
    <row r="64" spans="1:21" ht="18" thickBot="1" x14ac:dyDescent="0.45">
      <c r="A64" s="371"/>
      <c r="B64" s="372"/>
      <c r="C64" s="372"/>
      <c r="D64" s="372"/>
      <c r="E64" s="372"/>
      <c r="F64" s="372"/>
      <c r="G64" s="372"/>
      <c r="H64" s="372"/>
      <c r="I64" s="375"/>
      <c r="J64" s="375"/>
      <c r="K64" s="375"/>
      <c r="L64" s="378"/>
      <c r="M64" s="381"/>
      <c r="N64" s="344"/>
      <c r="O64" s="345"/>
      <c r="P64" s="345"/>
      <c r="Q64" s="388"/>
      <c r="R64" s="389" t="s">
        <v>17</v>
      </c>
      <c r="S64" s="390"/>
      <c r="T64" s="390"/>
      <c r="U64" s="391"/>
    </row>
    <row r="65" spans="1:21" ht="18" thickBot="1" x14ac:dyDescent="0.45">
      <c r="A65" s="302" t="s">
        <v>24</v>
      </c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4"/>
    </row>
    <row r="66" spans="1:21" ht="18" thickBot="1" x14ac:dyDescent="0.45">
      <c r="A66" s="302" t="str">
        <f>A34</f>
        <v>19-11-2022</v>
      </c>
      <c r="B66" s="303"/>
      <c r="C66" s="303"/>
      <c r="D66" s="303"/>
      <c r="E66" s="303"/>
      <c r="F66" s="303"/>
      <c r="G66" s="304"/>
      <c r="H66" s="305" t="s">
        <v>49</v>
      </c>
      <c r="I66" s="306"/>
      <c r="J66" s="302" t="str">
        <f>J34</f>
        <v>SUNNY</v>
      </c>
      <c r="K66" s="304"/>
      <c r="L66" s="306" t="s">
        <v>50</v>
      </c>
      <c r="M66" s="307"/>
      <c r="N66" s="305"/>
      <c r="O66" s="303" t="str">
        <f>O34</f>
        <v>JOHN</v>
      </c>
      <c r="P66" s="303"/>
      <c r="Q66" s="304"/>
      <c r="R66" s="306" t="s">
        <v>51</v>
      </c>
      <c r="S66" s="305"/>
      <c r="T66" s="308">
        <f>T34</f>
        <v>7</v>
      </c>
      <c r="U66" s="30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2" t="s">
        <v>8</v>
      </c>
      <c r="P68" s="312"/>
      <c r="Q68" s="31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9"/>
      <c r="P69" s="320"/>
      <c r="Q69" s="32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9"/>
      <c r="P71" s="320"/>
      <c r="Q71" s="32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2"/>
      <c r="P72" s="323"/>
      <c r="Q72" s="324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2"/>
      <c r="P73" s="323"/>
      <c r="Q73" s="324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9"/>
      <c r="P74" s="310"/>
      <c r="Q74" s="311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9"/>
      <c r="P75" s="320"/>
      <c r="Q75" s="32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9"/>
      <c r="P76" s="320"/>
      <c r="Q76" s="32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9"/>
      <c r="P77" s="320"/>
      <c r="Q77" s="32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9"/>
      <c r="P78" s="320"/>
      <c r="Q78" s="32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9"/>
      <c r="P79" s="320"/>
      <c r="Q79" s="32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9"/>
      <c r="P80" s="320"/>
      <c r="Q80" s="32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9"/>
      <c r="P81" s="320"/>
      <c r="Q81" s="32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9"/>
      <c r="P82" s="320"/>
      <c r="Q82" s="32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9"/>
      <c r="P83" s="320"/>
      <c r="Q83" s="32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9"/>
      <c r="P84" s="320"/>
      <c r="Q84" s="32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3"/>
      <c r="P85" s="319"/>
      <c r="Q85" s="319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3"/>
      <c r="P86" s="319"/>
      <c r="Q86" s="319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3"/>
      <c r="P87" s="319"/>
      <c r="Q87" s="319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0"/>
      <c r="P88" s="320"/>
      <c r="Q88" s="32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9"/>
      <c r="P89" s="320"/>
      <c r="Q89" s="32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0"/>
      <c r="P90" s="320"/>
      <c r="Q90" s="32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0"/>
      <c r="P91" s="320"/>
      <c r="Q91" s="32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9"/>
      <c r="P92" s="320"/>
      <c r="Q92" s="32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4"/>
      <c r="P93" s="365"/>
      <c r="Q93" s="366"/>
      <c r="R93" s="81"/>
      <c r="S93" s="68"/>
      <c r="T93" s="68"/>
      <c r="U93" s="77"/>
    </row>
    <row r="94" spans="1:21" x14ac:dyDescent="0.4">
      <c r="A94" s="367" t="s">
        <v>48</v>
      </c>
      <c r="B94" s="368"/>
      <c r="C94" s="368"/>
      <c r="D94" s="368"/>
      <c r="E94" s="392"/>
      <c r="F94" s="368"/>
      <c r="G94" s="368"/>
      <c r="H94" s="368">
        <f t="shared" ref="H94:M94" si="12">SUM(H69:H93)</f>
        <v>0</v>
      </c>
      <c r="I94" s="373">
        <f t="shared" si="12"/>
        <v>0</v>
      </c>
      <c r="J94" s="373">
        <f>J93+J92+J91+J90+J89+J88+J87+J86+J85+J84+J83+J82+J81+J80+J79+J78+J77+J76+J75+J74+J73+J72+J71+J70+J69</f>
        <v>0</v>
      </c>
      <c r="K94" s="373">
        <f>K93+K92+K91+K90+K89+K88+K87+K86+K85+K84+K83+K82+K81+K80+K79+K78+K77+K76+K75+K74+K73+K72+K71+K70+K69</f>
        <v>0</v>
      </c>
      <c r="L94" s="376">
        <f t="shared" si="12"/>
        <v>0</v>
      </c>
      <c r="M94" s="379">
        <f t="shared" si="12"/>
        <v>0</v>
      </c>
      <c r="N94" s="382"/>
      <c r="O94" s="383"/>
      <c r="P94" s="383"/>
      <c r="Q94" s="384"/>
      <c r="R94" s="5"/>
      <c r="S94" s="6"/>
      <c r="T94" s="7"/>
      <c r="U94" s="8"/>
    </row>
    <row r="95" spans="1:21" ht="18" thickBot="1" x14ac:dyDescent="0.45">
      <c r="A95" s="369"/>
      <c r="B95" s="370"/>
      <c r="C95" s="370"/>
      <c r="D95" s="370"/>
      <c r="E95" s="370"/>
      <c r="F95" s="370"/>
      <c r="G95" s="370"/>
      <c r="H95" s="370"/>
      <c r="I95" s="374"/>
      <c r="J95" s="374"/>
      <c r="K95" s="374"/>
      <c r="L95" s="377"/>
      <c r="M95" s="380"/>
      <c r="N95" s="385"/>
      <c r="O95" s="386"/>
      <c r="P95" s="386"/>
      <c r="Q95" s="387"/>
      <c r="R95" s="1"/>
      <c r="S95" s="2"/>
      <c r="T95" s="3"/>
      <c r="U95" s="4"/>
    </row>
    <row r="96" spans="1:21" ht="18" thickBot="1" x14ac:dyDescent="0.45">
      <c r="A96" s="371"/>
      <c r="B96" s="372"/>
      <c r="C96" s="372"/>
      <c r="D96" s="372"/>
      <c r="E96" s="372"/>
      <c r="F96" s="372"/>
      <c r="G96" s="372"/>
      <c r="H96" s="372"/>
      <c r="I96" s="375"/>
      <c r="J96" s="375"/>
      <c r="K96" s="375"/>
      <c r="L96" s="378"/>
      <c r="M96" s="381"/>
      <c r="N96" s="344"/>
      <c r="O96" s="345"/>
      <c r="P96" s="345"/>
      <c r="Q96" s="388"/>
      <c r="R96" s="389" t="s">
        <v>52</v>
      </c>
      <c r="S96" s="390"/>
      <c r="T96" s="390"/>
      <c r="U96" s="391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="80" zoomScaleNormal="80" zoomScaleSheetLayoutView="77" workbookViewId="0">
      <selection activeCell="M24" sqref="M24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02" t="s">
        <v>77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4"/>
    </row>
    <row r="2" spans="1:44" ht="18" thickBot="1" x14ac:dyDescent="0.45">
      <c r="A2" s="302" t="s">
        <v>385</v>
      </c>
      <c r="B2" s="303"/>
      <c r="C2" s="303"/>
      <c r="D2" s="303"/>
      <c r="E2" s="303"/>
      <c r="F2" s="303"/>
      <c r="G2" s="304"/>
      <c r="H2" s="305" t="s">
        <v>49</v>
      </c>
      <c r="I2" s="306"/>
      <c r="J2" s="302" t="s">
        <v>149</v>
      </c>
      <c r="K2" s="304"/>
      <c r="L2" s="306" t="s">
        <v>96</v>
      </c>
      <c r="M2" s="307"/>
      <c r="N2" s="305"/>
      <c r="O2" s="303" t="s">
        <v>98</v>
      </c>
      <c r="P2" s="303"/>
      <c r="Q2" s="304"/>
      <c r="R2" s="306" t="s">
        <v>51</v>
      </c>
      <c r="S2" s="305"/>
      <c r="T2" s="308">
        <v>7</v>
      </c>
      <c r="U2" s="30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2" t="s">
        <v>8</v>
      </c>
      <c r="P4" s="312"/>
      <c r="Q4" s="31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12323</v>
      </c>
      <c r="C5" s="68" t="s">
        <v>386</v>
      </c>
      <c r="D5" s="200" t="s">
        <v>387</v>
      </c>
      <c r="E5" s="181" t="s">
        <v>92</v>
      </c>
      <c r="F5" s="170">
        <v>830</v>
      </c>
      <c r="G5" s="118" t="s">
        <v>109</v>
      </c>
      <c r="H5" s="91">
        <v>95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13"/>
      <c r="P5" s="314"/>
      <c r="Q5" s="315"/>
      <c r="R5" s="33" t="s">
        <v>98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12324</v>
      </c>
      <c r="C6" s="67" t="s">
        <v>391</v>
      </c>
      <c r="D6" s="200" t="s">
        <v>392</v>
      </c>
      <c r="E6" s="181" t="s">
        <v>92</v>
      </c>
      <c r="F6" s="171">
        <v>850</v>
      </c>
      <c r="G6" s="118" t="s">
        <v>112</v>
      </c>
      <c r="H6" s="91"/>
      <c r="I6" s="124">
        <v>130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16"/>
      <c r="P6" s="317"/>
      <c r="Q6" s="318"/>
      <c r="R6" s="132" t="s">
        <v>99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12325</v>
      </c>
      <c r="C7" s="67" t="s">
        <v>393</v>
      </c>
      <c r="D7" s="200" t="s">
        <v>394</v>
      </c>
      <c r="E7" s="181" t="s">
        <v>91</v>
      </c>
      <c r="F7" s="171">
        <v>900</v>
      </c>
      <c r="G7" s="118" t="s">
        <v>112</v>
      </c>
      <c r="H7" s="91"/>
      <c r="I7" s="124">
        <v>150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19"/>
      <c r="P7" s="320"/>
      <c r="Q7" s="321"/>
      <c r="R7" s="26" t="s">
        <v>148</v>
      </c>
      <c r="S7" s="31">
        <v>0.35416666666666669</v>
      </c>
      <c r="T7" s="32">
        <v>0.4375</v>
      </c>
      <c r="U7" s="92">
        <f t="shared" si="0"/>
        <v>1.9999999999999996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12326</v>
      </c>
      <c r="C8" s="27" t="s">
        <v>395</v>
      </c>
      <c r="D8" s="200" t="s">
        <v>396</v>
      </c>
      <c r="E8" s="181" t="s">
        <v>91</v>
      </c>
      <c r="F8" s="171">
        <v>950</v>
      </c>
      <c r="G8" s="118" t="s">
        <v>109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22"/>
      <c r="P8" s="323"/>
      <c r="Q8" s="324"/>
      <c r="R8" s="26"/>
      <c r="S8" s="31">
        <v>0.60416666666666663</v>
      </c>
      <c r="T8" s="32">
        <v>0.71875</v>
      </c>
      <c r="U8" s="92">
        <f t="shared" si="0"/>
        <v>2.7500000000000009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12327</v>
      </c>
      <c r="C9" s="63" t="s">
        <v>397</v>
      </c>
      <c r="D9" s="201" t="s">
        <v>398</v>
      </c>
      <c r="E9" s="181" t="s">
        <v>92</v>
      </c>
      <c r="F9" s="172">
        <v>1010</v>
      </c>
      <c r="G9" s="119" t="s">
        <v>121</v>
      </c>
      <c r="H9" s="91"/>
      <c r="I9" s="91"/>
      <c r="J9" s="130" t="str">
        <f t="shared" si="1"/>
        <v>0</v>
      </c>
      <c r="K9" s="130">
        <v>79.16</v>
      </c>
      <c r="L9" s="131"/>
      <c r="M9" s="131"/>
      <c r="N9" s="134" t="s">
        <v>98</v>
      </c>
      <c r="O9" s="322" t="s">
        <v>450</v>
      </c>
      <c r="P9" s="323"/>
      <c r="Q9" s="324"/>
      <c r="R9" s="26" t="s">
        <v>101</v>
      </c>
      <c r="S9" s="31">
        <v>0.35416666666666669</v>
      </c>
      <c r="T9" s="32">
        <v>0.71875</v>
      </c>
      <c r="U9" s="92">
        <f t="shared" si="0"/>
        <v>8.75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12328</v>
      </c>
      <c r="C10" s="28" t="s">
        <v>399</v>
      </c>
      <c r="D10" s="202" t="s">
        <v>400</v>
      </c>
      <c r="E10" s="181" t="s">
        <v>92</v>
      </c>
      <c r="F10" s="173">
        <v>1015</v>
      </c>
      <c r="G10" s="120" t="s">
        <v>109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309"/>
      <c r="P10" s="310"/>
      <c r="Q10" s="311"/>
      <c r="R10" s="26" t="s">
        <v>328</v>
      </c>
      <c r="S10" s="31">
        <v>0.41666666666666669</v>
      </c>
      <c r="T10" s="32">
        <v>0.71875</v>
      </c>
      <c r="U10" s="92">
        <f t="shared" si="0"/>
        <v>7.25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12329</v>
      </c>
      <c r="C11" s="18" t="s">
        <v>401</v>
      </c>
      <c r="D11" s="203" t="s">
        <v>402</v>
      </c>
      <c r="E11" s="181" t="s">
        <v>91</v>
      </c>
      <c r="F11" s="66">
        <v>1020</v>
      </c>
      <c r="G11" s="121" t="s">
        <v>112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19"/>
      <c r="P11" s="320"/>
      <c r="Q11" s="321"/>
      <c r="R11" s="26" t="s">
        <v>103</v>
      </c>
      <c r="S11" s="31">
        <v>0.40625</v>
      </c>
      <c r="T11" s="32">
        <v>0.70833333333333337</v>
      </c>
      <c r="U11" s="92">
        <f t="shared" si="0"/>
        <v>7.2500000000000009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12330</v>
      </c>
      <c r="C12" s="64" t="s">
        <v>403</v>
      </c>
      <c r="D12" s="204" t="s">
        <v>404</v>
      </c>
      <c r="E12" s="181" t="s">
        <v>91</v>
      </c>
      <c r="F12" s="173">
        <v>1045</v>
      </c>
      <c r="G12" s="119" t="s">
        <v>109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19"/>
      <c r="P12" s="320"/>
      <c r="Q12" s="321"/>
      <c r="R12" s="26" t="s">
        <v>388</v>
      </c>
      <c r="S12" s="31">
        <v>0.375</v>
      </c>
      <c r="T12" s="32">
        <v>0.64583333333333337</v>
      </c>
      <c r="U12" s="92">
        <f t="shared" si="0"/>
        <v>6.5000000000000009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12331</v>
      </c>
      <c r="C13" s="64" t="s">
        <v>405</v>
      </c>
      <c r="D13" s="204" t="s">
        <v>406</v>
      </c>
      <c r="E13" s="181" t="s">
        <v>91</v>
      </c>
      <c r="F13" s="173">
        <v>1100</v>
      </c>
      <c r="G13" s="119" t="s">
        <v>109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19"/>
      <c r="P13" s="320"/>
      <c r="Q13" s="321"/>
      <c r="R13" s="33" t="s">
        <v>390</v>
      </c>
      <c r="S13" s="31">
        <v>0.5</v>
      </c>
      <c r="T13" s="32">
        <v>0.70833333333333337</v>
      </c>
      <c r="U13" s="92">
        <f t="shared" si="0"/>
        <v>5.0000000000000009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12332</v>
      </c>
      <c r="C14" s="65" t="s">
        <v>407</v>
      </c>
      <c r="D14" s="205" t="s">
        <v>408</v>
      </c>
      <c r="E14" s="181" t="s">
        <v>91</v>
      </c>
      <c r="F14" s="174">
        <v>1120</v>
      </c>
      <c r="G14" s="122" t="s">
        <v>409</v>
      </c>
      <c r="H14" s="123">
        <v>130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19"/>
      <c r="P14" s="320"/>
      <c r="Q14" s="32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12333</v>
      </c>
      <c r="C15" s="65" t="s">
        <v>410</v>
      </c>
      <c r="D15" s="205" t="s">
        <v>411</v>
      </c>
      <c r="E15" s="181" t="s">
        <v>92</v>
      </c>
      <c r="F15" s="174">
        <v>1130</v>
      </c>
      <c r="G15" s="122" t="s">
        <v>204</v>
      </c>
      <c r="H15" s="123"/>
      <c r="I15" s="124"/>
      <c r="J15" s="130" t="str">
        <f t="shared" si="1"/>
        <v>0</v>
      </c>
      <c r="K15" s="130">
        <v>62.5</v>
      </c>
      <c r="L15" s="131"/>
      <c r="M15" s="131"/>
      <c r="N15" s="134" t="s">
        <v>98</v>
      </c>
      <c r="O15" s="319" t="s">
        <v>412</v>
      </c>
      <c r="P15" s="320"/>
      <c r="Q15" s="32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12334</v>
      </c>
      <c r="C16" s="65" t="s">
        <v>413</v>
      </c>
      <c r="D16" s="205" t="s">
        <v>414</v>
      </c>
      <c r="E16" s="181" t="s">
        <v>92</v>
      </c>
      <c r="F16" s="174">
        <v>1140</v>
      </c>
      <c r="G16" s="122" t="s">
        <v>109</v>
      </c>
      <c r="H16" s="123">
        <v>95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19"/>
      <c r="P16" s="320"/>
      <c r="Q16" s="321"/>
      <c r="R16" s="82">
        <f>H32/U16</f>
        <v>0.5</v>
      </c>
      <c r="S16" s="83">
        <f>H32/(U16-U5)</f>
        <v>0.59487179487179487</v>
      </c>
      <c r="T16" s="83">
        <f>C32/U16</f>
        <v>52.21103448275862</v>
      </c>
      <c r="U16" s="83">
        <f>SUM(U5:U15)</f>
        <v>58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12335</v>
      </c>
      <c r="C17" s="18" t="s">
        <v>415</v>
      </c>
      <c r="D17" s="203" t="s">
        <v>416</v>
      </c>
      <c r="E17" s="181" t="s">
        <v>91</v>
      </c>
      <c r="F17" s="66">
        <v>1145</v>
      </c>
      <c r="G17" s="121" t="s">
        <v>109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19"/>
      <c r="P17" s="320"/>
      <c r="Q17" s="32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12336</v>
      </c>
      <c r="C18" s="18" t="s">
        <v>417</v>
      </c>
      <c r="D18" s="203" t="s">
        <v>418</v>
      </c>
      <c r="E18" s="181" t="s">
        <v>91</v>
      </c>
      <c r="F18" s="66">
        <v>1145</v>
      </c>
      <c r="G18" s="20" t="s">
        <v>109</v>
      </c>
      <c r="H18" s="123">
        <v>95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19"/>
      <c r="P18" s="320"/>
      <c r="Q18" s="32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12337</v>
      </c>
      <c r="C19" s="18" t="s">
        <v>419</v>
      </c>
      <c r="D19" s="203" t="s">
        <v>418</v>
      </c>
      <c r="E19" s="181" t="s">
        <v>91</v>
      </c>
      <c r="F19" s="66">
        <v>1145</v>
      </c>
      <c r="G19" s="121" t="s">
        <v>109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98</v>
      </c>
      <c r="O19" s="319"/>
      <c r="P19" s="320"/>
      <c r="Q19" s="32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12338</v>
      </c>
      <c r="C20" s="18" t="s">
        <v>421</v>
      </c>
      <c r="D20" s="203" t="s">
        <v>420</v>
      </c>
      <c r="E20" s="181" t="s">
        <v>92</v>
      </c>
      <c r="F20" s="66">
        <v>1155</v>
      </c>
      <c r="G20" s="121" t="s">
        <v>173</v>
      </c>
      <c r="H20" s="123">
        <v>45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27"/>
      <c r="P20" s="328"/>
      <c r="Q20" s="32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12339</v>
      </c>
      <c r="C21" s="18" t="s">
        <v>422</v>
      </c>
      <c r="D21" s="203" t="s">
        <v>423</v>
      </c>
      <c r="E21" s="181" t="s">
        <v>91</v>
      </c>
      <c r="F21" s="66">
        <v>1200</v>
      </c>
      <c r="G21" s="20" t="s">
        <v>112</v>
      </c>
      <c r="H21" s="123"/>
      <c r="I21" s="124">
        <v>150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98</v>
      </c>
      <c r="O21" s="319"/>
      <c r="P21" s="320"/>
      <c r="Q21" s="32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12340</v>
      </c>
      <c r="C22" s="127" t="s">
        <v>424</v>
      </c>
      <c r="D22" s="206" t="s">
        <v>425</v>
      </c>
      <c r="E22" s="181" t="s">
        <v>91</v>
      </c>
      <c r="F22" s="175">
        <v>1225</v>
      </c>
      <c r="G22" s="263" t="s">
        <v>109</v>
      </c>
      <c r="H22" s="89">
        <v>95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98</v>
      </c>
      <c r="O22" s="319"/>
      <c r="P22" s="320"/>
      <c r="Q22" s="32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12341</v>
      </c>
      <c r="C23" s="136" t="s">
        <v>426</v>
      </c>
      <c r="D23" s="207" t="s">
        <v>427</v>
      </c>
      <c r="E23" s="181" t="s">
        <v>91</v>
      </c>
      <c r="F23" s="176">
        <v>1230</v>
      </c>
      <c r="G23" s="165" t="s">
        <v>112</v>
      </c>
      <c r="H23" s="89">
        <v>150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98</v>
      </c>
      <c r="O23" s="163"/>
      <c r="P23" s="164"/>
      <c r="Q23" s="159"/>
      <c r="R23" s="113"/>
      <c r="S23" s="114"/>
      <c r="T23" s="114"/>
      <c r="U23" s="115"/>
      <c r="X23" s="325"/>
      <c r="Y23" s="326"/>
      <c r="Z23" s="326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12342</v>
      </c>
      <c r="C24" s="127" t="s">
        <v>428</v>
      </c>
      <c r="D24" s="206" t="s">
        <v>429</v>
      </c>
      <c r="E24" s="181" t="s">
        <v>91</v>
      </c>
      <c r="F24" s="175">
        <v>1245</v>
      </c>
      <c r="G24" s="263" t="s">
        <v>109</v>
      </c>
      <c r="H24" s="89"/>
      <c r="I24" s="141">
        <v>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98</v>
      </c>
      <c r="O24" s="319"/>
      <c r="P24" s="320"/>
      <c r="Q24" s="32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12343</v>
      </c>
      <c r="C25" s="132" t="s">
        <v>430</v>
      </c>
      <c r="D25" s="208" t="s">
        <v>431</v>
      </c>
      <c r="E25" s="181" t="s">
        <v>92</v>
      </c>
      <c r="F25" s="175">
        <v>1300</v>
      </c>
      <c r="G25" s="263" t="s">
        <v>109</v>
      </c>
      <c r="H25" s="90">
        <v>95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98</v>
      </c>
      <c r="O25" s="319"/>
      <c r="P25" s="320"/>
      <c r="Q25" s="32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9">
        <f>((C32+(R26+S26+T26)*0.5))</f>
        <v>3028.24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12344</v>
      </c>
      <c r="C26" s="27" t="s">
        <v>432</v>
      </c>
      <c r="D26" s="209" t="s">
        <v>433</v>
      </c>
      <c r="E26" s="181" t="s">
        <v>92</v>
      </c>
      <c r="F26" s="177">
        <v>1305</v>
      </c>
      <c r="G26" s="20" t="s">
        <v>112</v>
      </c>
      <c r="H26" s="89"/>
      <c r="I26" s="141">
        <v>100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98</v>
      </c>
      <c r="O26" s="319"/>
      <c r="P26" s="320"/>
      <c r="Q26" s="321"/>
      <c r="R26" s="112">
        <f>R25*37.5</f>
        <v>0</v>
      </c>
      <c r="S26" s="102">
        <f>S25*41.5</f>
        <v>0</v>
      </c>
      <c r="T26" s="102">
        <f>T25*50</f>
        <v>0</v>
      </c>
      <c r="U26" s="33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12345</v>
      </c>
      <c r="C27" s="27" t="s">
        <v>435</v>
      </c>
      <c r="D27" s="209" t="s">
        <v>436</v>
      </c>
      <c r="E27" s="181" t="s">
        <v>92</v>
      </c>
      <c r="F27" s="177">
        <v>1320</v>
      </c>
      <c r="G27" s="20" t="s">
        <v>106</v>
      </c>
      <c r="H27" s="89"/>
      <c r="I27" s="141">
        <v>75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98</v>
      </c>
      <c r="O27" s="319"/>
      <c r="P27" s="320"/>
      <c r="Q27" s="321"/>
      <c r="R27" s="338" t="s">
        <v>56</v>
      </c>
      <c r="S27" s="339"/>
      <c r="T27" s="339"/>
      <c r="U27" s="34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12346</v>
      </c>
      <c r="C28" s="27" t="s">
        <v>437</v>
      </c>
      <c r="D28" s="209" t="s">
        <v>438</v>
      </c>
      <c r="E28" s="181" t="s">
        <v>91</v>
      </c>
      <c r="F28" s="177">
        <v>1350</v>
      </c>
      <c r="G28" s="20" t="s">
        <v>204</v>
      </c>
      <c r="H28" s="89"/>
      <c r="I28" s="141"/>
      <c r="J28" s="130" t="str">
        <f t="shared" si="1"/>
        <v>0</v>
      </c>
      <c r="K28" s="130">
        <v>62.5</v>
      </c>
      <c r="L28" s="69"/>
      <c r="M28" s="69"/>
      <c r="N28" s="134" t="s">
        <v>98</v>
      </c>
      <c r="O28" s="319" t="s">
        <v>448</v>
      </c>
      <c r="P28" s="320"/>
      <c r="Q28" s="321"/>
      <c r="R28" s="331" t="s">
        <v>389</v>
      </c>
      <c r="S28" s="332"/>
      <c r="T28" s="33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>
        <v>12347</v>
      </c>
      <c r="C29" s="34" t="s">
        <v>439</v>
      </c>
      <c r="D29" s="210" t="s">
        <v>440</v>
      </c>
      <c r="E29" s="182" t="s">
        <v>91</v>
      </c>
      <c r="F29" s="177">
        <v>1400</v>
      </c>
      <c r="G29" s="20" t="s">
        <v>112</v>
      </c>
      <c r="H29" s="89"/>
      <c r="I29" s="89">
        <v>150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98</v>
      </c>
      <c r="O29" s="350"/>
      <c r="P29" s="351"/>
      <c r="Q29" s="352"/>
      <c r="R29" s="353" t="s">
        <v>434</v>
      </c>
      <c r="S29" s="354"/>
      <c r="T29" s="35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56" t="s">
        <v>48</v>
      </c>
      <c r="B30" s="357"/>
      <c r="C30" s="357"/>
      <c r="D30" s="357"/>
      <c r="E30" s="358"/>
      <c r="F30" s="357"/>
      <c r="G30" s="357"/>
      <c r="H30" s="264">
        <f t="shared" ref="H30:M30" si="3">SUM(H5:H29)</f>
        <v>1065</v>
      </c>
      <c r="I30" s="105">
        <f>SUM(I5:I29)</f>
        <v>1285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204.16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9"/>
      <c r="S30" s="359"/>
      <c r="T30" s="36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61" t="s">
        <v>16</v>
      </c>
      <c r="B31" s="362"/>
      <c r="C31" s="362"/>
      <c r="D31" s="362"/>
      <c r="E31" s="362"/>
      <c r="F31" s="362"/>
      <c r="G31" s="362"/>
      <c r="H31" s="265">
        <f t="shared" ref="H31:J31" si="4">H30+H62+H94</f>
        <v>1160</v>
      </c>
      <c r="I31" s="103">
        <f t="shared" si="4"/>
        <v>1285</v>
      </c>
      <c r="J31" s="103">
        <f t="shared" si="4"/>
        <v>0</v>
      </c>
      <c r="K31" s="103">
        <f>K30+K62+K94</f>
        <v>583.24</v>
      </c>
      <c r="L31" s="97">
        <f>L30+L62+L94</f>
        <v>0</v>
      </c>
      <c r="M31" s="97">
        <f>M30+M62+M94</f>
        <v>0</v>
      </c>
      <c r="N31" s="262">
        <f>COUNT(H5:H29,H37:H61,H69:H93)</f>
        <v>12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1160</v>
      </c>
      <c r="T31" s="346">
        <f>H31+I31+L31+M31</f>
        <v>2445</v>
      </c>
      <c r="U31" s="34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34" t="s">
        <v>55</v>
      </c>
      <c r="B32" s="335"/>
      <c r="C32" s="107">
        <f>H31+I31+J31+K31</f>
        <v>3028.24</v>
      </c>
      <c r="D32" s="196"/>
      <c r="E32" s="107"/>
      <c r="F32" s="336" t="s">
        <v>53</v>
      </c>
      <c r="G32" s="336"/>
      <c r="H32" s="109">
        <f>COUNT(B5:B29,B37:B61,B69:B93)</f>
        <v>29</v>
      </c>
      <c r="I32" s="337" t="s">
        <v>54</v>
      </c>
      <c r="J32" s="337"/>
      <c r="K32" s="108">
        <f>C32/H32</f>
        <v>104.42206896551724</v>
      </c>
      <c r="L32" s="260"/>
      <c r="M32" s="260"/>
      <c r="N32" s="260">
        <f>H31/C32</f>
        <v>0.38306078778432362</v>
      </c>
      <c r="O32" s="260">
        <f>I31/C32</f>
        <v>0.42433888991625501</v>
      </c>
      <c r="P32" s="260">
        <f>K31/C32</f>
        <v>0.19260032229942145</v>
      </c>
      <c r="Q32" s="110">
        <f>J31/C32</f>
        <v>0</v>
      </c>
      <c r="R32" s="99" t="s">
        <v>82</v>
      </c>
      <c r="S32" s="266">
        <f>I31+M31</f>
        <v>1285</v>
      </c>
      <c r="T32" s="348"/>
      <c r="U32" s="349"/>
      <c r="V32" s="55"/>
      <c r="W32" s="55"/>
      <c r="X32" s="56" t="s">
        <v>27</v>
      </c>
      <c r="Y32" s="56"/>
      <c r="Z32" s="54">
        <f>I31</f>
        <v>1285</v>
      </c>
      <c r="AE32" s="37"/>
      <c r="AF32" s="37"/>
      <c r="AG32" s="37"/>
      <c r="AH32" s="37"/>
    </row>
    <row r="33" spans="1:34" ht="18" thickBot="1" x14ac:dyDescent="0.45">
      <c r="A33" s="344" t="s">
        <v>24</v>
      </c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/>
      <c r="Q33" s="345"/>
      <c r="R33" s="345"/>
      <c r="S33" s="345"/>
      <c r="T33" s="303"/>
      <c r="U33" s="304"/>
      <c r="X33" s="57" t="s">
        <v>29</v>
      </c>
      <c r="Y33" s="57"/>
      <c r="Z33" s="58">
        <f>SUM(Z31:Z32)</f>
        <v>-1460</v>
      </c>
      <c r="AE33" s="37"/>
      <c r="AF33" s="37"/>
      <c r="AG33" s="59"/>
      <c r="AH33" s="37"/>
    </row>
    <row r="34" spans="1:34" ht="18" thickBot="1" x14ac:dyDescent="0.45">
      <c r="A34" s="302" t="str">
        <f>A2</f>
        <v>20-11-2022</v>
      </c>
      <c r="B34" s="303"/>
      <c r="C34" s="303"/>
      <c r="D34" s="303"/>
      <c r="E34" s="303"/>
      <c r="F34" s="303"/>
      <c r="G34" s="304"/>
      <c r="H34" s="305" t="s">
        <v>49</v>
      </c>
      <c r="I34" s="306"/>
      <c r="J34" s="302" t="str">
        <f>J2</f>
        <v>SUNNY</v>
      </c>
      <c r="K34" s="304"/>
      <c r="L34" s="306" t="s">
        <v>50</v>
      </c>
      <c r="M34" s="307"/>
      <c r="N34" s="305"/>
      <c r="O34" s="303" t="str">
        <f>O2</f>
        <v>JOHN</v>
      </c>
      <c r="P34" s="303"/>
      <c r="Q34" s="304"/>
      <c r="R34" s="306" t="s">
        <v>51</v>
      </c>
      <c r="S34" s="305"/>
      <c r="T34" s="308">
        <f>T2</f>
        <v>7</v>
      </c>
      <c r="U34" s="30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2" t="s">
        <v>8</v>
      </c>
      <c r="P36" s="312"/>
      <c r="Q36" s="31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>
        <v>12348</v>
      </c>
      <c r="C37" s="68" t="s">
        <v>441</v>
      </c>
      <c r="D37" s="258" t="s">
        <v>442</v>
      </c>
      <c r="E37" s="181" t="s">
        <v>91</v>
      </c>
      <c r="F37" s="174">
        <v>1430</v>
      </c>
      <c r="G37" s="118" t="s">
        <v>121</v>
      </c>
      <c r="H37" s="91"/>
      <c r="I37" s="124"/>
      <c r="J37" s="130" t="str">
        <f>IF(G37="RSL","55","0")</f>
        <v>0</v>
      </c>
      <c r="K37" s="130">
        <v>237.48</v>
      </c>
      <c r="L37" s="131"/>
      <c r="M37" s="131"/>
      <c r="N37" s="69" t="s">
        <v>98</v>
      </c>
      <c r="O37" s="319" t="s">
        <v>443</v>
      </c>
      <c r="P37" s="320"/>
      <c r="Q37" s="321"/>
      <c r="R37" s="60"/>
      <c r="S37" s="61"/>
      <c r="T37" s="61"/>
      <c r="U37" s="70"/>
    </row>
    <row r="38" spans="1:34" x14ac:dyDescent="0.4">
      <c r="A38" s="128">
        <f>A37+1</f>
        <v>27</v>
      </c>
      <c r="B38" s="263">
        <v>12349</v>
      </c>
      <c r="C38" s="67" t="s">
        <v>446</v>
      </c>
      <c r="D38" s="195" t="s">
        <v>447</v>
      </c>
      <c r="E38" s="181" t="s">
        <v>91</v>
      </c>
      <c r="F38" s="179">
        <v>1430</v>
      </c>
      <c r="G38" s="118" t="s">
        <v>109</v>
      </c>
      <c r="H38" s="91">
        <v>95</v>
      </c>
      <c r="I38" s="124"/>
      <c r="J38" s="130" t="str">
        <f t="shared" ref="J38:J61" si="5">IF(G38="RSL","55","0")</f>
        <v>0</v>
      </c>
      <c r="K38" s="130" t="str">
        <f t="shared" ref="K38:K61" si="6">IF(G38="GVS","37.5",IF(G38="GVM","41.5",IF(G38="GVL","50",IF(G38="PCS","45.8",IF(G38="PCM","50",IF(G38="PCL","58.3","0"))))))</f>
        <v>0</v>
      </c>
      <c r="L38" s="131"/>
      <c r="M38" s="131"/>
      <c r="N38" s="69" t="s">
        <v>98</v>
      </c>
      <c r="O38" s="316"/>
      <c r="P38" s="317"/>
      <c r="Q38" s="318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>
        <v>12350</v>
      </c>
      <c r="C39" s="27" t="s">
        <v>444</v>
      </c>
      <c r="D39" s="183" t="s">
        <v>445</v>
      </c>
      <c r="E39" s="181" t="s">
        <v>91</v>
      </c>
      <c r="F39" s="179">
        <v>1450</v>
      </c>
      <c r="G39" s="118" t="s">
        <v>204</v>
      </c>
      <c r="H39" s="91"/>
      <c r="I39" s="124"/>
      <c r="J39" s="130" t="str">
        <f t="shared" si="5"/>
        <v>0</v>
      </c>
      <c r="K39" s="130">
        <v>62.5</v>
      </c>
      <c r="L39" s="131"/>
      <c r="M39" s="131"/>
      <c r="N39" s="69" t="s">
        <v>98</v>
      </c>
      <c r="O39" s="319" t="s">
        <v>449</v>
      </c>
      <c r="P39" s="320"/>
      <c r="Q39" s="321"/>
      <c r="R39" s="79"/>
      <c r="S39" s="13"/>
      <c r="T39" s="12"/>
      <c r="U39" s="72"/>
    </row>
    <row r="40" spans="1:34" x14ac:dyDescent="0.4">
      <c r="A40" s="128">
        <f t="shared" si="7"/>
        <v>29</v>
      </c>
      <c r="B40" s="301">
        <v>12351</v>
      </c>
      <c r="C40" s="63" t="s">
        <v>451</v>
      </c>
      <c r="D40" s="184" t="s">
        <v>452</v>
      </c>
      <c r="E40" s="181" t="s">
        <v>91</v>
      </c>
      <c r="F40" s="180">
        <v>1545</v>
      </c>
      <c r="G40" s="119" t="s">
        <v>121</v>
      </c>
      <c r="H40" s="91"/>
      <c r="I40" s="91"/>
      <c r="J40" s="130" t="str">
        <f t="shared" si="5"/>
        <v>0</v>
      </c>
      <c r="K40" s="130">
        <v>79.099999999999994</v>
      </c>
      <c r="L40" s="131"/>
      <c r="M40" s="131"/>
      <c r="N40" s="69" t="s">
        <v>98</v>
      </c>
      <c r="O40" s="322" t="s">
        <v>453</v>
      </c>
      <c r="P40" s="323"/>
      <c r="Q40" s="324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5"/>
        <v>0</v>
      </c>
      <c r="K41" s="130" t="str">
        <f t="shared" si="6"/>
        <v>0</v>
      </c>
      <c r="L41" s="131"/>
      <c r="M41" s="131"/>
      <c r="N41" s="69"/>
      <c r="O41" s="322"/>
      <c r="P41" s="323"/>
      <c r="Q41" s="324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5"/>
        <v>0</v>
      </c>
      <c r="K42" s="130" t="str">
        <f t="shared" si="6"/>
        <v>0</v>
      </c>
      <c r="L42" s="131"/>
      <c r="M42" s="131"/>
      <c r="N42" s="69"/>
      <c r="O42" s="309"/>
      <c r="P42" s="310"/>
      <c r="Q42" s="311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5"/>
        <v>0</v>
      </c>
      <c r="K43" s="130" t="str">
        <f t="shared" si="6"/>
        <v>0</v>
      </c>
      <c r="L43" s="131"/>
      <c r="M43" s="131"/>
      <c r="N43" s="69"/>
      <c r="O43" s="319"/>
      <c r="P43" s="320"/>
      <c r="Q43" s="321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5"/>
        <v>0</v>
      </c>
      <c r="K44" s="130" t="str">
        <f t="shared" si="6"/>
        <v>0</v>
      </c>
      <c r="L44" s="131"/>
      <c r="M44" s="131"/>
      <c r="N44" s="69"/>
      <c r="O44" s="319"/>
      <c r="P44" s="320"/>
      <c r="Q44" s="321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5"/>
        <v>0</v>
      </c>
      <c r="K45" s="130" t="str">
        <f t="shared" si="6"/>
        <v>0</v>
      </c>
      <c r="L45" s="131"/>
      <c r="M45" s="131"/>
      <c r="N45" s="69"/>
      <c r="O45" s="319"/>
      <c r="P45" s="320"/>
      <c r="Q45" s="321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5"/>
        <v>0</v>
      </c>
      <c r="K46" s="130" t="str">
        <f t="shared" si="6"/>
        <v>0</v>
      </c>
      <c r="L46" s="131"/>
      <c r="M46" s="131"/>
      <c r="N46" s="69"/>
      <c r="O46" s="319"/>
      <c r="P46" s="320"/>
      <c r="Q46" s="321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5"/>
        <v>0</v>
      </c>
      <c r="K47" s="130" t="str">
        <f t="shared" si="6"/>
        <v>0</v>
      </c>
      <c r="L47" s="131"/>
      <c r="M47" s="131"/>
      <c r="N47" s="69"/>
      <c r="O47" s="319"/>
      <c r="P47" s="320"/>
      <c r="Q47" s="321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5"/>
        <v>0</v>
      </c>
      <c r="K48" s="130" t="str">
        <f t="shared" si="6"/>
        <v>0</v>
      </c>
      <c r="L48" s="131"/>
      <c r="M48" s="131"/>
      <c r="N48" s="69"/>
      <c r="O48" s="319"/>
      <c r="P48" s="320"/>
      <c r="Q48" s="321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5"/>
        <v>0</v>
      </c>
      <c r="K49" s="130" t="str">
        <f t="shared" si="6"/>
        <v>0</v>
      </c>
      <c r="L49" s="131"/>
      <c r="M49" s="131"/>
      <c r="N49" s="69"/>
      <c r="O49" s="319"/>
      <c r="P49" s="320"/>
      <c r="Q49" s="321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5"/>
        <v>0</v>
      </c>
      <c r="K50" s="130" t="str">
        <f t="shared" si="6"/>
        <v>0</v>
      </c>
      <c r="L50" s="131"/>
      <c r="M50" s="131"/>
      <c r="N50" s="69"/>
      <c r="O50" s="319"/>
      <c r="P50" s="320"/>
      <c r="Q50" s="321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5"/>
        <v>0</v>
      </c>
      <c r="K51" s="130" t="str">
        <f t="shared" si="6"/>
        <v>0</v>
      </c>
      <c r="L51" s="131"/>
      <c r="M51" s="131"/>
      <c r="N51" s="69"/>
      <c r="O51" s="319"/>
      <c r="P51" s="320"/>
      <c r="Q51" s="320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5"/>
        <v>0</v>
      </c>
      <c r="K52" s="130" t="str">
        <f t="shared" si="6"/>
        <v>0</v>
      </c>
      <c r="L52" s="131"/>
      <c r="M52" s="131"/>
      <c r="N52" s="69"/>
      <c r="O52" s="319"/>
      <c r="P52" s="320"/>
      <c r="Q52" s="320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5"/>
        <v>0</v>
      </c>
      <c r="K53" s="130" t="str">
        <f t="shared" si="6"/>
        <v>0</v>
      </c>
      <c r="L53" s="69"/>
      <c r="M53" s="69"/>
      <c r="N53" s="69"/>
      <c r="O53" s="363"/>
      <c r="P53" s="319"/>
      <c r="Q53" s="319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5"/>
        <v>0</v>
      </c>
      <c r="K54" s="130" t="str">
        <f t="shared" si="6"/>
        <v>0</v>
      </c>
      <c r="L54" s="69"/>
      <c r="M54" s="69"/>
      <c r="N54" s="69"/>
      <c r="O54" s="363"/>
      <c r="P54" s="319"/>
      <c r="Q54" s="319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5"/>
        <v>0</v>
      </c>
      <c r="K55" s="130" t="str">
        <f t="shared" si="6"/>
        <v>0</v>
      </c>
      <c r="L55" s="69"/>
      <c r="M55" s="69"/>
      <c r="N55" s="69"/>
      <c r="O55" s="363"/>
      <c r="P55" s="319"/>
      <c r="Q55" s="319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5"/>
        <v>0</v>
      </c>
      <c r="K56" s="130" t="str">
        <f t="shared" si="6"/>
        <v>0</v>
      </c>
      <c r="L56" s="69"/>
      <c r="M56" s="69"/>
      <c r="N56" s="69"/>
      <c r="O56" s="320"/>
      <c r="P56" s="320"/>
      <c r="Q56" s="320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5"/>
        <v>0</v>
      </c>
      <c r="K57" s="130" t="str">
        <f t="shared" si="6"/>
        <v>0</v>
      </c>
      <c r="L57" s="69"/>
      <c r="M57" s="69"/>
      <c r="N57" s="69"/>
      <c r="O57" s="319"/>
      <c r="P57" s="320"/>
      <c r="Q57" s="320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5"/>
        <v>0</v>
      </c>
      <c r="K58" s="130" t="str">
        <f t="shared" si="6"/>
        <v>0</v>
      </c>
      <c r="L58" s="69"/>
      <c r="M58" s="69"/>
      <c r="N58" s="69"/>
      <c r="O58" s="320"/>
      <c r="P58" s="320"/>
      <c r="Q58" s="320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5"/>
        <v>0</v>
      </c>
      <c r="K59" s="130" t="str">
        <f t="shared" si="6"/>
        <v>0</v>
      </c>
      <c r="L59" s="69"/>
      <c r="M59" s="69"/>
      <c r="N59" s="69"/>
      <c r="O59" s="320"/>
      <c r="P59" s="320"/>
      <c r="Q59" s="320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5"/>
        <v>0</v>
      </c>
      <c r="K60" s="130" t="str">
        <f t="shared" si="6"/>
        <v>0</v>
      </c>
      <c r="L60" s="69"/>
      <c r="M60" s="69"/>
      <c r="N60" s="69"/>
      <c r="O60" s="319"/>
      <c r="P60" s="320"/>
      <c r="Q60" s="321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5"/>
        <v>0</v>
      </c>
      <c r="K61" s="130" t="str">
        <f t="shared" si="6"/>
        <v>0</v>
      </c>
      <c r="L61" s="149"/>
      <c r="M61" s="149"/>
      <c r="N61" s="149"/>
      <c r="O61" s="364"/>
      <c r="P61" s="365"/>
      <c r="Q61" s="366"/>
      <c r="R61" s="81"/>
      <c r="S61" s="68"/>
      <c r="T61" s="68"/>
      <c r="U61" s="77"/>
    </row>
    <row r="62" spans="1:21" x14ac:dyDescent="0.4">
      <c r="A62" s="367" t="s">
        <v>48</v>
      </c>
      <c r="B62" s="368"/>
      <c r="C62" s="368"/>
      <c r="D62" s="368"/>
      <c r="E62" s="368"/>
      <c r="F62" s="368"/>
      <c r="G62" s="368"/>
      <c r="H62" s="368">
        <f t="shared" ref="H62:M62" si="8">SUM(H37:H61)</f>
        <v>95</v>
      </c>
      <c r="I62" s="373">
        <f t="shared" si="8"/>
        <v>0</v>
      </c>
      <c r="J62" s="373">
        <f>J61+J60+J59+J58+J57+J56+J55+J54+J53+J52+J51+J50+J49+J48+J47+J46+J45+J44+J43+J42+J41+J40+J39+J38+J37</f>
        <v>0</v>
      </c>
      <c r="K62" s="373">
        <f>K61+K60+K59+K58+K57+K56+K55+K54+K53+K52+K51+K50+K49+K48+K47+K46+K45+K44+K43+K42+K41+K40+K39+K38+K37</f>
        <v>379.08</v>
      </c>
      <c r="L62" s="376">
        <f t="shared" si="8"/>
        <v>0</v>
      </c>
      <c r="M62" s="379">
        <f t="shared" si="8"/>
        <v>0</v>
      </c>
      <c r="N62" s="382"/>
      <c r="O62" s="383"/>
      <c r="P62" s="383"/>
      <c r="Q62" s="384"/>
      <c r="R62" s="5"/>
      <c r="S62" s="6"/>
      <c r="T62" s="7"/>
      <c r="U62" s="8"/>
    </row>
    <row r="63" spans="1:21" ht="18" thickBot="1" x14ac:dyDescent="0.45">
      <c r="A63" s="369"/>
      <c r="B63" s="370"/>
      <c r="C63" s="370"/>
      <c r="D63" s="370"/>
      <c r="E63" s="370"/>
      <c r="F63" s="370"/>
      <c r="G63" s="370"/>
      <c r="H63" s="370"/>
      <c r="I63" s="374"/>
      <c r="J63" s="374"/>
      <c r="K63" s="374"/>
      <c r="L63" s="377"/>
      <c r="M63" s="380"/>
      <c r="N63" s="385"/>
      <c r="O63" s="386"/>
      <c r="P63" s="386"/>
      <c r="Q63" s="387"/>
      <c r="R63" s="1"/>
      <c r="S63" s="2"/>
      <c r="T63" s="3"/>
      <c r="U63" s="4"/>
    </row>
    <row r="64" spans="1:21" ht="18" thickBot="1" x14ac:dyDescent="0.45">
      <c r="A64" s="371"/>
      <c r="B64" s="372"/>
      <c r="C64" s="372"/>
      <c r="D64" s="372"/>
      <c r="E64" s="372"/>
      <c r="F64" s="372"/>
      <c r="G64" s="372"/>
      <c r="H64" s="372"/>
      <c r="I64" s="375"/>
      <c r="J64" s="375"/>
      <c r="K64" s="375"/>
      <c r="L64" s="378"/>
      <c r="M64" s="381"/>
      <c r="N64" s="344"/>
      <c r="O64" s="345"/>
      <c r="P64" s="345"/>
      <c r="Q64" s="388"/>
      <c r="R64" s="389" t="s">
        <v>17</v>
      </c>
      <c r="S64" s="390"/>
      <c r="T64" s="390"/>
      <c r="U64" s="391"/>
    </row>
    <row r="65" spans="1:21" ht="18" thickBot="1" x14ac:dyDescent="0.45">
      <c r="A65" s="302" t="s">
        <v>24</v>
      </c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4"/>
    </row>
    <row r="66" spans="1:21" ht="18" thickBot="1" x14ac:dyDescent="0.45">
      <c r="A66" s="302" t="str">
        <f>A34</f>
        <v>20-11-2022</v>
      </c>
      <c r="B66" s="303"/>
      <c r="C66" s="303"/>
      <c r="D66" s="303"/>
      <c r="E66" s="303"/>
      <c r="F66" s="303"/>
      <c r="G66" s="304"/>
      <c r="H66" s="305" t="s">
        <v>49</v>
      </c>
      <c r="I66" s="306"/>
      <c r="J66" s="302" t="str">
        <f>J34</f>
        <v>SUNNY</v>
      </c>
      <c r="K66" s="304"/>
      <c r="L66" s="306" t="s">
        <v>50</v>
      </c>
      <c r="M66" s="307"/>
      <c r="N66" s="305"/>
      <c r="O66" s="303" t="str">
        <f>O34</f>
        <v>JOHN</v>
      </c>
      <c r="P66" s="303"/>
      <c r="Q66" s="304"/>
      <c r="R66" s="306" t="s">
        <v>51</v>
      </c>
      <c r="S66" s="305"/>
      <c r="T66" s="308">
        <f>T34</f>
        <v>7</v>
      </c>
      <c r="U66" s="30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2" t="s">
        <v>8</v>
      </c>
      <c r="P68" s="312"/>
      <c r="Q68" s="31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9"/>
      <c r="P69" s="320"/>
      <c r="Q69" s="321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9"/>
      <c r="P71" s="320"/>
      <c r="Q71" s="321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2"/>
      <c r="P72" s="323"/>
      <c r="Q72" s="324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2"/>
      <c r="P73" s="323"/>
      <c r="Q73" s="324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9"/>
      <c r="P74" s="310"/>
      <c r="Q74" s="311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9"/>
      <c r="P75" s="320"/>
      <c r="Q75" s="321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9"/>
      <c r="P76" s="320"/>
      <c r="Q76" s="321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9"/>
      <c r="P77" s="320"/>
      <c r="Q77" s="321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9"/>
      <c r="P78" s="320"/>
      <c r="Q78" s="321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9"/>
      <c r="P79" s="320"/>
      <c r="Q79" s="321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9"/>
      <c r="P80" s="320"/>
      <c r="Q80" s="321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9"/>
      <c r="P81" s="320"/>
      <c r="Q81" s="321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9"/>
      <c r="P82" s="320"/>
      <c r="Q82" s="321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9"/>
      <c r="P83" s="320"/>
      <c r="Q83" s="320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9"/>
      <c r="P84" s="320"/>
      <c r="Q84" s="320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63"/>
      <c r="P85" s="319"/>
      <c r="Q85" s="319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63"/>
      <c r="P86" s="319"/>
      <c r="Q86" s="319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63"/>
      <c r="P87" s="319"/>
      <c r="Q87" s="319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20"/>
      <c r="P88" s="320"/>
      <c r="Q88" s="320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9"/>
      <c r="P89" s="320"/>
      <c r="Q89" s="320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20"/>
      <c r="P90" s="320"/>
      <c r="Q90" s="320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20"/>
      <c r="P91" s="320"/>
      <c r="Q91" s="320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9"/>
      <c r="P92" s="320"/>
      <c r="Q92" s="321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64"/>
      <c r="P93" s="365"/>
      <c r="Q93" s="366"/>
      <c r="R93" s="81"/>
      <c r="S93" s="68"/>
      <c r="T93" s="68"/>
      <c r="U93" s="77"/>
    </row>
    <row r="94" spans="1:21" x14ac:dyDescent="0.4">
      <c r="A94" s="367" t="s">
        <v>48</v>
      </c>
      <c r="B94" s="368"/>
      <c r="C94" s="368"/>
      <c r="D94" s="368"/>
      <c r="E94" s="392"/>
      <c r="F94" s="368"/>
      <c r="G94" s="368"/>
      <c r="H94" s="368">
        <f t="shared" ref="H94:M94" si="12">SUM(H69:H93)</f>
        <v>0</v>
      </c>
      <c r="I94" s="373">
        <f t="shared" si="12"/>
        <v>0</v>
      </c>
      <c r="J94" s="373">
        <f>J93+J92+J91+J90+J89+J88+J87+J86+J85+J84+J83+J82+J81+J80+J79+J78+J77+J76+J75+J74+J73+J72+J71+J70+J69</f>
        <v>0</v>
      </c>
      <c r="K94" s="373">
        <f>K93+K92+K91+K90+K89+K88+K87+K86+K85+K84+K83+K82+K81+K80+K79+K78+K77+K76+K75+K74+K73+K72+K71+K70+K69</f>
        <v>0</v>
      </c>
      <c r="L94" s="376">
        <f t="shared" si="12"/>
        <v>0</v>
      </c>
      <c r="M94" s="379">
        <f t="shared" si="12"/>
        <v>0</v>
      </c>
      <c r="N94" s="382"/>
      <c r="O94" s="383"/>
      <c r="P94" s="383"/>
      <c r="Q94" s="384"/>
      <c r="R94" s="5"/>
      <c r="S94" s="6"/>
      <c r="T94" s="7"/>
      <c r="U94" s="8"/>
    </row>
    <row r="95" spans="1:21" ht="18" thickBot="1" x14ac:dyDescent="0.45">
      <c r="A95" s="369"/>
      <c r="B95" s="370"/>
      <c r="C95" s="370"/>
      <c r="D95" s="370"/>
      <c r="E95" s="370"/>
      <c r="F95" s="370"/>
      <c r="G95" s="370"/>
      <c r="H95" s="370"/>
      <c r="I95" s="374"/>
      <c r="J95" s="374"/>
      <c r="K95" s="374"/>
      <c r="L95" s="377"/>
      <c r="M95" s="380"/>
      <c r="N95" s="385"/>
      <c r="O95" s="386"/>
      <c r="P95" s="386"/>
      <c r="Q95" s="387"/>
      <c r="R95" s="1"/>
      <c r="S95" s="2"/>
      <c r="T95" s="3"/>
      <c r="U95" s="4"/>
    </row>
    <row r="96" spans="1:21" ht="18" thickBot="1" x14ac:dyDescent="0.45">
      <c r="A96" s="371"/>
      <c r="B96" s="372"/>
      <c r="C96" s="372"/>
      <c r="D96" s="372"/>
      <c r="E96" s="372"/>
      <c r="F96" s="372"/>
      <c r="G96" s="372"/>
      <c r="H96" s="372"/>
      <c r="I96" s="375"/>
      <c r="J96" s="375"/>
      <c r="K96" s="375"/>
      <c r="L96" s="378"/>
      <c r="M96" s="381"/>
      <c r="N96" s="344"/>
      <c r="O96" s="345"/>
      <c r="P96" s="345"/>
      <c r="Q96" s="388"/>
      <c r="R96" s="389" t="s">
        <v>52</v>
      </c>
      <c r="S96" s="390"/>
      <c r="T96" s="390"/>
      <c r="U96" s="391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topLeftCell="A32" workbookViewId="0">
      <selection activeCell="H24" sqref="H24:K24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548"/>
      <c r="B1" s="548"/>
      <c r="C1" s="548"/>
      <c r="D1" s="548"/>
      <c r="E1" s="546" t="s">
        <v>59</v>
      </c>
      <c r="F1" s="546"/>
      <c r="G1" s="546"/>
      <c r="H1" s="546" t="s">
        <v>60</v>
      </c>
      <c r="I1" s="546"/>
      <c r="J1" s="546"/>
      <c r="K1" s="546"/>
      <c r="L1" s="546" t="s">
        <v>61</v>
      </c>
      <c r="M1" s="546"/>
      <c r="N1" s="546"/>
      <c r="O1" s="546"/>
      <c r="P1" s="546"/>
      <c r="Q1" s="546" t="s">
        <v>62</v>
      </c>
      <c r="R1" s="546"/>
      <c r="S1" s="546"/>
      <c r="T1" s="546"/>
      <c r="U1" s="546"/>
      <c r="V1" s="546" t="s">
        <v>63</v>
      </c>
      <c r="W1" s="546"/>
      <c r="X1" s="546"/>
      <c r="Y1" s="546"/>
      <c r="Z1" s="546"/>
      <c r="AA1" s="546" t="s">
        <v>64</v>
      </c>
      <c r="AB1" s="546"/>
      <c r="AC1" s="546"/>
      <c r="AD1" s="546"/>
    </row>
    <row r="2" spans="1:30" ht="20.100000000000001" customHeight="1" x14ac:dyDescent="0.4">
      <c r="A2" s="465" t="s">
        <v>66</v>
      </c>
      <c r="B2" s="488" t="s">
        <v>57</v>
      </c>
      <c r="C2" s="488"/>
      <c r="D2" s="547"/>
      <c r="E2" s="547">
        <f>MON!N31</f>
        <v>6</v>
      </c>
      <c r="F2" s="547"/>
      <c r="G2" s="547"/>
      <c r="H2" s="549">
        <f>MON!S31</f>
        <v>525</v>
      </c>
      <c r="I2" s="549"/>
      <c r="J2" s="549"/>
      <c r="K2" s="549"/>
      <c r="L2" s="550">
        <f>MON!N32</f>
        <v>0.2736940882076947</v>
      </c>
      <c r="M2" s="550"/>
      <c r="N2" s="550"/>
      <c r="O2" s="550"/>
      <c r="P2" s="550"/>
      <c r="Q2" s="618">
        <f>SUM(E2:G5)</f>
        <v>16</v>
      </c>
      <c r="R2" s="619"/>
      <c r="S2" s="619"/>
      <c r="T2" s="619"/>
      <c r="U2" s="620"/>
      <c r="V2" s="560">
        <f>SUM(H2,H3,H5)</f>
        <v>2135</v>
      </c>
      <c r="W2" s="561"/>
      <c r="X2" s="561"/>
      <c r="Y2" s="561"/>
      <c r="Z2" s="562"/>
      <c r="AA2" s="569">
        <f>V2/Q2</f>
        <v>133.4375</v>
      </c>
      <c r="AB2" s="570"/>
      <c r="AC2" s="570"/>
      <c r="AD2" s="571"/>
    </row>
    <row r="3" spans="1:30" ht="20.100000000000001" customHeight="1" x14ac:dyDescent="0.4">
      <c r="A3" s="466"/>
      <c r="B3" s="488" t="s">
        <v>58</v>
      </c>
      <c r="C3" s="488"/>
      <c r="D3" s="547"/>
      <c r="E3" s="547">
        <f>MON!O31</f>
        <v>8</v>
      </c>
      <c r="F3" s="547"/>
      <c r="G3" s="547"/>
      <c r="H3" s="549">
        <f>MON!S32</f>
        <v>1610</v>
      </c>
      <c r="I3" s="549"/>
      <c r="J3" s="549"/>
      <c r="K3" s="549"/>
      <c r="L3" s="550">
        <f>MON!O32</f>
        <v>0.59170055260139709</v>
      </c>
      <c r="M3" s="550"/>
      <c r="N3" s="550"/>
      <c r="O3" s="550"/>
      <c r="P3" s="550"/>
      <c r="Q3" s="621"/>
      <c r="R3" s="622"/>
      <c r="S3" s="622"/>
      <c r="T3" s="622"/>
      <c r="U3" s="623"/>
      <c r="V3" s="563"/>
      <c r="W3" s="564"/>
      <c r="X3" s="564"/>
      <c r="Y3" s="564"/>
      <c r="Z3" s="565"/>
      <c r="AA3" s="572"/>
      <c r="AB3" s="573"/>
      <c r="AC3" s="573"/>
      <c r="AD3" s="574"/>
    </row>
    <row r="4" spans="1:30" ht="20.100000000000001" customHeight="1" x14ac:dyDescent="0.4">
      <c r="A4" s="466"/>
      <c r="B4" s="488" t="s">
        <v>45</v>
      </c>
      <c r="C4" s="488"/>
      <c r="D4" s="547"/>
      <c r="E4" s="547">
        <f>MON!P31</f>
        <v>2</v>
      </c>
      <c r="F4" s="547"/>
      <c r="G4" s="547"/>
      <c r="H4" s="549">
        <f>MON!K31</f>
        <v>258.2</v>
      </c>
      <c r="I4" s="549"/>
      <c r="J4" s="549"/>
      <c r="K4" s="549"/>
      <c r="L4" s="550">
        <f>MON!P32</f>
        <v>0.13460535919090813</v>
      </c>
      <c r="M4" s="550"/>
      <c r="N4" s="550"/>
      <c r="O4" s="550"/>
      <c r="P4" s="550"/>
      <c r="Q4" s="621"/>
      <c r="R4" s="622"/>
      <c r="S4" s="622"/>
      <c r="T4" s="622"/>
      <c r="U4" s="623"/>
      <c r="V4" s="563"/>
      <c r="W4" s="564"/>
      <c r="X4" s="564"/>
      <c r="Y4" s="564"/>
      <c r="Z4" s="565"/>
      <c r="AA4" s="572"/>
      <c r="AB4" s="573"/>
      <c r="AC4" s="573"/>
      <c r="AD4" s="574"/>
    </row>
    <row r="5" spans="1:30" ht="20.100000000000001" customHeight="1" x14ac:dyDescent="0.4">
      <c r="A5" s="466"/>
      <c r="B5" s="486" t="s">
        <v>65</v>
      </c>
      <c r="C5" s="487"/>
      <c r="D5" s="488"/>
      <c r="E5" s="486">
        <f>MON!Q31</f>
        <v>0</v>
      </c>
      <c r="F5" s="487"/>
      <c r="G5" s="488"/>
      <c r="H5" s="606">
        <f>MON!J31</f>
        <v>0</v>
      </c>
      <c r="I5" s="607"/>
      <c r="J5" s="607"/>
      <c r="K5" s="608"/>
      <c r="L5" s="609">
        <f>MON!Q32</f>
        <v>0</v>
      </c>
      <c r="M5" s="610"/>
      <c r="N5" s="610"/>
      <c r="O5" s="610"/>
      <c r="P5" s="611"/>
      <c r="Q5" s="624"/>
      <c r="R5" s="625"/>
      <c r="S5" s="625"/>
      <c r="T5" s="625"/>
      <c r="U5" s="626"/>
      <c r="V5" s="566"/>
      <c r="W5" s="567"/>
      <c r="X5" s="567"/>
      <c r="Y5" s="567"/>
      <c r="Z5" s="568"/>
      <c r="AA5" s="575"/>
      <c r="AB5" s="576"/>
      <c r="AC5" s="576"/>
      <c r="AD5" s="577"/>
    </row>
    <row r="6" spans="1:30" ht="20.100000000000001" customHeight="1" x14ac:dyDescent="0.4">
      <c r="A6" s="467"/>
      <c r="B6" s="486" t="s">
        <v>94</v>
      </c>
      <c r="C6" s="487"/>
      <c r="D6" s="488"/>
      <c r="E6" s="486">
        <f>MON!U16</f>
        <v>36</v>
      </c>
      <c r="F6" s="487"/>
      <c r="G6" s="488"/>
      <c r="H6" s="606" t="s">
        <v>95</v>
      </c>
      <c r="I6" s="607"/>
      <c r="J6" s="607"/>
      <c r="K6" s="608"/>
      <c r="L6" s="666">
        <f>MON!T2</f>
        <v>5</v>
      </c>
      <c r="M6" s="667"/>
      <c r="N6" s="667"/>
      <c r="O6" s="667"/>
      <c r="P6" s="668"/>
      <c r="Q6" s="669"/>
      <c r="R6" s="670"/>
      <c r="S6" s="670"/>
      <c r="T6" s="670"/>
      <c r="U6" s="671"/>
      <c r="V6" s="436"/>
      <c r="W6" s="437"/>
      <c r="X6" s="437"/>
      <c r="Y6" s="437"/>
      <c r="Z6" s="438"/>
      <c r="AA6" s="439"/>
      <c r="AB6" s="440"/>
      <c r="AC6" s="440"/>
      <c r="AD6" s="441"/>
    </row>
    <row r="7" spans="1:30" ht="20.100000000000001" customHeight="1" x14ac:dyDescent="0.4">
      <c r="A7" s="468" t="s">
        <v>67</v>
      </c>
      <c r="B7" s="444" t="s">
        <v>57</v>
      </c>
      <c r="C7" s="444"/>
      <c r="D7" s="460"/>
      <c r="E7" s="460">
        <f>TUE!N31</f>
        <v>6</v>
      </c>
      <c r="F7" s="460"/>
      <c r="G7" s="460"/>
      <c r="H7" s="461">
        <f>TUE!S31</f>
        <v>625</v>
      </c>
      <c r="I7" s="461"/>
      <c r="J7" s="461"/>
      <c r="K7" s="461"/>
      <c r="L7" s="462">
        <f>TUE!N32</f>
        <v>0.30625245001960016</v>
      </c>
      <c r="M7" s="463"/>
      <c r="N7" s="463"/>
      <c r="O7" s="463"/>
      <c r="P7" s="464"/>
      <c r="Q7" s="648">
        <f>SUM(E7:G10)</f>
        <v>17</v>
      </c>
      <c r="R7" s="649"/>
      <c r="S7" s="649"/>
      <c r="T7" s="649"/>
      <c r="U7" s="650"/>
      <c r="V7" s="551">
        <f>SUM(H7,H8,H10)</f>
        <v>1995</v>
      </c>
      <c r="W7" s="552"/>
      <c r="X7" s="552"/>
      <c r="Y7" s="552"/>
      <c r="Z7" s="553"/>
      <c r="AA7" s="578">
        <f>V7/Q7</f>
        <v>117.35294117647059</v>
      </c>
      <c r="AB7" s="579"/>
      <c r="AC7" s="579"/>
      <c r="AD7" s="580"/>
    </row>
    <row r="8" spans="1:30" ht="20.100000000000001" customHeight="1" x14ac:dyDescent="0.4">
      <c r="A8" s="469"/>
      <c r="B8" s="444" t="s">
        <v>58</v>
      </c>
      <c r="C8" s="444"/>
      <c r="D8" s="460"/>
      <c r="E8" s="460">
        <f>TUE!O31</f>
        <v>6</v>
      </c>
      <c r="F8" s="460"/>
      <c r="G8" s="460"/>
      <c r="H8" s="461">
        <f>TUE!S32</f>
        <v>1370</v>
      </c>
      <c r="I8" s="461"/>
      <c r="J8" s="461"/>
      <c r="K8" s="461"/>
      <c r="L8" s="462">
        <f>TUE!O32</f>
        <v>0.43855350842806745</v>
      </c>
      <c r="M8" s="463"/>
      <c r="N8" s="463"/>
      <c r="O8" s="463"/>
      <c r="P8" s="464"/>
      <c r="Q8" s="651"/>
      <c r="R8" s="652"/>
      <c r="S8" s="652"/>
      <c r="T8" s="652"/>
      <c r="U8" s="653"/>
      <c r="V8" s="554"/>
      <c r="W8" s="555"/>
      <c r="X8" s="555"/>
      <c r="Y8" s="555"/>
      <c r="Z8" s="556"/>
      <c r="AA8" s="581"/>
      <c r="AB8" s="582"/>
      <c r="AC8" s="582"/>
      <c r="AD8" s="583"/>
    </row>
    <row r="9" spans="1:30" ht="20.100000000000001" customHeight="1" x14ac:dyDescent="0.4">
      <c r="A9" s="469"/>
      <c r="B9" s="444" t="s">
        <v>45</v>
      </c>
      <c r="C9" s="444"/>
      <c r="D9" s="460"/>
      <c r="E9" s="460">
        <f>TUE!P31</f>
        <v>5</v>
      </c>
      <c r="F9" s="460"/>
      <c r="G9" s="460"/>
      <c r="H9" s="461">
        <f>TUE!K31</f>
        <v>520.79999999999995</v>
      </c>
      <c r="I9" s="461"/>
      <c r="J9" s="461"/>
      <c r="K9" s="461"/>
      <c r="L9" s="462">
        <f>TUE!P32</f>
        <v>0.25519404155233238</v>
      </c>
      <c r="M9" s="463"/>
      <c r="N9" s="463"/>
      <c r="O9" s="463"/>
      <c r="P9" s="464"/>
      <c r="Q9" s="651"/>
      <c r="R9" s="652"/>
      <c r="S9" s="652"/>
      <c r="T9" s="652"/>
      <c r="U9" s="653"/>
      <c r="V9" s="554"/>
      <c r="W9" s="555"/>
      <c r="X9" s="555"/>
      <c r="Y9" s="555"/>
      <c r="Z9" s="556"/>
      <c r="AA9" s="581"/>
      <c r="AB9" s="582"/>
      <c r="AC9" s="582"/>
      <c r="AD9" s="583"/>
    </row>
    <row r="10" spans="1:30" ht="20.100000000000001" customHeight="1" x14ac:dyDescent="0.4">
      <c r="A10" s="469"/>
      <c r="B10" s="442" t="s">
        <v>65</v>
      </c>
      <c r="C10" s="443"/>
      <c r="D10" s="444"/>
      <c r="E10" s="442">
        <f>TUE!Q31</f>
        <v>0</v>
      </c>
      <c r="F10" s="443"/>
      <c r="G10" s="444"/>
      <c r="H10" s="445">
        <f>TUE!J31</f>
        <v>0</v>
      </c>
      <c r="I10" s="446"/>
      <c r="J10" s="446"/>
      <c r="K10" s="447"/>
      <c r="L10" s="462">
        <f>TUE!Q32</f>
        <v>0</v>
      </c>
      <c r="M10" s="463"/>
      <c r="N10" s="463"/>
      <c r="O10" s="463"/>
      <c r="P10" s="464"/>
      <c r="Q10" s="654"/>
      <c r="R10" s="655"/>
      <c r="S10" s="655"/>
      <c r="T10" s="655"/>
      <c r="U10" s="656"/>
      <c r="V10" s="557"/>
      <c r="W10" s="558"/>
      <c r="X10" s="558"/>
      <c r="Y10" s="558"/>
      <c r="Z10" s="559"/>
      <c r="AA10" s="584"/>
      <c r="AB10" s="585"/>
      <c r="AC10" s="585"/>
      <c r="AD10" s="586"/>
    </row>
    <row r="11" spans="1:30" ht="20.100000000000001" customHeight="1" x14ac:dyDescent="0.4">
      <c r="A11" s="470"/>
      <c r="B11" s="442" t="s">
        <v>94</v>
      </c>
      <c r="C11" s="443"/>
      <c r="D11" s="444"/>
      <c r="E11" s="442">
        <f>TUE!U16</f>
        <v>38</v>
      </c>
      <c r="F11" s="443"/>
      <c r="G11" s="444"/>
      <c r="H11" s="445" t="s">
        <v>95</v>
      </c>
      <c r="I11" s="446"/>
      <c r="J11" s="446"/>
      <c r="K11" s="447"/>
      <c r="L11" s="448">
        <f>TUE!T2</f>
        <v>5</v>
      </c>
      <c r="M11" s="449"/>
      <c r="N11" s="449"/>
      <c r="O11" s="449"/>
      <c r="P11" s="450"/>
      <c r="Q11" s="451"/>
      <c r="R11" s="452"/>
      <c r="S11" s="452"/>
      <c r="T11" s="452"/>
      <c r="U11" s="453"/>
      <c r="V11" s="454"/>
      <c r="W11" s="455"/>
      <c r="X11" s="455"/>
      <c r="Y11" s="455"/>
      <c r="Z11" s="456"/>
      <c r="AA11" s="457"/>
      <c r="AB11" s="458"/>
      <c r="AC11" s="458"/>
      <c r="AD11" s="459"/>
    </row>
    <row r="12" spans="1:30" ht="20.100000000000001" customHeight="1" x14ac:dyDescent="0.4">
      <c r="A12" s="471" t="s">
        <v>68</v>
      </c>
      <c r="B12" s="491" t="s">
        <v>57</v>
      </c>
      <c r="C12" s="491"/>
      <c r="D12" s="370"/>
      <c r="E12" s="370">
        <f>WED!N31</f>
        <v>7</v>
      </c>
      <c r="F12" s="370"/>
      <c r="G12" s="370"/>
      <c r="H12" s="612">
        <f>WED!S31</f>
        <v>655</v>
      </c>
      <c r="I12" s="613"/>
      <c r="J12" s="613"/>
      <c r="K12" s="614"/>
      <c r="L12" s="615">
        <f>WED!N32</f>
        <v>0.35281443576622679</v>
      </c>
      <c r="M12" s="616"/>
      <c r="N12" s="616"/>
      <c r="O12" s="616"/>
      <c r="P12" s="617"/>
      <c r="Q12" s="627">
        <f>SUM(E12:G15)</f>
        <v>21</v>
      </c>
      <c r="R12" s="628"/>
      <c r="S12" s="628"/>
      <c r="T12" s="628"/>
      <c r="U12" s="629"/>
      <c r="V12" s="408">
        <f>SUM(H12,H13,H15)</f>
        <v>1765</v>
      </c>
      <c r="W12" s="409"/>
      <c r="X12" s="409"/>
      <c r="Y12" s="409"/>
      <c r="Z12" s="410"/>
      <c r="AA12" s="399">
        <f>V12/Q12</f>
        <v>84.047619047619051</v>
      </c>
      <c r="AB12" s="400"/>
      <c r="AC12" s="400"/>
      <c r="AD12" s="401"/>
    </row>
    <row r="13" spans="1:30" ht="20.100000000000001" customHeight="1" x14ac:dyDescent="0.4">
      <c r="A13" s="472"/>
      <c r="B13" s="491" t="s">
        <v>58</v>
      </c>
      <c r="C13" s="491"/>
      <c r="D13" s="370"/>
      <c r="E13" s="370">
        <f>WED!O31</f>
        <v>7</v>
      </c>
      <c r="F13" s="370"/>
      <c r="G13" s="370"/>
      <c r="H13" s="612">
        <f>WED!S32</f>
        <v>1110</v>
      </c>
      <c r="I13" s="613"/>
      <c r="J13" s="613"/>
      <c r="K13" s="614"/>
      <c r="L13" s="615">
        <f>WED!O32</f>
        <v>0.34204147589550227</v>
      </c>
      <c r="M13" s="616"/>
      <c r="N13" s="616"/>
      <c r="O13" s="616"/>
      <c r="P13" s="617"/>
      <c r="Q13" s="630"/>
      <c r="R13" s="631"/>
      <c r="S13" s="631"/>
      <c r="T13" s="631"/>
      <c r="U13" s="632"/>
      <c r="V13" s="411"/>
      <c r="W13" s="412"/>
      <c r="X13" s="412"/>
      <c r="Y13" s="412"/>
      <c r="Z13" s="413"/>
      <c r="AA13" s="402"/>
      <c r="AB13" s="403"/>
      <c r="AC13" s="403"/>
      <c r="AD13" s="404"/>
    </row>
    <row r="14" spans="1:30" ht="20.100000000000001" customHeight="1" x14ac:dyDescent="0.4">
      <c r="A14" s="472"/>
      <c r="B14" s="491" t="s">
        <v>45</v>
      </c>
      <c r="C14" s="491"/>
      <c r="D14" s="370"/>
      <c r="E14" s="370">
        <f>WED!P31</f>
        <v>7</v>
      </c>
      <c r="F14" s="370"/>
      <c r="G14" s="370"/>
      <c r="H14" s="612">
        <f>WED!K31</f>
        <v>566.5</v>
      </c>
      <c r="I14" s="613"/>
      <c r="J14" s="613"/>
      <c r="K14" s="614"/>
      <c r="L14" s="615">
        <f>WED!P32</f>
        <v>0.30514408833827095</v>
      </c>
      <c r="M14" s="616"/>
      <c r="N14" s="616"/>
      <c r="O14" s="616"/>
      <c r="P14" s="617"/>
      <c r="Q14" s="630"/>
      <c r="R14" s="631"/>
      <c r="S14" s="631"/>
      <c r="T14" s="631"/>
      <c r="U14" s="632"/>
      <c r="V14" s="411"/>
      <c r="W14" s="412"/>
      <c r="X14" s="412"/>
      <c r="Y14" s="412"/>
      <c r="Z14" s="413"/>
      <c r="AA14" s="402"/>
      <c r="AB14" s="403"/>
      <c r="AC14" s="403"/>
      <c r="AD14" s="404"/>
    </row>
    <row r="15" spans="1:30" ht="20.100000000000001" customHeight="1" x14ac:dyDescent="0.4">
      <c r="A15" s="472"/>
      <c r="B15" s="489" t="s">
        <v>65</v>
      </c>
      <c r="C15" s="490"/>
      <c r="D15" s="491"/>
      <c r="E15" s="489">
        <f>WED!Q31</f>
        <v>0</v>
      </c>
      <c r="F15" s="490"/>
      <c r="G15" s="491"/>
      <c r="H15" s="612">
        <f>WED!J31</f>
        <v>0</v>
      </c>
      <c r="I15" s="613"/>
      <c r="J15" s="613"/>
      <c r="K15" s="614"/>
      <c r="L15" s="615">
        <f>WED!Q32</f>
        <v>0</v>
      </c>
      <c r="M15" s="616"/>
      <c r="N15" s="616"/>
      <c r="O15" s="616"/>
      <c r="P15" s="617"/>
      <c r="Q15" s="633"/>
      <c r="R15" s="634"/>
      <c r="S15" s="634"/>
      <c r="T15" s="634"/>
      <c r="U15" s="635"/>
      <c r="V15" s="414"/>
      <c r="W15" s="415"/>
      <c r="X15" s="415"/>
      <c r="Y15" s="415"/>
      <c r="Z15" s="416"/>
      <c r="AA15" s="405"/>
      <c r="AB15" s="406"/>
      <c r="AC15" s="406"/>
      <c r="AD15" s="407"/>
    </row>
    <row r="16" spans="1:30" ht="20.100000000000001" customHeight="1" x14ac:dyDescent="0.4">
      <c r="A16" s="473"/>
      <c r="B16" s="489" t="s">
        <v>94</v>
      </c>
      <c r="C16" s="490"/>
      <c r="D16" s="491"/>
      <c r="E16" s="489">
        <f>WED!U16</f>
        <v>44.75</v>
      </c>
      <c r="F16" s="490"/>
      <c r="G16" s="491"/>
      <c r="H16" s="612" t="s">
        <v>95</v>
      </c>
      <c r="I16" s="613"/>
      <c r="J16" s="613"/>
      <c r="K16" s="614"/>
      <c r="L16" s="672">
        <f>WED!T2</f>
        <v>6</v>
      </c>
      <c r="M16" s="673"/>
      <c r="N16" s="673"/>
      <c r="O16" s="673"/>
      <c r="P16" s="674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4">
      <c r="A17" s="474" t="s">
        <v>69</v>
      </c>
      <c r="B17" s="494" t="s">
        <v>57</v>
      </c>
      <c r="C17" s="494"/>
      <c r="D17" s="421"/>
      <c r="E17" s="421">
        <f>THU!N31</f>
        <v>5</v>
      </c>
      <c r="F17" s="421"/>
      <c r="G17" s="421"/>
      <c r="H17" s="420">
        <f>THU!S31</f>
        <v>640</v>
      </c>
      <c r="I17" s="420"/>
      <c r="J17" s="420"/>
      <c r="K17" s="420"/>
      <c r="L17" s="430">
        <f>THU!N32</f>
        <v>0.31146583609110373</v>
      </c>
      <c r="M17" s="430"/>
      <c r="N17" s="430"/>
      <c r="O17" s="430"/>
      <c r="P17" s="430"/>
      <c r="Q17" s="657">
        <f>SUM(E17:G20)</f>
        <v>16</v>
      </c>
      <c r="R17" s="658"/>
      <c r="S17" s="658"/>
      <c r="T17" s="658"/>
      <c r="U17" s="659"/>
      <c r="V17" s="597">
        <f>SUM(H17,H18,H20)</f>
        <v>1805</v>
      </c>
      <c r="W17" s="598"/>
      <c r="X17" s="598"/>
      <c r="Y17" s="598"/>
      <c r="Z17" s="599"/>
      <c r="AA17" s="588">
        <f>V17/Q17</f>
        <v>112.8125</v>
      </c>
      <c r="AB17" s="589"/>
      <c r="AC17" s="589"/>
      <c r="AD17" s="590"/>
    </row>
    <row r="18" spans="1:30" ht="20.100000000000001" customHeight="1" x14ac:dyDescent="0.4">
      <c r="A18" s="475"/>
      <c r="B18" s="494" t="s">
        <v>58</v>
      </c>
      <c r="C18" s="494"/>
      <c r="D18" s="421"/>
      <c r="E18" s="421">
        <f>THU!O31</f>
        <v>8</v>
      </c>
      <c r="F18" s="421"/>
      <c r="G18" s="421"/>
      <c r="H18" s="420">
        <f>THU!S32</f>
        <v>1165</v>
      </c>
      <c r="I18" s="420"/>
      <c r="J18" s="420"/>
      <c r="K18" s="420"/>
      <c r="L18" s="430">
        <f>THU!O32</f>
        <v>0.56696515475958731</v>
      </c>
      <c r="M18" s="430"/>
      <c r="N18" s="430"/>
      <c r="O18" s="430"/>
      <c r="P18" s="430"/>
      <c r="Q18" s="660"/>
      <c r="R18" s="661"/>
      <c r="S18" s="661"/>
      <c r="T18" s="661"/>
      <c r="U18" s="662"/>
      <c r="V18" s="600"/>
      <c r="W18" s="601"/>
      <c r="X18" s="601"/>
      <c r="Y18" s="601"/>
      <c r="Z18" s="602"/>
      <c r="AA18" s="591"/>
      <c r="AB18" s="592"/>
      <c r="AC18" s="592"/>
      <c r="AD18" s="593"/>
    </row>
    <row r="19" spans="1:30" ht="20.100000000000001" customHeight="1" x14ac:dyDescent="0.4">
      <c r="A19" s="475"/>
      <c r="B19" s="494" t="s">
        <v>45</v>
      </c>
      <c r="C19" s="494"/>
      <c r="D19" s="421"/>
      <c r="E19" s="421">
        <f>THU!P31</f>
        <v>3</v>
      </c>
      <c r="F19" s="421"/>
      <c r="G19" s="421"/>
      <c r="H19" s="420">
        <f>THU!K31</f>
        <v>249.79999999999998</v>
      </c>
      <c r="I19" s="420"/>
      <c r="J19" s="420"/>
      <c r="K19" s="420"/>
      <c r="L19" s="430">
        <f>THU!P32</f>
        <v>0.12156900914930892</v>
      </c>
      <c r="M19" s="430"/>
      <c r="N19" s="430"/>
      <c r="O19" s="430"/>
      <c r="P19" s="430"/>
      <c r="Q19" s="660"/>
      <c r="R19" s="661"/>
      <c r="S19" s="661"/>
      <c r="T19" s="661"/>
      <c r="U19" s="662"/>
      <c r="V19" s="600"/>
      <c r="W19" s="601"/>
      <c r="X19" s="601"/>
      <c r="Y19" s="601"/>
      <c r="Z19" s="602"/>
      <c r="AA19" s="591"/>
      <c r="AB19" s="592"/>
      <c r="AC19" s="592"/>
      <c r="AD19" s="593"/>
    </row>
    <row r="20" spans="1:30" ht="20.100000000000001" customHeight="1" x14ac:dyDescent="0.4">
      <c r="A20" s="475"/>
      <c r="B20" s="492" t="s">
        <v>65</v>
      </c>
      <c r="C20" s="493"/>
      <c r="D20" s="494"/>
      <c r="E20" s="492">
        <f>THU!Q31</f>
        <v>0</v>
      </c>
      <c r="F20" s="493"/>
      <c r="G20" s="494"/>
      <c r="H20" s="675">
        <f>THU!J31</f>
        <v>0</v>
      </c>
      <c r="I20" s="676"/>
      <c r="J20" s="676"/>
      <c r="K20" s="677"/>
      <c r="L20" s="687">
        <f>THU!Q32</f>
        <v>0</v>
      </c>
      <c r="M20" s="688"/>
      <c r="N20" s="688"/>
      <c r="O20" s="688"/>
      <c r="P20" s="689"/>
      <c r="Q20" s="663"/>
      <c r="R20" s="664"/>
      <c r="S20" s="664"/>
      <c r="T20" s="664"/>
      <c r="U20" s="665"/>
      <c r="V20" s="603"/>
      <c r="W20" s="604"/>
      <c r="X20" s="604"/>
      <c r="Y20" s="604"/>
      <c r="Z20" s="605"/>
      <c r="AA20" s="594"/>
      <c r="AB20" s="595"/>
      <c r="AC20" s="595"/>
      <c r="AD20" s="596"/>
    </row>
    <row r="21" spans="1:30" ht="20.100000000000001" customHeight="1" x14ac:dyDescent="0.4">
      <c r="A21" s="476"/>
      <c r="B21" s="492" t="s">
        <v>94</v>
      </c>
      <c r="C21" s="493"/>
      <c r="D21" s="494"/>
      <c r="E21" s="492">
        <f>THU!U16</f>
        <v>45.25</v>
      </c>
      <c r="F21" s="493"/>
      <c r="G21" s="494"/>
      <c r="H21" s="675" t="s">
        <v>95</v>
      </c>
      <c r="I21" s="676"/>
      <c r="J21" s="676"/>
      <c r="K21" s="677"/>
      <c r="L21" s="694">
        <f>THU!T2</f>
        <v>5</v>
      </c>
      <c r="M21" s="695"/>
      <c r="N21" s="695"/>
      <c r="O21" s="695"/>
      <c r="P21" s="696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4">
      <c r="A22" s="477" t="s">
        <v>93</v>
      </c>
      <c r="B22" s="497" t="s">
        <v>57</v>
      </c>
      <c r="C22" s="497"/>
      <c r="D22" s="502"/>
      <c r="E22" s="502">
        <f>FRI!N31</f>
        <v>9</v>
      </c>
      <c r="F22" s="502"/>
      <c r="G22" s="502"/>
      <c r="H22" s="425">
        <f>FRI!S31</f>
        <v>1030</v>
      </c>
      <c r="I22" s="425"/>
      <c r="J22" s="425"/>
      <c r="K22" s="425"/>
      <c r="L22" s="426">
        <f>FRI!N32</f>
        <v>0.51780651129119837</v>
      </c>
      <c r="M22" s="426"/>
      <c r="N22" s="426"/>
      <c r="O22" s="426"/>
      <c r="P22" s="426"/>
      <c r="Q22" s="733">
        <f>SUM(E22:G25)</f>
        <v>19</v>
      </c>
      <c r="R22" s="734"/>
      <c r="S22" s="734"/>
      <c r="T22" s="734"/>
      <c r="U22" s="735"/>
      <c r="V22" s="678">
        <f>SUM(H22,H23,H25)</f>
        <v>1660</v>
      </c>
      <c r="W22" s="679"/>
      <c r="X22" s="679"/>
      <c r="Y22" s="679"/>
      <c r="Z22" s="680"/>
      <c r="AA22" s="700">
        <f>V22/Q22</f>
        <v>87.368421052631575</v>
      </c>
      <c r="AB22" s="701"/>
      <c r="AC22" s="701"/>
      <c r="AD22" s="702"/>
    </row>
    <row r="23" spans="1:30" ht="20.100000000000001" customHeight="1" x14ac:dyDescent="0.4">
      <c r="A23" s="478"/>
      <c r="B23" s="497" t="s">
        <v>58</v>
      </c>
      <c r="C23" s="497"/>
      <c r="D23" s="502"/>
      <c r="E23" s="502">
        <f>FRI!O31</f>
        <v>6</v>
      </c>
      <c r="F23" s="502"/>
      <c r="G23" s="502"/>
      <c r="H23" s="425">
        <f>FRI!S32</f>
        <v>630</v>
      </c>
      <c r="I23" s="425"/>
      <c r="J23" s="425"/>
      <c r="K23" s="425"/>
      <c r="L23" s="426">
        <f>FRI!O32</f>
        <v>0.3167166039936456</v>
      </c>
      <c r="M23" s="426"/>
      <c r="N23" s="426"/>
      <c r="O23" s="426"/>
      <c r="P23" s="426"/>
      <c r="Q23" s="736"/>
      <c r="R23" s="737"/>
      <c r="S23" s="737"/>
      <c r="T23" s="737"/>
      <c r="U23" s="738"/>
      <c r="V23" s="681"/>
      <c r="W23" s="682"/>
      <c r="X23" s="682"/>
      <c r="Y23" s="682"/>
      <c r="Z23" s="683"/>
      <c r="AA23" s="703"/>
      <c r="AB23" s="704"/>
      <c r="AC23" s="704"/>
      <c r="AD23" s="705"/>
    </row>
    <row r="24" spans="1:30" ht="20.100000000000001" customHeight="1" x14ac:dyDescent="0.4">
      <c r="A24" s="478"/>
      <c r="B24" s="497" t="s">
        <v>45</v>
      </c>
      <c r="C24" s="497"/>
      <c r="D24" s="502"/>
      <c r="E24" s="502">
        <f>FRI!P31</f>
        <v>4</v>
      </c>
      <c r="F24" s="502"/>
      <c r="G24" s="502"/>
      <c r="H24" s="425">
        <f>FRI!K31</f>
        <v>329.15999999999997</v>
      </c>
      <c r="I24" s="425"/>
      <c r="J24" s="425"/>
      <c r="K24" s="425"/>
      <c r="L24" s="426">
        <f>FRI!P32</f>
        <v>0.16547688471515615</v>
      </c>
      <c r="M24" s="426"/>
      <c r="N24" s="426"/>
      <c r="O24" s="426"/>
      <c r="P24" s="426"/>
      <c r="Q24" s="736"/>
      <c r="R24" s="737"/>
      <c r="S24" s="737"/>
      <c r="T24" s="737"/>
      <c r="U24" s="738"/>
      <c r="V24" s="681"/>
      <c r="W24" s="682"/>
      <c r="X24" s="682"/>
      <c r="Y24" s="682"/>
      <c r="Z24" s="683"/>
      <c r="AA24" s="703"/>
      <c r="AB24" s="704"/>
      <c r="AC24" s="704"/>
      <c r="AD24" s="705"/>
    </row>
    <row r="25" spans="1:30" ht="20.100000000000001" customHeight="1" x14ac:dyDescent="0.4">
      <c r="A25" s="478"/>
      <c r="B25" s="495" t="s">
        <v>65</v>
      </c>
      <c r="C25" s="496"/>
      <c r="D25" s="497"/>
      <c r="E25" s="495">
        <f>FRI!Q31</f>
        <v>0</v>
      </c>
      <c r="F25" s="496"/>
      <c r="G25" s="497"/>
      <c r="H25" s="727">
        <f>FRI!J31</f>
        <v>0</v>
      </c>
      <c r="I25" s="728"/>
      <c r="J25" s="728"/>
      <c r="K25" s="729"/>
      <c r="L25" s="730">
        <f>FRI!Q32</f>
        <v>0</v>
      </c>
      <c r="M25" s="731"/>
      <c r="N25" s="731"/>
      <c r="O25" s="731"/>
      <c r="P25" s="732"/>
      <c r="Q25" s="739"/>
      <c r="R25" s="740"/>
      <c r="S25" s="740"/>
      <c r="T25" s="740"/>
      <c r="U25" s="741"/>
      <c r="V25" s="684"/>
      <c r="W25" s="685"/>
      <c r="X25" s="685"/>
      <c r="Y25" s="685"/>
      <c r="Z25" s="686"/>
      <c r="AA25" s="706"/>
      <c r="AB25" s="707"/>
      <c r="AC25" s="707"/>
      <c r="AD25" s="708"/>
    </row>
    <row r="26" spans="1:30" ht="20.100000000000001" customHeight="1" x14ac:dyDescent="0.4">
      <c r="A26" s="479"/>
      <c r="B26" s="495" t="s">
        <v>94</v>
      </c>
      <c r="C26" s="496"/>
      <c r="D26" s="497"/>
      <c r="E26" s="495">
        <f>FRI!U16</f>
        <v>49.25</v>
      </c>
      <c r="F26" s="496"/>
      <c r="G26" s="497"/>
      <c r="H26" s="727" t="s">
        <v>95</v>
      </c>
      <c r="I26" s="728"/>
      <c r="J26" s="728"/>
      <c r="K26" s="729"/>
      <c r="L26" s="697">
        <f>FRI!T2</f>
        <v>8</v>
      </c>
      <c r="M26" s="698"/>
      <c r="N26" s="698"/>
      <c r="O26" s="698"/>
      <c r="P26" s="699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4">
      <c r="A27" s="480" t="s">
        <v>70</v>
      </c>
      <c r="B27" s="435" t="s">
        <v>57</v>
      </c>
      <c r="C27" s="435"/>
      <c r="D27" s="432"/>
      <c r="E27" s="432">
        <f>SAT!N31</f>
        <v>5</v>
      </c>
      <c r="F27" s="432"/>
      <c r="G27" s="432"/>
      <c r="H27" s="587">
        <f>SAT!S31</f>
        <v>505</v>
      </c>
      <c r="I27" s="587"/>
      <c r="J27" s="587"/>
      <c r="K27" s="587"/>
      <c r="L27" s="431">
        <f>SAT!N32</f>
        <v>0.20769926791149132</v>
      </c>
      <c r="M27" s="431"/>
      <c r="N27" s="431"/>
      <c r="O27" s="431"/>
      <c r="P27" s="431"/>
      <c r="Q27" s="636">
        <f>SUM(E27:G30)</f>
        <v>24</v>
      </c>
      <c r="R27" s="637"/>
      <c r="S27" s="637"/>
      <c r="T27" s="637"/>
      <c r="U27" s="638"/>
      <c r="V27" s="718">
        <f>SUM(H27,H28,H30)</f>
        <v>3540</v>
      </c>
      <c r="W27" s="719"/>
      <c r="X27" s="719"/>
      <c r="Y27" s="719"/>
      <c r="Z27" s="720"/>
      <c r="AA27" s="709">
        <f>V27/Q27</f>
        <v>147.5</v>
      </c>
      <c r="AB27" s="710"/>
      <c r="AC27" s="710"/>
      <c r="AD27" s="711"/>
    </row>
    <row r="28" spans="1:30" ht="20.100000000000001" customHeight="1" x14ac:dyDescent="0.4">
      <c r="A28" s="481"/>
      <c r="B28" s="435" t="s">
        <v>58</v>
      </c>
      <c r="C28" s="435"/>
      <c r="D28" s="432"/>
      <c r="E28" s="432">
        <f>SAT!O31</f>
        <v>15</v>
      </c>
      <c r="F28" s="432"/>
      <c r="G28" s="432"/>
      <c r="H28" s="587">
        <f>SAT!S32</f>
        <v>3035</v>
      </c>
      <c r="I28" s="587"/>
      <c r="J28" s="587"/>
      <c r="K28" s="587"/>
      <c r="L28" s="431">
        <f>SAT!O32</f>
        <v>0.66216994324257628</v>
      </c>
      <c r="M28" s="431"/>
      <c r="N28" s="431"/>
      <c r="O28" s="431"/>
      <c r="P28" s="431"/>
      <c r="Q28" s="639"/>
      <c r="R28" s="640"/>
      <c r="S28" s="640"/>
      <c r="T28" s="640"/>
      <c r="U28" s="641"/>
      <c r="V28" s="721"/>
      <c r="W28" s="722"/>
      <c r="X28" s="722"/>
      <c r="Y28" s="722"/>
      <c r="Z28" s="723"/>
      <c r="AA28" s="712"/>
      <c r="AB28" s="713"/>
      <c r="AC28" s="713"/>
      <c r="AD28" s="714"/>
    </row>
    <row r="29" spans="1:30" ht="20.100000000000001" customHeight="1" x14ac:dyDescent="0.4">
      <c r="A29" s="481"/>
      <c r="B29" s="435" t="s">
        <v>45</v>
      </c>
      <c r="C29" s="435"/>
      <c r="D29" s="432"/>
      <c r="E29" s="432">
        <f>SAT!P31</f>
        <v>4</v>
      </c>
      <c r="F29" s="432"/>
      <c r="G29" s="432"/>
      <c r="H29" s="587">
        <f>SAT!K31</f>
        <v>316.39999999999998</v>
      </c>
      <c r="I29" s="587"/>
      <c r="J29" s="587"/>
      <c r="K29" s="587"/>
      <c r="L29" s="431">
        <f>SAT!P32</f>
        <v>0.13013078884593238</v>
      </c>
      <c r="M29" s="431"/>
      <c r="N29" s="431"/>
      <c r="O29" s="431"/>
      <c r="P29" s="431"/>
      <c r="Q29" s="639"/>
      <c r="R29" s="640"/>
      <c r="S29" s="640"/>
      <c r="T29" s="640"/>
      <c r="U29" s="641"/>
      <c r="V29" s="721"/>
      <c r="W29" s="722"/>
      <c r="X29" s="722"/>
      <c r="Y29" s="722"/>
      <c r="Z29" s="723"/>
      <c r="AA29" s="712"/>
      <c r="AB29" s="713"/>
      <c r="AC29" s="713"/>
      <c r="AD29" s="714"/>
    </row>
    <row r="30" spans="1:30" ht="20.100000000000001" customHeight="1" x14ac:dyDescent="0.4">
      <c r="A30" s="481"/>
      <c r="B30" s="433" t="s">
        <v>65</v>
      </c>
      <c r="C30" s="434"/>
      <c r="D30" s="435"/>
      <c r="E30" s="433">
        <f>SAT!Q31</f>
        <v>0</v>
      </c>
      <c r="F30" s="434"/>
      <c r="G30" s="435"/>
      <c r="H30" s="427">
        <f>SAT!J31</f>
        <v>0</v>
      </c>
      <c r="I30" s="428"/>
      <c r="J30" s="428"/>
      <c r="K30" s="429"/>
      <c r="L30" s="645">
        <f>SAT!Q32</f>
        <v>0</v>
      </c>
      <c r="M30" s="646"/>
      <c r="N30" s="646"/>
      <c r="O30" s="646"/>
      <c r="P30" s="647"/>
      <c r="Q30" s="642"/>
      <c r="R30" s="643"/>
      <c r="S30" s="643"/>
      <c r="T30" s="643"/>
      <c r="U30" s="644"/>
      <c r="V30" s="724"/>
      <c r="W30" s="725"/>
      <c r="X30" s="725"/>
      <c r="Y30" s="725"/>
      <c r="Z30" s="726"/>
      <c r="AA30" s="715"/>
      <c r="AB30" s="716"/>
      <c r="AC30" s="716"/>
      <c r="AD30" s="717"/>
    </row>
    <row r="31" spans="1:30" ht="20.100000000000001" customHeight="1" x14ac:dyDescent="0.4">
      <c r="A31" s="482"/>
      <c r="B31" s="433" t="s">
        <v>94</v>
      </c>
      <c r="C31" s="434"/>
      <c r="D31" s="435"/>
      <c r="E31" s="433">
        <f>SAT!U16</f>
        <v>50.25</v>
      </c>
      <c r="F31" s="434"/>
      <c r="G31" s="435"/>
      <c r="H31" s="427" t="s">
        <v>95</v>
      </c>
      <c r="I31" s="428"/>
      <c r="J31" s="428"/>
      <c r="K31" s="429"/>
      <c r="L31" s="417">
        <f>SAT!T2</f>
        <v>7</v>
      </c>
      <c r="M31" s="418"/>
      <c r="N31" s="418"/>
      <c r="O31" s="418"/>
      <c r="P31" s="419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4">
      <c r="A32" s="483" t="s">
        <v>71</v>
      </c>
      <c r="B32" s="501" t="s">
        <v>57</v>
      </c>
      <c r="C32" s="422"/>
      <c r="D32" s="422"/>
      <c r="E32" s="422">
        <f>SUN!N31</f>
        <v>12</v>
      </c>
      <c r="F32" s="422"/>
      <c r="G32" s="422"/>
      <c r="H32" s="423">
        <f>SUN!S31</f>
        <v>1160</v>
      </c>
      <c r="I32" s="423"/>
      <c r="J32" s="423"/>
      <c r="K32" s="423"/>
      <c r="L32" s="424">
        <f>SUN!N32</f>
        <v>0.38306078778432362</v>
      </c>
      <c r="M32" s="424"/>
      <c r="N32" s="424"/>
      <c r="O32" s="424"/>
      <c r="P32" s="424"/>
      <c r="Q32" s="693">
        <f>SUM(E32:G35)</f>
        <v>29</v>
      </c>
      <c r="R32" s="693"/>
      <c r="S32" s="693"/>
      <c r="T32" s="693"/>
      <c r="U32" s="693"/>
      <c r="V32" s="751">
        <f>SUM(H32,H33,H35)</f>
        <v>2445</v>
      </c>
      <c r="W32" s="751"/>
      <c r="X32" s="751"/>
      <c r="Y32" s="751"/>
      <c r="Z32" s="751"/>
      <c r="AA32" s="765">
        <f>V32/Q32</f>
        <v>84.310344827586206</v>
      </c>
      <c r="AB32" s="766"/>
      <c r="AC32" s="766"/>
      <c r="AD32" s="766"/>
    </row>
    <row r="33" spans="1:30" ht="20.100000000000001" customHeight="1" x14ac:dyDescent="0.4">
      <c r="A33" s="484"/>
      <c r="B33" s="501" t="s">
        <v>58</v>
      </c>
      <c r="C33" s="422"/>
      <c r="D33" s="422"/>
      <c r="E33" s="422">
        <f>SUN!O31</f>
        <v>11</v>
      </c>
      <c r="F33" s="422"/>
      <c r="G33" s="422"/>
      <c r="H33" s="423">
        <f>SUN!S32</f>
        <v>1285</v>
      </c>
      <c r="I33" s="423"/>
      <c r="J33" s="423"/>
      <c r="K33" s="423"/>
      <c r="L33" s="424">
        <f>SUN!O32</f>
        <v>0.42433888991625501</v>
      </c>
      <c r="M33" s="424"/>
      <c r="N33" s="424"/>
      <c r="O33" s="424"/>
      <c r="P33" s="424"/>
      <c r="Q33" s="693"/>
      <c r="R33" s="693"/>
      <c r="S33" s="693"/>
      <c r="T33" s="693"/>
      <c r="U33" s="693"/>
      <c r="V33" s="751"/>
      <c r="W33" s="751"/>
      <c r="X33" s="751"/>
      <c r="Y33" s="751"/>
      <c r="Z33" s="751"/>
      <c r="AA33" s="766"/>
      <c r="AB33" s="766"/>
      <c r="AC33" s="766"/>
      <c r="AD33" s="766"/>
    </row>
    <row r="34" spans="1:30" ht="20.100000000000001" customHeight="1" x14ac:dyDescent="0.4">
      <c r="A34" s="484"/>
      <c r="B34" s="501" t="s">
        <v>45</v>
      </c>
      <c r="C34" s="422"/>
      <c r="D34" s="422"/>
      <c r="E34" s="422">
        <f>SUN!P31</f>
        <v>6</v>
      </c>
      <c r="F34" s="422"/>
      <c r="G34" s="422"/>
      <c r="H34" s="423">
        <f>SUN!K31</f>
        <v>583.24</v>
      </c>
      <c r="I34" s="423"/>
      <c r="J34" s="423"/>
      <c r="K34" s="423"/>
      <c r="L34" s="424">
        <f>SUN!P32</f>
        <v>0.19260032229942145</v>
      </c>
      <c r="M34" s="424"/>
      <c r="N34" s="424"/>
      <c r="O34" s="424"/>
      <c r="P34" s="424"/>
      <c r="Q34" s="693"/>
      <c r="R34" s="693"/>
      <c r="S34" s="693"/>
      <c r="T34" s="693"/>
      <c r="U34" s="693"/>
      <c r="V34" s="751"/>
      <c r="W34" s="751"/>
      <c r="X34" s="751"/>
      <c r="Y34" s="751"/>
      <c r="Z34" s="751"/>
      <c r="AA34" s="766"/>
      <c r="AB34" s="766"/>
      <c r="AC34" s="766"/>
      <c r="AD34" s="766"/>
    </row>
    <row r="35" spans="1:30" ht="20.100000000000001" customHeight="1" x14ac:dyDescent="0.4">
      <c r="A35" s="484"/>
      <c r="B35" s="501" t="s">
        <v>65</v>
      </c>
      <c r="C35" s="422"/>
      <c r="D35" s="422"/>
      <c r="E35" s="422">
        <f>SUN!Q31</f>
        <v>0</v>
      </c>
      <c r="F35" s="422"/>
      <c r="G35" s="422"/>
      <c r="H35" s="423">
        <f>SUN!J31</f>
        <v>0</v>
      </c>
      <c r="I35" s="423"/>
      <c r="J35" s="423"/>
      <c r="K35" s="423"/>
      <c r="L35" s="424">
        <f>SUN!Q32</f>
        <v>0</v>
      </c>
      <c r="M35" s="424"/>
      <c r="N35" s="424"/>
      <c r="O35" s="424"/>
      <c r="P35" s="424"/>
      <c r="Q35" s="693"/>
      <c r="R35" s="693"/>
      <c r="S35" s="693"/>
      <c r="T35" s="693"/>
      <c r="U35" s="693"/>
      <c r="V35" s="751"/>
      <c r="W35" s="751"/>
      <c r="X35" s="751"/>
      <c r="Y35" s="751"/>
      <c r="Z35" s="751"/>
      <c r="AA35" s="766"/>
      <c r="AB35" s="766"/>
      <c r="AC35" s="766"/>
      <c r="AD35" s="766"/>
    </row>
    <row r="36" spans="1:30" ht="20.100000000000001" customHeight="1" thickBot="1" x14ac:dyDescent="0.45">
      <c r="A36" s="485"/>
      <c r="B36" s="498" t="s">
        <v>94</v>
      </c>
      <c r="C36" s="499"/>
      <c r="D36" s="500"/>
      <c r="E36" s="498">
        <f>SUN!U16</f>
        <v>58</v>
      </c>
      <c r="F36" s="499"/>
      <c r="G36" s="500"/>
      <c r="H36" s="498" t="s">
        <v>95</v>
      </c>
      <c r="I36" s="499"/>
      <c r="J36" s="499"/>
      <c r="K36" s="500"/>
      <c r="L36" s="767">
        <f>SUN!T2</f>
        <v>7</v>
      </c>
      <c r="M36" s="768"/>
      <c r="N36" s="768"/>
      <c r="O36" s="768"/>
      <c r="P36" s="769"/>
      <c r="Q36" s="690"/>
      <c r="R36" s="691"/>
      <c r="S36" s="691"/>
      <c r="T36" s="691"/>
      <c r="U36" s="692"/>
      <c r="V36" s="754"/>
      <c r="W36" s="755"/>
      <c r="X36" s="755"/>
      <c r="Y36" s="755"/>
      <c r="Z36" s="756"/>
      <c r="AA36" s="757"/>
      <c r="AB36" s="758"/>
      <c r="AC36" s="758"/>
      <c r="AD36" s="759"/>
    </row>
    <row r="37" spans="1:30" ht="16.5" customHeight="1" x14ac:dyDescent="0.4">
      <c r="A37" s="742" t="s">
        <v>72</v>
      </c>
      <c r="B37" s="743"/>
      <c r="C37" s="743"/>
      <c r="D37" s="743"/>
      <c r="E37" s="743" t="s">
        <v>73</v>
      </c>
      <c r="F37" s="743"/>
      <c r="G37" s="743"/>
      <c r="H37" s="743"/>
      <c r="I37" s="743"/>
      <c r="J37" s="743"/>
      <c r="K37" s="743" t="s">
        <v>74</v>
      </c>
      <c r="L37" s="743"/>
      <c r="M37" s="743"/>
      <c r="N37" s="743"/>
      <c r="O37" s="743" t="s">
        <v>65</v>
      </c>
      <c r="P37" s="743"/>
      <c r="Q37" s="743"/>
      <c r="R37" s="743"/>
      <c r="S37" s="743"/>
      <c r="T37" s="743" t="s">
        <v>75</v>
      </c>
      <c r="U37" s="743"/>
      <c r="V37" s="743"/>
      <c r="W37" s="743"/>
      <c r="X37" s="743"/>
      <c r="Y37" s="743" t="s">
        <v>76</v>
      </c>
      <c r="Z37" s="743"/>
      <c r="AA37" s="743"/>
      <c r="AB37" s="743"/>
      <c r="AC37" s="743"/>
      <c r="AD37" s="752"/>
    </row>
    <row r="38" spans="1:30" ht="16.5" customHeight="1" x14ac:dyDescent="0.4">
      <c r="A38" s="744"/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745"/>
      <c r="AB38" s="745"/>
      <c r="AC38" s="745"/>
      <c r="AD38" s="753"/>
    </row>
    <row r="39" spans="1:30" ht="16.5" customHeight="1" x14ac:dyDescent="0.4">
      <c r="A39" s="746">
        <f>SUM(Q2:U35)</f>
        <v>142</v>
      </c>
      <c r="B39" s="747"/>
      <c r="C39" s="747"/>
      <c r="D39" s="747"/>
      <c r="E39" s="750">
        <f>SUM(V2:Z35)</f>
        <v>15345</v>
      </c>
      <c r="F39" s="747"/>
      <c r="G39" s="747"/>
      <c r="H39" s="747"/>
      <c r="I39" s="747"/>
      <c r="J39" s="747"/>
      <c r="K39" s="750">
        <f>E39/A39</f>
        <v>108.06338028169014</v>
      </c>
      <c r="L39" s="747"/>
      <c r="M39" s="747"/>
      <c r="N39" s="747"/>
      <c r="O39" s="747">
        <f>SUM(MON:SUN!Q31)</f>
        <v>0</v>
      </c>
      <c r="P39" s="747"/>
      <c r="Q39" s="747"/>
      <c r="R39" s="747"/>
      <c r="S39" s="747"/>
      <c r="T39" s="747">
        <f>SUM(MON:SUN!P31)</f>
        <v>31</v>
      </c>
      <c r="U39" s="747"/>
      <c r="V39" s="747"/>
      <c r="W39" s="747"/>
      <c r="X39" s="747"/>
      <c r="Y39" s="747">
        <f>SUM(MON:SUN!S19)</f>
        <v>6</v>
      </c>
      <c r="Z39" s="747"/>
      <c r="AA39" s="747"/>
      <c r="AB39" s="747"/>
      <c r="AC39" s="747"/>
      <c r="AD39" s="762"/>
    </row>
    <row r="40" spans="1:30" ht="16.5" customHeight="1" x14ac:dyDescent="0.4">
      <c r="A40" s="746"/>
      <c r="B40" s="747"/>
      <c r="C40" s="747"/>
      <c r="D40" s="747"/>
      <c r="E40" s="747"/>
      <c r="F40" s="747"/>
      <c r="G40" s="747"/>
      <c r="H40" s="747"/>
      <c r="I40" s="747"/>
      <c r="J40" s="747"/>
      <c r="K40" s="747"/>
      <c r="L40" s="747"/>
      <c r="M40" s="747"/>
      <c r="N40" s="747"/>
      <c r="O40" s="747"/>
      <c r="P40" s="747"/>
      <c r="Q40" s="747"/>
      <c r="R40" s="747"/>
      <c r="S40" s="747"/>
      <c r="T40" s="747"/>
      <c r="U40" s="747"/>
      <c r="V40" s="747"/>
      <c r="W40" s="747"/>
      <c r="X40" s="747"/>
      <c r="Y40" s="747"/>
      <c r="Z40" s="747"/>
      <c r="AA40" s="747"/>
      <c r="AB40" s="747"/>
      <c r="AC40" s="747"/>
      <c r="AD40" s="762"/>
    </row>
    <row r="41" spans="1:30" ht="16.5" customHeight="1" x14ac:dyDescent="0.4">
      <c r="A41" s="746"/>
      <c r="B41" s="747"/>
      <c r="C41" s="747"/>
      <c r="D41" s="747"/>
      <c r="E41" s="747"/>
      <c r="F41" s="747"/>
      <c r="G41" s="747"/>
      <c r="H41" s="747"/>
      <c r="I41" s="747"/>
      <c r="J41" s="747"/>
      <c r="K41" s="747"/>
      <c r="L41" s="747"/>
      <c r="M41" s="747"/>
      <c r="N41" s="747"/>
      <c r="O41" s="760">
        <f>SUM(MON:SUN!J31)</f>
        <v>0</v>
      </c>
      <c r="P41" s="760"/>
      <c r="Q41" s="760"/>
      <c r="R41" s="760"/>
      <c r="S41" s="760"/>
      <c r="T41" s="760">
        <f>SUM(MON:SUN!K31)</f>
        <v>2824.1000000000004</v>
      </c>
      <c r="U41" s="760"/>
      <c r="V41" s="760"/>
      <c r="W41" s="760"/>
      <c r="X41" s="760"/>
      <c r="Y41" s="760">
        <f>SUM(MON:SUN!T19)</f>
        <v>2850</v>
      </c>
      <c r="Z41" s="760"/>
      <c r="AA41" s="760"/>
      <c r="AB41" s="760"/>
      <c r="AC41" s="760"/>
      <c r="AD41" s="763"/>
    </row>
    <row r="42" spans="1:30" ht="16.5" customHeight="1" thickBot="1" x14ac:dyDescent="0.45">
      <c r="A42" s="748"/>
      <c r="B42" s="749"/>
      <c r="C42" s="749"/>
      <c r="D42" s="749"/>
      <c r="E42" s="749"/>
      <c r="F42" s="749"/>
      <c r="G42" s="749"/>
      <c r="H42" s="749"/>
      <c r="I42" s="749"/>
      <c r="J42" s="749"/>
      <c r="K42" s="749"/>
      <c r="L42" s="749"/>
      <c r="M42" s="749"/>
      <c r="N42" s="749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Y42" s="761"/>
      <c r="Z42" s="761"/>
      <c r="AA42" s="761"/>
      <c r="AB42" s="761"/>
      <c r="AC42" s="761"/>
      <c r="AD42" s="764"/>
    </row>
    <row r="43" spans="1:30" ht="17.399999999999999" customHeight="1" x14ac:dyDescent="0.4">
      <c r="A43" s="521" t="s">
        <v>84</v>
      </c>
      <c r="B43" s="522"/>
      <c r="C43" s="522"/>
      <c r="D43" s="522"/>
      <c r="E43" s="523"/>
      <c r="F43" s="521" t="s">
        <v>85</v>
      </c>
      <c r="G43" s="522"/>
      <c r="H43" s="522"/>
      <c r="I43" s="522"/>
      <c r="J43" s="523"/>
      <c r="K43" s="521" t="s">
        <v>86</v>
      </c>
      <c r="L43" s="522"/>
      <c r="M43" s="522"/>
      <c r="N43" s="522"/>
      <c r="O43" s="523"/>
      <c r="P43" s="521" t="s">
        <v>87</v>
      </c>
      <c r="Q43" s="522"/>
      <c r="R43" s="522"/>
      <c r="S43" s="522"/>
      <c r="T43" s="523"/>
      <c r="U43" s="521" t="s">
        <v>90</v>
      </c>
      <c r="V43" s="522"/>
      <c r="W43" s="522"/>
      <c r="X43" s="522"/>
      <c r="Y43" s="523"/>
      <c r="Z43" s="527" t="s">
        <v>95</v>
      </c>
      <c r="AA43" s="528"/>
      <c r="AB43" s="528"/>
      <c r="AC43" s="528"/>
      <c r="AD43" s="529"/>
    </row>
    <row r="44" spans="1:30" ht="17.399999999999999" customHeight="1" x14ac:dyDescent="0.4">
      <c r="A44" s="524"/>
      <c r="B44" s="525"/>
      <c r="C44" s="525"/>
      <c r="D44" s="525"/>
      <c r="E44" s="526"/>
      <c r="F44" s="524"/>
      <c r="G44" s="525"/>
      <c r="H44" s="525"/>
      <c r="I44" s="525"/>
      <c r="J44" s="526"/>
      <c r="K44" s="524"/>
      <c r="L44" s="525"/>
      <c r="M44" s="525"/>
      <c r="N44" s="525"/>
      <c r="O44" s="526"/>
      <c r="P44" s="524"/>
      <c r="Q44" s="525"/>
      <c r="R44" s="525"/>
      <c r="S44" s="525"/>
      <c r="T44" s="526"/>
      <c r="U44" s="524"/>
      <c r="V44" s="525"/>
      <c r="W44" s="525"/>
      <c r="X44" s="525"/>
      <c r="Y44" s="526"/>
      <c r="Z44" s="530"/>
      <c r="AA44" s="531"/>
      <c r="AB44" s="531"/>
      <c r="AC44" s="531"/>
      <c r="AD44" s="532"/>
    </row>
    <row r="45" spans="1:30" x14ac:dyDescent="0.4">
      <c r="A45" s="533">
        <f>SUM(H2,H7,H12,H17,H22,H27,H32)</f>
        <v>5140</v>
      </c>
      <c r="B45" s="534"/>
      <c r="C45" s="534"/>
      <c r="D45" s="534"/>
      <c r="E45" s="535"/>
      <c r="F45" s="533">
        <f>SUM(,H3,H8,H13,H18,H23,H28,H33)</f>
        <v>10205</v>
      </c>
      <c r="G45" s="534"/>
      <c r="H45" s="534"/>
      <c r="I45" s="534"/>
      <c r="J45" s="535"/>
      <c r="K45" s="533">
        <f>SUM(H5,H10,H15,H20,H25,H30,H35)</f>
        <v>0</v>
      </c>
      <c r="L45" s="534"/>
      <c r="M45" s="534"/>
      <c r="N45" s="534"/>
      <c r="O45" s="535"/>
      <c r="P45" s="533">
        <f>SUM(H4,H9,H14,H19,H24,H29,H34)</f>
        <v>2824.1000000000004</v>
      </c>
      <c r="Q45" s="534"/>
      <c r="R45" s="534"/>
      <c r="S45" s="534"/>
      <c r="T45" s="535"/>
      <c r="U45" s="542">
        <f>SUM(E6,E11,E16,E21,E26,E31,E36)</f>
        <v>321.5</v>
      </c>
      <c r="V45" s="534"/>
      <c r="W45" s="534"/>
      <c r="X45" s="534"/>
      <c r="Y45" s="535"/>
      <c r="Z45" s="542">
        <f>SUM(L6,L11,L16,L21,L26,L31,L36)</f>
        <v>43</v>
      </c>
      <c r="AA45" s="534"/>
      <c r="AB45" s="534"/>
      <c r="AC45" s="534"/>
      <c r="AD45" s="543"/>
    </row>
    <row r="46" spans="1:30" x14ac:dyDescent="0.4">
      <c r="A46" s="536"/>
      <c r="B46" s="537"/>
      <c r="C46" s="537"/>
      <c r="D46" s="537"/>
      <c r="E46" s="538"/>
      <c r="F46" s="536"/>
      <c r="G46" s="537"/>
      <c r="H46" s="537"/>
      <c r="I46" s="537"/>
      <c r="J46" s="538"/>
      <c r="K46" s="536"/>
      <c r="L46" s="537"/>
      <c r="M46" s="537"/>
      <c r="N46" s="537"/>
      <c r="O46" s="538"/>
      <c r="P46" s="536"/>
      <c r="Q46" s="537"/>
      <c r="R46" s="537"/>
      <c r="S46" s="537"/>
      <c r="T46" s="538"/>
      <c r="U46" s="536"/>
      <c r="V46" s="537"/>
      <c r="W46" s="537"/>
      <c r="X46" s="537"/>
      <c r="Y46" s="538"/>
      <c r="Z46" s="536"/>
      <c r="AA46" s="537"/>
      <c r="AB46" s="537"/>
      <c r="AC46" s="537"/>
      <c r="AD46" s="544"/>
    </row>
    <row r="47" spans="1:30" x14ac:dyDescent="0.4">
      <c r="A47" s="536"/>
      <c r="B47" s="537"/>
      <c r="C47" s="537"/>
      <c r="D47" s="537"/>
      <c r="E47" s="538"/>
      <c r="F47" s="536"/>
      <c r="G47" s="537"/>
      <c r="H47" s="537"/>
      <c r="I47" s="537"/>
      <c r="J47" s="538"/>
      <c r="K47" s="536"/>
      <c r="L47" s="537"/>
      <c r="M47" s="537"/>
      <c r="N47" s="537"/>
      <c r="O47" s="538"/>
      <c r="P47" s="536"/>
      <c r="Q47" s="537"/>
      <c r="R47" s="537"/>
      <c r="S47" s="537"/>
      <c r="T47" s="538"/>
      <c r="U47" s="536"/>
      <c r="V47" s="537"/>
      <c r="W47" s="537"/>
      <c r="X47" s="537"/>
      <c r="Y47" s="538"/>
      <c r="Z47" s="536"/>
      <c r="AA47" s="537"/>
      <c r="AB47" s="537"/>
      <c r="AC47" s="537"/>
      <c r="AD47" s="544"/>
    </row>
    <row r="48" spans="1:30" ht="18" thickBot="1" x14ac:dyDescent="0.45">
      <c r="A48" s="539"/>
      <c r="B48" s="540"/>
      <c r="C48" s="540"/>
      <c r="D48" s="540"/>
      <c r="E48" s="541"/>
      <c r="F48" s="539"/>
      <c r="G48" s="540"/>
      <c r="H48" s="540"/>
      <c r="I48" s="540"/>
      <c r="J48" s="541"/>
      <c r="K48" s="539"/>
      <c r="L48" s="540"/>
      <c r="M48" s="540"/>
      <c r="N48" s="540"/>
      <c r="O48" s="541"/>
      <c r="P48" s="539"/>
      <c r="Q48" s="540"/>
      <c r="R48" s="540"/>
      <c r="S48" s="540"/>
      <c r="T48" s="541"/>
      <c r="U48" s="539"/>
      <c r="V48" s="540"/>
      <c r="W48" s="540"/>
      <c r="X48" s="540"/>
      <c r="Y48" s="541"/>
      <c r="Z48" s="539"/>
      <c r="AA48" s="540"/>
      <c r="AB48" s="540"/>
      <c r="AC48" s="540"/>
      <c r="AD48" s="545"/>
    </row>
    <row r="49" spans="1:30" ht="17.399999999999999" customHeight="1" x14ac:dyDescent="0.4">
      <c r="A49" s="503">
        <f>A45/E39</f>
        <v>0.33496252851091562</v>
      </c>
      <c r="B49" s="504"/>
      <c r="C49" s="504"/>
      <c r="D49" s="504"/>
      <c r="E49" s="505"/>
      <c r="F49" s="503">
        <f>F45/E39</f>
        <v>0.66503747148908443</v>
      </c>
      <c r="G49" s="504"/>
      <c r="H49" s="504"/>
      <c r="I49" s="504"/>
      <c r="J49" s="505"/>
      <c r="K49" s="503">
        <f>K45/E39</f>
        <v>0</v>
      </c>
      <c r="L49" s="504"/>
      <c r="M49" s="504"/>
      <c r="N49" s="504"/>
      <c r="O49" s="505"/>
      <c r="P49" s="503">
        <f>P45/E39</f>
        <v>0.18404040404040406</v>
      </c>
      <c r="Q49" s="504"/>
      <c r="R49" s="504"/>
      <c r="S49" s="504"/>
      <c r="T49" s="505"/>
      <c r="U49" s="512">
        <f>U45/7</f>
        <v>45.928571428571431</v>
      </c>
      <c r="V49" s="513"/>
      <c r="W49" s="513"/>
      <c r="X49" s="513"/>
      <c r="Y49" s="514"/>
      <c r="Z49" s="512">
        <f>U45/Z45</f>
        <v>7.4767441860465116</v>
      </c>
      <c r="AA49" s="513"/>
      <c r="AB49" s="513"/>
      <c r="AC49" s="513"/>
      <c r="AD49" s="514"/>
    </row>
    <row r="50" spans="1:30" ht="17.399999999999999" customHeight="1" x14ac:dyDescent="0.4">
      <c r="A50" s="506"/>
      <c r="B50" s="507"/>
      <c r="C50" s="507"/>
      <c r="D50" s="507"/>
      <c r="E50" s="508"/>
      <c r="F50" s="506"/>
      <c r="G50" s="507"/>
      <c r="H50" s="507"/>
      <c r="I50" s="507"/>
      <c r="J50" s="508"/>
      <c r="K50" s="506"/>
      <c r="L50" s="507"/>
      <c r="M50" s="507"/>
      <c r="N50" s="507"/>
      <c r="O50" s="508"/>
      <c r="P50" s="506"/>
      <c r="Q50" s="507"/>
      <c r="R50" s="507"/>
      <c r="S50" s="507"/>
      <c r="T50" s="508"/>
      <c r="U50" s="515"/>
      <c r="V50" s="516"/>
      <c r="W50" s="516"/>
      <c r="X50" s="516"/>
      <c r="Y50" s="517"/>
      <c r="Z50" s="515"/>
      <c r="AA50" s="516"/>
      <c r="AB50" s="516"/>
      <c r="AC50" s="516"/>
      <c r="AD50" s="517"/>
    </row>
    <row r="51" spans="1:30" ht="17.399999999999999" customHeight="1" x14ac:dyDescent="0.4">
      <c r="A51" s="506"/>
      <c r="B51" s="507"/>
      <c r="C51" s="507"/>
      <c r="D51" s="507"/>
      <c r="E51" s="508"/>
      <c r="F51" s="506"/>
      <c r="G51" s="507"/>
      <c r="H51" s="507"/>
      <c r="I51" s="507"/>
      <c r="J51" s="508"/>
      <c r="K51" s="506"/>
      <c r="L51" s="507"/>
      <c r="M51" s="507"/>
      <c r="N51" s="507"/>
      <c r="O51" s="508"/>
      <c r="P51" s="506"/>
      <c r="Q51" s="507"/>
      <c r="R51" s="507"/>
      <c r="S51" s="507"/>
      <c r="T51" s="508"/>
      <c r="U51" s="515"/>
      <c r="V51" s="516"/>
      <c r="W51" s="516"/>
      <c r="X51" s="516"/>
      <c r="Y51" s="517"/>
      <c r="Z51" s="515"/>
      <c r="AA51" s="516"/>
      <c r="AB51" s="516"/>
      <c r="AC51" s="516"/>
      <c r="AD51" s="517"/>
    </row>
    <row r="52" spans="1:30" ht="18" customHeight="1" thickBot="1" x14ac:dyDescent="0.45">
      <c r="A52" s="509"/>
      <c r="B52" s="510"/>
      <c r="C52" s="510"/>
      <c r="D52" s="510"/>
      <c r="E52" s="511"/>
      <c r="F52" s="509"/>
      <c r="G52" s="510"/>
      <c r="H52" s="510"/>
      <c r="I52" s="510"/>
      <c r="J52" s="511"/>
      <c r="K52" s="509"/>
      <c r="L52" s="510"/>
      <c r="M52" s="510"/>
      <c r="N52" s="510"/>
      <c r="O52" s="511"/>
      <c r="P52" s="509"/>
      <c r="Q52" s="510"/>
      <c r="R52" s="510"/>
      <c r="S52" s="510"/>
      <c r="T52" s="511"/>
      <c r="U52" s="518"/>
      <c r="V52" s="519"/>
      <c r="W52" s="519"/>
      <c r="X52" s="519"/>
      <c r="Y52" s="520"/>
      <c r="Z52" s="518"/>
      <c r="AA52" s="519"/>
      <c r="AB52" s="519"/>
      <c r="AC52" s="519"/>
      <c r="AD52" s="520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1FE8836C-C6D1-4C9D-8BF7-8A246A5745E7}"/>
</file>

<file path=customXml/itemProps2.xml><?xml version="1.0" encoding="utf-8"?>
<ds:datastoreItem xmlns:ds="http://schemas.openxmlformats.org/officeDocument/2006/customXml" ds:itemID="{2E252880-0FE5-48CD-8BDA-5ABF3C76A569}"/>
</file>

<file path=customXml/itemProps3.xml><?xml version="1.0" encoding="utf-8"?>
<ds:datastoreItem xmlns:ds="http://schemas.openxmlformats.org/officeDocument/2006/customXml" ds:itemID="{1D2611DD-2F42-46BF-9297-D3C84AF09E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2021-12-02T06:53:47Z</cp:lastPrinted>
  <dcterms:created xsi:type="dcterms:W3CDTF">2011-11-24T03:16:40Z</dcterms:created>
  <dcterms:modified xsi:type="dcterms:W3CDTF">2022-11-20T22:11:39Z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