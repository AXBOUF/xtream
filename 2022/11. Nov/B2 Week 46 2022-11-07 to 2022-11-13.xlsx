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11. Nov\"/>
    </mc:Choice>
  </mc:AlternateContent>
  <xr:revisionPtr revIDLastSave="0" documentId="13_ncr:1_{03F1CFC7-842A-42C7-90D2-3C68077589C1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A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H32" i="4"/>
  <c r="Z31" i="4"/>
  <c r="Q31" i="4"/>
  <c r="P31" i="4"/>
  <c r="O31" i="4"/>
  <c r="N31" i="4"/>
  <c r="M31" i="4"/>
  <c r="L31" i="4"/>
  <c r="H31" i="4"/>
  <c r="M30" i="4"/>
  <c r="L30" i="4"/>
  <c r="I30" i="4"/>
  <c r="I31" i="4" s="1"/>
  <c r="S32" i="4" s="1"/>
  <c r="H30" i="4"/>
  <c r="K29" i="4"/>
  <c r="J29" i="4"/>
  <c r="K28" i="4"/>
  <c r="J28" i="4"/>
  <c r="K27" i="4"/>
  <c r="J27" i="4"/>
  <c r="K26" i="4"/>
  <c r="J26" i="4"/>
  <c r="AH25" i="4"/>
  <c r="AG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P22" i="4"/>
  <c r="AF25" i="4" s="1"/>
  <c r="AG22" i="4"/>
  <c r="AF22" i="4"/>
  <c r="AE22" i="4"/>
  <c r="AE25" i="4" s="1"/>
  <c r="J22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J15" i="4"/>
  <c r="U14" i="4"/>
  <c r="K14" i="4"/>
  <c r="J14" i="4"/>
  <c r="U13" i="4"/>
  <c r="J13" i="4"/>
  <c r="U12" i="4"/>
  <c r="K12" i="4"/>
  <c r="J12" i="4"/>
  <c r="U11" i="4"/>
  <c r="K11" i="4"/>
  <c r="J11" i="4"/>
  <c r="U10" i="4"/>
  <c r="K10" i="4"/>
  <c r="J10" i="4"/>
  <c r="U9" i="4"/>
  <c r="K9" i="4"/>
  <c r="K30" i="4" s="1"/>
  <c r="K31" i="4" s="1"/>
  <c r="J9" i="4"/>
  <c r="J30" i="4" s="1"/>
  <c r="U8" i="4"/>
  <c r="K8" i="4"/>
  <c r="J8" i="4"/>
  <c r="U7" i="4"/>
  <c r="J7" i="4"/>
  <c r="U6" i="4"/>
  <c r="J6" i="4"/>
  <c r="U5" i="4"/>
  <c r="U16" i="4" s="1"/>
  <c r="K5" i="4"/>
  <c r="J5" i="4"/>
  <c r="AD25" i="4" l="1"/>
  <c r="AI25" i="4"/>
  <c r="S16" i="4"/>
  <c r="R16" i="4"/>
  <c r="J31" i="4"/>
  <c r="C32" i="4" s="1"/>
  <c r="Z32" i="4"/>
  <c r="Z33" i="4" s="1"/>
  <c r="S31" i="4"/>
  <c r="T31" i="4"/>
  <c r="K32" i="4" l="1"/>
  <c r="T16" i="4"/>
  <c r="U25" i="4"/>
  <c r="P32" i="4"/>
  <c r="N32" i="4"/>
  <c r="Q32" i="4"/>
  <c r="O32" i="4"/>
  <c r="J21" i="3" l="1"/>
  <c r="K21" i="3"/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J22" i="2"/>
  <c r="K21" i="2"/>
  <c r="J21" i="2"/>
  <c r="J20" i="2"/>
  <c r="T19" i="2"/>
  <c r="S19" i="2"/>
  <c r="J19" i="2"/>
  <c r="K18" i="2"/>
  <c r="J18" i="2"/>
  <c r="K17" i="2"/>
  <c r="J17" i="2"/>
  <c r="K16" i="2"/>
  <c r="J16" i="2"/>
  <c r="U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J42" i="1"/>
  <c r="J41" i="1"/>
  <c r="K40" i="1"/>
  <c r="J40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H30" i="1"/>
  <c r="H31" i="1" s="1"/>
  <c r="K29" i="1"/>
  <c r="J29" i="1"/>
  <c r="K28" i="1"/>
  <c r="J28" i="1"/>
  <c r="J27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J93" i="3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H30" i="3"/>
  <c r="K29" i="3"/>
  <c r="J29" i="3"/>
  <c r="K28" i="3"/>
  <c r="J28" i="3"/>
  <c r="K27" i="3"/>
  <c r="J27" i="3"/>
  <c r="K26" i="3"/>
  <c r="J26" i="3"/>
  <c r="T25" i="3"/>
  <c r="T26" i="3" s="1"/>
  <c r="S25" i="3"/>
  <c r="S26" i="3" s="1"/>
  <c r="R25" i="3"/>
  <c r="R26" i="3" s="1"/>
  <c r="J25" i="3"/>
  <c r="K24" i="3"/>
  <c r="J24" i="3"/>
  <c r="K23" i="3"/>
  <c r="J23" i="3"/>
  <c r="AR22" i="3"/>
  <c r="AQ22" i="3"/>
  <c r="AP22" i="3"/>
  <c r="AF25" i="3" s="1"/>
  <c r="AG22" i="3"/>
  <c r="AH25" i="3" s="1"/>
  <c r="AF22" i="3"/>
  <c r="AE22" i="3"/>
  <c r="AE25" i="3" s="1"/>
  <c r="J22" i="3"/>
  <c r="K20" i="3"/>
  <c r="J20" i="3"/>
  <c r="T19" i="3"/>
  <c r="S19" i="3"/>
  <c r="K19" i="3"/>
  <c r="J19" i="3"/>
  <c r="J18" i="3"/>
  <c r="K17" i="3"/>
  <c r="J17" i="3"/>
  <c r="K16" i="3"/>
  <c r="J16" i="3"/>
  <c r="U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J14" i="5"/>
  <c r="U13" i="5"/>
  <c r="K13" i="5"/>
  <c r="J13" i="5"/>
  <c r="U12" i="5"/>
  <c r="K12" i="5"/>
  <c r="J12" i="5"/>
  <c r="U11" i="5"/>
  <c r="K11" i="5"/>
  <c r="J11" i="5"/>
  <c r="U10" i="5"/>
  <c r="J10" i="5"/>
  <c r="U9" i="5"/>
  <c r="K9" i="5"/>
  <c r="J9" i="5"/>
  <c r="U8" i="5"/>
  <c r="K8" i="5"/>
  <c r="J8" i="5"/>
  <c r="U7" i="5"/>
  <c r="K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30" i="2" l="1"/>
  <c r="K31" i="2" s="1"/>
  <c r="H34" i="8" s="1"/>
  <c r="J30" i="2"/>
  <c r="J31" i="2" s="1"/>
  <c r="H35" i="8" s="1"/>
  <c r="V32" i="8" s="1"/>
  <c r="U16" i="2"/>
  <c r="S16" i="2" s="1"/>
  <c r="I31" i="1"/>
  <c r="S32" i="1" s="1"/>
  <c r="H28" i="8" s="1"/>
  <c r="J62" i="1"/>
  <c r="K62" i="1"/>
  <c r="K30" i="1"/>
  <c r="K31" i="1" s="1"/>
  <c r="J30" i="1"/>
  <c r="U16" i="1"/>
  <c r="S16" i="1" s="1"/>
  <c r="AG25" i="3"/>
  <c r="I31" i="3"/>
  <c r="S32" i="3" s="1"/>
  <c r="J94" i="3"/>
  <c r="K94" i="3"/>
  <c r="H31" i="3"/>
  <c r="J62" i="3"/>
  <c r="K62" i="3"/>
  <c r="K30" i="3"/>
  <c r="J30" i="3"/>
  <c r="U16" i="3"/>
  <c r="S16" i="3" s="1"/>
  <c r="H18" i="8"/>
  <c r="S32" i="5"/>
  <c r="H13" i="8" s="1"/>
  <c r="J30" i="5"/>
  <c r="J31" i="5" s="1"/>
  <c r="K30" i="5"/>
  <c r="K31" i="5" s="1"/>
  <c r="U16" i="5"/>
  <c r="S16" i="5" s="1"/>
  <c r="K30" i="6"/>
  <c r="K31" i="6" s="1"/>
  <c r="J30" i="6"/>
  <c r="J31" i="6" s="1"/>
  <c r="U16" i="6"/>
  <c r="S16" i="6" s="1"/>
  <c r="AD25" i="2"/>
  <c r="AI25" i="2"/>
  <c r="Z32" i="2"/>
  <c r="Z33" i="2" s="1"/>
  <c r="S31" i="2"/>
  <c r="T31" i="2"/>
  <c r="AD25" i="1"/>
  <c r="AI25" i="1"/>
  <c r="S31" i="1"/>
  <c r="H27" i="8" s="1"/>
  <c r="T31" i="1"/>
  <c r="AD25" i="3"/>
  <c r="AI25" i="3"/>
  <c r="S31" i="3"/>
  <c r="H22" i="8" s="1"/>
  <c r="H17" i="8"/>
  <c r="Y39" i="8"/>
  <c r="AI25" i="5"/>
  <c r="AD25" i="5"/>
  <c r="Z33" i="5"/>
  <c r="S31" i="5"/>
  <c r="H12" i="8" s="1"/>
  <c r="Z32" i="5"/>
  <c r="T31" i="5"/>
  <c r="AD25" i="6"/>
  <c r="AI25" i="6"/>
  <c r="S31" i="6"/>
  <c r="H7" i="8" s="1"/>
  <c r="Z32" i="6"/>
  <c r="Z33" i="6" s="1"/>
  <c r="T31" i="6"/>
  <c r="H3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M30" i="7"/>
  <c r="L30" i="7"/>
  <c r="L31" i="7" s="1"/>
  <c r="I30" i="7"/>
  <c r="I31" i="7" s="1"/>
  <c r="S32" i="7" s="1"/>
  <c r="H3" i="8" s="1"/>
  <c r="H30" i="7"/>
  <c r="H31" i="7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7" i="7"/>
  <c r="K16" i="7"/>
  <c r="U15" i="7"/>
  <c r="K15" i="7"/>
  <c r="U14" i="7"/>
  <c r="U13" i="7"/>
  <c r="U12" i="7"/>
  <c r="K12" i="7"/>
  <c r="U11" i="7"/>
  <c r="K11" i="7"/>
  <c r="U10" i="7"/>
  <c r="K10" i="7"/>
  <c r="U9" i="7"/>
  <c r="K9" i="7"/>
  <c r="U8" i="7"/>
  <c r="U7" i="7"/>
  <c r="U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E36" i="8"/>
  <c r="R16" i="2"/>
  <c r="Z32" i="1"/>
  <c r="Z33" i="1" s="1"/>
  <c r="J31" i="1"/>
  <c r="C32" i="1" s="1"/>
  <c r="O32" i="1" s="1"/>
  <c r="E31" i="8"/>
  <c r="R16" i="1"/>
  <c r="Z32" i="3"/>
  <c r="Z33" i="3" s="1"/>
  <c r="J31" i="3"/>
  <c r="C32" i="3" s="1"/>
  <c r="O32" i="3" s="1"/>
  <c r="T31" i="3"/>
  <c r="K31" i="3"/>
  <c r="E26" i="8"/>
  <c r="R16" i="3"/>
  <c r="C32" i="5"/>
  <c r="P32" i="5" s="1"/>
  <c r="R16" i="5"/>
  <c r="R16" i="6"/>
  <c r="E11" i="8"/>
  <c r="S31" i="7"/>
  <c r="H2" i="8" s="1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P32" i="2" l="1"/>
  <c r="L34" i="8" s="1"/>
  <c r="T16" i="2"/>
  <c r="K32" i="2"/>
  <c r="N32" i="2"/>
  <c r="L32" i="8" s="1"/>
  <c r="U25" i="2"/>
  <c r="Q32" i="2"/>
  <c r="L35" i="8" s="1"/>
  <c r="N32" i="1"/>
  <c r="K32" i="1"/>
  <c r="U25" i="1"/>
  <c r="P32" i="1"/>
  <c r="Q32" i="1"/>
  <c r="T16" i="1"/>
  <c r="P32" i="3"/>
  <c r="L24" i="8" s="1"/>
  <c r="K32" i="3"/>
  <c r="N32" i="3"/>
  <c r="L22" i="8" s="1"/>
  <c r="T16" i="3"/>
  <c r="Q32" i="3"/>
  <c r="L25" i="8" s="1"/>
  <c r="U25" i="3"/>
  <c r="O32" i="5"/>
  <c r="N32" i="5"/>
  <c r="T16" i="5"/>
  <c r="K32" i="5"/>
  <c r="Q32" i="5"/>
  <c r="U25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<sst xmlns="http://schemas.openxmlformats.org/spreadsheetml/2006/main" count="1962" uniqueCount="500">
  <si>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</si>
  <si>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</si>
  <si>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</si>
  <si>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</si>
  <si>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</si>
  <si>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</si>
  <si>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</si>
  <si>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</si>
  <si>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</si>
  <si>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</si>
  <si>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</si>
  <si>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</si>
  <si>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</si>
  <si>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</si>
  <si>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</si>
  <si>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</si>
  <si>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</si>
  <si>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</si>
  <si>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</si>
  <si>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</si>
  <si>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</si>
  <si>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</si>
  <si>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</si>
  <si>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</si>
  <si>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</si>
  <si>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</si>
  <si>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</si>
  <si>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</si>
  <si>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</si>
  <si>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</si>
  <si>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</si>
  <si>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</si>
  <si>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</si>
  <si>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</si>
  <si>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</si>
  <si>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</si>
  <si>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</si>
  <si>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</si>
  <si>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</si>
  <si>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</si>
  <si>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</si>
  <si>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</si>
  <si>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</si>
  <si>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</si>
  <si>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</si>
  <si>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</si>
  <si>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</si>
  <si>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</si>
  <si>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</si>
  <si>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</si>
  <si>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</si>
  <si>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</si>
  <si>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</si>
  <si>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</si>
  <si>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</si>
  <si>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</si>
  <si>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</si>
  <si>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</si>
  <si>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</si>
  <si>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</si>
  <si>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</si>
  <si>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</si>
  <si>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</si>
  <si>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</si>
  <si>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</si>
  <si>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</si>
  <si>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</si>
  <si>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</si>
  <si>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</si>
  <si>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</si>
  <si>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</si>
  <si>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</si>
  <si>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</si>
  <si>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</si>
  <si>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</si>
  <si>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</si>
  <si>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</si>
  <si>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</si>
  <si>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</si>
  <si>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</si>
  <si>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</si>
  <si>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</si>
  <si>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</si>
  <si>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</si>
  <si>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</si>
  <si>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</si>
  <si>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</si>
  <si>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</si>
  <si>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</si>
  <si>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</si>
  <si>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</si>
  <si>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</si>
  <si>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</si>
  <si>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</si>
  <si>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</si>
  <si>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</si>
  <si>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</si>
  <si>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07-11-2022</t>
    <phoneticPr fontId="3" type="noConversion"/>
  </si>
  <si>
    <t>JOHN</t>
    <phoneticPr fontId="3" type="noConversion"/>
  </si>
  <si>
    <t>KUROSH</t>
    <phoneticPr fontId="3" type="noConversion"/>
  </si>
  <si>
    <t>HENDRA</t>
    <phoneticPr fontId="3" type="noConversion"/>
  </si>
  <si>
    <t>ARANTO</t>
    <phoneticPr fontId="3" type="noConversion"/>
  </si>
  <si>
    <t>VINNY</t>
    <phoneticPr fontId="3" type="noConversion"/>
  </si>
  <si>
    <t>SUNNY</t>
    <phoneticPr fontId="3" type="noConversion"/>
  </si>
  <si>
    <t>0416138990</t>
    <phoneticPr fontId="3" type="noConversion"/>
  </si>
  <si>
    <t>X</t>
    <phoneticPr fontId="3" type="noConversion"/>
  </si>
  <si>
    <t>EWG85W</t>
    <phoneticPr fontId="3" type="noConversion"/>
  </si>
  <si>
    <t>0448004714</t>
    <phoneticPr fontId="3" type="noConversion"/>
  </si>
  <si>
    <t>PCL</t>
    <phoneticPr fontId="3" type="noConversion"/>
  </si>
  <si>
    <t>22036(5/6)</t>
    <phoneticPr fontId="3" type="noConversion"/>
  </si>
  <si>
    <t>DQU74S</t>
    <phoneticPr fontId="3" type="noConversion"/>
  </si>
  <si>
    <t>0416808517</t>
    <phoneticPr fontId="3" type="noConversion"/>
  </si>
  <si>
    <t>22117(1/6)</t>
    <phoneticPr fontId="3" type="noConversion"/>
  </si>
  <si>
    <t>LAW74A</t>
    <phoneticPr fontId="3" type="noConversion"/>
  </si>
  <si>
    <t>0404876856</t>
    <phoneticPr fontId="3" type="noConversion"/>
  </si>
  <si>
    <t>21122821(4/6)</t>
    <phoneticPr fontId="3" type="noConversion"/>
  </si>
  <si>
    <t>EED55V</t>
    <phoneticPr fontId="3" type="noConversion"/>
  </si>
  <si>
    <t>0433535866</t>
    <phoneticPr fontId="3" type="noConversion"/>
  </si>
  <si>
    <t>CSA03M</t>
    <phoneticPr fontId="3" type="noConversion"/>
  </si>
  <si>
    <t>0401988480</t>
    <phoneticPr fontId="3" type="noConversion"/>
  </si>
  <si>
    <t>H</t>
    <phoneticPr fontId="3" type="noConversion"/>
  </si>
  <si>
    <t>EDU78T</t>
    <phoneticPr fontId="3" type="noConversion"/>
  </si>
  <si>
    <t>0481336505</t>
    <phoneticPr fontId="3" type="noConversion"/>
  </si>
  <si>
    <t>D</t>
    <phoneticPr fontId="3" type="noConversion"/>
  </si>
  <si>
    <t>MH581</t>
    <phoneticPr fontId="3" type="noConversion"/>
  </si>
  <si>
    <t>0415441370</t>
    <phoneticPr fontId="3" type="noConversion"/>
  </si>
  <si>
    <t>CNI28W</t>
    <phoneticPr fontId="3" type="noConversion"/>
  </si>
  <si>
    <t>0425661609</t>
    <phoneticPr fontId="3" type="noConversion"/>
  </si>
  <si>
    <t>22118(1/6)</t>
    <phoneticPr fontId="3" type="noConversion"/>
  </si>
  <si>
    <t>ETS63U</t>
    <phoneticPr fontId="3" type="noConversion"/>
  </si>
  <si>
    <t>0401055800</t>
    <phoneticPr fontId="3" type="noConversion"/>
  </si>
  <si>
    <t>22119(1/6)</t>
    <phoneticPr fontId="3" type="noConversion"/>
  </si>
  <si>
    <t>CV57AO</t>
    <phoneticPr fontId="3" type="noConversion"/>
  </si>
  <si>
    <t>0435117046</t>
    <phoneticPr fontId="3" type="noConversion"/>
  </si>
  <si>
    <t>ECN64V</t>
    <phoneticPr fontId="3" type="noConversion"/>
  </si>
  <si>
    <t>0450472883</t>
    <phoneticPr fontId="3" type="noConversion"/>
  </si>
  <si>
    <t>EDX42T</t>
    <phoneticPr fontId="3" type="noConversion"/>
  </si>
  <si>
    <t>0437102326</t>
    <phoneticPr fontId="3" type="noConversion"/>
  </si>
  <si>
    <t>IU999</t>
    <phoneticPr fontId="3" type="noConversion"/>
  </si>
  <si>
    <t>0448526888</t>
    <phoneticPr fontId="3" type="noConversion"/>
  </si>
  <si>
    <t>22040(3/6)</t>
    <phoneticPr fontId="3" type="noConversion"/>
  </si>
  <si>
    <t>ELX73Q</t>
    <phoneticPr fontId="3" type="noConversion"/>
  </si>
  <si>
    <t>0413588071</t>
    <phoneticPr fontId="3" type="noConversion"/>
  </si>
  <si>
    <t>ENH09X</t>
    <phoneticPr fontId="3" type="noConversion"/>
  </si>
  <si>
    <t>0452542688</t>
    <phoneticPr fontId="3" type="noConversion"/>
  </si>
  <si>
    <t>ENM68M</t>
    <phoneticPr fontId="3" type="noConversion"/>
  </si>
  <si>
    <t>0452118313</t>
    <phoneticPr fontId="3" type="noConversion"/>
  </si>
  <si>
    <t>MP</t>
    <phoneticPr fontId="3" type="noConversion"/>
  </si>
  <si>
    <t>ESY09A</t>
    <phoneticPr fontId="3" type="noConversion"/>
  </si>
  <si>
    <t>0488134554</t>
    <phoneticPr fontId="3" type="noConversion"/>
  </si>
  <si>
    <t>NCA15P</t>
    <phoneticPr fontId="3" type="noConversion"/>
  </si>
  <si>
    <t>0411139378</t>
    <phoneticPr fontId="3" type="noConversion"/>
  </si>
  <si>
    <t>22078(5/6)</t>
    <phoneticPr fontId="3" type="noConversion"/>
  </si>
  <si>
    <t>ELI89S</t>
    <phoneticPr fontId="3" type="noConversion"/>
  </si>
  <si>
    <t>0440505825</t>
    <phoneticPr fontId="3" type="noConversion"/>
  </si>
  <si>
    <t>S/D</t>
    <phoneticPr fontId="3" type="noConversion"/>
  </si>
  <si>
    <t>EJK72M</t>
    <phoneticPr fontId="3" type="noConversion"/>
  </si>
  <si>
    <t>W/O</t>
    <phoneticPr fontId="3" type="noConversion"/>
  </si>
  <si>
    <t>JM259</t>
    <phoneticPr fontId="3" type="noConversion"/>
  </si>
  <si>
    <t>0412645095</t>
    <phoneticPr fontId="3" type="noConversion"/>
  </si>
  <si>
    <t>NCA09T</t>
    <phoneticPr fontId="3" type="noConversion"/>
  </si>
  <si>
    <t>0420632783</t>
    <phoneticPr fontId="3" type="noConversion"/>
  </si>
  <si>
    <t>55NERI</t>
    <phoneticPr fontId="3" type="noConversion"/>
  </si>
  <si>
    <t>0400210602</t>
    <phoneticPr fontId="3" type="noConversion"/>
  </si>
  <si>
    <t>DGF60Q</t>
    <phoneticPr fontId="3" type="noConversion"/>
  </si>
  <si>
    <t>0420373802</t>
    <phoneticPr fontId="3" type="noConversion"/>
  </si>
  <si>
    <t>BOOKING</t>
    <phoneticPr fontId="3" type="noConversion"/>
  </si>
  <si>
    <t>JCL139</t>
    <phoneticPr fontId="3" type="noConversion"/>
  </si>
  <si>
    <t>0406120826</t>
    <phoneticPr fontId="3" type="noConversion"/>
  </si>
  <si>
    <t>211227811(4/6)</t>
    <phoneticPr fontId="3" type="noConversion"/>
  </si>
  <si>
    <t>SASZM</t>
    <phoneticPr fontId="3" type="noConversion"/>
  </si>
  <si>
    <t>0413766825</t>
    <phoneticPr fontId="3" type="noConversion"/>
  </si>
  <si>
    <t>8-11-2022</t>
    <phoneticPr fontId="3" type="noConversion"/>
  </si>
  <si>
    <t>ARIANTO</t>
    <phoneticPr fontId="3" type="noConversion"/>
  </si>
  <si>
    <t>JAMES</t>
    <phoneticPr fontId="3" type="noConversion"/>
  </si>
  <si>
    <t>BCW39L</t>
    <phoneticPr fontId="3" type="noConversion"/>
  </si>
  <si>
    <t>0480153258</t>
    <phoneticPr fontId="3" type="noConversion"/>
  </si>
  <si>
    <t>ELP60B</t>
    <phoneticPr fontId="3" type="noConversion"/>
  </si>
  <si>
    <t>0424309405</t>
    <phoneticPr fontId="3" type="noConversion"/>
  </si>
  <si>
    <t>DWJ21E</t>
    <phoneticPr fontId="3" type="noConversion"/>
  </si>
  <si>
    <t>0478019188</t>
    <phoneticPr fontId="3" type="noConversion"/>
  </si>
  <si>
    <t>H/CLAY</t>
    <phoneticPr fontId="3" type="noConversion"/>
  </si>
  <si>
    <t>VT438</t>
    <phoneticPr fontId="3" type="noConversion"/>
  </si>
  <si>
    <t>0412611399</t>
    <phoneticPr fontId="3" type="noConversion"/>
  </si>
  <si>
    <t>ENU60T</t>
    <phoneticPr fontId="3" type="noConversion"/>
  </si>
  <si>
    <t>0423093861</t>
    <phoneticPr fontId="3" type="noConversion"/>
  </si>
  <si>
    <t>ERE85D</t>
    <phoneticPr fontId="3" type="noConversion"/>
  </si>
  <si>
    <t>0452286033</t>
    <phoneticPr fontId="3" type="noConversion"/>
  </si>
  <si>
    <t>ENO62Z</t>
    <phoneticPr fontId="3" type="noConversion"/>
  </si>
  <si>
    <t>0421956968</t>
    <phoneticPr fontId="3" type="noConversion"/>
  </si>
  <si>
    <t>ETB33E</t>
    <phoneticPr fontId="3" type="noConversion"/>
  </si>
  <si>
    <t>0418202573</t>
    <phoneticPr fontId="3" type="noConversion"/>
  </si>
  <si>
    <t>ELH32H</t>
    <phoneticPr fontId="3" type="noConversion"/>
  </si>
  <si>
    <t>0410448633</t>
    <phoneticPr fontId="3" type="noConversion"/>
  </si>
  <si>
    <t>CLOUDY</t>
    <phoneticPr fontId="3" type="noConversion"/>
  </si>
  <si>
    <t>DBR36E</t>
    <phoneticPr fontId="3" type="noConversion"/>
  </si>
  <si>
    <t>0403310959</t>
    <phoneticPr fontId="3" type="noConversion"/>
  </si>
  <si>
    <t>ELD89W</t>
    <phoneticPr fontId="3" type="noConversion"/>
  </si>
  <si>
    <t>0414685252</t>
    <phoneticPr fontId="3" type="noConversion"/>
  </si>
  <si>
    <t>MBM000</t>
    <phoneticPr fontId="3" type="noConversion"/>
  </si>
  <si>
    <t>0418688446</t>
    <phoneticPr fontId="3" type="noConversion"/>
  </si>
  <si>
    <t>DNF73R</t>
    <phoneticPr fontId="3" type="noConversion"/>
  </si>
  <si>
    <t>0410492420</t>
    <phoneticPr fontId="3" type="noConversion"/>
  </si>
  <si>
    <t>9 - 11 - 2022</t>
    <phoneticPr fontId="3" type="noConversion"/>
  </si>
  <si>
    <t>``</t>
    <phoneticPr fontId="3" type="noConversion"/>
  </si>
  <si>
    <t>CNA88D</t>
    <phoneticPr fontId="3" type="noConversion"/>
  </si>
  <si>
    <t>0430867897</t>
    <phoneticPr fontId="3" type="noConversion"/>
  </si>
  <si>
    <t>DLX57A</t>
    <phoneticPr fontId="3" type="noConversion"/>
  </si>
  <si>
    <t>0421051236</t>
    <phoneticPr fontId="3" type="noConversion"/>
  </si>
  <si>
    <t>22028(5/6)</t>
    <phoneticPr fontId="3" type="noConversion"/>
  </si>
  <si>
    <t>BE11EW</t>
    <phoneticPr fontId="3" type="noConversion"/>
  </si>
  <si>
    <t>0410626003</t>
    <phoneticPr fontId="3" type="noConversion"/>
  </si>
  <si>
    <t>EBO81P</t>
    <phoneticPr fontId="3" type="noConversion"/>
  </si>
  <si>
    <t>0408288123</t>
    <phoneticPr fontId="3" type="noConversion"/>
  </si>
  <si>
    <t>PCS</t>
    <phoneticPr fontId="3" type="noConversion"/>
  </si>
  <si>
    <t>22016(2/6)</t>
    <phoneticPr fontId="3" type="noConversion"/>
  </si>
  <si>
    <t>DCS80W</t>
    <phoneticPr fontId="3" type="noConversion"/>
  </si>
  <si>
    <t>0409602298</t>
    <phoneticPr fontId="3" type="noConversion"/>
  </si>
  <si>
    <t>YIN668</t>
    <phoneticPr fontId="3" type="noConversion"/>
  </si>
  <si>
    <t>0415404808</t>
    <phoneticPr fontId="3" type="noConversion"/>
  </si>
  <si>
    <t>007CTS</t>
    <phoneticPr fontId="3" type="noConversion"/>
  </si>
  <si>
    <t>0402576774</t>
    <phoneticPr fontId="3" type="noConversion"/>
  </si>
  <si>
    <t>CDN78T</t>
    <phoneticPr fontId="3" type="noConversion"/>
  </si>
  <si>
    <t>0402113903</t>
    <phoneticPr fontId="3" type="noConversion"/>
  </si>
  <si>
    <t>22120(1/6)</t>
    <phoneticPr fontId="3" type="noConversion"/>
  </si>
  <si>
    <t>ELN80U</t>
    <phoneticPr fontId="3" type="noConversion"/>
  </si>
  <si>
    <t>0422312327</t>
    <phoneticPr fontId="3" type="noConversion"/>
  </si>
  <si>
    <t>RM565</t>
    <phoneticPr fontId="3" type="noConversion"/>
  </si>
  <si>
    <t>0414428617</t>
    <phoneticPr fontId="3" type="noConversion"/>
  </si>
  <si>
    <t>EMF81A</t>
    <phoneticPr fontId="3" type="noConversion"/>
  </si>
  <si>
    <t>0448057193</t>
    <phoneticPr fontId="3" type="noConversion"/>
  </si>
  <si>
    <t>BLACK LIST</t>
    <phoneticPr fontId="3" type="noConversion"/>
  </si>
  <si>
    <t>DGI30V</t>
    <phoneticPr fontId="3" type="noConversion"/>
  </si>
  <si>
    <t>0488891999</t>
    <phoneticPr fontId="3" type="noConversion"/>
  </si>
  <si>
    <t>22101(2/6)</t>
    <phoneticPr fontId="3" type="noConversion"/>
  </si>
  <si>
    <t>EAN79K</t>
    <phoneticPr fontId="3" type="noConversion"/>
  </si>
  <si>
    <t>0413315315</t>
    <phoneticPr fontId="3" type="noConversion"/>
  </si>
  <si>
    <t>10-11-2022</t>
    <phoneticPr fontId="3" type="noConversion"/>
  </si>
  <si>
    <t>RINI</t>
    <phoneticPr fontId="3" type="noConversion"/>
  </si>
  <si>
    <t>ANDREW OCTEC</t>
    <phoneticPr fontId="3" type="noConversion"/>
  </si>
  <si>
    <t>CIJ81Q</t>
    <phoneticPr fontId="3" type="noConversion"/>
  </si>
  <si>
    <t>0414253188</t>
    <phoneticPr fontId="3" type="noConversion"/>
  </si>
  <si>
    <t>DPH25M</t>
    <phoneticPr fontId="3" type="noConversion"/>
  </si>
  <si>
    <t>0450918383</t>
    <phoneticPr fontId="3" type="noConversion"/>
  </si>
  <si>
    <t>22009(3/6)</t>
    <phoneticPr fontId="3" type="noConversion"/>
  </si>
  <si>
    <t>XS66</t>
    <phoneticPr fontId="3" type="noConversion"/>
  </si>
  <si>
    <t>0431875858</t>
    <phoneticPr fontId="3" type="noConversion"/>
  </si>
  <si>
    <t>22106(1/6)</t>
    <phoneticPr fontId="3" type="noConversion"/>
  </si>
  <si>
    <t>ENK71V</t>
    <phoneticPr fontId="3" type="noConversion"/>
  </si>
  <si>
    <t>0414254666</t>
    <phoneticPr fontId="3" type="noConversion"/>
  </si>
  <si>
    <t>BTP55B</t>
    <phoneticPr fontId="3" type="noConversion"/>
  </si>
  <si>
    <t>CGF75S</t>
    <phoneticPr fontId="3" type="noConversion"/>
  </si>
  <si>
    <t>0400216782</t>
    <phoneticPr fontId="3" type="noConversion"/>
  </si>
  <si>
    <t>EPZ85F</t>
    <phoneticPr fontId="3" type="noConversion"/>
  </si>
  <si>
    <t>0427993877</t>
    <phoneticPr fontId="3" type="noConversion"/>
  </si>
  <si>
    <t>LOU04H</t>
    <phoneticPr fontId="3" type="noConversion"/>
  </si>
  <si>
    <t>0413913001</t>
    <phoneticPr fontId="3" type="noConversion"/>
  </si>
  <si>
    <t>COM84M</t>
    <phoneticPr fontId="3" type="noConversion"/>
  </si>
  <si>
    <t>0405252880</t>
    <phoneticPr fontId="3" type="noConversion"/>
  </si>
  <si>
    <t>22022(3/6)</t>
    <phoneticPr fontId="3" type="noConversion"/>
  </si>
  <si>
    <t>TMV00P</t>
    <phoneticPr fontId="3" type="noConversion"/>
  </si>
  <si>
    <t>0414974455</t>
    <phoneticPr fontId="3" type="noConversion"/>
  </si>
  <si>
    <t>ECH76Z</t>
    <phoneticPr fontId="3" type="noConversion"/>
  </si>
  <si>
    <t>0401215616</t>
    <phoneticPr fontId="3" type="noConversion"/>
  </si>
  <si>
    <t>EAE28E</t>
    <phoneticPr fontId="3" type="noConversion"/>
  </si>
  <si>
    <t>0406816699</t>
    <phoneticPr fontId="3" type="noConversion"/>
  </si>
  <si>
    <t>22050(6/6),22121(NEW)</t>
    <phoneticPr fontId="3" type="noConversion"/>
  </si>
  <si>
    <t>CMK79J</t>
    <phoneticPr fontId="3" type="noConversion"/>
  </si>
  <si>
    <t>0430199121</t>
    <phoneticPr fontId="3" type="noConversion"/>
  </si>
  <si>
    <t>DDC10C</t>
    <phoneticPr fontId="3" type="noConversion"/>
  </si>
  <si>
    <t>0438775937</t>
    <phoneticPr fontId="3" type="noConversion"/>
  </si>
  <si>
    <t>EAH05T</t>
    <phoneticPr fontId="3" type="noConversion"/>
  </si>
  <si>
    <t>0430540113</t>
    <phoneticPr fontId="3" type="noConversion"/>
  </si>
  <si>
    <t>CCWWW</t>
    <phoneticPr fontId="3" type="noConversion"/>
  </si>
  <si>
    <t>0406531188</t>
    <phoneticPr fontId="3" type="noConversion"/>
  </si>
  <si>
    <t>22015(4/6)</t>
    <phoneticPr fontId="3" type="noConversion"/>
  </si>
  <si>
    <t>EUB43W</t>
    <phoneticPr fontId="3" type="noConversion"/>
  </si>
  <si>
    <t>0408510088</t>
    <phoneticPr fontId="3" type="noConversion"/>
  </si>
  <si>
    <t>SKY5</t>
    <phoneticPr fontId="3" type="noConversion"/>
  </si>
  <si>
    <t>0406222111</t>
    <phoneticPr fontId="3" type="noConversion"/>
  </si>
  <si>
    <t>22060(3/6)</t>
    <phoneticPr fontId="3" type="noConversion"/>
  </si>
  <si>
    <t>ETL79Q</t>
    <phoneticPr fontId="3" type="noConversion"/>
  </si>
  <si>
    <t>0414209219</t>
    <phoneticPr fontId="3" type="noConversion"/>
  </si>
  <si>
    <t>DWO57S</t>
    <phoneticPr fontId="3" type="noConversion"/>
  </si>
  <si>
    <t>0430341554</t>
    <phoneticPr fontId="3" type="noConversion"/>
  </si>
  <si>
    <t>EAH89D</t>
    <phoneticPr fontId="3" type="noConversion"/>
  </si>
  <si>
    <t>RINI TRAINING NEW GIRLS</t>
    <phoneticPr fontId="3" type="noConversion"/>
  </si>
  <si>
    <t>DDC37C</t>
    <phoneticPr fontId="3" type="noConversion"/>
  </si>
  <si>
    <t>0417499992</t>
    <phoneticPr fontId="3" type="noConversion"/>
  </si>
  <si>
    <t>CYM93B</t>
    <phoneticPr fontId="3" type="noConversion"/>
  </si>
  <si>
    <t>0415970004</t>
    <phoneticPr fontId="3" type="noConversion"/>
  </si>
  <si>
    <t>EPD94C</t>
    <phoneticPr fontId="3" type="noConversion"/>
  </si>
  <si>
    <t>TAX</t>
    <phoneticPr fontId="3" type="noConversion"/>
  </si>
  <si>
    <t>11-11-2022</t>
    <phoneticPr fontId="3" type="noConversion"/>
  </si>
  <si>
    <t>JUNIOR</t>
    <phoneticPr fontId="3" type="noConversion"/>
  </si>
  <si>
    <t>CHARLIE</t>
    <phoneticPr fontId="3" type="noConversion"/>
  </si>
  <si>
    <t>VIKAL</t>
    <phoneticPr fontId="3" type="noConversion"/>
  </si>
  <si>
    <t>EDW37U</t>
    <phoneticPr fontId="3" type="noConversion"/>
  </si>
  <si>
    <t>0477887477</t>
    <phoneticPr fontId="3" type="noConversion"/>
  </si>
  <si>
    <t>EKC89S</t>
    <phoneticPr fontId="3" type="noConversion"/>
  </si>
  <si>
    <t>0438354090</t>
    <phoneticPr fontId="3" type="noConversion"/>
  </si>
  <si>
    <t>DVD05X</t>
    <phoneticPr fontId="3" type="noConversion"/>
  </si>
  <si>
    <t>0457672977</t>
    <phoneticPr fontId="3" type="noConversion"/>
  </si>
  <si>
    <t>DZSW21Q</t>
    <phoneticPr fontId="3" type="noConversion"/>
  </si>
  <si>
    <t>0414863085</t>
    <phoneticPr fontId="3" type="noConversion"/>
  </si>
  <si>
    <t>CPV62L</t>
    <phoneticPr fontId="3" type="noConversion"/>
  </si>
  <si>
    <t>0401953033</t>
    <phoneticPr fontId="3" type="noConversion"/>
  </si>
  <si>
    <t>EUL92A</t>
    <phoneticPr fontId="3" type="noConversion"/>
  </si>
  <si>
    <t>0409587073</t>
    <phoneticPr fontId="3" type="noConversion"/>
  </si>
  <si>
    <t>EKU15K</t>
    <phoneticPr fontId="3" type="noConversion"/>
  </si>
  <si>
    <t>0418215719</t>
    <phoneticPr fontId="3" type="noConversion"/>
  </si>
  <si>
    <t>NBQ60Y</t>
    <phoneticPr fontId="3" type="noConversion"/>
  </si>
  <si>
    <t>0415755191</t>
    <phoneticPr fontId="3" type="noConversion"/>
  </si>
  <si>
    <t>EDG19M</t>
    <phoneticPr fontId="3" type="noConversion"/>
  </si>
  <si>
    <t>0499630435</t>
    <phoneticPr fontId="3" type="noConversion"/>
  </si>
  <si>
    <t>007KEM</t>
    <phoneticPr fontId="3" type="noConversion"/>
  </si>
  <si>
    <t>0428820172</t>
    <phoneticPr fontId="3" type="noConversion"/>
  </si>
  <si>
    <t>PF888</t>
    <phoneticPr fontId="3" type="noConversion"/>
  </si>
  <si>
    <t>0400167996</t>
    <phoneticPr fontId="3" type="noConversion"/>
  </si>
  <si>
    <t>22040(1/6)X</t>
    <phoneticPr fontId="3" type="noConversion"/>
  </si>
  <si>
    <t>EET74D</t>
    <phoneticPr fontId="3" type="noConversion"/>
  </si>
  <si>
    <t>0403340506</t>
    <phoneticPr fontId="3" type="noConversion"/>
  </si>
  <si>
    <t>DZB37Y</t>
    <phoneticPr fontId="3" type="noConversion"/>
  </si>
  <si>
    <t>0444540706</t>
    <phoneticPr fontId="3" type="noConversion"/>
  </si>
  <si>
    <t>BX12TF</t>
    <phoneticPr fontId="3" type="noConversion"/>
  </si>
  <si>
    <t>0452086697</t>
    <phoneticPr fontId="3" type="noConversion"/>
  </si>
  <si>
    <t>PCM</t>
    <phoneticPr fontId="3" type="noConversion"/>
  </si>
  <si>
    <t>BG99XQ</t>
    <phoneticPr fontId="3" type="noConversion"/>
  </si>
  <si>
    <t>0419476227</t>
    <phoneticPr fontId="3" type="noConversion"/>
  </si>
  <si>
    <t>CZ15KH</t>
    <phoneticPr fontId="3" type="noConversion"/>
  </si>
  <si>
    <t>0412596908</t>
    <phoneticPr fontId="3" type="noConversion"/>
  </si>
  <si>
    <t>CIZ21W</t>
    <phoneticPr fontId="3" type="noConversion"/>
  </si>
  <si>
    <t>0414952072</t>
    <phoneticPr fontId="3" type="noConversion"/>
  </si>
  <si>
    <t>ONLINE BOOKING</t>
    <phoneticPr fontId="3" type="noConversion"/>
  </si>
  <si>
    <t>DKX87K</t>
    <phoneticPr fontId="3" type="noConversion"/>
  </si>
  <si>
    <t>0410446389</t>
    <phoneticPr fontId="3" type="noConversion"/>
  </si>
  <si>
    <t>CK50MK</t>
    <phoneticPr fontId="3" type="noConversion"/>
  </si>
  <si>
    <t>0415355516</t>
    <phoneticPr fontId="3" type="noConversion"/>
  </si>
  <si>
    <t>ENF66W</t>
    <phoneticPr fontId="3" type="noConversion"/>
  </si>
  <si>
    <t>0402289878</t>
    <phoneticPr fontId="3" type="noConversion"/>
  </si>
  <si>
    <t>TS6888</t>
    <phoneticPr fontId="3" type="noConversion"/>
  </si>
  <si>
    <t>0417880888</t>
    <phoneticPr fontId="3" type="noConversion"/>
  </si>
  <si>
    <t>EKW96L</t>
    <phoneticPr fontId="3" type="noConversion"/>
  </si>
  <si>
    <t>0414708001</t>
    <phoneticPr fontId="3" type="noConversion"/>
  </si>
  <si>
    <t>BJK91Y</t>
    <phoneticPr fontId="3" type="noConversion"/>
  </si>
  <si>
    <t>0431767767</t>
    <phoneticPr fontId="3" type="noConversion"/>
  </si>
  <si>
    <t>ESG52N</t>
    <phoneticPr fontId="3" type="noConversion"/>
  </si>
  <si>
    <t>0403060111</t>
    <phoneticPr fontId="3" type="noConversion"/>
  </si>
  <si>
    <t>DCN13Y</t>
    <phoneticPr fontId="3" type="noConversion"/>
  </si>
  <si>
    <t>0418637250</t>
    <phoneticPr fontId="3" type="noConversion"/>
  </si>
  <si>
    <t>EMJ92P</t>
    <phoneticPr fontId="3" type="noConversion"/>
  </si>
  <si>
    <t>?????</t>
    <phoneticPr fontId="3" type="noConversion"/>
  </si>
  <si>
    <t>12-11-2022</t>
    <phoneticPr fontId="3" type="noConversion"/>
  </si>
  <si>
    <t>202208114(X)</t>
    <phoneticPr fontId="3" type="noConversion"/>
  </si>
  <si>
    <t>21122820(3/6)</t>
    <phoneticPr fontId="3" type="noConversion"/>
  </si>
  <si>
    <t>21122813(6/6)</t>
    <phoneticPr fontId="3" type="noConversion"/>
  </si>
  <si>
    <t>22002(4/6)</t>
    <phoneticPr fontId="3" type="noConversion"/>
  </si>
  <si>
    <t>MONA</t>
    <phoneticPr fontId="3" type="noConversion"/>
  </si>
  <si>
    <t>CKK58H</t>
    <phoneticPr fontId="3" type="noConversion"/>
  </si>
  <si>
    <t>0411082981</t>
    <phoneticPr fontId="3" type="noConversion"/>
  </si>
  <si>
    <t>BZR24R</t>
    <phoneticPr fontId="3" type="noConversion"/>
  </si>
  <si>
    <t>0412265967</t>
    <phoneticPr fontId="3" type="noConversion"/>
  </si>
  <si>
    <t>ERY93F</t>
    <phoneticPr fontId="3" type="noConversion"/>
  </si>
  <si>
    <t>0468949433</t>
    <phoneticPr fontId="3" type="noConversion"/>
  </si>
  <si>
    <t>SM369</t>
    <phoneticPr fontId="3" type="noConversion"/>
  </si>
  <si>
    <t>0412640097</t>
    <phoneticPr fontId="3" type="noConversion"/>
  </si>
  <si>
    <t>EJP87R</t>
    <phoneticPr fontId="3" type="noConversion"/>
  </si>
  <si>
    <t>0447832006</t>
    <phoneticPr fontId="3" type="noConversion"/>
  </si>
  <si>
    <t>MA1246</t>
    <phoneticPr fontId="3" type="noConversion"/>
  </si>
  <si>
    <t>0404402404</t>
    <phoneticPr fontId="3" type="noConversion"/>
  </si>
  <si>
    <t>DJP71U</t>
    <phoneticPr fontId="3" type="noConversion"/>
  </si>
  <si>
    <t>04228477372</t>
    <phoneticPr fontId="3" type="noConversion"/>
  </si>
  <si>
    <t>ERJ94G</t>
    <phoneticPr fontId="3" type="noConversion"/>
  </si>
  <si>
    <t>0417411440</t>
    <phoneticPr fontId="3" type="noConversion"/>
  </si>
  <si>
    <t>EWL97S</t>
    <phoneticPr fontId="3" type="noConversion"/>
  </si>
  <si>
    <t>0418675164</t>
    <phoneticPr fontId="3" type="noConversion"/>
  </si>
  <si>
    <t>EEQ59S</t>
    <phoneticPr fontId="3" type="noConversion"/>
  </si>
  <si>
    <t>0422457786</t>
    <phoneticPr fontId="3" type="noConversion"/>
  </si>
  <si>
    <t>ESI33F</t>
    <phoneticPr fontId="3" type="noConversion"/>
  </si>
  <si>
    <t>0404076576</t>
    <phoneticPr fontId="3" type="noConversion"/>
  </si>
  <si>
    <t>ECD89Y</t>
    <phoneticPr fontId="3" type="noConversion"/>
  </si>
  <si>
    <t>0414332238</t>
    <phoneticPr fontId="3" type="noConversion"/>
  </si>
  <si>
    <t>EKF07Z</t>
    <phoneticPr fontId="3" type="noConversion"/>
  </si>
  <si>
    <t>0413942182</t>
    <phoneticPr fontId="3" type="noConversion"/>
  </si>
  <si>
    <t>EHI70S</t>
    <phoneticPr fontId="3" type="noConversion"/>
  </si>
  <si>
    <t>0419126083</t>
    <phoneticPr fontId="3" type="noConversion"/>
  </si>
  <si>
    <t>ERC95B</t>
    <phoneticPr fontId="3" type="noConversion"/>
  </si>
  <si>
    <t>0402279224</t>
    <phoneticPr fontId="3" type="noConversion"/>
  </si>
  <si>
    <t>ENX56N</t>
    <phoneticPr fontId="3" type="noConversion"/>
  </si>
  <si>
    <t>0421442333</t>
    <phoneticPr fontId="3" type="noConversion"/>
  </si>
  <si>
    <t>EOL62V</t>
    <phoneticPr fontId="3" type="noConversion"/>
  </si>
  <si>
    <t>0414893683</t>
    <phoneticPr fontId="3" type="noConversion"/>
  </si>
  <si>
    <t>W/H</t>
    <phoneticPr fontId="3" type="noConversion"/>
  </si>
  <si>
    <t>DNK59T</t>
    <phoneticPr fontId="3" type="noConversion"/>
  </si>
  <si>
    <t>0416263082</t>
    <phoneticPr fontId="3" type="noConversion"/>
  </si>
  <si>
    <t>EHI71H</t>
    <phoneticPr fontId="3" type="noConversion"/>
  </si>
  <si>
    <t>0431499861</t>
    <phoneticPr fontId="3" type="noConversion"/>
  </si>
  <si>
    <t>DZL06K</t>
    <phoneticPr fontId="3" type="noConversion"/>
  </si>
  <si>
    <t>04114714317</t>
    <phoneticPr fontId="3" type="noConversion"/>
  </si>
  <si>
    <t>CWM01P</t>
    <phoneticPr fontId="3" type="noConversion"/>
  </si>
  <si>
    <t>0466428567</t>
    <phoneticPr fontId="3" type="noConversion"/>
  </si>
  <si>
    <t>EEB90G</t>
    <phoneticPr fontId="3" type="noConversion"/>
  </si>
  <si>
    <t>0400914200</t>
    <phoneticPr fontId="3" type="noConversion"/>
  </si>
  <si>
    <t>22063(2/6)</t>
    <phoneticPr fontId="3" type="noConversion"/>
  </si>
  <si>
    <t>0401917399</t>
    <phoneticPr fontId="3" type="noConversion"/>
  </si>
  <si>
    <t>22048(3/6)</t>
    <phoneticPr fontId="3" type="noConversion"/>
  </si>
  <si>
    <t>CJE47U</t>
    <phoneticPr fontId="3" type="noConversion"/>
  </si>
  <si>
    <t>0412210133</t>
    <phoneticPr fontId="3" type="noConversion"/>
  </si>
  <si>
    <t>CVO63N</t>
    <phoneticPr fontId="3" type="noConversion"/>
  </si>
  <si>
    <t>0429537667</t>
    <phoneticPr fontId="3" type="noConversion"/>
  </si>
  <si>
    <t>CF2109</t>
    <phoneticPr fontId="3" type="noConversion"/>
  </si>
  <si>
    <t>0409603067</t>
    <phoneticPr fontId="3" type="noConversion"/>
  </si>
  <si>
    <t>313VEN</t>
    <phoneticPr fontId="3" type="noConversion"/>
  </si>
  <si>
    <t>0405681071</t>
    <phoneticPr fontId="3" type="noConversion"/>
  </si>
  <si>
    <t>DGG64H</t>
    <phoneticPr fontId="3" type="noConversion"/>
  </si>
  <si>
    <t>22122(1/6)</t>
    <phoneticPr fontId="3" type="noConversion"/>
  </si>
  <si>
    <t>CTA51A</t>
    <phoneticPr fontId="3" type="noConversion"/>
  </si>
  <si>
    <t>0404867604</t>
    <phoneticPr fontId="3" type="noConversion"/>
  </si>
  <si>
    <t>0468827660</t>
    <phoneticPr fontId="3" type="noConversion"/>
  </si>
  <si>
    <t>22084(2/6)</t>
    <phoneticPr fontId="3" type="noConversion"/>
  </si>
  <si>
    <t>DCS06A</t>
    <phoneticPr fontId="3" type="noConversion"/>
  </si>
  <si>
    <t>0421173077</t>
    <phoneticPr fontId="3" type="noConversion"/>
  </si>
  <si>
    <t>22001(4/6)</t>
    <phoneticPr fontId="3" type="noConversion"/>
  </si>
  <si>
    <t>EHG35K</t>
    <phoneticPr fontId="3" type="noConversion"/>
  </si>
  <si>
    <t>0424527474</t>
    <phoneticPr fontId="3" type="noConversion"/>
  </si>
  <si>
    <t>SV212</t>
    <phoneticPr fontId="3" type="noConversion"/>
  </si>
  <si>
    <t>0403257868</t>
    <phoneticPr fontId="3" type="noConversion"/>
  </si>
  <si>
    <t>ERH03D</t>
    <phoneticPr fontId="3" type="noConversion"/>
  </si>
  <si>
    <t>0400016674</t>
    <phoneticPr fontId="3" type="noConversion"/>
  </si>
  <si>
    <t>ENC46E</t>
    <phoneticPr fontId="3" type="noConversion"/>
  </si>
  <si>
    <t>0437003424</t>
    <phoneticPr fontId="3" type="noConversion"/>
  </si>
  <si>
    <t>ERQ88A</t>
    <phoneticPr fontId="3" type="noConversion"/>
  </si>
  <si>
    <t>0426974369</t>
    <phoneticPr fontId="3" type="noConversion"/>
  </si>
  <si>
    <t>CAF43Q</t>
    <phoneticPr fontId="3" type="noConversion"/>
  </si>
  <si>
    <t>0450656828</t>
    <phoneticPr fontId="3" type="noConversion"/>
  </si>
  <si>
    <t>CZR55Q</t>
    <phoneticPr fontId="3" type="noConversion"/>
  </si>
  <si>
    <t>0410020469</t>
    <phoneticPr fontId="3" type="noConversion"/>
  </si>
  <si>
    <t>F/D</t>
    <phoneticPr fontId="3" type="noConversion"/>
  </si>
  <si>
    <t>DSD05H</t>
    <phoneticPr fontId="3" type="noConversion"/>
  </si>
  <si>
    <t>0404028481</t>
    <phoneticPr fontId="3" type="noConversion"/>
  </si>
  <si>
    <t>CWB93E</t>
    <phoneticPr fontId="3" type="noConversion"/>
  </si>
  <si>
    <t>0479167486</t>
    <phoneticPr fontId="3" type="noConversion"/>
  </si>
  <si>
    <t>ERIC</t>
    <phoneticPr fontId="3" type="noConversion"/>
  </si>
  <si>
    <t>13-11-2022</t>
    <phoneticPr fontId="3" type="noConversion"/>
  </si>
  <si>
    <t>KADAM</t>
    <phoneticPr fontId="3" type="noConversion"/>
  </si>
  <si>
    <t>CXG80B</t>
    <phoneticPr fontId="3" type="noConversion"/>
  </si>
  <si>
    <t>0414853010</t>
    <phoneticPr fontId="3" type="noConversion"/>
  </si>
  <si>
    <t>DTO93B</t>
    <phoneticPr fontId="3" type="noConversion"/>
  </si>
  <si>
    <t>0410687259</t>
    <phoneticPr fontId="3" type="noConversion"/>
  </si>
  <si>
    <t>EQA86L</t>
    <phoneticPr fontId="3" type="noConversion"/>
  </si>
  <si>
    <t>0449192801</t>
    <phoneticPr fontId="3" type="noConversion"/>
  </si>
  <si>
    <t>WSD79J</t>
    <phoneticPr fontId="3" type="noConversion"/>
  </si>
  <si>
    <t>0404838717</t>
    <phoneticPr fontId="3" type="noConversion"/>
  </si>
  <si>
    <t>CS700</t>
    <phoneticPr fontId="3" type="noConversion"/>
  </si>
  <si>
    <t>0438997201</t>
    <phoneticPr fontId="3" type="noConversion"/>
  </si>
  <si>
    <t>DKA88A</t>
    <phoneticPr fontId="3" type="noConversion"/>
  </si>
  <si>
    <t>0497999969</t>
    <phoneticPr fontId="3" type="noConversion"/>
  </si>
  <si>
    <t>NBU75U</t>
    <phoneticPr fontId="3" type="noConversion"/>
  </si>
  <si>
    <t>0417016675</t>
    <phoneticPr fontId="3" type="noConversion"/>
  </si>
  <si>
    <t>EAC54M</t>
    <phoneticPr fontId="3" type="noConversion"/>
  </si>
  <si>
    <t>0451515049</t>
    <phoneticPr fontId="3" type="noConversion"/>
  </si>
  <si>
    <t>USAG1</t>
    <phoneticPr fontId="3" type="noConversion"/>
  </si>
  <si>
    <t>0410346768</t>
    <phoneticPr fontId="3" type="noConversion"/>
  </si>
  <si>
    <t>EMW76W</t>
    <phoneticPr fontId="3" type="noConversion"/>
  </si>
  <si>
    <t>0418635804</t>
    <phoneticPr fontId="3" type="noConversion"/>
  </si>
  <si>
    <t>DTM54L</t>
    <phoneticPr fontId="3" type="noConversion"/>
  </si>
  <si>
    <t>0415775687</t>
    <phoneticPr fontId="3" type="noConversion"/>
  </si>
  <si>
    <t>22076(2/6)</t>
    <phoneticPr fontId="3" type="noConversion"/>
  </si>
  <si>
    <t>EQA75R</t>
    <phoneticPr fontId="3" type="noConversion"/>
  </si>
  <si>
    <t>0409334469</t>
    <phoneticPr fontId="3" type="noConversion"/>
  </si>
  <si>
    <t>DGG40R</t>
    <phoneticPr fontId="3" type="noConversion"/>
  </si>
  <si>
    <t>0425236341</t>
    <phoneticPr fontId="3" type="noConversion"/>
  </si>
  <si>
    <t>EIE60L</t>
    <phoneticPr fontId="3" type="noConversion"/>
  </si>
  <si>
    <t>0410020994</t>
    <phoneticPr fontId="3" type="noConversion"/>
  </si>
  <si>
    <t>EPW65B</t>
    <phoneticPr fontId="3" type="noConversion"/>
  </si>
  <si>
    <t>0432565750</t>
    <phoneticPr fontId="3" type="noConversion"/>
  </si>
  <si>
    <t>22070(1/6)</t>
    <phoneticPr fontId="3" type="noConversion"/>
  </si>
  <si>
    <t>EJQ38D</t>
    <phoneticPr fontId="3" type="noConversion"/>
  </si>
  <si>
    <t>0404113366</t>
    <phoneticPr fontId="3" type="noConversion"/>
  </si>
  <si>
    <t>22052(3/6)</t>
    <phoneticPr fontId="3" type="noConversion"/>
  </si>
  <si>
    <t>EAJ03U</t>
    <phoneticPr fontId="3" type="noConversion"/>
  </si>
  <si>
    <t>0426280619</t>
    <phoneticPr fontId="3" type="noConversion"/>
  </si>
  <si>
    <t>BABY SEAT/ST</t>
    <phoneticPr fontId="3" type="noConversion"/>
  </si>
  <si>
    <t>CTO98T</t>
    <phoneticPr fontId="3" type="noConversion"/>
  </si>
  <si>
    <t>0421782602</t>
    <phoneticPr fontId="3" type="noConversion"/>
  </si>
  <si>
    <t>ESF50N</t>
    <phoneticPr fontId="3" type="noConversion"/>
  </si>
  <si>
    <t>0412776026</t>
    <phoneticPr fontId="3" type="noConversion"/>
  </si>
  <si>
    <t>0406603663</t>
    <phoneticPr fontId="3" type="noConversion"/>
  </si>
  <si>
    <t>SC0221</t>
    <phoneticPr fontId="3" type="noConversion"/>
  </si>
  <si>
    <t>0418249876</t>
    <phoneticPr fontId="3" type="noConversion"/>
  </si>
  <si>
    <t>CIO83P</t>
    <phoneticPr fontId="3" type="noConversion"/>
  </si>
  <si>
    <t>0401714252</t>
    <phoneticPr fontId="3" type="noConversion"/>
  </si>
  <si>
    <t>22018(3/6)</t>
    <phoneticPr fontId="3" type="noConversion"/>
  </si>
  <si>
    <t>EJC94L</t>
    <phoneticPr fontId="3" type="noConversion"/>
  </si>
  <si>
    <t>0412559662</t>
    <phoneticPr fontId="3" type="noConversion"/>
  </si>
  <si>
    <t>CMR64K</t>
    <phoneticPr fontId="3" type="noConversion"/>
  </si>
  <si>
    <t>0419623004</t>
    <phoneticPr fontId="3" type="noConversion"/>
  </si>
  <si>
    <t>X/ST</t>
    <phoneticPr fontId="3" type="noConversion"/>
  </si>
  <si>
    <t>SODA</t>
    <phoneticPr fontId="3" type="noConversion"/>
  </si>
  <si>
    <t>0481170108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</si>
</sst>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</cellStyleXfs>
  <cellXfs count="766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2" fontId="0" fillId="0" borderId="0" xfId="0" applyNumberFormat="1" applyAlignment="1">
      <alignment shrinkToFit="1"/>
    </xf>
    <xf numFmtId="178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6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23" fillId="14" borderId="4" xfId="4" applyBorder="1" applyAlignment="1">
      <alignment horizontal="center" shrinkToFit="1"/>
    </xf>
    <xf numFmtId="0" fontId="23" fillId="14" borderId="1" xfId="4" applyBorder="1" applyAlignment="1">
      <alignment horizontal="left"/>
    </xf>
    <xf numFmtId="49" fontId="23" fillId="14" borderId="2" xfId="4" applyNumberFormat="1" applyBorder="1" applyAlignment="1">
      <alignment horizontal="left"/>
    </xf>
    <xf numFmtId="0" fontId="23" fillId="14" borderId="62" xfId="4" applyBorder="1" applyAlignment="1">
      <alignment horizontal="center" shrinkToFit="1"/>
    </xf>
    <xf numFmtId="179" fontId="23" fillId="14" borderId="26" xfId="4" applyNumberFormat="1" applyBorder="1" applyAlignment="1">
      <alignment horizontal="left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shrinkToFit="1"/>
    </xf>
    <xf numFmtId="178" fontId="23" fillId="14" borderId="61" xfId="4" applyNumberFormat="1" applyBorder="1" applyAlignment="1">
      <alignment horizontal="center" shrinkToFit="1"/>
    </xf>
    <xf numFmtId="178" fontId="23" fillId="14" borderId="26" xfId="4" applyNumberFormat="1" applyBorder="1" applyAlignment="1">
      <alignment horizontal="center" shrinkToFit="1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178" fontId="23" fillId="14" borderId="1" xfId="4" applyNumberFormat="1" applyBorder="1" applyAlignment="1">
      <alignment horizontal="center" shrinkToFit="1"/>
    </xf>
    <xf numFmtId="0" fontId="29" fillId="15" borderId="1" xfId="5" applyBorder="1" applyAlignment="1">
      <alignment horizontal="center" shrinkToFit="1"/>
    </xf>
    <xf numFmtId="0" fontId="29" fillId="15" borderId="1" xfId="5" applyBorder="1" applyAlignment="1">
      <alignment shrinkToFit="1"/>
    </xf>
    <xf numFmtId="49" fontId="29" fillId="15" borderId="2" xfId="5" applyNumberFormat="1" applyBorder="1" applyAlignment="1">
      <alignment shrinkToFit="1"/>
    </xf>
    <xf numFmtId="0" fontId="29" fillId="15" borderId="62" xfId="5" applyBorder="1" applyAlignment="1">
      <alignment horizontal="center" shrinkToFit="1"/>
    </xf>
    <xf numFmtId="0" fontId="29" fillId="15" borderId="26" xfId="5" applyBorder="1" applyAlignment="1">
      <alignment horizontal="left" shrinkToFit="1"/>
    </xf>
    <xf numFmtId="178" fontId="29" fillId="15" borderId="1" xfId="5" applyNumberFormat="1" applyBorder="1" applyAlignment="1">
      <alignment horizontal="center" shrinkToFit="1"/>
    </xf>
    <xf numFmtId="178" fontId="29" fillId="15" borderId="4" xfId="5" applyNumberFormat="1" applyBorder="1" applyAlignment="1">
      <alignment horizontal="center" shrinkToFit="1"/>
    </xf>
    <xf numFmtId="0" fontId="29" fillId="15" borderId="1" xfId="5" applyBorder="1" applyAlignment="1">
      <alignment horizontal="left" shrinkToFit="1"/>
    </xf>
    <xf numFmtId="0" fontId="23" fillId="14" borderId="1" xfId="4" applyBorder="1" applyAlignment="1">
      <alignment horizontal="center" vertical="center" shrinkToFit="1"/>
    </xf>
    <xf numFmtId="0" fontId="30" fillId="16" borderId="4" xfId="6" applyBorder="1" applyAlignment="1">
      <alignment horizontal="center" shrinkToFit="1"/>
    </xf>
    <xf numFmtId="0" fontId="30" fillId="16" borderId="1" xfId="6" applyBorder="1" applyAlignment="1">
      <alignment horizontal="left"/>
    </xf>
    <xf numFmtId="49" fontId="30" fillId="16" borderId="2" xfId="6" applyNumberFormat="1" applyBorder="1" applyAlignment="1">
      <alignment horizontal="left"/>
    </xf>
    <xf numFmtId="0" fontId="30" fillId="16" borderId="62" xfId="6" applyBorder="1" applyAlignment="1">
      <alignment horizontal="center" shrinkToFit="1"/>
    </xf>
    <xf numFmtId="179" fontId="30" fillId="16" borderId="26" xfId="6" applyNumberFormat="1" applyBorder="1" applyAlignment="1">
      <alignment horizontal="left"/>
    </xf>
    <xf numFmtId="178" fontId="30" fillId="16" borderId="4" xfId="6" applyNumberFormat="1" applyBorder="1" applyAlignment="1">
      <alignment horizontal="center" shrinkToFit="1"/>
    </xf>
    <xf numFmtId="178" fontId="30" fillId="16" borderId="6" xfId="6" applyNumberFormat="1" applyBorder="1" applyAlignment="1">
      <alignment horizontal="center" shrinkToFit="1"/>
    </xf>
    <xf numFmtId="0" fontId="30" fillId="16" borderId="1" xfId="6" applyBorder="1" applyAlignment="1">
      <alignment horizontal="left" shrinkToFit="1"/>
    </xf>
    <xf numFmtId="0" fontId="31" fillId="2" borderId="9" xfId="0" applyFont="1" applyFill="1" applyBorder="1" applyAlignment="1">
      <alignment shrinkToFit="1"/>
    </xf>
    <xf numFmtId="0" fontId="29" fillId="15" borderId="9" xfId="5" applyBorder="1" applyAlignment="1">
      <alignment horizontal="center" shrinkToFit="1"/>
    </xf>
    <xf numFmtId="0" fontId="29" fillId="15" borderId="4" xfId="5" applyBorder="1" applyAlignment="1">
      <alignment horizontal="center" shrinkToFit="1"/>
    </xf>
    <xf numFmtId="0" fontId="29" fillId="15" borderId="26" xfId="5" applyBorder="1" applyAlignment="1"/>
    <xf numFmtId="49" fontId="29" fillId="15" borderId="29" xfId="5" applyNumberFormat="1" applyBorder="1" applyAlignment="1"/>
    <xf numFmtId="0" fontId="29" fillId="15" borderId="26" xfId="5" applyBorder="1" applyAlignment="1">
      <alignment horizontal="left"/>
    </xf>
    <xf numFmtId="178" fontId="29" fillId="15" borderId="6" xfId="5" applyNumberFormat="1" applyBorder="1" applyAlignment="1">
      <alignment horizontal="center" shrinkToFit="1"/>
    </xf>
    <xf numFmtId="49" fontId="23" fillId="14" borderId="2" xfId="4" applyNumberFormat="1" applyBorder="1" applyAlignment="1">
      <alignment horizontal="left" shrinkToFit="1"/>
    </xf>
    <xf numFmtId="0" fontId="23" fillId="14" borderId="26" xfId="4" applyBorder="1" applyAlignment="1">
      <alignment horizontal="left"/>
    </xf>
    <xf numFmtId="0" fontId="0" fillId="0" borderId="1" xfId="0" applyBorder="1" applyAlignment="1">
      <alignment horizontal="center" shrinkToFit="1"/>
    </xf>
    <xf numFmtId="0" fontId="23" fillId="14" borderId="9" xfId="4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1" xfId="4" applyBorder="1" applyAlignment="1">
      <alignment horizontal="center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176" fontId="13" fillId="0" borderId="0" xfId="0" applyNumberFormat="1" applyFont="1" applyAlignment="1">
      <alignment horizontal="center" shrinkToFit="1"/>
    </xf>
    <xf numFmtId="26" fontId="13" fillId="0" borderId="0" xfId="0" applyNumberFormat="1" applyFont="1" applyAlignment="1">
      <alignment horizontal="center" shrinkToFit="1"/>
    </xf>
    <xf numFmtId="0" fontId="29" fillId="15" borderId="2" xfId="5" applyBorder="1" applyAlignment="1">
      <alignment horizontal="center" shrinkToFit="1"/>
    </xf>
    <xf numFmtId="0" fontId="29" fillId="15" borderId="29" xfId="5" applyBorder="1" applyAlignment="1">
      <alignment horizontal="center" shrinkToFit="1"/>
    </xf>
    <xf numFmtId="0" fontId="29" fillId="15" borderId="17" xfId="5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30" fillId="16" borderId="2" xfId="6" applyBorder="1" applyAlignment="1">
      <alignment horizontal="center" shrinkToFit="1"/>
    </xf>
    <xf numFmtId="0" fontId="30" fillId="16" borderId="29" xfId="6" applyBorder="1" applyAlignment="1">
      <alignment horizontal="center" shrinkToFit="1"/>
    </xf>
    <xf numFmtId="0" fontId="30" fillId="16" borderId="17" xfId="6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</cellXfs>
  <cellStyles count="7">
    <cellStyle name="Bad" xfId="6" builtinId="27"/>
    <cellStyle name="Check Cell" xfId="1" builtinId="23"/>
    <cellStyle name="Currency [0]" xfId="2" builtinId="7"/>
    <cellStyle name="Good" xfId="4" builtinId="26"/>
    <cellStyle name="Neutral" xfId="5" builtinId="28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9" sqref="R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7.25" thickBot="1" x14ac:dyDescent="0.35">
      <c r="A2" s="344" t="s">
        <v>97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103</v>
      </c>
      <c r="K2" s="346"/>
      <c r="L2" s="348" t="s">
        <v>96</v>
      </c>
      <c r="M2" s="349"/>
      <c r="N2" s="347"/>
      <c r="O2" s="345" t="s">
        <v>98</v>
      </c>
      <c r="P2" s="345"/>
      <c r="Q2" s="346"/>
      <c r="R2" s="348" t="s">
        <v>51</v>
      </c>
      <c r="S2" s="347"/>
      <c r="T2" s="336">
        <v>5</v>
      </c>
      <c r="U2" s="33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37" t="s">
        <v>8</v>
      </c>
      <c r="P4" s="337"/>
      <c r="Q4" s="33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12042</v>
      </c>
      <c r="C5" s="59"/>
      <c r="D5" s="190" t="s">
        <v>104</v>
      </c>
      <c r="E5" s="171" t="s">
        <v>92</v>
      </c>
      <c r="F5" s="160">
        <v>800</v>
      </c>
      <c r="G5" s="109" t="s">
        <v>105</v>
      </c>
      <c r="H5" s="82">
        <v>95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89"/>
      <c r="P5" s="390"/>
      <c r="Q5" s="391"/>
      <c r="R5" s="32" t="s">
        <v>98</v>
      </c>
      <c r="S5" s="30">
        <v>0.33333333333333331</v>
      </c>
      <c r="T5" s="31">
        <v>0.71875</v>
      </c>
      <c r="U5" s="83">
        <f t="shared" ref="U5:U15" si="0">(T5-S5)*24</f>
        <v>9.25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12043</v>
      </c>
      <c r="C6" s="58" t="s">
        <v>106</v>
      </c>
      <c r="D6" s="190" t="s">
        <v>107</v>
      </c>
      <c r="E6" s="171" t="s">
        <v>92</v>
      </c>
      <c r="F6" s="161">
        <v>830</v>
      </c>
      <c r="G6" s="109" t="s">
        <v>108</v>
      </c>
      <c r="H6" s="82"/>
      <c r="I6" s="115"/>
      <c r="J6" s="120" t="str">
        <f t="shared" ref="J6:J29" si="1">IF(G6="RSL","55","0")</f>
        <v>0</v>
      </c>
      <c r="K6" s="120">
        <v>79.099999999999994</v>
      </c>
      <c r="L6" s="121"/>
      <c r="M6" s="121"/>
      <c r="N6" s="124" t="s">
        <v>98</v>
      </c>
      <c r="O6" s="338" t="s">
        <v>109</v>
      </c>
      <c r="P6" s="339"/>
      <c r="Q6" s="340"/>
      <c r="R6" s="122" t="s">
        <v>100</v>
      </c>
      <c r="S6" s="30">
        <v>0.34375</v>
      </c>
      <c r="T6" s="31">
        <v>0.71875</v>
      </c>
      <c r="U6" s="83">
        <f t="shared" si="0"/>
        <v>9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249">
        <v>12044</v>
      </c>
      <c r="C7" s="250" t="s">
        <v>110</v>
      </c>
      <c r="D7" s="251" t="s">
        <v>111</v>
      </c>
      <c r="E7" s="252" t="s">
        <v>92</v>
      </c>
      <c r="F7" s="253">
        <v>835</v>
      </c>
      <c r="G7" s="249" t="s">
        <v>108</v>
      </c>
      <c r="H7" s="254"/>
      <c r="I7" s="254"/>
      <c r="J7" s="254" t="str">
        <f t="shared" si="1"/>
        <v>0</v>
      </c>
      <c r="K7" s="254">
        <v>79.099999999999994</v>
      </c>
      <c r="L7" s="255"/>
      <c r="M7" s="255">
        <v>475</v>
      </c>
      <c r="N7" s="256" t="s">
        <v>98</v>
      </c>
      <c r="O7" s="377" t="s">
        <v>112</v>
      </c>
      <c r="P7" s="378"/>
      <c r="Q7" s="379"/>
      <c r="R7" s="124" t="s">
        <v>101</v>
      </c>
      <c r="S7" s="30">
        <v>0.375</v>
      </c>
      <c r="T7" s="31">
        <v>0.67708333333333337</v>
      </c>
      <c r="U7" s="83">
        <f t="shared" si="0"/>
        <v>7.2500000000000009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12045</v>
      </c>
      <c r="C8" s="26" t="s">
        <v>113</v>
      </c>
      <c r="D8" s="190" t="s">
        <v>114</v>
      </c>
      <c r="E8" s="171" t="s">
        <v>92</v>
      </c>
      <c r="F8" s="161">
        <v>915</v>
      </c>
      <c r="G8" s="109" t="s">
        <v>108</v>
      </c>
      <c r="H8" s="82"/>
      <c r="I8" s="115"/>
      <c r="J8" s="120" t="str">
        <f t="shared" si="1"/>
        <v>0</v>
      </c>
      <c r="K8" s="120">
        <v>125</v>
      </c>
      <c r="L8" s="121"/>
      <c r="M8" s="121"/>
      <c r="N8" s="124" t="s">
        <v>98</v>
      </c>
      <c r="O8" s="341" t="s">
        <v>115</v>
      </c>
      <c r="P8" s="342"/>
      <c r="Q8" s="343"/>
      <c r="R8" s="25" t="s">
        <v>99</v>
      </c>
      <c r="S8" s="30">
        <v>0.36458333333333331</v>
      </c>
      <c r="T8" s="31">
        <v>0.71875</v>
      </c>
      <c r="U8" s="83">
        <f t="shared" si="0"/>
        <v>8.5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12046</v>
      </c>
      <c r="C9" s="54" t="s">
        <v>116</v>
      </c>
      <c r="D9" s="191" t="s">
        <v>117</v>
      </c>
      <c r="E9" s="171" t="s">
        <v>91</v>
      </c>
      <c r="F9" s="162">
        <v>940</v>
      </c>
      <c r="G9" s="110" t="s">
        <v>105</v>
      </c>
      <c r="H9" s="82"/>
      <c r="I9" s="82">
        <v>95</v>
      </c>
      <c r="J9" s="120" t="str">
        <f t="shared" si="1"/>
        <v>0</v>
      </c>
      <c r="K9" s="120" t="str">
        <f t="shared" ref="K9:K29" si="2">IF(G9="GVS","37.5",IF(G9="GVM","41.5",IF(G9="GVL","50",IF(G9="PCS","45.8",IF(G9="PCM","50",IF(G9="PCL","58.3","0"))))))</f>
        <v>0</v>
      </c>
      <c r="L9" s="121"/>
      <c r="M9" s="121"/>
      <c r="N9" s="124" t="s">
        <v>98</v>
      </c>
      <c r="O9" s="341"/>
      <c r="P9" s="342"/>
      <c r="Q9" s="343"/>
      <c r="R9" s="25" t="s">
        <v>102</v>
      </c>
      <c r="S9" s="30">
        <v>0.45833333333333331</v>
      </c>
      <c r="T9" s="31">
        <v>0.70833333333333337</v>
      </c>
      <c r="U9" s="83">
        <f t="shared" si="0"/>
        <v>6.0000000000000018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12047</v>
      </c>
      <c r="C10" s="27" t="s">
        <v>118</v>
      </c>
      <c r="D10" s="192" t="s">
        <v>119</v>
      </c>
      <c r="E10" s="171" t="s">
        <v>91</v>
      </c>
      <c r="F10" s="163">
        <v>945</v>
      </c>
      <c r="G10" s="111" t="s">
        <v>120</v>
      </c>
      <c r="H10" s="114">
        <v>150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33"/>
      <c r="P10" s="334"/>
      <c r="Q10" s="33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12048</v>
      </c>
      <c r="C11" s="17" t="s">
        <v>121</v>
      </c>
      <c r="D11" s="193" t="s">
        <v>122</v>
      </c>
      <c r="E11" s="171" t="s">
        <v>92</v>
      </c>
      <c r="F11" s="57">
        <v>1000</v>
      </c>
      <c r="G11" s="112" t="s">
        <v>123</v>
      </c>
      <c r="H11" s="114">
        <v>75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11"/>
      <c r="P11" s="310"/>
      <c r="Q11" s="31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12049</v>
      </c>
      <c r="C12" s="55" t="s">
        <v>124</v>
      </c>
      <c r="D12" s="194" t="s">
        <v>125</v>
      </c>
      <c r="E12" s="171" t="s">
        <v>92</v>
      </c>
      <c r="F12" s="163">
        <v>1005</v>
      </c>
      <c r="G12" s="110" t="s">
        <v>105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11"/>
      <c r="P12" s="310"/>
      <c r="Q12" s="31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249">
        <v>12050</v>
      </c>
      <c r="C13" s="257" t="s">
        <v>126</v>
      </c>
      <c r="D13" s="258" t="s">
        <v>127</v>
      </c>
      <c r="E13" s="252" t="s">
        <v>91</v>
      </c>
      <c r="F13" s="259">
        <v>1011</v>
      </c>
      <c r="G13" s="260" t="s">
        <v>108</v>
      </c>
      <c r="H13" s="261"/>
      <c r="I13" s="262"/>
      <c r="J13" s="254" t="str">
        <f t="shared" si="1"/>
        <v>0</v>
      </c>
      <c r="K13" s="254">
        <v>125</v>
      </c>
      <c r="L13" s="255"/>
      <c r="M13" s="255">
        <v>750</v>
      </c>
      <c r="N13" s="256" t="s">
        <v>98</v>
      </c>
      <c r="O13" s="377" t="s">
        <v>128</v>
      </c>
      <c r="P13" s="378"/>
      <c r="Q13" s="379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260">
        <v>12051</v>
      </c>
      <c r="C14" s="263" t="s">
        <v>129</v>
      </c>
      <c r="D14" s="264" t="s">
        <v>130</v>
      </c>
      <c r="E14" s="252" t="s">
        <v>92</v>
      </c>
      <c r="F14" s="265">
        <v>1020</v>
      </c>
      <c r="G14" s="249" t="s">
        <v>108</v>
      </c>
      <c r="H14" s="266"/>
      <c r="I14" s="266"/>
      <c r="J14" s="254" t="str">
        <f t="shared" si="1"/>
        <v>0</v>
      </c>
      <c r="K14" s="254">
        <v>79.099999999999994</v>
      </c>
      <c r="L14" s="255">
        <v>475</v>
      </c>
      <c r="M14" s="255"/>
      <c r="N14" s="256" t="s">
        <v>98</v>
      </c>
      <c r="O14" s="377" t="s">
        <v>131</v>
      </c>
      <c r="P14" s="378"/>
      <c r="Q14" s="379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12052</v>
      </c>
      <c r="C15" s="56" t="s">
        <v>132</v>
      </c>
      <c r="D15" s="195" t="s">
        <v>133</v>
      </c>
      <c r="E15" s="171" t="s">
        <v>92</v>
      </c>
      <c r="F15" s="164">
        <v>1030</v>
      </c>
      <c r="G15" s="113" t="s">
        <v>123</v>
      </c>
      <c r="H15" s="114">
        <v>55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311"/>
      <c r="P15" s="310"/>
      <c r="Q15" s="31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12053</v>
      </c>
      <c r="C16" s="56" t="s">
        <v>134</v>
      </c>
      <c r="D16" s="195" t="s">
        <v>135</v>
      </c>
      <c r="E16" s="171" t="s">
        <v>92</v>
      </c>
      <c r="F16" s="164">
        <v>1040</v>
      </c>
      <c r="G16" s="113" t="s">
        <v>105</v>
      </c>
      <c r="H16" s="114"/>
      <c r="I16" s="115">
        <v>95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11"/>
      <c r="P16" s="310"/>
      <c r="Q16" s="312"/>
      <c r="R16" s="73">
        <f>H32/U16</f>
        <v>0.67500000000000004</v>
      </c>
      <c r="S16" s="74">
        <f>H32/(U16-U5)</f>
        <v>0.87804878048780488</v>
      </c>
      <c r="T16" s="74">
        <f>C32/U16</f>
        <v>73.364999999999995</v>
      </c>
      <c r="U16" s="74">
        <f>SUM(U5:U15)</f>
        <v>40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12054</v>
      </c>
      <c r="C17" s="17" t="s">
        <v>136</v>
      </c>
      <c r="D17" s="193" t="s">
        <v>137</v>
      </c>
      <c r="E17" s="171" t="s">
        <v>91</v>
      </c>
      <c r="F17" s="57">
        <v>1100</v>
      </c>
      <c r="G17" s="112" t="s">
        <v>120</v>
      </c>
      <c r="H17" s="114">
        <v>150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11"/>
      <c r="P17" s="310"/>
      <c r="Q17" s="31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12055</v>
      </c>
      <c r="C18" s="17" t="s">
        <v>138</v>
      </c>
      <c r="D18" s="193" t="s">
        <v>139</v>
      </c>
      <c r="E18" s="171" t="s">
        <v>91</v>
      </c>
      <c r="F18" s="57">
        <v>1100</v>
      </c>
      <c r="G18" s="19" t="s">
        <v>108</v>
      </c>
      <c r="H18" s="114"/>
      <c r="I18" s="115"/>
      <c r="J18" s="120" t="str">
        <f t="shared" si="1"/>
        <v>0</v>
      </c>
      <c r="K18" s="120">
        <v>79.099999999999994</v>
      </c>
      <c r="L18" s="121"/>
      <c r="M18" s="121"/>
      <c r="N18" s="124" t="s">
        <v>98</v>
      </c>
      <c r="O18" s="311" t="s">
        <v>140</v>
      </c>
      <c r="P18" s="310"/>
      <c r="Q18" s="31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12056</v>
      </c>
      <c r="C19" s="17" t="s">
        <v>143</v>
      </c>
      <c r="D19" s="193" t="s">
        <v>144</v>
      </c>
      <c r="E19" s="171" t="s">
        <v>92</v>
      </c>
      <c r="F19" s="57">
        <v>1100</v>
      </c>
      <c r="G19" s="112" t="s">
        <v>120</v>
      </c>
      <c r="H19" s="114"/>
      <c r="I19" s="115">
        <v>120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311"/>
      <c r="P19" s="310"/>
      <c r="Q19" s="310"/>
      <c r="R19" s="84" t="s">
        <v>45</v>
      </c>
      <c r="S19" s="85">
        <f>COUNT(L5:M29,L37:M61,L69:M93)</f>
        <v>3</v>
      </c>
      <c r="T19" s="107">
        <f>SUM(L5:M29,L37:M61,L69:M93)</f>
        <v>1700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12057</v>
      </c>
      <c r="C20" s="17" t="s">
        <v>141</v>
      </c>
      <c r="D20" s="193" t="s">
        <v>142</v>
      </c>
      <c r="E20" s="171" t="s">
        <v>91</v>
      </c>
      <c r="F20" s="57">
        <v>1110</v>
      </c>
      <c r="G20" s="112" t="s">
        <v>105</v>
      </c>
      <c r="H20" s="114"/>
      <c r="I20" s="115">
        <v>95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85"/>
      <c r="P20" s="386"/>
      <c r="Q20" s="386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12058</v>
      </c>
      <c r="C21" s="17" t="s">
        <v>145</v>
      </c>
      <c r="D21" s="193" t="s">
        <v>146</v>
      </c>
      <c r="E21" s="171" t="s">
        <v>92</v>
      </c>
      <c r="F21" s="57">
        <v>1100</v>
      </c>
      <c r="G21" s="19" t="s">
        <v>147</v>
      </c>
      <c r="H21" s="114"/>
      <c r="I21" s="115">
        <v>230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311"/>
      <c r="P21" s="310"/>
      <c r="Q21" s="31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12059</v>
      </c>
      <c r="C22" s="21" t="s">
        <v>148</v>
      </c>
      <c r="D22" s="196" t="s">
        <v>149</v>
      </c>
      <c r="E22" s="171" t="s">
        <v>91</v>
      </c>
      <c r="F22" s="165">
        <v>1220</v>
      </c>
      <c r="G22" s="204" t="s">
        <v>120</v>
      </c>
      <c r="H22" s="80">
        <v>140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98</v>
      </c>
      <c r="O22" s="311"/>
      <c r="P22" s="310"/>
      <c r="Q22" s="31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12060</v>
      </c>
      <c r="C23" s="126" t="s">
        <v>150</v>
      </c>
      <c r="D23" s="197" t="s">
        <v>151</v>
      </c>
      <c r="E23" s="171" t="s">
        <v>91</v>
      </c>
      <c r="F23" s="166">
        <v>1220</v>
      </c>
      <c r="G23" s="155" t="s">
        <v>108</v>
      </c>
      <c r="H23" s="80"/>
      <c r="I23" s="131"/>
      <c r="J23" s="120" t="str">
        <f t="shared" si="1"/>
        <v>0</v>
      </c>
      <c r="K23" s="120">
        <v>79.099999999999994</v>
      </c>
      <c r="L23" s="117"/>
      <c r="M23" s="117"/>
      <c r="N23" s="124" t="s">
        <v>98</v>
      </c>
      <c r="O23" s="311" t="s">
        <v>152</v>
      </c>
      <c r="P23" s="310"/>
      <c r="Q23" s="312"/>
      <c r="R23" s="104"/>
      <c r="S23" s="105"/>
      <c r="T23" s="105"/>
      <c r="U23" s="106"/>
      <c r="X23" s="380"/>
      <c r="Y23" s="381"/>
      <c r="Z23" s="381"/>
    </row>
    <row r="24" spans="1:44" ht="16.5" customHeight="1" thickBot="1" x14ac:dyDescent="0.35">
      <c r="A24" s="125">
        <v>20</v>
      </c>
      <c r="B24" s="267">
        <v>12061</v>
      </c>
      <c r="C24" s="268" t="s">
        <v>153</v>
      </c>
      <c r="D24" s="269" t="s">
        <v>154</v>
      </c>
      <c r="E24" s="270" t="s">
        <v>91</v>
      </c>
      <c r="F24" s="271">
        <v>1225</v>
      </c>
      <c r="G24" s="267" t="s">
        <v>155</v>
      </c>
      <c r="H24" s="272">
        <v>280</v>
      </c>
      <c r="I24" s="272"/>
      <c r="J24" s="273" t="str">
        <f t="shared" si="1"/>
        <v>0</v>
      </c>
      <c r="K24" s="273" t="str">
        <f t="shared" si="2"/>
        <v>0</v>
      </c>
      <c r="L24" s="273"/>
      <c r="M24" s="273"/>
      <c r="N24" s="274" t="s">
        <v>98</v>
      </c>
      <c r="O24" s="382" t="s">
        <v>166</v>
      </c>
      <c r="P24" s="383"/>
      <c r="Q24" s="384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12062</v>
      </c>
      <c r="C25" s="122" t="s">
        <v>156</v>
      </c>
      <c r="D25" s="198"/>
      <c r="E25" s="171" t="s">
        <v>92</v>
      </c>
      <c r="F25" s="165">
        <v>1230</v>
      </c>
      <c r="G25" s="204" t="s">
        <v>157</v>
      </c>
      <c r="H25" s="81"/>
      <c r="I25" s="81">
        <v>65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98</v>
      </c>
      <c r="O25" s="311"/>
      <c r="P25" s="310"/>
      <c r="Q25" s="31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87">
        <f>((C32+(R26+S26+T26)*0.5))</f>
        <v>2934.6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12063</v>
      </c>
      <c r="C26" s="26" t="s">
        <v>158</v>
      </c>
      <c r="D26" s="199" t="s">
        <v>159</v>
      </c>
      <c r="E26" s="171" t="s">
        <v>92</v>
      </c>
      <c r="F26" s="167">
        <v>1245</v>
      </c>
      <c r="G26" s="19" t="s">
        <v>123</v>
      </c>
      <c r="H26" s="80"/>
      <c r="I26" s="131">
        <v>75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98</v>
      </c>
      <c r="O26" s="311"/>
      <c r="P26" s="310"/>
      <c r="Q26" s="312"/>
      <c r="R26" s="103">
        <f>R25*37.5</f>
        <v>0</v>
      </c>
      <c r="S26" s="93">
        <f>S25*41.5</f>
        <v>0</v>
      </c>
      <c r="T26" s="93">
        <f>T25*50</f>
        <v>0</v>
      </c>
      <c r="U26" s="388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12064</v>
      </c>
      <c r="C27" s="26" t="s">
        <v>160</v>
      </c>
      <c r="D27" s="199" t="s">
        <v>161</v>
      </c>
      <c r="E27" s="171" t="s">
        <v>92</v>
      </c>
      <c r="F27" s="167">
        <v>1410</v>
      </c>
      <c r="G27" s="19" t="s">
        <v>105</v>
      </c>
      <c r="H27" s="80"/>
      <c r="I27" s="131">
        <v>95</v>
      </c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98</v>
      </c>
      <c r="O27" s="311"/>
      <c r="P27" s="310"/>
      <c r="Q27" s="312"/>
      <c r="R27" s="374" t="s">
        <v>56</v>
      </c>
      <c r="S27" s="375"/>
      <c r="T27" s="375"/>
      <c r="U27" s="37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12065</v>
      </c>
      <c r="C28" s="26" t="s">
        <v>162</v>
      </c>
      <c r="D28" s="199" t="s">
        <v>163</v>
      </c>
      <c r="E28" s="171" t="s">
        <v>92</v>
      </c>
      <c r="F28" s="167">
        <v>1430</v>
      </c>
      <c r="G28" s="19" t="s">
        <v>105</v>
      </c>
      <c r="H28" s="80"/>
      <c r="I28" s="131">
        <v>75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98</v>
      </c>
      <c r="O28" s="311"/>
      <c r="P28" s="310"/>
      <c r="Q28" s="312"/>
      <c r="R28" s="367"/>
      <c r="S28" s="368"/>
      <c r="T28" s="36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12066</v>
      </c>
      <c r="C29" s="33" t="s">
        <v>164</v>
      </c>
      <c r="D29" s="200" t="s">
        <v>165</v>
      </c>
      <c r="E29" s="172" t="s">
        <v>92</v>
      </c>
      <c r="F29" s="167">
        <v>1450</v>
      </c>
      <c r="G29" s="19" t="s">
        <v>120</v>
      </c>
      <c r="H29" s="80">
        <v>150</v>
      </c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98</v>
      </c>
      <c r="O29" s="354"/>
      <c r="P29" s="355"/>
      <c r="Q29" s="356"/>
      <c r="R29" s="357"/>
      <c r="S29" s="358"/>
      <c r="T29" s="359"/>
      <c r="U29" s="140"/>
      <c r="X29" s="14">
        <v>3</v>
      </c>
      <c r="Z29" s="45"/>
      <c r="AE29" s="39"/>
    </row>
    <row r="30" spans="1:44" ht="16.5" customHeight="1" thickBot="1" x14ac:dyDescent="0.35">
      <c r="A30" s="360" t="s">
        <v>48</v>
      </c>
      <c r="B30" s="361"/>
      <c r="C30" s="361"/>
      <c r="D30" s="361"/>
      <c r="E30" s="362"/>
      <c r="F30" s="361"/>
      <c r="G30" s="361"/>
      <c r="H30" s="201">
        <f t="shared" ref="H30:M30" si="3">SUM(H5:H29)</f>
        <v>1095</v>
      </c>
      <c r="I30" s="96">
        <f>SUM(I5:I29)</f>
        <v>1040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645.5</v>
      </c>
      <c r="L30" s="97">
        <f t="shared" si="3"/>
        <v>475</v>
      </c>
      <c r="M30" s="97">
        <f t="shared" si="3"/>
        <v>1225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63"/>
      <c r="S30" s="363"/>
      <c r="T30" s="364"/>
      <c r="U30" s="141"/>
      <c r="X30" s="14">
        <v>4</v>
      </c>
      <c r="Z30" s="45"/>
      <c r="AD30" s="46"/>
    </row>
    <row r="31" spans="1:44" x14ac:dyDescent="0.3">
      <c r="A31" s="365" t="s">
        <v>16</v>
      </c>
      <c r="B31" s="366"/>
      <c r="C31" s="366"/>
      <c r="D31" s="366"/>
      <c r="E31" s="366"/>
      <c r="F31" s="366"/>
      <c r="G31" s="366"/>
      <c r="H31" s="202">
        <f t="shared" ref="H31:J31" si="4">H30+H62+H94</f>
        <v>1095</v>
      </c>
      <c r="I31" s="94">
        <f t="shared" si="4"/>
        <v>1115</v>
      </c>
      <c r="J31" s="94">
        <f t="shared" si="4"/>
        <v>0</v>
      </c>
      <c r="K31" s="94">
        <f>K30+K62+K94</f>
        <v>724.6</v>
      </c>
      <c r="L31" s="88">
        <f>L30+L62+L94</f>
        <v>475</v>
      </c>
      <c r="M31" s="88">
        <f>M30+M62+M94</f>
        <v>1225</v>
      </c>
      <c r="N31" s="207">
        <f>COUNT(H5:H29,H37:H61,H69:H93)</f>
        <v>8</v>
      </c>
      <c r="O31" s="95">
        <f>COUNT(I5:I29,I37:I61,I69:I93)</f>
        <v>11</v>
      </c>
      <c r="P31" s="95">
        <f>COUNTIF(G5:G29,"G*")+COUNTIF(G37:G61,"G*")+COUNTIF(G69:G93,"G*")+COUNTIF(G5:G29,"P*")+COUNTIF(G37:G61,"P*")+COUNTIF(G69:G93,"P*")</f>
        <v>8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1570</v>
      </c>
      <c r="T31" s="350">
        <f>H31+I31+L31+M31</f>
        <v>3910</v>
      </c>
      <c r="U31" s="35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70" t="s">
        <v>55</v>
      </c>
      <c r="B32" s="371"/>
      <c r="C32" s="98">
        <f>H31+I31+J31+K31</f>
        <v>2934.6</v>
      </c>
      <c r="D32" s="186"/>
      <c r="E32" s="98"/>
      <c r="F32" s="372" t="s">
        <v>53</v>
      </c>
      <c r="G32" s="372"/>
      <c r="H32" s="100">
        <f>COUNT(B5:B29,B37:B61,B69:B93)</f>
        <v>27</v>
      </c>
      <c r="I32" s="373" t="s">
        <v>54</v>
      </c>
      <c r="J32" s="373"/>
      <c r="K32" s="99">
        <f>C32/H32</f>
        <v>108.68888888888888</v>
      </c>
      <c r="L32" s="208"/>
      <c r="M32" s="208"/>
      <c r="N32" s="208">
        <f>H31/C32</f>
        <v>0.37313432835820898</v>
      </c>
      <c r="O32" s="208">
        <f>I31/C32</f>
        <v>0.37994956723233153</v>
      </c>
      <c r="P32" s="208">
        <f>K31/C32</f>
        <v>0.24691610440945957</v>
      </c>
      <c r="Q32" s="101">
        <f>J31/C32</f>
        <v>0</v>
      </c>
      <c r="R32" s="90" t="s">
        <v>82</v>
      </c>
      <c r="S32" s="203">
        <f>I31+M31</f>
        <v>2340</v>
      </c>
      <c r="T32" s="352"/>
      <c r="U32" s="353"/>
      <c r="V32" s="39"/>
      <c r="W32" s="39"/>
      <c r="X32" s="48" t="s">
        <v>27</v>
      </c>
      <c r="Y32" s="48"/>
      <c r="Z32" s="47">
        <f>I31</f>
        <v>1115</v>
      </c>
    </row>
    <row r="33" spans="1:33" ht="17.25" thickBot="1" x14ac:dyDescent="0.3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49" t="s">
        <v>29</v>
      </c>
      <c r="Y33" s="49"/>
      <c r="Z33" s="50">
        <f>SUM(Z31:Z32)</f>
        <v>-1630</v>
      </c>
      <c r="AG33" s="35"/>
    </row>
    <row r="34" spans="1:33" ht="17.25" thickBot="1" x14ac:dyDescent="0.35">
      <c r="A34" s="344" t="str">
        <f>A2</f>
        <v>07-11-2022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SUNNY</v>
      </c>
      <c r="K34" s="346"/>
      <c r="L34" s="348" t="s">
        <v>50</v>
      </c>
      <c r="M34" s="349"/>
      <c r="N34" s="347"/>
      <c r="O34" s="345" t="str">
        <f>O2</f>
        <v>JOHN</v>
      </c>
      <c r="P34" s="345"/>
      <c r="Q34" s="346"/>
      <c r="R34" s="348" t="s">
        <v>51</v>
      </c>
      <c r="S34" s="347"/>
      <c r="T34" s="336">
        <f>T2</f>
        <v>5</v>
      </c>
      <c r="U34" s="33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37" t="s">
        <v>8</v>
      </c>
      <c r="P36" s="337"/>
      <c r="Q36" s="33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12067</v>
      </c>
      <c r="C37" s="59" t="s">
        <v>167</v>
      </c>
      <c r="D37" s="248" t="s">
        <v>168</v>
      </c>
      <c r="E37" s="171" t="s">
        <v>92</v>
      </c>
      <c r="F37" s="164">
        <v>1540</v>
      </c>
      <c r="G37" s="109" t="s">
        <v>108</v>
      </c>
      <c r="H37" s="82"/>
      <c r="I37" s="115"/>
      <c r="J37" s="120" t="str">
        <f>IF(G37="RSL","55","0")</f>
        <v>0</v>
      </c>
      <c r="K37" s="120">
        <v>79.099999999999994</v>
      </c>
      <c r="L37" s="121"/>
      <c r="M37" s="121"/>
      <c r="N37" s="60" t="s">
        <v>98</v>
      </c>
      <c r="O37" s="311" t="s">
        <v>169</v>
      </c>
      <c r="P37" s="310"/>
      <c r="Q37" s="312"/>
      <c r="R37" s="51"/>
      <c r="S37" s="52"/>
      <c r="T37" s="52"/>
      <c r="U37" s="61"/>
    </row>
    <row r="38" spans="1:33" x14ac:dyDescent="0.3">
      <c r="A38" s="118">
        <f>A37+1</f>
        <v>27</v>
      </c>
      <c r="B38" s="204">
        <v>12068</v>
      </c>
      <c r="C38" s="58" t="s">
        <v>170</v>
      </c>
      <c r="D38" s="185" t="s">
        <v>171</v>
      </c>
      <c r="E38" s="171" t="s">
        <v>92</v>
      </c>
      <c r="F38" s="169">
        <v>1630</v>
      </c>
      <c r="G38" s="109" t="s">
        <v>105</v>
      </c>
      <c r="H38" s="82"/>
      <c r="I38" s="115">
        <v>75</v>
      </c>
      <c r="J38" s="120" t="str">
        <f t="shared" ref="J38:J61" si="5">IF(G38="RSL","55","0")</f>
        <v>0</v>
      </c>
      <c r="K38" s="120" t="str">
        <f t="shared" ref="K38:K61" si="6">IF(G38="GVS","37.5",IF(G38="GVM","41.5",IF(G38="GVL","50",IF(G38="PCS","45.8",IF(G38="PCM","50",IF(G38="PCL","58.3","0"))))))</f>
        <v>0</v>
      </c>
      <c r="L38" s="121"/>
      <c r="M38" s="121"/>
      <c r="N38" s="60" t="s">
        <v>98</v>
      </c>
      <c r="O38" s="338"/>
      <c r="P38" s="339"/>
      <c r="Q38" s="34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5"/>
        <v>0</v>
      </c>
      <c r="K39" s="120" t="str">
        <f t="shared" si="6"/>
        <v>0</v>
      </c>
      <c r="L39" s="121"/>
      <c r="M39" s="121"/>
      <c r="N39" s="60"/>
      <c r="O39" s="311"/>
      <c r="P39" s="310"/>
      <c r="Q39" s="31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5"/>
        <v>0</v>
      </c>
      <c r="K40" s="120" t="str">
        <f t="shared" si="6"/>
        <v>0</v>
      </c>
      <c r="L40" s="121"/>
      <c r="M40" s="121"/>
      <c r="N40" s="60"/>
      <c r="O40" s="341"/>
      <c r="P40" s="342"/>
      <c r="Q40" s="34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5"/>
        <v>0</v>
      </c>
      <c r="K41" s="120" t="str">
        <f t="shared" si="6"/>
        <v>0</v>
      </c>
      <c r="L41" s="121"/>
      <c r="M41" s="121"/>
      <c r="N41" s="60"/>
      <c r="O41" s="341"/>
      <c r="P41" s="342"/>
      <c r="Q41" s="34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5"/>
        <v>0</v>
      </c>
      <c r="K42" s="120" t="str">
        <f t="shared" si="6"/>
        <v>0</v>
      </c>
      <c r="L42" s="121"/>
      <c r="M42" s="121"/>
      <c r="N42" s="60"/>
      <c r="O42" s="333"/>
      <c r="P42" s="334"/>
      <c r="Q42" s="33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5"/>
        <v>0</v>
      </c>
      <c r="K43" s="120" t="str">
        <f t="shared" si="6"/>
        <v>0</v>
      </c>
      <c r="L43" s="121"/>
      <c r="M43" s="121"/>
      <c r="N43" s="60"/>
      <c r="O43" s="311"/>
      <c r="P43" s="310"/>
      <c r="Q43" s="31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5"/>
        <v>0</v>
      </c>
      <c r="K44" s="120" t="str">
        <f t="shared" si="6"/>
        <v>0</v>
      </c>
      <c r="L44" s="121"/>
      <c r="M44" s="121"/>
      <c r="N44" s="60"/>
      <c r="O44" s="311"/>
      <c r="P44" s="310"/>
      <c r="Q44" s="31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5"/>
        <v>0</v>
      </c>
      <c r="K45" s="120" t="str">
        <f t="shared" si="6"/>
        <v>0</v>
      </c>
      <c r="L45" s="121"/>
      <c r="M45" s="121"/>
      <c r="N45" s="60"/>
      <c r="O45" s="311"/>
      <c r="P45" s="310"/>
      <c r="Q45" s="31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5"/>
        <v>0</v>
      </c>
      <c r="K46" s="120" t="str">
        <f t="shared" si="6"/>
        <v>0</v>
      </c>
      <c r="L46" s="121"/>
      <c r="M46" s="121"/>
      <c r="N46" s="60"/>
      <c r="O46" s="311"/>
      <c r="P46" s="310"/>
      <c r="Q46" s="31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5"/>
        <v>0</v>
      </c>
      <c r="K47" s="120" t="str">
        <f t="shared" si="6"/>
        <v>0</v>
      </c>
      <c r="L47" s="121"/>
      <c r="M47" s="121"/>
      <c r="N47" s="60"/>
      <c r="O47" s="311"/>
      <c r="P47" s="310"/>
      <c r="Q47" s="31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5"/>
        <v>0</v>
      </c>
      <c r="K48" s="120" t="str">
        <f t="shared" si="6"/>
        <v>0</v>
      </c>
      <c r="L48" s="121"/>
      <c r="M48" s="121"/>
      <c r="N48" s="60"/>
      <c r="O48" s="311"/>
      <c r="P48" s="310"/>
      <c r="Q48" s="31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5"/>
        <v>0</v>
      </c>
      <c r="K49" s="120" t="str">
        <f t="shared" si="6"/>
        <v>0</v>
      </c>
      <c r="L49" s="121"/>
      <c r="M49" s="121"/>
      <c r="N49" s="60"/>
      <c r="O49" s="311"/>
      <c r="P49" s="310"/>
      <c r="Q49" s="31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5"/>
        <v>0</v>
      </c>
      <c r="K50" s="120" t="str">
        <f t="shared" si="6"/>
        <v>0</v>
      </c>
      <c r="L50" s="121"/>
      <c r="M50" s="121"/>
      <c r="N50" s="60"/>
      <c r="O50" s="311"/>
      <c r="P50" s="310"/>
      <c r="Q50" s="31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5"/>
        <v>0</v>
      </c>
      <c r="K51" s="120" t="str">
        <f t="shared" si="6"/>
        <v>0</v>
      </c>
      <c r="L51" s="121"/>
      <c r="M51" s="121"/>
      <c r="N51" s="60"/>
      <c r="O51" s="311"/>
      <c r="P51" s="310"/>
      <c r="Q51" s="31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5"/>
        <v>0</v>
      </c>
      <c r="K52" s="120" t="str">
        <f t="shared" si="6"/>
        <v>0</v>
      </c>
      <c r="L52" s="121"/>
      <c r="M52" s="121"/>
      <c r="N52" s="60"/>
      <c r="O52" s="311"/>
      <c r="P52" s="310"/>
      <c r="Q52" s="31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5"/>
        <v>0</v>
      </c>
      <c r="K53" s="120" t="str">
        <f t="shared" si="6"/>
        <v>0</v>
      </c>
      <c r="L53" s="60"/>
      <c r="M53" s="60"/>
      <c r="N53" s="60"/>
      <c r="O53" s="332"/>
      <c r="P53" s="311"/>
      <c r="Q53" s="31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5"/>
        <v>0</v>
      </c>
      <c r="K54" s="120" t="str">
        <f t="shared" si="6"/>
        <v>0</v>
      </c>
      <c r="L54" s="60"/>
      <c r="M54" s="60"/>
      <c r="N54" s="60"/>
      <c r="O54" s="332"/>
      <c r="P54" s="311"/>
      <c r="Q54" s="31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5"/>
        <v>0</v>
      </c>
      <c r="K55" s="120" t="str">
        <f t="shared" si="6"/>
        <v>0</v>
      </c>
      <c r="L55" s="60"/>
      <c r="M55" s="60"/>
      <c r="N55" s="60"/>
      <c r="O55" s="332"/>
      <c r="P55" s="311"/>
      <c r="Q55" s="31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5"/>
        <v>0</v>
      </c>
      <c r="K56" s="120" t="str">
        <f t="shared" si="6"/>
        <v>0</v>
      </c>
      <c r="L56" s="60"/>
      <c r="M56" s="60"/>
      <c r="N56" s="60"/>
      <c r="O56" s="310"/>
      <c r="P56" s="310"/>
      <c r="Q56" s="31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5"/>
        <v>0</v>
      </c>
      <c r="K57" s="120" t="str">
        <f t="shared" si="6"/>
        <v>0</v>
      </c>
      <c r="L57" s="60"/>
      <c r="M57" s="60"/>
      <c r="N57" s="60"/>
      <c r="O57" s="311"/>
      <c r="P57" s="310"/>
      <c r="Q57" s="31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5"/>
        <v>0</v>
      </c>
      <c r="K58" s="120" t="str">
        <f t="shared" si="6"/>
        <v>0</v>
      </c>
      <c r="L58" s="60"/>
      <c r="M58" s="60"/>
      <c r="N58" s="60"/>
      <c r="O58" s="310"/>
      <c r="P58" s="310"/>
      <c r="Q58" s="31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5"/>
        <v>0</v>
      </c>
      <c r="K59" s="120" t="str">
        <f t="shared" si="6"/>
        <v>0</v>
      </c>
      <c r="L59" s="60"/>
      <c r="M59" s="60"/>
      <c r="N59" s="60"/>
      <c r="O59" s="310"/>
      <c r="P59" s="310"/>
      <c r="Q59" s="31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5"/>
        <v>0</v>
      </c>
      <c r="K60" s="120" t="str">
        <f t="shared" si="6"/>
        <v>0</v>
      </c>
      <c r="L60" s="60"/>
      <c r="M60" s="60"/>
      <c r="N60" s="60"/>
      <c r="O60" s="311"/>
      <c r="P60" s="310"/>
      <c r="Q60" s="31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5"/>
        <v>0</v>
      </c>
      <c r="K61" s="120" t="str">
        <f t="shared" si="6"/>
        <v>0</v>
      </c>
      <c r="L61" s="139"/>
      <c r="M61" s="139"/>
      <c r="N61" s="139"/>
      <c r="O61" s="313"/>
      <c r="P61" s="314"/>
      <c r="Q61" s="315"/>
      <c r="R61" s="72"/>
      <c r="S61" s="59"/>
      <c r="T61" s="59"/>
      <c r="U61" s="68"/>
    </row>
    <row r="62" spans="1:21" x14ac:dyDescent="0.3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75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79.099999999999994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7.25" thickBot="1" x14ac:dyDescent="0.3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7.25" thickBot="1" x14ac:dyDescent="0.3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7.25" thickBot="1" x14ac:dyDescent="0.3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7.25" thickBot="1" x14ac:dyDescent="0.35">
      <c r="A66" s="344" t="str">
        <f>A34</f>
        <v>07-11-2022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SUNNY</v>
      </c>
      <c r="K66" s="346"/>
      <c r="L66" s="348" t="s">
        <v>50</v>
      </c>
      <c r="M66" s="349"/>
      <c r="N66" s="347"/>
      <c r="O66" s="345" t="str">
        <f>O34</f>
        <v>JOHN</v>
      </c>
      <c r="P66" s="345"/>
      <c r="Q66" s="346"/>
      <c r="R66" s="348" t="s">
        <v>51</v>
      </c>
      <c r="S66" s="347"/>
      <c r="T66" s="336">
        <f>T34</f>
        <v>5</v>
      </c>
      <c r="U66" s="33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37" t="s">
        <v>8</v>
      </c>
      <c r="P68" s="337"/>
      <c r="Q68" s="33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1"/>
      <c r="P69" s="310"/>
      <c r="Q69" s="31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38"/>
      <c r="P70" s="339"/>
      <c r="Q70" s="34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1"/>
      <c r="P71" s="310"/>
      <c r="Q71" s="31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41"/>
      <c r="P72" s="342"/>
      <c r="Q72" s="34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41"/>
      <c r="P73" s="342"/>
      <c r="Q73" s="34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33"/>
      <c r="P74" s="334"/>
      <c r="Q74" s="33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1"/>
      <c r="P75" s="310"/>
      <c r="Q75" s="31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1"/>
      <c r="P76" s="310"/>
      <c r="Q76" s="31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1"/>
      <c r="P77" s="310"/>
      <c r="Q77" s="31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1"/>
      <c r="P78" s="310"/>
      <c r="Q78" s="31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1"/>
      <c r="P79" s="310"/>
      <c r="Q79" s="31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1"/>
      <c r="P80" s="310"/>
      <c r="Q80" s="31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1"/>
      <c r="P81" s="310"/>
      <c r="Q81" s="31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1"/>
      <c r="P82" s="310"/>
      <c r="Q82" s="31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1"/>
      <c r="P83" s="310"/>
      <c r="Q83" s="31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1"/>
      <c r="P84" s="310"/>
      <c r="Q84" s="31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2"/>
      <c r="P85" s="311"/>
      <c r="Q85" s="31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2"/>
      <c r="P86" s="311"/>
      <c r="Q86" s="31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2"/>
      <c r="P87" s="311"/>
      <c r="Q87" s="31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0"/>
      <c r="P88" s="310"/>
      <c r="Q88" s="31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1"/>
      <c r="P89" s="310"/>
      <c r="Q89" s="31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0"/>
      <c r="P90" s="310"/>
      <c r="Q90" s="31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0"/>
      <c r="P91" s="310"/>
      <c r="Q91" s="31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1"/>
      <c r="P92" s="310"/>
      <c r="Q92" s="31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3"/>
      <c r="P93" s="314"/>
      <c r="Q93" s="315"/>
      <c r="R93" s="72"/>
      <c r="S93" s="59"/>
      <c r="T93" s="59"/>
      <c r="U93" s="68"/>
    </row>
    <row r="94" spans="1:21" x14ac:dyDescent="0.3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7.25" thickBot="1" x14ac:dyDescent="0.3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7.25" thickBot="1" x14ac:dyDescent="0.3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2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3:Q23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T13" sqref="T1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7.25" thickBot="1" x14ac:dyDescent="0.35">
      <c r="A2" s="344" t="s">
        <v>172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194</v>
      </c>
      <c r="K2" s="346"/>
      <c r="L2" s="348" t="s">
        <v>96</v>
      </c>
      <c r="M2" s="349"/>
      <c r="N2" s="347"/>
      <c r="O2" s="345" t="s">
        <v>100</v>
      </c>
      <c r="P2" s="345"/>
      <c r="Q2" s="346"/>
      <c r="R2" s="348" t="s">
        <v>51</v>
      </c>
      <c r="S2" s="347"/>
      <c r="T2" s="336">
        <v>5</v>
      </c>
      <c r="U2" s="33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37" t="s">
        <v>8</v>
      </c>
      <c r="P4" s="337"/>
      <c r="Q4" s="33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12069</v>
      </c>
      <c r="C5" s="59" t="s">
        <v>175</v>
      </c>
      <c r="D5" s="190" t="s">
        <v>176</v>
      </c>
      <c r="E5" s="171" t="s">
        <v>91</v>
      </c>
      <c r="F5" s="160">
        <v>915</v>
      </c>
      <c r="G5" s="109" t="s">
        <v>120</v>
      </c>
      <c r="H5" s="82">
        <v>120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100</v>
      </c>
      <c r="O5" s="389"/>
      <c r="P5" s="390"/>
      <c r="Q5" s="391"/>
      <c r="R5" s="32" t="s">
        <v>100</v>
      </c>
      <c r="S5" s="30">
        <v>0.33333333333333331</v>
      </c>
      <c r="T5" s="31">
        <v>0.69791666666666663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12070</v>
      </c>
      <c r="C6" s="58" t="s">
        <v>177</v>
      </c>
      <c r="D6" s="190" t="s">
        <v>178</v>
      </c>
      <c r="E6" s="171" t="s">
        <v>92</v>
      </c>
      <c r="F6" s="161">
        <v>930</v>
      </c>
      <c r="G6" s="109" t="s">
        <v>120</v>
      </c>
      <c r="H6" s="82">
        <v>80</v>
      </c>
      <c r="I6" s="115">
        <v>40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338"/>
      <c r="P6" s="339"/>
      <c r="Q6" s="340"/>
      <c r="R6" s="122" t="s">
        <v>173</v>
      </c>
      <c r="S6" s="30">
        <v>0.35416666666666669</v>
      </c>
      <c r="T6" s="31">
        <v>0.67708333333333337</v>
      </c>
      <c r="U6" s="83">
        <f t="shared" si="0"/>
        <v>7.75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12071</v>
      </c>
      <c r="C7" s="58" t="s">
        <v>179</v>
      </c>
      <c r="D7" s="190" t="s">
        <v>180</v>
      </c>
      <c r="E7" s="171" t="s">
        <v>92</v>
      </c>
      <c r="F7" s="161">
        <v>930</v>
      </c>
      <c r="G7" s="109" t="s">
        <v>181</v>
      </c>
      <c r="H7" s="82">
        <v>80</v>
      </c>
      <c r="I7" s="115">
        <v>100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100</v>
      </c>
      <c r="O7" s="311"/>
      <c r="P7" s="310"/>
      <c r="Q7" s="312"/>
      <c r="R7" s="124" t="s">
        <v>99</v>
      </c>
      <c r="S7" s="30">
        <v>0.35416666666666669</v>
      </c>
      <c r="T7" s="31">
        <v>0.69791666666666663</v>
      </c>
      <c r="U7" s="83">
        <f t="shared" si="0"/>
        <v>8.2499999999999982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12072</v>
      </c>
      <c r="C8" s="26" t="s">
        <v>188</v>
      </c>
      <c r="D8" s="190" t="s">
        <v>189</v>
      </c>
      <c r="E8" s="171" t="s">
        <v>92</v>
      </c>
      <c r="F8" s="161">
        <v>1020</v>
      </c>
      <c r="G8" s="109" t="s">
        <v>155</v>
      </c>
      <c r="H8" s="82"/>
      <c r="I8" s="115">
        <v>300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100</v>
      </c>
      <c r="O8" s="341"/>
      <c r="P8" s="342"/>
      <c r="Q8" s="343"/>
      <c r="R8" s="25" t="s">
        <v>174</v>
      </c>
      <c r="S8" s="30">
        <v>0.375</v>
      </c>
      <c r="T8" s="31">
        <v>0.69791666666666663</v>
      </c>
      <c r="U8" s="83">
        <f t="shared" si="0"/>
        <v>7.7499999999999991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12073</v>
      </c>
      <c r="C9" s="54" t="s">
        <v>186</v>
      </c>
      <c r="D9" s="191" t="s">
        <v>187</v>
      </c>
      <c r="E9" s="171" t="s">
        <v>92</v>
      </c>
      <c r="F9" s="162">
        <v>1035</v>
      </c>
      <c r="G9" s="110" t="s">
        <v>108</v>
      </c>
      <c r="H9" s="82"/>
      <c r="I9" s="82"/>
      <c r="J9" s="120" t="str">
        <f t="shared" si="1"/>
        <v>0</v>
      </c>
      <c r="K9" s="120">
        <v>79.16</v>
      </c>
      <c r="L9" s="121"/>
      <c r="M9" s="121"/>
      <c r="N9" s="124" t="s">
        <v>100</v>
      </c>
      <c r="O9" s="341" t="s">
        <v>209</v>
      </c>
      <c r="P9" s="342"/>
      <c r="Q9" s="343"/>
      <c r="R9" s="25" t="s">
        <v>102</v>
      </c>
      <c r="S9" s="30">
        <v>0.4375</v>
      </c>
      <c r="T9" s="31">
        <v>0.69791666666666663</v>
      </c>
      <c r="U9" s="83">
        <f t="shared" si="0"/>
        <v>6.2499999999999991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12074</v>
      </c>
      <c r="C10" s="27" t="s">
        <v>182</v>
      </c>
      <c r="D10" s="192" t="s">
        <v>183</v>
      </c>
      <c r="E10" s="171" t="s">
        <v>92</v>
      </c>
      <c r="F10" s="163">
        <v>1145</v>
      </c>
      <c r="G10" s="111" t="s">
        <v>105</v>
      </c>
      <c r="H10" s="114"/>
      <c r="I10" s="116">
        <v>75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333"/>
      <c r="P10" s="334"/>
      <c r="Q10" s="33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12075</v>
      </c>
      <c r="C11" s="17" t="s">
        <v>192</v>
      </c>
      <c r="D11" s="193" t="s">
        <v>193</v>
      </c>
      <c r="E11" s="171" t="s">
        <v>92</v>
      </c>
      <c r="F11" s="57">
        <v>1145</v>
      </c>
      <c r="G11" s="112" t="s">
        <v>123</v>
      </c>
      <c r="H11" s="114"/>
      <c r="I11" s="115">
        <v>130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100</v>
      </c>
      <c r="O11" s="311"/>
      <c r="P11" s="310"/>
      <c r="Q11" s="31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12076</v>
      </c>
      <c r="C12" s="55" t="s">
        <v>184</v>
      </c>
      <c r="D12" s="194" t="s">
        <v>185</v>
      </c>
      <c r="E12" s="171" t="s">
        <v>91</v>
      </c>
      <c r="F12" s="163">
        <v>1145</v>
      </c>
      <c r="G12" s="110" t="s">
        <v>105</v>
      </c>
      <c r="H12" s="114"/>
      <c r="I12" s="116">
        <v>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100</v>
      </c>
      <c r="O12" s="311"/>
      <c r="P12" s="310"/>
      <c r="Q12" s="31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12077</v>
      </c>
      <c r="C13" s="55" t="s">
        <v>190</v>
      </c>
      <c r="D13" s="194" t="s">
        <v>191</v>
      </c>
      <c r="E13" s="171" t="s">
        <v>92</v>
      </c>
      <c r="F13" s="163">
        <v>1145</v>
      </c>
      <c r="G13" s="110" t="s">
        <v>123</v>
      </c>
      <c r="H13" s="159"/>
      <c r="I13" s="158">
        <v>55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100</v>
      </c>
      <c r="O13" s="311"/>
      <c r="P13" s="310"/>
      <c r="Q13" s="31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12078</v>
      </c>
      <c r="C14" s="56" t="s">
        <v>195</v>
      </c>
      <c r="D14" s="195" t="s">
        <v>196</v>
      </c>
      <c r="E14" s="171" t="s">
        <v>92</v>
      </c>
      <c r="F14" s="164">
        <v>1315</v>
      </c>
      <c r="G14" s="113" t="s">
        <v>105</v>
      </c>
      <c r="H14" s="114"/>
      <c r="I14" s="116">
        <v>95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100</v>
      </c>
      <c r="O14" s="311"/>
      <c r="P14" s="310"/>
      <c r="Q14" s="31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12079</v>
      </c>
      <c r="C15" s="56" t="s">
        <v>197</v>
      </c>
      <c r="D15" s="195" t="s">
        <v>198</v>
      </c>
      <c r="E15" s="171" t="s">
        <v>92</v>
      </c>
      <c r="F15" s="164">
        <v>1350</v>
      </c>
      <c r="G15" s="113" t="s">
        <v>105</v>
      </c>
      <c r="H15" s="114"/>
      <c r="I15" s="115">
        <v>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102</v>
      </c>
      <c r="O15" s="311"/>
      <c r="P15" s="310"/>
      <c r="Q15" s="31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12080</v>
      </c>
      <c r="C16" s="56" t="s">
        <v>199</v>
      </c>
      <c r="D16" s="195" t="s">
        <v>200</v>
      </c>
      <c r="E16" s="171" t="s">
        <v>92</v>
      </c>
      <c r="F16" s="164">
        <v>1355</v>
      </c>
      <c r="G16" s="113" t="s">
        <v>105</v>
      </c>
      <c r="H16" s="114"/>
      <c r="I16" s="115">
        <v>75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102</v>
      </c>
      <c r="O16" s="311"/>
      <c r="P16" s="310"/>
      <c r="Q16" s="312"/>
      <c r="R16" s="73">
        <f>H32/U16</f>
        <v>0.38709677419354838</v>
      </c>
      <c r="S16" s="74">
        <f>H32/(U16-U5)</f>
        <v>0.5</v>
      </c>
      <c r="T16" s="74">
        <f>C32/U16</f>
        <v>45.010580645161291</v>
      </c>
      <c r="U16" s="74">
        <f>SUM(U5:U15)</f>
        <v>38.75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12081</v>
      </c>
      <c r="C17" s="17" t="s">
        <v>201</v>
      </c>
      <c r="D17" s="193" t="s">
        <v>202</v>
      </c>
      <c r="E17" s="171" t="s">
        <v>91</v>
      </c>
      <c r="F17" s="57">
        <v>1445</v>
      </c>
      <c r="G17" s="112" t="s">
        <v>120</v>
      </c>
      <c r="H17" s="114"/>
      <c r="I17" s="115">
        <v>100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100</v>
      </c>
      <c r="O17" s="311"/>
      <c r="P17" s="310"/>
      <c r="Q17" s="31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12082</v>
      </c>
      <c r="C18" s="17" t="s">
        <v>205</v>
      </c>
      <c r="D18" s="193" t="s">
        <v>206</v>
      </c>
      <c r="E18" s="171" t="s">
        <v>91</v>
      </c>
      <c r="F18" s="57">
        <v>1540</v>
      </c>
      <c r="G18" s="19" t="s">
        <v>120</v>
      </c>
      <c r="H18" s="114"/>
      <c r="I18" s="115">
        <v>130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100</v>
      </c>
      <c r="O18" s="311"/>
      <c r="P18" s="310"/>
      <c r="Q18" s="31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12083</v>
      </c>
      <c r="C19" s="17" t="s">
        <v>207</v>
      </c>
      <c r="D19" s="193" t="s">
        <v>208</v>
      </c>
      <c r="E19" s="171" t="s">
        <v>92</v>
      </c>
      <c r="F19" s="57">
        <v>1550</v>
      </c>
      <c r="G19" s="112" t="s">
        <v>105</v>
      </c>
      <c r="H19" s="114"/>
      <c r="I19" s="115">
        <v>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100</v>
      </c>
      <c r="O19" s="311"/>
      <c r="P19" s="310"/>
      <c r="Q19" s="310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 t="s">
        <v>204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85"/>
      <c r="P20" s="386"/>
      <c r="Q20" s="386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311"/>
      <c r="P21" s="310"/>
      <c r="Q21" s="31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11"/>
      <c r="P22" s="310"/>
      <c r="Q22" s="31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80"/>
      <c r="Y23" s="381"/>
      <c r="Z23" s="381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1"/>
      <c r="P24" s="310"/>
      <c r="Q24" s="31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1"/>
      <c r="P25" s="310"/>
      <c r="Q25" s="31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87">
        <f>((C32+(R26+S26+T26)*0.5))</f>
        <v>1744.16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1"/>
      <c r="P26" s="310"/>
      <c r="Q26" s="312"/>
      <c r="R26" s="103">
        <f>R25*37.5</f>
        <v>0</v>
      </c>
      <c r="S26" s="93">
        <f>S25*41.5</f>
        <v>0</v>
      </c>
      <c r="T26" s="93">
        <f>T25*50</f>
        <v>0</v>
      </c>
      <c r="U26" s="388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1"/>
      <c r="P27" s="310"/>
      <c r="Q27" s="312"/>
      <c r="R27" s="374" t="s">
        <v>56</v>
      </c>
      <c r="S27" s="375"/>
      <c r="T27" s="375"/>
      <c r="U27" s="37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1"/>
      <c r="P28" s="310"/>
      <c r="Q28" s="312"/>
      <c r="R28" s="367"/>
      <c r="S28" s="368"/>
      <c r="T28" s="36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54"/>
      <c r="P29" s="355"/>
      <c r="Q29" s="356"/>
      <c r="R29" s="357"/>
      <c r="S29" s="358"/>
      <c r="T29" s="359"/>
      <c r="U29" s="140"/>
      <c r="X29" s="14">
        <v>3</v>
      </c>
      <c r="Z29" s="45"/>
      <c r="AE29" s="39"/>
    </row>
    <row r="30" spans="1:44" ht="16.5" customHeight="1" thickBot="1" x14ac:dyDescent="0.35">
      <c r="A30" s="360" t="s">
        <v>48</v>
      </c>
      <c r="B30" s="361"/>
      <c r="C30" s="361"/>
      <c r="D30" s="361"/>
      <c r="E30" s="362"/>
      <c r="F30" s="361"/>
      <c r="G30" s="361"/>
      <c r="H30" s="201">
        <f t="shared" ref="H30:M30" si="3">SUM(H5:H29)</f>
        <v>280</v>
      </c>
      <c r="I30" s="96">
        <f>SUM(I5:I29)</f>
        <v>1385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79.16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63"/>
      <c r="S30" s="363"/>
      <c r="T30" s="364"/>
      <c r="U30" s="141"/>
      <c r="X30" s="14">
        <v>4</v>
      </c>
      <c r="Z30" s="45"/>
      <c r="AD30" s="46"/>
    </row>
    <row r="31" spans="1:44" x14ac:dyDescent="0.3">
      <c r="A31" s="365" t="s">
        <v>16</v>
      </c>
      <c r="B31" s="366"/>
      <c r="C31" s="366"/>
      <c r="D31" s="366"/>
      <c r="E31" s="366"/>
      <c r="F31" s="366"/>
      <c r="G31" s="366"/>
      <c r="H31" s="202">
        <f t="shared" ref="H31:J31" si="4">H30+H62+H94</f>
        <v>280</v>
      </c>
      <c r="I31" s="94">
        <f t="shared" si="4"/>
        <v>1385</v>
      </c>
      <c r="J31" s="94">
        <f t="shared" si="4"/>
        <v>0</v>
      </c>
      <c r="K31" s="94">
        <f>K30+K62+K94</f>
        <v>79.16</v>
      </c>
      <c r="L31" s="88">
        <f>L30+L62+L94</f>
        <v>0</v>
      </c>
      <c r="M31" s="88">
        <f>M30+M62+M94</f>
        <v>0</v>
      </c>
      <c r="N31" s="207">
        <f>COUNT(H5:H29,H37:H61,H69:H93)</f>
        <v>3</v>
      </c>
      <c r="O31" s="95">
        <f>COUNT(I5:I29,I37:I61,I69:I93)</f>
        <v>13</v>
      </c>
      <c r="P31" s="95">
        <f>COUNTIF(G5:G29,"G*")+COUNTIF(G37:G61,"G*")+COUNTIF(G69:G93,"G*")+COUNTIF(G5:G29,"P*")+COUNTIF(G37:G61,"P*")+COUNTIF(G69:G93,"P*")</f>
        <v>1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280</v>
      </c>
      <c r="T31" s="350">
        <f>H31+I31+L31+M31</f>
        <v>1665</v>
      </c>
      <c r="U31" s="35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70" t="s">
        <v>55</v>
      </c>
      <c r="B32" s="371"/>
      <c r="C32" s="98">
        <f>H31+I31+J31+K31</f>
        <v>1744.16</v>
      </c>
      <c r="D32" s="186"/>
      <c r="E32" s="98"/>
      <c r="F32" s="372" t="s">
        <v>53</v>
      </c>
      <c r="G32" s="372"/>
      <c r="H32" s="100">
        <f>COUNT(B5:B29,B37:B61,B69:B93)</f>
        <v>15</v>
      </c>
      <c r="I32" s="373" t="s">
        <v>54</v>
      </c>
      <c r="J32" s="373"/>
      <c r="K32" s="99">
        <f>C32/H32</f>
        <v>116.27733333333335</v>
      </c>
      <c r="L32" s="208"/>
      <c r="M32" s="208"/>
      <c r="N32" s="208">
        <f>H31/C32</f>
        <v>0.16053573066691129</v>
      </c>
      <c r="O32" s="208">
        <f>I31/C32</f>
        <v>0.79407852490597186</v>
      </c>
      <c r="P32" s="208">
        <f>K31/C32</f>
        <v>4.5385744427116771E-2</v>
      </c>
      <c r="Q32" s="101">
        <f>J31/C32</f>
        <v>0</v>
      </c>
      <c r="R32" s="90" t="s">
        <v>82</v>
      </c>
      <c r="S32" s="203">
        <f>I31+M31</f>
        <v>1385</v>
      </c>
      <c r="T32" s="352"/>
      <c r="U32" s="353"/>
      <c r="V32" s="39"/>
      <c r="W32" s="39"/>
      <c r="X32" s="48" t="s">
        <v>27</v>
      </c>
      <c r="Y32" s="48"/>
      <c r="Z32" s="47">
        <f>I31</f>
        <v>1385</v>
      </c>
    </row>
    <row r="33" spans="1:33" ht="17.25" thickBot="1" x14ac:dyDescent="0.3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49" t="s">
        <v>29</v>
      </c>
      <c r="Y33" s="49"/>
      <c r="Z33" s="50">
        <f>SUM(Z31:Z32)</f>
        <v>-1360</v>
      </c>
      <c r="AG33" s="35"/>
    </row>
    <row r="34" spans="1:33" ht="17.25" thickBot="1" x14ac:dyDescent="0.35">
      <c r="A34" s="344" t="str">
        <f>A2</f>
        <v>8-11-2022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CLOUDY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5</v>
      </c>
      <c r="U34" s="33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37" t="s">
        <v>8</v>
      </c>
      <c r="P36" s="337"/>
      <c r="Q36" s="33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1"/>
      <c r="P37" s="310"/>
      <c r="Q37" s="31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38"/>
      <c r="P38" s="339"/>
      <c r="Q38" s="34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1"/>
      <c r="P39" s="310"/>
      <c r="Q39" s="31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41"/>
      <c r="P40" s="342"/>
      <c r="Q40" s="34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41"/>
      <c r="P41" s="342"/>
      <c r="Q41" s="34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33"/>
      <c r="P42" s="334"/>
      <c r="Q42" s="33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1"/>
      <c r="P43" s="310"/>
      <c r="Q43" s="31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1"/>
      <c r="P44" s="310"/>
      <c r="Q44" s="31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1"/>
      <c r="P45" s="310"/>
      <c r="Q45" s="31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1"/>
      <c r="P46" s="310"/>
      <c r="Q46" s="31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1"/>
      <c r="P47" s="310"/>
      <c r="Q47" s="31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1"/>
      <c r="P48" s="310"/>
      <c r="Q48" s="31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1"/>
      <c r="P49" s="310"/>
      <c r="Q49" s="31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1"/>
      <c r="P50" s="310"/>
      <c r="Q50" s="31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1"/>
      <c r="P51" s="310"/>
      <c r="Q51" s="31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1"/>
      <c r="P52" s="310"/>
      <c r="Q52" s="31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2"/>
      <c r="P53" s="311"/>
      <c r="Q53" s="31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2"/>
      <c r="P54" s="311"/>
      <c r="Q54" s="31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2"/>
      <c r="P55" s="311"/>
      <c r="Q55" s="31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0"/>
      <c r="P56" s="310"/>
      <c r="Q56" s="31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1"/>
      <c r="P57" s="310"/>
      <c r="Q57" s="31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0"/>
      <c r="P58" s="310"/>
      <c r="Q58" s="31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0"/>
      <c r="P59" s="310"/>
      <c r="Q59" s="31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1"/>
      <c r="P60" s="310"/>
      <c r="Q60" s="31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3"/>
      <c r="P61" s="314"/>
      <c r="Q61" s="315"/>
      <c r="R61" s="72"/>
      <c r="S61" s="59"/>
      <c r="T61" s="59"/>
      <c r="U61" s="68"/>
    </row>
    <row r="62" spans="1:21" x14ac:dyDescent="0.3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7.25" thickBot="1" x14ac:dyDescent="0.3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7.25" thickBot="1" x14ac:dyDescent="0.3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7.25" thickBot="1" x14ac:dyDescent="0.3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7.25" thickBot="1" x14ac:dyDescent="0.35">
      <c r="A66" s="344" t="str">
        <f>A34</f>
        <v>8-11-2022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CLOUDY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5</v>
      </c>
      <c r="U66" s="33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37" t="s">
        <v>8</v>
      </c>
      <c r="P68" s="337"/>
      <c r="Q68" s="33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1"/>
      <c r="P69" s="310"/>
      <c r="Q69" s="31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38"/>
      <c r="P70" s="339"/>
      <c r="Q70" s="34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1"/>
      <c r="P71" s="310"/>
      <c r="Q71" s="31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41"/>
      <c r="P72" s="342"/>
      <c r="Q72" s="34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41"/>
      <c r="P73" s="342"/>
      <c r="Q73" s="34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33"/>
      <c r="P74" s="334"/>
      <c r="Q74" s="33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1"/>
      <c r="P75" s="310"/>
      <c r="Q75" s="31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1"/>
      <c r="P76" s="310"/>
      <c r="Q76" s="31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1"/>
      <c r="P77" s="310"/>
      <c r="Q77" s="31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1"/>
      <c r="P78" s="310"/>
      <c r="Q78" s="31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1"/>
      <c r="P79" s="310"/>
      <c r="Q79" s="31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1"/>
      <c r="P80" s="310"/>
      <c r="Q80" s="31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1"/>
      <c r="P81" s="310"/>
      <c r="Q81" s="31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1"/>
      <c r="P82" s="310"/>
      <c r="Q82" s="31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1"/>
      <c r="P83" s="310"/>
      <c r="Q83" s="31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1"/>
      <c r="P84" s="310"/>
      <c r="Q84" s="31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2"/>
      <c r="P85" s="311"/>
      <c r="Q85" s="31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2"/>
      <c r="P86" s="311"/>
      <c r="Q86" s="31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2"/>
      <c r="P87" s="311"/>
      <c r="Q87" s="31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0"/>
      <c r="P88" s="310"/>
      <c r="Q88" s="31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1"/>
      <c r="P89" s="310"/>
      <c r="Q89" s="31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0"/>
      <c r="P90" s="310"/>
      <c r="Q90" s="31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0"/>
      <c r="P91" s="310"/>
      <c r="Q91" s="31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1"/>
      <c r="P92" s="310"/>
      <c r="Q92" s="31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3"/>
      <c r="P93" s="314"/>
      <c r="Q93" s="315"/>
      <c r="R93" s="72"/>
      <c r="S93" s="59"/>
      <c r="T93" s="59"/>
      <c r="U93" s="68"/>
    </row>
    <row r="94" spans="1:21" x14ac:dyDescent="0.3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7.25" thickBot="1" x14ac:dyDescent="0.3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7.25" thickBot="1" x14ac:dyDescent="0.3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H16" sqref="H1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7.25" thickBot="1" x14ac:dyDescent="0.35">
      <c r="A2" s="344" t="s">
        <v>203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103</v>
      </c>
      <c r="K2" s="346"/>
      <c r="L2" s="348" t="s">
        <v>96</v>
      </c>
      <c r="M2" s="349"/>
      <c r="N2" s="347"/>
      <c r="O2" s="345" t="s">
        <v>98</v>
      </c>
      <c r="P2" s="345"/>
      <c r="Q2" s="346"/>
      <c r="R2" s="348" t="s">
        <v>51</v>
      </c>
      <c r="S2" s="347"/>
      <c r="T2" s="336">
        <v>6</v>
      </c>
      <c r="U2" s="33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37" t="s">
        <v>8</v>
      </c>
      <c r="P4" s="337"/>
      <c r="Q4" s="33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12084</v>
      </c>
      <c r="C5" s="59" t="s">
        <v>210</v>
      </c>
      <c r="D5" s="190" t="s">
        <v>211</v>
      </c>
      <c r="E5" s="171" t="s">
        <v>92</v>
      </c>
      <c r="F5" s="160">
        <v>840</v>
      </c>
      <c r="G5" s="109" t="s">
        <v>123</v>
      </c>
      <c r="H5" s="82">
        <v>75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89"/>
      <c r="P5" s="390"/>
      <c r="Q5" s="391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12085</v>
      </c>
      <c r="C6" s="58" t="s">
        <v>212</v>
      </c>
      <c r="D6" s="190" t="s">
        <v>213</v>
      </c>
      <c r="E6" s="171" t="s">
        <v>91</v>
      </c>
      <c r="F6" s="161">
        <v>845</v>
      </c>
      <c r="G6" s="109" t="s">
        <v>214</v>
      </c>
      <c r="H6" s="82"/>
      <c r="I6" s="115"/>
      <c r="J6" s="120" t="str">
        <f t="shared" ref="J6:J29" si="1">IF(G6="RSL","55","0")</f>
        <v>0</v>
      </c>
      <c r="K6" s="120">
        <v>62.5</v>
      </c>
      <c r="L6" s="121"/>
      <c r="M6" s="121"/>
      <c r="N6" s="124" t="s">
        <v>98</v>
      </c>
      <c r="O6" s="338" t="s">
        <v>215</v>
      </c>
      <c r="P6" s="339"/>
      <c r="Q6" s="340"/>
      <c r="R6" s="32" t="s">
        <v>100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276">
        <v>12086</v>
      </c>
      <c r="C7" s="277" t="s">
        <v>216</v>
      </c>
      <c r="D7" s="278" t="s">
        <v>217</v>
      </c>
      <c r="E7" s="279" t="s">
        <v>92</v>
      </c>
      <c r="F7" s="280">
        <v>900</v>
      </c>
      <c r="G7" s="276" t="s">
        <v>105</v>
      </c>
      <c r="H7" s="281"/>
      <c r="I7" s="281">
        <v>75</v>
      </c>
      <c r="J7" s="281" t="str">
        <f t="shared" si="1"/>
        <v>0</v>
      </c>
      <c r="K7" s="281" t="str">
        <f t="shared" ref="K7:K29" si="2">IF(G7="GVS","37.5",IF(G7="GVM","41.5",IF(G7="GVL","50",IF(G7="PCS","45.8",IF(G7="PCM","50",IF(G7="PCL","58.3","0"))))))</f>
        <v>0</v>
      </c>
      <c r="L7" s="282"/>
      <c r="M7" s="282"/>
      <c r="N7" s="283" t="s">
        <v>98</v>
      </c>
      <c r="O7" s="392" t="s">
        <v>231</v>
      </c>
      <c r="P7" s="393"/>
      <c r="Q7" s="394"/>
      <c r="R7" s="122" t="s">
        <v>173</v>
      </c>
      <c r="S7" s="30">
        <v>0.375</v>
      </c>
      <c r="T7" s="31">
        <v>0.60416666666666663</v>
      </c>
      <c r="U7" s="83">
        <f t="shared" si="0"/>
        <v>5.4999999999999991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12087</v>
      </c>
      <c r="C8" s="26" t="s">
        <v>220</v>
      </c>
      <c r="D8" s="190" t="s">
        <v>221</v>
      </c>
      <c r="E8" s="171" t="s">
        <v>92</v>
      </c>
      <c r="F8" s="161">
        <v>100</v>
      </c>
      <c r="G8" s="109" t="s">
        <v>105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41"/>
      <c r="P8" s="342"/>
      <c r="Q8" s="343"/>
      <c r="R8" s="124" t="s">
        <v>99</v>
      </c>
      <c r="S8" s="30">
        <v>0.35416666666666669</v>
      </c>
      <c r="T8" s="31">
        <v>0.48958333333333331</v>
      </c>
      <c r="U8" s="83">
        <f t="shared" si="0"/>
        <v>3.2499999999999991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12088</v>
      </c>
      <c r="C9" s="54" t="s">
        <v>218</v>
      </c>
      <c r="D9" s="191" t="s">
        <v>219</v>
      </c>
      <c r="E9" s="171" t="s">
        <v>92</v>
      </c>
      <c r="F9" s="162">
        <v>1040</v>
      </c>
      <c r="G9" s="110" t="s">
        <v>105</v>
      </c>
      <c r="H9" s="82">
        <v>95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41"/>
      <c r="P9" s="342"/>
      <c r="Q9" s="343"/>
      <c r="R9" s="124" t="s">
        <v>174</v>
      </c>
      <c r="S9" s="30">
        <v>0.36458333333333331</v>
      </c>
      <c r="T9" s="31">
        <v>0.48958333333333331</v>
      </c>
      <c r="U9" s="83">
        <f t="shared" si="0"/>
        <v>3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260">
        <v>12089</v>
      </c>
      <c r="C10" s="257" t="s">
        <v>222</v>
      </c>
      <c r="D10" s="258" t="s">
        <v>223</v>
      </c>
      <c r="E10" s="252" t="s">
        <v>92</v>
      </c>
      <c r="F10" s="259">
        <v>1100</v>
      </c>
      <c r="G10" s="275" t="s">
        <v>108</v>
      </c>
      <c r="H10" s="266"/>
      <c r="I10" s="266"/>
      <c r="J10" s="254" t="str">
        <f t="shared" si="1"/>
        <v>0</v>
      </c>
      <c r="K10" s="254">
        <v>79.099999999999994</v>
      </c>
      <c r="L10" s="255"/>
      <c r="M10" s="255">
        <v>475</v>
      </c>
      <c r="N10" s="256" t="s">
        <v>98</v>
      </c>
      <c r="O10" s="377" t="s">
        <v>224</v>
      </c>
      <c r="P10" s="378"/>
      <c r="Q10" s="379"/>
      <c r="R10" s="25" t="s">
        <v>102</v>
      </c>
      <c r="S10" s="30">
        <v>0.45833333333333331</v>
      </c>
      <c r="T10" s="31">
        <v>0.60416666666666663</v>
      </c>
      <c r="U10" s="83">
        <f t="shared" si="0"/>
        <v>3.4999999999999996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12090</v>
      </c>
      <c r="C11" s="17" t="s">
        <v>227</v>
      </c>
      <c r="D11" s="193" t="s">
        <v>228</v>
      </c>
      <c r="E11" s="171" t="s">
        <v>92</v>
      </c>
      <c r="F11" s="57">
        <v>1205</v>
      </c>
      <c r="G11" s="112" t="s">
        <v>123</v>
      </c>
      <c r="H11" s="114"/>
      <c r="I11" s="115">
        <v>55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11"/>
      <c r="P11" s="310"/>
      <c r="Q11" s="312"/>
      <c r="R11" s="25"/>
      <c r="S11" s="30">
        <v>0.66666666666666663</v>
      </c>
      <c r="T11" s="31">
        <v>0.70833333333333337</v>
      </c>
      <c r="U11" s="83">
        <f t="shared" si="0"/>
        <v>1.0000000000000018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12091</v>
      </c>
      <c r="C12" s="55" t="s">
        <v>229</v>
      </c>
      <c r="D12" s="194" t="s">
        <v>230</v>
      </c>
      <c r="E12" s="171" t="s">
        <v>92</v>
      </c>
      <c r="F12" s="163">
        <v>1210</v>
      </c>
      <c r="G12" s="110" t="s">
        <v>105</v>
      </c>
      <c r="H12" s="114">
        <v>95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11"/>
      <c r="P12" s="310"/>
      <c r="Q12" s="31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12092</v>
      </c>
      <c r="C13" s="55" t="s">
        <v>225</v>
      </c>
      <c r="D13" s="194" t="s">
        <v>226</v>
      </c>
      <c r="E13" s="171" t="s">
        <v>92</v>
      </c>
      <c r="F13" s="163">
        <v>1225</v>
      </c>
      <c r="G13" s="110" t="s">
        <v>120</v>
      </c>
      <c r="H13" s="159">
        <v>150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311"/>
      <c r="P13" s="310"/>
      <c r="Q13" s="312"/>
      <c r="R13" s="25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12093</v>
      </c>
      <c r="C14" s="56" t="s">
        <v>232</v>
      </c>
      <c r="D14" s="195" t="s">
        <v>233</v>
      </c>
      <c r="E14" s="171" t="s">
        <v>91</v>
      </c>
      <c r="F14" s="164">
        <v>1540</v>
      </c>
      <c r="G14" s="113" t="s">
        <v>108</v>
      </c>
      <c r="H14" s="114"/>
      <c r="I14" s="116"/>
      <c r="J14" s="120" t="str">
        <f t="shared" si="1"/>
        <v>0</v>
      </c>
      <c r="K14" s="120">
        <v>79.099999999999994</v>
      </c>
      <c r="L14" s="121"/>
      <c r="M14" s="121"/>
      <c r="N14" s="124" t="s">
        <v>98</v>
      </c>
      <c r="O14" s="311" t="s">
        <v>234</v>
      </c>
      <c r="P14" s="310"/>
      <c r="Q14" s="31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12094</v>
      </c>
      <c r="C15" s="56" t="s">
        <v>235</v>
      </c>
      <c r="D15" s="195" t="s">
        <v>236</v>
      </c>
      <c r="E15" s="171" t="s">
        <v>91</v>
      </c>
      <c r="F15" s="164">
        <v>1620</v>
      </c>
      <c r="G15" s="113" t="s">
        <v>105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311"/>
      <c r="P15" s="310"/>
      <c r="Q15" s="31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311"/>
      <c r="P16" s="310"/>
      <c r="Q16" s="312"/>
      <c r="R16" s="73">
        <f>H32/U16</f>
        <v>0.32116788321167883</v>
      </c>
      <c r="S16" s="74">
        <f>H32/(U16-U5)</f>
        <v>0.43564356435643564</v>
      </c>
      <c r="T16" s="74">
        <f>C32/U16</f>
        <v>27.903649635036498</v>
      </c>
      <c r="U16" s="74">
        <f>SUM(U5:U15)</f>
        <v>34.25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311"/>
      <c r="P17" s="310"/>
      <c r="Q17" s="31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311"/>
      <c r="P18" s="310"/>
      <c r="Q18" s="31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311"/>
      <c r="P19" s="310"/>
      <c r="Q19" s="310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85"/>
      <c r="P20" s="386"/>
      <c r="Q20" s="386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311"/>
      <c r="P21" s="310"/>
      <c r="Q21" s="31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311"/>
      <c r="P22" s="310"/>
      <c r="Q22" s="31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80"/>
      <c r="Y23" s="381"/>
      <c r="Z23" s="381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311"/>
      <c r="P24" s="310"/>
      <c r="Q24" s="31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311"/>
      <c r="P25" s="310"/>
      <c r="Q25" s="31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87">
        <f>((C32+(R26+S26+T26)*0.5))</f>
        <v>955.7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311"/>
      <c r="P26" s="310"/>
      <c r="Q26" s="312"/>
      <c r="R26" s="103">
        <f>R25*37.5</f>
        <v>0</v>
      </c>
      <c r="S26" s="93">
        <f>S25*41.5</f>
        <v>0</v>
      </c>
      <c r="T26" s="93">
        <f>T25*50</f>
        <v>0</v>
      </c>
      <c r="U26" s="388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311"/>
      <c r="P27" s="310"/>
      <c r="Q27" s="312"/>
      <c r="R27" s="374" t="s">
        <v>56</v>
      </c>
      <c r="S27" s="375"/>
      <c r="T27" s="375"/>
      <c r="U27" s="37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311"/>
      <c r="P28" s="310"/>
      <c r="Q28" s="312"/>
      <c r="R28" s="367"/>
      <c r="S28" s="368"/>
      <c r="T28" s="36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54"/>
      <c r="P29" s="355"/>
      <c r="Q29" s="356"/>
      <c r="R29" s="357"/>
      <c r="S29" s="358"/>
      <c r="T29" s="359"/>
      <c r="U29" s="140"/>
      <c r="X29" s="14">
        <v>3</v>
      </c>
      <c r="Z29" s="45"/>
      <c r="AE29" s="39"/>
    </row>
    <row r="30" spans="1:44" ht="16.5" customHeight="1" thickBot="1" x14ac:dyDescent="0.35">
      <c r="A30" s="360" t="s">
        <v>48</v>
      </c>
      <c r="B30" s="361"/>
      <c r="C30" s="361"/>
      <c r="D30" s="361"/>
      <c r="E30" s="362"/>
      <c r="F30" s="361"/>
      <c r="G30" s="361"/>
      <c r="H30" s="201">
        <f t="shared" ref="H30:M30" si="3">SUM(H5:H29)</f>
        <v>510</v>
      </c>
      <c r="I30" s="96">
        <f>SUM(I5:I29)</f>
        <v>225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220.7</v>
      </c>
      <c r="L30" s="97">
        <f t="shared" si="3"/>
        <v>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63"/>
      <c r="S30" s="363"/>
      <c r="T30" s="364"/>
      <c r="U30" s="141"/>
      <c r="X30" s="14">
        <v>4</v>
      </c>
      <c r="Z30" s="45"/>
      <c r="AD30" s="46"/>
    </row>
    <row r="31" spans="1:44" x14ac:dyDescent="0.3">
      <c r="A31" s="365" t="s">
        <v>16</v>
      </c>
      <c r="B31" s="366"/>
      <c r="C31" s="366"/>
      <c r="D31" s="366"/>
      <c r="E31" s="366"/>
      <c r="F31" s="366"/>
      <c r="G31" s="366"/>
      <c r="H31" s="202">
        <f t="shared" ref="H31:J31" si="4">H30+H62+H94</f>
        <v>510</v>
      </c>
      <c r="I31" s="94">
        <f t="shared" si="4"/>
        <v>225</v>
      </c>
      <c r="J31" s="94">
        <f t="shared" si="4"/>
        <v>0</v>
      </c>
      <c r="K31" s="94">
        <f>K30+K62+K94</f>
        <v>220.7</v>
      </c>
      <c r="L31" s="88">
        <f>L30+L62+L94</f>
        <v>0</v>
      </c>
      <c r="M31" s="88">
        <f>M30+M62+M94</f>
        <v>475</v>
      </c>
      <c r="N31" s="207">
        <f>COUNT(H5:H29,H37:H61,H69:H93)</f>
        <v>5</v>
      </c>
      <c r="O31" s="95">
        <f>COUNT(I5:I29,I37:I61,I69:I93)</f>
        <v>3</v>
      </c>
      <c r="P31" s="95">
        <f>COUNTIF(G5:G29,"G*")+COUNTIF(G37:G61,"G*")+COUNTIF(G69:G93,"G*")+COUNTIF(G5:G29,"P*")+COUNTIF(G37:G61,"P*")+COUNTIF(G69:G93,"P*")</f>
        <v>3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510</v>
      </c>
      <c r="T31" s="350">
        <f>H31+I31+L31+M31</f>
        <v>1210</v>
      </c>
      <c r="U31" s="35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70" t="s">
        <v>55</v>
      </c>
      <c r="B32" s="371"/>
      <c r="C32" s="98">
        <f>H31+I31+J31+K31</f>
        <v>955.7</v>
      </c>
      <c r="D32" s="186"/>
      <c r="E32" s="98"/>
      <c r="F32" s="372" t="s">
        <v>53</v>
      </c>
      <c r="G32" s="372"/>
      <c r="H32" s="100">
        <f>COUNT(B5:B29,B37:B61,B69:B93)</f>
        <v>11</v>
      </c>
      <c r="I32" s="373" t="s">
        <v>54</v>
      </c>
      <c r="J32" s="373"/>
      <c r="K32" s="99">
        <f>C32/H32</f>
        <v>86.88181818181819</v>
      </c>
      <c r="L32" s="208"/>
      <c r="M32" s="208"/>
      <c r="N32" s="208">
        <f>H31/C32</f>
        <v>0.53364026368107143</v>
      </c>
      <c r="O32" s="208">
        <f>I31/C32</f>
        <v>0.23542952809459033</v>
      </c>
      <c r="P32" s="208">
        <f>K31/C32</f>
        <v>0.23093020822433816</v>
      </c>
      <c r="Q32" s="101">
        <f>J31/C32</f>
        <v>0</v>
      </c>
      <c r="R32" s="90" t="s">
        <v>82</v>
      </c>
      <c r="S32" s="203">
        <f>I31+M31</f>
        <v>700</v>
      </c>
      <c r="T32" s="352"/>
      <c r="U32" s="353"/>
      <c r="V32" s="39"/>
      <c r="W32" s="39"/>
      <c r="X32" s="48" t="s">
        <v>27</v>
      </c>
      <c r="Y32" s="48"/>
      <c r="Z32" s="47">
        <f>I31</f>
        <v>225</v>
      </c>
    </row>
    <row r="33" spans="1:33" ht="17.25" thickBot="1" x14ac:dyDescent="0.3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49" t="s">
        <v>29</v>
      </c>
      <c r="Y33" s="49"/>
      <c r="Z33" s="50">
        <f>SUM(Z31:Z32)</f>
        <v>-2520</v>
      </c>
      <c r="AG33" s="35"/>
    </row>
    <row r="34" spans="1:33" ht="17.25" thickBot="1" x14ac:dyDescent="0.35">
      <c r="A34" s="344" t="str">
        <f>A2</f>
        <v>9 - 11 - 2022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SUNNY</v>
      </c>
      <c r="K34" s="346"/>
      <c r="L34" s="348" t="s">
        <v>50</v>
      </c>
      <c r="M34" s="349"/>
      <c r="N34" s="347"/>
      <c r="O34" s="345" t="str">
        <f>O2</f>
        <v>JOHN</v>
      </c>
      <c r="P34" s="345"/>
      <c r="Q34" s="346"/>
      <c r="R34" s="348" t="s">
        <v>51</v>
      </c>
      <c r="S34" s="347"/>
      <c r="T34" s="336">
        <f>T2</f>
        <v>6</v>
      </c>
      <c r="U34" s="33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37" t="s">
        <v>8</v>
      </c>
      <c r="P36" s="337"/>
      <c r="Q36" s="33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1"/>
      <c r="P37" s="310"/>
      <c r="Q37" s="31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38"/>
      <c r="P38" s="339"/>
      <c r="Q38" s="34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1"/>
      <c r="P39" s="310"/>
      <c r="Q39" s="31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41"/>
      <c r="P40" s="342"/>
      <c r="Q40" s="34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41"/>
      <c r="P41" s="342"/>
      <c r="Q41" s="34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33"/>
      <c r="P42" s="334"/>
      <c r="Q42" s="33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1"/>
      <c r="P43" s="310"/>
      <c r="Q43" s="31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1"/>
      <c r="P44" s="310"/>
      <c r="Q44" s="31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1"/>
      <c r="P45" s="310"/>
      <c r="Q45" s="31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1"/>
      <c r="P46" s="310"/>
      <c r="Q46" s="31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1"/>
      <c r="P47" s="310"/>
      <c r="Q47" s="31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1"/>
      <c r="P48" s="310"/>
      <c r="Q48" s="31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1"/>
      <c r="P49" s="310"/>
      <c r="Q49" s="31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1"/>
      <c r="P50" s="310"/>
      <c r="Q50" s="31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1"/>
      <c r="P51" s="310"/>
      <c r="Q51" s="31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1"/>
      <c r="P52" s="310"/>
      <c r="Q52" s="31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2"/>
      <c r="P53" s="311"/>
      <c r="Q53" s="31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2"/>
      <c r="P54" s="311"/>
      <c r="Q54" s="31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2"/>
      <c r="P55" s="311"/>
      <c r="Q55" s="31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0"/>
      <c r="P56" s="310"/>
      <c r="Q56" s="31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1"/>
      <c r="P57" s="310"/>
      <c r="Q57" s="31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0"/>
      <c r="P58" s="310"/>
      <c r="Q58" s="31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0"/>
      <c r="P59" s="310"/>
      <c r="Q59" s="31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1"/>
      <c r="P60" s="310"/>
      <c r="Q60" s="31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3"/>
      <c r="P61" s="314"/>
      <c r="Q61" s="315"/>
      <c r="R61" s="72"/>
      <c r="S61" s="59"/>
      <c r="T61" s="59"/>
      <c r="U61" s="68"/>
    </row>
    <row r="62" spans="1:21" x14ac:dyDescent="0.3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7.25" thickBot="1" x14ac:dyDescent="0.3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7.25" thickBot="1" x14ac:dyDescent="0.3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7.25" thickBot="1" x14ac:dyDescent="0.3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7.25" thickBot="1" x14ac:dyDescent="0.35">
      <c r="A66" s="344" t="str">
        <f>A34</f>
        <v>9 - 11 - 2022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SUNNY</v>
      </c>
      <c r="K66" s="346"/>
      <c r="L66" s="348" t="s">
        <v>50</v>
      </c>
      <c r="M66" s="349"/>
      <c r="N66" s="347"/>
      <c r="O66" s="345" t="str">
        <f>O34</f>
        <v>JOHN</v>
      </c>
      <c r="P66" s="345"/>
      <c r="Q66" s="346"/>
      <c r="R66" s="348" t="s">
        <v>51</v>
      </c>
      <c r="S66" s="347"/>
      <c r="T66" s="336">
        <f>T34</f>
        <v>6</v>
      </c>
      <c r="U66" s="33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37" t="s">
        <v>8</v>
      </c>
      <c r="P68" s="337"/>
      <c r="Q68" s="33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1"/>
      <c r="P69" s="310"/>
      <c r="Q69" s="31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38"/>
      <c r="P70" s="339"/>
      <c r="Q70" s="34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1"/>
      <c r="P71" s="310"/>
      <c r="Q71" s="31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41"/>
      <c r="P72" s="342"/>
      <c r="Q72" s="34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41"/>
      <c r="P73" s="342"/>
      <c r="Q73" s="34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33"/>
      <c r="P74" s="334"/>
      <c r="Q74" s="33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1"/>
      <c r="P75" s="310"/>
      <c r="Q75" s="31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1"/>
      <c r="P76" s="310"/>
      <c r="Q76" s="31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1"/>
      <c r="P77" s="310"/>
      <c r="Q77" s="31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1"/>
      <c r="P78" s="310"/>
      <c r="Q78" s="31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1"/>
      <c r="P79" s="310"/>
      <c r="Q79" s="31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1"/>
      <c r="P80" s="310"/>
      <c r="Q80" s="31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1"/>
      <c r="P81" s="310"/>
      <c r="Q81" s="31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1"/>
      <c r="P82" s="310"/>
      <c r="Q82" s="31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1"/>
      <c r="P83" s="310"/>
      <c r="Q83" s="31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1"/>
      <c r="P84" s="310"/>
      <c r="Q84" s="31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2"/>
      <c r="P85" s="311"/>
      <c r="Q85" s="31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2"/>
      <c r="P86" s="311"/>
      <c r="Q86" s="31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2"/>
      <c r="P87" s="311"/>
      <c r="Q87" s="31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0"/>
      <c r="P88" s="310"/>
      <c r="Q88" s="31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1"/>
      <c r="P89" s="310"/>
      <c r="Q89" s="31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0"/>
      <c r="P90" s="310"/>
      <c r="Q90" s="31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0"/>
      <c r="P91" s="310"/>
      <c r="Q91" s="31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1"/>
      <c r="P92" s="310"/>
      <c r="Q92" s="31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3"/>
      <c r="P93" s="314"/>
      <c r="Q93" s="315"/>
      <c r="R93" s="72"/>
      <c r="S93" s="59"/>
      <c r="T93" s="59"/>
      <c r="U93" s="68"/>
    </row>
    <row r="94" spans="1:21" x14ac:dyDescent="0.3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7.25" thickBot="1" x14ac:dyDescent="0.3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7.25" thickBot="1" x14ac:dyDescent="0.3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tabSelected="1" zoomScaleNormal="100" zoomScaleSheetLayoutView="77" workbookViewId="0">
      <selection activeCell="G18" sqref="G1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7.25" thickBot="1" x14ac:dyDescent="0.35">
      <c r="A2" s="344" t="s">
        <v>237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194</v>
      </c>
      <c r="K2" s="346"/>
      <c r="L2" s="348" t="s">
        <v>96</v>
      </c>
      <c r="M2" s="349"/>
      <c r="N2" s="347"/>
      <c r="O2" s="345" t="s">
        <v>98</v>
      </c>
      <c r="P2" s="345"/>
      <c r="Q2" s="346"/>
      <c r="R2" s="348" t="s">
        <v>51</v>
      </c>
      <c r="S2" s="347"/>
      <c r="T2" s="336">
        <v>6</v>
      </c>
      <c r="U2" s="33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37" t="s">
        <v>8</v>
      </c>
      <c r="P4" s="337"/>
      <c r="Q4" s="33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12095</v>
      </c>
      <c r="C5" s="59" t="s">
        <v>240</v>
      </c>
      <c r="D5" s="190" t="s">
        <v>241</v>
      </c>
      <c r="E5" s="171" t="s">
        <v>92</v>
      </c>
      <c r="F5" s="160">
        <v>835</v>
      </c>
      <c r="G5" s="109" t="s">
        <v>123</v>
      </c>
      <c r="H5" s="82">
        <v>55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2" t="s">
        <v>100</v>
      </c>
      <c r="O5" s="389" t="s">
        <v>292</v>
      </c>
      <c r="P5" s="390"/>
      <c r="Q5" s="391"/>
      <c r="R5" s="32" t="s">
        <v>98</v>
      </c>
      <c r="S5" s="30">
        <v>0.36458333333333331</v>
      </c>
      <c r="T5" s="31">
        <v>0.69791666666666663</v>
      </c>
      <c r="U5" s="83">
        <f t="shared" ref="U5:U15" si="0">(T5-S5)*24</f>
        <v>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12096</v>
      </c>
      <c r="C6" s="58" t="s">
        <v>242</v>
      </c>
      <c r="D6" s="190" t="s">
        <v>243</v>
      </c>
      <c r="E6" s="171" t="s">
        <v>91</v>
      </c>
      <c r="F6" s="161">
        <v>900</v>
      </c>
      <c r="G6" s="109" t="s">
        <v>108</v>
      </c>
      <c r="H6" s="82"/>
      <c r="I6" s="115"/>
      <c r="J6" s="120" t="str">
        <f t="shared" ref="J6:J29" si="1">IF(G6="RSL","55","0")</f>
        <v>0</v>
      </c>
      <c r="K6" s="120">
        <v>79.099999999999994</v>
      </c>
      <c r="L6" s="121"/>
      <c r="M6" s="121"/>
      <c r="N6" s="122" t="s">
        <v>100</v>
      </c>
      <c r="O6" s="338" t="s">
        <v>244</v>
      </c>
      <c r="P6" s="339"/>
      <c r="Q6" s="340"/>
      <c r="R6" s="122" t="s">
        <v>100</v>
      </c>
      <c r="S6" s="30">
        <v>0.33333333333333331</v>
      </c>
      <c r="T6" s="31">
        <v>0.69791666666666663</v>
      </c>
      <c r="U6" s="83">
        <f t="shared" si="0"/>
        <v>8.75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12097</v>
      </c>
      <c r="C7" s="58" t="s">
        <v>245</v>
      </c>
      <c r="D7" s="190" t="s">
        <v>246</v>
      </c>
      <c r="E7" s="171" t="s">
        <v>91</v>
      </c>
      <c r="F7" s="161">
        <v>900</v>
      </c>
      <c r="G7" s="109" t="s">
        <v>108</v>
      </c>
      <c r="H7" s="82"/>
      <c r="I7" s="115"/>
      <c r="J7" s="120" t="str">
        <f t="shared" si="1"/>
        <v>0</v>
      </c>
      <c r="K7" s="120">
        <v>79.099999999999994</v>
      </c>
      <c r="L7" s="121"/>
      <c r="M7" s="121"/>
      <c r="N7" s="122" t="s">
        <v>100</v>
      </c>
      <c r="O7" s="311" t="s">
        <v>247</v>
      </c>
      <c r="P7" s="310"/>
      <c r="Q7" s="312"/>
      <c r="R7" s="124" t="s">
        <v>174</v>
      </c>
      <c r="S7" s="30">
        <v>0.35416666666666669</v>
      </c>
      <c r="T7" s="31">
        <v>0.69791666666666663</v>
      </c>
      <c r="U7" s="83">
        <f t="shared" si="0"/>
        <v>8.2499999999999982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12098</v>
      </c>
      <c r="C8" s="26" t="s">
        <v>248</v>
      </c>
      <c r="D8" s="190" t="s">
        <v>249</v>
      </c>
      <c r="E8" s="171" t="s">
        <v>92</v>
      </c>
      <c r="F8" s="161">
        <v>900</v>
      </c>
      <c r="G8" s="109" t="s">
        <v>123</v>
      </c>
      <c r="H8" s="82">
        <v>75</v>
      </c>
      <c r="I8" s="115"/>
      <c r="J8" s="120" t="str">
        <f t="shared" si="1"/>
        <v>0</v>
      </c>
      <c r="K8" s="120" t="str">
        <f t="shared" ref="K8:K29" si="2">IF(G8="GVS","37.5",IF(G8="GVM","41.5",IF(G8="GVL","50",IF(G8="PCS","45.8",IF(G8="PCM","50",IF(G8="PCL","58.3","0"))))))</f>
        <v>0</v>
      </c>
      <c r="L8" s="121"/>
      <c r="M8" s="121"/>
      <c r="N8" s="122" t="s">
        <v>100</v>
      </c>
      <c r="O8" s="341"/>
      <c r="P8" s="342"/>
      <c r="Q8" s="343"/>
      <c r="R8" s="25" t="s">
        <v>173</v>
      </c>
      <c r="S8" s="30">
        <v>0.375</v>
      </c>
      <c r="T8" s="31">
        <v>0.66666666666666663</v>
      </c>
      <c r="U8" s="83">
        <f t="shared" si="0"/>
        <v>6.9999999999999991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12099</v>
      </c>
      <c r="C9" s="54" t="s">
        <v>250</v>
      </c>
      <c r="D9" s="191"/>
      <c r="E9" s="171" t="s">
        <v>91</v>
      </c>
      <c r="F9" s="162">
        <v>915</v>
      </c>
      <c r="G9" s="110" t="s">
        <v>123</v>
      </c>
      <c r="H9" s="82"/>
      <c r="I9" s="82">
        <v>55</v>
      </c>
      <c r="J9" s="120" t="str">
        <f t="shared" si="1"/>
        <v>0</v>
      </c>
      <c r="K9" s="120" t="str">
        <f t="shared" si="2"/>
        <v>0</v>
      </c>
      <c r="L9" s="121"/>
      <c r="M9" s="121"/>
      <c r="N9" s="122" t="s">
        <v>100</v>
      </c>
      <c r="O9" s="341"/>
      <c r="P9" s="342"/>
      <c r="Q9" s="343"/>
      <c r="R9" s="25" t="s">
        <v>102</v>
      </c>
      <c r="S9" s="30">
        <v>0.45833333333333331</v>
      </c>
      <c r="T9" s="31">
        <v>0.69791666666666663</v>
      </c>
      <c r="U9" s="83">
        <f t="shared" si="0"/>
        <v>5.75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12100</v>
      </c>
      <c r="C10" s="27" t="s">
        <v>251</v>
      </c>
      <c r="D10" s="192" t="s">
        <v>252</v>
      </c>
      <c r="E10" s="171" t="s">
        <v>92</v>
      </c>
      <c r="F10" s="163">
        <v>940</v>
      </c>
      <c r="G10" s="111" t="s">
        <v>157</v>
      </c>
      <c r="H10" s="114"/>
      <c r="I10" s="116">
        <v>45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33"/>
      <c r="P10" s="334"/>
      <c r="Q10" s="335"/>
      <c r="R10" s="25" t="s">
        <v>238</v>
      </c>
      <c r="S10" s="30">
        <v>0.40625</v>
      </c>
      <c r="T10" s="31">
        <v>0.69791666666666663</v>
      </c>
      <c r="U10" s="83">
        <f t="shared" si="0"/>
        <v>6.9999999999999991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12101</v>
      </c>
      <c r="C11" s="17" t="s">
        <v>253</v>
      </c>
      <c r="D11" s="193" t="s">
        <v>254</v>
      </c>
      <c r="E11" s="171" t="s">
        <v>92</v>
      </c>
      <c r="F11" s="57">
        <v>1000</v>
      </c>
      <c r="G11" s="112" t="s">
        <v>105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11"/>
      <c r="P11" s="310"/>
      <c r="Q11" s="312"/>
      <c r="R11" s="284" t="s">
        <v>239</v>
      </c>
      <c r="S11" s="30">
        <v>0.4375</v>
      </c>
      <c r="T11" s="31">
        <v>0.69791666666666663</v>
      </c>
      <c r="U11" s="83">
        <f t="shared" si="0"/>
        <v>6.2499999999999991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12102</v>
      </c>
      <c r="C12" s="55" t="s">
        <v>255</v>
      </c>
      <c r="D12" s="194" t="s">
        <v>256</v>
      </c>
      <c r="E12" s="171" t="s">
        <v>92</v>
      </c>
      <c r="F12" s="163">
        <v>1010</v>
      </c>
      <c r="G12" s="110" t="s">
        <v>105</v>
      </c>
      <c r="H12" s="114">
        <v>95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11"/>
      <c r="P12" s="310"/>
      <c r="Q12" s="31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12103</v>
      </c>
      <c r="C13" s="55" t="s">
        <v>257</v>
      </c>
      <c r="D13" s="194" t="s">
        <v>258</v>
      </c>
      <c r="E13" s="171" t="s">
        <v>92</v>
      </c>
      <c r="F13" s="163">
        <v>1020</v>
      </c>
      <c r="G13" s="110" t="s">
        <v>108</v>
      </c>
      <c r="H13" s="159"/>
      <c r="I13" s="158"/>
      <c r="J13" s="120" t="str">
        <f t="shared" si="1"/>
        <v>0</v>
      </c>
      <c r="K13" s="120">
        <v>79.099999999999994</v>
      </c>
      <c r="L13" s="121"/>
      <c r="M13" s="121"/>
      <c r="N13" s="124" t="s">
        <v>98</v>
      </c>
      <c r="O13" s="311" t="s">
        <v>259</v>
      </c>
      <c r="P13" s="310"/>
      <c r="Q13" s="31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12104</v>
      </c>
      <c r="C14" s="56" t="s">
        <v>260</v>
      </c>
      <c r="D14" s="195" t="s">
        <v>261</v>
      </c>
      <c r="E14" s="171" t="s">
        <v>92</v>
      </c>
      <c r="F14" s="164">
        <v>1030</v>
      </c>
      <c r="G14" s="113" t="s">
        <v>105</v>
      </c>
      <c r="H14" s="114">
        <v>95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311"/>
      <c r="P14" s="310"/>
      <c r="Q14" s="31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249">
        <v>12105</v>
      </c>
      <c r="C15" s="263" t="s">
        <v>264</v>
      </c>
      <c r="D15" s="264" t="s">
        <v>265</v>
      </c>
      <c r="E15" s="252" t="s">
        <v>92</v>
      </c>
      <c r="F15" s="265">
        <v>1040</v>
      </c>
      <c r="G15" s="249" t="s">
        <v>108</v>
      </c>
      <c r="H15" s="266"/>
      <c r="I15" s="254"/>
      <c r="J15" s="254" t="str">
        <f t="shared" si="1"/>
        <v>0</v>
      </c>
      <c r="K15" s="254">
        <v>79.099999999999994</v>
      </c>
      <c r="L15" s="255"/>
      <c r="M15" s="255">
        <v>475</v>
      </c>
      <c r="N15" s="256" t="s">
        <v>98</v>
      </c>
      <c r="O15" s="377" t="s">
        <v>266</v>
      </c>
      <c r="P15" s="378"/>
      <c r="Q15" s="379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12106</v>
      </c>
      <c r="C16" s="56" t="s">
        <v>262</v>
      </c>
      <c r="D16" s="195" t="s">
        <v>263</v>
      </c>
      <c r="E16" s="171" t="s">
        <v>92</v>
      </c>
      <c r="F16" s="164">
        <v>1040</v>
      </c>
      <c r="G16" s="113" t="s">
        <v>105</v>
      </c>
      <c r="H16" s="114"/>
      <c r="I16" s="115">
        <v>150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11"/>
      <c r="P16" s="310"/>
      <c r="Q16" s="312"/>
      <c r="R16" s="73">
        <f>H32/U16</f>
        <v>0.47058823529411764</v>
      </c>
      <c r="S16" s="74">
        <f>H32/(U16-U5)</f>
        <v>0.55813953488372092</v>
      </c>
      <c r="T16" s="74">
        <f>C32/U16</f>
        <v>42.831372549019612</v>
      </c>
      <c r="U16" s="74">
        <f>SUM(U5:U15)</f>
        <v>51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12107</v>
      </c>
      <c r="C17" s="17" t="s">
        <v>267</v>
      </c>
      <c r="D17" s="193" t="s">
        <v>268</v>
      </c>
      <c r="E17" s="171" t="s">
        <v>92</v>
      </c>
      <c r="F17" s="57">
        <v>1105</v>
      </c>
      <c r="G17" s="112" t="s">
        <v>120</v>
      </c>
      <c r="H17" s="114"/>
      <c r="I17" s="115">
        <v>150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11"/>
      <c r="P17" s="310"/>
      <c r="Q17" s="31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12108</v>
      </c>
      <c r="C18" s="17" t="s">
        <v>269</v>
      </c>
      <c r="D18" s="193" t="s">
        <v>270</v>
      </c>
      <c r="E18" s="171" t="s">
        <v>92</v>
      </c>
      <c r="F18" s="57">
        <v>1150</v>
      </c>
      <c r="G18" s="19" t="s">
        <v>105</v>
      </c>
      <c r="H18" s="114"/>
      <c r="I18" s="115">
        <v>95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311"/>
      <c r="P18" s="310"/>
      <c r="Q18" s="31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12109</v>
      </c>
      <c r="C19" s="17" t="s">
        <v>289</v>
      </c>
      <c r="D19" s="193" t="s">
        <v>290</v>
      </c>
      <c r="E19" s="171"/>
      <c r="F19" s="57">
        <v>1150</v>
      </c>
      <c r="G19" s="112" t="s">
        <v>120</v>
      </c>
      <c r="H19" s="114">
        <v>150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311"/>
      <c r="P19" s="310"/>
      <c r="Q19" s="310"/>
      <c r="R19" s="84" t="s">
        <v>45</v>
      </c>
      <c r="S19" s="85">
        <f>COUNT(L5:M29,L37:M61,L69:M93)</f>
        <v>1</v>
      </c>
      <c r="T19" s="107">
        <f>SUM(L5:M29,L37:M61,L69:M93)</f>
        <v>475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12110</v>
      </c>
      <c r="C20" s="17" t="s">
        <v>271</v>
      </c>
      <c r="D20" s="193" t="s">
        <v>272</v>
      </c>
      <c r="E20" s="171" t="s">
        <v>92</v>
      </c>
      <c r="F20" s="57">
        <v>1215</v>
      </c>
      <c r="G20" s="112" t="s">
        <v>105</v>
      </c>
      <c r="H20" s="114">
        <v>75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85"/>
      <c r="P20" s="386"/>
      <c r="Q20" s="386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12111</v>
      </c>
      <c r="C21" s="17" t="s">
        <v>273</v>
      </c>
      <c r="D21" s="193" t="s">
        <v>274</v>
      </c>
      <c r="E21" s="171" t="s">
        <v>92</v>
      </c>
      <c r="F21" s="57">
        <v>1230</v>
      </c>
      <c r="G21" s="19" t="s">
        <v>214</v>
      </c>
      <c r="H21" s="114"/>
      <c r="I21" s="115"/>
      <c r="J21" s="120" t="str">
        <f t="shared" si="1"/>
        <v>0</v>
      </c>
      <c r="K21" s="120">
        <v>61.5</v>
      </c>
      <c r="L21" s="121"/>
      <c r="M21" s="121"/>
      <c r="N21" s="124" t="s">
        <v>98</v>
      </c>
      <c r="O21" s="311" t="s">
        <v>275</v>
      </c>
      <c r="P21" s="310"/>
      <c r="Q21" s="31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12112</v>
      </c>
      <c r="C22" s="21" t="s">
        <v>278</v>
      </c>
      <c r="D22" s="196" t="s">
        <v>279</v>
      </c>
      <c r="E22" s="171" t="s">
        <v>92</v>
      </c>
      <c r="F22" s="165">
        <v>1315</v>
      </c>
      <c r="G22" s="204" t="s">
        <v>214</v>
      </c>
      <c r="H22" s="80"/>
      <c r="I22" s="131"/>
      <c r="J22" s="120" t="str">
        <f t="shared" si="1"/>
        <v>0</v>
      </c>
      <c r="K22" s="120">
        <v>61.5</v>
      </c>
      <c r="L22" s="60"/>
      <c r="M22" s="60"/>
      <c r="N22" s="124" t="s">
        <v>98</v>
      </c>
      <c r="O22" s="311" t="s">
        <v>280</v>
      </c>
      <c r="P22" s="310"/>
      <c r="Q22" s="31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12113</v>
      </c>
      <c r="C23" s="126" t="s">
        <v>276</v>
      </c>
      <c r="D23" s="197" t="s">
        <v>277</v>
      </c>
      <c r="E23" s="171" t="s">
        <v>91</v>
      </c>
      <c r="F23" s="166">
        <v>1320</v>
      </c>
      <c r="G23" s="155" t="s">
        <v>120</v>
      </c>
      <c r="H23" s="80"/>
      <c r="I23" s="131">
        <v>150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98</v>
      </c>
      <c r="O23" s="153"/>
      <c r="P23" s="154"/>
      <c r="Q23" s="149"/>
      <c r="R23" s="104"/>
      <c r="S23" s="105"/>
      <c r="T23" s="105"/>
      <c r="U23" s="106"/>
      <c r="X23" s="380"/>
      <c r="Y23" s="381"/>
      <c r="Z23" s="381"/>
    </row>
    <row r="24" spans="1:44" ht="16.5" customHeight="1" thickBot="1" x14ac:dyDescent="0.35">
      <c r="A24" s="125">
        <v>20</v>
      </c>
      <c r="B24" s="123">
        <v>12114</v>
      </c>
      <c r="C24" s="21" t="s">
        <v>283</v>
      </c>
      <c r="D24" s="196" t="s">
        <v>284</v>
      </c>
      <c r="E24" s="171" t="s">
        <v>92</v>
      </c>
      <c r="F24" s="165">
        <v>1320</v>
      </c>
      <c r="G24" s="204" t="s">
        <v>120</v>
      </c>
      <c r="H24" s="80"/>
      <c r="I24" s="131">
        <v>150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98</v>
      </c>
      <c r="O24" s="311"/>
      <c r="P24" s="310"/>
      <c r="Q24" s="31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12115</v>
      </c>
      <c r="C25" s="122" t="s">
        <v>281</v>
      </c>
      <c r="D25" s="198" t="s">
        <v>282</v>
      </c>
      <c r="E25" s="171" t="s">
        <v>92</v>
      </c>
      <c r="F25" s="165">
        <v>1320</v>
      </c>
      <c r="G25" s="204" t="s">
        <v>157</v>
      </c>
      <c r="H25" s="81"/>
      <c r="I25" s="81">
        <v>65</v>
      </c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98</v>
      </c>
      <c r="O25" s="311"/>
      <c r="P25" s="310"/>
      <c r="Q25" s="31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87">
        <f>((C32+(R26+S26+T26)*0.5))</f>
        <v>2184.4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12116</v>
      </c>
      <c r="C26" s="26" t="s">
        <v>287</v>
      </c>
      <c r="D26" s="199" t="s">
        <v>288</v>
      </c>
      <c r="E26" s="171" t="s">
        <v>91</v>
      </c>
      <c r="F26" s="167">
        <v>1340</v>
      </c>
      <c r="G26" s="19" t="s">
        <v>105</v>
      </c>
      <c r="H26" s="80"/>
      <c r="I26" s="131">
        <v>95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98</v>
      </c>
      <c r="O26" s="311"/>
      <c r="P26" s="310"/>
      <c r="Q26" s="312"/>
      <c r="R26" s="103">
        <f>R25*37.5</f>
        <v>0</v>
      </c>
      <c r="S26" s="93">
        <f>S25*41.5</f>
        <v>0</v>
      </c>
      <c r="T26" s="93">
        <f>T25*50</f>
        <v>0</v>
      </c>
      <c r="U26" s="388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12117</v>
      </c>
      <c r="C27" s="26" t="s">
        <v>285</v>
      </c>
      <c r="D27" s="199"/>
      <c r="E27" s="171" t="s">
        <v>92</v>
      </c>
      <c r="F27" s="167">
        <v>1400</v>
      </c>
      <c r="G27" s="19" t="s">
        <v>123</v>
      </c>
      <c r="H27" s="80">
        <v>55</v>
      </c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98</v>
      </c>
      <c r="O27" s="311"/>
      <c r="P27" s="310"/>
      <c r="Q27" s="312"/>
      <c r="R27" s="374" t="s">
        <v>56</v>
      </c>
      <c r="S27" s="375"/>
      <c r="T27" s="375"/>
      <c r="U27" s="37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12118</v>
      </c>
      <c r="C28" s="26" t="s">
        <v>291</v>
      </c>
      <c r="D28" s="199"/>
      <c r="E28" s="171" t="s">
        <v>91</v>
      </c>
      <c r="F28" s="167">
        <v>1530</v>
      </c>
      <c r="G28" s="19" t="s">
        <v>105</v>
      </c>
      <c r="H28" s="80">
        <v>95</v>
      </c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98</v>
      </c>
      <c r="O28" s="311"/>
      <c r="P28" s="310"/>
      <c r="Q28" s="312"/>
      <c r="R28" s="367" t="s">
        <v>286</v>
      </c>
      <c r="S28" s="368"/>
      <c r="T28" s="36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54"/>
      <c r="P29" s="355"/>
      <c r="Q29" s="356"/>
      <c r="R29" s="357"/>
      <c r="S29" s="358"/>
      <c r="T29" s="359"/>
      <c r="U29" s="140"/>
      <c r="X29" s="14">
        <v>3</v>
      </c>
      <c r="Z29" s="45"/>
      <c r="AE29" s="39"/>
    </row>
    <row r="30" spans="1:44" ht="16.5" customHeight="1" thickBot="1" x14ac:dyDescent="0.35">
      <c r="A30" s="360" t="s">
        <v>48</v>
      </c>
      <c r="B30" s="361"/>
      <c r="C30" s="361"/>
      <c r="D30" s="361"/>
      <c r="E30" s="362"/>
      <c r="F30" s="361"/>
      <c r="G30" s="361"/>
      <c r="H30" s="201">
        <f t="shared" ref="H30:M30" si="3">SUM(H5:H29)</f>
        <v>695</v>
      </c>
      <c r="I30" s="96">
        <f>SUM(I5:I29)</f>
        <v>1050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439.4</v>
      </c>
      <c r="L30" s="97">
        <f t="shared" si="3"/>
        <v>0</v>
      </c>
      <c r="M30" s="97">
        <f t="shared" si="3"/>
        <v>475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63"/>
      <c r="S30" s="363"/>
      <c r="T30" s="364"/>
      <c r="U30" s="141"/>
      <c r="X30" s="14">
        <v>4</v>
      </c>
      <c r="Z30" s="45"/>
      <c r="AD30" s="46"/>
    </row>
    <row r="31" spans="1:44" x14ac:dyDescent="0.3">
      <c r="A31" s="365" t="s">
        <v>16</v>
      </c>
      <c r="B31" s="366"/>
      <c r="C31" s="366"/>
      <c r="D31" s="366"/>
      <c r="E31" s="366"/>
      <c r="F31" s="366"/>
      <c r="G31" s="366"/>
      <c r="H31" s="202">
        <f t="shared" ref="H31:J31" si="4">H30+H62+H94</f>
        <v>695</v>
      </c>
      <c r="I31" s="94">
        <f t="shared" si="4"/>
        <v>1050</v>
      </c>
      <c r="J31" s="94">
        <f t="shared" si="4"/>
        <v>0</v>
      </c>
      <c r="K31" s="94">
        <f>K30+K62+K94</f>
        <v>439.4</v>
      </c>
      <c r="L31" s="88">
        <f>L30+L62+L94</f>
        <v>0</v>
      </c>
      <c r="M31" s="88">
        <f>M30+M62+M94</f>
        <v>475</v>
      </c>
      <c r="N31" s="207">
        <f>COUNT(H5:H29,H37:H61,H69:H93)</f>
        <v>8</v>
      </c>
      <c r="O31" s="95">
        <f>COUNT(I5:I29,I37:I61,I69:I93)</f>
        <v>10</v>
      </c>
      <c r="P31" s="95">
        <f>COUNTIF(G5:G29,"G*")+COUNTIF(G37:G61,"G*")+COUNTIF(G69:G93,"G*")+COUNTIF(G5:G29,"P*")+COUNTIF(G37:G61,"P*")+COUNTIF(G69:G93,"P*")</f>
        <v>6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695</v>
      </c>
      <c r="T31" s="350">
        <f>H31+I31+L31+M31</f>
        <v>2220</v>
      </c>
      <c r="U31" s="35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70" t="s">
        <v>55</v>
      </c>
      <c r="B32" s="371"/>
      <c r="C32" s="98">
        <f>H31+I31+J31+K31</f>
        <v>2184.4</v>
      </c>
      <c r="D32" s="186"/>
      <c r="E32" s="98"/>
      <c r="F32" s="372" t="s">
        <v>53</v>
      </c>
      <c r="G32" s="372"/>
      <c r="H32" s="100">
        <f>COUNT(B5:B29,B37:B61,B69:B93)</f>
        <v>24</v>
      </c>
      <c r="I32" s="373" t="s">
        <v>54</v>
      </c>
      <c r="J32" s="373"/>
      <c r="K32" s="99">
        <f>C32/H32</f>
        <v>91.016666666666666</v>
      </c>
      <c r="L32" s="208"/>
      <c r="M32" s="208"/>
      <c r="N32" s="208">
        <f>H31/C32</f>
        <v>0.31816517121406335</v>
      </c>
      <c r="O32" s="208">
        <f>I31/C32</f>
        <v>0.48068119392052738</v>
      </c>
      <c r="P32" s="208">
        <f>K31/C32</f>
        <v>0.20115363486540924</v>
      </c>
      <c r="Q32" s="101">
        <f>J31/C32</f>
        <v>0</v>
      </c>
      <c r="R32" s="90" t="s">
        <v>82</v>
      </c>
      <c r="S32" s="203">
        <f>I31+M31</f>
        <v>1525</v>
      </c>
      <c r="T32" s="352"/>
      <c r="U32" s="353"/>
      <c r="V32" s="39"/>
      <c r="W32" s="39"/>
      <c r="X32" s="48" t="s">
        <v>27</v>
      </c>
      <c r="Y32" s="48"/>
      <c r="Z32" s="47">
        <f>I31</f>
        <v>1050</v>
      </c>
    </row>
    <row r="33" spans="1:33" ht="17.25" thickBot="1" x14ac:dyDescent="0.3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49" t="s">
        <v>29</v>
      </c>
      <c r="Y33" s="49"/>
      <c r="Z33" s="50">
        <f>SUM(Z31:Z32)</f>
        <v>-1695</v>
      </c>
      <c r="AG33" s="35"/>
    </row>
    <row r="34" spans="1:33" ht="17.25" thickBot="1" x14ac:dyDescent="0.35">
      <c r="A34" s="344" t="str">
        <f>A2</f>
        <v>10-11-2022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CLOUDY</v>
      </c>
      <c r="K34" s="346"/>
      <c r="L34" s="348" t="s">
        <v>50</v>
      </c>
      <c r="M34" s="349"/>
      <c r="N34" s="347"/>
      <c r="O34" s="345" t="str">
        <f>O2</f>
        <v>JOHN</v>
      </c>
      <c r="P34" s="345"/>
      <c r="Q34" s="346"/>
      <c r="R34" s="348" t="s">
        <v>51</v>
      </c>
      <c r="S34" s="347"/>
      <c r="T34" s="336">
        <f>T2</f>
        <v>6</v>
      </c>
      <c r="U34" s="33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37" t="s">
        <v>8</v>
      </c>
      <c r="P36" s="337"/>
      <c r="Q36" s="33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1"/>
      <c r="P37" s="310"/>
      <c r="Q37" s="31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38"/>
      <c r="P38" s="339"/>
      <c r="Q38" s="34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1"/>
      <c r="P39" s="310"/>
      <c r="Q39" s="31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41"/>
      <c r="P40" s="342"/>
      <c r="Q40" s="34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41"/>
      <c r="P41" s="342"/>
      <c r="Q41" s="34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33"/>
      <c r="P42" s="334"/>
      <c r="Q42" s="33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1"/>
      <c r="P43" s="310"/>
      <c r="Q43" s="31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1"/>
      <c r="P44" s="310"/>
      <c r="Q44" s="31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1"/>
      <c r="P45" s="310"/>
      <c r="Q45" s="31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1"/>
      <c r="P46" s="310"/>
      <c r="Q46" s="31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1"/>
      <c r="P47" s="310"/>
      <c r="Q47" s="31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1"/>
      <c r="P48" s="310"/>
      <c r="Q48" s="31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1"/>
      <c r="P49" s="310"/>
      <c r="Q49" s="31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1"/>
      <c r="P50" s="310"/>
      <c r="Q50" s="31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1"/>
      <c r="P51" s="310"/>
      <c r="Q51" s="31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1"/>
      <c r="P52" s="310"/>
      <c r="Q52" s="31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2"/>
      <c r="P53" s="311"/>
      <c r="Q53" s="31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2"/>
      <c r="P54" s="311"/>
      <c r="Q54" s="31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2"/>
      <c r="P55" s="311"/>
      <c r="Q55" s="31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0"/>
      <c r="P56" s="310"/>
      <c r="Q56" s="31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1"/>
      <c r="P57" s="310"/>
      <c r="Q57" s="31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0"/>
      <c r="P58" s="310"/>
      <c r="Q58" s="31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0"/>
      <c r="P59" s="310"/>
      <c r="Q59" s="31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1"/>
      <c r="P60" s="310"/>
      <c r="Q60" s="31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3"/>
      <c r="P61" s="314"/>
      <c r="Q61" s="315"/>
      <c r="R61" s="72"/>
      <c r="S61" s="59"/>
      <c r="T61" s="59"/>
      <c r="U61" s="68"/>
    </row>
    <row r="62" spans="1:21" x14ac:dyDescent="0.3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7.25" thickBot="1" x14ac:dyDescent="0.3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7.25" thickBot="1" x14ac:dyDescent="0.3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7.25" thickBot="1" x14ac:dyDescent="0.3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7.25" thickBot="1" x14ac:dyDescent="0.35">
      <c r="A66" s="344" t="str">
        <f>A34</f>
        <v>10-11-2022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CLOUDY</v>
      </c>
      <c r="K66" s="346"/>
      <c r="L66" s="348" t="s">
        <v>50</v>
      </c>
      <c r="M66" s="349"/>
      <c r="N66" s="347"/>
      <c r="O66" s="345" t="str">
        <f>O34</f>
        <v>JOHN</v>
      </c>
      <c r="P66" s="345"/>
      <c r="Q66" s="346"/>
      <c r="R66" s="348" t="s">
        <v>51</v>
      </c>
      <c r="S66" s="347"/>
      <c r="T66" s="336">
        <f>T34</f>
        <v>6</v>
      </c>
      <c r="U66" s="33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37" t="s">
        <v>8</v>
      </c>
      <c r="P68" s="337"/>
      <c r="Q68" s="33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1"/>
      <c r="P69" s="310"/>
      <c r="Q69" s="31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38"/>
      <c r="P70" s="339"/>
      <c r="Q70" s="34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1"/>
      <c r="P71" s="310"/>
      <c r="Q71" s="31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41"/>
      <c r="P72" s="342"/>
      <c r="Q72" s="34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41"/>
      <c r="P73" s="342"/>
      <c r="Q73" s="34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33"/>
      <c r="P74" s="334"/>
      <c r="Q74" s="33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1"/>
      <c r="P75" s="310"/>
      <c r="Q75" s="31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1"/>
      <c r="P76" s="310"/>
      <c r="Q76" s="31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1"/>
      <c r="P77" s="310"/>
      <c r="Q77" s="31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1"/>
      <c r="P78" s="310"/>
      <c r="Q78" s="31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1"/>
      <c r="P79" s="310"/>
      <c r="Q79" s="31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1"/>
      <c r="P80" s="310"/>
      <c r="Q80" s="31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1"/>
      <c r="P81" s="310"/>
      <c r="Q81" s="31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1"/>
      <c r="P82" s="310"/>
      <c r="Q82" s="31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1"/>
      <c r="P83" s="310"/>
      <c r="Q83" s="31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1"/>
      <c r="P84" s="310"/>
      <c r="Q84" s="31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2"/>
      <c r="P85" s="311"/>
      <c r="Q85" s="31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2"/>
      <c r="P86" s="311"/>
      <c r="Q86" s="31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2"/>
      <c r="P87" s="311"/>
      <c r="Q87" s="31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0"/>
      <c r="P88" s="310"/>
      <c r="Q88" s="31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1"/>
      <c r="P89" s="310"/>
      <c r="Q89" s="31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0"/>
      <c r="P90" s="310"/>
      <c r="Q90" s="31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0"/>
      <c r="P91" s="310"/>
      <c r="Q91" s="31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1"/>
      <c r="P92" s="310"/>
      <c r="Q92" s="31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3"/>
      <c r="P93" s="314"/>
      <c r="Q93" s="315"/>
      <c r="R93" s="72"/>
      <c r="S93" s="59"/>
      <c r="T93" s="59"/>
      <c r="U93" s="68"/>
    </row>
    <row r="94" spans="1:21" x14ac:dyDescent="0.3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7.25" thickBot="1" x14ac:dyDescent="0.3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7.25" thickBot="1" x14ac:dyDescent="0.3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count="1">
    <dataValidation type="list" allowBlank="1" showInputMessage="1" showErrorMessage="1" sqref="X7 W5 E69:E93 E37:E61 E5:E29" xr:uid="{5FE4B9EA-1170-402E-A658-89123F3C0E0C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J24" sqref="J24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7.25" thickBot="1" x14ac:dyDescent="0.35">
      <c r="A2" s="344" t="s">
        <v>293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103</v>
      </c>
      <c r="K2" s="346"/>
      <c r="L2" s="348" t="s">
        <v>96</v>
      </c>
      <c r="M2" s="349"/>
      <c r="N2" s="347"/>
      <c r="O2" s="345" t="s">
        <v>100</v>
      </c>
      <c r="P2" s="345"/>
      <c r="Q2" s="346"/>
      <c r="R2" s="348" t="s">
        <v>51</v>
      </c>
      <c r="S2" s="347"/>
      <c r="T2" s="336">
        <v>8</v>
      </c>
      <c r="U2" s="33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37" t="s">
        <v>8</v>
      </c>
      <c r="P4" s="337"/>
      <c r="Q4" s="33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12119</v>
      </c>
      <c r="C5" s="59" t="s">
        <v>297</v>
      </c>
      <c r="D5" s="190" t="s">
        <v>298</v>
      </c>
      <c r="E5" s="171" t="s">
        <v>92</v>
      </c>
      <c r="F5" s="160">
        <v>830</v>
      </c>
      <c r="G5" s="109" t="s">
        <v>105</v>
      </c>
      <c r="H5" s="82">
        <v>95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294</v>
      </c>
      <c r="O5" s="389"/>
      <c r="P5" s="390"/>
      <c r="Q5" s="391"/>
      <c r="R5" s="32" t="s">
        <v>100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12120</v>
      </c>
      <c r="C6" s="58" t="s">
        <v>299</v>
      </c>
      <c r="D6" s="190" t="s">
        <v>300</v>
      </c>
      <c r="E6" s="171" t="s">
        <v>92</v>
      </c>
      <c r="F6" s="161">
        <v>830</v>
      </c>
      <c r="G6" s="109" t="s">
        <v>123</v>
      </c>
      <c r="H6" s="82"/>
      <c r="I6" s="115">
        <v>55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100</v>
      </c>
      <c r="O6" s="338"/>
      <c r="P6" s="339"/>
      <c r="Q6" s="340"/>
      <c r="R6" s="122" t="s">
        <v>294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12121</v>
      </c>
      <c r="C7" s="58" t="s">
        <v>301</v>
      </c>
      <c r="D7" s="190" t="s">
        <v>302</v>
      </c>
      <c r="E7" s="171" t="s">
        <v>92</v>
      </c>
      <c r="F7" s="161">
        <v>915</v>
      </c>
      <c r="G7" s="109" t="s">
        <v>105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294</v>
      </c>
      <c r="O7" s="311"/>
      <c r="P7" s="310"/>
      <c r="Q7" s="312"/>
      <c r="R7" s="124" t="s">
        <v>174</v>
      </c>
      <c r="S7" s="30">
        <v>0.35416666666666669</v>
      </c>
      <c r="T7" s="31">
        <v>0.65625</v>
      </c>
      <c r="U7" s="83">
        <f t="shared" si="0"/>
        <v>7.25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12122</v>
      </c>
      <c r="C8" s="26" t="s">
        <v>303</v>
      </c>
      <c r="D8" s="190" t="s">
        <v>304</v>
      </c>
      <c r="E8" s="171" t="s">
        <v>92</v>
      </c>
      <c r="F8" s="161">
        <v>920</v>
      </c>
      <c r="G8" s="109" t="s">
        <v>120</v>
      </c>
      <c r="H8" s="82"/>
      <c r="I8" s="115">
        <v>120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294</v>
      </c>
      <c r="O8" s="341"/>
      <c r="P8" s="342"/>
      <c r="Q8" s="343"/>
      <c r="R8" s="25" t="s">
        <v>99</v>
      </c>
      <c r="S8" s="30">
        <v>0.36458333333333331</v>
      </c>
      <c r="T8" s="31">
        <v>0.70833333333333337</v>
      </c>
      <c r="U8" s="83">
        <f t="shared" si="0"/>
        <v>8.2500000000000018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12123</v>
      </c>
      <c r="C9" s="54" t="s">
        <v>305</v>
      </c>
      <c r="D9" s="191" t="s">
        <v>306</v>
      </c>
      <c r="E9" s="171" t="s">
        <v>92</v>
      </c>
      <c r="F9" s="162">
        <v>930</v>
      </c>
      <c r="G9" s="110" t="s">
        <v>105</v>
      </c>
      <c r="H9" s="82">
        <v>75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100</v>
      </c>
      <c r="O9" s="341"/>
      <c r="P9" s="342"/>
      <c r="Q9" s="343"/>
      <c r="R9" s="25" t="s">
        <v>295</v>
      </c>
      <c r="S9" s="30">
        <v>0.41666666666666669</v>
      </c>
      <c r="T9" s="31">
        <v>0.70833333333333337</v>
      </c>
      <c r="U9" s="83">
        <f t="shared" si="0"/>
        <v>7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12124</v>
      </c>
      <c r="C10" s="27" t="s">
        <v>307</v>
      </c>
      <c r="D10" s="192" t="s">
        <v>308</v>
      </c>
      <c r="E10" s="171" t="s">
        <v>92</v>
      </c>
      <c r="F10" s="163">
        <v>940</v>
      </c>
      <c r="G10" s="111" t="s">
        <v>120</v>
      </c>
      <c r="H10" s="114">
        <v>150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100</v>
      </c>
      <c r="O10" s="333"/>
      <c r="P10" s="334"/>
      <c r="Q10" s="335"/>
      <c r="R10" s="25" t="s">
        <v>102</v>
      </c>
      <c r="S10" s="30">
        <v>0.42708333333333331</v>
      </c>
      <c r="T10" s="31">
        <v>0.70833333333333337</v>
      </c>
      <c r="U10" s="83">
        <f t="shared" si="0"/>
        <v>6.7500000000000018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12125</v>
      </c>
      <c r="C11" s="17" t="s">
        <v>309</v>
      </c>
      <c r="D11" s="193" t="s">
        <v>310</v>
      </c>
      <c r="E11" s="171" t="s">
        <v>92</v>
      </c>
      <c r="F11" s="57">
        <v>945</v>
      </c>
      <c r="G11" s="112" t="s">
        <v>181</v>
      </c>
      <c r="H11" s="114">
        <v>200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100</v>
      </c>
      <c r="O11" s="311"/>
      <c r="P11" s="310"/>
      <c r="Q11" s="312"/>
      <c r="R11" s="25" t="s">
        <v>296</v>
      </c>
      <c r="S11" s="30">
        <v>0.41666666666666669</v>
      </c>
      <c r="T11" s="31">
        <v>0.65625</v>
      </c>
      <c r="U11" s="83">
        <f t="shared" si="0"/>
        <v>5.75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12126</v>
      </c>
      <c r="C12" s="55" t="s">
        <v>311</v>
      </c>
      <c r="D12" s="194" t="s">
        <v>312</v>
      </c>
      <c r="E12" s="171" t="s">
        <v>92</v>
      </c>
      <c r="F12" s="163">
        <v>945</v>
      </c>
      <c r="G12" s="110" t="s">
        <v>105</v>
      </c>
      <c r="H12" s="114">
        <v>95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100</v>
      </c>
      <c r="O12" s="311"/>
      <c r="P12" s="310"/>
      <c r="Q12" s="312"/>
      <c r="R12" s="284" t="s">
        <v>239</v>
      </c>
      <c r="S12" s="30">
        <v>0.55208333333333337</v>
      </c>
      <c r="T12" s="31">
        <v>0.70833333333333337</v>
      </c>
      <c r="U12" s="83">
        <f t="shared" si="0"/>
        <v>3.75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12127</v>
      </c>
      <c r="C13" s="55" t="s">
        <v>313</v>
      </c>
      <c r="D13" s="194" t="s">
        <v>314</v>
      </c>
      <c r="E13" s="171" t="s">
        <v>92</v>
      </c>
      <c r="F13" s="163">
        <v>1000</v>
      </c>
      <c r="G13" s="110" t="s">
        <v>105</v>
      </c>
      <c r="H13" s="159"/>
      <c r="I13" s="158">
        <v>95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100</v>
      </c>
      <c r="O13" s="311"/>
      <c r="P13" s="310"/>
      <c r="Q13" s="31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12128</v>
      </c>
      <c r="C14" s="56" t="s">
        <v>315</v>
      </c>
      <c r="D14" s="195" t="s">
        <v>316</v>
      </c>
      <c r="E14" s="171" t="s">
        <v>92</v>
      </c>
      <c r="F14" s="164">
        <v>1010</v>
      </c>
      <c r="G14" s="113" t="s">
        <v>123</v>
      </c>
      <c r="H14" s="114"/>
      <c r="I14" s="116">
        <v>55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100</v>
      </c>
      <c r="O14" s="311"/>
      <c r="P14" s="310"/>
      <c r="Q14" s="31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12129</v>
      </c>
      <c r="C15" s="56" t="s">
        <v>317</v>
      </c>
      <c r="D15" s="195" t="s">
        <v>318</v>
      </c>
      <c r="E15" s="171" t="s">
        <v>91</v>
      </c>
      <c r="F15" s="164">
        <v>1015</v>
      </c>
      <c r="G15" s="113" t="s">
        <v>214</v>
      </c>
      <c r="H15" s="114"/>
      <c r="I15" s="115"/>
      <c r="J15" s="120" t="str">
        <f t="shared" si="1"/>
        <v>0</v>
      </c>
      <c r="K15" s="120">
        <v>62.5</v>
      </c>
      <c r="L15" s="121"/>
      <c r="M15" s="121"/>
      <c r="N15" s="124" t="s">
        <v>100</v>
      </c>
      <c r="O15" s="311" t="s">
        <v>319</v>
      </c>
      <c r="P15" s="310"/>
      <c r="Q15" s="31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12130</v>
      </c>
      <c r="C16" s="56" t="s">
        <v>320</v>
      </c>
      <c r="D16" s="195" t="s">
        <v>321</v>
      </c>
      <c r="E16" s="171" t="s">
        <v>92</v>
      </c>
      <c r="F16" s="164">
        <v>1015</v>
      </c>
      <c r="G16" s="113" t="s">
        <v>105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100</v>
      </c>
      <c r="O16" s="311" t="s">
        <v>292</v>
      </c>
      <c r="P16" s="310"/>
      <c r="Q16" s="312"/>
      <c r="R16" s="73">
        <f>H32/U16</f>
        <v>0.45814977973568277</v>
      </c>
      <c r="S16" s="74">
        <f>H32/(U16-U5)</f>
        <v>0.54450261780104703</v>
      </c>
      <c r="T16" s="74">
        <f>C32/U16</f>
        <v>47.253920704845804</v>
      </c>
      <c r="U16" s="74">
        <f>SUM(U5:U15)</f>
        <v>56.750000000000007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12131</v>
      </c>
      <c r="C17" s="17" t="s">
        <v>322</v>
      </c>
      <c r="D17" s="193" t="s">
        <v>323</v>
      </c>
      <c r="E17" s="171" t="s">
        <v>92</v>
      </c>
      <c r="F17" s="57">
        <v>1130</v>
      </c>
      <c r="G17" s="112" t="s">
        <v>105</v>
      </c>
      <c r="H17" s="114"/>
      <c r="I17" s="115">
        <v>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100</v>
      </c>
      <c r="O17" s="311"/>
      <c r="P17" s="310"/>
      <c r="Q17" s="31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12132</v>
      </c>
      <c r="C18" s="17" t="s">
        <v>324</v>
      </c>
      <c r="D18" s="193" t="s">
        <v>325</v>
      </c>
      <c r="E18" s="171" t="s">
        <v>92</v>
      </c>
      <c r="F18" s="57">
        <v>1045</v>
      </c>
      <c r="G18" s="19" t="s">
        <v>326</v>
      </c>
      <c r="H18" s="114"/>
      <c r="I18" s="115"/>
      <c r="J18" s="120" t="str">
        <f t="shared" si="1"/>
        <v>0</v>
      </c>
      <c r="K18" s="120">
        <v>70.83</v>
      </c>
      <c r="L18" s="121"/>
      <c r="M18" s="121"/>
      <c r="N18" s="124" t="s">
        <v>100</v>
      </c>
      <c r="O18" s="311" t="s">
        <v>354</v>
      </c>
      <c r="P18" s="310"/>
      <c r="Q18" s="31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12133</v>
      </c>
      <c r="C19" s="17" t="s">
        <v>327</v>
      </c>
      <c r="D19" s="193" t="s">
        <v>328</v>
      </c>
      <c r="E19" s="171" t="s">
        <v>91</v>
      </c>
      <c r="F19" s="57">
        <v>1045</v>
      </c>
      <c r="G19" s="112" t="s">
        <v>155</v>
      </c>
      <c r="H19" s="114"/>
      <c r="I19" s="115">
        <v>320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100</v>
      </c>
      <c r="O19" s="311"/>
      <c r="P19" s="310"/>
      <c r="Q19" s="310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12134</v>
      </c>
      <c r="C20" s="17" t="s">
        <v>329</v>
      </c>
      <c r="D20" s="193" t="s">
        <v>330</v>
      </c>
      <c r="E20" s="171" t="s">
        <v>92</v>
      </c>
      <c r="F20" s="57">
        <v>1100</v>
      </c>
      <c r="G20" s="112" t="s">
        <v>105</v>
      </c>
      <c r="H20" s="114">
        <v>95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100</v>
      </c>
      <c r="O20" s="385"/>
      <c r="P20" s="386"/>
      <c r="Q20" s="386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285">
        <v>17</v>
      </c>
      <c r="B21" s="286">
        <v>12135</v>
      </c>
      <c r="C21" s="287" t="s">
        <v>331</v>
      </c>
      <c r="D21" s="288" t="s">
        <v>332</v>
      </c>
      <c r="E21" s="270" t="s">
        <v>92</v>
      </c>
      <c r="F21" s="289">
        <v>1100</v>
      </c>
      <c r="G21" s="267" t="s">
        <v>120</v>
      </c>
      <c r="H21" s="272"/>
      <c r="I21" s="273">
        <v>130</v>
      </c>
      <c r="J21" s="273" t="str">
        <f t="shared" si="1"/>
        <v>0</v>
      </c>
      <c r="K21" s="273" t="str">
        <f t="shared" si="2"/>
        <v>0</v>
      </c>
      <c r="L21" s="290"/>
      <c r="M21" s="290"/>
      <c r="N21" s="274" t="s">
        <v>100</v>
      </c>
      <c r="O21" s="382" t="s">
        <v>333</v>
      </c>
      <c r="P21" s="383"/>
      <c r="Q21" s="383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12136</v>
      </c>
      <c r="C22" s="21" t="s">
        <v>334</v>
      </c>
      <c r="D22" s="196" t="s">
        <v>335</v>
      </c>
      <c r="E22" s="171" t="s">
        <v>92</v>
      </c>
      <c r="F22" s="165">
        <v>1110</v>
      </c>
      <c r="G22" s="204" t="s">
        <v>326</v>
      </c>
      <c r="H22" s="80"/>
      <c r="I22" s="131"/>
      <c r="J22" s="120" t="str">
        <f t="shared" si="1"/>
        <v>0</v>
      </c>
      <c r="K22" s="120">
        <v>70.83</v>
      </c>
      <c r="L22" s="60"/>
      <c r="M22" s="60"/>
      <c r="N22" s="124" t="s">
        <v>100</v>
      </c>
      <c r="O22" s="311" t="s">
        <v>355</v>
      </c>
      <c r="P22" s="310"/>
      <c r="Q22" s="31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12137</v>
      </c>
      <c r="C23" s="126" t="s">
        <v>336</v>
      </c>
      <c r="D23" s="197" t="s">
        <v>337</v>
      </c>
      <c r="E23" s="171" t="s">
        <v>92</v>
      </c>
      <c r="F23" s="166">
        <v>1115</v>
      </c>
      <c r="G23" s="155" t="s">
        <v>123</v>
      </c>
      <c r="H23" s="80">
        <v>75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 t="s">
        <v>100</v>
      </c>
      <c r="O23" s="153"/>
      <c r="P23" s="154"/>
      <c r="Q23" s="149"/>
      <c r="R23" s="104"/>
      <c r="S23" s="105"/>
      <c r="T23" s="105"/>
      <c r="U23" s="106"/>
      <c r="X23" s="380"/>
      <c r="Y23" s="381"/>
      <c r="Z23" s="381"/>
    </row>
    <row r="24" spans="1:44" ht="16.5" customHeight="1" thickBot="1" x14ac:dyDescent="0.35">
      <c r="A24" s="125">
        <v>20</v>
      </c>
      <c r="B24" s="123">
        <v>12138</v>
      </c>
      <c r="C24" s="21" t="s">
        <v>338</v>
      </c>
      <c r="D24" s="196" t="s">
        <v>339</v>
      </c>
      <c r="E24" s="171" t="s">
        <v>91</v>
      </c>
      <c r="F24" s="165">
        <v>1130</v>
      </c>
      <c r="G24" s="204" t="s">
        <v>123</v>
      </c>
      <c r="H24" s="80">
        <v>75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100</v>
      </c>
      <c r="O24" s="311"/>
      <c r="P24" s="310"/>
      <c r="Q24" s="31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12139</v>
      </c>
      <c r="C25" s="122" t="s">
        <v>340</v>
      </c>
      <c r="D25" s="198" t="s">
        <v>341</v>
      </c>
      <c r="E25" s="171" t="s">
        <v>91</v>
      </c>
      <c r="F25" s="165">
        <v>1130</v>
      </c>
      <c r="G25" s="204" t="s">
        <v>214</v>
      </c>
      <c r="H25" s="81"/>
      <c r="I25" s="81"/>
      <c r="J25" s="120" t="str">
        <f t="shared" si="1"/>
        <v>0</v>
      </c>
      <c r="K25" s="120">
        <v>62.5</v>
      </c>
      <c r="L25" s="60"/>
      <c r="M25" s="60"/>
      <c r="N25" s="124" t="s">
        <v>100</v>
      </c>
      <c r="O25" s="311" t="s">
        <v>356</v>
      </c>
      <c r="P25" s="310"/>
      <c r="Q25" s="31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87">
        <f>((C32+(R26+S26+T26)*0.5))</f>
        <v>2681.66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12140</v>
      </c>
      <c r="C26" s="26" t="s">
        <v>342</v>
      </c>
      <c r="D26" s="199" t="s">
        <v>343</v>
      </c>
      <c r="E26" s="171" t="s">
        <v>91</v>
      </c>
      <c r="F26" s="167">
        <v>1145</v>
      </c>
      <c r="G26" s="19" t="s">
        <v>120</v>
      </c>
      <c r="H26" s="80">
        <v>120</v>
      </c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100</v>
      </c>
      <c r="O26" s="311"/>
      <c r="P26" s="310"/>
      <c r="Q26" s="312"/>
      <c r="R26" s="103">
        <f>R25*37.5</f>
        <v>0</v>
      </c>
      <c r="S26" s="93">
        <f>S25*41.5</f>
        <v>0</v>
      </c>
      <c r="T26" s="93">
        <f>T25*50</f>
        <v>0</v>
      </c>
      <c r="U26" s="388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12141</v>
      </c>
      <c r="C27" s="26" t="s">
        <v>344</v>
      </c>
      <c r="D27" s="199" t="s">
        <v>345</v>
      </c>
      <c r="E27" s="171" t="s">
        <v>91</v>
      </c>
      <c r="F27" s="167">
        <v>1300</v>
      </c>
      <c r="G27" s="19" t="s">
        <v>105</v>
      </c>
      <c r="H27" s="80">
        <v>75</v>
      </c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100</v>
      </c>
      <c r="O27" s="311"/>
      <c r="P27" s="310"/>
      <c r="Q27" s="312"/>
      <c r="R27" s="374" t="s">
        <v>56</v>
      </c>
      <c r="S27" s="375"/>
      <c r="T27" s="375"/>
      <c r="U27" s="37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12142</v>
      </c>
      <c r="C28" s="26" t="s">
        <v>346</v>
      </c>
      <c r="D28" s="199" t="s">
        <v>347</v>
      </c>
      <c r="E28" s="171" t="s">
        <v>92</v>
      </c>
      <c r="F28" s="167">
        <v>1330</v>
      </c>
      <c r="G28" s="19" t="s">
        <v>105</v>
      </c>
      <c r="H28" s="80"/>
      <c r="I28" s="131">
        <v>75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100</v>
      </c>
      <c r="O28" s="311"/>
      <c r="P28" s="310"/>
      <c r="Q28" s="312"/>
      <c r="R28" s="367"/>
      <c r="S28" s="368"/>
      <c r="T28" s="36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12143</v>
      </c>
      <c r="C29" s="33" t="s">
        <v>348</v>
      </c>
      <c r="D29" s="200" t="s">
        <v>349</v>
      </c>
      <c r="E29" s="172" t="s">
        <v>92</v>
      </c>
      <c r="F29" s="167">
        <v>1445</v>
      </c>
      <c r="G29" s="19" t="s">
        <v>120</v>
      </c>
      <c r="H29" s="80">
        <v>130</v>
      </c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100</v>
      </c>
      <c r="O29" s="354"/>
      <c r="P29" s="355"/>
      <c r="Q29" s="356"/>
      <c r="R29" s="357"/>
      <c r="S29" s="358"/>
      <c r="T29" s="359"/>
      <c r="U29" s="140"/>
      <c r="X29" s="14">
        <v>3</v>
      </c>
      <c r="Z29" s="45"/>
      <c r="AE29" s="39"/>
    </row>
    <row r="30" spans="1:44" ht="16.5" customHeight="1" thickBot="1" x14ac:dyDescent="0.35">
      <c r="A30" s="360" t="s">
        <v>48</v>
      </c>
      <c r="B30" s="361"/>
      <c r="C30" s="361"/>
      <c r="D30" s="361"/>
      <c r="E30" s="362"/>
      <c r="F30" s="361"/>
      <c r="G30" s="361"/>
      <c r="H30" s="201">
        <f t="shared" ref="H30:M30" si="3">SUM(H5:H29)</f>
        <v>1280</v>
      </c>
      <c r="I30" s="96">
        <f>SUM(I5:I29)</f>
        <v>1040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266.65999999999997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63"/>
      <c r="S30" s="363"/>
      <c r="T30" s="364"/>
      <c r="U30" s="141"/>
      <c r="X30" s="14">
        <v>4</v>
      </c>
      <c r="Z30" s="45"/>
      <c r="AD30" s="46"/>
    </row>
    <row r="31" spans="1:44" x14ac:dyDescent="0.3">
      <c r="A31" s="365" t="s">
        <v>16</v>
      </c>
      <c r="B31" s="366"/>
      <c r="C31" s="366"/>
      <c r="D31" s="366"/>
      <c r="E31" s="366"/>
      <c r="F31" s="366"/>
      <c r="G31" s="366"/>
      <c r="H31" s="202">
        <f t="shared" ref="H31:J31" si="4">H30+H62+H94</f>
        <v>1280</v>
      </c>
      <c r="I31" s="94">
        <f t="shared" si="4"/>
        <v>1135</v>
      </c>
      <c r="J31" s="94">
        <f t="shared" si="4"/>
        <v>0</v>
      </c>
      <c r="K31" s="94">
        <f>K30+K62+K94</f>
        <v>266.65999999999997</v>
      </c>
      <c r="L31" s="88">
        <f>L30+L62+L94</f>
        <v>0</v>
      </c>
      <c r="M31" s="88">
        <f>M30+M62+M94</f>
        <v>0</v>
      </c>
      <c r="N31" s="207">
        <f>COUNT(H5:H29,H37:H61,H69:H93)</f>
        <v>12</v>
      </c>
      <c r="O31" s="95">
        <f>COUNT(I5:I29,I37:I61,I69:I93)</f>
        <v>10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1280</v>
      </c>
      <c r="T31" s="350">
        <f>H31+I31+L31+M31</f>
        <v>2415</v>
      </c>
      <c r="U31" s="35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70" t="s">
        <v>55</v>
      </c>
      <c r="B32" s="371"/>
      <c r="C32" s="98">
        <f>H31+I31+J31+K31</f>
        <v>2681.66</v>
      </c>
      <c r="D32" s="186"/>
      <c r="E32" s="98"/>
      <c r="F32" s="372" t="s">
        <v>53</v>
      </c>
      <c r="G32" s="372"/>
      <c r="H32" s="100">
        <f>COUNT(B5:B29,B37:B61,B69:B93)</f>
        <v>26</v>
      </c>
      <c r="I32" s="373" t="s">
        <v>54</v>
      </c>
      <c r="J32" s="373"/>
      <c r="K32" s="99">
        <f>C32/H32</f>
        <v>103.14076923076922</v>
      </c>
      <c r="L32" s="208"/>
      <c r="M32" s="208"/>
      <c r="N32" s="208">
        <f>H31/C32</f>
        <v>0.47731628916417446</v>
      </c>
      <c r="O32" s="208">
        <f>I31/C32</f>
        <v>0.42324530328229532</v>
      </c>
      <c r="P32" s="208">
        <f>K31/C32</f>
        <v>9.943840755353027E-2</v>
      </c>
      <c r="Q32" s="101">
        <f>J31/C32</f>
        <v>0</v>
      </c>
      <c r="R32" s="90" t="s">
        <v>82</v>
      </c>
      <c r="S32" s="203">
        <f>I31+M31</f>
        <v>1135</v>
      </c>
      <c r="T32" s="352"/>
      <c r="U32" s="353"/>
      <c r="V32" s="39"/>
      <c r="W32" s="39"/>
      <c r="X32" s="48" t="s">
        <v>27</v>
      </c>
      <c r="Y32" s="48"/>
      <c r="Z32" s="47">
        <f>I31</f>
        <v>1135</v>
      </c>
    </row>
    <row r="33" spans="1:33" ht="17.25" thickBot="1" x14ac:dyDescent="0.3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49" t="s">
        <v>29</v>
      </c>
      <c r="Y33" s="49"/>
      <c r="Z33" s="50">
        <f>SUM(Z31:Z32)</f>
        <v>-1610</v>
      </c>
      <c r="AG33" s="35"/>
    </row>
    <row r="34" spans="1:33" ht="17.25" thickBot="1" x14ac:dyDescent="0.35">
      <c r="A34" s="344" t="str">
        <f>A2</f>
        <v>11-11-2022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SUNNY</v>
      </c>
      <c r="K34" s="346"/>
      <c r="L34" s="348" t="s">
        <v>50</v>
      </c>
      <c r="M34" s="349"/>
      <c r="N34" s="347"/>
      <c r="O34" s="345" t="str">
        <f>O2</f>
        <v>HENDRA</v>
      </c>
      <c r="P34" s="345"/>
      <c r="Q34" s="346"/>
      <c r="R34" s="348" t="s">
        <v>51</v>
      </c>
      <c r="S34" s="347"/>
      <c r="T34" s="336">
        <f>T2</f>
        <v>8</v>
      </c>
      <c r="U34" s="33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37" t="s">
        <v>8</v>
      </c>
      <c r="P36" s="337"/>
      <c r="Q36" s="33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12144</v>
      </c>
      <c r="C37" s="59" t="s">
        <v>350</v>
      </c>
      <c r="D37" s="248" t="s">
        <v>351</v>
      </c>
      <c r="E37" s="171" t="s">
        <v>92</v>
      </c>
      <c r="F37" s="164">
        <v>1610</v>
      </c>
      <c r="G37" s="109" t="s">
        <v>105</v>
      </c>
      <c r="H37" s="82"/>
      <c r="I37" s="115">
        <v>95</v>
      </c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100</v>
      </c>
      <c r="O37" s="311"/>
      <c r="P37" s="310"/>
      <c r="Q37" s="31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38"/>
      <c r="P38" s="339"/>
      <c r="Q38" s="34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1"/>
      <c r="P39" s="310"/>
      <c r="Q39" s="31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41"/>
      <c r="P40" s="342"/>
      <c r="Q40" s="34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41"/>
      <c r="P41" s="342"/>
      <c r="Q41" s="34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33"/>
      <c r="P42" s="334"/>
      <c r="Q42" s="33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1"/>
      <c r="P43" s="310"/>
      <c r="Q43" s="31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1"/>
      <c r="P44" s="310"/>
      <c r="Q44" s="31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1"/>
      <c r="P45" s="310"/>
      <c r="Q45" s="31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1"/>
      <c r="P46" s="310"/>
      <c r="Q46" s="31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1"/>
      <c r="P47" s="310"/>
      <c r="Q47" s="31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1"/>
      <c r="P48" s="310"/>
      <c r="Q48" s="31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1"/>
      <c r="P49" s="310"/>
      <c r="Q49" s="31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1"/>
      <c r="P50" s="310"/>
      <c r="Q50" s="31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1"/>
      <c r="P51" s="310"/>
      <c r="Q51" s="31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1"/>
      <c r="P52" s="310"/>
      <c r="Q52" s="31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2"/>
      <c r="P53" s="311"/>
      <c r="Q53" s="31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2"/>
      <c r="P54" s="311"/>
      <c r="Q54" s="31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2"/>
      <c r="P55" s="311"/>
      <c r="Q55" s="31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0"/>
      <c r="P56" s="310"/>
      <c r="Q56" s="31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1"/>
      <c r="P57" s="310"/>
      <c r="Q57" s="31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0"/>
      <c r="P58" s="310"/>
      <c r="Q58" s="31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0"/>
      <c r="P59" s="310"/>
      <c r="Q59" s="31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1"/>
      <c r="P60" s="310"/>
      <c r="Q60" s="31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3"/>
      <c r="P61" s="314"/>
      <c r="Q61" s="315"/>
      <c r="R61" s="72"/>
      <c r="S61" s="59"/>
      <c r="T61" s="59"/>
      <c r="U61" s="68"/>
    </row>
    <row r="62" spans="1:21" x14ac:dyDescent="0.3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>SUM(I37:I61)</f>
        <v>95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7.25" thickBot="1" x14ac:dyDescent="0.3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7.25" thickBot="1" x14ac:dyDescent="0.3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7.25" thickBot="1" x14ac:dyDescent="0.3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7.25" thickBot="1" x14ac:dyDescent="0.35">
      <c r="A66" s="344" t="str">
        <f>A34</f>
        <v>11-11-2022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SUNNY</v>
      </c>
      <c r="K66" s="346"/>
      <c r="L66" s="348" t="s">
        <v>50</v>
      </c>
      <c r="M66" s="349"/>
      <c r="N66" s="347"/>
      <c r="O66" s="345" t="str">
        <f>O34</f>
        <v>HENDRA</v>
      </c>
      <c r="P66" s="345"/>
      <c r="Q66" s="346"/>
      <c r="R66" s="348" t="s">
        <v>51</v>
      </c>
      <c r="S66" s="347"/>
      <c r="T66" s="336">
        <f>T34</f>
        <v>8</v>
      </c>
      <c r="U66" s="33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37" t="s">
        <v>8</v>
      </c>
      <c r="P68" s="337"/>
      <c r="Q68" s="33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1"/>
      <c r="P69" s="310"/>
      <c r="Q69" s="31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38"/>
      <c r="P70" s="339"/>
      <c r="Q70" s="34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1"/>
      <c r="P71" s="310"/>
      <c r="Q71" s="31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41"/>
      <c r="P72" s="342"/>
      <c r="Q72" s="34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41"/>
      <c r="P73" s="342"/>
      <c r="Q73" s="34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33"/>
      <c r="P74" s="334"/>
      <c r="Q74" s="33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1"/>
      <c r="P75" s="310"/>
      <c r="Q75" s="31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1"/>
      <c r="P76" s="310"/>
      <c r="Q76" s="31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1"/>
      <c r="P77" s="310"/>
      <c r="Q77" s="31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1"/>
      <c r="P78" s="310"/>
      <c r="Q78" s="31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1"/>
      <c r="P79" s="310"/>
      <c r="Q79" s="31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1"/>
      <c r="P80" s="310"/>
      <c r="Q80" s="31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1"/>
      <c r="P81" s="310"/>
      <c r="Q81" s="31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1"/>
      <c r="P82" s="310"/>
      <c r="Q82" s="31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1"/>
      <c r="P83" s="310"/>
      <c r="Q83" s="31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1"/>
      <c r="P84" s="310"/>
      <c r="Q84" s="31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2"/>
      <c r="P85" s="311"/>
      <c r="Q85" s="31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2"/>
      <c r="P86" s="311"/>
      <c r="Q86" s="31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2"/>
      <c r="P87" s="311"/>
      <c r="Q87" s="31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0"/>
      <c r="P88" s="310"/>
      <c r="Q88" s="31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1"/>
      <c r="P89" s="310"/>
      <c r="Q89" s="31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0"/>
      <c r="P90" s="310"/>
      <c r="Q90" s="31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0"/>
      <c r="P91" s="310"/>
      <c r="Q91" s="31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1"/>
      <c r="P92" s="310"/>
      <c r="Q92" s="31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3"/>
      <c r="P93" s="314"/>
      <c r="Q93" s="315"/>
      <c r="R93" s="72"/>
      <c r="S93" s="59"/>
      <c r="T93" s="59"/>
      <c r="U93" s="68"/>
    </row>
    <row r="94" spans="1:21" x14ac:dyDescent="0.3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7.25" thickBot="1" x14ac:dyDescent="0.3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7.25" thickBot="1" x14ac:dyDescent="0.3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opLeftCell="A15" zoomScaleNormal="100" zoomScaleSheetLayoutView="77" workbookViewId="0">
      <selection activeCell="G49" sqref="G49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7.25" thickBot="1" x14ac:dyDescent="0.35">
      <c r="A2" s="344" t="s">
        <v>352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103</v>
      </c>
      <c r="K2" s="346"/>
      <c r="L2" s="348" t="s">
        <v>96</v>
      </c>
      <c r="M2" s="349"/>
      <c r="N2" s="347"/>
      <c r="O2" s="345" t="s">
        <v>98</v>
      </c>
      <c r="P2" s="345"/>
      <c r="Q2" s="346"/>
      <c r="R2" s="348" t="s">
        <v>51</v>
      </c>
      <c r="S2" s="347"/>
      <c r="T2" s="336">
        <v>6</v>
      </c>
      <c r="U2" s="33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37" t="s">
        <v>8</v>
      </c>
      <c r="P4" s="337"/>
      <c r="Q4" s="33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12145</v>
      </c>
      <c r="C5" s="59" t="s">
        <v>358</v>
      </c>
      <c r="D5" s="190" t="s">
        <v>359</v>
      </c>
      <c r="E5" s="171" t="s">
        <v>92</v>
      </c>
      <c r="F5" s="160">
        <v>800</v>
      </c>
      <c r="G5" s="109" t="s">
        <v>44</v>
      </c>
      <c r="H5" s="82">
        <v>25</v>
      </c>
      <c r="I5" s="115"/>
      <c r="J5" s="120" t="str">
        <f>IF(G5="RSL","55","0")</f>
        <v>55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89" t="s">
        <v>353</v>
      </c>
      <c r="P5" s="390"/>
      <c r="Q5" s="391"/>
      <c r="R5" s="32" t="s">
        <v>98</v>
      </c>
      <c r="S5" s="30">
        <v>0.33333333333333331</v>
      </c>
      <c r="T5" s="31">
        <v>0.75</v>
      </c>
      <c r="U5" s="83">
        <f t="shared" ref="U5:U15" si="0">(T5-S5)*24</f>
        <v>10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12146</v>
      </c>
      <c r="C6" s="58" t="s">
        <v>360</v>
      </c>
      <c r="D6" s="190" t="s">
        <v>361</v>
      </c>
      <c r="E6" s="171" t="s">
        <v>91</v>
      </c>
      <c r="F6" s="161">
        <v>840</v>
      </c>
      <c r="G6" s="109" t="s">
        <v>105</v>
      </c>
      <c r="H6" s="82"/>
      <c r="I6" s="115">
        <v>95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38"/>
      <c r="P6" s="339"/>
      <c r="Q6" s="340"/>
      <c r="R6" s="32" t="s">
        <v>100</v>
      </c>
      <c r="S6" s="30">
        <v>0.33333333333333331</v>
      </c>
      <c r="T6" s="31">
        <v>0.75</v>
      </c>
      <c r="U6" s="83">
        <f t="shared" si="0"/>
        <v>10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12147</v>
      </c>
      <c r="C7" s="58" t="s">
        <v>362</v>
      </c>
      <c r="D7" s="190" t="s">
        <v>363</v>
      </c>
      <c r="E7" s="171" t="s">
        <v>91</v>
      </c>
      <c r="F7" s="161">
        <v>845</v>
      </c>
      <c r="G7" s="109" t="s">
        <v>105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311"/>
      <c r="P7" s="310"/>
      <c r="Q7" s="312"/>
      <c r="R7" s="122" t="s">
        <v>294</v>
      </c>
      <c r="S7" s="30">
        <v>0.33333333333333331</v>
      </c>
      <c r="T7" s="31">
        <v>0.75</v>
      </c>
      <c r="U7" s="83">
        <f t="shared" si="0"/>
        <v>10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12148</v>
      </c>
      <c r="C8" s="26" t="s">
        <v>364</v>
      </c>
      <c r="D8" s="190" t="s">
        <v>365</v>
      </c>
      <c r="E8" s="171" t="s">
        <v>92</v>
      </c>
      <c r="F8" s="161">
        <v>905</v>
      </c>
      <c r="G8" s="109" t="s">
        <v>105</v>
      </c>
      <c r="H8" s="82"/>
      <c r="I8" s="115">
        <v>95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41"/>
      <c r="P8" s="342"/>
      <c r="Q8" s="343"/>
      <c r="R8" s="124" t="s">
        <v>173</v>
      </c>
      <c r="S8" s="30">
        <v>0.35416666666666669</v>
      </c>
      <c r="T8" s="31">
        <v>0.71875</v>
      </c>
      <c r="U8" s="83">
        <f t="shared" si="0"/>
        <v>8.75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12149</v>
      </c>
      <c r="C9" s="54" t="s">
        <v>366</v>
      </c>
      <c r="D9" s="191" t="s">
        <v>367</v>
      </c>
      <c r="E9" s="171" t="s">
        <v>91</v>
      </c>
      <c r="F9" s="162">
        <v>905</v>
      </c>
      <c r="G9" s="110" t="s">
        <v>105</v>
      </c>
      <c r="H9" s="82"/>
      <c r="I9" s="82">
        <v>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41"/>
      <c r="P9" s="342"/>
      <c r="Q9" s="343"/>
      <c r="R9" s="25" t="s">
        <v>99</v>
      </c>
      <c r="S9" s="30">
        <v>0.35416666666666669</v>
      </c>
      <c r="T9" s="31">
        <v>0.75</v>
      </c>
      <c r="U9" s="83">
        <f t="shared" si="0"/>
        <v>9.5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12150</v>
      </c>
      <c r="C10" s="27" t="s">
        <v>368</v>
      </c>
      <c r="D10" s="192" t="s">
        <v>369</v>
      </c>
      <c r="E10" s="171" t="s">
        <v>92</v>
      </c>
      <c r="F10" s="163">
        <v>915</v>
      </c>
      <c r="G10" s="111" t="s">
        <v>105</v>
      </c>
      <c r="H10" s="114">
        <v>95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33"/>
      <c r="P10" s="334"/>
      <c r="Q10" s="335"/>
      <c r="R10" s="25" t="s">
        <v>357</v>
      </c>
      <c r="S10" s="30">
        <v>0.375</v>
      </c>
      <c r="T10" s="31">
        <v>0.70833333333333337</v>
      </c>
      <c r="U10" s="83">
        <f t="shared" si="0"/>
        <v>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12151</v>
      </c>
      <c r="C11" s="17" t="s">
        <v>370</v>
      </c>
      <c r="D11" s="193" t="s">
        <v>371</v>
      </c>
      <c r="E11" s="171" t="s">
        <v>92</v>
      </c>
      <c r="F11" s="57">
        <v>915</v>
      </c>
      <c r="G11" s="112" t="s">
        <v>105</v>
      </c>
      <c r="H11" s="114">
        <v>95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11"/>
      <c r="P11" s="310"/>
      <c r="Q11" s="312"/>
      <c r="R11" s="25" t="s">
        <v>442</v>
      </c>
      <c r="S11" s="30">
        <v>0.70833333333333337</v>
      </c>
      <c r="T11" s="31">
        <v>0.75</v>
      </c>
      <c r="U11" s="83">
        <f t="shared" si="0"/>
        <v>0.99999999999999911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12152</v>
      </c>
      <c r="C12" s="55" t="s">
        <v>372</v>
      </c>
      <c r="D12" s="194" t="s">
        <v>373</v>
      </c>
      <c r="E12" s="171" t="s">
        <v>92</v>
      </c>
      <c r="F12" s="163">
        <v>940</v>
      </c>
      <c r="G12" s="110" t="s">
        <v>120</v>
      </c>
      <c r="H12" s="114"/>
      <c r="I12" s="116">
        <v>120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11"/>
      <c r="P12" s="310"/>
      <c r="Q12" s="31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12153</v>
      </c>
      <c r="C13" s="55" t="s">
        <v>374</v>
      </c>
      <c r="D13" s="194" t="s">
        <v>375</v>
      </c>
      <c r="E13" s="171" t="s">
        <v>91</v>
      </c>
      <c r="F13" s="163">
        <v>1000</v>
      </c>
      <c r="G13" s="110" t="s">
        <v>120</v>
      </c>
      <c r="H13" s="159">
        <v>150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311"/>
      <c r="P13" s="310"/>
      <c r="Q13" s="31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12154</v>
      </c>
      <c r="C14" s="56" t="s">
        <v>376</v>
      </c>
      <c r="D14" s="195" t="s">
        <v>377</v>
      </c>
      <c r="E14" s="171" t="s">
        <v>91</v>
      </c>
      <c r="F14" s="164">
        <v>1000</v>
      </c>
      <c r="G14" s="113" t="s">
        <v>105</v>
      </c>
      <c r="H14" s="114">
        <v>95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311"/>
      <c r="P14" s="310"/>
      <c r="Q14" s="31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12155</v>
      </c>
      <c r="C15" s="56" t="s">
        <v>378</v>
      </c>
      <c r="D15" s="195" t="s">
        <v>379</v>
      </c>
      <c r="E15" s="171" t="s">
        <v>92</v>
      </c>
      <c r="F15" s="164">
        <v>1000</v>
      </c>
      <c r="G15" s="113" t="s">
        <v>123</v>
      </c>
      <c r="H15" s="114"/>
      <c r="I15" s="115">
        <v>55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311"/>
      <c r="P15" s="310"/>
      <c r="Q15" s="31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12156</v>
      </c>
      <c r="C16" s="56" t="s">
        <v>380</v>
      </c>
      <c r="D16" s="195" t="s">
        <v>381</v>
      </c>
      <c r="E16" s="171" t="s">
        <v>92</v>
      </c>
      <c r="F16" s="164">
        <v>1000</v>
      </c>
      <c r="G16" s="113" t="s">
        <v>105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11"/>
      <c r="P16" s="310"/>
      <c r="Q16" s="312"/>
      <c r="R16" s="73">
        <f>H32/U16</f>
        <v>0.69868995633187769</v>
      </c>
      <c r="S16" s="74">
        <f>H32/(U16-U5)</f>
        <v>0.84656084656084651</v>
      </c>
      <c r="T16" s="74">
        <f>C32/U16</f>
        <v>72.251528384279467</v>
      </c>
      <c r="U16" s="74">
        <f>SUM(U5:U15)</f>
        <v>57.25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12157</v>
      </c>
      <c r="C17" s="17" t="s">
        <v>382</v>
      </c>
      <c r="D17" s="193" t="s">
        <v>383</v>
      </c>
      <c r="E17" s="171" t="s">
        <v>92</v>
      </c>
      <c r="F17" s="57">
        <v>1010</v>
      </c>
      <c r="G17" s="112" t="s">
        <v>120</v>
      </c>
      <c r="H17" s="114"/>
      <c r="I17" s="115">
        <v>150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11"/>
      <c r="P17" s="310"/>
      <c r="Q17" s="31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12158</v>
      </c>
      <c r="C18" s="17" t="s">
        <v>384</v>
      </c>
      <c r="D18" s="193" t="s">
        <v>385</v>
      </c>
      <c r="E18" s="171" t="s">
        <v>92</v>
      </c>
      <c r="F18" s="57">
        <v>1015</v>
      </c>
      <c r="G18" s="19" t="s">
        <v>105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311"/>
      <c r="P18" s="310"/>
      <c r="Q18" s="31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12159</v>
      </c>
      <c r="C19" s="17" t="s">
        <v>386</v>
      </c>
      <c r="D19" s="193" t="s">
        <v>387</v>
      </c>
      <c r="E19" s="171" t="s">
        <v>92</v>
      </c>
      <c r="F19" s="57">
        <v>1040</v>
      </c>
      <c r="G19" s="112" t="s">
        <v>105</v>
      </c>
      <c r="H19" s="114">
        <v>95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311"/>
      <c r="P19" s="310"/>
      <c r="Q19" s="310"/>
      <c r="R19" s="84" t="s">
        <v>45</v>
      </c>
      <c r="S19" s="85">
        <f>COUNT(L5:M29,L37:M61,L69:M93)</f>
        <v>1</v>
      </c>
      <c r="T19" s="107">
        <f>SUM(L5:M29,L37:M61,L69:M93)</f>
        <v>750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12160</v>
      </c>
      <c r="C20" s="17" t="s">
        <v>388</v>
      </c>
      <c r="D20" s="193" t="s">
        <v>389</v>
      </c>
      <c r="E20" s="171" t="s">
        <v>91</v>
      </c>
      <c r="F20" s="57">
        <v>1050</v>
      </c>
      <c r="G20" s="112" t="s">
        <v>157</v>
      </c>
      <c r="H20" s="114"/>
      <c r="I20" s="209">
        <v>65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85"/>
      <c r="P20" s="386"/>
      <c r="Q20" s="386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12161</v>
      </c>
      <c r="C21" s="17" t="s">
        <v>390</v>
      </c>
      <c r="D21" s="193" t="s">
        <v>391</v>
      </c>
      <c r="E21" s="171" t="s">
        <v>92</v>
      </c>
      <c r="F21" s="57">
        <v>1100</v>
      </c>
      <c r="G21" s="19" t="s">
        <v>392</v>
      </c>
      <c r="H21" s="114">
        <v>100</v>
      </c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311"/>
      <c r="P21" s="310"/>
      <c r="Q21" s="31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12162</v>
      </c>
      <c r="C22" s="21" t="s">
        <v>393</v>
      </c>
      <c r="D22" s="196" t="s">
        <v>394</v>
      </c>
      <c r="E22" s="171" t="s">
        <v>92</v>
      </c>
      <c r="F22" s="165">
        <v>1115</v>
      </c>
      <c r="G22" s="204" t="s">
        <v>123</v>
      </c>
      <c r="H22" s="80"/>
      <c r="I22" s="131">
        <v>75</v>
      </c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98</v>
      </c>
      <c r="O22" s="311"/>
      <c r="P22" s="310"/>
      <c r="Q22" s="31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12163</v>
      </c>
      <c r="C23" s="126" t="s">
        <v>395</v>
      </c>
      <c r="D23" s="197" t="s">
        <v>396</v>
      </c>
      <c r="E23" s="171" t="s">
        <v>91</v>
      </c>
      <c r="F23" s="166">
        <v>1125</v>
      </c>
      <c r="G23" s="155" t="s">
        <v>105</v>
      </c>
      <c r="H23" s="80"/>
      <c r="I23" s="131">
        <v>95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98</v>
      </c>
      <c r="O23" s="153"/>
      <c r="P23" s="154"/>
      <c r="Q23" s="149"/>
      <c r="R23" s="104"/>
      <c r="S23" s="105"/>
      <c r="T23" s="105"/>
      <c r="U23" s="106"/>
      <c r="X23" s="380"/>
      <c r="Y23" s="381"/>
      <c r="Z23" s="381"/>
    </row>
    <row r="24" spans="1:44" ht="16.5" customHeight="1" thickBot="1" x14ac:dyDescent="0.35">
      <c r="A24" s="125">
        <v>20</v>
      </c>
      <c r="B24" s="123">
        <v>12164</v>
      </c>
      <c r="C24" s="21" t="s">
        <v>397</v>
      </c>
      <c r="D24" s="196" t="s">
        <v>398</v>
      </c>
      <c r="E24" s="171" t="s">
        <v>92</v>
      </c>
      <c r="F24" s="165">
        <v>1130</v>
      </c>
      <c r="G24" s="204" t="s">
        <v>123</v>
      </c>
      <c r="H24" s="80"/>
      <c r="I24" s="131">
        <v>55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98</v>
      </c>
      <c r="O24" s="311"/>
      <c r="P24" s="310"/>
      <c r="Q24" s="31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12165</v>
      </c>
      <c r="C25" s="122" t="s">
        <v>399</v>
      </c>
      <c r="D25" s="198" t="s">
        <v>400</v>
      </c>
      <c r="E25" s="171" t="s">
        <v>92</v>
      </c>
      <c r="F25" s="165">
        <v>1130</v>
      </c>
      <c r="G25" s="204" t="s">
        <v>120</v>
      </c>
      <c r="H25" s="81">
        <v>150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98</v>
      </c>
      <c r="O25" s="311"/>
      <c r="P25" s="310"/>
      <c r="Q25" s="31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87">
        <f>((C32+(R26+S26+T26)*0.5))</f>
        <v>4136.3999999999996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12166</v>
      </c>
      <c r="C26" s="26" t="s">
        <v>401</v>
      </c>
      <c r="D26" s="199" t="s">
        <v>402</v>
      </c>
      <c r="E26" s="171" t="s">
        <v>91</v>
      </c>
      <c r="F26" s="167">
        <v>1140</v>
      </c>
      <c r="G26" s="19" t="s">
        <v>108</v>
      </c>
      <c r="H26" s="80"/>
      <c r="I26" s="131"/>
      <c r="J26" s="120" t="str">
        <f t="shared" si="1"/>
        <v>0</v>
      </c>
      <c r="K26" s="120">
        <v>79.099999999999994</v>
      </c>
      <c r="L26" s="60"/>
      <c r="M26" s="60"/>
      <c r="N26" s="124" t="s">
        <v>98</v>
      </c>
      <c r="O26" s="311" t="s">
        <v>403</v>
      </c>
      <c r="P26" s="310"/>
      <c r="Q26" s="312"/>
      <c r="R26" s="103">
        <f>R25*37.5</f>
        <v>0</v>
      </c>
      <c r="S26" s="93">
        <f>S25*41.5</f>
        <v>0</v>
      </c>
      <c r="T26" s="93">
        <f>T25*50</f>
        <v>0</v>
      </c>
      <c r="U26" s="388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12167</v>
      </c>
      <c r="C27" s="26">
        <v>38010</v>
      </c>
      <c r="D27" s="199" t="s">
        <v>404</v>
      </c>
      <c r="E27" s="171" t="s">
        <v>91</v>
      </c>
      <c r="F27" s="167">
        <v>1145</v>
      </c>
      <c r="G27" s="19" t="s">
        <v>108</v>
      </c>
      <c r="H27" s="80"/>
      <c r="I27" s="131"/>
      <c r="J27" s="120" t="str">
        <f t="shared" si="1"/>
        <v>0</v>
      </c>
      <c r="K27" s="120">
        <v>79.099999999999994</v>
      </c>
      <c r="L27" s="60"/>
      <c r="M27" s="60"/>
      <c r="N27" s="124" t="s">
        <v>98</v>
      </c>
      <c r="O27" s="311" t="s">
        <v>405</v>
      </c>
      <c r="P27" s="310"/>
      <c r="Q27" s="312"/>
      <c r="R27" s="374" t="s">
        <v>56</v>
      </c>
      <c r="S27" s="375"/>
      <c r="T27" s="375"/>
      <c r="U27" s="37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12168</v>
      </c>
      <c r="C28" s="26" t="s">
        <v>406</v>
      </c>
      <c r="D28" s="199" t="s">
        <v>407</v>
      </c>
      <c r="E28" s="171" t="s">
        <v>92</v>
      </c>
      <c r="F28" s="167">
        <v>1155</v>
      </c>
      <c r="G28" s="19" t="s">
        <v>105</v>
      </c>
      <c r="H28" s="80"/>
      <c r="I28" s="131">
        <v>75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98</v>
      </c>
      <c r="O28" s="311"/>
      <c r="P28" s="310"/>
      <c r="Q28" s="312"/>
      <c r="R28" s="367"/>
      <c r="S28" s="368"/>
      <c r="T28" s="36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12169</v>
      </c>
      <c r="C29" s="33" t="s">
        <v>408</v>
      </c>
      <c r="D29" s="200" t="s">
        <v>409</v>
      </c>
      <c r="E29" s="172" t="s">
        <v>92</v>
      </c>
      <c r="F29" s="167">
        <v>1200</v>
      </c>
      <c r="G29" s="19" t="s">
        <v>123</v>
      </c>
      <c r="H29" s="80">
        <v>55</v>
      </c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98</v>
      </c>
      <c r="O29" s="354"/>
      <c r="P29" s="355"/>
      <c r="Q29" s="356"/>
      <c r="R29" s="357"/>
      <c r="S29" s="358"/>
      <c r="T29" s="359"/>
      <c r="U29" s="140"/>
      <c r="X29" s="14">
        <v>3</v>
      </c>
      <c r="Z29" s="45"/>
      <c r="AE29" s="39"/>
    </row>
    <row r="30" spans="1:44" ht="16.5" customHeight="1" thickBot="1" x14ac:dyDescent="0.35">
      <c r="A30" s="360" t="s">
        <v>48</v>
      </c>
      <c r="B30" s="361"/>
      <c r="C30" s="361"/>
      <c r="D30" s="361"/>
      <c r="E30" s="362"/>
      <c r="F30" s="361"/>
      <c r="G30" s="361"/>
      <c r="H30" s="201">
        <f t="shared" ref="H30:M30" si="3">SUM(H5:H29)</f>
        <v>955</v>
      </c>
      <c r="I30" s="96">
        <f>SUM(I5:I29)</f>
        <v>1145</v>
      </c>
      <c r="J30" s="96">
        <f>J5+J6+J7+J8+J9+J10+J11+J12+J13+J14+J15+J16+J18+J19+J17+J20+J22+J23+J21+J24+J25+J26+J27+J28+J29</f>
        <v>55</v>
      </c>
      <c r="K30" s="96">
        <f>K5+K6+K7+K8+K9+K10+K11+K12+K13+K14+K15+K16+K18+K19+K17+K20+K22+K23+K21+K24+K25+K26+K27+K28+K29</f>
        <v>158.19999999999999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63"/>
      <c r="S30" s="363"/>
      <c r="T30" s="364"/>
      <c r="U30" s="141"/>
      <c r="X30" s="14">
        <v>4</v>
      </c>
      <c r="Z30" s="45"/>
      <c r="AD30" s="46"/>
    </row>
    <row r="31" spans="1:44" x14ac:dyDescent="0.3">
      <c r="A31" s="365" t="s">
        <v>16</v>
      </c>
      <c r="B31" s="366"/>
      <c r="C31" s="366"/>
      <c r="D31" s="366"/>
      <c r="E31" s="366"/>
      <c r="F31" s="366"/>
      <c r="G31" s="366"/>
      <c r="H31" s="202">
        <f t="shared" ref="H31:J31" si="4">H30+H62+H94</f>
        <v>1250</v>
      </c>
      <c r="I31" s="94">
        <f t="shared" si="4"/>
        <v>2390</v>
      </c>
      <c r="J31" s="94">
        <f t="shared" si="4"/>
        <v>55</v>
      </c>
      <c r="K31" s="94">
        <f>K30+K62+K94</f>
        <v>441.4</v>
      </c>
      <c r="L31" s="88">
        <f>L30+L62+L94</f>
        <v>0</v>
      </c>
      <c r="M31" s="88">
        <f>M30+M62+M94</f>
        <v>750</v>
      </c>
      <c r="N31" s="207">
        <f>COUNT(H5:H29,H37:H61,H69:H93)</f>
        <v>13</v>
      </c>
      <c r="O31" s="95">
        <f>COUNT(I5:I29,I37:I61,I69:I93)</f>
        <v>23</v>
      </c>
      <c r="P31" s="95">
        <f>COUNTIF(G5:G29,"G*")+COUNTIF(G37:G61,"G*")+COUNTIF(G69:G93,"G*")+COUNTIF(G5:G29,"P*")+COUNTIF(G37:G61,"P*")+COUNTIF(G69:G93,"P*")</f>
        <v>5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1250</v>
      </c>
      <c r="T31" s="350">
        <f>H31+I31+L31+M31</f>
        <v>4390</v>
      </c>
      <c r="U31" s="35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70" t="s">
        <v>55</v>
      </c>
      <c r="B32" s="371"/>
      <c r="C32" s="98">
        <f>H31+I31+J31+K31</f>
        <v>4136.3999999999996</v>
      </c>
      <c r="D32" s="186"/>
      <c r="E32" s="98"/>
      <c r="F32" s="372" t="s">
        <v>53</v>
      </c>
      <c r="G32" s="372"/>
      <c r="H32" s="100">
        <f>COUNT(B5:B29,B37:B61,B69:B93)</f>
        <v>40</v>
      </c>
      <c r="I32" s="373" t="s">
        <v>54</v>
      </c>
      <c r="J32" s="373"/>
      <c r="K32" s="99">
        <f>C32/H32</f>
        <v>103.41</v>
      </c>
      <c r="L32" s="208"/>
      <c r="M32" s="208"/>
      <c r="N32" s="208">
        <f>H31/C32</f>
        <v>0.30219514553718213</v>
      </c>
      <c r="O32" s="208">
        <f>I31/C32</f>
        <v>0.57779711826709224</v>
      </c>
      <c r="P32" s="208">
        <f>K31/C32</f>
        <v>0.10671114979208975</v>
      </c>
      <c r="Q32" s="101">
        <f>J31/C32</f>
        <v>1.3296586403636013E-2</v>
      </c>
      <c r="R32" s="90" t="s">
        <v>82</v>
      </c>
      <c r="S32" s="203">
        <f>I31+M31</f>
        <v>3140</v>
      </c>
      <c r="T32" s="352"/>
      <c r="U32" s="353"/>
      <c r="V32" s="39"/>
      <c r="W32" s="39"/>
      <c r="X32" s="48" t="s">
        <v>27</v>
      </c>
      <c r="Y32" s="48"/>
      <c r="Z32" s="47">
        <f>I31</f>
        <v>2390</v>
      </c>
    </row>
    <row r="33" spans="1:33" ht="17.25" thickBot="1" x14ac:dyDescent="0.3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49" t="s">
        <v>29</v>
      </c>
      <c r="Y33" s="49"/>
      <c r="Z33" s="50">
        <f>SUM(Z31:Z32)</f>
        <v>-355</v>
      </c>
      <c r="AG33" s="35"/>
    </row>
    <row r="34" spans="1:33" ht="17.25" thickBot="1" x14ac:dyDescent="0.35">
      <c r="A34" s="344" t="str">
        <f>A2</f>
        <v>12-11-2022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SUNNY</v>
      </c>
      <c r="K34" s="346"/>
      <c r="L34" s="348" t="s">
        <v>50</v>
      </c>
      <c r="M34" s="349"/>
      <c r="N34" s="347"/>
      <c r="O34" s="345" t="str">
        <f>O2</f>
        <v>JOHN</v>
      </c>
      <c r="P34" s="345"/>
      <c r="Q34" s="346"/>
      <c r="R34" s="348" t="s">
        <v>51</v>
      </c>
      <c r="S34" s="347"/>
      <c r="T34" s="336">
        <f>T2</f>
        <v>6</v>
      </c>
      <c r="U34" s="33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37" t="s">
        <v>8</v>
      </c>
      <c r="P36" s="337"/>
      <c r="Q36" s="33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12170</v>
      </c>
      <c r="C37" s="59" t="s">
        <v>410</v>
      </c>
      <c r="D37" s="248" t="s">
        <v>411</v>
      </c>
      <c r="E37" s="171" t="s">
        <v>92</v>
      </c>
      <c r="F37" s="164">
        <v>1215</v>
      </c>
      <c r="G37" s="109" t="s">
        <v>105</v>
      </c>
      <c r="H37" s="82"/>
      <c r="I37" s="115">
        <v>75</v>
      </c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98</v>
      </c>
      <c r="O37" s="311"/>
      <c r="P37" s="310"/>
      <c r="Q37" s="312"/>
      <c r="R37" s="51"/>
      <c r="S37" s="52"/>
      <c r="T37" s="52"/>
      <c r="U37" s="61"/>
    </row>
    <row r="38" spans="1:33" x14ac:dyDescent="0.3">
      <c r="A38" s="118">
        <f>A37+1</f>
        <v>27</v>
      </c>
      <c r="B38" s="204">
        <v>12171</v>
      </c>
      <c r="C38" s="58" t="s">
        <v>412</v>
      </c>
      <c r="D38" s="185" t="s">
        <v>413</v>
      </c>
      <c r="E38" s="171" t="s">
        <v>91</v>
      </c>
      <c r="F38" s="169">
        <v>1225</v>
      </c>
      <c r="G38" s="109" t="s">
        <v>105</v>
      </c>
      <c r="H38" s="82"/>
      <c r="I38" s="115">
        <v>75</v>
      </c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 t="s">
        <v>98</v>
      </c>
      <c r="O38" s="338"/>
      <c r="P38" s="339"/>
      <c r="Q38" s="34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249">
        <v>12172</v>
      </c>
      <c r="C39" s="256" t="s">
        <v>414</v>
      </c>
      <c r="D39" s="291"/>
      <c r="E39" s="252" t="s">
        <v>92</v>
      </c>
      <c r="F39" s="292">
        <v>1300</v>
      </c>
      <c r="G39" s="249" t="s">
        <v>108</v>
      </c>
      <c r="H39" s="254"/>
      <c r="I39" s="254"/>
      <c r="J39" s="254" t="str">
        <f t="shared" si="6"/>
        <v>0</v>
      </c>
      <c r="K39" s="254">
        <v>125</v>
      </c>
      <c r="L39" s="255"/>
      <c r="M39" s="255">
        <v>750</v>
      </c>
      <c r="N39" s="254" t="s">
        <v>98</v>
      </c>
      <c r="O39" s="377" t="s">
        <v>415</v>
      </c>
      <c r="P39" s="378"/>
      <c r="Q39" s="379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>
        <v>12173</v>
      </c>
      <c r="C40" s="54" t="s">
        <v>416</v>
      </c>
      <c r="D40" s="174" t="s">
        <v>417</v>
      </c>
      <c r="E40" s="171" t="s">
        <v>92</v>
      </c>
      <c r="F40" s="170">
        <v>1320</v>
      </c>
      <c r="G40" s="110" t="s">
        <v>120</v>
      </c>
      <c r="H40" s="82"/>
      <c r="I40" s="82">
        <v>150</v>
      </c>
      <c r="J40" s="120" t="str">
        <f t="shared" si="6"/>
        <v>0</v>
      </c>
      <c r="K40" s="120" t="str">
        <f t="shared" si="5"/>
        <v>0</v>
      </c>
      <c r="L40" s="121"/>
      <c r="M40" s="121"/>
      <c r="N40" s="60" t="s">
        <v>98</v>
      </c>
      <c r="O40" s="341"/>
      <c r="P40" s="342"/>
      <c r="Q40" s="34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>
        <v>12174</v>
      </c>
      <c r="C41" s="54">
        <v>9900</v>
      </c>
      <c r="D41" s="174" t="s">
        <v>418</v>
      </c>
      <c r="E41" s="171" t="s">
        <v>92</v>
      </c>
      <c r="F41" s="170">
        <v>1325</v>
      </c>
      <c r="G41" s="110" t="s">
        <v>108</v>
      </c>
      <c r="H41" s="82"/>
      <c r="I41" s="82"/>
      <c r="J41" s="120" t="str">
        <f t="shared" si="6"/>
        <v>0</v>
      </c>
      <c r="K41" s="120">
        <v>79.099999999999994</v>
      </c>
      <c r="L41" s="121"/>
      <c r="M41" s="121"/>
      <c r="N41" s="60" t="s">
        <v>98</v>
      </c>
      <c r="O41" s="341" t="s">
        <v>419</v>
      </c>
      <c r="P41" s="342"/>
      <c r="Q41" s="34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>
        <v>12175</v>
      </c>
      <c r="C42" s="27" t="s">
        <v>420</v>
      </c>
      <c r="D42" s="175" t="s">
        <v>421</v>
      </c>
      <c r="E42" s="171" t="s">
        <v>92</v>
      </c>
      <c r="F42" s="163">
        <v>1330</v>
      </c>
      <c r="G42" s="111" t="s">
        <v>108</v>
      </c>
      <c r="H42" s="114"/>
      <c r="I42" s="116"/>
      <c r="J42" s="120" t="str">
        <f t="shared" si="6"/>
        <v>0</v>
      </c>
      <c r="K42" s="120">
        <v>79.099999999999994</v>
      </c>
      <c r="L42" s="121"/>
      <c r="M42" s="121"/>
      <c r="N42" s="60" t="s">
        <v>98</v>
      </c>
      <c r="O42" s="333" t="s">
        <v>422</v>
      </c>
      <c r="P42" s="334"/>
      <c r="Q42" s="33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>
        <v>12176</v>
      </c>
      <c r="C43" s="17" t="s">
        <v>423</v>
      </c>
      <c r="D43" s="181" t="s">
        <v>424</v>
      </c>
      <c r="E43" s="171" t="s">
        <v>91</v>
      </c>
      <c r="F43" s="57">
        <v>1345</v>
      </c>
      <c r="G43" s="143" t="s">
        <v>105</v>
      </c>
      <c r="H43" s="114"/>
      <c r="I43" s="115">
        <v>95</v>
      </c>
      <c r="J43" s="120" t="str">
        <f t="shared" si="6"/>
        <v>0</v>
      </c>
      <c r="K43" s="120" t="str">
        <f t="shared" si="5"/>
        <v>0</v>
      </c>
      <c r="L43" s="121"/>
      <c r="M43" s="121"/>
      <c r="N43" s="60" t="s">
        <v>98</v>
      </c>
      <c r="O43" s="311"/>
      <c r="P43" s="310"/>
      <c r="Q43" s="31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>
        <v>12177</v>
      </c>
      <c r="C44" s="55" t="s">
        <v>425</v>
      </c>
      <c r="D44" s="176" t="s">
        <v>426</v>
      </c>
      <c r="E44" s="171" t="s">
        <v>92</v>
      </c>
      <c r="F44" s="163">
        <v>1410</v>
      </c>
      <c r="G44" s="110" t="s">
        <v>123</v>
      </c>
      <c r="H44" s="114"/>
      <c r="I44" s="116">
        <v>75</v>
      </c>
      <c r="J44" s="120" t="str">
        <f t="shared" si="6"/>
        <v>0</v>
      </c>
      <c r="K44" s="120" t="str">
        <f t="shared" si="5"/>
        <v>0</v>
      </c>
      <c r="L44" s="121"/>
      <c r="M44" s="121"/>
      <c r="N44" s="60" t="s">
        <v>98</v>
      </c>
      <c r="O44" s="311"/>
      <c r="P44" s="310"/>
      <c r="Q44" s="31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>
        <v>12178</v>
      </c>
      <c r="C45" s="55" t="s">
        <v>427</v>
      </c>
      <c r="D45" s="176" t="s">
        <v>428</v>
      </c>
      <c r="E45" s="171" t="s">
        <v>92</v>
      </c>
      <c r="F45" s="163">
        <v>1410</v>
      </c>
      <c r="G45" s="110" t="s">
        <v>123</v>
      </c>
      <c r="H45" s="114"/>
      <c r="I45" s="116">
        <v>75</v>
      </c>
      <c r="J45" s="120" t="str">
        <f t="shared" si="6"/>
        <v>0</v>
      </c>
      <c r="K45" s="120" t="str">
        <f t="shared" si="5"/>
        <v>0</v>
      </c>
      <c r="L45" s="121"/>
      <c r="M45" s="121"/>
      <c r="N45" s="60" t="s">
        <v>98</v>
      </c>
      <c r="O45" s="311"/>
      <c r="P45" s="310"/>
      <c r="Q45" s="31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>
        <v>12179</v>
      </c>
      <c r="C46" s="56" t="s">
        <v>429</v>
      </c>
      <c r="D46" s="177" t="s">
        <v>430</v>
      </c>
      <c r="E46" s="171" t="s">
        <v>91</v>
      </c>
      <c r="F46" s="160">
        <v>1430</v>
      </c>
      <c r="G46" s="113" t="s">
        <v>105</v>
      </c>
      <c r="H46" s="114">
        <v>95</v>
      </c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 t="s">
        <v>98</v>
      </c>
      <c r="O46" s="311"/>
      <c r="P46" s="310"/>
      <c r="Q46" s="31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>
        <v>12180</v>
      </c>
      <c r="C47" s="17" t="s">
        <v>431</v>
      </c>
      <c r="D47" s="181" t="s">
        <v>432</v>
      </c>
      <c r="E47" s="171" t="s">
        <v>91</v>
      </c>
      <c r="F47" s="57">
        <v>1440</v>
      </c>
      <c r="G47" s="112" t="s">
        <v>120</v>
      </c>
      <c r="H47" s="114">
        <v>150</v>
      </c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 t="s">
        <v>98</v>
      </c>
      <c r="O47" s="311"/>
      <c r="P47" s="310"/>
      <c r="Q47" s="31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>
        <v>12181</v>
      </c>
      <c r="C48" s="56" t="s">
        <v>433</v>
      </c>
      <c r="D48" s="177" t="s">
        <v>434</v>
      </c>
      <c r="E48" s="171" t="s">
        <v>91</v>
      </c>
      <c r="F48" s="160">
        <v>1550</v>
      </c>
      <c r="G48" s="113" t="s">
        <v>105</v>
      </c>
      <c r="H48" s="114">
        <v>50</v>
      </c>
      <c r="I48" s="115">
        <v>25</v>
      </c>
      <c r="J48" s="120" t="str">
        <f t="shared" si="6"/>
        <v>0</v>
      </c>
      <c r="K48" s="120" t="str">
        <f t="shared" si="5"/>
        <v>0</v>
      </c>
      <c r="L48" s="121"/>
      <c r="M48" s="121"/>
      <c r="N48" s="60" t="s">
        <v>98</v>
      </c>
      <c r="O48" s="311"/>
      <c r="P48" s="310"/>
      <c r="Q48" s="312"/>
      <c r="R48" s="5"/>
      <c r="S48" s="62"/>
      <c r="T48" s="62"/>
      <c r="U48" s="63"/>
    </row>
    <row r="49" spans="1:21" x14ac:dyDescent="0.3">
      <c r="A49" s="118">
        <f t="shared" si="7"/>
        <v>38</v>
      </c>
      <c r="B49" s="109">
        <v>12182</v>
      </c>
      <c r="C49" s="17" t="s">
        <v>435</v>
      </c>
      <c r="D49" s="181" t="s">
        <v>436</v>
      </c>
      <c r="E49" s="171" t="s">
        <v>91</v>
      </c>
      <c r="F49" s="57">
        <v>1600</v>
      </c>
      <c r="G49" s="112" t="s">
        <v>437</v>
      </c>
      <c r="H49" s="114"/>
      <c r="I49" s="115">
        <v>480</v>
      </c>
      <c r="J49" s="120" t="str">
        <f t="shared" si="6"/>
        <v>0</v>
      </c>
      <c r="K49" s="120" t="str">
        <f t="shared" si="5"/>
        <v>0</v>
      </c>
      <c r="L49" s="121"/>
      <c r="M49" s="121"/>
      <c r="N49" s="60" t="s">
        <v>98</v>
      </c>
      <c r="O49" s="311"/>
      <c r="P49" s="310"/>
      <c r="Q49" s="31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>
        <v>12183</v>
      </c>
      <c r="C50" s="17" t="s">
        <v>438</v>
      </c>
      <c r="D50" s="181" t="s">
        <v>439</v>
      </c>
      <c r="E50" s="171" t="s">
        <v>92</v>
      </c>
      <c r="F50" s="57">
        <v>1620</v>
      </c>
      <c r="G50" s="19" t="s">
        <v>120</v>
      </c>
      <c r="H50" s="114"/>
      <c r="I50" s="115">
        <v>120</v>
      </c>
      <c r="J50" s="120" t="str">
        <f t="shared" si="6"/>
        <v>0</v>
      </c>
      <c r="K50" s="120" t="str">
        <f t="shared" si="5"/>
        <v>0</v>
      </c>
      <c r="L50" s="121"/>
      <c r="M50" s="121"/>
      <c r="N50" s="60" t="s">
        <v>98</v>
      </c>
      <c r="O50" s="311"/>
      <c r="P50" s="310"/>
      <c r="Q50" s="312"/>
      <c r="R50" s="5"/>
      <c r="S50" s="62"/>
      <c r="T50" s="66"/>
      <c r="U50" s="63"/>
    </row>
    <row r="51" spans="1:21" x14ac:dyDescent="0.3">
      <c r="A51" s="118">
        <f t="shared" si="7"/>
        <v>40</v>
      </c>
      <c r="B51" s="109">
        <v>12184</v>
      </c>
      <c r="C51" s="17" t="s">
        <v>440</v>
      </c>
      <c r="D51" s="181" t="s">
        <v>441</v>
      </c>
      <c r="E51" s="171" t="s">
        <v>92</v>
      </c>
      <c r="F51" s="57">
        <v>1630</v>
      </c>
      <c r="G51" s="112" t="s">
        <v>157</v>
      </c>
      <c r="H51" s="114"/>
      <c r="I51" s="115">
        <v>75</v>
      </c>
      <c r="J51" s="120" t="str">
        <f t="shared" si="6"/>
        <v>0</v>
      </c>
      <c r="K51" s="120" t="str">
        <f t="shared" si="5"/>
        <v>0</v>
      </c>
      <c r="L51" s="121"/>
      <c r="M51" s="121"/>
      <c r="N51" s="60" t="s">
        <v>98</v>
      </c>
      <c r="O51" s="311"/>
      <c r="P51" s="310"/>
      <c r="Q51" s="31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 t="s">
        <v>98</v>
      </c>
      <c r="O52" s="311"/>
      <c r="P52" s="310"/>
      <c r="Q52" s="31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2"/>
      <c r="P53" s="311"/>
      <c r="Q53" s="31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2"/>
      <c r="P54" s="311"/>
      <c r="Q54" s="31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2"/>
      <c r="P55" s="311"/>
      <c r="Q55" s="31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0"/>
      <c r="P56" s="310"/>
      <c r="Q56" s="31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1"/>
      <c r="P57" s="310"/>
      <c r="Q57" s="31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0"/>
      <c r="P58" s="310"/>
      <c r="Q58" s="31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0"/>
      <c r="P59" s="310"/>
      <c r="Q59" s="31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1"/>
      <c r="P60" s="310"/>
      <c r="Q60" s="31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3"/>
      <c r="P61" s="314"/>
      <c r="Q61" s="315"/>
      <c r="R61" s="72"/>
      <c r="S61" s="59"/>
      <c r="T61" s="59"/>
      <c r="U61" s="68"/>
    </row>
    <row r="62" spans="1:21" x14ac:dyDescent="0.3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295</v>
      </c>
      <c r="I62" s="323">
        <f t="shared" si="8"/>
        <v>1245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283.2</v>
      </c>
      <c r="L62" s="326">
        <f t="shared" si="8"/>
        <v>0</v>
      </c>
      <c r="M62" s="329">
        <f t="shared" si="8"/>
        <v>750</v>
      </c>
      <c r="N62" s="298"/>
      <c r="O62" s="299"/>
      <c r="P62" s="299"/>
      <c r="Q62" s="300"/>
      <c r="R62" s="5"/>
      <c r="S62" s="6"/>
      <c r="T62" s="7"/>
      <c r="U62" s="8"/>
    </row>
    <row r="63" spans="1:21" ht="17.25" thickBot="1" x14ac:dyDescent="0.3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7.25" thickBot="1" x14ac:dyDescent="0.3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7.25" thickBot="1" x14ac:dyDescent="0.3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7.25" thickBot="1" x14ac:dyDescent="0.35">
      <c r="A66" s="344" t="str">
        <f>A34</f>
        <v>12-11-2022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SUNNY</v>
      </c>
      <c r="K66" s="346"/>
      <c r="L66" s="348" t="s">
        <v>50</v>
      </c>
      <c r="M66" s="349"/>
      <c r="N66" s="347"/>
      <c r="O66" s="345" t="str">
        <f>O34</f>
        <v>JOHN</v>
      </c>
      <c r="P66" s="345"/>
      <c r="Q66" s="346"/>
      <c r="R66" s="348" t="s">
        <v>51</v>
      </c>
      <c r="S66" s="347"/>
      <c r="T66" s="336">
        <f>T34</f>
        <v>6</v>
      </c>
      <c r="U66" s="33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37" t="s">
        <v>8</v>
      </c>
      <c r="P68" s="337"/>
      <c r="Q68" s="33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1"/>
      <c r="P69" s="310"/>
      <c r="Q69" s="31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38"/>
      <c r="P70" s="339"/>
      <c r="Q70" s="34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1"/>
      <c r="P71" s="310"/>
      <c r="Q71" s="31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41"/>
      <c r="P72" s="342"/>
      <c r="Q72" s="34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41"/>
      <c r="P73" s="342"/>
      <c r="Q73" s="34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33"/>
      <c r="P74" s="334"/>
      <c r="Q74" s="33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1"/>
      <c r="P75" s="310"/>
      <c r="Q75" s="31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1"/>
      <c r="P76" s="310"/>
      <c r="Q76" s="31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1"/>
      <c r="P77" s="310"/>
      <c r="Q77" s="31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1"/>
      <c r="P78" s="310"/>
      <c r="Q78" s="31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1"/>
      <c r="P79" s="310"/>
      <c r="Q79" s="31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1"/>
      <c r="P80" s="310"/>
      <c r="Q80" s="31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1"/>
      <c r="P81" s="310"/>
      <c r="Q81" s="31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1"/>
      <c r="P82" s="310"/>
      <c r="Q82" s="31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1"/>
      <c r="P83" s="310"/>
      <c r="Q83" s="31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1"/>
      <c r="P84" s="310"/>
      <c r="Q84" s="31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2"/>
      <c r="P85" s="311"/>
      <c r="Q85" s="31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2"/>
      <c r="P86" s="311"/>
      <c r="Q86" s="31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2"/>
      <c r="P87" s="311"/>
      <c r="Q87" s="31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0"/>
      <c r="P88" s="310"/>
      <c r="Q88" s="31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1"/>
      <c r="P89" s="310"/>
      <c r="Q89" s="31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0"/>
      <c r="P90" s="310"/>
      <c r="Q90" s="31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0"/>
      <c r="P91" s="310"/>
      <c r="Q91" s="31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1"/>
      <c r="P92" s="310"/>
      <c r="Q92" s="31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3"/>
      <c r="P93" s="314"/>
      <c r="Q93" s="315"/>
      <c r="R93" s="72"/>
      <c r="S93" s="59"/>
      <c r="T93" s="59"/>
      <c r="U93" s="68"/>
    </row>
    <row r="94" spans="1:21" x14ac:dyDescent="0.3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7.25" thickBot="1" x14ac:dyDescent="0.3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7.25" thickBot="1" x14ac:dyDescent="0.3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="80" zoomScaleNormal="80" zoomScaleSheetLayoutView="77" workbookViewId="0">
      <selection activeCell="O37" sqref="O37:Q37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44" t="s">
        <v>77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6"/>
    </row>
    <row r="2" spans="1:44" ht="17.25" thickBot="1" x14ac:dyDescent="0.35">
      <c r="A2" s="344" t="s">
        <v>443</v>
      </c>
      <c r="B2" s="345"/>
      <c r="C2" s="345"/>
      <c r="D2" s="345"/>
      <c r="E2" s="345"/>
      <c r="F2" s="345"/>
      <c r="G2" s="346"/>
      <c r="H2" s="347" t="s">
        <v>49</v>
      </c>
      <c r="I2" s="348"/>
      <c r="J2" s="344" t="s">
        <v>194</v>
      </c>
      <c r="K2" s="346"/>
      <c r="L2" s="348" t="s">
        <v>96</v>
      </c>
      <c r="M2" s="349"/>
      <c r="N2" s="347"/>
      <c r="O2" s="345" t="s">
        <v>98</v>
      </c>
      <c r="P2" s="345"/>
      <c r="Q2" s="346"/>
      <c r="R2" s="348" t="s">
        <v>51</v>
      </c>
      <c r="S2" s="347"/>
      <c r="T2" s="336">
        <v>6</v>
      </c>
      <c r="U2" s="33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37" t="s">
        <v>8</v>
      </c>
      <c r="P4" s="337"/>
      <c r="Q4" s="33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12185</v>
      </c>
      <c r="C5" s="59" t="s">
        <v>445</v>
      </c>
      <c r="D5" s="190" t="s">
        <v>446</v>
      </c>
      <c r="E5" s="171" t="s">
        <v>92</v>
      </c>
      <c r="F5" s="160">
        <v>820</v>
      </c>
      <c r="G5" s="109" t="s">
        <v>120</v>
      </c>
      <c r="H5" s="82"/>
      <c r="I5" s="115">
        <v>150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89"/>
      <c r="P5" s="390"/>
      <c r="Q5" s="391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12186</v>
      </c>
      <c r="C6" s="58" t="s">
        <v>447</v>
      </c>
      <c r="D6" s="190" t="s">
        <v>448</v>
      </c>
      <c r="E6" s="171" t="s">
        <v>91</v>
      </c>
      <c r="F6" s="161">
        <v>915</v>
      </c>
      <c r="G6" s="109" t="s">
        <v>105</v>
      </c>
      <c r="H6" s="82"/>
      <c r="I6" s="115">
        <v>95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38"/>
      <c r="P6" s="339"/>
      <c r="Q6" s="340"/>
      <c r="R6" s="32" t="s">
        <v>100</v>
      </c>
      <c r="S6" s="30">
        <v>0.33333333333333331</v>
      </c>
      <c r="T6" s="31">
        <v>0.70833333333333337</v>
      </c>
      <c r="U6" s="83">
        <f t="shared" si="0"/>
        <v>9.0000000000000018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12187</v>
      </c>
      <c r="C7" s="58" t="s">
        <v>449</v>
      </c>
      <c r="D7" s="190" t="s">
        <v>450</v>
      </c>
      <c r="E7" s="171" t="s">
        <v>92</v>
      </c>
      <c r="F7" s="161">
        <v>930</v>
      </c>
      <c r="G7" s="109" t="s">
        <v>105</v>
      </c>
      <c r="H7" s="82"/>
      <c r="I7" s="115">
        <v>95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311"/>
      <c r="P7" s="310"/>
      <c r="Q7" s="312"/>
      <c r="R7" s="122" t="s">
        <v>294</v>
      </c>
      <c r="S7" s="30">
        <v>0.33333333333333331</v>
      </c>
      <c r="T7" s="31">
        <v>0.6875</v>
      </c>
      <c r="U7" s="83">
        <f t="shared" si="0"/>
        <v>8.5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12188</v>
      </c>
      <c r="C8" s="26" t="s">
        <v>451</v>
      </c>
      <c r="D8" s="190" t="s">
        <v>452</v>
      </c>
      <c r="E8" s="171" t="s">
        <v>91</v>
      </c>
      <c r="F8" s="161">
        <v>930</v>
      </c>
      <c r="G8" s="109" t="s">
        <v>123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41"/>
      <c r="P8" s="342"/>
      <c r="Q8" s="343"/>
      <c r="R8" s="25" t="s">
        <v>102</v>
      </c>
      <c r="S8" s="30">
        <v>0.45833333333333331</v>
      </c>
      <c r="T8" s="31">
        <v>0.70833333333333337</v>
      </c>
      <c r="U8" s="83">
        <f t="shared" si="0"/>
        <v>6.0000000000000018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12189</v>
      </c>
      <c r="C9" s="54" t="s">
        <v>453</v>
      </c>
      <c r="D9" s="191" t="s">
        <v>454</v>
      </c>
      <c r="E9" s="171" t="s">
        <v>91</v>
      </c>
      <c r="F9" s="162">
        <v>930</v>
      </c>
      <c r="G9" s="110" t="s">
        <v>105</v>
      </c>
      <c r="H9" s="82">
        <v>75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41"/>
      <c r="P9" s="342"/>
      <c r="Q9" s="343"/>
      <c r="R9" s="25" t="s">
        <v>99</v>
      </c>
      <c r="S9" s="30">
        <v>0.39583333333333331</v>
      </c>
      <c r="T9" s="31">
        <v>0.70833333333333337</v>
      </c>
      <c r="U9" s="83">
        <f t="shared" si="0"/>
        <v>7.5000000000000018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12190</v>
      </c>
      <c r="C10" s="27" t="s">
        <v>455</v>
      </c>
      <c r="D10" s="192" t="s">
        <v>456</v>
      </c>
      <c r="E10" s="171" t="s">
        <v>91</v>
      </c>
      <c r="F10" s="163">
        <v>1000</v>
      </c>
      <c r="G10" s="111" t="s">
        <v>105</v>
      </c>
      <c r="H10" s="114"/>
      <c r="I10" s="116">
        <v>95</v>
      </c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33"/>
      <c r="P10" s="334"/>
      <c r="Q10" s="335"/>
      <c r="R10" s="25" t="s">
        <v>444</v>
      </c>
      <c r="S10" s="30">
        <v>0.375</v>
      </c>
      <c r="T10" s="31">
        <v>0.70833333333333337</v>
      </c>
      <c r="U10" s="83">
        <f t="shared" si="0"/>
        <v>8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12191</v>
      </c>
      <c r="C11" s="17" t="s">
        <v>457</v>
      </c>
      <c r="D11" s="193" t="s">
        <v>458</v>
      </c>
      <c r="E11" s="171" t="s">
        <v>91</v>
      </c>
      <c r="F11" s="57">
        <v>1010</v>
      </c>
      <c r="G11" s="112" t="s">
        <v>105</v>
      </c>
      <c r="H11" s="114"/>
      <c r="I11" s="115">
        <v>95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311"/>
      <c r="P11" s="310"/>
      <c r="Q11" s="31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12192</v>
      </c>
      <c r="C12" s="55" t="s">
        <v>459</v>
      </c>
      <c r="D12" s="194" t="s">
        <v>460</v>
      </c>
      <c r="E12" s="171" t="s">
        <v>92</v>
      </c>
      <c r="F12" s="163">
        <v>1030</v>
      </c>
      <c r="G12" s="110" t="s">
        <v>105</v>
      </c>
      <c r="H12" s="114"/>
      <c r="I12" s="116">
        <v>100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311"/>
      <c r="P12" s="310"/>
      <c r="Q12" s="31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12193</v>
      </c>
      <c r="C13" s="55" t="s">
        <v>461</v>
      </c>
      <c r="D13" s="194" t="s">
        <v>462</v>
      </c>
      <c r="E13" s="171" t="s">
        <v>92</v>
      </c>
      <c r="F13" s="163">
        <v>1050</v>
      </c>
      <c r="G13" s="110" t="s">
        <v>437</v>
      </c>
      <c r="H13" s="159"/>
      <c r="I13" s="158">
        <v>500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311"/>
      <c r="P13" s="310"/>
      <c r="Q13" s="31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12194</v>
      </c>
      <c r="C14" s="56" t="s">
        <v>463</v>
      </c>
      <c r="D14" s="195" t="s">
        <v>464</v>
      </c>
      <c r="E14" s="171" t="s">
        <v>91</v>
      </c>
      <c r="F14" s="164">
        <v>1100</v>
      </c>
      <c r="G14" s="113" t="s">
        <v>105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311"/>
      <c r="P14" s="310"/>
      <c r="Q14" s="31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12195</v>
      </c>
      <c r="C15" s="56" t="s">
        <v>465</v>
      </c>
      <c r="D15" s="195" t="s">
        <v>466</v>
      </c>
      <c r="E15" s="171" t="s">
        <v>92</v>
      </c>
      <c r="F15" s="164">
        <v>1130</v>
      </c>
      <c r="G15" s="113" t="s">
        <v>108</v>
      </c>
      <c r="H15" s="114"/>
      <c r="I15" s="115"/>
      <c r="J15" s="120" t="str">
        <f t="shared" si="1"/>
        <v>0</v>
      </c>
      <c r="K15" s="120">
        <v>79.099999999999994</v>
      </c>
      <c r="L15" s="121"/>
      <c r="M15" s="121"/>
      <c r="N15" s="124" t="s">
        <v>98</v>
      </c>
      <c r="O15" s="311" t="s">
        <v>467</v>
      </c>
      <c r="P15" s="310"/>
      <c r="Q15" s="31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12196</v>
      </c>
      <c r="C16" s="56" t="s">
        <v>468</v>
      </c>
      <c r="D16" s="195" t="s">
        <v>469</v>
      </c>
      <c r="E16" s="171" t="s">
        <v>91</v>
      </c>
      <c r="F16" s="164">
        <v>1130</v>
      </c>
      <c r="G16" s="113" t="s">
        <v>105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311"/>
      <c r="P16" s="310"/>
      <c r="Q16" s="312"/>
      <c r="R16" s="73">
        <f>H32/U16</f>
        <v>0.52083333333333326</v>
      </c>
      <c r="S16" s="74">
        <f>H32/(U16-U5)</f>
        <v>0.64102564102564086</v>
      </c>
      <c r="T16" s="74">
        <f>C32/U16</f>
        <v>61.804166666666653</v>
      </c>
      <c r="U16" s="74">
        <f>SUM(U5:U15)</f>
        <v>48.000000000000007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12197</v>
      </c>
      <c r="C17" s="17" t="s">
        <v>470</v>
      </c>
      <c r="D17" s="193" t="s">
        <v>471</v>
      </c>
      <c r="E17" s="171" t="s">
        <v>92</v>
      </c>
      <c r="F17" s="57">
        <v>1130</v>
      </c>
      <c r="G17" s="112" t="s">
        <v>105</v>
      </c>
      <c r="H17" s="114">
        <v>95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311"/>
      <c r="P17" s="310"/>
      <c r="Q17" s="31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12198</v>
      </c>
      <c r="C18" s="17" t="s">
        <v>472</v>
      </c>
      <c r="D18" s="193" t="s">
        <v>473</v>
      </c>
      <c r="E18" s="171" t="s">
        <v>92</v>
      </c>
      <c r="F18" s="57">
        <v>1130</v>
      </c>
      <c r="G18" s="19" t="s">
        <v>120</v>
      </c>
      <c r="H18" s="114"/>
      <c r="I18" s="115">
        <v>150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311"/>
      <c r="P18" s="310"/>
      <c r="Q18" s="31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294">
        <v>15</v>
      </c>
      <c r="B19" s="249">
        <v>12199</v>
      </c>
      <c r="C19" s="295" t="s">
        <v>474</v>
      </c>
      <c r="D19" s="296" t="s">
        <v>475</v>
      </c>
      <c r="E19" s="252" t="s">
        <v>91</v>
      </c>
      <c r="F19" s="292">
        <v>1155</v>
      </c>
      <c r="G19" s="297" t="s">
        <v>214</v>
      </c>
      <c r="H19" s="266"/>
      <c r="I19" s="254"/>
      <c r="J19" s="254" t="str">
        <f t="shared" si="1"/>
        <v>0</v>
      </c>
      <c r="K19" s="254">
        <v>62.5</v>
      </c>
      <c r="L19" s="255"/>
      <c r="M19" s="255">
        <v>375</v>
      </c>
      <c r="N19" s="256" t="s">
        <v>98</v>
      </c>
      <c r="O19" s="377" t="s">
        <v>476</v>
      </c>
      <c r="P19" s="378"/>
      <c r="Q19" s="378"/>
      <c r="R19" s="84" t="s">
        <v>45</v>
      </c>
      <c r="S19" s="85">
        <f>COUNT(L5:M29,L37:M61,L69:M93)</f>
        <v>1</v>
      </c>
      <c r="T19" s="107">
        <f>SUM(L5:M29,L37:M61,L69:M93)</f>
        <v>375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12200</v>
      </c>
      <c r="C20" s="17" t="s">
        <v>477</v>
      </c>
      <c r="D20" s="193" t="s">
        <v>478</v>
      </c>
      <c r="E20" s="171" t="s">
        <v>91</v>
      </c>
      <c r="F20" s="57">
        <v>1200</v>
      </c>
      <c r="G20" s="112" t="s">
        <v>214</v>
      </c>
      <c r="H20" s="114"/>
      <c r="I20" s="209"/>
      <c r="J20" s="120" t="str">
        <f t="shared" si="1"/>
        <v>0</v>
      </c>
      <c r="K20" s="211">
        <v>62.5</v>
      </c>
      <c r="L20" s="210"/>
      <c r="M20" s="210"/>
      <c r="N20" s="124" t="s">
        <v>98</v>
      </c>
      <c r="O20" s="311" t="s">
        <v>479</v>
      </c>
      <c r="P20" s="310"/>
      <c r="Q20" s="31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12201</v>
      </c>
      <c r="C21" s="17" t="s">
        <v>480</v>
      </c>
      <c r="D21" s="193" t="s">
        <v>481</v>
      </c>
      <c r="E21" s="171" t="s">
        <v>91</v>
      </c>
      <c r="F21" s="57">
        <v>1300</v>
      </c>
      <c r="G21" s="19" t="s">
        <v>105</v>
      </c>
      <c r="H21" s="114"/>
      <c r="I21" s="115">
        <v>155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311" t="s">
        <v>482</v>
      </c>
      <c r="P21" s="310"/>
      <c r="Q21" s="31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12202</v>
      </c>
      <c r="C22" s="21" t="s">
        <v>490</v>
      </c>
      <c r="D22" s="196" t="s">
        <v>491</v>
      </c>
      <c r="E22" s="171" t="s">
        <v>91</v>
      </c>
      <c r="F22" s="165">
        <v>1345</v>
      </c>
      <c r="G22" s="204" t="s">
        <v>214</v>
      </c>
      <c r="H22" s="80"/>
      <c r="I22" s="131"/>
      <c r="J22" s="120" t="str">
        <f t="shared" si="1"/>
        <v>0</v>
      </c>
      <c r="K22" s="120">
        <v>62.5</v>
      </c>
      <c r="L22" s="60"/>
      <c r="M22" s="60"/>
      <c r="N22" s="124" t="s">
        <v>98</v>
      </c>
      <c r="O22" s="311" t="s">
        <v>492</v>
      </c>
      <c r="P22" s="310"/>
      <c r="Q22" s="31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12203</v>
      </c>
      <c r="C23" s="21" t="s">
        <v>483</v>
      </c>
      <c r="D23" s="196" t="s">
        <v>484</v>
      </c>
      <c r="E23" s="171" t="s">
        <v>92</v>
      </c>
      <c r="F23" s="165">
        <v>1400</v>
      </c>
      <c r="G23" s="293" t="s">
        <v>120</v>
      </c>
      <c r="H23" s="80"/>
      <c r="I23" s="131">
        <v>120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98</v>
      </c>
      <c r="O23" s="153"/>
      <c r="P23" s="154"/>
      <c r="Q23" s="149"/>
      <c r="R23" s="104"/>
      <c r="S23" s="105"/>
      <c r="T23" s="105"/>
      <c r="U23" s="106"/>
      <c r="X23" s="380"/>
      <c r="Y23" s="381"/>
      <c r="Z23" s="381"/>
    </row>
    <row r="24" spans="1:44" ht="16.5" customHeight="1" thickBot="1" x14ac:dyDescent="0.35">
      <c r="A24" s="125">
        <v>20</v>
      </c>
      <c r="B24" s="123">
        <v>12204</v>
      </c>
      <c r="C24" s="126" t="s">
        <v>485</v>
      </c>
      <c r="D24" s="197" t="s">
        <v>486</v>
      </c>
      <c r="E24" s="171" t="s">
        <v>92</v>
      </c>
      <c r="F24" s="166">
        <v>1420</v>
      </c>
      <c r="G24" s="155" t="s">
        <v>120</v>
      </c>
      <c r="H24" s="80">
        <v>120</v>
      </c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98</v>
      </c>
      <c r="O24" s="311"/>
      <c r="P24" s="310"/>
      <c r="Q24" s="31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12205</v>
      </c>
      <c r="C25" s="122" t="s">
        <v>495</v>
      </c>
      <c r="D25" s="198" t="s">
        <v>496</v>
      </c>
      <c r="E25" s="171" t="s">
        <v>91</v>
      </c>
      <c r="F25" s="165">
        <v>1420</v>
      </c>
      <c r="G25" s="204" t="s">
        <v>497</v>
      </c>
      <c r="H25" s="81">
        <v>280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98</v>
      </c>
      <c r="O25" s="311"/>
      <c r="P25" s="310"/>
      <c r="Q25" s="31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87">
        <f>((C32+(R26+S26+T26)*0.5))</f>
        <v>2966.6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12206</v>
      </c>
      <c r="C26" s="26">
        <v>1333</v>
      </c>
      <c r="D26" s="199" t="s">
        <v>487</v>
      </c>
      <c r="E26" s="171" t="s">
        <v>92</v>
      </c>
      <c r="F26" s="167">
        <v>1430</v>
      </c>
      <c r="G26" s="19" t="s">
        <v>105</v>
      </c>
      <c r="H26" s="80"/>
      <c r="I26" s="131">
        <v>95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98</v>
      </c>
      <c r="O26" s="311"/>
      <c r="P26" s="310"/>
      <c r="Q26" s="312"/>
      <c r="R26" s="103">
        <f>R25*37.5</f>
        <v>0</v>
      </c>
      <c r="S26" s="93">
        <f>S25*41.5</f>
        <v>0</v>
      </c>
      <c r="T26" s="93">
        <f>T25*50</f>
        <v>0</v>
      </c>
      <c r="U26" s="388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12207</v>
      </c>
      <c r="C27" s="26" t="s">
        <v>488</v>
      </c>
      <c r="D27" s="199" t="s">
        <v>489</v>
      </c>
      <c r="E27" s="171" t="s">
        <v>92</v>
      </c>
      <c r="F27" s="167">
        <v>1430</v>
      </c>
      <c r="G27" s="19" t="s">
        <v>105</v>
      </c>
      <c r="H27" s="80"/>
      <c r="I27" s="131">
        <v>75</v>
      </c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98</v>
      </c>
      <c r="O27" s="311"/>
      <c r="P27" s="310"/>
      <c r="Q27" s="312"/>
      <c r="R27" s="374" t="s">
        <v>56</v>
      </c>
      <c r="S27" s="375"/>
      <c r="T27" s="375"/>
      <c r="U27" s="37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12208</v>
      </c>
      <c r="C28" s="26" t="s">
        <v>493</v>
      </c>
      <c r="D28" s="199" t="s">
        <v>494</v>
      </c>
      <c r="E28" s="171" t="s">
        <v>92</v>
      </c>
      <c r="F28" s="167">
        <v>1520</v>
      </c>
      <c r="G28" s="19" t="s">
        <v>105</v>
      </c>
      <c r="H28" s="80"/>
      <c r="I28" s="131">
        <v>75</v>
      </c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98</v>
      </c>
      <c r="O28" s="311"/>
      <c r="P28" s="310"/>
      <c r="Q28" s="312"/>
      <c r="R28" s="367"/>
      <c r="S28" s="368"/>
      <c r="T28" s="36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12209</v>
      </c>
      <c r="C29" s="33" t="s">
        <v>498</v>
      </c>
      <c r="D29" s="200" t="s">
        <v>499</v>
      </c>
      <c r="E29" s="172" t="s">
        <v>92</v>
      </c>
      <c r="F29" s="167">
        <v>1630</v>
      </c>
      <c r="G29" s="19" t="s">
        <v>105</v>
      </c>
      <c r="H29" s="80">
        <v>85</v>
      </c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98</v>
      </c>
      <c r="O29" s="354"/>
      <c r="P29" s="355"/>
      <c r="Q29" s="356"/>
      <c r="R29" s="357"/>
      <c r="S29" s="358"/>
      <c r="T29" s="359"/>
      <c r="U29" s="140"/>
      <c r="X29" s="14">
        <v>3</v>
      </c>
      <c r="Z29" s="45"/>
      <c r="AE29" s="39"/>
    </row>
    <row r="30" spans="1:44" ht="16.5" customHeight="1" thickBot="1" x14ac:dyDescent="0.35">
      <c r="A30" s="360" t="s">
        <v>48</v>
      </c>
      <c r="B30" s="361"/>
      <c r="C30" s="361"/>
      <c r="D30" s="361"/>
      <c r="E30" s="362"/>
      <c r="F30" s="361"/>
      <c r="G30" s="361"/>
      <c r="H30" s="201">
        <f t="shared" ref="H30:M30" si="3">SUM(H5:H29)</f>
        <v>750</v>
      </c>
      <c r="I30" s="96">
        <f>SUM(I5:I29)</f>
        <v>1950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266.60000000000002</v>
      </c>
      <c r="L30" s="97">
        <f t="shared" si="3"/>
        <v>0</v>
      </c>
      <c r="M30" s="97">
        <f t="shared" si="3"/>
        <v>375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63"/>
      <c r="S30" s="363"/>
      <c r="T30" s="364"/>
      <c r="U30" s="141"/>
      <c r="X30" s="14">
        <v>4</v>
      </c>
      <c r="Z30" s="45"/>
      <c r="AD30" s="46"/>
    </row>
    <row r="31" spans="1:44" x14ac:dyDescent="0.3">
      <c r="A31" s="365" t="s">
        <v>16</v>
      </c>
      <c r="B31" s="366"/>
      <c r="C31" s="366"/>
      <c r="D31" s="366"/>
      <c r="E31" s="366"/>
      <c r="F31" s="366"/>
      <c r="G31" s="366"/>
      <c r="H31" s="202">
        <f t="shared" ref="H31:J31" si="4">H30+H62+H94</f>
        <v>750</v>
      </c>
      <c r="I31" s="94">
        <f t="shared" si="4"/>
        <v>1950</v>
      </c>
      <c r="J31" s="94">
        <f t="shared" si="4"/>
        <v>0</v>
      </c>
      <c r="K31" s="94">
        <f>K30+K62+K94</f>
        <v>266.60000000000002</v>
      </c>
      <c r="L31" s="88">
        <f>L30+L62+L94</f>
        <v>0</v>
      </c>
      <c r="M31" s="88">
        <f>M30+M62+M94</f>
        <v>375</v>
      </c>
      <c r="N31" s="207">
        <f>COUNT(H5:H29,H37:H61,H69:H93)</f>
        <v>6</v>
      </c>
      <c r="O31" s="95">
        <f>COUNT(I5:I29,I37:I61,I69:I93)</f>
        <v>15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750</v>
      </c>
      <c r="T31" s="350">
        <f>H31+I31+L31+M31</f>
        <v>3075</v>
      </c>
      <c r="U31" s="35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70" t="s">
        <v>55</v>
      </c>
      <c r="B32" s="371"/>
      <c r="C32" s="98">
        <f>H31+I31+J31+K31</f>
        <v>2966.6</v>
      </c>
      <c r="D32" s="186"/>
      <c r="E32" s="98"/>
      <c r="F32" s="372" t="s">
        <v>53</v>
      </c>
      <c r="G32" s="372"/>
      <c r="H32" s="100">
        <f>COUNT(B5:B29,B37:B61,B69:B93)</f>
        <v>25</v>
      </c>
      <c r="I32" s="373" t="s">
        <v>54</v>
      </c>
      <c r="J32" s="373"/>
      <c r="K32" s="99">
        <f>C32/H32</f>
        <v>118.664</v>
      </c>
      <c r="L32" s="208"/>
      <c r="M32" s="208"/>
      <c r="N32" s="208">
        <f>H31/C32</f>
        <v>0.25281466999258412</v>
      </c>
      <c r="O32" s="208">
        <f>I31/C32</f>
        <v>0.6573181419807187</v>
      </c>
      <c r="P32" s="208">
        <f>K31/C32</f>
        <v>8.9867188026697242E-2</v>
      </c>
      <c r="Q32" s="101">
        <f>J31/C32</f>
        <v>0</v>
      </c>
      <c r="R32" s="90" t="s">
        <v>82</v>
      </c>
      <c r="S32" s="203">
        <f>I31+M31</f>
        <v>2325</v>
      </c>
      <c r="T32" s="352"/>
      <c r="U32" s="353"/>
      <c r="V32" s="39"/>
      <c r="W32" s="39"/>
      <c r="X32" s="48" t="s">
        <v>27</v>
      </c>
      <c r="Y32" s="48"/>
      <c r="Z32" s="47">
        <f>I31</f>
        <v>1950</v>
      </c>
    </row>
    <row r="33" spans="1:33" ht="17.25" thickBot="1" x14ac:dyDescent="0.35">
      <c r="A33" s="304" t="s">
        <v>24</v>
      </c>
      <c r="B33" s="305"/>
      <c r="C33" s="305"/>
      <c r="D33" s="305"/>
      <c r="E33" s="305"/>
      <c r="F33" s="305"/>
      <c r="G33" s="305"/>
      <c r="H33" s="305"/>
      <c r="I33" s="305"/>
      <c r="J33" s="305"/>
      <c r="K33" s="305"/>
      <c r="L33" s="305"/>
      <c r="M33" s="305"/>
      <c r="N33" s="305"/>
      <c r="O33" s="305"/>
      <c r="P33" s="305"/>
      <c r="Q33" s="305"/>
      <c r="R33" s="305"/>
      <c r="S33" s="305"/>
      <c r="T33" s="345"/>
      <c r="U33" s="346"/>
      <c r="X33" s="49" t="s">
        <v>29</v>
      </c>
      <c r="Y33" s="49"/>
      <c r="Z33" s="50">
        <f>SUM(Z31:Z32)</f>
        <v>-795</v>
      </c>
      <c r="AG33" s="35"/>
    </row>
    <row r="34" spans="1:33" ht="17.25" thickBot="1" x14ac:dyDescent="0.35">
      <c r="A34" s="344" t="str">
        <f>A2</f>
        <v>13-11-2022</v>
      </c>
      <c r="B34" s="345"/>
      <c r="C34" s="345"/>
      <c r="D34" s="345"/>
      <c r="E34" s="345"/>
      <c r="F34" s="345"/>
      <c r="G34" s="346"/>
      <c r="H34" s="347" t="s">
        <v>49</v>
      </c>
      <c r="I34" s="348"/>
      <c r="J34" s="344" t="str">
        <f>J2</f>
        <v>CLOUDY</v>
      </c>
      <c r="K34" s="346"/>
      <c r="L34" s="348" t="s">
        <v>50</v>
      </c>
      <c r="M34" s="349"/>
      <c r="N34" s="347"/>
      <c r="O34" s="345" t="str">
        <f>O2</f>
        <v>JOHN</v>
      </c>
      <c r="P34" s="345"/>
      <c r="Q34" s="346"/>
      <c r="R34" s="348" t="s">
        <v>51</v>
      </c>
      <c r="S34" s="347"/>
      <c r="T34" s="336">
        <f>T2</f>
        <v>6</v>
      </c>
      <c r="U34" s="33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37" t="s">
        <v>8</v>
      </c>
      <c r="P36" s="337"/>
      <c r="Q36" s="33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311"/>
      <c r="P37" s="310"/>
      <c r="Q37" s="31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38"/>
      <c r="P38" s="339"/>
      <c r="Q38" s="34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311"/>
      <c r="P39" s="310"/>
      <c r="Q39" s="31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41"/>
      <c r="P40" s="342"/>
      <c r="Q40" s="34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41"/>
      <c r="P41" s="342"/>
      <c r="Q41" s="34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33"/>
      <c r="P42" s="334"/>
      <c r="Q42" s="33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311"/>
      <c r="P43" s="310"/>
      <c r="Q43" s="31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311"/>
      <c r="P44" s="310"/>
      <c r="Q44" s="31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311"/>
      <c r="P45" s="310"/>
      <c r="Q45" s="31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311"/>
      <c r="P46" s="310"/>
      <c r="Q46" s="31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311"/>
      <c r="P47" s="310"/>
      <c r="Q47" s="31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311"/>
      <c r="P48" s="310"/>
      <c r="Q48" s="31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311"/>
      <c r="P49" s="310"/>
      <c r="Q49" s="31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311"/>
      <c r="P50" s="310"/>
      <c r="Q50" s="31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311"/>
      <c r="P51" s="310"/>
      <c r="Q51" s="31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311"/>
      <c r="P52" s="310"/>
      <c r="Q52" s="31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32"/>
      <c r="P53" s="311"/>
      <c r="Q53" s="31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32"/>
      <c r="P54" s="311"/>
      <c r="Q54" s="31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32"/>
      <c r="P55" s="311"/>
      <c r="Q55" s="31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310"/>
      <c r="P56" s="310"/>
      <c r="Q56" s="31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311"/>
      <c r="P57" s="310"/>
      <c r="Q57" s="31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310"/>
      <c r="P58" s="310"/>
      <c r="Q58" s="31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310"/>
      <c r="P59" s="310"/>
      <c r="Q59" s="31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311"/>
      <c r="P60" s="310"/>
      <c r="Q60" s="31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313"/>
      <c r="P61" s="314"/>
      <c r="Q61" s="315"/>
      <c r="R61" s="72"/>
      <c r="S61" s="59"/>
      <c r="T61" s="59"/>
      <c r="U61" s="68"/>
    </row>
    <row r="62" spans="1:21" x14ac:dyDescent="0.3">
      <c r="A62" s="316" t="s">
        <v>48</v>
      </c>
      <c r="B62" s="317"/>
      <c r="C62" s="317"/>
      <c r="D62" s="317"/>
      <c r="E62" s="317"/>
      <c r="F62" s="317"/>
      <c r="G62" s="317"/>
      <c r="H62" s="317">
        <f t="shared" ref="H62:M62" si="8">SUM(H37:H61)</f>
        <v>0</v>
      </c>
      <c r="I62" s="323">
        <f t="shared" si="8"/>
        <v>0</v>
      </c>
      <c r="J62" s="323">
        <f>J61+J60+J59+J58+J57+J56+J55+J54+J53+J52+J51+J50+J49+J48+J47+J46+J45+J44+J43+J42+J41+J40+J39+J38+J37</f>
        <v>0</v>
      </c>
      <c r="K62" s="323">
        <f>K61+K60+K59+K58+K57+K56+K55+K54+K53+K52+K51+K50+K49+K48+K47+K46+K45+K44+K43+K42+K41+K40+K39+K38+K37</f>
        <v>0</v>
      </c>
      <c r="L62" s="326">
        <f t="shared" si="8"/>
        <v>0</v>
      </c>
      <c r="M62" s="329">
        <f t="shared" si="8"/>
        <v>0</v>
      </c>
      <c r="N62" s="298"/>
      <c r="O62" s="299"/>
      <c r="P62" s="299"/>
      <c r="Q62" s="300"/>
      <c r="R62" s="5"/>
      <c r="S62" s="6"/>
      <c r="T62" s="7"/>
      <c r="U62" s="8"/>
    </row>
    <row r="63" spans="1:21" ht="17.25" thickBot="1" x14ac:dyDescent="0.35">
      <c r="A63" s="319"/>
      <c r="B63" s="320"/>
      <c r="C63" s="320"/>
      <c r="D63" s="320"/>
      <c r="E63" s="320"/>
      <c r="F63" s="320"/>
      <c r="G63" s="320"/>
      <c r="H63" s="320"/>
      <c r="I63" s="324"/>
      <c r="J63" s="324"/>
      <c r="K63" s="324"/>
      <c r="L63" s="327"/>
      <c r="M63" s="330"/>
      <c r="N63" s="301"/>
      <c r="O63" s="302"/>
      <c r="P63" s="302"/>
      <c r="Q63" s="303"/>
      <c r="R63" s="1"/>
      <c r="S63" s="2"/>
      <c r="T63" s="3"/>
      <c r="U63" s="4"/>
    </row>
    <row r="64" spans="1:21" ht="17.25" thickBot="1" x14ac:dyDescent="0.35">
      <c r="A64" s="321"/>
      <c r="B64" s="322"/>
      <c r="C64" s="322"/>
      <c r="D64" s="322"/>
      <c r="E64" s="322"/>
      <c r="F64" s="322"/>
      <c r="G64" s="322"/>
      <c r="H64" s="322"/>
      <c r="I64" s="325"/>
      <c r="J64" s="325"/>
      <c r="K64" s="325"/>
      <c r="L64" s="328"/>
      <c r="M64" s="331"/>
      <c r="N64" s="304"/>
      <c r="O64" s="305"/>
      <c r="P64" s="305"/>
      <c r="Q64" s="306"/>
      <c r="R64" s="307" t="s">
        <v>17</v>
      </c>
      <c r="S64" s="308"/>
      <c r="T64" s="308"/>
      <c r="U64" s="309"/>
    </row>
    <row r="65" spans="1:21" ht="17.25" thickBot="1" x14ac:dyDescent="0.35">
      <c r="A65" s="344" t="s">
        <v>24</v>
      </c>
      <c r="B65" s="345"/>
      <c r="C65" s="345"/>
      <c r="D65" s="345"/>
      <c r="E65" s="345"/>
      <c r="F65" s="345"/>
      <c r="G65" s="345"/>
      <c r="H65" s="345"/>
      <c r="I65" s="345"/>
      <c r="J65" s="345"/>
      <c r="K65" s="345"/>
      <c r="L65" s="345"/>
      <c r="M65" s="345"/>
      <c r="N65" s="345"/>
      <c r="O65" s="345"/>
      <c r="P65" s="345"/>
      <c r="Q65" s="345"/>
      <c r="R65" s="345"/>
      <c r="S65" s="345"/>
      <c r="T65" s="345"/>
      <c r="U65" s="346"/>
    </row>
    <row r="66" spans="1:21" ht="17.25" thickBot="1" x14ac:dyDescent="0.35">
      <c r="A66" s="344" t="str">
        <f>A34</f>
        <v>13-11-2022</v>
      </c>
      <c r="B66" s="345"/>
      <c r="C66" s="345"/>
      <c r="D66" s="345"/>
      <c r="E66" s="345"/>
      <c r="F66" s="345"/>
      <c r="G66" s="346"/>
      <c r="H66" s="347" t="s">
        <v>49</v>
      </c>
      <c r="I66" s="348"/>
      <c r="J66" s="344" t="str">
        <f>J34</f>
        <v>CLOUDY</v>
      </c>
      <c r="K66" s="346"/>
      <c r="L66" s="348" t="s">
        <v>50</v>
      </c>
      <c r="M66" s="349"/>
      <c r="N66" s="347"/>
      <c r="O66" s="345" t="str">
        <f>O34</f>
        <v>JOHN</v>
      </c>
      <c r="P66" s="345"/>
      <c r="Q66" s="346"/>
      <c r="R66" s="348" t="s">
        <v>51</v>
      </c>
      <c r="S66" s="347"/>
      <c r="T66" s="336">
        <f>T34</f>
        <v>6</v>
      </c>
      <c r="U66" s="33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37" t="s">
        <v>8</v>
      </c>
      <c r="P68" s="337"/>
      <c r="Q68" s="33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311"/>
      <c r="P69" s="310"/>
      <c r="Q69" s="31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38"/>
      <c r="P70" s="339"/>
      <c r="Q70" s="34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311"/>
      <c r="P71" s="310"/>
      <c r="Q71" s="31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41"/>
      <c r="P72" s="342"/>
      <c r="Q72" s="34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41"/>
      <c r="P73" s="342"/>
      <c r="Q73" s="34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33"/>
      <c r="P74" s="334"/>
      <c r="Q74" s="33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311"/>
      <c r="P75" s="310"/>
      <c r="Q75" s="31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311"/>
      <c r="P76" s="310"/>
      <c r="Q76" s="31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311"/>
      <c r="P77" s="310"/>
      <c r="Q77" s="31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311"/>
      <c r="P78" s="310"/>
      <c r="Q78" s="31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311"/>
      <c r="P79" s="310"/>
      <c r="Q79" s="31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311"/>
      <c r="P80" s="310"/>
      <c r="Q80" s="31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311"/>
      <c r="P81" s="310"/>
      <c r="Q81" s="31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311"/>
      <c r="P82" s="310"/>
      <c r="Q82" s="31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311"/>
      <c r="P83" s="310"/>
      <c r="Q83" s="31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311"/>
      <c r="P84" s="310"/>
      <c r="Q84" s="31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32"/>
      <c r="P85" s="311"/>
      <c r="Q85" s="31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32"/>
      <c r="P86" s="311"/>
      <c r="Q86" s="31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32"/>
      <c r="P87" s="311"/>
      <c r="Q87" s="31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310"/>
      <c r="P88" s="310"/>
      <c r="Q88" s="31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311"/>
      <c r="P89" s="310"/>
      <c r="Q89" s="31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310"/>
      <c r="P90" s="310"/>
      <c r="Q90" s="31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310"/>
      <c r="P91" s="310"/>
      <c r="Q91" s="31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311"/>
      <c r="P92" s="310"/>
      <c r="Q92" s="31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313"/>
      <c r="P93" s="314"/>
      <c r="Q93" s="315"/>
      <c r="R93" s="72"/>
      <c r="S93" s="59"/>
      <c r="T93" s="59"/>
      <c r="U93" s="68"/>
    </row>
    <row r="94" spans="1:21" x14ac:dyDescent="0.3">
      <c r="A94" s="316" t="s">
        <v>48</v>
      </c>
      <c r="B94" s="317"/>
      <c r="C94" s="317"/>
      <c r="D94" s="317"/>
      <c r="E94" s="318"/>
      <c r="F94" s="317"/>
      <c r="G94" s="317"/>
      <c r="H94" s="317">
        <f t="shared" ref="H94:M94" si="12">SUM(H69:H93)</f>
        <v>0</v>
      </c>
      <c r="I94" s="323">
        <f t="shared" si="12"/>
        <v>0</v>
      </c>
      <c r="J94" s="323">
        <f>J93+J92+J91+J90+J89+J88+J87+J86+J85+J84+J83+J82+J81+J80+J79+J78+J77+J76+J75+J74+J73+J72+J71+J70+J69</f>
        <v>0</v>
      </c>
      <c r="K94" s="323">
        <f>K93+K92+K91+K90+K89+K88+K87+K86+K85+K84+K83+K82+K81+K80+K79+K78+K77+K76+K75+K74+K73+K72+K71+K70+K69</f>
        <v>0</v>
      </c>
      <c r="L94" s="326">
        <f t="shared" si="12"/>
        <v>0</v>
      </c>
      <c r="M94" s="329">
        <f t="shared" si="12"/>
        <v>0</v>
      </c>
      <c r="N94" s="298"/>
      <c r="O94" s="299"/>
      <c r="P94" s="299"/>
      <c r="Q94" s="300"/>
      <c r="R94" s="5"/>
      <c r="S94" s="6"/>
      <c r="T94" s="7"/>
      <c r="U94" s="8"/>
    </row>
    <row r="95" spans="1:21" ht="17.25" thickBot="1" x14ac:dyDescent="0.35">
      <c r="A95" s="319"/>
      <c r="B95" s="320"/>
      <c r="C95" s="320"/>
      <c r="D95" s="320"/>
      <c r="E95" s="320"/>
      <c r="F95" s="320"/>
      <c r="G95" s="320"/>
      <c r="H95" s="320"/>
      <c r="I95" s="324"/>
      <c r="J95" s="324"/>
      <c r="K95" s="324"/>
      <c r="L95" s="327"/>
      <c r="M95" s="330"/>
      <c r="N95" s="301"/>
      <c r="O95" s="302"/>
      <c r="P95" s="302"/>
      <c r="Q95" s="303"/>
      <c r="R95" s="1"/>
      <c r="S95" s="2"/>
      <c r="T95" s="3"/>
      <c r="U95" s="4"/>
    </row>
    <row r="96" spans="1:21" ht="17.25" thickBot="1" x14ac:dyDescent="0.35">
      <c r="A96" s="321"/>
      <c r="B96" s="322"/>
      <c r="C96" s="322"/>
      <c r="D96" s="322"/>
      <c r="E96" s="322"/>
      <c r="F96" s="322"/>
      <c r="G96" s="322"/>
      <c r="H96" s="322"/>
      <c r="I96" s="325"/>
      <c r="J96" s="325"/>
      <c r="K96" s="325"/>
      <c r="L96" s="328"/>
      <c r="M96" s="331"/>
      <c r="N96" s="304"/>
      <c r="O96" s="305"/>
      <c r="P96" s="305"/>
      <c r="Q96" s="306"/>
      <c r="R96" s="307" t="s">
        <v>52</v>
      </c>
      <c r="S96" s="308"/>
      <c r="T96" s="308"/>
      <c r="U96" s="309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9" workbookViewId="0">
      <selection activeCell="H24" sqref="H24:K24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623"/>
      <c r="B1" s="623"/>
      <c r="C1" s="623"/>
      <c r="D1" s="623"/>
      <c r="E1" s="622" t="s">
        <v>59</v>
      </c>
      <c r="F1" s="622"/>
      <c r="G1" s="622"/>
      <c r="H1" s="622" t="s">
        <v>60</v>
      </c>
      <c r="I1" s="622"/>
      <c r="J1" s="622"/>
      <c r="K1" s="622"/>
      <c r="L1" s="622" t="s">
        <v>61</v>
      </c>
      <c r="M1" s="622"/>
      <c r="N1" s="622"/>
      <c r="O1" s="622"/>
      <c r="P1" s="622"/>
      <c r="Q1" s="622" t="s">
        <v>62</v>
      </c>
      <c r="R1" s="622"/>
      <c r="S1" s="622"/>
      <c r="T1" s="622"/>
      <c r="U1" s="622"/>
      <c r="V1" s="622" t="s">
        <v>63</v>
      </c>
      <c r="W1" s="622"/>
      <c r="X1" s="622"/>
      <c r="Y1" s="622"/>
      <c r="Z1" s="622"/>
      <c r="AA1" s="622" t="s">
        <v>64</v>
      </c>
      <c r="AB1" s="622"/>
      <c r="AC1" s="622"/>
      <c r="AD1" s="622"/>
    </row>
    <row r="2" spans="1:30" ht="20.100000000000001" customHeight="1" x14ac:dyDescent="0.3">
      <c r="A2" s="703" t="s">
        <v>66</v>
      </c>
      <c r="B2" s="514" t="s">
        <v>57</v>
      </c>
      <c r="C2" s="514"/>
      <c r="D2" s="538"/>
      <c r="E2" s="538">
        <f>MON!N31</f>
        <v>8</v>
      </c>
      <c r="F2" s="538"/>
      <c r="G2" s="538"/>
      <c r="H2" s="507">
        <f>MON!S31</f>
        <v>1570</v>
      </c>
      <c r="I2" s="507"/>
      <c r="J2" s="507"/>
      <c r="K2" s="507"/>
      <c r="L2" s="508">
        <f>MON!N32</f>
        <v>0.37313432835820898</v>
      </c>
      <c r="M2" s="508"/>
      <c r="N2" s="508"/>
      <c r="O2" s="508"/>
      <c r="P2" s="508"/>
      <c r="Q2" s="568">
        <f>SUM(E2:G5)</f>
        <v>27</v>
      </c>
      <c r="R2" s="569"/>
      <c r="S2" s="569"/>
      <c r="T2" s="569"/>
      <c r="U2" s="570"/>
      <c r="V2" s="633">
        <f>SUM(H2,H3,H5)</f>
        <v>3910</v>
      </c>
      <c r="W2" s="634"/>
      <c r="X2" s="634"/>
      <c r="Y2" s="634"/>
      <c r="Z2" s="635"/>
      <c r="AA2" s="642">
        <f>V2/Q2</f>
        <v>144.81481481481481</v>
      </c>
      <c r="AB2" s="643"/>
      <c r="AC2" s="643"/>
      <c r="AD2" s="644"/>
    </row>
    <row r="3" spans="1:30" ht="20.100000000000001" customHeight="1" x14ac:dyDescent="0.3">
      <c r="A3" s="704"/>
      <c r="B3" s="514" t="s">
        <v>58</v>
      </c>
      <c r="C3" s="514"/>
      <c r="D3" s="538"/>
      <c r="E3" s="538">
        <f>MON!O31</f>
        <v>11</v>
      </c>
      <c r="F3" s="538"/>
      <c r="G3" s="538"/>
      <c r="H3" s="507">
        <f>MON!S32</f>
        <v>2340</v>
      </c>
      <c r="I3" s="507"/>
      <c r="J3" s="507"/>
      <c r="K3" s="507"/>
      <c r="L3" s="508">
        <f>MON!O32</f>
        <v>0.37994956723233153</v>
      </c>
      <c r="M3" s="508"/>
      <c r="N3" s="508"/>
      <c r="O3" s="508"/>
      <c r="P3" s="508"/>
      <c r="Q3" s="571"/>
      <c r="R3" s="572"/>
      <c r="S3" s="572"/>
      <c r="T3" s="572"/>
      <c r="U3" s="573"/>
      <c r="V3" s="636"/>
      <c r="W3" s="637"/>
      <c r="X3" s="637"/>
      <c r="Y3" s="637"/>
      <c r="Z3" s="638"/>
      <c r="AA3" s="645"/>
      <c r="AB3" s="646"/>
      <c r="AC3" s="646"/>
      <c r="AD3" s="647"/>
    </row>
    <row r="4" spans="1:30" ht="20.100000000000001" customHeight="1" x14ac:dyDescent="0.3">
      <c r="A4" s="704"/>
      <c r="B4" s="514" t="s">
        <v>45</v>
      </c>
      <c r="C4" s="514"/>
      <c r="D4" s="538"/>
      <c r="E4" s="538">
        <f>MON!P31</f>
        <v>8</v>
      </c>
      <c r="F4" s="538"/>
      <c r="G4" s="538"/>
      <c r="H4" s="507">
        <f>MON!K31</f>
        <v>724.6</v>
      </c>
      <c r="I4" s="507"/>
      <c r="J4" s="507"/>
      <c r="K4" s="507"/>
      <c r="L4" s="508">
        <f>MON!P32</f>
        <v>0.24691610440945957</v>
      </c>
      <c r="M4" s="508"/>
      <c r="N4" s="508"/>
      <c r="O4" s="508"/>
      <c r="P4" s="508"/>
      <c r="Q4" s="571"/>
      <c r="R4" s="572"/>
      <c r="S4" s="572"/>
      <c r="T4" s="572"/>
      <c r="U4" s="573"/>
      <c r="V4" s="636"/>
      <c r="W4" s="637"/>
      <c r="X4" s="637"/>
      <c r="Y4" s="637"/>
      <c r="Z4" s="638"/>
      <c r="AA4" s="645"/>
      <c r="AB4" s="646"/>
      <c r="AC4" s="646"/>
      <c r="AD4" s="647"/>
    </row>
    <row r="5" spans="1:30" ht="20.100000000000001" customHeight="1" x14ac:dyDescent="0.3">
      <c r="A5" s="704"/>
      <c r="B5" s="512" t="s">
        <v>65</v>
      </c>
      <c r="C5" s="513"/>
      <c r="D5" s="514"/>
      <c r="E5" s="512">
        <f>MON!Q31</f>
        <v>0</v>
      </c>
      <c r="F5" s="513"/>
      <c r="G5" s="514"/>
      <c r="H5" s="560">
        <f>MON!J31</f>
        <v>0</v>
      </c>
      <c r="I5" s="561"/>
      <c r="J5" s="561"/>
      <c r="K5" s="562"/>
      <c r="L5" s="563">
        <f>MON!Q32</f>
        <v>0</v>
      </c>
      <c r="M5" s="564"/>
      <c r="N5" s="564"/>
      <c r="O5" s="564"/>
      <c r="P5" s="565"/>
      <c r="Q5" s="574"/>
      <c r="R5" s="575"/>
      <c r="S5" s="575"/>
      <c r="T5" s="575"/>
      <c r="U5" s="576"/>
      <c r="V5" s="639"/>
      <c r="W5" s="640"/>
      <c r="X5" s="640"/>
      <c r="Y5" s="640"/>
      <c r="Z5" s="641"/>
      <c r="AA5" s="648"/>
      <c r="AB5" s="649"/>
      <c r="AC5" s="649"/>
      <c r="AD5" s="650"/>
    </row>
    <row r="6" spans="1:30" ht="20.100000000000001" customHeight="1" x14ac:dyDescent="0.3">
      <c r="A6" s="705"/>
      <c r="B6" s="512" t="s">
        <v>94</v>
      </c>
      <c r="C6" s="513"/>
      <c r="D6" s="514"/>
      <c r="E6" s="512">
        <f>MON!U16</f>
        <v>40</v>
      </c>
      <c r="F6" s="513"/>
      <c r="G6" s="514"/>
      <c r="H6" s="560" t="s">
        <v>95</v>
      </c>
      <c r="I6" s="561"/>
      <c r="J6" s="561"/>
      <c r="K6" s="562"/>
      <c r="L6" s="616">
        <f>MON!T2</f>
        <v>5</v>
      </c>
      <c r="M6" s="617"/>
      <c r="N6" s="617"/>
      <c r="O6" s="617"/>
      <c r="P6" s="618"/>
      <c r="Q6" s="619"/>
      <c r="R6" s="620"/>
      <c r="S6" s="620"/>
      <c r="T6" s="620"/>
      <c r="U6" s="621"/>
      <c r="V6" s="724"/>
      <c r="W6" s="725"/>
      <c r="X6" s="725"/>
      <c r="Y6" s="725"/>
      <c r="Z6" s="726"/>
      <c r="AA6" s="727"/>
      <c r="AB6" s="728"/>
      <c r="AC6" s="728"/>
      <c r="AD6" s="729"/>
    </row>
    <row r="7" spans="1:30" ht="20.100000000000001" customHeight="1" x14ac:dyDescent="0.3">
      <c r="A7" s="706" t="s">
        <v>67</v>
      </c>
      <c r="B7" s="530" t="s">
        <v>57</v>
      </c>
      <c r="C7" s="530"/>
      <c r="D7" s="531"/>
      <c r="E7" s="531">
        <f>TUE!N31</f>
        <v>3</v>
      </c>
      <c r="F7" s="531"/>
      <c r="G7" s="531"/>
      <c r="H7" s="509">
        <f>TUE!S31</f>
        <v>280</v>
      </c>
      <c r="I7" s="509"/>
      <c r="J7" s="509"/>
      <c r="K7" s="509"/>
      <c r="L7" s="522">
        <f>TUE!N32</f>
        <v>0.16053573066691129</v>
      </c>
      <c r="M7" s="523"/>
      <c r="N7" s="523"/>
      <c r="O7" s="523"/>
      <c r="P7" s="524"/>
      <c r="Q7" s="598">
        <f>SUM(E7:G10)</f>
        <v>17</v>
      </c>
      <c r="R7" s="599"/>
      <c r="S7" s="599"/>
      <c r="T7" s="599"/>
      <c r="U7" s="600"/>
      <c r="V7" s="624">
        <f>SUM(H7,H8,H10)</f>
        <v>1665</v>
      </c>
      <c r="W7" s="625"/>
      <c r="X7" s="625"/>
      <c r="Y7" s="625"/>
      <c r="Z7" s="626"/>
      <c r="AA7" s="651">
        <f>V7/Q7</f>
        <v>97.941176470588232</v>
      </c>
      <c r="AB7" s="652"/>
      <c r="AC7" s="652"/>
      <c r="AD7" s="653"/>
    </row>
    <row r="8" spans="1:30" ht="20.100000000000001" customHeight="1" x14ac:dyDescent="0.3">
      <c r="A8" s="707"/>
      <c r="B8" s="530" t="s">
        <v>58</v>
      </c>
      <c r="C8" s="530"/>
      <c r="D8" s="531"/>
      <c r="E8" s="531">
        <f>TUE!O31</f>
        <v>13</v>
      </c>
      <c r="F8" s="531"/>
      <c r="G8" s="531"/>
      <c r="H8" s="509">
        <f>TUE!S32</f>
        <v>1385</v>
      </c>
      <c r="I8" s="509"/>
      <c r="J8" s="509"/>
      <c r="K8" s="509"/>
      <c r="L8" s="522">
        <f>TUE!O32</f>
        <v>0.79407852490597186</v>
      </c>
      <c r="M8" s="523"/>
      <c r="N8" s="523"/>
      <c r="O8" s="523"/>
      <c r="P8" s="524"/>
      <c r="Q8" s="601"/>
      <c r="R8" s="602"/>
      <c r="S8" s="602"/>
      <c r="T8" s="602"/>
      <c r="U8" s="603"/>
      <c r="V8" s="627"/>
      <c r="W8" s="628"/>
      <c r="X8" s="628"/>
      <c r="Y8" s="628"/>
      <c r="Z8" s="629"/>
      <c r="AA8" s="654"/>
      <c r="AB8" s="655"/>
      <c r="AC8" s="655"/>
      <c r="AD8" s="656"/>
    </row>
    <row r="9" spans="1:30" ht="20.100000000000001" customHeight="1" x14ac:dyDescent="0.3">
      <c r="A9" s="707"/>
      <c r="B9" s="530" t="s">
        <v>45</v>
      </c>
      <c r="C9" s="530"/>
      <c r="D9" s="531"/>
      <c r="E9" s="531">
        <f>TUE!P31</f>
        <v>1</v>
      </c>
      <c r="F9" s="531"/>
      <c r="G9" s="531"/>
      <c r="H9" s="509">
        <f>TUE!K31</f>
        <v>79.16</v>
      </c>
      <c r="I9" s="509"/>
      <c r="J9" s="509"/>
      <c r="K9" s="509"/>
      <c r="L9" s="522">
        <f>TUE!P32</f>
        <v>4.5385744427116771E-2</v>
      </c>
      <c r="M9" s="523"/>
      <c r="N9" s="523"/>
      <c r="O9" s="523"/>
      <c r="P9" s="524"/>
      <c r="Q9" s="601"/>
      <c r="R9" s="602"/>
      <c r="S9" s="602"/>
      <c r="T9" s="602"/>
      <c r="U9" s="603"/>
      <c r="V9" s="627"/>
      <c r="W9" s="628"/>
      <c r="X9" s="628"/>
      <c r="Y9" s="628"/>
      <c r="Z9" s="629"/>
      <c r="AA9" s="654"/>
      <c r="AB9" s="655"/>
      <c r="AC9" s="655"/>
      <c r="AD9" s="656"/>
    </row>
    <row r="10" spans="1:30" ht="20.100000000000001" customHeight="1" x14ac:dyDescent="0.3">
      <c r="A10" s="707"/>
      <c r="B10" s="566" t="s">
        <v>65</v>
      </c>
      <c r="C10" s="567"/>
      <c r="D10" s="530"/>
      <c r="E10" s="566">
        <f>TUE!Q31</f>
        <v>0</v>
      </c>
      <c r="F10" s="567"/>
      <c r="G10" s="530"/>
      <c r="H10" s="539">
        <f>TUE!J31</f>
        <v>0</v>
      </c>
      <c r="I10" s="540"/>
      <c r="J10" s="540"/>
      <c r="K10" s="541"/>
      <c r="L10" s="522">
        <f>TUE!Q32</f>
        <v>0</v>
      </c>
      <c r="M10" s="523"/>
      <c r="N10" s="523"/>
      <c r="O10" s="523"/>
      <c r="P10" s="524"/>
      <c r="Q10" s="604"/>
      <c r="R10" s="605"/>
      <c r="S10" s="605"/>
      <c r="T10" s="605"/>
      <c r="U10" s="606"/>
      <c r="V10" s="630"/>
      <c r="W10" s="631"/>
      <c r="X10" s="631"/>
      <c r="Y10" s="631"/>
      <c r="Z10" s="632"/>
      <c r="AA10" s="657"/>
      <c r="AB10" s="658"/>
      <c r="AC10" s="658"/>
      <c r="AD10" s="659"/>
    </row>
    <row r="11" spans="1:30" ht="20.100000000000001" customHeight="1" x14ac:dyDescent="0.3">
      <c r="A11" s="708"/>
      <c r="B11" s="566" t="s">
        <v>94</v>
      </c>
      <c r="C11" s="567"/>
      <c r="D11" s="530"/>
      <c r="E11" s="566">
        <f>TUE!U16</f>
        <v>38.75</v>
      </c>
      <c r="F11" s="567"/>
      <c r="G11" s="530"/>
      <c r="H11" s="539" t="s">
        <v>95</v>
      </c>
      <c r="I11" s="540"/>
      <c r="J11" s="540"/>
      <c r="K11" s="541"/>
      <c r="L11" s="730">
        <f>TUE!T2</f>
        <v>5</v>
      </c>
      <c r="M11" s="731"/>
      <c r="N11" s="731"/>
      <c r="O11" s="731"/>
      <c r="P11" s="732"/>
      <c r="Q11" s="733"/>
      <c r="R11" s="734"/>
      <c r="S11" s="734"/>
      <c r="T11" s="734"/>
      <c r="U11" s="735"/>
      <c r="V11" s="736"/>
      <c r="W11" s="737"/>
      <c r="X11" s="737"/>
      <c r="Y11" s="737"/>
      <c r="Z11" s="738"/>
      <c r="AA11" s="739"/>
      <c r="AB11" s="740"/>
      <c r="AC11" s="740"/>
      <c r="AD11" s="741"/>
    </row>
    <row r="12" spans="1:30" ht="20.100000000000001" customHeight="1" x14ac:dyDescent="0.3">
      <c r="A12" s="709" t="s">
        <v>68</v>
      </c>
      <c r="B12" s="515" t="s">
        <v>57</v>
      </c>
      <c r="C12" s="515"/>
      <c r="D12" s="320"/>
      <c r="E12" s="320">
        <f>WED!N31</f>
        <v>5</v>
      </c>
      <c r="F12" s="320"/>
      <c r="G12" s="320"/>
      <c r="H12" s="516">
        <f>WED!S31</f>
        <v>510</v>
      </c>
      <c r="I12" s="517"/>
      <c r="J12" s="517"/>
      <c r="K12" s="518"/>
      <c r="L12" s="519">
        <f>WED!N32</f>
        <v>0.53364026368107143</v>
      </c>
      <c r="M12" s="520"/>
      <c r="N12" s="520"/>
      <c r="O12" s="520"/>
      <c r="P12" s="521"/>
      <c r="Q12" s="577">
        <f>SUM(E12:G15)</f>
        <v>11</v>
      </c>
      <c r="R12" s="578"/>
      <c r="S12" s="578"/>
      <c r="T12" s="578"/>
      <c r="U12" s="579"/>
      <c r="V12" s="751">
        <f>SUM(H12,H13,H15)</f>
        <v>1210</v>
      </c>
      <c r="W12" s="752"/>
      <c r="X12" s="752"/>
      <c r="Y12" s="752"/>
      <c r="Z12" s="753"/>
      <c r="AA12" s="742">
        <f>V12/Q12</f>
        <v>110</v>
      </c>
      <c r="AB12" s="743"/>
      <c r="AC12" s="743"/>
      <c r="AD12" s="744"/>
    </row>
    <row r="13" spans="1:30" ht="20.100000000000001" customHeight="1" x14ac:dyDescent="0.3">
      <c r="A13" s="710"/>
      <c r="B13" s="515" t="s">
        <v>58</v>
      </c>
      <c r="C13" s="515"/>
      <c r="D13" s="320"/>
      <c r="E13" s="320">
        <f>WED!O31</f>
        <v>3</v>
      </c>
      <c r="F13" s="320"/>
      <c r="G13" s="320"/>
      <c r="H13" s="516">
        <f>WED!S32</f>
        <v>700</v>
      </c>
      <c r="I13" s="517"/>
      <c r="J13" s="517"/>
      <c r="K13" s="518"/>
      <c r="L13" s="519">
        <f>WED!O32</f>
        <v>0.23542952809459033</v>
      </c>
      <c r="M13" s="520"/>
      <c r="N13" s="520"/>
      <c r="O13" s="520"/>
      <c r="P13" s="521"/>
      <c r="Q13" s="580"/>
      <c r="R13" s="581"/>
      <c r="S13" s="581"/>
      <c r="T13" s="581"/>
      <c r="U13" s="582"/>
      <c r="V13" s="754"/>
      <c r="W13" s="755"/>
      <c r="X13" s="755"/>
      <c r="Y13" s="755"/>
      <c r="Z13" s="756"/>
      <c r="AA13" s="745"/>
      <c r="AB13" s="746"/>
      <c r="AC13" s="746"/>
      <c r="AD13" s="747"/>
    </row>
    <row r="14" spans="1:30" ht="20.100000000000001" customHeight="1" x14ac:dyDescent="0.3">
      <c r="A14" s="710"/>
      <c r="B14" s="515" t="s">
        <v>45</v>
      </c>
      <c r="C14" s="515"/>
      <c r="D14" s="320"/>
      <c r="E14" s="320">
        <f>WED!P31</f>
        <v>3</v>
      </c>
      <c r="F14" s="320"/>
      <c r="G14" s="320"/>
      <c r="H14" s="516">
        <f>WED!K31</f>
        <v>220.7</v>
      </c>
      <c r="I14" s="517"/>
      <c r="J14" s="517"/>
      <c r="K14" s="518"/>
      <c r="L14" s="519">
        <f>WED!P32</f>
        <v>0.23093020822433816</v>
      </c>
      <c r="M14" s="520"/>
      <c r="N14" s="520"/>
      <c r="O14" s="520"/>
      <c r="P14" s="521"/>
      <c r="Q14" s="580"/>
      <c r="R14" s="581"/>
      <c r="S14" s="581"/>
      <c r="T14" s="581"/>
      <c r="U14" s="582"/>
      <c r="V14" s="754"/>
      <c r="W14" s="755"/>
      <c r="X14" s="755"/>
      <c r="Y14" s="755"/>
      <c r="Z14" s="756"/>
      <c r="AA14" s="745"/>
      <c r="AB14" s="746"/>
      <c r="AC14" s="746"/>
      <c r="AD14" s="747"/>
    </row>
    <row r="15" spans="1:30" ht="20.100000000000001" customHeight="1" x14ac:dyDescent="0.3">
      <c r="A15" s="710"/>
      <c r="B15" s="532" t="s">
        <v>65</v>
      </c>
      <c r="C15" s="533"/>
      <c r="D15" s="515"/>
      <c r="E15" s="532">
        <f>WED!Q31</f>
        <v>0</v>
      </c>
      <c r="F15" s="533"/>
      <c r="G15" s="515"/>
      <c r="H15" s="516">
        <f>WED!J31</f>
        <v>0</v>
      </c>
      <c r="I15" s="517"/>
      <c r="J15" s="517"/>
      <c r="K15" s="518"/>
      <c r="L15" s="519">
        <f>WED!Q32</f>
        <v>0</v>
      </c>
      <c r="M15" s="520"/>
      <c r="N15" s="520"/>
      <c r="O15" s="520"/>
      <c r="P15" s="521"/>
      <c r="Q15" s="583"/>
      <c r="R15" s="584"/>
      <c r="S15" s="584"/>
      <c r="T15" s="584"/>
      <c r="U15" s="585"/>
      <c r="V15" s="757"/>
      <c r="W15" s="758"/>
      <c r="X15" s="758"/>
      <c r="Y15" s="758"/>
      <c r="Z15" s="759"/>
      <c r="AA15" s="748"/>
      <c r="AB15" s="749"/>
      <c r="AC15" s="749"/>
      <c r="AD15" s="750"/>
    </row>
    <row r="16" spans="1:30" ht="20.100000000000001" customHeight="1" x14ac:dyDescent="0.3">
      <c r="A16" s="711"/>
      <c r="B16" s="532" t="s">
        <v>94</v>
      </c>
      <c r="C16" s="533"/>
      <c r="D16" s="515"/>
      <c r="E16" s="532">
        <f>WED!U16</f>
        <v>34.25</v>
      </c>
      <c r="F16" s="533"/>
      <c r="G16" s="515"/>
      <c r="H16" s="516" t="s">
        <v>95</v>
      </c>
      <c r="I16" s="517"/>
      <c r="J16" s="517"/>
      <c r="K16" s="518"/>
      <c r="L16" s="535">
        <f>WED!T2</f>
        <v>6</v>
      </c>
      <c r="M16" s="536"/>
      <c r="N16" s="536"/>
      <c r="O16" s="536"/>
      <c r="P16" s="537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712" t="s">
        <v>69</v>
      </c>
      <c r="B17" s="479" t="s">
        <v>57</v>
      </c>
      <c r="C17" s="479"/>
      <c r="D17" s="526"/>
      <c r="E17" s="526">
        <f>THU!N31</f>
        <v>8</v>
      </c>
      <c r="F17" s="526"/>
      <c r="G17" s="526"/>
      <c r="H17" s="534">
        <f>THU!S31</f>
        <v>695</v>
      </c>
      <c r="I17" s="534"/>
      <c r="J17" s="534"/>
      <c r="K17" s="534"/>
      <c r="L17" s="525">
        <f>THU!N32</f>
        <v>0.31816517121406335</v>
      </c>
      <c r="M17" s="525"/>
      <c r="N17" s="525"/>
      <c r="O17" s="525"/>
      <c r="P17" s="525"/>
      <c r="Q17" s="607">
        <f>SUM(E17:G20)</f>
        <v>24</v>
      </c>
      <c r="R17" s="608"/>
      <c r="S17" s="608"/>
      <c r="T17" s="608"/>
      <c r="U17" s="609"/>
      <c r="V17" s="551">
        <f>SUM(H17,H18,H20)</f>
        <v>2220</v>
      </c>
      <c r="W17" s="552"/>
      <c r="X17" s="552"/>
      <c r="Y17" s="552"/>
      <c r="Z17" s="553"/>
      <c r="AA17" s="542">
        <f>V17/Q17</f>
        <v>92.5</v>
      </c>
      <c r="AB17" s="543"/>
      <c r="AC17" s="543"/>
      <c r="AD17" s="544"/>
    </row>
    <row r="18" spans="1:30" ht="20.100000000000001" customHeight="1" x14ac:dyDescent="0.3">
      <c r="A18" s="713"/>
      <c r="B18" s="479" t="s">
        <v>58</v>
      </c>
      <c r="C18" s="479"/>
      <c r="D18" s="526"/>
      <c r="E18" s="526">
        <f>THU!O31</f>
        <v>10</v>
      </c>
      <c r="F18" s="526"/>
      <c r="G18" s="526"/>
      <c r="H18" s="534">
        <f>THU!S32</f>
        <v>1525</v>
      </c>
      <c r="I18" s="534"/>
      <c r="J18" s="534"/>
      <c r="K18" s="534"/>
      <c r="L18" s="525">
        <f>THU!O32</f>
        <v>0.48068119392052738</v>
      </c>
      <c r="M18" s="525"/>
      <c r="N18" s="525"/>
      <c r="O18" s="525"/>
      <c r="P18" s="525"/>
      <c r="Q18" s="610"/>
      <c r="R18" s="611"/>
      <c r="S18" s="611"/>
      <c r="T18" s="611"/>
      <c r="U18" s="612"/>
      <c r="V18" s="554"/>
      <c r="W18" s="555"/>
      <c r="X18" s="555"/>
      <c r="Y18" s="555"/>
      <c r="Z18" s="556"/>
      <c r="AA18" s="545"/>
      <c r="AB18" s="546"/>
      <c r="AC18" s="546"/>
      <c r="AD18" s="547"/>
    </row>
    <row r="19" spans="1:30" ht="20.100000000000001" customHeight="1" x14ac:dyDescent="0.3">
      <c r="A19" s="713"/>
      <c r="B19" s="479" t="s">
        <v>45</v>
      </c>
      <c r="C19" s="479"/>
      <c r="D19" s="526"/>
      <c r="E19" s="526">
        <f>THU!P31</f>
        <v>6</v>
      </c>
      <c r="F19" s="526"/>
      <c r="G19" s="526"/>
      <c r="H19" s="534">
        <f>THU!K31</f>
        <v>439.4</v>
      </c>
      <c r="I19" s="534"/>
      <c r="J19" s="534"/>
      <c r="K19" s="534"/>
      <c r="L19" s="525">
        <f>THU!P32</f>
        <v>0.20115363486540924</v>
      </c>
      <c r="M19" s="525"/>
      <c r="N19" s="525"/>
      <c r="O19" s="525"/>
      <c r="P19" s="525"/>
      <c r="Q19" s="610"/>
      <c r="R19" s="611"/>
      <c r="S19" s="611"/>
      <c r="T19" s="611"/>
      <c r="U19" s="612"/>
      <c r="V19" s="554"/>
      <c r="W19" s="555"/>
      <c r="X19" s="555"/>
      <c r="Y19" s="555"/>
      <c r="Z19" s="556"/>
      <c r="AA19" s="545"/>
      <c r="AB19" s="546"/>
      <c r="AC19" s="546"/>
      <c r="AD19" s="547"/>
    </row>
    <row r="20" spans="1:30" ht="20.100000000000001" customHeight="1" x14ac:dyDescent="0.3">
      <c r="A20" s="713"/>
      <c r="B20" s="477" t="s">
        <v>65</v>
      </c>
      <c r="C20" s="478"/>
      <c r="D20" s="479"/>
      <c r="E20" s="477">
        <f>THU!Q31</f>
        <v>0</v>
      </c>
      <c r="F20" s="478"/>
      <c r="G20" s="479"/>
      <c r="H20" s="471">
        <f>THU!J31</f>
        <v>0</v>
      </c>
      <c r="I20" s="472"/>
      <c r="J20" s="472"/>
      <c r="K20" s="473"/>
      <c r="L20" s="527">
        <f>THU!Q32</f>
        <v>0</v>
      </c>
      <c r="M20" s="528"/>
      <c r="N20" s="528"/>
      <c r="O20" s="528"/>
      <c r="P20" s="529"/>
      <c r="Q20" s="613"/>
      <c r="R20" s="614"/>
      <c r="S20" s="614"/>
      <c r="T20" s="614"/>
      <c r="U20" s="615"/>
      <c r="V20" s="557"/>
      <c r="W20" s="558"/>
      <c r="X20" s="558"/>
      <c r="Y20" s="558"/>
      <c r="Z20" s="559"/>
      <c r="AA20" s="548"/>
      <c r="AB20" s="549"/>
      <c r="AC20" s="549"/>
      <c r="AD20" s="550"/>
    </row>
    <row r="21" spans="1:30" ht="20.100000000000001" customHeight="1" x14ac:dyDescent="0.3">
      <c r="A21" s="714"/>
      <c r="B21" s="477" t="s">
        <v>94</v>
      </c>
      <c r="C21" s="478"/>
      <c r="D21" s="479"/>
      <c r="E21" s="477">
        <f>THU!U16</f>
        <v>51</v>
      </c>
      <c r="F21" s="478"/>
      <c r="G21" s="479"/>
      <c r="H21" s="471" t="s">
        <v>95</v>
      </c>
      <c r="I21" s="472"/>
      <c r="J21" s="472"/>
      <c r="K21" s="473"/>
      <c r="L21" s="436">
        <f>THU!T2</f>
        <v>6</v>
      </c>
      <c r="M21" s="437"/>
      <c r="N21" s="437"/>
      <c r="O21" s="437"/>
      <c r="P21" s="438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715" t="s">
        <v>93</v>
      </c>
      <c r="B22" s="434" t="s">
        <v>57</v>
      </c>
      <c r="C22" s="434"/>
      <c r="D22" s="435"/>
      <c r="E22" s="435">
        <f>FRI!N31</f>
        <v>12</v>
      </c>
      <c r="F22" s="435"/>
      <c r="G22" s="435"/>
      <c r="H22" s="510">
        <f>FRI!S31</f>
        <v>1280</v>
      </c>
      <c r="I22" s="510"/>
      <c r="J22" s="510"/>
      <c r="K22" s="510"/>
      <c r="L22" s="511">
        <f>FRI!N32</f>
        <v>0.47731628916417446</v>
      </c>
      <c r="M22" s="511"/>
      <c r="N22" s="511"/>
      <c r="O22" s="511"/>
      <c r="P22" s="511"/>
      <c r="Q22" s="489">
        <f>SUM(E22:G25)</f>
        <v>26</v>
      </c>
      <c r="R22" s="490"/>
      <c r="S22" s="490"/>
      <c r="T22" s="490"/>
      <c r="U22" s="491"/>
      <c r="V22" s="498">
        <f>SUM(H22,H23,H25)</f>
        <v>2415</v>
      </c>
      <c r="W22" s="499"/>
      <c r="X22" s="499"/>
      <c r="Y22" s="499"/>
      <c r="Z22" s="500"/>
      <c r="AA22" s="442">
        <f>V22/Q22</f>
        <v>92.884615384615387</v>
      </c>
      <c r="AB22" s="443"/>
      <c r="AC22" s="443"/>
      <c r="AD22" s="444"/>
    </row>
    <row r="23" spans="1:30" ht="20.100000000000001" customHeight="1" x14ac:dyDescent="0.3">
      <c r="A23" s="716"/>
      <c r="B23" s="434" t="s">
        <v>58</v>
      </c>
      <c r="C23" s="434"/>
      <c r="D23" s="435"/>
      <c r="E23" s="435">
        <f>FRI!O31</f>
        <v>10</v>
      </c>
      <c r="F23" s="435"/>
      <c r="G23" s="435"/>
      <c r="H23" s="510">
        <f>FRI!S32</f>
        <v>1135</v>
      </c>
      <c r="I23" s="510"/>
      <c r="J23" s="510"/>
      <c r="K23" s="510"/>
      <c r="L23" s="511">
        <f>FRI!O32</f>
        <v>0.42324530328229532</v>
      </c>
      <c r="M23" s="511"/>
      <c r="N23" s="511"/>
      <c r="O23" s="511"/>
      <c r="P23" s="511"/>
      <c r="Q23" s="492"/>
      <c r="R23" s="493"/>
      <c r="S23" s="493"/>
      <c r="T23" s="493"/>
      <c r="U23" s="494"/>
      <c r="V23" s="501"/>
      <c r="W23" s="502"/>
      <c r="X23" s="502"/>
      <c r="Y23" s="502"/>
      <c r="Z23" s="503"/>
      <c r="AA23" s="445"/>
      <c r="AB23" s="446"/>
      <c r="AC23" s="446"/>
      <c r="AD23" s="447"/>
    </row>
    <row r="24" spans="1:30" ht="20.100000000000001" customHeight="1" x14ac:dyDescent="0.3">
      <c r="A24" s="716"/>
      <c r="B24" s="434" t="s">
        <v>45</v>
      </c>
      <c r="C24" s="434"/>
      <c r="D24" s="435"/>
      <c r="E24" s="435">
        <f>FRI!P31</f>
        <v>4</v>
      </c>
      <c r="F24" s="435"/>
      <c r="G24" s="435"/>
      <c r="H24" s="510">
        <f>FRI!K31</f>
        <v>266.65999999999997</v>
      </c>
      <c r="I24" s="510"/>
      <c r="J24" s="510"/>
      <c r="K24" s="510"/>
      <c r="L24" s="511">
        <f>FRI!P32</f>
        <v>9.943840755353027E-2</v>
      </c>
      <c r="M24" s="511"/>
      <c r="N24" s="511"/>
      <c r="O24" s="511"/>
      <c r="P24" s="511"/>
      <c r="Q24" s="492"/>
      <c r="R24" s="493"/>
      <c r="S24" s="493"/>
      <c r="T24" s="493"/>
      <c r="U24" s="494"/>
      <c r="V24" s="501"/>
      <c r="W24" s="502"/>
      <c r="X24" s="502"/>
      <c r="Y24" s="502"/>
      <c r="Z24" s="503"/>
      <c r="AA24" s="445"/>
      <c r="AB24" s="446"/>
      <c r="AC24" s="446"/>
      <c r="AD24" s="447"/>
    </row>
    <row r="25" spans="1:30" ht="20.100000000000001" customHeight="1" x14ac:dyDescent="0.3">
      <c r="A25" s="716"/>
      <c r="B25" s="480" t="s">
        <v>65</v>
      </c>
      <c r="C25" s="481"/>
      <c r="D25" s="434"/>
      <c r="E25" s="480">
        <f>FRI!Q31</f>
        <v>0</v>
      </c>
      <c r="F25" s="481"/>
      <c r="G25" s="434"/>
      <c r="H25" s="474">
        <f>FRI!J31</f>
        <v>0</v>
      </c>
      <c r="I25" s="475"/>
      <c r="J25" s="475"/>
      <c r="K25" s="476"/>
      <c r="L25" s="486">
        <f>FRI!Q32</f>
        <v>0</v>
      </c>
      <c r="M25" s="487"/>
      <c r="N25" s="487"/>
      <c r="O25" s="487"/>
      <c r="P25" s="488"/>
      <c r="Q25" s="495"/>
      <c r="R25" s="496"/>
      <c r="S25" s="496"/>
      <c r="T25" s="496"/>
      <c r="U25" s="497"/>
      <c r="V25" s="504"/>
      <c r="W25" s="505"/>
      <c r="X25" s="505"/>
      <c r="Y25" s="505"/>
      <c r="Z25" s="506"/>
      <c r="AA25" s="448"/>
      <c r="AB25" s="449"/>
      <c r="AC25" s="449"/>
      <c r="AD25" s="450"/>
    </row>
    <row r="26" spans="1:30" ht="20.100000000000001" customHeight="1" x14ac:dyDescent="0.3">
      <c r="A26" s="717"/>
      <c r="B26" s="480" t="s">
        <v>94</v>
      </c>
      <c r="C26" s="481"/>
      <c r="D26" s="434"/>
      <c r="E26" s="480">
        <f>FRI!U16</f>
        <v>56.750000000000007</v>
      </c>
      <c r="F26" s="481"/>
      <c r="G26" s="434"/>
      <c r="H26" s="474" t="s">
        <v>95</v>
      </c>
      <c r="I26" s="475"/>
      <c r="J26" s="475"/>
      <c r="K26" s="476"/>
      <c r="L26" s="439">
        <f>FRI!T2</f>
        <v>8</v>
      </c>
      <c r="M26" s="440"/>
      <c r="N26" s="440"/>
      <c r="O26" s="440"/>
      <c r="P26" s="441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718" t="s">
        <v>70</v>
      </c>
      <c r="B27" s="484" t="s">
        <v>57</v>
      </c>
      <c r="C27" s="484"/>
      <c r="D27" s="469"/>
      <c r="E27" s="469">
        <f>SAT!N31</f>
        <v>13</v>
      </c>
      <c r="F27" s="469"/>
      <c r="G27" s="469"/>
      <c r="H27" s="470">
        <f>SAT!S31</f>
        <v>1250</v>
      </c>
      <c r="I27" s="470"/>
      <c r="J27" s="470"/>
      <c r="K27" s="470"/>
      <c r="L27" s="485">
        <f>SAT!N32</f>
        <v>0.30219514553718213</v>
      </c>
      <c r="M27" s="485"/>
      <c r="N27" s="485"/>
      <c r="O27" s="485"/>
      <c r="P27" s="485"/>
      <c r="Q27" s="586">
        <f>SUM(E27:G30)</f>
        <v>42</v>
      </c>
      <c r="R27" s="587"/>
      <c r="S27" s="587"/>
      <c r="T27" s="587"/>
      <c r="U27" s="588"/>
      <c r="V27" s="460">
        <f>SUM(H27,H28,H30)</f>
        <v>4445</v>
      </c>
      <c r="W27" s="461"/>
      <c r="X27" s="461"/>
      <c r="Y27" s="461"/>
      <c r="Z27" s="462"/>
      <c r="AA27" s="451">
        <f>V27/Q27</f>
        <v>105.83333333333333</v>
      </c>
      <c r="AB27" s="452"/>
      <c r="AC27" s="452"/>
      <c r="AD27" s="453"/>
    </row>
    <row r="28" spans="1:30" ht="20.100000000000001" customHeight="1" x14ac:dyDescent="0.3">
      <c r="A28" s="719"/>
      <c r="B28" s="484" t="s">
        <v>58</v>
      </c>
      <c r="C28" s="484"/>
      <c r="D28" s="469"/>
      <c r="E28" s="469">
        <f>SAT!O31</f>
        <v>23</v>
      </c>
      <c r="F28" s="469"/>
      <c r="G28" s="469"/>
      <c r="H28" s="470">
        <f>SAT!S32</f>
        <v>3140</v>
      </c>
      <c r="I28" s="470"/>
      <c r="J28" s="470"/>
      <c r="K28" s="470"/>
      <c r="L28" s="485">
        <f>SAT!O32</f>
        <v>0.57779711826709224</v>
      </c>
      <c r="M28" s="485"/>
      <c r="N28" s="485"/>
      <c r="O28" s="485"/>
      <c r="P28" s="485"/>
      <c r="Q28" s="589"/>
      <c r="R28" s="590"/>
      <c r="S28" s="590"/>
      <c r="T28" s="590"/>
      <c r="U28" s="591"/>
      <c r="V28" s="463"/>
      <c r="W28" s="464"/>
      <c r="X28" s="464"/>
      <c r="Y28" s="464"/>
      <c r="Z28" s="465"/>
      <c r="AA28" s="454"/>
      <c r="AB28" s="455"/>
      <c r="AC28" s="455"/>
      <c r="AD28" s="456"/>
    </row>
    <row r="29" spans="1:30" ht="20.100000000000001" customHeight="1" x14ac:dyDescent="0.3">
      <c r="A29" s="719"/>
      <c r="B29" s="484" t="s">
        <v>45</v>
      </c>
      <c r="C29" s="484"/>
      <c r="D29" s="469"/>
      <c r="E29" s="469">
        <f>SAT!P31</f>
        <v>5</v>
      </c>
      <c r="F29" s="469"/>
      <c r="G29" s="469"/>
      <c r="H29" s="470">
        <f>SAT!K31</f>
        <v>441.4</v>
      </c>
      <c r="I29" s="470"/>
      <c r="J29" s="470"/>
      <c r="K29" s="470"/>
      <c r="L29" s="485">
        <f>SAT!P32</f>
        <v>0.10671114979208975</v>
      </c>
      <c r="M29" s="485"/>
      <c r="N29" s="485"/>
      <c r="O29" s="485"/>
      <c r="P29" s="485"/>
      <c r="Q29" s="589"/>
      <c r="R29" s="590"/>
      <c r="S29" s="590"/>
      <c r="T29" s="590"/>
      <c r="U29" s="591"/>
      <c r="V29" s="463"/>
      <c r="W29" s="464"/>
      <c r="X29" s="464"/>
      <c r="Y29" s="464"/>
      <c r="Z29" s="465"/>
      <c r="AA29" s="454"/>
      <c r="AB29" s="455"/>
      <c r="AC29" s="455"/>
      <c r="AD29" s="456"/>
    </row>
    <row r="30" spans="1:30" ht="20.100000000000001" customHeight="1" x14ac:dyDescent="0.3">
      <c r="A30" s="719"/>
      <c r="B30" s="482" t="s">
        <v>65</v>
      </c>
      <c r="C30" s="483"/>
      <c r="D30" s="484"/>
      <c r="E30" s="482">
        <f>SAT!Q31</f>
        <v>1</v>
      </c>
      <c r="F30" s="483"/>
      <c r="G30" s="484"/>
      <c r="H30" s="763">
        <f>SAT!J31</f>
        <v>55</v>
      </c>
      <c r="I30" s="764"/>
      <c r="J30" s="764"/>
      <c r="K30" s="765"/>
      <c r="L30" s="595">
        <f>SAT!Q32</f>
        <v>1.3296586403636013E-2</v>
      </c>
      <c r="M30" s="596"/>
      <c r="N30" s="596"/>
      <c r="O30" s="596"/>
      <c r="P30" s="597"/>
      <c r="Q30" s="592"/>
      <c r="R30" s="593"/>
      <c r="S30" s="593"/>
      <c r="T30" s="593"/>
      <c r="U30" s="594"/>
      <c r="V30" s="466"/>
      <c r="W30" s="467"/>
      <c r="X30" s="467"/>
      <c r="Y30" s="467"/>
      <c r="Z30" s="468"/>
      <c r="AA30" s="457"/>
      <c r="AB30" s="458"/>
      <c r="AC30" s="458"/>
      <c r="AD30" s="459"/>
    </row>
    <row r="31" spans="1:30" ht="20.100000000000001" customHeight="1" x14ac:dyDescent="0.3">
      <c r="A31" s="720"/>
      <c r="B31" s="482" t="s">
        <v>94</v>
      </c>
      <c r="C31" s="483"/>
      <c r="D31" s="484"/>
      <c r="E31" s="482">
        <f>SAT!U16</f>
        <v>57.25</v>
      </c>
      <c r="F31" s="483"/>
      <c r="G31" s="484"/>
      <c r="H31" s="763" t="s">
        <v>95</v>
      </c>
      <c r="I31" s="764"/>
      <c r="J31" s="764"/>
      <c r="K31" s="765"/>
      <c r="L31" s="760">
        <f>SAT!T2</f>
        <v>6</v>
      </c>
      <c r="M31" s="761"/>
      <c r="N31" s="761"/>
      <c r="O31" s="761"/>
      <c r="P31" s="762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721" t="s">
        <v>71</v>
      </c>
      <c r="B32" s="405" t="s">
        <v>57</v>
      </c>
      <c r="C32" s="406"/>
      <c r="D32" s="406"/>
      <c r="E32" s="406">
        <f>SUN!N31</f>
        <v>6</v>
      </c>
      <c r="F32" s="406"/>
      <c r="G32" s="406"/>
      <c r="H32" s="431">
        <f>SUN!S31</f>
        <v>750</v>
      </c>
      <c r="I32" s="431"/>
      <c r="J32" s="431"/>
      <c r="K32" s="431"/>
      <c r="L32" s="432">
        <f>SUN!N32</f>
        <v>0.25281466999258412</v>
      </c>
      <c r="M32" s="432"/>
      <c r="N32" s="432"/>
      <c r="O32" s="432"/>
      <c r="P32" s="432"/>
      <c r="Q32" s="433">
        <f>SUM(E32:G35)</f>
        <v>25</v>
      </c>
      <c r="R32" s="433"/>
      <c r="S32" s="433"/>
      <c r="T32" s="433"/>
      <c r="U32" s="433"/>
      <c r="V32" s="404">
        <f>SUM(H32,H33,H35)</f>
        <v>3075</v>
      </c>
      <c r="W32" s="404"/>
      <c r="X32" s="404"/>
      <c r="Y32" s="404"/>
      <c r="Z32" s="404"/>
      <c r="AA32" s="423">
        <f>V32/Q32</f>
        <v>123</v>
      </c>
      <c r="AB32" s="424"/>
      <c r="AC32" s="424"/>
      <c r="AD32" s="424"/>
    </row>
    <row r="33" spans="1:30" ht="20.100000000000001" customHeight="1" x14ac:dyDescent="0.3">
      <c r="A33" s="722"/>
      <c r="B33" s="405" t="s">
        <v>58</v>
      </c>
      <c r="C33" s="406"/>
      <c r="D33" s="406"/>
      <c r="E33" s="406">
        <f>SUN!O31</f>
        <v>15</v>
      </c>
      <c r="F33" s="406"/>
      <c r="G33" s="406"/>
      <c r="H33" s="431">
        <f>SUN!S32</f>
        <v>2325</v>
      </c>
      <c r="I33" s="431"/>
      <c r="J33" s="431"/>
      <c r="K33" s="431"/>
      <c r="L33" s="432">
        <f>SUN!O32</f>
        <v>0.6573181419807187</v>
      </c>
      <c r="M33" s="432"/>
      <c r="N33" s="432"/>
      <c r="O33" s="432"/>
      <c r="P33" s="432"/>
      <c r="Q33" s="433"/>
      <c r="R33" s="433"/>
      <c r="S33" s="433"/>
      <c r="T33" s="433"/>
      <c r="U33" s="433"/>
      <c r="V33" s="404"/>
      <c r="W33" s="404"/>
      <c r="X33" s="404"/>
      <c r="Y33" s="404"/>
      <c r="Z33" s="404"/>
      <c r="AA33" s="424"/>
      <c r="AB33" s="424"/>
      <c r="AC33" s="424"/>
      <c r="AD33" s="424"/>
    </row>
    <row r="34" spans="1:30" ht="20.100000000000001" customHeight="1" x14ac:dyDescent="0.3">
      <c r="A34" s="722"/>
      <c r="B34" s="405" t="s">
        <v>45</v>
      </c>
      <c r="C34" s="406"/>
      <c r="D34" s="406"/>
      <c r="E34" s="406">
        <f>SUN!P31</f>
        <v>4</v>
      </c>
      <c r="F34" s="406"/>
      <c r="G34" s="406"/>
      <c r="H34" s="431">
        <f>SUN!K31</f>
        <v>266.60000000000002</v>
      </c>
      <c r="I34" s="431"/>
      <c r="J34" s="431"/>
      <c r="K34" s="431"/>
      <c r="L34" s="432">
        <f>SUN!P32</f>
        <v>8.9867188026697242E-2</v>
      </c>
      <c r="M34" s="432"/>
      <c r="N34" s="432"/>
      <c r="O34" s="432"/>
      <c r="P34" s="432"/>
      <c r="Q34" s="433"/>
      <c r="R34" s="433"/>
      <c r="S34" s="433"/>
      <c r="T34" s="433"/>
      <c r="U34" s="433"/>
      <c r="V34" s="404"/>
      <c r="W34" s="404"/>
      <c r="X34" s="404"/>
      <c r="Y34" s="404"/>
      <c r="Z34" s="404"/>
      <c r="AA34" s="424"/>
      <c r="AB34" s="424"/>
      <c r="AC34" s="424"/>
      <c r="AD34" s="424"/>
    </row>
    <row r="35" spans="1:30" ht="20.100000000000001" customHeight="1" x14ac:dyDescent="0.3">
      <c r="A35" s="722"/>
      <c r="B35" s="405" t="s">
        <v>65</v>
      </c>
      <c r="C35" s="406"/>
      <c r="D35" s="406"/>
      <c r="E35" s="406">
        <f>SUN!Q31</f>
        <v>0</v>
      </c>
      <c r="F35" s="406"/>
      <c r="G35" s="406"/>
      <c r="H35" s="431">
        <f>SUN!J31</f>
        <v>0</v>
      </c>
      <c r="I35" s="431"/>
      <c r="J35" s="431"/>
      <c r="K35" s="431"/>
      <c r="L35" s="432">
        <f>SUN!Q32</f>
        <v>0</v>
      </c>
      <c r="M35" s="432"/>
      <c r="N35" s="432"/>
      <c r="O35" s="432"/>
      <c r="P35" s="432"/>
      <c r="Q35" s="433"/>
      <c r="R35" s="433"/>
      <c r="S35" s="433"/>
      <c r="T35" s="433"/>
      <c r="U35" s="433"/>
      <c r="V35" s="404"/>
      <c r="W35" s="404"/>
      <c r="X35" s="404"/>
      <c r="Y35" s="404"/>
      <c r="Z35" s="404"/>
      <c r="AA35" s="424"/>
      <c r="AB35" s="424"/>
      <c r="AC35" s="424"/>
      <c r="AD35" s="424"/>
    </row>
    <row r="36" spans="1:30" ht="20.100000000000001" customHeight="1" thickBot="1" x14ac:dyDescent="0.35">
      <c r="A36" s="723"/>
      <c r="B36" s="409" t="s">
        <v>94</v>
      </c>
      <c r="C36" s="410"/>
      <c r="D36" s="411"/>
      <c r="E36" s="409">
        <f>SUN!U16</f>
        <v>48.000000000000007</v>
      </c>
      <c r="F36" s="410"/>
      <c r="G36" s="411"/>
      <c r="H36" s="409" t="s">
        <v>95</v>
      </c>
      <c r="I36" s="410"/>
      <c r="J36" s="410"/>
      <c r="K36" s="411"/>
      <c r="L36" s="425">
        <f>SUN!T2</f>
        <v>6</v>
      </c>
      <c r="M36" s="426"/>
      <c r="N36" s="426"/>
      <c r="O36" s="426"/>
      <c r="P36" s="427"/>
      <c r="Q36" s="428"/>
      <c r="R36" s="429"/>
      <c r="S36" s="429"/>
      <c r="T36" s="429"/>
      <c r="U36" s="430"/>
      <c r="V36" s="412"/>
      <c r="W36" s="413"/>
      <c r="X36" s="413"/>
      <c r="Y36" s="413"/>
      <c r="Z36" s="414"/>
      <c r="AA36" s="415"/>
      <c r="AB36" s="416"/>
      <c r="AC36" s="416"/>
      <c r="AD36" s="417"/>
    </row>
    <row r="37" spans="1:30" ht="16.5" customHeight="1" x14ac:dyDescent="0.3">
      <c r="A37" s="395" t="s">
        <v>72</v>
      </c>
      <c r="B37" s="396"/>
      <c r="C37" s="396"/>
      <c r="D37" s="396"/>
      <c r="E37" s="396" t="s">
        <v>73</v>
      </c>
      <c r="F37" s="396"/>
      <c r="G37" s="396"/>
      <c r="H37" s="396"/>
      <c r="I37" s="396"/>
      <c r="J37" s="396"/>
      <c r="K37" s="396" t="s">
        <v>74</v>
      </c>
      <c r="L37" s="396"/>
      <c r="M37" s="396"/>
      <c r="N37" s="396"/>
      <c r="O37" s="396" t="s">
        <v>65</v>
      </c>
      <c r="P37" s="396"/>
      <c r="Q37" s="396"/>
      <c r="R37" s="396"/>
      <c r="S37" s="396"/>
      <c r="T37" s="396" t="s">
        <v>75</v>
      </c>
      <c r="U37" s="396"/>
      <c r="V37" s="396"/>
      <c r="W37" s="396"/>
      <c r="X37" s="396"/>
      <c r="Y37" s="396" t="s">
        <v>76</v>
      </c>
      <c r="Z37" s="396"/>
      <c r="AA37" s="396"/>
      <c r="AB37" s="396"/>
      <c r="AC37" s="396"/>
      <c r="AD37" s="407"/>
    </row>
    <row r="38" spans="1:30" ht="16.5" customHeight="1" x14ac:dyDescent="0.3">
      <c r="A38" s="397"/>
      <c r="B38" s="398"/>
      <c r="C38" s="398"/>
      <c r="D38" s="398"/>
      <c r="E38" s="398"/>
      <c r="F38" s="398"/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/>
      <c r="Y38" s="398"/>
      <c r="Z38" s="398"/>
      <c r="AA38" s="398"/>
      <c r="AB38" s="398"/>
      <c r="AC38" s="398"/>
      <c r="AD38" s="408"/>
    </row>
    <row r="39" spans="1:30" ht="16.5" customHeight="1" x14ac:dyDescent="0.3">
      <c r="A39" s="399">
        <f>SUM(Q2:U35)</f>
        <v>172</v>
      </c>
      <c r="B39" s="400"/>
      <c r="C39" s="400"/>
      <c r="D39" s="400"/>
      <c r="E39" s="403">
        <f>SUM(V2:Z35)</f>
        <v>18940</v>
      </c>
      <c r="F39" s="400"/>
      <c r="G39" s="400"/>
      <c r="H39" s="400"/>
      <c r="I39" s="400"/>
      <c r="J39" s="400"/>
      <c r="K39" s="403">
        <f>E39/A39</f>
        <v>110.11627906976744</v>
      </c>
      <c r="L39" s="400"/>
      <c r="M39" s="400"/>
      <c r="N39" s="400"/>
      <c r="O39" s="400">
        <f>SUM(MON:SUN!Q31)</f>
        <v>1</v>
      </c>
      <c r="P39" s="400"/>
      <c r="Q39" s="400"/>
      <c r="R39" s="400"/>
      <c r="S39" s="400"/>
      <c r="T39" s="400">
        <f>SUM(MON:SUN!P31)</f>
        <v>31</v>
      </c>
      <c r="U39" s="400"/>
      <c r="V39" s="400"/>
      <c r="W39" s="400"/>
      <c r="X39" s="400"/>
      <c r="Y39" s="400">
        <f>SUM(MON:SUN!S19)</f>
        <v>7</v>
      </c>
      <c r="Z39" s="400"/>
      <c r="AA39" s="400"/>
      <c r="AB39" s="400"/>
      <c r="AC39" s="400"/>
      <c r="AD39" s="420"/>
    </row>
    <row r="40" spans="1:30" ht="16.5" customHeight="1" x14ac:dyDescent="0.3">
      <c r="A40" s="399"/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0"/>
      <c r="R40" s="400"/>
      <c r="S40" s="400"/>
      <c r="T40" s="400"/>
      <c r="U40" s="400"/>
      <c r="V40" s="400"/>
      <c r="W40" s="400"/>
      <c r="X40" s="400"/>
      <c r="Y40" s="400"/>
      <c r="Z40" s="400"/>
      <c r="AA40" s="400"/>
      <c r="AB40" s="400"/>
      <c r="AC40" s="400"/>
      <c r="AD40" s="420"/>
    </row>
    <row r="41" spans="1:30" ht="16.5" customHeight="1" x14ac:dyDescent="0.3">
      <c r="A41" s="399"/>
      <c r="B41" s="400"/>
      <c r="C41" s="400"/>
      <c r="D41" s="400"/>
      <c r="E41" s="400"/>
      <c r="F41" s="400"/>
      <c r="G41" s="400"/>
      <c r="H41" s="400"/>
      <c r="I41" s="400"/>
      <c r="J41" s="400"/>
      <c r="K41" s="400"/>
      <c r="L41" s="400"/>
      <c r="M41" s="400"/>
      <c r="N41" s="400"/>
      <c r="O41" s="418">
        <f>SUM(MON:SUN!J31)</f>
        <v>55</v>
      </c>
      <c r="P41" s="418"/>
      <c r="Q41" s="418"/>
      <c r="R41" s="418"/>
      <c r="S41" s="418"/>
      <c r="T41" s="418">
        <f>SUM(MON:SUN!K31)</f>
        <v>2438.52</v>
      </c>
      <c r="U41" s="418"/>
      <c r="V41" s="418"/>
      <c r="W41" s="418"/>
      <c r="X41" s="418"/>
      <c r="Y41" s="418">
        <f>SUM(MON:SUN!T19)</f>
        <v>3775</v>
      </c>
      <c r="Z41" s="418"/>
      <c r="AA41" s="418"/>
      <c r="AB41" s="418"/>
      <c r="AC41" s="418"/>
      <c r="AD41" s="421"/>
    </row>
    <row r="42" spans="1:30" ht="16.5" customHeight="1" thickBot="1" x14ac:dyDescent="0.35">
      <c r="A42" s="401"/>
      <c r="B42" s="402"/>
      <c r="C42" s="402"/>
      <c r="D42" s="402"/>
      <c r="E42" s="402"/>
      <c r="F42" s="402"/>
      <c r="G42" s="402"/>
      <c r="H42" s="402"/>
      <c r="I42" s="402"/>
      <c r="J42" s="402"/>
      <c r="K42" s="402"/>
      <c r="L42" s="402"/>
      <c r="M42" s="402"/>
      <c r="N42" s="402"/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19"/>
      <c r="AD42" s="422"/>
    </row>
    <row r="43" spans="1:30" ht="17.45" customHeight="1" x14ac:dyDescent="0.3">
      <c r="A43" s="678" t="s">
        <v>84</v>
      </c>
      <c r="B43" s="679"/>
      <c r="C43" s="679"/>
      <c r="D43" s="679"/>
      <c r="E43" s="680"/>
      <c r="F43" s="678" t="s">
        <v>85</v>
      </c>
      <c r="G43" s="679"/>
      <c r="H43" s="679"/>
      <c r="I43" s="679"/>
      <c r="J43" s="680"/>
      <c r="K43" s="678" t="s">
        <v>86</v>
      </c>
      <c r="L43" s="679"/>
      <c r="M43" s="679"/>
      <c r="N43" s="679"/>
      <c r="O43" s="680"/>
      <c r="P43" s="678" t="s">
        <v>87</v>
      </c>
      <c r="Q43" s="679"/>
      <c r="R43" s="679"/>
      <c r="S43" s="679"/>
      <c r="T43" s="680"/>
      <c r="U43" s="678" t="s">
        <v>90</v>
      </c>
      <c r="V43" s="679"/>
      <c r="W43" s="679"/>
      <c r="X43" s="679"/>
      <c r="Y43" s="680"/>
      <c r="Z43" s="684" t="s">
        <v>95</v>
      </c>
      <c r="AA43" s="685"/>
      <c r="AB43" s="685"/>
      <c r="AC43" s="685"/>
      <c r="AD43" s="686"/>
    </row>
    <row r="44" spans="1:30" ht="17.45" customHeight="1" x14ac:dyDescent="0.3">
      <c r="A44" s="681"/>
      <c r="B44" s="682"/>
      <c r="C44" s="682"/>
      <c r="D44" s="682"/>
      <c r="E44" s="683"/>
      <c r="F44" s="681"/>
      <c r="G44" s="682"/>
      <c r="H44" s="682"/>
      <c r="I44" s="682"/>
      <c r="J44" s="683"/>
      <c r="K44" s="681"/>
      <c r="L44" s="682"/>
      <c r="M44" s="682"/>
      <c r="N44" s="682"/>
      <c r="O44" s="683"/>
      <c r="P44" s="681"/>
      <c r="Q44" s="682"/>
      <c r="R44" s="682"/>
      <c r="S44" s="682"/>
      <c r="T44" s="683"/>
      <c r="U44" s="681"/>
      <c r="V44" s="682"/>
      <c r="W44" s="682"/>
      <c r="X44" s="682"/>
      <c r="Y44" s="683"/>
      <c r="Z44" s="687"/>
      <c r="AA44" s="688"/>
      <c r="AB44" s="688"/>
      <c r="AC44" s="688"/>
      <c r="AD44" s="689"/>
    </row>
    <row r="45" spans="1:30" x14ac:dyDescent="0.3">
      <c r="A45" s="690">
        <f>SUM(H2,H7,H12,H17,H22,H27,H32)</f>
        <v>6335</v>
      </c>
      <c r="B45" s="691"/>
      <c r="C45" s="691"/>
      <c r="D45" s="691"/>
      <c r="E45" s="692"/>
      <c r="F45" s="690">
        <f>SUM(,H3,H8,H13,H18,H23,H28,H33)</f>
        <v>12550</v>
      </c>
      <c r="G45" s="691"/>
      <c r="H45" s="691"/>
      <c r="I45" s="691"/>
      <c r="J45" s="692"/>
      <c r="K45" s="690">
        <f>SUM(H5,H10,H15,H20,H25,H30,H35)</f>
        <v>55</v>
      </c>
      <c r="L45" s="691"/>
      <c r="M45" s="691"/>
      <c r="N45" s="691"/>
      <c r="O45" s="692"/>
      <c r="P45" s="690">
        <f>SUM(H4,H9,H14,H19,H24,H29,H34)</f>
        <v>2438.52</v>
      </c>
      <c r="Q45" s="691"/>
      <c r="R45" s="691"/>
      <c r="S45" s="691"/>
      <c r="T45" s="692"/>
      <c r="U45" s="699">
        <f>SUM(E6,E11,E16,E21,E26,E31,E36)</f>
        <v>326</v>
      </c>
      <c r="V45" s="691"/>
      <c r="W45" s="691"/>
      <c r="X45" s="691"/>
      <c r="Y45" s="692"/>
      <c r="Z45" s="699">
        <f>SUM(L6,L11,L16,L21,L26,L31,L36)</f>
        <v>42</v>
      </c>
      <c r="AA45" s="691"/>
      <c r="AB45" s="691"/>
      <c r="AC45" s="691"/>
      <c r="AD45" s="700"/>
    </row>
    <row r="46" spans="1:30" x14ac:dyDescent="0.3">
      <c r="A46" s="693"/>
      <c r="B46" s="694"/>
      <c r="C46" s="694"/>
      <c r="D46" s="694"/>
      <c r="E46" s="695"/>
      <c r="F46" s="693"/>
      <c r="G46" s="694"/>
      <c r="H46" s="694"/>
      <c r="I46" s="694"/>
      <c r="J46" s="695"/>
      <c r="K46" s="693"/>
      <c r="L46" s="694"/>
      <c r="M46" s="694"/>
      <c r="N46" s="694"/>
      <c r="O46" s="695"/>
      <c r="P46" s="693"/>
      <c r="Q46" s="694"/>
      <c r="R46" s="694"/>
      <c r="S46" s="694"/>
      <c r="T46" s="695"/>
      <c r="U46" s="693"/>
      <c r="V46" s="694"/>
      <c r="W46" s="694"/>
      <c r="X46" s="694"/>
      <c r="Y46" s="695"/>
      <c r="Z46" s="693"/>
      <c r="AA46" s="694"/>
      <c r="AB46" s="694"/>
      <c r="AC46" s="694"/>
      <c r="AD46" s="701"/>
    </row>
    <row r="47" spans="1:30" x14ac:dyDescent="0.3">
      <c r="A47" s="693"/>
      <c r="B47" s="694"/>
      <c r="C47" s="694"/>
      <c r="D47" s="694"/>
      <c r="E47" s="695"/>
      <c r="F47" s="693"/>
      <c r="G47" s="694"/>
      <c r="H47" s="694"/>
      <c r="I47" s="694"/>
      <c r="J47" s="695"/>
      <c r="K47" s="693"/>
      <c r="L47" s="694"/>
      <c r="M47" s="694"/>
      <c r="N47" s="694"/>
      <c r="O47" s="695"/>
      <c r="P47" s="693"/>
      <c r="Q47" s="694"/>
      <c r="R47" s="694"/>
      <c r="S47" s="694"/>
      <c r="T47" s="695"/>
      <c r="U47" s="693"/>
      <c r="V47" s="694"/>
      <c r="W47" s="694"/>
      <c r="X47" s="694"/>
      <c r="Y47" s="695"/>
      <c r="Z47" s="693"/>
      <c r="AA47" s="694"/>
      <c r="AB47" s="694"/>
      <c r="AC47" s="694"/>
      <c r="AD47" s="701"/>
    </row>
    <row r="48" spans="1:30" ht="17.25" thickBot="1" x14ac:dyDescent="0.35">
      <c r="A48" s="696"/>
      <c r="B48" s="697"/>
      <c r="C48" s="697"/>
      <c r="D48" s="697"/>
      <c r="E48" s="698"/>
      <c r="F48" s="696"/>
      <c r="G48" s="697"/>
      <c r="H48" s="697"/>
      <c r="I48" s="697"/>
      <c r="J48" s="698"/>
      <c r="K48" s="696"/>
      <c r="L48" s="697"/>
      <c r="M48" s="697"/>
      <c r="N48" s="697"/>
      <c r="O48" s="698"/>
      <c r="P48" s="696"/>
      <c r="Q48" s="697"/>
      <c r="R48" s="697"/>
      <c r="S48" s="697"/>
      <c r="T48" s="698"/>
      <c r="U48" s="696"/>
      <c r="V48" s="697"/>
      <c r="W48" s="697"/>
      <c r="X48" s="697"/>
      <c r="Y48" s="698"/>
      <c r="Z48" s="696"/>
      <c r="AA48" s="697"/>
      <c r="AB48" s="697"/>
      <c r="AC48" s="697"/>
      <c r="AD48" s="702"/>
    </row>
    <row r="49" spans="1:30" ht="17.45" customHeight="1" x14ac:dyDescent="0.3">
      <c r="A49" s="660">
        <f>A45/E39</f>
        <v>0.33447729672650472</v>
      </c>
      <c r="B49" s="661"/>
      <c r="C49" s="661"/>
      <c r="D49" s="661"/>
      <c r="E49" s="662"/>
      <c r="F49" s="660">
        <f>F45/E39</f>
        <v>0.6626187961985216</v>
      </c>
      <c r="G49" s="661"/>
      <c r="H49" s="661"/>
      <c r="I49" s="661"/>
      <c r="J49" s="662"/>
      <c r="K49" s="660">
        <f>K45/E39</f>
        <v>2.903907074973601E-3</v>
      </c>
      <c r="L49" s="661"/>
      <c r="M49" s="661"/>
      <c r="N49" s="661"/>
      <c r="O49" s="662"/>
      <c r="P49" s="660">
        <f>P45/E39</f>
        <v>0.12874973600844772</v>
      </c>
      <c r="Q49" s="661"/>
      <c r="R49" s="661"/>
      <c r="S49" s="661"/>
      <c r="T49" s="662"/>
      <c r="U49" s="669">
        <f>U45/7</f>
        <v>46.571428571428569</v>
      </c>
      <c r="V49" s="670"/>
      <c r="W49" s="670"/>
      <c r="X49" s="670"/>
      <c r="Y49" s="671"/>
      <c r="Z49" s="669">
        <f>U45/Z45</f>
        <v>7.7619047619047619</v>
      </c>
      <c r="AA49" s="670"/>
      <c r="AB49" s="670"/>
      <c r="AC49" s="670"/>
      <c r="AD49" s="671"/>
    </row>
    <row r="50" spans="1:30" ht="17.45" customHeight="1" x14ac:dyDescent="0.3">
      <c r="A50" s="663"/>
      <c r="B50" s="664"/>
      <c r="C50" s="664"/>
      <c r="D50" s="664"/>
      <c r="E50" s="665"/>
      <c r="F50" s="663"/>
      <c r="G50" s="664"/>
      <c r="H50" s="664"/>
      <c r="I50" s="664"/>
      <c r="J50" s="665"/>
      <c r="K50" s="663"/>
      <c r="L50" s="664"/>
      <c r="M50" s="664"/>
      <c r="N50" s="664"/>
      <c r="O50" s="665"/>
      <c r="P50" s="663"/>
      <c r="Q50" s="664"/>
      <c r="R50" s="664"/>
      <c r="S50" s="664"/>
      <c r="T50" s="665"/>
      <c r="U50" s="672"/>
      <c r="V50" s="673"/>
      <c r="W50" s="673"/>
      <c r="X50" s="673"/>
      <c r="Y50" s="674"/>
      <c r="Z50" s="672"/>
      <c r="AA50" s="673"/>
      <c r="AB50" s="673"/>
      <c r="AC50" s="673"/>
      <c r="AD50" s="674"/>
    </row>
    <row r="51" spans="1:30" ht="17.45" customHeight="1" x14ac:dyDescent="0.3">
      <c r="A51" s="663"/>
      <c r="B51" s="664"/>
      <c r="C51" s="664"/>
      <c r="D51" s="664"/>
      <c r="E51" s="665"/>
      <c r="F51" s="663"/>
      <c r="G51" s="664"/>
      <c r="H51" s="664"/>
      <c r="I51" s="664"/>
      <c r="J51" s="665"/>
      <c r="K51" s="663"/>
      <c r="L51" s="664"/>
      <c r="M51" s="664"/>
      <c r="N51" s="664"/>
      <c r="O51" s="665"/>
      <c r="P51" s="663"/>
      <c r="Q51" s="664"/>
      <c r="R51" s="664"/>
      <c r="S51" s="664"/>
      <c r="T51" s="665"/>
      <c r="U51" s="672"/>
      <c r="V51" s="673"/>
      <c r="W51" s="673"/>
      <c r="X51" s="673"/>
      <c r="Y51" s="674"/>
      <c r="Z51" s="672"/>
      <c r="AA51" s="673"/>
      <c r="AB51" s="673"/>
      <c r="AC51" s="673"/>
      <c r="AD51" s="674"/>
    </row>
    <row r="52" spans="1:30" ht="18" customHeight="1" thickBot="1" x14ac:dyDescent="0.35">
      <c r="A52" s="666"/>
      <c r="B52" s="667"/>
      <c r="C52" s="667"/>
      <c r="D52" s="667"/>
      <c r="E52" s="668"/>
      <c r="F52" s="666"/>
      <c r="G52" s="667"/>
      <c r="H52" s="667"/>
      <c r="I52" s="667"/>
      <c r="J52" s="668"/>
      <c r="K52" s="666"/>
      <c r="L52" s="667"/>
      <c r="M52" s="667"/>
      <c r="N52" s="667"/>
      <c r="O52" s="668"/>
      <c r="P52" s="666"/>
      <c r="Q52" s="667"/>
      <c r="R52" s="667"/>
      <c r="S52" s="667"/>
      <c r="T52" s="668"/>
      <c r="U52" s="675"/>
      <c r="V52" s="676"/>
      <c r="W52" s="676"/>
      <c r="X52" s="676"/>
      <c r="Y52" s="677"/>
      <c r="Z52" s="675"/>
      <c r="AA52" s="676"/>
      <c r="AB52" s="676"/>
      <c r="AC52" s="676"/>
      <c r="AD52" s="677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5484C36C-E1B6-4257-9965-F2F5C370A19E}"/>
</file>

<file path=customXml/itemProps2.xml><?xml version="1.0" encoding="utf-8"?>
<ds:datastoreItem xmlns:ds="http://schemas.openxmlformats.org/officeDocument/2006/customXml" ds:itemID="{C19B0D8F-993F-4A98-BEEB-BBFFEB9925F1}"/>
</file>

<file path=customXml/itemProps3.xml><?xml version="1.0" encoding="utf-8"?>
<ds:datastoreItem xmlns:ds="http://schemas.openxmlformats.org/officeDocument/2006/customXml" ds:itemID="{4BF3B605-F501-450C-9901-80904DB30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2022-11-12T20:32:01Z</cp:lastPrinted>
  <dcterms:created xsi:type="dcterms:W3CDTF">2011-11-24T03:16:40Z</dcterms:created>
  <dcterms:modified xsi:type="dcterms:W3CDTF">2022-11-23T05:01:52Z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