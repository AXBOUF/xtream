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F15BB511-E4E7-44EB-8D6E-C8EB4B7B84DC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7" l="1"/>
  <c r="S32" i="7"/>
  <c r="S31" i="7"/>
  <c r="V32" i="8"/>
  <c r="V27" i="8"/>
  <c r="V22" i="8"/>
  <c r="V17" i="8"/>
  <c r="V12" i="8"/>
  <c r="V7" i="8"/>
  <c r="K9" i="7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J62" i="2" s="1"/>
  <c r="K59" i="2"/>
  <c r="J59" i="2"/>
  <c r="K58" i="2"/>
  <c r="J58" i="2"/>
  <c r="K57" i="2"/>
  <c r="K62" i="2" s="1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I31" i="2"/>
  <c r="Z32" i="2" s="1"/>
  <c r="M30" i="2"/>
  <c r="M31" i="2" s="1"/>
  <c r="L30" i="2"/>
  <c r="L31" i="2" s="1"/>
  <c r="I30" i="2"/>
  <c r="H30" i="2"/>
  <c r="H31" i="2" s="1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J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J62" i="1" s="1"/>
  <c r="K60" i="1"/>
  <c r="J60" i="1"/>
  <c r="K59" i="1"/>
  <c r="J59" i="1"/>
  <c r="K58" i="1"/>
  <c r="J58" i="1"/>
  <c r="K57" i="1"/>
  <c r="K62" i="1" s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Z32" i="1" s="1"/>
  <c r="Z33" i="1" s="1"/>
  <c r="H30" i="1"/>
  <c r="H31" i="1" s="1"/>
  <c r="K29" i="1"/>
  <c r="J29" i="1"/>
  <c r="K28" i="1"/>
  <c r="J28" i="1"/>
  <c r="K27" i="1"/>
  <c r="J27" i="1"/>
  <c r="K26" i="1"/>
  <c r="J26" i="1"/>
  <c r="AF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G22" i="1"/>
  <c r="AH25" i="1" s="1"/>
  <c r="AF22" i="1"/>
  <c r="AG25" i="1" s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J62" i="3" s="1"/>
  <c r="K60" i="3"/>
  <c r="J60" i="3"/>
  <c r="K59" i="3"/>
  <c r="K62" i="3" s="1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J62" i="4" s="1"/>
  <c r="K60" i="4"/>
  <c r="J60" i="4"/>
  <c r="K59" i="4"/>
  <c r="J59" i="4"/>
  <c r="K58" i="4"/>
  <c r="J58" i="4"/>
  <c r="K57" i="4"/>
  <c r="K62" i="4" s="1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0" i="4"/>
  <c r="M31" i="4" s="1"/>
  <c r="L30" i="4"/>
  <c r="L31" i="4" s="1"/>
  <c r="I30" i="4"/>
  <c r="I31" i="4" s="1"/>
  <c r="Z32" i="4" s="1"/>
  <c r="H30" i="4"/>
  <c r="H31" i="4" s="1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H25" i="4" s="1"/>
  <c r="AF22" i="4"/>
  <c r="AG25" i="4" s="1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H31" i="5"/>
  <c r="M30" i="5"/>
  <c r="M31" i="5" s="1"/>
  <c r="L30" i="5"/>
  <c r="L31" i="5" s="1"/>
  <c r="I30" i="5"/>
  <c r="I31" i="5" s="1"/>
  <c r="Z32" i="5" s="1"/>
  <c r="Z33" i="5" s="1"/>
  <c r="H30" i="5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L31" i="6" s="1"/>
  <c r="I30" i="6"/>
  <c r="I31" i="6" s="1"/>
  <c r="Z32" i="6" s="1"/>
  <c r="Z33" i="6" s="1"/>
  <c r="H30" i="6"/>
  <c r="H31" i="6" s="1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J8" i="6"/>
  <c r="U7" i="6"/>
  <c r="K7" i="6"/>
  <c r="J7" i="6"/>
  <c r="U6" i="6"/>
  <c r="K6" i="6"/>
  <c r="J6" i="6"/>
  <c r="U5" i="6"/>
  <c r="K5" i="6"/>
  <c r="J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62" i="7" s="1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M30" i="7"/>
  <c r="M31" i="7" s="1"/>
  <c r="L30" i="7"/>
  <c r="L31" i="7" s="1"/>
  <c r="I30" i="7"/>
  <c r="H30" i="7"/>
  <c r="H31" i="7" s="1"/>
  <c r="K29" i="7"/>
  <c r="K27" i="7"/>
  <c r="K26" i="7"/>
  <c r="T25" i="7"/>
  <c r="T26" i="7" s="1"/>
  <c r="S25" i="7"/>
  <c r="S26" i="7" s="1"/>
  <c r="R25" i="7"/>
  <c r="R26" i="7" s="1"/>
  <c r="K25" i="7"/>
  <c r="K24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T19" i="7"/>
  <c r="S19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U9" i="7"/>
  <c r="U8" i="7"/>
  <c r="K8" i="7"/>
  <c r="U7" i="7"/>
  <c r="K7" i="7"/>
  <c r="U6" i="7"/>
  <c r="U5" i="7"/>
  <c r="K5" i="7"/>
  <c r="U16" i="1" l="1"/>
  <c r="R16" i="1" s="1"/>
  <c r="U16" i="2"/>
  <c r="R16" i="2" s="1"/>
  <c r="J30" i="2"/>
  <c r="J31" i="2" s="1"/>
  <c r="H35" i="8" s="1"/>
  <c r="K30" i="2"/>
  <c r="K31" i="2" s="1"/>
  <c r="K30" i="1"/>
  <c r="K31" i="1" s="1"/>
  <c r="J30" i="1"/>
  <c r="J31" i="1" s="1"/>
  <c r="U16" i="3"/>
  <c r="E26" i="8" s="1"/>
  <c r="J30" i="3"/>
  <c r="J31" i="3" s="1"/>
  <c r="K30" i="3"/>
  <c r="K31" i="3" s="1"/>
  <c r="I31" i="3"/>
  <c r="S32" i="3" s="1"/>
  <c r="H23" i="8" s="1"/>
  <c r="U16" i="4"/>
  <c r="R16" i="4" s="1"/>
  <c r="K30" i="4"/>
  <c r="K31" i="4" s="1"/>
  <c r="J30" i="4"/>
  <c r="J31" i="4" s="1"/>
  <c r="Z33" i="4"/>
  <c r="K30" i="5"/>
  <c r="K31" i="5" s="1"/>
  <c r="U16" i="5"/>
  <c r="R16" i="5" s="1"/>
  <c r="J30" i="5"/>
  <c r="J31" i="5" s="1"/>
  <c r="U16" i="6"/>
  <c r="S16" i="6" s="1"/>
  <c r="K30" i="6"/>
  <c r="K31" i="6" s="1"/>
  <c r="J30" i="6"/>
  <c r="J31" i="6" s="1"/>
  <c r="I31" i="7"/>
  <c r="Z32" i="7" s="1"/>
  <c r="Z33" i="7" s="1"/>
  <c r="K62" i="7"/>
  <c r="K30" i="7"/>
  <c r="J30" i="7"/>
  <c r="U16" i="7"/>
  <c r="S16" i="7" s="1"/>
  <c r="AI25" i="2"/>
  <c r="AD25" i="2"/>
  <c r="Z33" i="2"/>
  <c r="S31" i="2"/>
  <c r="H32" i="8" s="1"/>
  <c r="T31" i="2"/>
  <c r="S32" i="2"/>
  <c r="H33" i="8" s="1"/>
  <c r="AI25" i="1"/>
  <c r="AD25" i="1"/>
  <c r="S16" i="1"/>
  <c r="S31" i="1"/>
  <c r="T31" i="1"/>
  <c r="S32" i="1"/>
  <c r="H28" i="8" s="1"/>
  <c r="S16" i="3"/>
  <c r="R16" i="3"/>
  <c r="AI25" i="3"/>
  <c r="AD25" i="3"/>
  <c r="Z32" i="3"/>
  <c r="Z33" i="3" s="1"/>
  <c r="S31" i="3"/>
  <c r="AI25" i="4"/>
  <c r="AD25" i="4"/>
  <c r="S16" i="4"/>
  <c r="S31" i="4"/>
  <c r="H17" i="8" s="1"/>
  <c r="T31" i="4"/>
  <c r="S32" i="4"/>
  <c r="H18" i="8" s="1"/>
  <c r="AI25" i="5"/>
  <c r="AD25" i="5"/>
  <c r="S31" i="5"/>
  <c r="H12" i="8" s="1"/>
  <c r="T31" i="5"/>
  <c r="S32" i="5"/>
  <c r="AI25" i="6"/>
  <c r="AD25" i="6"/>
  <c r="S31" i="6"/>
  <c r="H7" i="8" s="1"/>
  <c r="T31" i="6"/>
  <c r="S32" i="6"/>
  <c r="H8" i="8" s="1"/>
  <c r="AI25" i="7"/>
  <c r="AD25" i="7"/>
  <c r="Y39" i="8"/>
  <c r="H27" i="8"/>
  <c r="H22" i="8"/>
  <c r="L36" i="8"/>
  <c r="L31" i="8"/>
  <c r="L26" i="8"/>
  <c r="L21" i="8"/>
  <c r="L16" i="8"/>
  <c r="L11" i="8"/>
  <c r="L6" i="8"/>
  <c r="E31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2" i="8"/>
  <c r="E34" i="8"/>
  <c r="E33" i="8"/>
  <c r="E32" i="8"/>
  <c r="E24" i="8"/>
  <c r="E23" i="8"/>
  <c r="E22" i="8"/>
  <c r="E9" i="8"/>
  <c r="E8" i="8"/>
  <c r="E7" i="8"/>
  <c r="S16" i="2" l="1"/>
  <c r="E36" i="8"/>
  <c r="C32" i="2"/>
  <c r="N32" i="2" s="1"/>
  <c r="L32" i="8" s="1"/>
  <c r="H34" i="8"/>
  <c r="C32" i="1"/>
  <c r="N32" i="1" s="1"/>
  <c r="T31" i="3"/>
  <c r="C32" i="3"/>
  <c r="O32" i="3" s="1"/>
  <c r="C32" i="4"/>
  <c r="P32" i="4" s="1"/>
  <c r="S16" i="5"/>
  <c r="C32" i="5"/>
  <c r="N32" i="5" s="1"/>
  <c r="R16" i="6"/>
  <c r="C32" i="6"/>
  <c r="Q32" i="6" s="1"/>
  <c r="R16" i="7"/>
  <c r="H3" i="8"/>
  <c r="T31" i="7"/>
  <c r="K31" i="7"/>
  <c r="C32" i="7" s="1"/>
  <c r="T16" i="7" s="1"/>
  <c r="H13" i="8"/>
  <c r="E11" i="8"/>
  <c r="Z45" i="8"/>
  <c r="E21" i="8"/>
  <c r="E16" i="8"/>
  <c r="H15" i="8"/>
  <c r="E6" i="8"/>
  <c r="Q7" i="8"/>
  <c r="Q32" i="8"/>
  <c r="Q22" i="8"/>
  <c r="Q17" i="8"/>
  <c r="Q12" i="8"/>
  <c r="H10" i="8"/>
  <c r="P32" i="2" l="1"/>
  <c r="T16" i="2"/>
  <c r="K32" i="2"/>
  <c r="Q32" i="2"/>
  <c r="L35" i="8" s="1"/>
  <c r="U25" i="2"/>
  <c r="O32" i="2"/>
  <c r="L33" i="8" s="1"/>
  <c r="O32" i="1"/>
  <c r="T16" i="1"/>
  <c r="K32" i="1"/>
  <c r="Q32" i="1"/>
  <c r="U25" i="1"/>
  <c r="P32" i="1"/>
  <c r="U25" i="3"/>
  <c r="P32" i="3"/>
  <c r="L24" i="8" s="1"/>
  <c r="N32" i="3"/>
  <c r="L22" i="8" s="1"/>
  <c r="K32" i="3"/>
  <c r="Q32" i="3"/>
  <c r="L25" i="8" s="1"/>
  <c r="T16" i="3"/>
  <c r="N32" i="4"/>
  <c r="O32" i="4"/>
  <c r="K32" i="4"/>
  <c r="Q32" i="4"/>
  <c r="U25" i="4"/>
  <c r="T16" i="4"/>
  <c r="P32" i="5"/>
  <c r="T16" i="5"/>
  <c r="Q32" i="5"/>
  <c r="K32" i="5"/>
  <c r="O32" i="5"/>
  <c r="U25" i="5"/>
  <c r="U25" i="6"/>
  <c r="O32" i="6"/>
  <c r="L8" i="8" s="1"/>
  <c r="N32" i="6"/>
  <c r="L7" i="8" s="1"/>
  <c r="K32" i="6"/>
  <c r="P32" i="6"/>
  <c r="L9" i="8" s="1"/>
  <c r="T16" i="6"/>
  <c r="Q32" i="7"/>
  <c r="K32" i="7"/>
  <c r="U25" i="7"/>
  <c r="P32" i="7"/>
  <c r="O32" i="7"/>
  <c r="N32" i="7"/>
  <c r="L23" i="8"/>
  <c r="L10" i="8"/>
  <c r="H19" i="8"/>
  <c r="H20" i="8"/>
  <c r="U45" i="8"/>
  <c r="Z49" i="8" s="1"/>
  <c r="O41" i="8"/>
  <c r="T41" i="8"/>
  <c r="L34" i="8"/>
  <c r="H25" i="8"/>
  <c r="H24" i="8"/>
  <c r="H14" i="8"/>
  <c r="H9" i="8"/>
  <c r="E30" i="8"/>
  <c r="E29" i="8"/>
  <c r="E28" i="8"/>
  <c r="E27" i="8"/>
  <c r="U49" i="8" l="1"/>
  <c r="L18" i="8"/>
  <c r="L15" i="8"/>
  <c r="L14" i="8"/>
  <c r="L12" i="8"/>
  <c r="L13" i="8"/>
  <c r="Q27" i="8"/>
  <c r="H29" i="8"/>
  <c r="L19" i="8" l="1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<sst xmlns="http://schemas.openxmlformats.org/spreadsheetml/2006/main" count="1646" uniqueCount="373">
  <si>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</si>
  <si>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</si>
  <si>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</si>
  <si>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</si>
  <si>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</si>
  <si>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</si>
  <si>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</si>
  <si>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</si>
  <si>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</si>
  <si>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</si>
  <si>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</si>
  <si>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</si>
  <si>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</si>
  <si>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</si>
  <si>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</si>
  <si>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</si>
  <si>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</si>
  <si>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</si>
  <si>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</si>
  <si>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</si>
  <si>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</si>
  <si>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</si>
  <si>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</si>
  <si>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</si>
  <si>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</si>
  <si>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</si>
  <si>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</si>
  <si>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</si>
  <si>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</si>
  <si>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</si>
  <si>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</si>
  <si>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</si>
  <si>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</si>
  <si>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</si>
  <si>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</si>
  <si>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</si>
  <si>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</si>
  <si>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</si>
  <si>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</si>
  <si>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</si>
  <si>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</si>
  <si>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</si>
  <si>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</si>
  <si>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</si>
  <si>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</si>
  <si>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</si>
  <si>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</si>
  <si>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</si>
  <si>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</si>
  <si>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</si>
  <si>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</si>
  <si>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</si>
  <si>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</si>
  <si>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</si>
  <si>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</si>
  <si>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</si>
  <si>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</si>
  <si>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</si>
  <si>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</si>
  <si>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</si>
  <si>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</si>
  <si>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</si>
  <si>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</si>
  <si>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</si>
  <si>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</si>
  <si>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</si>
  <si>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</si>
  <si>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</si>
  <si>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</si>
  <si>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</si>
  <si>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</si>
  <si>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</si>
  <si>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</si>
  <si>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</si>
  <si>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</si>
  <si>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</si>
  <si>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</si>
  <si>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</si>
  <si>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</si>
  <si>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</si>
  <si>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</si>
  <si>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</si>
  <si>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</si>
  <si>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</si>
  <si>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</si>
  <si>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</si>
  <si>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</si>
  <si>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</si>
  <si>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</si>
  <si>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STAFF HRS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</si>
  <si>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</si>
  <si>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</si>
  <si>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</si>
  <si>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</si>
  <si>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Size</t>
  </si>
  <si>
    <t>S</t>
  </si>
  <si>
    <t>M</t>
  </si>
  <si>
    <t>L</t>
  </si>
  <si>
    <t>CDS89H</t>
    <phoneticPr fontId="4" type="noConversion"/>
  </si>
  <si>
    <t>31-01-2022</t>
    <phoneticPr fontId="4" type="noConversion"/>
  </si>
  <si>
    <t>01-02-2022</t>
    <phoneticPr fontId="4" type="noConversion"/>
  </si>
  <si>
    <t>02-02-2022</t>
    <phoneticPr fontId="4" type="noConversion"/>
  </si>
  <si>
    <t>03-02-2022</t>
    <phoneticPr fontId="4" type="noConversion"/>
  </si>
  <si>
    <t>04-02-2022</t>
    <phoneticPr fontId="4" type="noConversion"/>
  </si>
  <si>
    <t>05-02-2022</t>
    <phoneticPr fontId="4" type="noConversion"/>
  </si>
  <si>
    <t>06-02-2022</t>
    <phoneticPr fontId="4" type="noConversion"/>
  </si>
  <si>
    <t>SUNNY</t>
    <phoneticPr fontId="4" type="noConversion"/>
  </si>
  <si>
    <t>JOHN</t>
  </si>
  <si>
    <t>JOHN</t>
    <phoneticPr fontId="4" type="noConversion"/>
  </si>
  <si>
    <t>HENDRA</t>
  </si>
  <si>
    <t>ARIANTO</t>
  </si>
  <si>
    <t>JUNIOR</t>
  </si>
  <si>
    <t>KUROSH</t>
  </si>
  <si>
    <t>DFB88B</t>
    <phoneticPr fontId="4" type="noConversion"/>
  </si>
  <si>
    <t>0423032618</t>
    <phoneticPr fontId="4" type="noConversion"/>
  </si>
  <si>
    <t>PCL</t>
    <phoneticPr fontId="4" type="noConversion"/>
  </si>
  <si>
    <t>21035(5/6)</t>
    <phoneticPr fontId="4" type="noConversion"/>
  </si>
  <si>
    <t>CAE70A</t>
    <phoneticPr fontId="4" type="noConversion"/>
  </si>
  <si>
    <t>0408288123</t>
    <phoneticPr fontId="4" type="noConversion"/>
  </si>
  <si>
    <t>L</t>
    <phoneticPr fontId="4" type="noConversion"/>
  </si>
  <si>
    <t>2003(2/6)</t>
    <phoneticPr fontId="4" type="noConversion"/>
  </si>
  <si>
    <t>ENY84A</t>
    <phoneticPr fontId="4" type="noConversion"/>
  </si>
  <si>
    <t>0406092069</t>
    <phoneticPr fontId="4" type="noConversion"/>
  </si>
  <si>
    <t>X</t>
    <phoneticPr fontId="4" type="noConversion"/>
  </si>
  <si>
    <t>DBE75Y</t>
    <phoneticPr fontId="4" type="noConversion"/>
  </si>
  <si>
    <t>0415212142</t>
    <phoneticPr fontId="4" type="noConversion"/>
  </si>
  <si>
    <t>LAW74A</t>
    <phoneticPr fontId="4" type="noConversion"/>
  </si>
  <si>
    <t>0404876856</t>
    <phoneticPr fontId="4" type="noConversion"/>
  </si>
  <si>
    <t>PCM</t>
    <phoneticPr fontId="4" type="noConversion"/>
  </si>
  <si>
    <t>21122821(1/6)</t>
    <phoneticPr fontId="4" type="noConversion"/>
  </si>
  <si>
    <t>EAP16T</t>
    <phoneticPr fontId="4" type="noConversion"/>
  </si>
  <si>
    <t>0414620831</t>
    <phoneticPr fontId="4" type="noConversion"/>
  </si>
  <si>
    <t>CEO40T</t>
    <phoneticPr fontId="4" type="noConversion"/>
  </si>
  <si>
    <t>0414188113</t>
    <phoneticPr fontId="4" type="noConversion"/>
  </si>
  <si>
    <t>DBL87A</t>
    <phoneticPr fontId="4" type="noConversion"/>
  </si>
  <si>
    <t>0423768252</t>
    <phoneticPr fontId="4" type="noConversion"/>
  </si>
  <si>
    <t>H</t>
    <phoneticPr fontId="4" type="noConversion"/>
  </si>
  <si>
    <t>EMF83Z</t>
    <phoneticPr fontId="4" type="noConversion"/>
  </si>
  <si>
    <t>0452086697</t>
    <phoneticPr fontId="4" type="noConversion"/>
  </si>
  <si>
    <t>GV3</t>
    <phoneticPr fontId="4" type="noConversion"/>
  </si>
  <si>
    <t>202865(6/6),21122820(NEW)</t>
    <phoneticPr fontId="4" type="noConversion"/>
  </si>
  <si>
    <t>DSK36Z</t>
    <phoneticPr fontId="4" type="noConversion"/>
  </si>
  <si>
    <t>202111089(H)</t>
    <phoneticPr fontId="4" type="noConversion"/>
  </si>
  <si>
    <t>S</t>
    <phoneticPr fontId="4" type="noConversion"/>
  </si>
  <si>
    <t>EPN52F</t>
    <phoneticPr fontId="4" type="noConversion"/>
  </si>
  <si>
    <t>0419716479</t>
    <phoneticPr fontId="4" type="noConversion"/>
  </si>
  <si>
    <t>EQO79N</t>
    <phoneticPr fontId="4" type="noConversion"/>
  </si>
  <si>
    <t>0426501419</t>
    <phoneticPr fontId="4" type="noConversion"/>
  </si>
  <si>
    <t>D</t>
    <phoneticPr fontId="4" type="noConversion"/>
  </si>
  <si>
    <t>LAU777</t>
    <phoneticPr fontId="4" type="noConversion"/>
  </si>
  <si>
    <t>0416462000</t>
    <phoneticPr fontId="4" type="noConversion"/>
  </si>
  <si>
    <t>DCN78A</t>
    <phoneticPr fontId="4" type="noConversion"/>
  </si>
  <si>
    <t>0412125669</t>
    <phoneticPr fontId="4" type="noConversion"/>
  </si>
  <si>
    <t>CJN31X</t>
    <phoneticPr fontId="4" type="noConversion"/>
  </si>
  <si>
    <t>0405538516</t>
    <phoneticPr fontId="4" type="noConversion"/>
  </si>
  <si>
    <t>F/D</t>
    <phoneticPr fontId="4" type="noConversion"/>
  </si>
  <si>
    <t>ELM40V</t>
    <phoneticPr fontId="4" type="noConversion"/>
  </si>
  <si>
    <t>0414858897</t>
    <phoneticPr fontId="4" type="noConversion"/>
  </si>
  <si>
    <t>21053(4/6)</t>
    <phoneticPr fontId="4" type="noConversion"/>
  </si>
  <si>
    <t>KJD888</t>
    <phoneticPr fontId="4" type="noConversion"/>
  </si>
  <si>
    <t>0412822216</t>
    <phoneticPr fontId="4" type="noConversion"/>
  </si>
  <si>
    <t>202111070(D)</t>
    <phoneticPr fontId="4" type="noConversion"/>
  </si>
  <si>
    <t>CIQ02X</t>
    <phoneticPr fontId="4" type="noConversion"/>
  </si>
  <si>
    <t>0448220141</t>
    <phoneticPr fontId="4" type="noConversion"/>
  </si>
  <si>
    <t>EBX70J</t>
    <phoneticPr fontId="4" type="noConversion"/>
  </si>
  <si>
    <t>0416131710</t>
    <phoneticPr fontId="4" type="noConversion"/>
  </si>
  <si>
    <t>M</t>
    <phoneticPr fontId="4" type="noConversion"/>
  </si>
  <si>
    <t>ZCZ019</t>
    <phoneticPr fontId="4" type="noConversion"/>
  </si>
  <si>
    <t>0406603663</t>
    <phoneticPr fontId="4" type="noConversion"/>
  </si>
  <si>
    <t>BB</t>
    <phoneticPr fontId="4" type="noConversion"/>
  </si>
  <si>
    <t>0417868891</t>
    <phoneticPr fontId="4" type="noConversion"/>
  </si>
  <si>
    <t>2021111085(W/O)</t>
    <phoneticPr fontId="4" type="noConversion"/>
  </si>
  <si>
    <t>BVF01G</t>
    <phoneticPr fontId="4" type="noConversion"/>
  </si>
  <si>
    <t>0414337409</t>
    <phoneticPr fontId="4" type="noConversion"/>
  </si>
  <si>
    <t>202111090(D)</t>
    <phoneticPr fontId="4" type="noConversion"/>
  </si>
  <si>
    <t>DWR50J</t>
    <phoneticPr fontId="4" type="noConversion"/>
  </si>
  <si>
    <t>0412807276</t>
    <phoneticPr fontId="4" type="noConversion"/>
  </si>
  <si>
    <t>EJW83P</t>
    <phoneticPr fontId="4" type="noConversion"/>
  </si>
  <si>
    <t>0420536353</t>
    <phoneticPr fontId="4" type="noConversion"/>
  </si>
  <si>
    <t>PCS</t>
    <phoneticPr fontId="4" type="noConversion"/>
  </si>
  <si>
    <t>21122822(1/6)</t>
    <phoneticPr fontId="4" type="noConversion"/>
  </si>
  <si>
    <t>EJY96Z</t>
    <phoneticPr fontId="4" type="noConversion"/>
  </si>
  <si>
    <t>0414708001</t>
    <phoneticPr fontId="4" type="noConversion"/>
  </si>
  <si>
    <t>X/ST</t>
    <phoneticPr fontId="4" type="noConversion"/>
  </si>
  <si>
    <t>ECX22U</t>
    <phoneticPr fontId="4" type="noConversion"/>
  </si>
  <si>
    <t>0416670522</t>
    <phoneticPr fontId="4" type="noConversion"/>
  </si>
  <si>
    <t>CPN84A</t>
    <phoneticPr fontId="4" type="noConversion"/>
  </si>
  <si>
    <t>0413083990</t>
    <phoneticPr fontId="4" type="noConversion"/>
  </si>
  <si>
    <t>DWY01V</t>
    <phoneticPr fontId="4" type="noConversion"/>
  </si>
  <si>
    <t>0412127849</t>
    <phoneticPr fontId="4" type="noConversion"/>
  </si>
  <si>
    <t>CIO20S</t>
    <phoneticPr fontId="4" type="noConversion"/>
  </si>
  <si>
    <t>0434037090</t>
    <phoneticPr fontId="4" type="noConversion"/>
  </si>
  <si>
    <t>ERM19A</t>
    <phoneticPr fontId="4" type="noConversion"/>
  </si>
  <si>
    <t>0430033272</t>
    <phoneticPr fontId="4" type="noConversion"/>
  </si>
  <si>
    <t>ELU06M</t>
    <phoneticPr fontId="4" type="noConversion"/>
  </si>
  <si>
    <t>0451899950</t>
    <phoneticPr fontId="4" type="noConversion"/>
  </si>
  <si>
    <t>EDU70M</t>
    <phoneticPr fontId="4" type="noConversion"/>
  </si>
  <si>
    <t>0433724795</t>
    <phoneticPr fontId="4" type="noConversion"/>
  </si>
  <si>
    <t>2112063(2/6)</t>
    <phoneticPr fontId="4" type="noConversion"/>
  </si>
  <si>
    <t>EQK08B</t>
    <phoneticPr fontId="4" type="noConversion"/>
  </si>
  <si>
    <t>0401151254</t>
    <phoneticPr fontId="4" type="noConversion"/>
  </si>
  <si>
    <t>DYR29R</t>
    <phoneticPr fontId="4" type="noConversion"/>
  </si>
  <si>
    <t>0417733573</t>
    <phoneticPr fontId="4" type="noConversion"/>
  </si>
  <si>
    <t>CLZ</t>
    <phoneticPr fontId="4" type="noConversion"/>
  </si>
  <si>
    <t>0452212543</t>
    <phoneticPr fontId="4" type="noConversion"/>
  </si>
  <si>
    <t>21066(2/6)</t>
    <phoneticPr fontId="4" type="noConversion"/>
  </si>
  <si>
    <t>DVA51P</t>
    <phoneticPr fontId="4" type="noConversion"/>
  </si>
  <si>
    <t>0400447345</t>
    <phoneticPr fontId="4" type="noConversion"/>
  </si>
  <si>
    <t>DXQ10K</t>
    <phoneticPr fontId="4" type="noConversion"/>
  </si>
  <si>
    <t>0438217662</t>
    <phoneticPr fontId="4" type="noConversion"/>
  </si>
  <si>
    <t>EAH89D</t>
    <phoneticPr fontId="4" type="noConversion"/>
  </si>
  <si>
    <t>0468827660</t>
    <phoneticPr fontId="4" type="noConversion"/>
  </si>
  <si>
    <t>W/O</t>
    <phoneticPr fontId="4" type="noConversion"/>
  </si>
  <si>
    <t>GQ168</t>
    <phoneticPr fontId="4" type="noConversion"/>
  </si>
  <si>
    <t>0403863959</t>
    <phoneticPr fontId="4" type="noConversion"/>
  </si>
  <si>
    <t>NO PHON</t>
    <phoneticPr fontId="4" type="noConversion"/>
  </si>
  <si>
    <t>21020(5,6/6),NEXT TIME</t>
    <phoneticPr fontId="4" type="noConversion"/>
  </si>
  <si>
    <t>192669(6/6),  TAX,NEXT TIME</t>
    <phoneticPr fontId="4" type="noConversion"/>
  </si>
  <si>
    <t>ANTHONY</t>
    <phoneticPr fontId="4" type="noConversion"/>
  </si>
  <si>
    <t>RAIN</t>
    <phoneticPr fontId="4" type="noConversion"/>
  </si>
  <si>
    <t>BZB84A</t>
    <phoneticPr fontId="4" type="noConversion"/>
  </si>
  <si>
    <t>0408969223</t>
    <phoneticPr fontId="4" type="noConversion"/>
  </si>
  <si>
    <t>21042 (4,5/6)</t>
    <phoneticPr fontId="4" type="noConversion"/>
  </si>
  <si>
    <t>BNW29W</t>
    <phoneticPr fontId="4" type="noConversion"/>
  </si>
  <si>
    <t>0421832768</t>
    <phoneticPr fontId="4" type="noConversion"/>
  </si>
  <si>
    <t>EJL68C</t>
    <phoneticPr fontId="4" type="noConversion"/>
  </si>
  <si>
    <t>0402984645</t>
    <phoneticPr fontId="4" type="noConversion"/>
  </si>
  <si>
    <t>MIH280</t>
    <phoneticPr fontId="4" type="noConversion"/>
  </si>
  <si>
    <t>0409082029</t>
    <phoneticPr fontId="4" type="noConversion"/>
  </si>
  <si>
    <t>1DA7XC</t>
    <phoneticPr fontId="4" type="noConversion"/>
  </si>
  <si>
    <t>0428072463</t>
    <phoneticPr fontId="4" type="noConversion"/>
  </si>
  <si>
    <t>EGL80D</t>
    <phoneticPr fontId="4" type="noConversion"/>
  </si>
  <si>
    <t>0451889998</t>
    <phoneticPr fontId="4" type="noConversion"/>
  </si>
  <si>
    <t>202953(6/6),211122823(NEW)</t>
    <phoneticPr fontId="4" type="noConversion"/>
  </si>
  <si>
    <t>DDF67U</t>
    <phoneticPr fontId="4" type="noConversion"/>
  </si>
  <si>
    <t>0449017553</t>
    <phoneticPr fontId="4" type="noConversion"/>
  </si>
  <si>
    <t>TAX</t>
    <phoneticPr fontId="4" type="noConversion"/>
  </si>
  <si>
    <t>1000 BOOKING</t>
    <phoneticPr fontId="4" type="noConversion"/>
  </si>
  <si>
    <t>830 B00KING</t>
    <phoneticPr fontId="4" type="noConversion"/>
  </si>
  <si>
    <t>EBR55B</t>
    <phoneticPr fontId="4" type="noConversion"/>
  </si>
  <si>
    <t>0413519587</t>
    <phoneticPr fontId="4" type="noConversion"/>
  </si>
  <si>
    <t>CVQ12X</t>
    <phoneticPr fontId="4" type="noConversion"/>
  </si>
  <si>
    <t>0466559751</t>
    <phoneticPr fontId="4" type="noConversion"/>
  </si>
  <si>
    <t>202112058(D)</t>
    <phoneticPr fontId="4" type="noConversion"/>
  </si>
  <si>
    <t>EDW22C</t>
    <phoneticPr fontId="4" type="noConversion"/>
  </si>
  <si>
    <t>0427019954</t>
    <phoneticPr fontId="4" type="noConversion"/>
  </si>
  <si>
    <t>H/ST</t>
    <phoneticPr fontId="4" type="noConversion"/>
  </si>
  <si>
    <t>YI628</t>
    <phoneticPr fontId="4" type="noConversion"/>
  </si>
  <si>
    <t>0425128387</t>
    <phoneticPr fontId="4" type="noConversion"/>
  </si>
  <si>
    <t>21017(4/6)</t>
    <phoneticPr fontId="4" type="noConversion"/>
  </si>
  <si>
    <t>DWF61L</t>
    <phoneticPr fontId="4" type="noConversion"/>
  </si>
  <si>
    <t>0408369505</t>
    <phoneticPr fontId="4" type="noConversion"/>
  </si>
  <si>
    <t>NBW54H</t>
    <phoneticPr fontId="4" type="noConversion"/>
  </si>
  <si>
    <t>0413383540</t>
    <phoneticPr fontId="4" type="noConversion"/>
  </si>
  <si>
    <t>CLOUDY</t>
    <phoneticPr fontId="4" type="noConversion"/>
  </si>
  <si>
    <t>DMS63Z</t>
    <phoneticPr fontId="4" type="noConversion"/>
  </si>
  <si>
    <t>0434666669</t>
    <phoneticPr fontId="4" type="noConversion"/>
  </si>
  <si>
    <t>RAJ028</t>
    <phoneticPr fontId="4" type="noConversion"/>
  </si>
  <si>
    <t>0415600925</t>
    <phoneticPr fontId="4" type="noConversion"/>
  </si>
  <si>
    <t>BFX88V</t>
    <phoneticPr fontId="4" type="noConversion"/>
  </si>
  <si>
    <t>0404117259</t>
    <phoneticPr fontId="4" type="noConversion"/>
  </si>
  <si>
    <t>YKG73N</t>
    <phoneticPr fontId="4" type="noConversion"/>
  </si>
  <si>
    <t>0437026474</t>
    <phoneticPr fontId="4" type="noConversion"/>
  </si>
  <si>
    <t>YHK12C</t>
    <phoneticPr fontId="4" type="noConversion"/>
  </si>
  <si>
    <t>0497818220</t>
    <phoneticPr fontId="4" type="noConversion"/>
  </si>
  <si>
    <t>EKG75U</t>
    <phoneticPr fontId="4" type="noConversion"/>
  </si>
  <si>
    <t>0421789570</t>
    <phoneticPr fontId="4" type="noConversion"/>
  </si>
  <si>
    <t>D/ST</t>
    <phoneticPr fontId="4" type="noConversion"/>
  </si>
  <si>
    <t>YOF51F</t>
    <phoneticPr fontId="4" type="noConversion"/>
  </si>
  <si>
    <t>0450886497</t>
    <phoneticPr fontId="4" type="noConversion"/>
  </si>
  <si>
    <t>DSD04K</t>
    <phoneticPr fontId="4" type="noConversion"/>
  </si>
  <si>
    <t>0468345777</t>
    <phoneticPr fontId="4" type="noConversion"/>
  </si>
  <si>
    <t>22001(1/6),TAX</t>
    <phoneticPr fontId="4" type="noConversion"/>
  </si>
  <si>
    <t>CTK49Z</t>
    <phoneticPr fontId="4" type="noConversion"/>
  </si>
  <si>
    <t>0416146708</t>
    <phoneticPr fontId="4" type="noConversion"/>
  </si>
  <si>
    <t>EJB13Z</t>
    <phoneticPr fontId="4" type="noConversion"/>
  </si>
  <si>
    <t>0459990836</t>
    <phoneticPr fontId="4" type="noConversion"/>
  </si>
  <si>
    <t>CMQ44U</t>
    <phoneticPr fontId="4" type="noConversion"/>
  </si>
  <si>
    <t>0412040258</t>
    <phoneticPr fontId="4" type="noConversion"/>
  </si>
  <si>
    <t>DDM87V</t>
    <phoneticPr fontId="4" type="noConversion"/>
  </si>
  <si>
    <t>0404010880</t>
    <phoneticPr fontId="4" type="noConversion"/>
  </si>
  <si>
    <t>CAF48M</t>
    <phoneticPr fontId="4" type="noConversion"/>
  </si>
  <si>
    <t>0410560790</t>
    <phoneticPr fontId="4" type="noConversion"/>
  </si>
  <si>
    <t>PAUL</t>
    <phoneticPr fontId="4" type="noConversion"/>
  </si>
  <si>
    <t>MIX</t>
    <phoneticPr fontId="4" type="noConversion"/>
  </si>
  <si>
    <t>CWI68C</t>
    <phoneticPr fontId="4" type="noConversion"/>
  </si>
  <si>
    <t>0411478417</t>
    <phoneticPr fontId="4" type="noConversion"/>
  </si>
  <si>
    <t>IN</t>
    <phoneticPr fontId="4" type="noConversion"/>
  </si>
  <si>
    <t>DVW76W</t>
    <phoneticPr fontId="4" type="noConversion"/>
  </si>
  <si>
    <t>0425827700</t>
    <phoneticPr fontId="4" type="noConversion"/>
  </si>
  <si>
    <t>BDK65M</t>
    <phoneticPr fontId="4" type="noConversion"/>
  </si>
  <si>
    <t>0419237162</t>
    <phoneticPr fontId="4" type="noConversion"/>
  </si>
  <si>
    <t>EKW84F</t>
    <phoneticPr fontId="4" type="noConversion"/>
  </si>
  <si>
    <t>0421616797</t>
    <phoneticPr fontId="4" type="noConversion"/>
  </si>
  <si>
    <t>DQK61B</t>
    <phoneticPr fontId="4" type="noConversion"/>
  </si>
  <si>
    <t>0418430255</t>
    <phoneticPr fontId="4" type="noConversion"/>
  </si>
  <si>
    <t>ENO62Z</t>
    <phoneticPr fontId="4" type="noConversion"/>
  </si>
  <si>
    <t>0421956968</t>
    <phoneticPr fontId="4" type="noConversion"/>
  </si>
  <si>
    <t>0431742688</t>
    <phoneticPr fontId="4" type="noConversion"/>
  </si>
  <si>
    <t>22002(1/6)</t>
    <phoneticPr fontId="4" type="noConversion"/>
  </si>
  <si>
    <t>EIZ56H</t>
    <phoneticPr fontId="4" type="noConversion"/>
  </si>
  <si>
    <t>0412958531</t>
    <phoneticPr fontId="4" type="noConversion"/>
  </si>
  <si>
    <t>DVU98Q</t>
    <phoneticPr fontId="4" type="noConversion"/>
  </si>
  <si>
    <t>0427368880</t>
    <phoneticPr fontId="4" type="noConversion"/>
  </si>
  <si>
    <t>EDX54W</t>
    <phoneticPr fontId="4" type="noConversion"/>
  </si>
  <si>
    <t>0400782005</t>
    <phoneticPr fontId="4" type="noConversion"/>
  </si>
  <si>
    <t>1020RW</t>
    <phoneticPr fontId="4" type="noConversion"/>
  </si>
  <si>
    <t>0404891984</t>
    <phoneticPr fontId="4" type="noConversion"/>
  </si>
  <si>
    <t>CO37DL</t>
    <phoneticPr fontId="4" type="noConversion"/>
  </si>
  <si>
    <t>0420691130</t>
    <phoneticPr fontId="4" type="noConversion"/>
  </si>
  <si>
    <t>21011(2/6)</t>
    <phoneticPr fontId="4" type="noConversion"/>
  </si>
  <si>
    <t>AUI58G</t>
    <phoneticPr fontId="4" type="noConversion"/>
  </si>
  <si>
    <t>0434342613</t>
    <phoneticPr fontId="4" type="noConversion"/>
  </si>
  <si>
    <t>EDE97Q</t>
    <phoneticPr fontId="4" type="noConversion"/>
  </si>
  <si>
    <t>0419767248</t>
    <phoneticPr fontId="4" type="noConversion"/>
  </si>
  <si>
    <t>SN1515</t>
    <phoneticPr fontId="4" type="noConversion"/>
  </si>
  <si>
    <t>0407981506</t>
    <phoneticPr fontId="4" type="noConversion"/>
  </si>
  <si>
    <t>EKL59Q</t>
    <phoneticPr fontId="4" type="noConversion"/>
  </si>
  <si>
    <t>0451701729</t>
    <phoneticPr fontId="4" type="noConversion"/>
  </si>
  <si>
    <t>EJM60N</t>
    <phoneticPr fontId="4" type="noConversion"/>
  </si>
  <si>
    <t>0412188766</t>
    <phoneticPr fontId="4" type="noConversion"/>
  </si>
  <si>
    <t>NBY22B</t>
    <phoneticPr fontId="4" type="noConversion"/>
  </si>
  <si>
    <t>0411100899</t>
    <phoneticPr fontId="4" type="noConversion"/>
  </si>
  <si>
    <t>0447514956</t>
    <phoneticPr fontId="4" type="noConversion"/>
  </si>
  <si>
    <t>DTO74M</t>
    <phoneticPr fontId="4" type="noConversion"/>
  </si>
  <si>
    <t>0419799302</t>
    <phoneticPr fontId="4" type="noConversion"/>
  </si>
  <si>
    <t>EEN94M</t>
    <phoneticPr fontId="4" type="noConversion"/>
  </si>
  <si>
    <t>0417205699</t>
    <phoneticPr fontId="4" type="noConversion"/>
  </si>
  <si>
    <t>DZL16P</t>
    <phoneticPr fontId="4" type="noConversion"/>
  </si>
  <si>
    <t>0411950042</t>
    <phoneticPr fontId="4" type="noConversion"/>
  </si>
  <si>
    <t>DLP76U</t>
    <phoneticPr fontId="4" type="noConversion"/>
  </si>
  <si>
    <t>0408465678</t>
    <phoneticPr fontId="4" type="noConversion"/>
  </si>
  <si>
    <t>JM1128</t>
    <phoneticPr fontId="4" type="noConversion"/>
  </si>
  <si>
    <t>0400129911</t>
    <phoneticPr fontId="4" type="noConversion"/>
  </si>
  <si>
    <t>EGK53Z</t>
    <phoneticPr fontId="4" type="noConversion"/>
  </si>
  <si>
    <t>0412370396</t>
    <phoneticPr fontId="4" type="noConversion"/>
  </si>
  <si>
    <t xml:space="preserve">GA191717(5/6) </t>
    <phoneticPr fontId="4" type="noConversion"/>
  </si>
  <si>
    <t>DTG27W</t>
    <phoneticPr fontId="4" type="noConversion"/>
  </si>
  <si>
    <t>0414568458</t>
    <phoneticPr fontId="4" type="noConversion"/>
  </si>
  <si>
    <t>DAO82R</t>
    <phoneticPr fontId="4" type="noConversion"/>
  </si>
  <si>
    <t>21009(5/6)</t>
    <phoneticPr fontId="4" type="noConversion"/>
  </si>
  <si>
    <t>CJO5713</t>
    <phoneticPr fontId="4" type="noConversion"/>
  </si>
  <si>
    <t>0432501122</t>
    <phoneticPr fontId="4" type="noConversion"/>
  </si>
  <si>
    <t>EBT58A</t>
    <phoneticPr fontId="4" type="noConversion"/>
  </si>
  <si>
    <t>0416192892</t>
    <phoneticPr fontId="4" type="noConversion"/>
  </si>
  <si>
    <t>EAU97D</t>
    <phoneticPr fontId="4" type="noConversion"/>
  </si>
  <si>
    <t>0412197632</t>
    <phoneticPr fontId="4" type="noConversion"/>
  </si>
  <si>
    <t>DYO49A</t>
    <phoneticPr fontId="4" type="noConversion"/>
  </si>
  <si>
    <t>0400226566</t>
    <phoneticPr fontId="4" type="noConversion"/>
  </si>
  <si>
    <t>EMW95R</t>
    <phoneticPr fontId="4" type="noConversion"/>
  </si>
  <si>
    <t>0412265565</t>
    <phoneticPr fontId="4" type="noConversion"/>
  </si>
  <si>
    <t>ALL212</t>
    <phoneticPr fontId="4" type="noConversion"/>
  </si>
  <si>
    <t>0404133966</t>
    <phoneticPr fontId="4" type="noConversion"/>
  </si>
  <si>
    <t>BKL77P</t>
    <phoneticPr fontId="4" type="noConversion"/>
  </si>
  <si>
    <t>0404833154</t>
    <phoneticPr fontId="4" type="noConversion"/>
  </si>
  <si>
    <t>D/ID</t>
    <phoneticPr fontId="4" type="noConversion"/>
  </si>
  <si>
    <t>DXX83S</t>
    <phoneticPr fontId="4" type="noConversion"/>
  </si>
  <si>
    <t>0468785715</t>
    <phoneticPr fontId="4" type="noConversion"/>
  </si>
  <si>
    <t>WA99QW</t>
    <phoneticPr fontId="4" type="noConversion"/>
  </si>
  <si>
    <t>0425475888</t>
    <phoneticPr fontId="4" type="noConversion"/>
  </si>
  <si>
    <t>EEB51B</t>
    <phoneticPr fontId="4" type="noConversion"/>
  </si>
  <si>
    <t>0438045360</t>
    <phoneticPr fontId="4" type="noConversion"/>
  </si>
  <si>
    <t>0402841531</t>
    <phoneticPr fontId="4" type="noConversion"/>
  </si>
  <si>
    <t>DYH78K</t>
    <phoneticPr fontId="4" type="noConversion"/>
  </si>
  <si>
    <t>0430941208</t>
    <phoneticPr fontId="4" type="noConversion"/>
  </si>
  <si>
    <t>PETER</t>
    <phoneticPr fontId="4" type="noConversion"/>
  </si>
  <si>
    <t>CHRIS</t>
    <phoneticPr fontId="4" type="noConversion"/>
  </si>
  <si>
    <t>DKB14B</t>
    <phoneticPr fontId="4" type="noConversion"/>
  </si>
  <si>
    <t>0403987772</t>
    <phoneticPr fontId="4" type="noConversion"/>
  </si>
  <si>
    <t>ECR08R</t>
    <phoneticPr fontId="4" type="noConversion"/>
  </si>
  <si>
    <t>0406344444</t>
    <phoneticPr fontId="4" type="noConversion"/>
  </si>
  <si>
    <t>22003(1/6)</t>
    <phoneticPr fontId="4" type="noConversion"/>
  </si>
  <si>
    <t>YDX97Z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</si>
</sst>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47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0" fillId="0" borderId="4" xfId="0" applyBorder="1"/>
    <xf numFmtId="49" fontId="25" fillId="0" borderId="6" xfId="0" applyNumberFormat="1" applyFont="1" applyBorder="1" applyAlignment="1">
      <alignment horizontal="left"/>
    </xf>
    <xf numFmtId="49" fontId="17" fillId="13" borderId="8" xfId="0" applyNumberFormat="1" applyFont="1" applyFill="1" applyBorder="1" applyAlignment="1">
      <alignment horizontal="center" shrinkToFit="1"/>
    </xf>
    <xf numFmtId="0" fontId="17" fillId="13" borderId="34" xfId="0" applyFont="1" applyFill="1" applyBorder="1" applyAlignment="1">
      <alignment horizontal="center" shrinkToFit="1"/>
    </xf>
    <xf numFmtId="0" fontId="17" fillId="13" borderId="63" xfId="0" applyFont="1" applyFill="1" applyBorder="1" applyAlignment="1">
      <alignment horizontal="center" shrinkToFit="1"/>
    </xf>
    <xf numFmtId="49" fontId="29" fillId="0" borderId="6" xfId="0" applyNumberFormat="1" applyFont="1" applyBorder="1"/>
    <xf numFmtId="0" fontId="17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2" fillId="6" borderId="3" xfId="0" applyNumberFormat="1" applyFont="1" applyFill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7" fillId="13" borderId="8" xfId="0" applyFont="1" applyFill="1" applyBorder="1" applyAlignment="1">
      <alignment horizontal="center" vertical="center" shrinkToFit="1"/>
    </xf>
    <xf numFmtId="176" fontId="5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49" fontId="24" fillId="14" borderId="2" xfId="4" applyNumberFormat="1" applyBorder="1" applyAlignment="1">
      <alignment horizontal="left" shrinkToFit="1"/>
    </xf>
    <xf numFmtId="0" fontId="24" fillId="14" borderId="1" xfId="4" applyBorder="1" applyAlignment="1">
      <alignment horizontal="center" vertical="center" shrinkToFit="1"/>
    </xf>
    <xf numFmtId="179" fontId="24" fillId="14" borderId="26" xfId="4" applyNumberFormat="1" applyBorder="1" applyAlignment="1">
      <alignment horizontal="left"/>
    </xf>
    <xf numFmtId="0" fontId="24" fillId="14" borderId="1" xfId="4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1" xfId="4" applyBorder="1" applyAlignment="1">
      <alignment horizontal="center" vertical="center" shrinkToFit="1"/>
    </xf>
    <xf numFmtId="0" fontId="24" fillId="14" borderId="26" xfId="4" applyBorder="1" applyAlignment="1">
      <alignment horizontal="left" shrinkToFit="1"/>
    </xf>
    <xf numFmtId="178" fontId="24" fillId="14" borderId="1" xfId="4" applyNumberFormat="1" applyBorder="1" applyAlignment="1">
      <alignment horizontal="center" shrinkToFit="1"/>
    </xf>
    <xf numFmtId="0" fontId="0" fillId="0" borderId="11" xfId="0" applyBorder="1" applyAlignment="1">
      <alignment horizontal="center" vertical="center" shrinkToFit="1"/>
    </xf>
    <xf numFmtId="178" fontId="1" fillId="0" borderId="4" xfId="0" applyNumberFormat="1" applyFont="1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49" fontId="24" fillId="14" borderId="2" xfId="4" applyNumberFormat="1" applyBorder="1" applyAlignment="1">
      <alignment horizontal="left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2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2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2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2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2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10" zoomScaleNormal="100" zoomScaleSheetLayoutView="100" workbookViewId="0">
      <selection activeCell="R29" sqref="R29:T2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99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106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3002</v>
      </c>
      <c r="C5" s="253" t="s">
        <v>113</v>
      </c>
      <c r="D5" s="254" t="s">
        <v>114</v>
      </c>
      <c r="E5" s="265" t="s">
        <v>97</v>
      </c>
      <c r="F5" s="169">
        <v>815</v>
      </c>
      <c r="G5" s="118" t="s">
        <v>115</v>
      </c>
      <c r="H5" s="91">
        <v>50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58.3</v>
      </c>
      <c r="L5" s="131"/>
      <c r="M5" s="131"/>
      <c r="N5" s="134" t="s">
        <v>108</v>
      </c>
      <c r="O5" s="373" t="s">
        <v>116</v>
      </c>
      <c r="P5" s="374"/>
      <c r="Q5" s="375"/>
      <c r="R5" s="33" t="s">
        <v>107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3003</v>
      </c>
      <c r="C6" s="67" t="s">
        <v>117</v>
      </c>
      <c r="D6" s="195" t="s">
        <v>118</v>
      </c>
      <c r="E6" s="266" t="s">
        <v>119</v>
      </c>
      <c r="F6" s="170">
        <v>840</v>
      </c>
      <c r="G6" s="118" t="s">
        <v>115</v>
      </c>
      <c r="H6" s="91"/>
      <c r="I6" s="124"/>
      <c r="J6" s="130" t="str">
        <f t="shared" ref="J6:J29" si="1">IF(G6="RSL","50","0")</f>
        <v>0</v>
      </c>
      <c r="K6" s="130">
        <v>62.5</v>
      </c>
      <c r="L6" s="131"/>
      <c r="M6" s="131"/>
      <c r="N6" s="134" t="s">
        <v>108</v>
      </c>
      <c r="O6" s="325" t="s">
        <v>120</v>
      </c>
      <c r="P6" s="326"/>
      <c r="Q6" s="327"/>
      <c r="R6" s="132" t="s">
        <v>109</v>
      </c>
      <c r="S6" s="31">
        <v>0.42708333333333331</v>
      </c>
      <c r="T6" s="32">
        <v>0.72916666666666663</v>
      </c>
      <c r="U6" s="92">
        <f t="shared" si="0"/>
        <v>7.25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3004</v>
      </c>
      <c r="C7" s="67" t="s">
        <v>121</v>
      </c>
      <c r="D7" s="195" t="s">
        <v>122</v>
      </c>
      <c r="E7" s="266" t="s">
        <v>119</v>
      </c>
      <c r="F7" s="170">
        <v>845</v>
      </c>
      <c r="G7" s="118" t="s">
        <v>123</v>
      </c>
      <c r="H7" s="91"/>
      <c r="I7" s="124">
        <v>95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108</v>
      </c>
      <c r="O7" s="298"/>
      <c r="P7" s="297"/>
      <c r="Q7" s="299"/>
      <c r="R7" s="134" t="s">
        <v>110</v>
      </c>
      <c r="S7" s="31">
        <v>0.36458333333333331</v>
      </c>
      <c r="T7" s="32">
        <v>0.72916666666666663</v>
      </c>
      <c r="U7" s="92">
        <f t="shared" si="0"/>
        <v>8.75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3005</v>
      </c>
      <c r="C8" s="27" t="s">
        <v>124</v>
      </c>
      <c r="D8" s="195" t="s">
        <v>125</v>
      </c>
      <c r="E8" s="266" t="s">
        <v>95</v>
      </c>
      <c r="F8" s="170">
        <v>905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108</v>
      </c>
      <c r="O8" s="328"/>
      <c r="P8" s="329"/>
      <c r="Q8" s="330"/>
      <c r="R8" s="26" t="s">
        <v>111</v>
      </c>
      <c r="S8" s="31">
        <v>0.33333333333333331</v>
      </c>
      <c r="T8" s="32">
        <v>0.72916666666666663</v>
      </c>
      <c r="U8" s="92">
        <f t="shared" si="0"/>
        <v>9.5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269">
        <v>3006</v>
      </c>
      <c r="C9" s="270" t="s">
        <v>137</v>
      </c>
      <c r="D9" s="271" t="s">
        <v>138</v>
      </c>
      <c r="E9" s="272" t="s">
        <v>119</v>
      </c>
      <c r="F9" s="273">
        <v>930</v>
      </c>
      <c r="G9" s="274" t="s">
        <v>139</v>
      </c>
      <c r="H9" s="275"/>
      <c r="I9" s="275"/>
      <c r="J9" s="275" t="str">
        <f t="shared" si="1"/>
        <v>0</v>
      </c>
      <c r="K9" s="275" t="str">
        <f t="shared" si="2"/>
        <v>0</v>
      </c>
      <c r="L9" s="276">
        <v>475</v>
      </c>
      <c r="M9" s="276"/>
      <c r="N9" s="270" t="s">
        <v>108</v>
      </c>
      <c r="O9" s="354" t="s">
        <v>140</v>
      </c>
      <c r="P9" s="355"/>
      <c r="Q9" s="356"/>
      <c r="R9" s="26" t="s">
        <v>112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274">
        <v>3007</v>
      </c>
      <c r="C10" s="270" t="s">
        <v>126</v>
      </c>
      <c r="D10" s="271" t="s">
        <v>127</v>
      </c>
      <c r="E10" s="272" t="s">
        <v>96</v>
      </c>
      <c r="F10" s="273">
        <v>950</v>
      </c>
      <c r="G10" s="274" t="s">
        <v>128</v>
      </c>
      <c r="H10" s="275"/>
      <c r="I10" s="275"/>
      <c r="J10" s="275" t="str">
        <f t="shared" si="1"/>
        <v>0</v>
      </c>
      <c r="K10" s="275">
        <v>117</v>
      </c>
      <c r="L10" s="276"/>
      <c r="M10" s="276">
        <v>700</v>
      </c>
      <c r="N10" s="270" t="s">
        <v>108</v>
      </c>
      <c r="O10" s="354" t="s">
        <v>129</v>
      </c>
      <c r="P10" s="355"/>
      <c r="Q10" s="35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3008</v>
      </c>
      <c r="C11" s="28" t="s">
        <v>130</v>
      </c>
      <c r="D11" s="197" t="s">
        <v>131</v>
      </c>
      <c r="E11" s="266" t="s">
        <v>119</v>
      </c>
      <c r="F11" s="172">
        <v>1000</v>
      </c>
      <c r="G11" s="120" t="s">
        <v>123</v>
      </c>
      <c r="H11" s="123"/>
      <c r="I11" s="125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3009</v>
      </c>
      <c r="C12" s="18" t="s">
        <v>132</v>
      </c>
      <c r="D12" s="198" t="s">
        <v>133</v>
      </c>
      <c r="E12" s="266" t="s">
        <v>119</v>
      </c>
      <c r="F12" s="66">
        <v>1000</v>
      </c>
      <c r="G12" s="121" t="s">
        <v>123</v>
      </c>
      <c r="H12" s="123"/>
      <c r="I12" s="124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3010</v>
      </c>
      <c r="C13" s="64" t="s">
        <v>134</v>
      </c>
      <c r="D13" s="199" t="s">
        <v>135</v>
      </c>
      <c r="E13" s="266" t="s">
        <v>119</v>
      </c>
      <c r="F13" s="172">
        <v>1010</v>
      </c>
      <c r="G13" s="119" t="s">
        <v>136</v>
      </c>
      <c r="H13" s="123">
        <v>150</v>
      </c>
      <c r="I13" s="125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108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3011</v>
      </c>
      <c r="C14" s="65" t="s">
        <v>141</v>
      </c>
      <c r="D14" s="200"/>
      <c r="E14" s="266" t="s">
        <v>143</v>
      </c>
      <c r="F14" s="173">
        <v>1030</v>
      </c>
      <c r="G14" s="122" t="s">
        <v>44</v>
      </c>
      <c r="H14" s="123"/>
      <c r="I14" s="125">
        <v>60</v>
      </c>
      <c r="J14" s="130" t="str">
        <f t="shared" si="1"/>
        <v>50</v>
      </c>
      <c r="K14" s="130" t="str">
        <f t="shared" si="2"/>
        <v>0</v>
      </c>
      <c r="L14" s="131"/>
      <c r="M14" s="131"/>
      <c r="N14" s="134" t="s">
        <v>108</v>
      </c>
      <c r="O14" s="298" t="s">
        <v>142</v>
      </c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3012</v>
      </c>
      <c r="C15" s="65" t="s">
        <v>144</v>
      </c>
      <c r="D15" s="200" t="s">
        <v>145</v>
      </c>
      <c r="E15" s="266" t="s">
        <v>119</v>
      </c>
      <c r="F15" s="173">
        <v>1105</v>
      </c>
      <c r="G15" s="122" t="s">
        <v>123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108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3013</v>
      </c>
      <c r="C16" s="65" t="s">
        <v>146</v>
      </c>
      <c r="D16" s="200" t="s">
        <v>147</v>
      </c>
      <c r="E16" s="266" t="s">
        <v>143</v>
      </c>
      <c r="F16" s="173">
        <v>1110</v>
      </c>
      <c r="G16" s="122" t="s">
        <v>148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108</v>
      </c>
      <c r="O16" s="298"/>
      <c r="P16" s="297"/>
      <c r="Q16" s="299"/>
      <c r="R16" s="82">
        <f>H32/U16</f>
        <v>0.60465116279069764</v>
      </c>
      <c r="S16" s="83">
        <f>H32/(U16-U5)</f>
        <v>0.77611940298507465</v>
      </c>
      <c r="T16" s="83">
        <f>C32/U16</f>
        <v>65.006976744186048</v>
      </c>
      <c r="U16" s="83">
        <f>SUM(U5:U15)</f>
        <v>43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3014</v>
      </c>
      <c r="C17" s="18" t="s">
        <v>149</v>
      </c>
      <c r="D17" s="198" t="s">
        <v>150</v>
      </c>
      <c r="E17" s="266" t="s">
        <v>143</v>
      </c>
      <c r="F17" s="66">
        <v>1120</v>
      </c>
      <c r="G17" s="121" t="s">
        <v>136</v>
      </c>
      <c r="H17" s="123">
        <v>120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108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3015</v>
      </c>
      <c r="C18" s="18" t="s">
        <v>151</v>
      </c>
      <c r="D18" s="198" t="s">
        <v>152</v>
      </c>
      <c r="E18" s="266" t="s">
        <v>143</v>
      </c>
      <c r="F18" s="66">
        <v>1135</v>
      </c>
      <c r="G18" s="20" t="s">
        <v>123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108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3016</v>
      </c>
      <c r="C19" s="18" t="s">
        <v>153</v>
      </c>
      <c r="D19" s="198" t="s">
        <v>154</v>
      </c>
      <c r="E19" s="266" t="s">
        <v>143</v>
      </c>
      <c r="F19" s="66">
        <v>1200</v>
      </c>
      <c r="G19" s="121" t="s">
        <v>155</v>
      </c>
      <c r="H19" s="123"/>
      <c r="I19" s="124">
        <v>380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108</v>
      </c>
      <c r="O19" s="298"/>
      <c r="P19" s="297"/>
      <c r="Q19" s="297"/>
      <c r="R19" s="93" t="s">
        <v>45</v>
      </c>
      <c r="S19" s="94">
        <f>COUNT(L5:M29,L37:M61,L69:M93)</f>
        <v>3</v>
      </c>
      <c r="T19" s="116">
        <f>SUM(L5:M29,L37:M61,L69:M93)</f>
        <v>1550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3017</v>
      </c>
      <c r="C20" s="18" t="s">
        <v>156</v>
      </c>
      <c r="D20" s="198" t="s">
        <v>157</v>
      </c>
      <c r="E20" s="266" t="s">
        <v>119</v>
      </c>
      <c r="F20" s="66">
        <v>1235</v>
      </c>
      <c r="G20" s="121" t="s">
        <v>115</v>
      </c>
      <c r="H20" s="123"/>
      <c r="I20" s="206"/>
      <c r="J20" s="130" t="str">
        <f t="shared" si="1"/>
        <v>0</v>
      </c>
      <c r="K20" s="208">
        <v>100</v>
      </c>
      <c r="L20" s="207"/>
      <c r="M20" s="207"/>
      <c r="N20" s="134" t="s">
        <v>108</v>
      </c>
      <c r="O20" s="369" t="s">
        <v>158</v>
      </c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3018</v>
      </c>
      <c r="C21" s="18" t="s">
        <v>159</v>
      </c>
      <c r="D21" s="198" t="s">
        <v>160</v>
      </c>
      <c r="E21" s="266" t="s">
        <v>119</v>
      </c>
      <c r="F21" s="66">
        <v>1250</v>
      </c>
      <c r="G21" s="20" t="s">
        <v>44</v>
      </c>
      <c r="H21" s="123">
        <v>25</v>
      </c>
      <c r="I21" s="124"/>
      <c r="J21" s="130" t="str">
        <f t="shared" si="1"/>
        <v>50</v>
      </c>
      <c r="K21" s="130" t="str">
        <f t="shared" si="2"/>
        <v>0</v>
      </c>
      <c r="L21" s="131"/>
      <c r="M21" s="131"/>
      <c r="N21" s="134" t="s">
        <v>108</v>
      </c>
      <c r="O21" s="298" t="s">
        <v>161</v>
      </c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3019</v>
      </c>
      <c r="C22" s="127" t="s">
        <v>162</v>
      </c>
      <c r="D22" s="201" t="s">
        <v>163</v>
      </c>
      <c r="E22" s="266" t="s">
        <v>119</v>
      </c>
      <c r="F22" s="174">
        <v>1300</v>
      </c>
      <c r="G22" s="248" t="s">
        <v>136</v>
      </c>
      <c r="H22" s="89">
        <v>140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108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3020</v>
      </c>
      <c r="C23" s="136" t="s">
        <v>164</v>
      </c>
      <c r="D23" s="202" t="s">
        <v>165</v>
      </c>
      <c r="E23" s="266" t="s">
        <v>166</v>
      </c>
      <c r="F23" s="175">
        <v>1300</v>
      </c>
      <c r="G23" s="165" t="s">
        <v>136</v>
      </c>
      <c r="H23" s="89"/>
      <c r="I23" s="141">
        <v>140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108</v>
      </c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3021</v>
      </c>
      <c r="C24" s="127" t="s">
        <v>167</v>
      </c>
      <c r="D24" s="201" t="s">
        <v>168</v>
      </c>
      <c r="E24" s="266" t="s">
        <v>119</v>
      </c>
      <c r="F24" s="174">
        <v>1325</v>
      </c>
      <c r="G24" s="248" t="s">
        <v>148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108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3022</v>
      </c>
      <c r="C25" s="132" t="s">
        <v>169</v>
      </c>
      <c r="D25" s="203" t="s">
        <v>170</v>
      </c>
      <c r="E25" s="266" t="s">
        <v>119</v>
      </c>
      <c r="F25" s="174">
        <v>1330</v>
      </c>
      <c r="G25" s="248" t="s">
        <v>44</v>
      </c>
      <c r="H25" s="90">
        <v>20</v>
      </c>
      <c r="I25" s="90"/>
      <c r="J25" s="130" t="str">
        <f t="shared" si="1"/>
        <v>50</v>
      </c>
      <c r="K25" s="130" t="str">
        <f t="shared" si="2"/>
        <v>0</v>
      </c>
      <c r="L25" s="69"/>
      <c r="M25" s="69"/>
      <c r="N25" s="134" t="s">
        <v>108</v>
      </c>
      <c r="O25" s="298" t="s">
        <v>171</v>
      </c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1">
        <f>((C32+(R26+S26+T26)*0.5))</f>
        <v>2820.3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>
        <v>3023</v>
      </c>
      <c r="C26" s="27" t="s">
        <v>172</v>
      </c>
      <c r="D26" s="204" t="s">
        <v>173</v>
      </c>
      <c r="E26" s="266" t="s">
        <v>119</v>
      </c>
      <c r="F26" s="176">
        <v>1400</v>
      </c>
      <c r="G26" s="20" t="s">
        <v>44</v>
      </c>
      <c r="H26" s="89">
        <v>25</v>
      </c>
      <c r="I26" s="141"/>
      <c r="J26" s="130" t="str">
        <f t="shared" si="1"/>
        <v>50</v>
      </c>
      <c r="K26" s="130" t="str">
        <f t="shared" si="2"/>
        <v>0</v>
      </c>
      <c r="L26" s="69"/>
      <c r="M26" s="69"/>
      <c r="N26" s="134" t="s">
        <v>108</v>
      </c>
      <c r="O26" s="298" t="s">
        <v>174</v>
      </c>
      <c r="P26" s="297"/>
      <c r="Q26" s="299"/>
      <c r="R26" s="112">
        <f>R25*37.5</f>
        <v>0</v>
      </c>
      <c r="S26" s="102">
        <f>S25*41.5</f>
        <v>0</v>
      </c>
      <c r="T26" s="102">
        <f>T25*50</f>
        <v>50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>
        <v>3024</v>
      </c>
      <c r="C27" s="27" t="s">
        <v>175</v>
      </c>
      <c r="D27" s="204" t="s">
        <v>176</v>
      </c>
      <c r="E27" s="266" t="s">
        <v>119</v>
      </c>
      <c r="F27" s="176">
        <v>1440</v>
      </c>
      <c r="G27" s="20" t="s">
        <v>123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108</v>
      </c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274">
        <v>3025</v>
      </c>
      <c r="C28" s="270" t="s">
        <v>177</v>
      </c>
      <c r="D28" s="271" t="s">
        <v>178</v>
      </c>
      <c r="E28" s="277" t="s">
        <v>143</v>
      </c>
      <c r="F28" s="278">
        <v>1520</v>
      </c>
      <c r="G28" s="274" t="s">
        <v>179</v>
      </c>
      <c r="H28" s="279"/>
      <c r="I28" s="279"/>
      <c r="J28" s="275" t="str">
        <f t="shared" si="1"/>
        <v>0</v>
      </c>
      <c r="K28" s="275">
        <v>62.5</v>
      </c>
      <c r="L28" s="275"/>
      <c r="M28" s="275">
        <v>375</v>
      </c>
      <c r="N28" s="270" t="s">
        <v>108</v>
      </c>
      <c r="O28" s="354" t="s">
        <v>180</v>
      </c>
      <c r="P28" s="355"/>
      <c r="Q28" s="356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>
        <v>3026</v>
      </c>
      <c r="C29" s="34" t="s">
        <v>181</v>
      </c>
      <c r="D29" s="205" t="s">
        <v>182</v>
      </c>
      <c r="E29" s="267" t="s">
        <v>143</v>
      </c>
      <c r="F29" s="176">
        <v>1525</v>
      </c>
      <c r="G29" s="20" t="s">
        <v>183</v>
      </c>
      <c r="H29" s="89"/>
      <c r="I29" s="89">
        <v>180</v>
      </c>
      <c r="J29" s="261" t="str">
        <f t="shared" si="1"/>
        <v>0</v>
      </c>
      <c r="K29" s="261" t="str">
        <f t="shared" si="2"/>
        <v>0</v>
      </c>
      <c r="L29" s="69"/>
      <c r="M29" s="69"/>
      <c r="N29" s="134" t="s">
        <v>108</v>
      </c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530</v>
      </c>
      <c r="I30" s="105">
        <f>SUM(I5:I29)</f>
        <v>1515</v>
      </c>
      <c r="J30" s="105">
        <f>J5+J6+J7+J8+J9+J10+J11+J12+J13+J14+J15+J16+J18+J19+J17+J20+J22+J23+J21+J24+J25+J26+J27+J28+J29</f>
        <v>200</v>
      </c>
      <c r="K30" s="105">
        <f>K5+K6+K7+K8+K9+K10+K11+K12+K13+K14+K15+K16+K18+K19+K17+K20+K22+K23+K21+K24+K25+K26+K27+K28+K29</f>
        <v>400.3</v>
      </c>
      <c r="L30" s="106">
        <f t="shared" si="3"/>
        <v>475</v>
      </c>
      <c r="M30" s="106">
        <f t="shared" si="3"/>
        <v>1075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530</v>
      </c>
      <c r="I31" s="103">
        <f t="shared" si="4"/>
        <v>1665</v>
      </c>
      <c r="J31" s="103">
        <f t="shared" si="4"/>
        <v>200</v>
      </c>
      <c r="K31" s="103">
        <f>K30+K62+K94</f>
        <v>400.3</v>
      </c>
      <c r="L31" s="97">
        <f>L30+L62+L94</f>
        <v>475</v>
      </c>
      <c r="M31" s="97">
        <f>M30+M62+M94</f>
        <v>1075</v>
      </c>
      <c r="N31" s="251">
        <f>COUNT(H5:H29,H37:H61,H69:H93)</f>
        <v>7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1005</v>
      </c>
      <c r="T31" s="337">
        <f>H31+I31+L31+M31</f>
        <v>3745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2795.3</v>
      </c>
      <c r="D32" s="192"/>
      <c r="E32" s="264"/>
      <c r="F32" s="362" t="s">
        <v>53</v>
      </c>
      <c r="G32" s="362"/>
      <c r="H32" s="109">
        <f>COUNT(B5:B29,B37:B61,B69:B93)</f>
        <v>26</v>
      </c>
      <c r="I32" s="363" t="s">
        <v>54</v>
      </c>
      <c r="J32" s="363"/>
      <c r="K32" s="108">
        <f>C32/H32</f>
        <v>107.51153846153846</v>
      </c>
      <c r="L32" s="252"/>
      <c r="M32" s="252"/>
      <c r="N32" s="252">
        <f>H31/C32</f>
        <v>0.18960397810610666</v>
      </c>
      <c r="O32" s="252">
        <f>I31/C32</f>
        <v>0.59564268593710867</v>
      </c>
      <c r="P32" s="252">
        <f>K31/C32</f>
        <v>0.14320466497334811</v>
      </c>
      <c r="Q32" s="110">
        <f>J31/C32</f>
        <v>7.154867098343648E-2</v>
      </c>
      <c r="R32" s="99" t="s">
        <v>82</v>
      </c>
      <c r="S32" s="247">
        <f>I31+M31</f>
        <v>2740</v>
      </c>
      <c r="T32" s="339"/>
      <c r="U32" s="340"/>
      <c r="V32" s="55"/>
      <c r="W32" s="55"/>
      <c r="X32" s="56" t="s">
        <v>27</v>
      </c>
      <c r="Y32" s="56"/>
      <c r="Z32" s="54">
        <f>I31</f>
        <v>1665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-1080</v>
      </c>
      <c r="AE33" s="37"/>
      <c r="AF33" s="37"/>
      <c r="AG33" s="59"/>
      <c r="AH33" s="37"/>
    </row>
    <row r="34" spans="1:34" ht="18" thickBot="1">
      <c r="A34" s="331" t="str">
        <f>A2</f>
        <v>31-01-2022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>
        <v>3027</v>
      </c>
      <c r="C37" s="253" t="s">
        <v>184</v>
      </c>
      <c r="D37" s="258" t="s">
        <v>185</v>
      </c>
      <c r="E37" s="265" t="s">
        <v>119</v>
      </c>
      <c r="F37" s="173">
        <v>1615</v>
      </c>
      <c r="G37" s="118" t="s">
        <v>136</v>
      </c>
      <c r="H37" s="91"/>
      <c r="I37" s="124">
        <v>150</v>
      </c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108</v>
      </c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150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31-01-2022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69:E93 E37:E61 E5:E29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9" sqref="R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100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106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3028</v>
      </c>
      <c r="C5" s="253" t="s">
        <v>186</v>
      </c>
      <c r="D5" s="254" t="s">
        <v>187</v>
      </c>
      <c r="E5" s="265" t="s">
        <v>97</v>
      </c>
      <c r="F5" s="169">
        <v>910</v>
      </c>
      <c r="G5" s="118" t="s">
        <v>136</v>
      </c>
      <c r="H5" s="91"/>
      <c r="I5" s="124">
        <v>150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108</v>
      </c>
      <c r="O5" s="373"/>
      <c r="P5" s="374"/>
      <c r="Q5" s="375"/>
      <c r="R5" s="33" t="s">
        <v>107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3029</v>
      </c>
      <c r="C6" s="67" t="s">
        <v>188</v>
      </c>
      <c r="D6" s="195" t="s">
        <v>189</v>
      </c>
      <c r="E6" s="266" t="s">
        <v>95</v>
      </c>
      <c r="F6" s="170">
        <v>930</v>
      </c>
      <c r="G6" s="118" t="s">
        <v>148</v>
      </c>
      <c r="H6" s="91">
        <v>55</v>
      </c>
      <c r="I6" s="124"/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108</v>
      </c>
      <c r="O6" s="325"/>
      <c r="P6" s="326"/>
      <c r="Q6" s="327"/>
      <c r="R6" s="132" t="s">
        <v>109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3030</v>
      </c>
      <c r="C7" s="67" t="s">
        <v>190</v>
      </c>
      <c r="D7" s="195" t="s">
        <v>191</v>
      </c>
      <c r="E7" s="266" t="s">
        <v>143</v>
      </c>
      <c r="F7" s="170">
        <v>950</v>
      </c>
      <c r="G7" s="118" t="s">
        <v>123</v>
      </c>
      <c r="H7" s="91">
        <v>15</v>
      </c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108</v>
      </c>
      <c r="O7" s="298"/>
      <c r="P7" s="297"/>
      <c r="Q7" s="299"/>
      <c r="R7" s="134" t="s">
        <v>110</v>
      </c>
      <c r="S7" s="31">
        <v>0.41666666666666669</v>
      </c>
      <c r="T7" s="32">
        <v>0.66666666666666663</v>
      </c>
      <c r="U7" s="92">
        <f t="shared" si="0"/>
        <v>5.9999999999999982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3031</v>
      </c>
      <c r="C8" s="27" t="s">
        <v>192</v>
      </c>
      <c r="D8" s="195" t="s">
        <v>193</v>
      </c>
      <c r="E8" s="266" t="s">
        <v>119</v>
      </c>
      <c r="F8" s="170">
        <v>1000</v>
      </c>
      <c r="G8" s="118" t="s">
        <v>115</v>
      </c>
      <c r="H8" s="91"/>
      <c r="I8" s="124"/>
      <c r="J8" s="130" t="str">
        <f t="shared" si="1"/>
        <v>0</v>
      </c>
      <c r="K8" s="130">
        <v>116.6</v>
      </c>
      <c r="L8" s="131"/>
      <c r="M8" s="131"/>
      <c r="N8" s="134" t="s">
        <v>108</v>
      </c>
      <c r="O8" s="328" t="s">
        <v>216</v>
      </c>
      <c r="P8" s="329"/>
      <c r="Q8" s="330"/>
      <c r="R8" s="26" t="s">
        <v>111</v>
      </c>
      <c r="S8" s="31">
        <v>0.33333333333333331</v>
      </c>
      <c r="T8" s="32">
        <v>0.70833333333333337</v>
      </c>
      <c r="U8" s="92">
        <f t="shared" si="0"/>
        <v>9.0000000000000018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3032</v>
      </c>
      <c r="C9" s="63" t="s">
        <v>194</v>
      </c>
      <c r="D9" s="196" t="s">
        <v>195</v>
      </c>
      <c r="E9" s="266" t="s">
        <v>143</v>
      </c>
      <c r="F9" s="171">
        <v>1030</v>
      </c>
      <c r="G9" s="119" t="s">
        <v>123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28"/>
      <c r="P9" s="329"/>
      <c r="Q9" s="330"/>
      <c r="R9" s="26" t="s">
        <v>218</v>
      </c>
      <c r="S9" s="31">
        <v>0.41666666666666669</v>
      </c>
      <c r="T9" s="32">
        <v>0.625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3033</v>
      </c>
      <c r="C10" s="28" t="s">
        <v>196</v>
      </c>
      <c r="D10" s="197" t="s">
        <v>197</v>
      </c>
      <c r="E10" s="266" t="s">
        <v>97</v>
      </c>
      <c r="F10" s="172">
        <v>1030</v>
      </c>
      <c r="G10" s="120" t="s">
        <v>115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108</v>
      </c>
      <c r="O10" s="320" t="s">
        <v>198</v>
      </c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3034</v>
      </c>
      <c r="C11" s="18" t="s">
        <v>199</v>
      </c>
      <c r="D11" s="198" t="s">
        <v>200</v>
      </c>
      <c r="E11" s="266" t="s">
        <v>119</v>
      </c>
      <c r="F11" s="66">
        <v>1030</v>
      </c>
      <c r="G11" s="121" t="s">
        <v>136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3035</v>
      </c>
      <c r="C12" s="64" t="s">
        <v>201</v>
      </c>
      <c r="D12" s="199" t="s">
        <v>202</v>
      </c>
      <c r="E12" s="266" t="s">
        <v>119</v>
      </c>
      <c r="F12" s="172">
        <v>1040</v>
      </c>
      <c r="G12" s="119" t="s">
        <v>148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3036</v>
      </c>
      <c r="C13" s="64" t="s">
        <v>203</v>
      </c>
      <c r="D13" s="199" t="s">
        <v>204</v>
      </c>
      <c r="E13" s="266" t="s">
        <v>119</v>
      </c>
      <c r="F13" s="172">
        <v>1105</v>
      </c>
      <c r="G13" s="119" t="s">
        <v>115</v>
      </c>
      <c r="H13" s="168"/>
      <c r="I13" s="167"/>
      <c r="J13" s="130" t="str">
        <f t="shared" si="1"/>
        <v>0</v>
      </c>
      <c r="K13" s="130">
        <v>79.099999999999994</v>
      </c>
      <c r="L13" s="131"/>
      <c r="M13" s="131"/>
      <c r="N13" s="134" t="s">
        <v>108</v>
      </c>
      <c r="O13" s="298" t="s">
        <v>205</v>
      </c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3037</v>
      </c>
      <c r="C14" s="65" t="s">
        <v>206</v>
      </c>
      <c r="D14" s="200" t="s">
        <v>207</v>
      </c>
      <c r="E14" s="266" t="s">
        <v>119</v>
      </c>
      <c r="F14" s="173">
        <v>1200</v>
      </c>
      <c r="G14" s="122" t="s">
        <v>148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108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3038</v>
      </c>
      <c r="C15" s="65" t="s">
        <v>208</v>
      </c>
      <c r="D15" s="200" t="s">
        <v>209</v>
      </c>
      <c r="E15" s="266" t="s">
        <v>119</v>
      </c>
      <c r="F15" s="173">
        <v>1250</v>
      </c>
      <c r="G15" s="122" t="s">
        <v>123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108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3039</v>
      </c>
      <c r="C16" s="65">
        <v>9900</v>
      </c>
      <c r="D16" s="200" t="s">
        <v>211</v>
      </c>
      <c r="E16" s="266" t="s">
        <v>119</v>
      </c>
      <c r="F16" s="173">
        <v>1330</v>
      </c>
      <c r="G16" s="122" t="s">
        <v>212</v>
      </c>
      <c r="H16" s="123"/>
      <c r="I16" s="124">
        <v>80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108</v>
      </c>
      <c r="O16" s="298"/>
      <c r="P16" s="297"/>
      <c r="Q16" s="299"/>
      <c r="R16" s="82">
        <f>H32/U16</f>
        <v>0.37333333333333335</v>
      </c>
      <c r="S16" s="83">
        <f>H32/(U16-U5)</f>
        <v>0.48275862068965519</v>
      </c>
      <c r="T16" s="83">
        <f>C32/U16</f>
        <v>32.261333333333333</v>
      </c>
      <c r="U16" s="83">
        <f>SUM(U5:U15)</f>
        <v>37.5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3040</v>
      </c>
      <c r="C17" s="18" t="s">
        <v>210</v>
      </c>
      <c r="D17" s="198" t="s">
        <v>215</v>
      </c>
      <c r="E17" s="266" t="s">
        <v>143</v>
      </c>
      <c r="F17" s="66">
        <v>1330</v>
      </c>
      <c r="G17" s="121" t="s">
        <v>148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108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3041</v>
      </c>
      <c r="C18" s="18" t="s">
        <v>213</v>
      </c>
      <c r="D18" s="198" t="s">
        <v>214</v>
      </c>
      <c r="E18" s="266" t="s">
        <v>119</v>
      </c>
      <c r="F18" s="66">
        <v>1515</v>
      </c>
      <c r="G18" s="20" t="s">
        <v>139</v>
      </c>
      <c r="H18" s="123">
        <v>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108</v>
      </c>
      <c r="O18" s="298" t="s">
        <v>217</v>
      </c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1">
        <f>((C32+(R26+S26+T26)*0.5))</f>
        <v>1234.8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50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175</v>
      </c>
      <c r="I30" s="105">
        <f>SUM(I5:I29)</f>
        <v>760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274.79999999999995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175</v>
      </c>
      <c r="I31" s="103">
        <f t="shared" si="4"/>
        <v>760</v>
      </c>
      <c r="J31" s="103">
        <f t="shared" si="4"/>
        <v>0</v>
      </c>
      <c r="K31" s="103">
        <f>K30+K62+K94</f>
        <v>274.79999999999995</v>
      </c>
      <c r="L31" s="97">
        <f>L30+L62+L94</f>
        <v>0</v>
      </c>
      <c r="M31" s="97">
        <f>M30+M62+M94</f>
        <v>0</v>
      </c>
      <c r="N31" s="251">
        <f>COUNT(H5:H29,H37:H61,H69:H93)</f>
        <v>4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175</v>
      </c>
      <c r="T31" s="337">
        <f>H31+I31+L31+M31</f>
        <v>935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1209.8</v>
      </c>
      <c r="D32" s="192"/>
      <c r="E32" s="264"/>
      <c r="F32" s="362" t="s">
        <v>53</v>
      </c>
      <c r="G32" s="362"/>
      <c r="H32" s="109">
        <f>COUNT(B5:B29,B37:B61,B69:B93)</f>
        <v>14</v>
      </c>
      <c r="I32" s="363" t="s">
        <v>54</v>
      </c>
      <c r="J32" s="363"/>
      <c r="K32" s="108">
        <f>C32/H32</f>
        <v>86.414285714285711</v>
      </c>
      <c r="L32" s="252"/>
      <c r="M32" s="252"/>
      <c r="N32" s="252">
        <f>H31/C32</f>
        <v>0.14465200859646224</v>
      </c>
      <c r="O32" s="252">
        <f>I31/C32</f>
        <v>0.62820300876177881</v>
      </c>
      <c r="P32" s="252">
        <f>K31/C32</f>
        <v>0.22714498264175895</v>
      </c>
      <c r="Q32" s="110">
        <f>J31/C32</f>
        <v>0</v>
      </c>
      <c r="R32" s="99" t="s">
        <v>82</v>
      </c>
      <c r="S32" s="247">
        <f>I31+M31</f>
        <v>760</v>
      </c>
      <c r="T32" s="339"/>
      <c r="U32" s="340"/>
      <c r="V32" s="55"/>
      <c r="W32" s="55"/>
      <c r="X32" s="56" t="s">
        <v>27</v>
      </c>
      <c r="Y32" s="56"/>
      <c r="Z32" s="54">
        <f>I31</f>
        <v>760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-1985</v>
      </c>
      <c r="AE33" s="37"/>
      <c r="AF33" s="37"/>
      <c r="AG33" s="59"/>
      <c r="AH33" s="37"/>
    </row>
    <row r="34" spans="1:34" ht="18" thickBot="1">
      <c r="A34" s="331" t="str">
        <f>A2</f>
        <v>01-02-2022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01-02-2022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5:E29 E37:E61 E69:E93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S8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101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219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4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3042</v>
      </c>
      <c r="C5" s="253" t="s">
        <v>220</v>
      </c>
      <c r="D5" s="254" t="s">
        <v>221</v>
      </c>
      <c r="E5" s="265" t="s">
        <v>95</v>
      </c>
      <c r="F5" s="169">
        <v>905</v>
      </c>
      <c r="G5" s="118" t="s">
        <v>179</v>
      </c>
      <c r="H5" s="91"/>
      <c r="I5" s="124"/>
      <c r="J5" s="130" t="str">
        <f>IF(G5="RSL","50","0")</f>
        <v>0</v>
      </c>
      <c r="K5" s="130">
        <v>91.6</v>
      </c>
      <c r="L5" s="131"/>
      <c r="M5" s="131"/>
      <c r="N5" s="132" t="s">
        <v>109</v>
      </c>
      <c r="O5" s="373" t="s">
        <v>222</v>
      </c>
      <c r="P5" s="374"/>
      <c r="Q5" s="375"/>
      <c r="R5" s="33" t="s">
        <v>107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3043</v>
      </c>
      <c r="C6" s="67" t="s">
        <v>223</v>
      </c>
      <c r="D6" s="195" t="s">
        <v>224</v>
      </c>
      <c r="E6" s="266" t="s">
        <v>97</v>
      </c>
      <c r="F6" s="170">
        <v>930</v>
      </c>
      <c r="G6" s="118" t="s">
        <v>123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108</v>
      </c>
      <c r="O6" s="325"/>
      <c r="P6" s="326"/>
      <c r="Q6" s="327"/>
      <c r="R6" s="132" t="s">
        <v>109</v>
      </c>
      <c r="S6" s="31">
        <v>0.35416666666666669</v>
      </c>
      <c r="T6" s="32">
        <v>0.71875</v>
      </c>
      <c r="U6" s="92">
        <f t="shared" si="0"/>
        <v>8.75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3044</v>
      </c>
      <c r="C7" s="67" t="s">
        <v>227</v>
      </c>
      <c r="D7" s="195" t="s">
        <v>228</v>
      </c>
      <c r="E7" s="266" t="s">
        <v>96</v>
      </c>
      <c r="F7" s="170">
        <v>1145</v>
      </c>
      <c r="G7" s="118" t="s">
        <v>148</v>
      </c>
      <c r="H7" s="91"/>
      <c r="I7" s="281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108</v>
      </c>
      <c r="O7" s="298"/>
      <c r="P7" s="297"/>
      <c r="Q7" s="299"/>
      <c r="R7" s="26" t="s">
        <v>112</v>
      </c>
      <c r="S7" s="31">
        <v>0.41666666666666669</v>
      </c>
      <c r="T7" s="32">
        <v>0.64583333333333337</v>
      </c>
      <c r="U7" s="92">
        <f t="shared" si="0"/>
        <v>5.5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3045</v>
      </c>
      <c r="C8" s="27" t="s">
        <v>225</v>
      </c>
      <c r="D8" s="195" t="s">
        <v>226</v>
      </c>
      <c r="E8" s="266" t="s">
        <v>143</v>
      </c>
      <c r="F8" s="170">
        <v>1155</v>
      </c>
      <c r="G8" s="118" t="s">
        <v>123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108</v>
      </c>
      <c r="O8" s="328"/>
      <c r="P8" s="329"/>
      <c r="Q8" s="330"/>
      <c r="R8" s="26" t="s">
        <v>218</v>
      </c>
      <c r="S8" s="31">
        <v>0.45833333333333331</v>
      </c>
      <c r="T8" s="32">
        <v>0.64583333333333337</v>
      </c>
      <c r="U8" s="92">
        <f t="shared" si="0"/>
        <v>4.5000000000000018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3046</v>
      </c>
      <c r="C9" s="63" t="s">
        <v>229</v>
      </c>
      <c r="D9" s="196" t="s">
        <v>230</v>
      </c>
      <c r="E9" s="266" t="s">
        <v>95</v>
      </c>
      <c r="F9" s="171">
        <v>1340</v>
      </c>
      <c r="G9" s="119" t="s">
        <v>123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28"/>
      <c r="P9" s="329"/>
      <c r="Q9" s="330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274">
        <v>3047</v>
      </c>
      <c r="C10" s="282" t="s">
        <v>231</v>
      </c>
      <c r="D10" s="283" t="s">
        <v>232</v>
      </c>
      <c r="E10" s="272" t="s">
        <v>119</v>
      </c>
      <c r="F10" s="278">
        <v>1543</v>
      </c>
      <c r="G10" s="272" t="s">
        <v>139</v>
      </c>
      <c r="H10" s="279"/>
      <c r="I10" s="279"/>
      <c r="J10" s="275" t="str">
        <f t="shared" si="1"/>
        <v>0</v>
      </c>
      <c r="K10" s="275" t="str">
        <f t="shared" si="2"/>
        <v>0</v>
      </c>
      <c r="L10" s="276"/>
      <c r="M10" s="276">
        <v>750</v>
      </c>
      <c r="N10" s="270" t="s">
        <v>108</v>
      </c>
      <c r="O10" s="354" t="s">
        <v>233</v>
      </c>
      <c r="P10" s="355"/>
      <c r="Q10" s="35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3048</v>
      </c>
      <c r="C11" s="18" t="s">
        <v>234</v>
      </c>
      <c r="D11" s="198" t="s">
        <v>235</v>
      </c>
      <c r="E11" s="266" t="s">
        <v>143</v>
      </c>
      <c r="F11" s="66">
        <v>1620</v>
      </c>
      <c r="G11" s="121" t="s">
        <v>123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 t="s">
        <v>236</v>
      </c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/>
      <c r="C12" s="64"/>
      <c r="D12" s="199"/>
      <c r="E12" s="266"/>
      <c r="F12" s="172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/>
      <c r="C13" s="64"/>
      <c r="D13" s="199"/>
      <c r="E13" s="266"/>
      <c r="F13" s="172"/>
      <c r="G13" s="119"/>
      <c r="H13" s="168"/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/>
      <c r="C14" s="65"/>
      <c r="D14" s="200"/>
      <c r="E14" s="266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66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0.25</v>
      </c>
      <c r="S16" s="83">
        <f>H32/(U16-U5)</f>
        <v>0.37333333333333335</v>
      </c>
      <c r="T16" s="83">
        <f>C32/U16</f>
        <v>16.842857142857145</v>
      </c>
      <c r="U16" s="83">
        <f>SUM(U5:U15)</f>
        <v>28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1">
        <f>((C32+(R26+S26+T26)*0.5))</f>
        <v>496.6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50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0</v>
      </c>
      <c r="I30" s="105">
        <f>SUM(I5:I29)</f>
        <v>380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91.6</v>
      </c>
      <c r="L30" s="106">
        <f t="shared" si="3"/>
        <v>0</v>
      </c>
      <c r="M30" s="106">
        <f t="shared" si="3"/>
        <v>750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0</v>
      </c>
      <c r="I31" s="103">
        <f t="shared" si="4"/>
        <v>380</v>
      </c>
      <c r="J31" s="103">
        <f t="shared" si="4"/>
        <v>0</v>
      </c>
      <c r="K31" s="103">
        <f>K30+K62+K94</f>
        <v>91.6</v>
      </c>
      <c r="L31" s="97">
        <f>L30+L62+L94</f>
        <v>0</v>
      </c>
      <c r="M31" s="97">
        <f>M30+M62+M94</f>
        <v>750</v>
      </c>
      <c r="N31" s="251">
        <f>COUNT(H5:H29,H37:H61,H69:H93)</f>
        <v>0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7">
        <f>H31+I31+L31+M31</f>
        <v>1130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471.6</v>
      </c>
      <c r="D32" s="192"/>
      <c r="E32" s="264"/>
      <c r="F32" s="362" t="s">
        <v>53</v>
      </c>
      <c r="G32" s="362"/>
      <c r="H32" s="109">
        <f>COUNT(B5:B29,B37:B61,B69:B93)</f>
        <v>7</v>
      </c>
      <c r="I32" s="363" t="s">
        <v>54</v>
      </c>
      <c r="J32" s="363"/>
      <c r="K32" s="108">
        <f>C32/H32</f>
        <v>67.371428571428581</v>
      </c>
      <c r="L32" s="252"/>
      <c r="M32" s="252"/>
      <c r="N32" s="252">
        <f>H31/C32</f>
        <v>0</v>
      </c>
      <c r="O32" s="252">
        <f>I31/C32</f>
        <v>0.80576759966072942</v>
      </c>
      <c r="P32" s="252">
        <f>K31/C32</f>
        <v>0.19423240033927056</v>
      </c>
      <c r="Q32" s="110">
        <f>J31/C32</f>
        <v>0</v>
      </c>
      <c r="R32" s="99" t="s">
        <v>82</v>
      </c>
      <c r="S32" s="247">
        <f>I31+M31</f>
        <v>1130</v>
      </c>
      <c r="T32" s="339"/>
      <c r="U32" s="340"/>
      <c r="V32" s="55"/>
      <c r="W32" s="55"/>
      <c r="X32" s="56" t="s">
        <v>27</v>
      </c>
      <c r="Y32" s="56"/>
      <c r="Z32" s="54">
        <f>I31</f>
        <v>380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-2365</v>
      </c>
      <c r="AE33" s="37"/>
      <c r="AF33" s="37"/>
      <c r="AG33" s="59"/>
      <c r="AH33" s="37"/>
    </row>
    <row r="34" spans="1:34" ht="18" thickBot="1">
      <c r="A34" s="331" t="str">
        <f>A2</f>
        <v>02-02-2022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RAIN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4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02-02-2022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RAIN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4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5" sqref="R5:S6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102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254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4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3049</v>
      </c>
      <c r="C5" s="253" t="s">
        <v>239</v>
      </c>
      <c r="D5" s="254" t="s">
        <v>240</v>
      </c>
      <c r="E5" s="265" t="s">
        <v>97</v>
      </c>
      <c r="F5" s="169">
        <v>935</v>
      </c>
      <c r="G5" s="118" t="s">
        <v>148</v>
      </c>
      <c r="H5" s="91">
        <v>75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109</v>
      </c>
      <c r="O5" s="373"/>
      <c r="P5" s="374"/>
      <c r="Q5" s="375"/>
      <c r="R5" s="33" t="s">
        <v>107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3050</v>
      </c>
      <c r="C6" s="67" t="s">
        <v>244</v>
      </c>
      <c r="D6" s="195" t="s">
        <v>245</v>
      </c>
      <c r="E6" s="266" t="s">
        <v>97</v>
      </c>
      <c r="F6" s="170">
        <v>1005</v>
      </c>
      <c r="G6" s="118" t="s">
        <v>246</v>
      </c>
      <c r="H6" s="91"/>
      <c r="I6" s="124">
        <v>280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109</v>
      </c>
      <c r="O6" s="325"/>
      <c r="P6" s="326"/>
      <c r="Q6" s="327"/>
      <c r="R6" s="132" t="s">
        <v>109</v>
      </c>
      <c r="S6" s="31">
        <v>0.33333333333333331</v>
      </c>
      <c r="T6" s="32">
        <v>0.71875</v>
      </c>
      <c r="U6" s="92">
        <f t="shared" si="0"/>
        <v>9.25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3051</v>
      </c>
      <c r="C7" s="67" t="s">
        <v>247</v>
      </c>
      <c r="D7" s="195" t="s">
        <v>248</v>
      </c>
      <c r="E7" s="266" t="s">
        <v>95</v>
      </c>
      <c r="F7" s="170">
        <v>1005</v>
      </c>
      <c r="G7" s="118" t="s">
        <v>179</v>
      </c>
      <c r="H7" s="91"/>
      <c r="I7" s="124"/>
      <c r="J7" s="130" t="str">
        <f t="shared" si="1"/>
        <v>0</v>
      </c>
      <c r="K7" s="130">
        <v>58.3</v>
      </c>
      <c r="L7" s="131"/>
      <c r="M7" s="131"/>
      <c r="N7" s="132" t="s">
        <v>109</v>
      </c>
      <c r="O7" s="298" t="s">
        <v>249</v>
      </c>
      <c r="P7" s="297"/>
      <c r="Q7" s="299"/>
      <c r="R7" s="26" t="s">
        <v>112</v>
      </c>
      <c r="S7" s="31">
        <v>0.41666666666666669</v>
      </c>
      <c r="T7" s="32">
        <v>0.71875</v>
      </c>
      <c r="U7" s="92">
        <f t="shared" si="0"/>
        <v>7.25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3052</v>
      </c>
      <c r="C8" s="67" t="s">
        <v>241</v>
      </c>
      <c r="D8" s="195" t="s">
        <v>242</v>
      </c>
      <c r="E8" s="266" t="s">
        <v>97</v>
      </c>
      <c r="F8" s="170">
        <v>1025</v>
      </c>
      <c r="G8" s="118" t="s">
        <v>44</v>
      </c>
      <c r="H8" s="91">
        <v>25</v>
      </c>
      <c r="I8" s="124"/>
      <c r="J8" s="130" t="str">
        <f t="shared" si="1"/>
        <v>50</v>
      </c>
      <c r="K8" s="130" t="str">
        <f t="shared" si="2"/>
        <v>0</v>
      </c>
      <c r="L8" s="131"/>
      <c r="M8" s="131"/>
      <c r="N8" s="132" t="s">
        <v>109</v>
      </c>
      <c r="O8" s="325" t="s">
        <v>243</v>
      </c>
      <c r="P8" s="326"/>
      <c r="Q8" s="327"/>
      <c r="R8" s="26" t="s">
        <v>218</v>
      </c>
      <c r="S8" s="31">
        <v>0.41666666666666669</v>
      </c>
      <c r="T8" s="32">
        <v>0.6875</v>
      </c>
      <c r="U8" s="92">
        <f t="shared" si="0"/>
        <v>6.5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3053</v>
      </c>
      <c r="C9" s="63" t="s">
        <v>250</v>
      </c>
      <c r="D9" s="196" t="s">
        <v>251</v>
      </c>
      <c r="E9" s="266" t="s">
        <v>119</v>
      </c>
      <c r="F9" s="171">
        <v>1140</v>
      </c>
      <c r="G9" s="119" t="s">
        <v>148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28"/>
      <c r="P9" s="329"/>
      <c r="Q9" s="330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3054</v>
      </c>
      <c r="C10" s="28" t="s">
        <v>252</v>
      </c>
      <c r="D10" s="197" t="s">
        <v>253</v>
      </c>
      <c r="E10" s="266" t="s">
        <v>119</v>
      </c>
      <c r="F10" s="172">
        <v>1210</v>
      </c>
      <c r="G10" s="120" t="s">
        <v>136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108</v>
      </c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3055</v>
      </c>
      <c r="C11" s="18" t="s">
        <v>255</v>
      </c>
      <c r="D11" s="198" t="s">
        <v>256</v>
      </c>
      <c r="E11" s="266" t="s">
        <v>143</v>
      </c>
      <c r="F11" s="66">
        <v>1300</v>
      </c>
      <c r="G11" s="121" t="s">
        <v>148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3056</v>
      </c>
      <c r="C12" s="64" t="s">
        <v>257</v>
      </c>
      <c r="D12" s="199" t="s">
        <v>258</v>
      </c>
      <c r="E12" s="266" t="s">
        <v>143</v>
      </c>
      <c r="F12" s="172">
        <v>1320</v>
      </c>
      <c r="G12" s="119" t="s">
        <v>148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3057</v>
      </c>
      <c r="C13" s="64" t="s">
        <v>259</v>
      </c>
      <c r="D13" s="199" t="s">
        <v>260</v>
      </c>
      <c r="E13" s="266" t="s">
        <v>96</v>
      </c>
      <c r="F13" s="172">
        <v>1410</v>
      </c>
      <c r="G13" s="119" t="s">
        <v>123</v>
      </c>
      <c r="H13" s="168"/>
      <c r="I13" s="167">
        <v>70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108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3058</v>
      </c>
      <c r="C14" s="65" t="s">
        <v>261</v>
      </c>
      <c r="D14" s="200" t="s">
        <v>262</v>
      </c>
      <c r="E14" s="266" t="s">
        <v>119</v>
      </c>
      <c r="F14" s="173">
        <v>1450</v>
      </c>
      <c r="G14" s="122" t="s">
        <v>136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108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3059</v>
      </c>
      <c r="C15" s="65" t="s">
        <v>263</v>
      </c>
      <c r="D15" s="200" t="s">
        <v>264</v>
      </c>
      <c r="E15" s="266" t="s">
        <v>119</v>
      </c>
      <c r="F15" s="173">
        <v>1635</v>
      </c>
      <c r="G15" s="122" t="s">
        <v>123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108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0.34108527131782945</v>
      </c>
      <c r="S16" s="83">
        <f>H32/(U16-U5)</f>
        <v>0.47826086956521741</v>
      </c>
      <c r="T16" s="83">
        <f>C32/U16</f>
        <v>35.29612403100775</v>
      </c>
      <c r="U16" s="83">
        <f>SUM(U5:U15)</f>
        <v>32.25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1138.3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100</v>
      </c>
      <c r="I30" s="105">
        <f>SUM(I5:I29)</f>
        <v>930</v>
      </c>
      <c r="J30" s="105">
        <f>J5+J6+J7+J8+J9+J10+J11+J12+J13+J14+J15+J16+J18+J19+J17+J20+J22+J23+J21+J24+J25+J26+J27+J28+J29</f>
        <v>50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100</v>
      </c>
      <c r="I31" s="103">
        <f t="shared" si="4"/>
        <v>930</v>
      </c>
      <c r="J31" s="103">
        <f t="shared" si="4"/>
        <v>50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51">
        <f>COUNT(H5:H29,H37:H61,H69:H93)</f>
        <v>2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100</v>
      </c>
      <c r="T31" s="337">
        <f>H31+I31+L31+M31</f>
        <v>1030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1138.3</v>
      </c>
      <c r="D32" s="192"/>
      <c r="E32" s="264"/>
      <c r="F32" s="362" t="s">
        <v>53</v>
      </c>
      <c r="G32" s="362"/>
      <c r="H32" s="109">
        <f>COUNT(B5:B29,B37:B61,B69:B93)</f>
        <v>11</v>
      </c>
      <c r="I32" s="363" t="s">
        <v>54</v>
      </c>
      <c r="J32" s="363"/>
      <c r="K32" s="108">
        <f>C32/H32</f>
        <v>103.48181818181818</v>
      </c>
      <c r="L32" s="252"/>
      <c r="M32" s="252"/>
      <c r="N32" s="252">
        <f>H31/C32</f>
        <v>8.7850303083545647E-2</v>
      </c>
      <c r="O32" s="252">
        <f>I31/C32</f>
        <v>0.81700781867697447</v>
      </c>
      <c r="P32" s="252">
        <f>K31/C32</f>
        <v>5.1216726697707105E-2</v>
      </c>
      <c r="Q32" s="110">
        <f>J31/C32</f>
        <v>4.3925151541772824E-2</v>
      </c>
      <c r="R32" s="99" t="s">
        <v>82</v>
      </c>
      <c r="S32" s="247">
        <f>I31+M31</f>
        <v>930</v>
      </c>
      <c r="T32" s="339"/>
      <c r="U32" s="340"/>
      <c r="V32" s="55"/>
      <c r="W32" s="55"/>
      <c r="X32" s="56" t="s">
        <v>27</v>
      </c>
      <c r="Y32" s="56"/>
      <c r="Z32" s="54">
        <f>I31</f>
        <v>930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-1815</v>
      </c>
      <c r="AE33" s="37"/>
      <c r="AF33" s="37"/>
      <c r="AG33" s="59"/>
      <c r="AH33" s="37"/>
    </row>
    <row r="34" spans="1:34" ht="18" thickBot="1">
      <c r="A34" s="331" t="str">
        <f>A2</f>
        <v>03-02-2022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CLOUDY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4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03-02-2022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CLOUDY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4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69:E93 E37:E61 E5:E29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I15" sqref="I15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103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284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4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3060</v>
      </c>
      <c r="C5" s="253" t="s">
        <v>265</v>
      </c>
      <c r="D5" s="254" t="s">
        <v>266</v>
      </c>
      <c r="E5" s="265" t="s">
        <v>97</v>
      </c>
      <c r="F5" s="169">
        <v>1045</v>
      </c>
      <c r="G5" s="118" t="s">
        <v>267</v>
      </c>
      <c r="H5" s="91"/>
      <c r="I5" s="124">
        <v>200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108</v>
      </c>
      <c r="O5" s="373"/>
      <c r="P5" s="374"/>
      <c r="Q5" s="375"/>
      <c r="R5" s="33" t="s">
        <v>107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3061</v>
      </c>
      <c r="C6" s="67" t="s">
        <v>268</v>
      </c>
      <c r="D6" s="195" t="s">
        <v>269</v>
      </c>
      <c r="E6" s="266" t="s">
        <v>95</v>
      </c>
      <c r="F6" s="170">
        <v>1115</v>
      </c>
      <c r="G6" s="118" t="s">
        <v>148</v>
      </c>
      <c r="H6" s="91">
        <v>55</v>
      </c>
      <c r="I6" s="124"/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108</v>
      </c>
      <c r="O6" s="325"/>
      <c r="P6" s="326"/>
      <c r="Q6" s="327"/>
      <c r="R6" s="132" t="s">
        <v>109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3062</v>
      </c>
      <c r="C7" s="67" t="s">
        <v>279</v>
      </c>
      <c r="D7" s="195" t="s">
        <v>280</v>
      </c>
      <c r="E7" s="266" t="s">
        <v>96</v>
      </c>
      <c r="F7" s="170">
        <v>1145</v>
      </c>
      <c r="G7" s="118" t="s">
        <v>123</v>
      </c>
      <c r="H7" s="91"/>
      <c r="I7" s="124">
        <v>85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108</v>
      </c>
      <c r="O7" s="298"/>
      <c r="P7" s="297"/>
      <c r="Q7" s="299"/>
      <c r="R7" s="26" t="s">
        <v>111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274">
        <v>3063</v>
      </c>
      <c r="C8" s="270" t="s">
        <v>270</v>
      </c>
      <c r="D8" s="284" t="s">
        <v>271</v>
      </c>
      <c r="E8" s="272" t="s">
        <v>119</v>
      </c>
      <c r="F8" s="273">
        <v>1220</v>
      </c>
      <c r="G8" s="269" t="s">
        <v>115</v>
      </c>
      <c r="H8" s="275"/>
      <c r="I8" s="275"/>
      <c r="J8" s="275" t="str">
        <f t="shared" si="1"/>
        <v>0</v>
      </c>
      <c r="K8" s="275">
        <v>79.099999999999994</v>
      </c>
      <c r="L8" s="276"/>
      <c r="M8" s="276">
        <v>475</v>
      </c>
      <c r="N8" s="270" t="s">
        <v>108</v>
      </c>
      <c r="O8" s="354" t="s">
        <v>272</v>
      </c>
      <c r="P8" s="355"/>
      <c r="Q8" s="356"/>
      <c r="R8" s="26" t="s">
        <v>283</v>
      </c>
      <c r="S8" s="31">
        <v>0.41666666666666669</v>
      </c>
      <c r="T8" s="32">
        <v>0.67708333333333337</v>
      </c>
      <c r="U8" s="92">
        <f t="shared" si="0"/>
        <v>6.25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3064</v>
      </c>
      <c r="C9" s="63" t="s">
        <v>273</v>
      </c>
      <c r="D9" s="196" t="s">
        <v>274</v>
      </c>
      <c r="E9" s="266" t="s">
        <v>119</v>
      </c>
      <c r="F9" s="171">
        <v>1240</v>
      </c>
      <c r="G9" s="119" t="s">
        <v>123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28"/>
      <c r="P9" s="329"/>
      <c r="Q9" s="330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3065</v>
      </c>
      <c r="C10" s="28" t="s">
        <v>281</v>
      </c>
      <c r="D10" s="197" t="s">
        <v>282</v>
      </c>
      <c r="E10" s="266" t="s">
        <v>143</v>
      </c>
      <c r="F10" s="172">
        <v>1240</v>
      </c>
      <c r="G10" s="120" t="s">
        <v>123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108</v>
      </c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3066</v>
      </c>
      <c r="C11" s="18" t="s">
        <v>275</v>
      </c>
      <c r="D11" s="198" t="s">
        <v>276</v>
      </c>
      <c r="E11" s="266" t="s">
        <v>143</v>
      </c>
      <c r="F11" s="66">
        <v>1250</v>
      </c>
      <c r="G11" s="121" t="s">
        <v>136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3067</v>
      </c>
      <c r="C12" s="64" t="s">
        <v>277</v>
      </c>
      <c r="D12" s="199" t="s">
        <v>278</v>
      </c>
      <c r="E12" s="266" t="s">
        <v>119</v>
      </c>
      <c r="F12" s="172">
        <v>1325</v>
      </c>
      <c r="G12" s="119" t="s">
        <v>123</v>
      </c>
      <c r="H12" s="123">
        <v>130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3068</v>
      </c>
      <c r="C13" s="64" t="s">
        <v>285</v>
      </c>
      <c r="D13" s="199" t="s">
        <v>286</v>
      </c>
      <c r="E13" s="266" t="s">
        <v>96</v>
      </c>
      <c r="F13" s="172">
        <v>1550</v>
      </c>
      <c r="G13" s="119" t="s">
        <v>287</v>
      </c>
      <c r="H13" s="168"/>
      <c r="I13" s="167">
        <v>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108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3069</v>
      </c>
      <c r="C14" s="65" t="s">
        <v>288</v>
      </c>
      <c r="D14" s="200" t="s">
        <v>289</v>
      </c>
      <c r="E14" s="266" t="s">
        <v>143</v>
      </c>
      <c r="F14" s="173">
        <v>1620</v>
      </c>
      <c r="G14" s="122" t="s">
        <v>183</v>
      </c>
      <c r="H14" s="123"/>
      <c r="I14" s="125">
        <v>180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108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66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0.30075187969924805</v>
      </c>
      <c r="S16" s="83">
        <f>H32/(U16-U5)</f>
        <v>0.41237113402061842</v>
      </c>
      <c r="T16" s="83">
        <f>C32/U16</f>
        <v>32.153383458646609</v>
      </c>
      <c r="U16" s="83">
        <f>SUM(U5:U15)</f>
        <v>33.250000000000007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W22" s="35" t="s">
        <v>237</v>
      </c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1069.0999999999999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185</v>
      </c>
      <c r="I30" s="105">
        <f>SUM(I5:I29)</f>
        <v>805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185</v>
      </c>
      <c r="I31" s="103">
        <f t="shared" si="4"/>
        <v>805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475</v>
      </c>
      <c r="N31" s="251">
        <f>COUNT(H5:H29,H37:H61,H69:H93)</f>
        <v>2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185</v>
      </c>
      <c r="T31" s="337">
        <f>H31+I31+L31+M31</f>
        <v>1465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1069.0999999999999</v>
      </c>
      <c r="D32" s="192"/>
      <c r="E32" s="264"/>
      <c r="F32" s="362" t="s">
        <v>53</v>
      </c>
      <c r="G32" s="362"/>
      <c r="H32" s="109">
        <f>COUNT(B5:B29,B37:B61,B69:B93)</f>
        <v>10</v>
      </c>
      <c r="I32" s="363" t="s">
        <v>54</v>
      </c>
      <c r="J32" s="363"/>
      <c r="K32" s="108">
        <f>C32/H32</f>
        <v>106.91</v>
      </c>
      <c r="L32" s="252"/>
      <c r="M32" s="252"/>
      <c r="N32" s="252">
        <f>H31/C32</f>
        <v>0.17304274623515106</v>
      </c>
      <c r="O32" s="252">
        <f>I31/C32</f>
        <v>0.75296978767187361</v>
      </c>
      <c r="P32" s="252">
        <f>K31/C32</f>
        <v>7.3987466092975407E-2</v>
      </c>
      <c r="Q32" s="110">
        <f>J31/C32</f>
        <v>0</v>
      </c>
      <c r="R32" s="99" t="s">
        <v>82</v>
      </c>
      <c r="S32" s="247">
        <f>I31+M31</f>
        <v>1280</v>
      </c>
      <c r="T32" s="339"/>
      <c r="U32" s="340"/>
      <c r="V32" s="55"/>
      <c r="W32" s="55"/>
      <c r="X32" s="56" t="s">
        <v>27</v>
      </c>
      <c r="Y32" s="56"/>
      <c r="Z32" s="54">
        <f>I31</f>
        <v>805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-1940</v>
      </c>
      <c r="AE33" s="37"/>
      <c r="AF33" s="37"/>
      <c r="AG33" s="59"/>
      <c r="AH33" s="37"/>
    </row>
    <row r="34" spans="1:34" ht="18" thickBot="1">
      <c r="A34" s="331" t="str">
        <f>A2</f>
        <v>04-02-2022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4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04-02-2022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4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5:E29 E37:E61 E69:E93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C10" sqref="C10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104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284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3070</v>
      </c>
      <c r="C5" s="253" t="s">
        <v>290</v>
      </c>
      <c r="D5" s="254" t="s">
        <v>291</v>
      </c>
      <c r="E5" s="265" t="s">
        <v>97</v>
      </c>
      <c r="F5" s="169">
        <v>815</v>
      </c>
      <c r="G5" s="118" t="s">
        <v>155</v>
      </c>
      <c r="H5" s="91">
        <v>550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109</v>
      </c>
      <c r="O5" s="373"/>
      <c r="P5" s="374"/>
      <c r="Q5" s="375"/>
      <c r="R5" s="33" t="s">
        <v>107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3071</v>
      </c>
      <c r="C6" s="67" t="s">
        <v>292</v>
      </c>
      <c r="D6" s="195" t="s">
        <v>293</v>
      </c>
      <c r="E6" s="266" t="s">
        <v>97</v>
      </c>
      <c r="F6" s="170">
        <v>845</v>
      </c>
      <c r="G6" s="118" t="s">
        <v>123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108</v>
      </c>
      <c r="O6" s="325"/>
      <c r="P6" s="326"/>
      <c r="Q6" s="327"/>
      <c r="R6" s="132" t="s">
        <v>109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3072</v>
      </c>
      <c r="C7" s="67" t="s">
        <v>294</v>
      </c>
      <c r="D7" s="195" t="s">
        <v>295</v>
      </c>
      <c r="E7" s="266" t="s">
        <v>119</v>
      </c>
      <c r="F7" s="170">
        <v>910</v>
      </c>
      <c r="G7" s="118" t="s">
        <v>123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108</v>
      </c>
      <c r="O7" s="298"/>
      <c r="P7" s="297"/>
      <c r="Q7" s="299"/>
      <c r="R7" s="134" t="s">
        <v>110</v>
      </c>
      <c r="S7" s="31">
        <v>0.41666666666666669</v>
      </c>
      <c r="T7" s="32">
        <v>0.70833333333333337</v>
      </c>
      <c r="U7" s="92">
        <f t="shared" si="0"/>
        <v>7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3073</v>
      </c>
      <c r="C8" s="27" t="s">
        <v>296</v>
      </c>
      <c r="D8" s="195" t="s">
        <v>297</v>
      </c>
      <c r="E8" s="266" t="s">
        <v>96</v>
      </c>
      <c r="F8" s="170">
        <v>925</v>
      </c>
      <c r="G8" s="118" t="s">
        <v>123</v>
      </c>
      <c r="H8" s="91"/>
      <c r="I8" s="124">
        <v>85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108</v>
      </c>
      <c r="O8" s="328"/>
      <c r="P8" s="329"/>
      <c r="Q8" s="330"/>
      <c r="R8" s="26" t="s">
        <v>111</v>
      </c>
      <c r="S8" s="31">
        <v>0.33333333333333331</v>
      </c>
      <c r="T8" s="32">
        <v>0.70833333333333337</v>
      </c>
      <c r="U8" s="92">
        <f t="shared" si="0"/>
        <v>9.0000000000000018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269">
        <v>3074</v>
      </c>
      <c r="C9" s="270" t="s">
        <v>372</v>
      </c>
      <c r="D9" s="271" t="s">
        <v>298</v>
      </c>
      <c r="E9" s="272" t="s">
        <v>119</v>
      </c>
      <c r="F9" s="273">
        <v>950</v>
      </c>
      <c r="G9" s="274" t="s">
        <v>115</v>
      </c>
      <c r="H9" s="275"/>
      <c r="I9" s="275"/>
      <c r="J9" s="275" t="str">
        <f t="shared" si="1"/>
        <v>0</v>
      </c>
      <c r="K9" s="275">
        <v>79.099999999999994</v>
      </c>
      <c r="L9" s="276"/>
      <c r="M9" s="276">
        <v>475</v>
      </c>
      <c r="N9" s="270" t="s">
        <v>108</v>
      </c>
      <c r="O9" s="354" t="s">
        <v>299</v>
      </c>
      <c r="P9" s="355"/>
      <c r="Q9" s="356"/>
      <c r="R9" s="26" t="s">
        <v>112</v>
      </c>
      <c r="S9" s="31">
        <v>0.40625</v>
      </c>
      <c r="T9" s="32">
        <v>0.69791666666666663</v>
      </c>
      <c r="U9" s="92">
        <f t="shared" si="0"/>
        <v>6.9999999999999991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3075</v>
      </c>
      <c r="C10" s="28" t="s">
        <v>300</v>
      </c>
      <c r="D10" s="197" t="s">
        <v>301</v>
      </c>
      <c r="E10" s="266" t="s">
        <v>119</v>
      </c>
      <c r="F10" s="172">
        <v>1043</v>
      </c>
      <c r="G10" s="120" t="s">
        <v>136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108</v>
      </c>
      <c r="O10" s="320"/>
      <c r="P10" s="321"/>
      <c r="Q10" s="322"/>
      <c r="R10" s="26" t="s">
        <v>366</v>
      </c>
      <c r="S10" s="31">
        <v>0.375</v>
      </c>
      <c r="T10" s="32">
        <v>0.40625</v>
      </c>
      <c r="U10" s="92">
        <f t="shared" si="0"/>
        <v>0.75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3076</v>
      </c>
      <c r="C11" s="18" t="s">
        <v>302</v>
      </c>
      <c r="D11" s="198" t="s">
        <v>303</v>
      </c>
      <c r="E11" s="266" t="s">
        <v>95</v>
      </c>
      <c r="F11" s="66">
        <v>1120</v>
      </c>
      <c r="G11" s="121" t="s">
        <v>123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3077</v>
      </c>
      <c r="C12" s="64" t="s">
        <v>304</v>
      </c>
      <c r="D12" s="199" t="s">
        <v>305</v>
      </c>
      <c r="E12" s="266" t="s">
        <v>119</v>
      </c>
      <c r="F12" s="172">
        <v>1140</v>
      </c>
      <c r="G12" s="119" t="s">
        <v>123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3078</v>
      </c>
      <c r="C13" s="64" t="s">
        <v>306</v>
      </c>
      <c r="D13" s="199" t="s">
        <v>307</v>
      </c>
      <c r="E13" s="266" t="s">
        <v>119</v>
      </c>
      <c r="F13" s="172">
        <v>1200</v>
      </c>
      <c r="G13" s="119" t="s">
        <v>287</v>
      </c>
      <c r="H13" s="168"/>
      <c r="I13" s="167">
        <v>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108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3079</v>
      </c>
      <c r="C14" s="65" t="s">
        <v>308</v>
      </c>
      <c r="D14" s="200" t="s">
        <v>309</v>
      </c>
      <c r="E14" s="266" t="s">
        <v>143</v>
      </c>
      <c r="F14" s="173">
        <v>1210</v>
      </c>
      <c r="G14" s="122" t="s">
        <v>179</v>
      </c>
      <c r="H14" s="123"/>
      <c r="I14" s="125"/>
      <c r="J14" s="130" t="str">
        <f t="shared" si="1"/>
        <v>0</v>
      </c>
      <c r="K14" s="130">
        <v>100</v>
      </c>
      <c r="L14" s="131"/>
      <c r="M14" s="131"/>
      <c r="N14" s="134" t="s">
        <v>108</v>
      </c>
      <c r="O14" s="298" t="s">
        <v>310</v>
      </c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3080</v>
      </c>
      <c r="C15" s="65" t="s">
        <v>311</v>
      </c>
      <c r="D15" s="200" t="s">
        <v>312</v>
      </c>
      <c r="E15" s="266" t="s">
        <v>143</v>
      </c>
      <c r="F15" s="173">
        <v>1220</v>
      </c>
      <c r="G15" s="122" t="s">
        <v>148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108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3081</v>
      </c>
      <c r="C16" s="65" t="s">
        <v>313</v>
      </c>
      <c r="D16" s="200" t="s">
        <v>314</v>
      </c>
      <c r="E16" s="266" t="s">
        <v>143</v>
      </c>
      <c r="F16" s="173">
        <v>1225</v>
      </c>
      <c r="G16" s="122" t="s">
        <v>123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108</v>
      </c>
      <c r="O16" s="298"/>
      <c r="P16" s="297"/>
      <c r="Q16" s="299"/>
      <c r="R16" s="82">
        <f>H32/U16</f>
        <v>0.45508982035928136</v>
      </c>
      <c r="S16" s="83">
        <f>H32/(U16-U5)</f>
        <v>0.58015267175572505</v>
      </c>
      <c r="T16" s="83">
        <f>C32/U16</f>
        <v>50.0383233532934</v>
      </c>
      <c r="U16" s="83">
        <f>SUM(U5:U15)</f>
        <v>41.750000000000007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3082</v>
      </c>
      <c r="C17" s="18" t="s">
        <v>315</v>
      </c>
      <c r="D17" s="198" t="s">
        <v>316</v>
      </c>
      <c r="E17" s="266" t="s">
        <v>143</v>
      </c>
      <c r="F17" s="66">
        <v>1230</v>
      </c>
      <c r="G17" s="121" t="s">
        <v>123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108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3083</v>
      </c>
      <c r="C18" s="18" t="s">
        <v>317</v>
      </c>
      <c r="D18" s="198" t="s">
        <v>318</v>
      </c>
      <c r="E18" s="266" t="s">
        <v>119</v>
      </c>
      <c r="F18" s="66">
        <v>1300</v>
      </c>
      <c r="G18" s="20" t="s">
        <v>123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108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3084</v>
      </c>
      <c r="C19" s="18" t="s">
        <v>319</v>
      </c>
      <c r="D19" s="198" t="s">
        <v>320</v>
      </c>
      <c r="E19" s="266" t="s">
        <v>143</v>
      </c>
      <c r="F19" s="66">
        <v>1305</v>
      </c>
      <c r="G19" s="121" t="s">
        <v>123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108</v>
      </c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29">
        <v>3085</v>
      </c>
      <c r="C20" s="18" t="s">
        <v>321</v>
      </c>
      <c r="D20" s="198" t="s">
        <v>322</v>
      </c>
      <c r="E20" s="266" t="s">
        <v>119</v>
      </c>
      <c r="F20" s="66">
        <v>1310</v>
      </c>
      <c r="G20" s="121" t="s">
        <v>123</v>
      </c>
      <c r="H20" s="123"/>
      <c r="I20" s="124">
        <v>95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108</v>
      </c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33">
        <v>3086</v>
      </c>
      <c r="C21" s="18" t="s">
        <v>98</v>
      </c>
      <c r="D21" s="198" t="s">
        <v>323</v>
      </c>
      <c r="E21" s="266" t="s">
        <v>143</v>
      </c>
      <c r="F21" s="66">
        <v>1340</v>
      </c>
      <c r="G21" s="20" t="s">
        <v>148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108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29">
        <v>3087</v>
      </c>
      <c r="C22" s="127" t="s">
        <v>324</v>
      </c>
      <c r="D22" s="201" t="s">
        <v>325</v>
      </c>
      <c r="E22" s="266" t="s">
        <v>143</v>
      </c>
      <c r="F22" s="174">
        <v>1500</v>
      </c>
      <c r="G22" s="248" t="s">
        <v>123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108</v>
      </c>
      <c r="O22" s="298"/>
      <c r="P22" s="297"/>
      <c r="Q22" s="299"/>
      <c r="R22" s="113"/>
      <c r="S22" s="114"/>
      <c r="T22" s="114"/>
      <c r="U22" s="115"/>
      <c r="W22" s="35" t="s">
        <v>238</v>
      </c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33">
        <v>3088</v>
      </c>
      <c r="C23" s="136" t="s">
        <v>326</v>
      </c>
      <c r="D23" s="202" t="s">
        <v>327</v>
      </c>
      <c r="E23" s="266" t="s">
        <v>166</v>
      </c>
      <c r="F23" s="175">
        <v>1520</v>
      </c>
      <c r="G23" s="165" t="s">
        <v>123</v>
      </c>
      <c r="H23" s="89"/>
      <c r="I23" s="141">
        <v>85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108</v>
      </c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29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2089.1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680</v>
      </c>
      <c r="I30" s="105">
        <f>SUM(I5:I29)</f>
        <v>1230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179.1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680</v>
      </c>
      <c r="I31" s="103">
        <f t="shared" si="4"/>
        <v>1230</v>
      </c>
      <c r="J31" s="103">
        <f t="shared" si="4"/>
        <v>0</v>
      </c>
      <c r="K31" s="103">
        <f>K30+K62+K94</f>
        <v>179.1</v>
      </c>
      <c r="L31" s="97">
        <f>L30+L62+L94</f>
        <v>0</v>
      </c>
      <c r="M31" s="97">
        <f>M30+M62+M94</f>
        <v>475</v>
      </c>
      <c r="N31" s="251">
        <f>COUNT(H5:H29,H37:H61,H69:H93)</f>
        <v>3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680</v>
      </c>
      <c r="T31" s="337">
        <f>H31+I31+L31+M31</f>
        <v>2385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2089.1</v>
      </c>
      <c r="D32" s="192"/>
      <c r="E32" s="264"/>
      <c r="F32" s="362" t="s">
        <v>53</v>
      </c>
      <c r="G32" s="362"/>
      <c r="H32" s="109">
        <f>COUNT(B5:B29,B37:B61,B69:B93)</f>
        <v>19</v>
      </c>
      <c r="I32" s="363" t="s">
        <v>54</v>
      </c>
      <c r="J32" s="363"/>
      <c r="K32" s="108">
        <f>C32/H32</f>
        <v>109.95263157894736</v>
      </c>
      <c r="L32" s="252"/>
      <c r="M32" s="252"/>
      <c r="N32" s="252">
        <f>H31/C32</f>
        <v>0.32549901871619358</v>
      </c>
      <c r="O32" s="252">
        <f>I31/C32</f>
        <v>0.58877028385429131</v>
      </c>
      <c r="P32" s="252">
        <f>K31/C32</f>
        <v>8.5730697429515099E-2</v>
      </c>
      <c r="Q32" s="110">
        <f>J31/C32</f>
        <v>0</v>
      </c>
      <c r="R32" s="99" t="s">
        <v>82</v>
      </c>
      <c r="S32" s="247">
        <f>I31+M31</f>
        <v>1705</v>
      </c>
      <c r="T32" s="339"/>
      <c r="U32" s="340"/>
      <c r="V32" s="55"/>
      <c r="W32" s="55"/>
      <c r="X32" s="56" t="s">
        <v>27</v>
      </c>
      <c r="Y32" s="56"/>
      <c r="Z32" s="54">
        <f>I31</f>
        <v>1230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-1515</v>
      </c>
      <c r="AE33" s="37"/>
      <c r="AF33" s="37"/>
      <c r="AG33" s="59"/>
      <c r="AH33" s="37"/>
    </row>
    <row r="34" spans="1:34" ht="18" thickBot="1">
      <c r="A34" s="331" t="str">
        <f>A2</f>
        <v>05-02-2022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05-02-2022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5:E29 E37:E61 E69:E93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I25" sqref="I25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8" thickBot="1">
      <c r="A2" s="331" t="s">
        <v>105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284</v>
      </c>
      <c r="K2" s="333"/>
      <c r="L2" s="335" t="s">
        <v>93</v>
      </c>
      <c r="M2" s="336"/>
      <c r="N2" s="334"/>
      <c r="O2" s="332" t="s">
        <v>108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24" t="s">
        <v>8</v>
      </c>
      <c r="P4" s="324"/>
      <c r="Q4" s="324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3089</v>
      </c>
      <c r="C5" s="253" t="s">
        <v>328</v>
      </c>
      <c r="D5" s="254" t="s">
        <v>329</v>
      </c>
      <c r="E5" s="265" t="s">
        <v>95</v>
      </c>
      <c r="F5" s="169">
        <v>845</v>
      </c>
      <c r="G5" s="118" t="s">
        <v>123</v>
      </c>
      <c r="H5" s="91">
        <v>75</v>
      </c>
      <c r="I5" s="124"/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108</v>
      </c>
      <c r="O5" s="373"/>
      <c r="P5" s="374"/>
      <c r="Q5" s="375"/>
      <c r="R5" s="33" t="s">
        <v>107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3090</v>
      </c>
      <c r="C6" s="67" t="s">
        <v>330</v>
      </c>
      <c r="D6" s="195" t="s">
        <v>331</v>
      </c>
      <c r="E6" s="266" t="s">
        <v>97</v>
      </c>
      <c r="F6" s="170">
        <v>910</v>
      </c>
      <c r="G6" s="118" t="s">
        <v>123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108</v>
      </c>
      <c r="O6" s="325"/>
      <c r="P6" s="326"/>
      <c r="Q6" s="327"/>
      <c r="R6" s="132" t="s">
        <v>109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3091</v>
      </c>
      <c r="C7" s="67" t="s">
        <v>332</v>
      </c>
      <c r="D7" s="195" t="s">
        <v>333</v>
      </c>
      <c r="E7" s="266" t="s">
        <v>119</v>
      </c>
      <c r="F7" s="170">
        <v>915</v>
      </c>
      <c r="G7" s="118" t="s">
        <v>123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108</v>
      </c>
      <c r="O7" s="298"/>
      <c r="P7" s="297"/>
      <c r="Q7" s="299"/>
      <c r="R7" s="26" t="s">
        <v>111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3092</v>
      </c>
      <c r="C8" s="27" t="s">
        <v>334</v>
      </c>
      <c r="D8" s="195" t="s">
        <v>335</v>
      </c>
      <c r="E8" s="266" t="s">
        <v>119</v>
      </c>
      <c r="F8" s="170">
        <v>945</v>
      </c>
      <c r="G8" s="118" t="s">
        <v>139</v>
      </c>
      <c r="H8" s="91">
        <v>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108</v>
      </c>
      <c r="O8" s="328" t="s">
        <v>336</v>
      </c>
      <c r="P8" s="329"/>
      <c r="Q8" s="330"/>
      <c r="R8" s="26" t="s">
        <v>112</v>
      </c>
      <c r="S8" s="31">
        <v>0.41666666666666669</v>
      </c>
      <c r="T8" s="32">
        <v>0.72916666666666663</v>
      </c>
      <c r="U8" s="92">
        <f t="shared" si="0"/>
        <v>7.4999999999999982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3093</v>
      </c>
      <c r="C9" s="63" t="s">
        <v>337</v>
      </c>
      <c r="D9" s="196" t="s">
        <v>338</v>
      </c>
      <c r="E9" s="266" t="s">
        <v>143</v>
      </c>
      <c r="F9" s="171">
        <v>1010</v>
      </c>
      <c r="G9" s="119" t="s">
        <v>148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108</v>
      </c>
      <c r="O9" s="328"/>
      <c r="P9" s="329"/>
      <c r="Q9" s="330"/>
      <c r="R9" s="26" t="s">
        <v>365</v>
      </c>
      <c r="S9" s="31">
        <v>0.375</v>
      </c>
      <c r="T9" s="32">
        <v>0.72916666666666663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3094</v>
      </c>
      <c r="C10" s="28" t="s">
        <v>339</v>
      </c>
      <c r="D10" s="197" t="s">
        <v>362</v>
      </c>
      <c r="E10" s="266" t="s">
        <v>143</v>
      </c>
      <c r="F10" s="172">
        <v>1025</v>
      </c>
      <c r="G10" s="120" t="s">
        <v>179</v>
      </c>
      <c r="H10" s="123"/>
      <c r="I10" s="125"/>
      <c r="J10" s="130" t="str">
        <f t="shared" si="1"/>
        <v>0</v>
      </c>
      <c r="K10" s="130" t="str">
        <f t="shared" si="2"/>
        <v>45.8</v>
      </c>
      <c r="L10" s="131"/>
      <c r="M10" s="131"/>
      <c r="N10" s="134" t="s">
        <v>108</v>
      </c>
      <c r="O10" s="320" t="s">
        <v>340</v>
      </c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3095</v>
      </c>
      <c r="C11" s="18" t="s">
        <v>341</v>
      </c>
      <c r="D11" s="198" t="s">
        <v>342</v>
      </c>
      <c r="E11" s="266" t="s">
        <v>119</v>
      </c>
      <c r="F11" s="66">
        <v>1050</v>
      </c>
      <c r="G11" s="121" t="s">
        <v>212</v>
      </c>
      <c r="H11" s="123"/>
      <c r="I11" s="124">
        <v>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108</v>
      </c>
      <c r="O11" s="298" t="s">
        <v>236</v>
      </c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3096</v>
      </c>
      <c r="C12" s="64" t="s">
        <v>343</v>
      </c>
      <c r="D12" s="199" t="s">
        <v>344</v>
      </c>
      <c r="E12" s="266" t="s">
        <v>96</v>
      </c>
      <c r="F12" s="172">
        <v>1100</v>
      </c>
      <c r="G12" s="119" t="s">
        <v>123</v>
      </c>
      <c r="H12" s="123"/>
      <c r="I12" s="125">
        <v>85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108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3097</v>
      </c>
      <c r="C13" s="64" t="s">
        <v>358</v>
      </c>
      <c r="D13" s="199" t="s">
        <v>359</v>
      </c>
      <c r="E13" s="266" t="s">
        <v>119</v>
      </c>
      <c r="F13" s="172">
        <v>1105</v>
      </c>
      <c r="G13" s="119" t="s">
        <v>246</v>
      </c>
      <c r="H13" s="168"/>
      <c r="I13" s="167">
        <v>380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108</v>
      </c>
      <c r="O13" s="298" t="s">
        <v>236</v>
      </c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3098</v>
      </c>
      <c r="C14" s="65" t="s">
        <v>349</v>
      </c>
      <c r="D14" s="200" t="s">
        <v>350</v>
      </c>
      <c r="E14" s="266" t="s">
        <v>119</v>
      </c>
      <c r="F14" s="173">
        <v>1210</v>
      </c>
      <c r="G14" s="122" t="s">
        <v>183</v>
      </c>
      <c r="H14" s="123"/>
      <c r="I14" s="125">
        <v>400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108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3099</v>
      </c>
      <c r="C15" s="65" t="s">
        <v>351</v>
      </c>
      <c r="D15" s="200" t="s">
        <v>352</v>
      </c>
      <c r="E15" s="266" t="s">
        <v>96</v>
      </c>
      <c r="F15" s="173">
        <v>1215</v>
      </c>
      <c r="G15" s="122" t="s">
        <v>148</v>
      </c>
      <c r="H15" s="123"/>
      <c r="I15" s="124">
        <v>60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108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3100</v>
      </c>
      <c r="C16" s="65" t="s">
        <v>353</v>
      </c>
      <c r="D16" s="200" t="s">
        <v>354</v>
      </c>
      <c r="E16" s="266" t="s">
        <v>143</v>
      </c>
      <c r="F16" s="173">
        <v>1220</v>
      </c>
      <c r="G16" s="122" t="s">
        <v>355</v>
      </c>
      <c r="H16" s="123"/>
      <c r="I16" s="124">
        <v>200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108</v>
      </c>
      <c r="O16" s="298"/>
      <c r="P16" s="297"/>
      <c r="Q16" s="299"/>
      <c r="R16" s="82">
        <f>H32/U16</f>
        <v>0.43181818181818182</v>
      </c>
      <c r="S16" s="83">
        <f>H32/(U16-U5)</f>
        <v>0.55072463768115942</v>
      </c>
      <c r="T16" s="83">
        <f>C32/U16</f>
        <v>49.543181818181822</v>
      </c>
      <c r="U16" s="83">
        <f>SUM(U5:U15)</f>
        <v>44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3101</v>
      </c>
      <c r="C17" s="18" t="s">
        <v>347</v>
      </c>
      <c r="D17" s="198" t="s">
        <v>348</v>
      </c>
      <c r="E17" s="266" t="s">
        <v>143</v>
      </c>
      <c r="F17" s="66">
        <v>1230</v>
      </c>
      <c r="G17" s="121" t="s">
        <v>148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108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3102</v>
      </c>
      <c r="C18" s="18" t="s">
        <v>345</v>
      </c>
      <c r="D18" s="198" t="s">
        <v>346</v>
      </c>
      <c r="E18" s="266" t="s">
        <v>143</v>
      </c>
      <c r="F18" s="66">
        <v>1235</v>
      </c>
      <c r="G18" s="20" t="s">
        <v>136</v>
      </c>
      <c r="H18" s="123"/>
      <c r="I18" s="124">
        <v>130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108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3103</v>
      </c>
      <c r="C19" s="18" t="s">
        <v>356</v>
      </c>
      <c r="D19" s="198" t="s">
        <v>357</v>
      </c>
      <c r="E19" s="266" t="s">
        <v>143</v>
      </c>
      <c r="F19" s="66">
        <v>1300</v>
      </c>
      <c r="G19" s="121" t="s">
        <v>123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108</v>
      </c>
      <c r="O19" s="298" t="s">
        <v>236</v>
      </c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3104</v>
      </c>
      <c r="C20" s="18" t="s">
        <v>360</v>
      </c>
      <c r="D20" s="198" t="s">
        <v>361</v>
      </c>
      <c r="E20" s="266" t="s">
        <v>143</v>
      </c>
      <c r="F20" s="66">
        <v>1315</v>
      </c>
      <c r="G20" s="121" t="s">
        <v>148</v>
      </c>
      <c r="H20" s="123"/>
      <c r="I20" s="91">
        <v>55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108</v>
      </c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3105</v>
      </c>
      <c r="C21" s="18" t="s">
        <v>363</v>
      </c>
      <c r="D21" s="198" t="s">
        <v>364</v>
      </c>
      <c r="E21" s="266" t="s">
        <v>143</v>
      </c>
      <c r="F21" s="66">
        <v>1400</v>
      </c>
      <c r="G21" s="20" t="s">
        <v>123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108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3106</v>
      </c>
      <c r="C22" s="127" t="s">
        <v>367</v>
      </c>
      <c r="D22" s="201" t="s">
        <v>368</v>
      </c>
      <c r="E22" s="266" t="s">
        <v>119</v>
      </c>
      <c r="F22" s="174">
        <v>1600</v>
      </c>
      <c r="G22" s="248" t="s">
        <v>123</v>
      </c>
      <c r="H22" s="89"/>
      <c r="I22" s="141">
        <v>110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108</v>
      </c>
      <c r="O22" s="298" t="s">
        <v>236</v>
      </c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3107</v>
      </c>
      <c r="C23" s="282" t="s">
        <v>369</v>
      </c>
      <c r="D23" s="283" t="s">
        <v>370</v>
      </c>
      <c r="E23" s="272" t="s">
        <v>143</v>
      </c>
      <c r="F23" s="278">
        <v>1640</v>
      </c>
      <c r="G23" s="274" t="s">
        <v>115</v>
      </c>
      <c r="H23" s="279"/>
      <c r="I23" s="279"/>
      <c r="J23" s="275" t="str">
        <f t="shared" si="1"/>
        <v>0</v>
      </c>
      <c r="K23" s="275">
        <v>79.099999999999994</v>
      </c>
      <c r="L23" s="275"/>
      <c r="M23" s="275">
        <v>475</v>
      </c>
      <c r="N23" s="270" t="s">
        <v>108</v>
      </c>
      <c r="O23" s="354" t="s">
        <v>371</v>
      </c>
      <c r="P23" s="355"/>
      <c r="Q23" s="356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1">
        <f>((C32+(R26+S26+T26)*0.5))</f>
        <v>2204.9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50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80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7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7" t="s">
        <v>48</v>
      </c>
      <c r="B30" s="348"/>
      <c r="C30" s="348"/>
      <c r="D30" s="348"/>
      <c r="E30" s="349"/>
      <c r="F30" s="348"/>
      <c r="G30" s="348"/>
      <c r="H30" s="245">
        <f t="shared" ref="H30:M30" si="3">SUM(H5:H29)</f>
        <v>125</v>
      </c>
      <c r="I30" s="105">
        <f>SUM(I5:I29)</f>
        <v>1930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124.89999999999999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2" t="s">
        <v>16</v>
      </c>
      <c r="B31" s="353"/>
      <c r="C31" s="353"/>
      <c r="D31" s="353"/>
      <c r="E31" s="353"/>
      <c r="F31" s="353"/>
      <c r="G31" s="353"/>
      <c r="H31" s="246">
        <f t="shared" ref="H31:J31" si="4">H30+H62+H94</f>
        <v>125</v>
      </c>
      <c r="I31" s="103">
        <f t="shared" si="4"/>
        <v>1930</v>
      </c>
      <c r="J31" s="103">
        <f t="shared" si="4"/>
        <v>0</v>
      </c>
      <c r="K31" s="103">
        <f>K30+K62+K94</f>
        <v>124.89999999999999</v>
      </c>
      <c r="L31" s="97">
        <f>L30+L62+L94</f>
        <v>0</v>
      </c>
      <c r="M31" s="97">
        <f>M30+M62+M94</f>
        <v>475</v>
      </c>
      <c r="N31" s="251">
        <f>COUNT(H5:H29,H37:H61,H69:H93)</f>
        <v>2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125</v>
      </c>
      <c r="T31" s="337">
        <f>H31+I31+L31+M31</f>
        <v>2530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60" t="s">
        <v>55</v>
      </c>
      <c r="B32" s="361"/>
      <c r="C32" s="107">
        <f>H31+I31+J31+K31</f>
        <v>2179.9</v>
      </c>
      <c r="D32" s="192"/>
      <c r="E32" s="264"/>
      <c r="F32" s="362" t="s">
        <v>53</v>
      </c>
      <c r="G32" s="362"/>
      <c r="H32" s="109">
        <f>COUNT(B5:B29,B37:B61,B69:B93)</f>
        <v>19</v>
      </c>
      <c r="I32" s="363" t="s">
        <v>54</v>
      </c>
      <c r="J32" s="363"/>
      <c r="K32" s="108">
        <f>C32/H32</f>
        <v>114.73157894736842</v>
      </c>
      <c r="L32" s="252"/>
      <c r="M32" s="252"/>
      <c r="N32" s="252">
        <f>H31/C32</f>
        <v>5.7342079911922562E-2</v>
      </c>
      <c r="O32" s="252">
        <f>I31/C32</f>
        <v>0.88536171384008433</v>
      </c>
      <c r="P32" s="252">
        <f>K31/C32</f>
        <v>5.7296206247993024E-2</v>
      </c>
      <c r="Q32" s="110">
        <f>J31/C32</f>
        <v>0</v>
      </c>
      <c r="R32" s="99" t="s">
        <v>82</v>
      </c>
      <c r="S32" s="247">
        <f>I31+M31</f>
        <v>2405</v>
      </c>
      <c r="T32" s="339"/>
      <c r="U32" s="340"/>
      <c r="V32" s="55"/>
      <c r="W32" s="55"/>
      <c r="X32" s="56" t="s">
        <v>27</v>
      </c>
      <c r="Y32" s="56"/>
      <c r="Z32" s="54">
        <f>I31</f>
        <v>1930</v>
      </c>
      <c r="AE32" s="37"/>
      <c r="AF32" s="37"/>
      <c r="AG32" s="37"/>
      <c r="AH32" s="37"/>
    </row>
    <row r="33" spans="1:34" ht="18" thickBot="1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-815</v>
      </c>
      <c r="AE33" s="37"/>
      <c r="AF33" s="37"/>
      <c r="AG33" s="59"/>
      <c r="AH33" s="37"/>
    </row>
    <row r="34" spans="1:34" ht="18" thickBot="1">
      <c r="A34" s="331" t="str">
        <f>A2</f>
        <v>06-02-2022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24" t="s">
        <v>8</v>
      </c>
      <c r="P36" s="324"/>
      <c r="Q36" s="324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8" thickBot="1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8" thickBot="1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8" thickBot="1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8" thickBot="1">
      <c r="A66" s="331" t="str">
        <f>A34</f>
        <v>06-02-2022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24" t="s">
        <v>8</v>
      </c>
      <c r="P68" s="324"/>
      <c r="Q68" s="324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8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8" thickBot="1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8" thickBot="1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5:E29 E37:E61 E69:E93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workbookViewId="0">
      <selection activeCell="V2" sqref="V2:Z5"/>
    </sheetView>
  </sheetViews>
  <sheetFormatPr defaultColWidth="9" defaultRowHeight="17.399999999999999"/>
  <cols>
    <col min="1" max="477" width="2.59765625" style="35" customWidth="1"/>
    <col min="478" max="16384" width="9" style="35"/>
  </cols>
  <sheetData>
    <row r="1" spans="1:30" ht="32.25" customHeight="1">
      <c r="A1" s="604"/>
      <c r="B1" s="604"/>
      <c r="C1" s="604"/>
      <c r="D1" s="604"/>
      <c r="E1" s="603" t="s">
        <v>59</v>
      </c>
      <c r="F1" s="603"/>
      <c r="G1" s="603"/>
      <c r="H1" s="603" t="s">
        <v>60</v>
      </c>
      <c r="I1" s="603"/>
      <c r="J1" s="603"/>
      <c r="K1" s="603"/>
      <c r="L1" s="603" t="s">
        <v>61</v>
      </c>
      <c r="M1" s="603"/>
      <c r="N1" s="603"/>
      <c r="O1" s="603"/>
      <c r="P1" s="603"/>
      <c r="Q1" s="603" t="s">
        <v>62</v>
      </c>
      <c r="R1" s="603"/>
      <c r="S1" s="603"/>
      <c r="T1" s="603"/>
      <c r="U1" s="603"/>
      <c r="V1" s="603" t="s">
        <v>63</v>
      </c>
      <c r="W1" s="603"/>
      <c r="X1" s="603"/>
      <c r="Y1" s="603"/>
      <c r="Z1" s="603"/>
      <c r="AA1" s="603" t="s">
        <v>64</v>
      </c>
      <c r="AB1" s="603"/>
      <c r="AC1" s="603"/>
      <c r="AD1" s="603"/>
    </row>
    <row r="2" spans="1:30" ht="20.100000000000001" customHeight="1">
      <c r="A2" s="684" t="s">
        <v>66</v>
      </c>
      <c r="B2" s="495" t="s">
        <v>57</v>
      </c>
      <c r="C2" s="495"/>
      <c r="D2" s="519"/>
      <c r="E2" s="519">
        <f>MON!N31</f>
        <v>7</v>
      </c>
      <c r="F2" s="519"/>
      <c r="G2" s="519"/>
      <c r="H2" s="488">
        <f>MON!S31</f>
        <v>1005</v>
      </c>
      <c r="I2" s="488"/>
      <c r="J2" s="488"/>
      <c r="K2" s="488"/>
      <c r="L2" s="489">
        <f>MON!N32</f>
        <v>0.18960397810610666</v>
      </c>
      <c r="M2" s="489"/>
      <c r="N2" s="489"/>
      <c r="O2" s="489"/>
      <c r="P2" s="489"/>
      <c r="Q2" s="549">
        <f>SUM(E2:G5)</f>
        <v>31</v>
      </c>
      <c r="R2" s="550"/>
      <c r="S2" s="550"/>
      <c r="T2" s="550"/>
      <c r="U2" s="551"/>
      <c r="V2" s="614">
        <f>SUM(H2,H3,H5)</f>
        <v>3945</v>
      </c>
      <c r="W2" s="615"/>
      <c r="X2" s="615"/>
      <c r="Y2" s="615"/>
      <c r="Z2" s="616"/>
      <c r="AA2" s="623">
        <f>V2/Q2</f>
        <v>127.25806451612904</v>
      </c>
      <c r="AB2" s="624"/>
      <c r="AC2" s="624"/>
      <c r="AD2" s="625"/>
    </row>
    <row r="3" spans="1:30" ht="20.100000000000001" customHeight="1">
      <c r="A3" s="685"/>
      <c r="B3" s="495" t="s">
        <v>58</v>
      </c>
      <c r="C3" s="495"/>
      <c r="D3" s="519"/>
      <c r="E3" s="519">
        <f>MON!O31</f>
        <v>14</v>
      </c>
      <c r="F3" s="519"/>
      <c r="G3" s="519"/>
      <c r="H3" s="488">
        <f>MON!S32</f>
        <v>2740</v>
      </c>
      <c r="I3" s="488"/>
      <c r="J3" s="488"/>
      <c r="K3" s="488"/>
      <c r="L3" s="489">
        <f>MON!O32</f>
        <v>0.59564268593710867</v>
      </c>
      <c r="M3" s="489"/>
      <c r="N3" s="489"/>
      <c r="O3" s="489"/>
      <c r="P3" s="489"/>
      <c r="Q3" s="552"/>
      <c r="R3" s="553"/>
      <c r="S3" s="553"/>
      <c r="T3" s="553"/>
      <c r="U3" s="554"/>
      <c r="V3" s="617"/>
      <c r="W3" s="618"/>
      <c r="X3" s="618"/>
      <c r="Y3" s="618"/>
      <c r="Z3" s="619"/>
      <c r="AA3" s="626"/>
      <c r="AB3" s="627"/>
      <c r="AC3" s="627"/>
      <c r="AD3" s="628"/>
    </row>
    <row r="4" spans="1:30" ht="20.100000000000001" customHeight="1">
      <c r="A4" s="685"/>
      <c r="B4" s="495" t="s">
        <v>45</v>
      </c>
      <c r="C4" s="495"/>
      <c r="D4" s="519"/>
      <c r="E4" s="519">
        <f>MON!P31</f>
        <v>6</v>
      </c>
      <c r="F4" s="519"/>
      <c r="G4" s="519"/>
      <c r="H4" s="488">
        <f>MON!K31</f>
        <v>400.3</v>
      </c>
      <c r="I4" s="488"/>
      <c r="J4" s="488"/>
      <c r="K4" s="488"/>
      <c r="L4" s="489">
        <f>MON!P32</f>
        <v>0.14320466497334811</v>
      </c>
      <c r="M4" s="489"/>
      <c r="N4" s="489"/>
      <c r="O4" s="489"/>
      <c r="P4" s="489"/>
      <c r="Q4" s="552"/>
      <c r="R4" s="553"/>
      <c r="S4" s="553"/>
      <c r="T4" s="553"/>
      <c r="U4" s="554"/>
      <c r="V4" s="617"/>
      <c r="W4" s="618"/>
      <c r="X4" s="618"/>
      <c r="Y4" s="618"/>
      <c r="Z4" s="619"/>
      <c r="AA4" s="626"/>
      <c r="AB4" s="627"/>
      <c r="AC4" s="627"/>
      <c r="AD4" s="628"/>
    </row>
    <row r="5" spans="1:30" ht="20.100000000000001" customHeight="1">
      <c r="A5" s="685"/>
      <c r="B5" s="493" t="s">
        <v>65</v>
      </c>
      <c r="C5" s="494"/>
      <c r="D5" s="495"/>
      <c r="E5" s="493">
        <f>MON!Q31</f>
        <v>4</v>
      </c>
      <c r="F5" s="494"/>
      <c r="G5" s="495"/>
      <c r="H5" s="541">
        <f>MON!J31</f>
        <v>200</v>
      </c>
      <c r="I5" s="542"/>
      <c r="J5" s="542"/>
      <c r="K5" s="543"/>
      <c r="L5" s="544">
        <f>MON!Q32</f>
        <v>7.154867098343648E-2</v>
      </c>
      <c r="M5" s="545"/>
      <c r="N5" s="545"/>
      <c r="O5" s="545"/>
      <c r="P5" s="546"/>
      <c r="Q5" s="555"/>
      <c r="R5" s="556"/>
      <c r="S5" s="556"/>
      <c r="T5" s="556"/>
      <c r="U5" s="557"/>
      <c r="V5" s="620"/>
      <c r="W5" s="621"/>
      <c r="X5" s="621"/>
      <c r="Y5" s="621"/>
      <c r="Z5" s="622"/>
      <c r="AA5" s="629"/>
      <c r="AB5" s="630"/>
      <c r="AC5" s="630"/>
      <c r="AD5" s="631"/>
    </row>
    <row r="6" spans="1:30" ht="20.100000000000001" customHeight="1">
      <c r="A6" s="686"/>
      <c r="B6" s="493" t="s">
        <v>91</v>
      </c>
      <c r="C6" s="494"/>
      <c r="D6" s="495"/>
      <c r="E6" s="493">
        <f>MON!U16</f>
        <v>43</v>
      </c>
      <c r="F6" s="494"/>
      <c r="G6" s="495"/>
      <c r="H6" s="541" t="s">
        <v>92</v>
      </c>
      <c r="I6" s="542"/>
      <c r="J6" s="542"/>
      <c r="K6" s="543"/>
      <c r="L6" s="597">
        <f>MON!T2</f>
        <v>5</v>
      </c>
      <c r="M6" s="598"/>
      <c r="N6" s="598"/>
      <c r="O6" s="598"/>
      <c r="P6" s="599"/>
      <c r="Q6" s="600"/>
      <c r="R6" s="601"/>
      <c r="S6" s="601"/>
      <c r="T6" s="601"/>
      <c r="U6" s="602"/>
      <c r="V6" s="705"/>
      <c r="W6" s="706"/>
      <c r="X6" s="706"/>
      <c r="Y6" s="706"/>
      <c r="Z6" s="707"/>
      <c r="AA6" s="708"/>
      <c r="AB6" s="709"/>
      <c r="AC6" s="709"/>
      <c r="AD6" s="710"/>
    </row>
    <row r="7" spans="1:30" ht="20.100000000000001" customHeight="1">
      <c r="A7" s="687" t="s">
        <v>67</v>
      </c>
      <c r="B7" s="511" t="s">
        <v>57</v>
      </c>
      <c r="C7" s="511"/>
      <c r="D7" s="512"/>
      <c r="E7" s="512">
        <f>TUE!N31</f>
        <v>4</v>
      </c>
      <c r="F7" s="512"/>
      <c r="G7" s="512"/>
      <c r="H7" s="490">
        <f>TUE!S31</f>
        <v>175</v>
      </c>
      <c r="I7" s="490"/>
      <c r="J7" s="490"/>
      <c r="K7" s="490"/>
      <c r="L7" s="503">
        <f>TUE!N32</f>
        <v>0.14465200859646224</v>
      </c>
      <c r="M7" s="504"/>
      <c r="N7" s="504"/>
      <c r="O7" s="504"/>
      <c r="P7" s="505"/>
      <c r="Q7" s="579">
        <f>SUM(E7:G10)</f>
        <v>16</v>
      </c>
      <c r="R7" s="580"/>
      <c r="S7" s="580"/>
      <c r="T7" s="580"/>
      <c r="U7" s="581"/>
      <c r="V7" s="605">
        <f>SUM(H7,H8,H10)</f>
        <v>935</v>
      </c>
      <c r="W7" s="606"/>
      <c r="X7" s="606"/>
      <c r="Y7" s="606"/>
      <c r="Z7" s="607"/>
      <c r="AA7" s="632">
        <f>V7/Q7</f>
        <v>58.4375</v>
      </c>
      <c r="AB7" s="633"/>
      <c r="AC7" s="633"/>
      <c r="AD7" s="634"/>
    </row>
    <row r="8" spans="1:30" ht="20.100000000000001" customHeight="1">
      <c r="A8" s="688"/>
      <c r="B8" s="511" t="s">
        <v>58</v>
      </c>
      <c r="C8" s="511"/>
      <c r="D8" s="512"/>
      <c r="E8" s="512">
        <f>TUE!O31</f>
        <v>8</v>
      </c>
      <c r="F8" s="512"/>
      <c r="G8" s="512"/>
      <c r="H8" s="490">
        <f>TUE!S32</f>
        <v>760</v>
      </c>
      <c r="I8" s="490"/>
      <c r="J8" s="490"/>
      <c r="K8" s="490"/>
      <c r="L8" s="503">
        <f>TUE!O32</f>
        <v>0.62820300876177881</v>
      </c>
      <c r="M8" s="504"/>
      <c r="N8" s="504"/>
      <c r="O8" s="504"/>
      <c r="P8" s="505"/>
      <c r="Q8" s="582"/>
      <c r="R8" s="583"/>
      <c r="S8" s="583"/>
      <c r="T8" s="583"/>
      <c r="U8" s="584"/>
      <c r="V8" s="608"/>
      <c r="W8" s="609"/>
      <c r="X8" s="609"/>
      <c r="Y8" s="609"/>
      <c r="Z8" s="610"/>
      <c r="AA8" s="635"/>
      <c r="AB8" s="636"/>
      <c r="AC8" s="636"/>
      <c r="AD8" s="637"/>
    </row>
    <row r="9" spans="1:30" ht="20.100000000000001" customHeight="1">
      <c r="A9" s="688"/>
      <c r="B9" s="511" t="s">
        <v>45</v>
      </c>
      <c r="C9" s="511"/>
      <c r="D9" s="512"/>
      <c r="E9" s="512">
        <f>TUE!P31</f>
        <v>4</v>
      </c>
      <c r="F9" s="512"/>
      <c r="G9" s="512"/>
      <c r="H9" s="490">
        <f>TUE!K31</f>
        <v>274.79999999999995</v>
      </c>
      <c r="I9" s="490"/>
      <c r="J9" s="490"/>
      <c r="K9" s="490"/>
      <c r="L9" s="503">
        <f>TUE!P32</f>
        <v>0.22714498264175895</v>
      </c>
      <c r="M9" s="504"/>
      <c r="N9" s="504"/>
      <c r="O9" s="504"/>
      <c r="P9" s="505"/>
      <c r="Q9" s="582"/>
      <c r="R9" s="583"/>
      <c r="S9" s="583"/>
      <c r="T9" s="583"/>
      <c r="U9" s="584"/>
      <c r="V9" s="608"/>
      <c r="W9" s="609"/>
      <c r="X9" s="609"/>
      <c r="Y9" s="609"/>
      <c r="Z9" s="610"/>
      <c r="AA9" s="635"/>
      <c r="AB9" s="636"/>
      <c r="AC9" s="636"/>
      <c r="AD9" s="637"/>
    </row>
    <row r="10" spans="1:30" ht="20.100000000000001" customHeight="1">
      <c r="A10" s="688"/>
      <c r="B10" s="547" t="s">
        <v>65</v>
      </c>
      <c r="C10" s="548"/>
      <c r="D10" s="511"/>
      <c r="E10" s="547">
        <f>TUE!Q31</f>
        <v>0</v>
      </c>
      <c r="F10" s="548"/>
      <c r="G10" s="511"/>
      <c r="H10" s="520">
        <f>TUE!J31</f>
        <v>0</v>
      </c>
      <c r="I10" s="521"/>
      <c r="J10" s="521"/>
      <c r="K10" s="522"/>
      <c r="L10" s="503">
        <f>TUE!Q32</f>
        <v>0</v>
      </c>
      <c r="M10" s="504"/>
      <c r="N10" s="504"/>
      <c r="O10" s="504"/>
      <c r="P10" s="505"/>
      <c r="Q10" s="585"/>
      <c r="R10" s="586"/>
      <c r="S10" s="586"/>
      <c r="T10" s="586"/>
      <c r="U10" s="587"/>
      <c r="V10" s="611"/>
      <c r="W10" s="612"/>
      <c r="X10" s="612"/>
      <c r="Y10" s="612"/>
      <c r="Z10" s="613"/>
      <c r="AA10" s="638"/>
      <c r="AB10" s="639"/>
      <c r="AC10" s="639"/>
      <c r="AD10" s="640"/>
    </row>
    <row r="11" spans="1:30" ht="20.100000000000001" customHeight="1">
      <c r="A11" s="689"/>
      <c r="B11" s="547" t="s">
        <v>91</v>
      </c>
      <c r="C11" s="548"/>
      <c r="D11" s="511"/>
      <c r="E11" s="547">
        <f>TUE!U16</f>
        <v>37.5</v>
      </c>
      <c r="F11" s="548"/>
      <c r="G11" s="511"/>
      <c r="H11" s="520" t="s">
        <v>92</v>
      </c>
      <c r="I11" s="521"/>
      <c r="J11" s="521"/>
      <c r="K11" s="522"/>
      <c r="L11" s="711">
        <f>TUE!T2</f>
        <v>5</v>
      </c>
      <c r="M11" s="712"/>
      <c r="N11" s="712"/>
      <c r="O11" s="712"/>
      <c r="P11" s="713"/>
      <c r="Q11" s="714"/>
      <c r="R11" s="715"/>
      <c r="S11" s="715"/>
      <c r="T11" s="715"/>
      <c r="U11" s="716"/>
      <c r="V11" s="717"/>
      <c r="W11" s="718"/>
      <c r="X11" s="718"/>
      <c r="Y11" s="718"/>
      <c r="Z11" s="719"/>
      <c r="AA11" s="720"/>
      <c r="AB11" s="721"/>
      <c r="AC11" s="721"/>
      <c r="AD11" s="722"/>
    </row>
    <row r="12" spans="1:30" ht="20.100000000000001" customHeight="1">
      <c r="A12" s="690" t="s">
        <v>68</v>
      </c>
      <c r="B12" s="496" t="s">
        <v>57</v>
      </c>
      <c r="C12" s="496"/>
      <c r="D12" s="307"/>
      <c r="E12" s="307">
        <f>WED!N31</f>
        <v>0</v>
      </c>
      <c r="F12" s="307"/>
      <c r="G12" s="307"/>
      <c r="H12" s="497">
        <f>WED!S31</f>
        <v>0</v>
      </c>
      <c r="I12" s="498"/>
      <c r="J12" s="498"/>
      <c r="K12" s="499"/>
      <c r="L12" s="500">
        <f>WED!N32</f>
        <v>0</v>
      </c>
      <c r="M12" s="501"/>
      <c r="N12" s="501"/>
      <c r="O12" s="501"/>
      <c r="P12" s="502"/>
      <c r="Q12" s="558">
        <f>SUM(E12:G15)</f>
        <v>7</v>
      </c>
      <c r="R12" s="559"/>
      <c r="S12" s="559"/>
      <c r="T12" s="559"/>
      <c r="U12" s="560"/>
      <c r="V12" s="732">
        <f>SUM(H12,H13,H15)</f>
        <v>1130</v>
      </c>
      <c r="W12" s="733"/>
      <c r="X12" s="733"/>
      <c r="Y12" s="733"/>
      <c r="Z12" s="734"/>
      <c r="AA12" s="723">
        <f>V12/Q12</f>
        <v>161.42857142857142</v>
      </c>
      <c r="AB12" s="724"/>
      <c r="AC12" s="724"/>
      <c r="AD12" s="725"/>
    </row>
    <row r="13" spans="1:30" ht="20.100000000000001" customHeight="1">
      <c r="A13" s="691"/>
      <c r="B13" s="496" t="s">
        <v>58</v>
      </c>
      <c r="C13" s="496"/>
      <c r="D13" s="307"/>
      <c r="E13" s="307">
        <f>WED!O31</f>
        <v>5</v>
      </c>
      <c r="F13" s="307"/>
      <c r="G13" s="307"/>
      <c r="H13" s="497">
        <f>WED!S32</f>
        <v>1130</v>
      </c>
      <c r="I13" s="498"/>
      <c r="J13" s="498"/>
      <c r="K13" s="499"/>
      <c r="L13" s="500">
        <f>WED!O32</f>
        <v>0.80576759966072942</v>
      </c>
      <c r="M13" s="501"/>
      <c r="N13" s="501"/>
      <c r="O13" s="501"/>
      <c r="P13" s="502"/>
      <c r="Q13" s="561"/>
      <c r="R13" s="562"/>
      <c r="S13" s="562"/>
      <c r="T13" s="562"/>
      <c r="U13" s="563"/>
      <c r="V13" s="735"/>
      <c r="W13" s="736"/>
      <c r="X13" s="736"/>
      <c r="Y13" s="736"/>
      <c r="Z13" s="737"/>
      <c r="AA13" s="726"/>
      <c r="AB13" s="727"/>
      <c r="AC13" s="727"/>
      <c r="AD13" s="728"/>
    </row>
    <row r="14" spans="1:30" ht="20.100000000000001" customHeight="1">
      <c r="A14" s="691"/>
      <c r="B14" s="496" t="s">
        <v>45</v>
      </c>
      <c r="C14" s="496"/>
      <c r="D14" s="307"/>
      <c r="E14" s="307">
        <f>WED!P31</f>
        <v>2</v>
      </c>
      <c r="F14" s="307"/>
      <c r="G14" s="307"/>
      <c r="H14" s="497">
        <f>WED!K31</f>
        <v>91.6</v>
      </c>
      <c r="I14" s="498"/>
      <c r="J14" s="498"/>
      <c r="K14" s="499"/>
      <c r="L14" s="500">
        <f>WED!P32</f>
        <v>0.19423240033927056</v>
      </c>
      <c r="M14" s="501"/>
      <c r="N14" s="501"/>
      <c r="O14" s="501"/>
      <c r="P14" s="502"/>
      <c r="Q14" s="561"/>
      <c r="R14" s="562"/>
      <c r="S14" s="562"/>
      <c r="T14" s="562"/>
      <c r="U14" s="563"/>
      <c r="V14" s="735"/>
      <c r="W14" s="736"/>
      <c r="X14" s="736"/>
      <c r="Y14" s="736"/>
      <c r="Z14" s="737"/>
      <c r="AA14" s="726"/>
      <c r="AB14" s="727"/>
      <c r="AC14" s="727"/>
      <c r="AD14" s="728"/>
    </row>
    <row r="15" spans="1:30" ht="20.100000000000001" customHeight="1">
      <c r="A15" s="691"/>
      <c r="B15" s="513" t="s">
        <v>65</v>
      </c>
      <c r="C15" s="514"/>
      <c r="D15" s="496"/>
      <c r="E15" s="513">
        <f>WED!Q31</f>
        <v>0</v>
      </c>
      <c r="F15" s="514"/>
      <c r="G15" s="496"/>
      <c r="H15" s="497">
        <f>WED!J31</f>
        <v>0</v>
      </c>
      <c r="I15" s="498"/>
      <c r="J15" s="498"/>
      <c r="K15" s="499"/>
      <c r="L15" s="500">
        <f>WED!Q32</f>
        <v>0</v>
      </c>
      <c r="M15" s="501"/>
      <c r="N15" s="501"/>
      <c r="O15" s="501"/>
      <c r="P15" s="502"/>
      <c r="Q15" s="564"/>
      <c r="R15" s="565"/>
      <c r="S15" s="565"/>
      <c r="T15" s="565"/>
      <c r="U15" s="566"/>
      <c r="V15" s="738"/>
      <c r="W15" s="739"/>
      <c r="X15" s="739"/>
      <c r="Y15" s="739"/>
      <c r="Z15" s="740"/>
      <c r="AA15" s="729"/>
      <c r="AB15" s="730"/>
      <c r="AC15" s="730"/>
      <c r="AD15" s="731"/>
    </row>
    <row r="16" spans="1:30" ht="20.100000000000001" customHeight="1">
      <c r="A16" s="692"/>
      <c r="B16" s="513" t="s">
        <v>91</v>
      </c>
      <c r="C16" s="514"/>
      <c r="D16" s="496"/>
      <c r="E16" s="513">
        <f>WED!U16</f>
        <v>28</v>
      </c>
      <c r="F16" s="514"/>
      <c r="G16" s="496"/>
      <c r="H16" s="497" t="s">
        <v>92</v>
      </c>
      <c r="I16" s="498"/>
      <c r="J16" s="498"/>
      <c r="K16" s="499"/>
      <c r="L16" s="516">
        <f>WED!T2</f>
        <v>4</v>
      </c>
      <c r="M16" s="517"/>
      <c r="N16" s="517"/>
      <c r="O16" s="517"/>
      <c r="P16" s="518"/>
      <c r="Q16" s="221"/>
      <c r="R16" s="222"/>
      <c r="S16" s="222"/>
      <c r="T16" s="222"/>
      <c r="U16" s="223"/>
      <c r="V16" s="212"/>
      <c r="W16" s="213"/>
      <c r="X16" s="213"/>
      <c r="Y16" s="213"/>
      <c r="Z16" s="214"/>
      <c r="AA16" s="209"/>
      <c r="AB16" s="210"/>
      <c r="AC16" s="210"/>
      <c r="AD16" s="211"/>
    </row>
    <row r="17" spans="1:30" ht="20.100000000000001" customHeight="1">
      <c r="A17" s="693" t="s">
        <v>69</v>
      </c>
      <c r="B17" s="460" t="s">
        <v>57</v>
      </c>
      <c r="C17" s="460"/>
      <c r="D17" s="507"/>
      <c r="E17" s="507">
        <f>THU!N31</f>
        <v>2</v>
      </c>
      <c r="F17" s="507"/>
      <c r="G17" s="507"/>
      <c r="H17" s="515">
        <f>THU!S31</f>
        <v>100</v>
      </c>
      <c r="I17" s="515"/>
      <c r="J17" s="515"/>
      <c r="K17" s="515"/>
      <c r="L17" s="506">
        <f>THU!N32</f>
        <v>8.7850303083545647E-2</v>
      </c>
      <c r="M17" s="506"/>
      <c r="N17" s="506"/>
      <c r="O17" s="506"/>
      <c r="P17" s="506"/>
      <c r="Q17" s="588">
        <f>SUM(E17:G20)</f>
        <v>12</v>
      </c>
      <c r="R17" s="589"/>
      <c r="S17" s="589"/>
      <c r="T17" s="589"/>
      <c r="U17" s="590"/>
      <c r="V17" s="532">
        <f>SUM(H17,H18,H20)</f>
        <v>1080</v>
      </c>
      <c r="W17" s="533"/>
      <c r="X17" s="533"/>
      <c r="Y17" s="533"/>
      <c r="Z17" s="534"/>
      <c r="AA17" s="523">
        <f>V17/Q17</f>
        <v>90</v>
      </c>
      <c r="AB17" s="524"/>
      <c r="AC17" s="524"/>
      <c r="AD17" s="525"/>
    </row>
    <row r="18" spans="1:30" ht="20.100000000000001" customHeight="1">
      <c r="A18" s="694"/>
      <c r="B18" s="460" t="s">
        <v>58</v>
      </c>
      <c r="C18" s="460"/>
      <c r="D18" s="507"/>
      <c r="E18" s="507">
        <f>THU!O31</f>
        <v>8</v>
      </c>
      <c r="F18" s="507"/>
      <c r="G18" s="507"/>
      <c r="H18" s="515">
        <f>THU!S32</f>
        <v>930</v>
      </c>
      <c r="I18" s="515"/>
      <c r="J18" s="515"/>
      <c r="K18" s="515"/>
      <c r="L18" s="506">
        <f>THU!O32</f>
        <v>0.81700781867697447</v>
      </c>
      <c r="M18" s="506"/>
      <c r="N18" s="506"/>
      <c r="O18" s="506"/>
      <c r="P18" s="506"/>
      <c r="Q18" s="591"/>
      <c r="R18" s="592"/>
      <c r="S18" s="592"/>
      <c r="T18" s="592"/>
      <c r="U18" s="593"/>
      <c r="V18" s="535"/>
      <c r="W18" s="536"/>
      <c r="X18" s="536"/>
      <c r="Y18" s="536"/>
      <c r="Z18" s="537"/>
      <c r="AA18" s="526"/>
      <c r="AB18" s="527"/>
      <c r="AC18" s="527"/>
      <c r="AD18" s="528"/>
    </row>
    <row r="19" spans="1:30" ht="20.100000000000001" customHeight="1">
      <c r="A19" s="694"/>
      <c r="B19" s="460" t="s">
        <v>45</v>
      </c>
      <c r="C19" s="460"/>
      <c r="D19" s="507"/>
      <c r="E19" s="507">
        <f>THU!P31</f>
        <v>1</v>
      </c>
      <c r="F19" s="507"/>
      <c r="G19" s="507"/>
      <c r="H19" s="515">
        <f>THU!K31</f>
        <v>58.3</v>
      </c>
      <c r="I19" s="515"/>
      <c r="J19" s="515"/>
      <c r="K19" s="515"/>
      <c r="L19" s="506">
        <f>THU!P32</f>
        <v>5.1216726697707105E-2</v>
      </c>
      <c r="M19" s="506"/>
      <c r="N19" s="506"/>
      <c r="O19" s="506"/>
      <c r="P19" s="506"/>
      <c r="Q19" s="591"/>
      <c r="R19" s="592"/>
      <c r="S19" s="592"/>
      <c r="T19" s="592"/>
      <c r="U19" s="593"/>
      <c r="V19" s="535"/>
      <c r="W19" s="536"/>
      <c r="X19" s="536"/>
      <c r="Y19" s="536"/>
      <c r="Z19" s="537"/>
      <c r="AA19" s="526"/>
      <c r="AB19" s="527"/>
      <c r="AC19" s="527"/>
      <c r="AD19" s="528"/>
    </row>
    <row r="20" spans="1:30" ht="20.100000000000001" customHeight="1">
      <c r="A20" s="694"/>
      <c r="B20" s="458" t="s">
        <v>65</v>
      </c>
      <c r="C20" s="459"/>
      <c r="D20" s="460"/>
      <c r="E20" s="458">
        <f>THU!Q31</f>
        <v>1</v>
      </c>
      <c r="F20" s="459"/>
      <c r="G20" s="460"/>
      <c r="H20" s="452">
        <f>THU!J31</f>
        <v>50</v>
      </c>
      <c r="I20" s="453"/>
      <c r="J20" s="453"/>
      <c r="K20" s="454"/>
      <c r="L20" s="508">
        <f>THU!Q32</f>
        <v>4.3925151541772824E-2</v>
      </c>
      <c r="M20" s="509"/>
      <c r="N20" s="509"/>
      <c r="O20" s="509"/>
      <c r="P20" s="510"/>
      <c r="Q20" s="594"/>
      <c r="R20" s="595"/>
      <c r="S20" s="595"/>
      <c r="T20" s="595"/>
      <c r="U20" s="596"/>
      <c r="V20" s="538"/>
      <c r="W20" s="539"/>
      <c r="X20" s="539"/>
      <c r="Y20" s="539"/>
      <c r="Z20" s="540"/>
      <c r="AA20" s="529"/>
      <c r="AB20" s="530"/>
      <c r="AC20" s="530"/>
      <c r="AD20" s="531"/>
    </row>
    <row r="21" spans="1:30" ht="20.100000000000001" customHeight="1">
      <c r="A21" s="695"/>
      <c r="B21" s="458" t="s">
        <v>91</v>
      </c>
      <c r="C21" s="459"/>
      <c r="D21" s="460"/>
      <c r="E21" s="458">
        <f>THU!U16</f>
        <v>32.25</v>
      </c>
      <c r="F21" s="459"/>
      <c r="G21" s="460"/>
      <c r="H21" s="452" t="s">
        <v>92</v>
      </c>
      <c r="I21" s="453"/>
      <c r="J21" s="453"/>
      <c r="K21" s="454"/>
      <c r="L21" s="417">
        <f>THU!T2</f>
        <v>4</v>
      </c>
      <c r="M21" s="418"/>
      <c r="N21" s="418"/>
      <c r="O21" s="418"/>
      <c r="P21" s="419"/>
      <c r="Q21" s="227"/>
      <c r="R21" s="228"/>
      <c r="S21" s="228"/>
      <c r="T21" s="228"/>
      <c r="U21" s="229"/>
      <c r="V21" s="218"/>
      <c r="W21" s="219"/>
      <c r="X21" s="219"/>
      <c r="Y21" s="219"/>
      <c r="Z21" s="220"/>
      <c r="AA21" s="215"/>
      <c r="AB21" s="216"/>
      <c r="AC21" s="216"/>
      <c r="AD21" s="217"/>
    </row>
    <row r="22" spans="1:30" ht="20.100000000000001" customHeight="1">
      <c r="A22" s="696" t="s">
        <v>90</v>
      </c>
      <c r="B22" s="415" t="s">
        <v>57</v>
      </c>
      <c r="C22" s="415"/>
      <c r="D22" s="416"/>
      <c r="E22" s="416">
        <f>FRI!N31</f>
        <v>2</v>
      </c>
      <c r="F22" s="416"/>
      <c r="G22" s="416"/>
      <c r="H22" s="491">
        <f>FRI!S31</f>
        <v>185</v>
      </c>
      <c r="I22" s="491"/>
      <c r="J22" s="491"/>
      <c r="K22" s="491"/>
      <c r="L22" s="492">
        <f>FRI!N32</f>
        <v>0.17304274623515106</v>
      </c>
      <c r="M22" s="492"/>
      <c r="N22" s="492"/>
      <c r="O22" s="492"/>
      <c r="P22" s="492"/>
      <c r="Q22" s="470">
        <f>SUM(E22:G25)</f>
        <v>10</v>
      </c>
      <c r="R22" s="471"/>
      <c r="S22" s="471"/>
      <c r="T22" s="471"/>
      <c r="U22" s="472"/>
      <c r="V22" s="479">
        <f>SUM(H22,H23,H25)</f>
        <v>1465</v>
      </c>
      <c r="W22" s="480"/>
      <c r="X22" s="480"/>
      <c r="Y22" s="480"/>
      <c r="Z22" s="481"/>
      <c r="AA22" s="423">
        <f>V22/Q22</f>
        <v>146.5</v>
      </c>
      <c r="AB22" s="424"/>
      <c r="AC22" s="424"/>
      <c r="AD22" s="425"/>
    </row>
    <row r="23" spans="1:30" ht="20.100000000000001" customHeight="1">
      <c r="A23" s="697"/>
      <c r="B23" s="415" t="s">
        <v>58</v>
      </c>
      <c r="C23" s="415"/>
      <c r="D23" s="416"/>
      <c r="E23" s="416">
        <f>FRI!O31</f>
        <v>7</v>
      </c>
      <c r="F23" s="416"/>
      <c r="G23" s="416"/>
      <c r="H23" s="491">
        <f>FRI!S32</f>
        <v>1280</v>
      </c>
      <c r="I23" s="491"/>
      <c r="J23" s="491"/>
      <c r="K23" s="491"/>
      <c r="L23" s="492">
        <f>FRI!O32</f>
        <v>0.75296978767187361</v>
      </c>
      <c r="M23" s="492"/>
      <c r="N23" s="492"/>
      <c r="O23" s="492"/>
      <c r="P23" s="492"/>
      <c r="Q23" s="473"/>
      <c r="R23" s="474"/>
      <c r="S23" s="474"/>
      <c r="T23" s="474"/>
      <c r="U23" s="475"/>
      <c r="V23" s="482"/>
      <c r="W23" s="483"/>
      <c r="X23" s="483"/>
      <c r="Y23" s="483"/>
      <c r="Z23" s="484"/>
      <c r="AA23" s="426"/>
      <c r="AB23" s="427"/>
      <c r="AC23" s="427"/>
      <c r="AD23" s="428"/>
    </row>
    <row r="24" spans="1:30" ht="20.100000000000001" customHeight="1">
      <c r="A24" s="697"/>
      <c r="B24" s="415" t="s">
        <v>45</v>
      </c>
      <c r="C24" s="415"/>
      <c r="D24" s="416"/>
      <c r="E24" s="416">
        <f>FRI!P31</f>
        <v>1</v>
      </c>
      <c r="F24" s="416"/>
      <c r="G24" s="416"/>
      <c r="H24" s="491">
        <f>FRI!K31</f>
        <v>79.099999999999994</v>
      </c>
      <c r="I24" s="491"/>
      <c r="J24" s="491"/>
      <c r="K24" s="491"/>
      <c r="L24" s="492">
        <f>FRI!P32</f>
        <v>7.3987466092975407E-2</v>
      </c>
      <c r="M24" s="492"/>
      <c r="N24" s="492"/>
      <c r="O24" s="492"/>
      <c r="P24" s="492"/>
      <c r="Q24" s="473"/>
      <c r="R24" s="474"/>
      <c r="S24" s="474"/>
      <c r="T24" s="474"/>
      <c r="U24" s="475"/>
      <c r="V24" s="482"/>
      <c r="W24" s="483"/>
      <c r="X24" s="483"/>
      <c r="Y24" s="483"/>
      <c r="Z24" s="484"/>
      <c r="AA24" s="426"/>
      <c r="AB24" s="427"/>
      <c r="AC24" s="427"/>
      <c r="AD24" s="428"/>
    </row>
    <row r="25" spans="1:30" ht="20.100000000000001" customHeight="1">
      <c r="A25" s="697"/>
      <c r="B25" s="461" t="s">
        <v>65</v>
      </c>
      <c r="C25" s="462"/>
      <c r="D25" s="415"/>
      <c r="E25" s="461">
        <f>FRI!Q31</f>
        <v>0</v>
      </c>
      <c r="F25" s="462"/>
      <c r="G25" s="415"/>
      <c r="H25" s="455">
        <f>FRI!J31</f>
        <v>0</v>
      </c>
      <c r="I25" s="456"/>
      <c r="J25" s="456"/>
      <c r="K25" s="457"/>
      <c r="L25" s="467">
        <f>FRI!Q32</f>
        <v>0</v>
      </c>
      <c r="M25" s="468"/>
      <c r="N25" s="468"/>
      <c r="O25" s="468"/>
      <c r="P25" s="469"/>
      <c r="Q25" s="476"/>
      <c r="R25" s="477"/>
      <c r="S25" s="477"/>
      <c r="T25" s="477"/>
      <c r="U25" s="478"/>
      <c r="V25" s="485"/>
      <c r="W25" s="486"/>
      <c r="X25" s="486"/>
      <c r="Y25" s="486"/>
      <c r="Z25" s="487"/>
      <c r="AA25" s="429"/>
      <c r="AB25" s="430"/>
      <c r="AC25" s="430"/>
      <c r="AD25" s="431"/>
    </row>
    <row r="26" spans="1:30" ht="20.100000000000001" customHeight="1">
      <c r="A26" s="698"/>
      <c r="B26" s="461" t="s">
        <v>91</v>
      </c>
      <c r="C26" s="462"/>
      <c r="D26" s="415"/>
      <c r="E26" s="461">
        <f>FRI!U16</f>
        <v>33.250000000000007</v>
      </c>
      <c r="F26" s="462"/>
      <c r="G26" s="415"/>
      <c r="H26" s="455" t="s">
        <v>92</v>
      </c>
      <c r="I26" s="456"/>
      <c r="J26" s="456"/>
      <c r="K26" s="457"/>
      <c r="L26" s="420">
        <f>FRI!T2</f>
        <v>4</v>
      </c>
      <c r="M26" s="421"/>
      <c r="N26" s="421"/>
      <c r="O26" s="421"/>
      <c r="P26" s="422"/>
      <c r="Q26" s="230"/>
      <c r="R26" s="231"/>
      <c r="S26" s="231"/>
      <c r="T26" s="231"/>
      <c r="U26" s="232"/>
      <c r="V26" s="233"/>
      <c r="W26" s="234"/>
      <c r="X26" s="234"/>
      <c r="Y26" s="234"/>
      <c r="Z26" s="235"/>
      <c r="AA26" s="236"/>
      <c r="AB26" s="237"/>
      <c r="AC26" s="237"/>
      <c r="AD26" s="238"/>
    </row>
    <row r="27" spans="1:30" ht="20.100000000000001" customHeight="1">
      <c r="A27" s="699" t="s">
        <v>70</v>
      </c>
      <c r="B27" s="465" t="s">
        <v>57</v>
      </c>
      <c r="C27" s="465"/>
      <c r="D27" s="450"/>
      <c r="E27" s="450">
        <f>SAT!N31</f>
        <v>3</v>
      </c>
      <c r="F27" s="450"/>
      <c r="G27" s="450"/>
      <c r="H27" s="451">
        <f>SAT!S31</f>
        <v>680</v>
      </c>
      <c r="I27" s="451"/>
      <c r="J27" s="451"/>
      <c r="K27" s="451"/>
      <c r="L27" s="466">
        <f>SAT!N32</f>
        <v>0.32549901871619358</v>
      </c>
      <c r="M27" s="466"/>
      <c r="N27" s="466"/>
      <c r="O27" s="466"/>
      <c r="P27" s="466"/>
      <c r="Q27" s="567">
        <f>SUM(E27:G30)</f>
        <v>19</v>
      </c>
      <c r="R27" s="568"/>
      <c r="S27" s="568"/>
      <c r="T27" s="568"/>
      <c r="U27" s="569"/>
      <c r="V27" s="441">
        <f>SUM(H27,H28,H30)</f>
        <v>2385</v>
      </c>
      <c r="W27" s="442"/>
      <c r="X27" s="442"/>
      <c r="Y27" s="442"/>
      <c r="Z27" s="443"/>
      <c r="AA27" s="432">
        <f>V27/Q27</f>
        <v>125.52631578947368</v>
      </c>
      <c r="AB27" s="433"/>
      <c r="AC27" s="433"/>
      <c r="AD27" s="434"/>
    </row>
    <row r="28" spans="1:30" ht="20.100000000000001" customHeight="1">
      <c r="A28" s="700"/>
      <c r="B28" s="465" t="s">
        <v>58</v>
      </c>
      <c r="C28" s="465"/>
      <c r="D28" s="450"/>
      <c r="E28" s="450">
        <f>SAT!O31</f>
        <v>14</v>
      </c>
      <c r="F28" s="450"/>
      <c r="G28" s="450"/>
      <c r="H28" s="451">
        <f>SAT!S32</f>
        <v>1705</v>
      </c>
      <c r="I28" s="451"/>
      <c r="J28" s="451"/>
      <c r="K28" s="451"/>
      <c r="L28" s="466">
        <f>SAT!O32</f>
        <v>0.58877028385429131</v>
      </c>
      <c r="M28" s="466"/>
      <c r="N28" s="466"/>
      <c r="O28" s="466"/>
      <c r="P28" s="466"/>
      <c r="Q28" s="570"/>
      <c r="R28" s="571"/>
      <c r="S28" s="571"/>
      <c r="T28" s="571"/>
      <c r="U28" s="572"/>
      <c r="V28" s="444"/>
      <c r="W28" s="445"/>
      <c r="X28" s="445"/>
      <c r="Y28" s="445"/>
      <c r="Z28" s="446"/>
      <c r="AA28" s="435"/>
      <c r="AB28" s="436"/>
      <c r="AC28" s="436"/>
      <c r="AD28" s="437"/>
    </row>
    <row r="29" spans="1:30" ht="20.100000000000001" customHeight="1">
      <c r="A29" s="700"/>
      <c r="B29" s="465" t="s">
        <v>45</v>
      </c>
      <c r="C29" s="465"/>
      <c r="D29" s="450"/>
      <c r="E29" s="450">
        <f>SAT!P31</f>
        <v>2</v>
      </c>
      <c r="F29" s="450"/>
      <c r="G29" s="450"/>
      <c r="H29" s="451">
        <f>SAT!K31</f>
        <v>179.1</v>
      </c>
      <c r="I29" s="451"/>
      <c r="J29" s="451"/>
      <c r="K29" s="451"/>
      <c r="L29" s="466">
        <f>SAT!P32</f>
        <v>8.5730697429515099E-2</v>
      </c>
      <c r="M29" s="466"/>
      <c r="N29" s="466"/>
      <c r="O29" s="466"/>
      <c r="P29" s="466"/>
      <c r="Q29" s="570"/>
      <c r="R29" s="571"/>
      <c r="S29" s="571"/>
      <c r="T29" s="571"/>
      <c r="U29" s="572"/>
      <c r="V29" s="444"/>
      <c r="W29" s="445"/>
      <c r="X29" s="445"/>
      <c r="Y29" s="445"/>
      <c r="Z29" s="446"/>
      <c r="AA29" s="435"/>
      <c r="AB29" s="436"/>
      <c r="AC29" s="436"/>
      <c r="AD29" s="437"/>
    </row>
    <row r="30" spans="1:30" ht="20.100000000000001" customHeight="1">
      <c r="A30" s="700"/>
      <c r="B30" s="463" t="s">
        <v>65</v>
      </c>
      <c r="C30" s="464"/>
      <c r="D30" s="465"/>
      <c r="E30" s="463">
        <f>SAT!Q31</f>
        <v>0</v>
      </c>
      <c r="F30" s="464"/>
      <c r="G30" s="465"/>
      <c r="H30" s="744">
        <f>SAT!J31</f>
        <v>0</v>
      </c>
      <c r="I30" s="745"/>
      <c r="J30" s="745"/>
      <c r="K30" s="746"/>
      <c r="L30" s="576">
        <f>SAT!Q32</f>
        <v>0</v>
      </c>
      <c r="M30" s="577"/>
      <c r="N30" s="577"/>
      <c r="O30" s="577"/>
      <c r="P30" s="578"/>
      <c r="Q30" s="573"/>
      <c r="R30" s="574"/>
      <c r="S30" s="574"/>
      <c r="T30" s="574"/>
      <c r="U30" s="575"/>
      <c r="V30" s="447"/>
      <c r="W30" s="448"/>
      <c r="X30" s="448"/>
      <c r="Y30" s="448"/>
      <c r="Z30" s="449"/>
      <c r="AA30" s="438"/>
      <c r="AB30" s="439"/>
      <c r="AC30" s="439"/>
      <c r="AD30" s="440"/>
    </row>
    <row r="31" spans="1:30" ht="20.100000000000001" customHeight="1">
      <c r="A31" s="701"/>
      <c r="B31" s="463" t="s">
        <v>91</v>
      </c>
      <c r="C31" s="464"/>
      <c r="D31" s="465"/>
      <c r="E31" s="463">
        <f>SAT!U16</f>
        <v>41.750000000000007</v>
      </c>
      <c r="F31" s="464"/>
      <c r="G31" s="465"/>
      <c r="H31" s="744" t="s">
        <v>92</v>
      </c>
      <c r="I31" s="745"/>
      <c r="J31" s="745"/>
      <c r="K31" s="746"/>
      <c r="L31" s="741">
        <f>SAT!T2</f>
        <v>5</v>
      </c>
      <c r="M31" s="742"/>
      <c r="N31" s="742"/>
      <c r="O31" s="742"/>
      <c r="P31" s="743"/>
      <c r="Q31" s="224"/>
      <c r="R31" s="225"/>
      <c r="S31" s="225"/>
      <c r="T31" s="225"/>
      <c r="U31" s="226"/>
      <c r="V31" s="242"/>
      <c r="W31" s="243"/>
      <c r="X31" s="243"/>
      <c r="Y31" s="243"/>
      <c r="Z31" s="244"/>
      <c r="AA31" s="239"/>
      <c r="AB31" s="240"/>
      <c r="AC31" s="240"/>
      <c r="AD31" s="241"/>
    </row>
    <row r="32" spans="1:30" ht="20.100000000000001" customHeight="1">
      <c r="A32" s="702" t="s">
        <v>71</v>
      </c>
      <c r="B32" s="386" t="s">
        <v>57</v>
      </c>
      <c r="C32" s="387"/>
      <c r="D32" s="387"/>
      <c r="E32" s="387">
        <f>SUN!N31</f>
        <v>2</v>
      </c>
      <c r="F32" s="387"/>
      <c r="G32" s="387"/>
      <c r="H32" s="412">
        <f>SUN!S31</f>
        <v>125</v>
      </c>
      <c r="I32" s="412"/>
      <c r="J32" s="412"/>
      <c r="K32" s="412"/>
      <c r="L32" s="413">
        <f>SUN!N32</f>
        <v>5.7342079911922562E-2</v>
      </c>
      <c r="M32" s="413"/>
      <c r="N32" s="413"/>
      <c r="O32" s="413"/>
      <c r="P32" s="413"/>
      <c r="Q32" s="414">
        <f>SUM(E32:G35)</f>
        <v>20</v>
      </c>
      <c r="R32" s="414"/>
      <c r="S32" s="414"/>
      <c r="T32" s="414"/>
      <c r="U32" s="414"/>
      <c r="V32" s="385">
        <f>SUM(H32,H33,H35)</f>
        <v>2530</v>
      </c>
      <c r="W32" s="385"/>
      <c r="X32" s="385"/>
      <c r="Y32" s="385"/>
      <c r="Z32" s="385"/>
      <c r="AA32" s="404">
        <f>V32/Q32</f>
        <v>126.5</v>
      </c>
      <c r="AB32" s="405"/>
      <c r="AC32" s="405"/>
      <c r="AD32" s="405"/>
    </row>
    <row r="33" spans="1:30" ht="20.100000000000001" customHeight="1">
      <c r="A33" s="703"/>
      <c r="B33" s="386" t="s">
        <v>58</v>
      </c>
      <c r="C33" s="387"/>
      <c r="D33" s="387"/>
      <c r="E33" s="387">
        <f>SUN!O31</f>
        <v>15</v>
      </c>
      <c r="F33" s="387"/>
      <c r="G33" s="387"/>
      <c r="H33" s="412">
        <f>SUN!S32</f>
        <v>2405</v>
      </c>
      <c r="I33" s="412"/>
      <c r="J33" s="412"/>
      <c r="K33" s="412"/>
      <c r="L33" s="413">
        <f>SUN!O32</f>
        <v>0.88536171384008433</v>
      </c>
      <c r="M33" s="413"/>
      <c r="N33" s="413"/>
      <c r="O33" s="413"/>
      <c r="P33" s="413"/>
      <c r="Q33" s="414"/>
      <c r="R33" s="414"/>
      <c r="S33" s="414"/>
      <c r="T33" s="414"/>
      <c r="U33" s="414"/>
      <c r="V33" s="385"/>
      <c r="W33" s="385"/>
      <c r="X33" s="385"/>
      <c r="Y33" s="385"/>
      <c r="Z33" s="385"/>
      <c r="AA33" s="405"/>
      <c r="AB33" s="405"/>
      <c r="AC33" s="405"/>
      <c r="AD33" s="405"/>
    </row>
    <row r="34" spans="1:30" ht="20.100000000000001" customHeight="1">
      <c r="A34" s="703"/>
      <c r="B34" s="386" t="s">
        <v>45</v>
      </c>
      <c r="C34" s="387"/>
      <c r="D34" s="387"/>
      <c r="E34" s="387">
        <f>SUN!P31</f>
        <v>3</v>
      </c>
      <c r="F34" s="387"/>
      <c r="G34" s="387"/>
      <c r="H34" s="412">
        <f>SUN!K31</f>
        <v>124.89999999999999</v>
      </c>
      <c r="I34" s="412"/>
      <c r="J34" s="412"/>
      <c r="K34" s="412"/>
      <c r="L34" s="413">
        <f>SUN!P32</f>
        <v>5.7296206247993024E-2</v>
      </c>
      <c r="M34" s="413"/>
      <c r="N34" s="413"/>
      <c r="O34" s="413"/>
      <c r="P34" s="413"/>
      <c r="Q34" s="414"/>
      <c r="R34" s="414"/>
      <c r="S34" s="414"/>
      <c r="T34" s="414"/>
      <c r="U34" s="414"/>
      <c r="V34" s="385"/>
      <c r="W34" s="385"/>
      <c r="X34" s="385"/>
      <c r="Y34" s="385"/>
      <c r="Z34" s="385"/>
      <c r="AA34" s="405"/>
      <c r="AB34" s="405"/>
      <c r="AC34" s="405"/>
      <c r="AD34" s="405"/>
    </row>
    <row r="35" spans="1:30" ht="20.100000000000001" customHeight="1">
      <c r="A35" s="703"/>
      <c r="B35" s="386" t="s">
        <v>65</v>
      </c>
      <c r="C35" s="387"/>
      <c r="D35" s="387"/>
      <c r="E35" s="387">
        <f>SUN!Q31</f>
        <v>0</v>
      </c>
      <c r="F35" s="387"/>
      <c r="G35" s="387"/>
      <c r="H35" s="412">
        <f>SUN!J31</f>
        <v>0</v>
      </c>
      <c r="I35" s="412"/>
      <c r="J35" s="412"/>
      <c r="K35" s="412"/>
      <c r="L35" s="413">
        <f>SUN!Q32</f>
        <v>0</v>
      </c>
      <c r="M35" s="413"/>
      <c r="N35" s="413"/>
      <c r="O35" s="413"/>
      <c r="P35" s="413"/>
      <c r="Q35" s="414"/>
      <c r="R35" s="414"/>
      <c r="S35" s="414"/>
      <c r="T35" s="414"/>
      <c r="U35" s="414"/>
      <c r="V35" s="385"/>
      <c r="W35" s="385"/>
      <c r="X35" s="385"/>
      <c r="Y35" s="385"/>
      <c r="Z35" s="385"/>
      <c r="AA35" s="405"/>
      <c r="AB35" s="405"/>
      <c r="AC35" s="405"/>
      <c r="AD35" s="405"/>
    </row>
    <row r="36" spans="1:30" ht="20.100000000000001" customHeight="1" thickBot="1">
      <c r="A36" s="704"/>
      <c r="B36" s="390" t="s">
        <v>91</v>
      </c>
      <c r="C36" s="391"/>
      <c r="D36" s="392"/>
      <c r="E36" s="390">
        <f>SUN!U16</f>
        <v>44</v>
      </c>
      <c r="F36" s="391"/>
      <c r="G36" s="392"/>
      <c r="H36" s="390" t="s">
        <v>92</v>
      </c>
      <c r="I36" s="391"/>
      <c r="J36" s="391"/>
      <c r="K36" s="392"/>
      <c r="L36" s="406">
        <f>SUN!T2</f>
        <v>5</v>
      </c>
      <c r="M36" s="407"/>
      <c r="N36" s="407"/>
      <c r="O36" s="407"/>
      <c r="P36" s="408"/>
      <c r="Q36" s="409"/>
      <c r="R36" s="410"/>
      <c r="S36" s="410"/>
      <c r="T36" s="410"/>
      <c r="U36" s="411"/>
      <c r="V36" s="393"/>
      <c r="W36" s="394"/>
      <c r="X36" s="394"/>
      <c r="Y36" s="394"/>
      <c r="Z36" s="395"/>
      <c r="AA36" s="396"/>
      <c r="AB36" s="397"/>
      <c r="AC36" s="397"/>
      <c r="AD36" s="398"/>
    </row>
    <row r="37" spans="1:30" ht="16.5" customHeight="1">
      <c r="A37" s="376" t="s">
        <v>72</v>
      </c>
      <c r="B37" s="377"/>
      <c r="C37" s="377"/>
      <c r="D37" s="377"/>
      <c r="E37" s="377" t="s">
        <v>73</v>
      </c>
      <c r="F37" s="377"/>
      <c r="G37" s="377"/>
      <c r="H37" s="377"/>
      <c r="I37" s="377"/>
      <c r="J37" s="377"/>
      <c r="K37" s="377" t="s">
        <v>74</v>
      </c>
      <c r="L37" s="377"/>
      <c r="M37" s="377"/>
      <c r="N37" s="377"/>
      <c r="O37" s="377" t="s">
        <v>65</v>
      </c>
      <c r="P37" s="377"/>
      <c r="Q37" s="377"/>
      <c r="R37" s="377"/>
      <c r="S37" s="377"/>
      <c r="T37" s="377" t="s">
        <v>75</v>
      </c>
      <c r="U37" s="377"/>
      <c r="V37" s="377"/>
      <c r="W37" s="377"/>
      <c r="X37" s="377"/>
      <c r="Y37" s="377" t="s">
        <v>76</v>
      </c>
      <c r="Z37" s="377"/>
      <c r="AA37" s="377"/>
      <c r="AB37" s="377"/>
      <c r="AC37" s="377"/>
      <c r="AD37" s="388"/>
    </row>
    <row r="38" spans="1:30" ht="16.5" customHeight="1">
      <c r="A38" s="378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89"/>
    </row>
    <row r="39" spans="1:30" ht="16.5" customHeight="1">
      <c r="A39" s="380">
        <f>SUM(Q2:U35)</f>
        <v>115</v>
      </c>
      <c r="B39" s="381"/>
      <c r="C39" s="381"/>
      <c r="D39" s="381"/>
      <c r="E39" s="384">
        <f>SUM(V2:Z35)</f>
        <v>13470</v>
      </c>
      <c r="F39" s="381"/>
      <c r="G39" s="381"/>
      <c r="H39" s="381"/>
      <c r="I39" s="381"/>
      <c r="J39" s="381"/>
      <c r="K39" s="384">
        <f>E39/A39</f>
        <v>117.1304347826087</v>
      </c>
      <c r="L39" s="381"/>
      <c r="M39" s="381"/>
      <c r="N39" s="381"/>
      <c r="O39" s="381">
        <f>SUM(MON:SUN!Q31)</f>
        <v>5</v>
      </c>
      <c r="P39" s="381"/>
      <c r="Q39" s="381"/>
      <c r="R39" s="381"/>
      <c r="S39" s="381"/>
      <c r="T39" s="381">
        <f>SUM(MON:SUN!P31)</f>
        <v>19</v>
      </c>
      <c r="U39" s="381"/>
      <c r="V39" s="381"/>
      <c r="W39" s="381"/>
      <c r="X39" s="381"/>
      <c r="Y39" s="381">
        <f>SUM(MON:SUN!S19)</f>
        <v>7</v>
      </c>
      <c r="Z39" s="381"/>
      <c r="AA39" s="381"/>
      <c r="AB39" s="381"/>
      <c r="AC39" s="381"/>
      <c r="AD39" s="401"/>
    </row>
    <row r="40" spans="1:30" ht="16.5" customHeight="1">
      <c r="A40" s="380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401"/>
    </row>
    <row r="41" spans="1:30" ht="16.5" customHeight="1">
      <c r="A41" s="380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99">
        <f>SUM(MON:SUN!J31)</f>
        <v>250</v>
      </c>
      <c r="P41" s="399"/>
      <c r="Q41" s="399"/>
      <c r="R41" s="399"/>
      <c r="S41" s="399"/>
      <c r="T41" s="399">
        <f>SUM(MON:SUN!K31)</f>
        <v>1208.0999999999999</v>
      </c>
      <c r="U41" s="399"/>
      <c r="V41" s="399"/>
      <c r="W41" s="399"/>
      <c r="X41" s="399"/>
      <c r="Y41" s="399">
        <f>SUM(MON:SUN!T19)</f>
        <v>3725</v>
      </c>
      <c r="Z41" s="399"/>
      <c r="AA41" s="399"/>
      <c r="AB41" s="399"/>
      <c r="AC41" s="399"/>
      <c r="AD41" s="402"/>
    </row>
    <row r="42" spans="1:30" ht="16.5" customHeight="1" thickBot="1">
      <c r="A42" s="382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  <c r="AA42" s="400"/>
      <c r="AB42" s="400"/>
      <c r="AC42" s="400"/>
      <c r="AD42" s="403"/>
    </row>
    <row r="43" spans="1:30" ht="17.399999999999999" customHeight="1">
      <c r="A43" s="659" t="s">
        <v>84</v>
      </c>
      <c r="B43" s="660"/>
      <c r="C43" s="660"/>
      <c r="D43" s="660"/>
      <c r="E43" s="661"/>
      <c r="F43" s="659" t="s">
        <v>85</v>
      </c>
      <c r="G43" s="660"/>
      <c r="H43" s="660"/>
      <c r="I43" s="660"/>
      <c r="J43" s="661"/>
      <c r="K43" s="659" t="s">
        <v>86</v>
      </c>
      <c r="L43" s="660"/>
      <c r="M43" s="660"/>
      <c r="N43" s="660"/>
      <c r="O43" s="661"/>
      <c r="P43" s="659" t="s">
        <v>87</v>
      </c>
      <c r="Q43" s="660"/>
      <c r="R43" s="660"/>
      <c r="S43" s="660"/>
      <c r="T43" s="661"/>
      <c r="U43" s="659" t="s">
        <v>89</v>
      </c>
      <c r="V43" s="660"/>
      <c r="W43" s="660"/>
      <c r="X43" s="660"/>
      <c r="Y43" s="661"/>
      <c r="Z43" s="665" t="s">
        <v>92</v>
      </c>
      <c r="AA43" s="666"/>
      <c r="AB43" s="666"/>
      <c r="AC43" s="666"/>
      <c r="AD43" s="667"/>
    </row>
    <row r="44" spans="1:30" ht="17.399999999999999" customHeight="1">
      <c r="A44" s="662"/>
      <c r="B44" s="663"/>
      <c r="C44" s="663"/>
      <c r="D44" s="663"/>
      <c r="E44" s="664"/>
      <c r="F44" s="662"/>
      <c r="G44" s="663"/>
      <c r="H44" s="663"/>
      <c r="I44" s="663"/>
      <c r="J44" s="664"/>
      <c r="K44" s="662"/>
      <c r="L44" s="663"/>
      <c r="M44" s="663"/>
      <c r="N44" s="663"/>
      <c r="O44" s="664"/>
      <c r="P44" s="662"/>
      <c r="Q44" s="663"/>
      <c r="R44" s="663"/>
      <c r="S44" s="663"/>
      <c r="T44" s="664"/>
      <c r="U44" s="662"/>
      <c r="V44" s="663"/>
      <c r="W44" s="663"/>
      <c r="X44" s="663"/>
      <c r="Y44" s="664"/>
      <c r="Z44" s="668"/>
      <c r="AA44" s="669"/>
      <c r="AB44" s="669"/>
      <c r="AC44" s="669"/>
      <c r="AD44" s="670"/>
    </row>
    <row r="45" spans="1:30">
      <c r="A45" s="671">
        <f>SUM(H2,H7,H12,H17,H22,H27,H32)</f>
        <v>2270</v>
      </c>
      <c r="B45" s="672"/>
      <c r="C45" s="672"/>
      <c r="D45" s="672"/>
      <c r="E45" s="673"/>
      <c r="F45" s="671">
        <f>SUM(,H3,H8,H13,H18,H23,H28,H33)</f>
        <v>10950</v>
      </c>
      <c r="G45" s="672"/>
      <c r="H45" s="672"/>
      <c r="I45" s="672"/>
      <c r="J45" s="673"/>
      <c r="K45" s="671">
        <f>SUM(H5,H10,H15,H20,H25,H30,H35)</f>
        <v>250</v>
      </c>
      <c r="L45" s="672"/>
      <c r="M45" s="672"/>
      <c r="N45" s="672"/>
      <c r="O45" s="673"/>
      <c r="P45" s="671">
        <f>SUM(H4,H9,H14,H19,H24,H29,H34)</f>
        <v>1208.0999999999999</v>
      </c>
      <c r="Q45" s="672"/>
      <c r="R45" s="672"/>
      <c r="S45" s="672"/>
      <c r="T45" s="673"/>
      <c r="U45" s="680">
        <f>SUM(E6,E11,E16,E21,E26,E31,E36)</f>
        <v>259.75</v>
      </c>
      <c r="V45" s="672"/>
      <c r="W45" s="672"/>
      <c r="X45" s="672"/>
      <c r="Y45" s="673"/>
      <c r="Z45" s="680">
        <f>SUM(L6,L11,L16,L21,L26,L31,L36)</f>
        <v>32</v>
      </c>
      <c r="AA45" s="672"/>
      <c r="AB45" s="672"/>
      <c r="AC45" s="672"/>
      <c r="AD45" s="681"/>
    </row>
    <row r="46" spans="1:30">
      <c r="A46" s="674"/>
      <c r="B46" s="675"/>
      <c r="C46" s="675"/>
      <c r="D46" s="675"/>
      <c r="E46" s="676"/>
      <c r="F46" s="674"/>
      <c r="G46" s="675"/>
      <c r="H46" s="675"/>
      <c r="I46" s="675"/>
      <c r="J46" s="676"/>
      <c r="K46" s="674"/>
      <c r="L46" s="675"/>
      <c r="M46" s="675"/>
      <c r="N46" s="675"/>
      <c r="O46" s="676"/>
      <c r="P46" s="674"/>
      <c r="Q46" s="675"/>
      <c r="R46" s="675"/>
      <c r="S46" s="675"/>
      <c r="T46" s="676"/>
      <c r="U46" s="674"/>
      <c r="V46" s="675"/>
      <c r="W46" s="675"/>
      <c r="X46" s="675"/>
      <c r="Y46" s="676"/>
      <c r="Z46" s="674"/>
      <c r="AA46" s="675"/>
      <c r="AB46" s="675"/>
      <c r="AC46" s="675"/>
      <c r="AD46" s="682"/>
    </row>
    <row r="47" spans="1:30">
      <c r="A47" s="674"/>
      <c r="B47" s="675"/>
      <c r="C47" s="675"/>
      <c r="D47" s="675"/>
      <c r="E47" s="676"/>
      <c r="F47" s="674"/>
      <c r="G47" s="675"/>
      <c r="H47" s="675"/>
      <c r="I47" s="675"/>
      <c r="J47" s="676"/>
      <c r="K47" s="674"/>
      <c r="L47" s="675"/>
      <c r="M47" s="675"/>
      <c r="N47" s="675"/>
      <c r="O47" s="676"/>
      <c r="P47" s="674"/>
      <c r="Q47" s="675"/>
      <c r="R47" s="675"/>
      <c r="S47" s="675"/>
      <c r="T47" s="676"/>
      <c r="U47" s="674"/>
      <c r="V47" s="675"/>
      <c r="W47" s="675"/>
      <c r="X47" s="675"/>
      <c r="Y47" s="676"/>
      <c r="Z47" s="674"/>
      <c r="AA47" s="675"/>
      <c r="AB47" s="675"/>
      <c r="AC47" s="675"/>
      <c r="AD47" s="682"/>
    </row>
    <row r="48" spans="1:30" ht="18" thickBot="1">
      <c r="A48" s="677"/>
      <c r="B48" s="678"/>
      <c r="C48" s="678"/>
      <c r="D48" s="678"/>
      <c r="E48" s="679"/>
      <c r="F48" s="677"/>
      <c r="G48" s="678"/>
      <c r="H48" s="678"/>
      <c r="I48" s="678"/>
      <c r="J48" s="679"/>
      <c r="K48" s="677"/>
      <c r="L48" s="678"/>
      <c r="M48" s="678"/>
      <c r="N48" s="678"/>
      <c r="O48" s="679"/>
      <c r="P48" s="677"/>
      <c r="Q48" s="678"/>
      <c r="R48" s="678"/>
      <c r="S48" s="678"/>
      <c r="T48" s="679"/>
      <c r="U48" s="677"/>
      <c r="V48" s="678"/>
      <c r="W48" s="678"/>
      <c r="X48" s="678"/>
      <c r="Y48" s="679"/>
      <c r="Z48" s="677"/>
      <c r="AA48" s="678"/>
      <c r="AB48" s="678"/>
      <c r="AC48" s="678"/>
      <c r="AD48" s="683"/>
    </row>
    <row r="49" spans="1:30" ht="17.399999999999999" customHeight="1">
      <c r="A49" s="641">
        <f>A45/E39</f>
        <v>0.16852264291017074</v>
      </c>
      <c r="B49" s="642"/>
      <c r="C49" s="642"/>
      <c r="D49" s="642"/>
      <c r="E49" s="643"/>
      <c r="F49" s="641">
        <f>F45/E39</f>
        <v>0.81291759465478841</v>
      </c>
      <c r="G49" s="642"/>
      <c r="H49" s="642"/>
      <c r="I49" s="642"/>
      <c r="J49" s="643"/>
      <c r="K49" s="641">
        <f>K45/E39</f>
        <v>1.855976243504083E-2</v>
      </c>
      <c r="L49" s="642"/>
      <c r="M49" s="642"/>
      <c r="N49" s="642"/>
      <c r="O49" s="643"/>
      <c r="P49" s="641">
        <f>P45/E39</f>
        <v>8.9688195991091305E-2</v>
      </c>
      <c r="Q49" s="642"/>
      <c r="R49" s="642"/>
      <c r="S49" s="642"/>
      <c r="T49" s="643"/>
      <c r="U49" s="650">
        <f>U45/7</f>
        <v>37.107142857142854</v>
      </c>
      <c r="V49" s="651"/>
      <c r="W49" s="651"/>
      <c r="X49" s="651"/>
      <c r="Y49" s="652"/>
      <c r="Z49" s="650">
        <f>U45/Z45</f>
        <v>8.1171875</v>
      </c>
      <c r="AA49" s="651"/>
      <c r="AB49" s="651"/>
      <c r="AC49" s="651"/>
      <c r="AD49" s="652"/>
    </row>
    <row r="50" spans="1:30" ht="17.399999999999999" customHeight="1">
      <c r="A50" s="644"/>
      <c r="B50" s="645"/>
      <c r="C50" s="645"/>
      <c r="D50" s="645"/>
      <c r="E50" s="646"/>
      <c r="F50" s="644"/>
      <c r="G50" s="645"/>
      <c r="H50" s="645"/>
      <c r="I50" s="645"/>
      <c r="J50" s="646"/>
      <c r="K50" s="644"/>
      <c r="L50" s="645"/>
      <c r="M50" s="645"/>
      <c r="N50" s="645"/>
      <c r="O50" s="646"/>
      <c r="P50" s="644"/>
      <c r="Q50" s="645"/>
      <c r="R50" s="645"/>
      <c r="S50" s="645"/>
      <c r="T50" s="646"/>
      <c r="U50" s="653"/>
      <c r="V50" s="654"/>
      <c r="W50" s="654"/>
      <c r="X50" s="654"/>
      <c r="Y50" s="655"/>
      <c r="Z50" s="653"/>
      <c r="AA50" s="654"/>
      <c r="AB50" s="654"/>
      <c r="AC50" s="654"/>
      <c r="AD50" s="655"/>
    </row>
    <row r="51" spans="1:30" ht="17.399999999999999" customHeight="1">
      <c r="A51" s="644"/>
      <c r="B51" s="645"/>
      <c r="C51" s="645"/>
      <c r="D51" s="645"/>
      <c r="E51" s="646"/>
      <c r="F51" s="644"/>
      <c r="G51" s="645"/>
      <c r="H51" s="645"/>
      <c r="I51" s="645"/>
      <c r="J51" s="646"/>
      <c r="K51" s="644"/>
      <c r="L51" s="645"/>
      <c r="M51" s="645"/>
      <c r="N51" s="645"/>
      <c r="O51" s="646"/>
      <c r="P51" s="644"/>
      <c r="Q51" s="645"/>
      <c r="R51" s="645"/>
      <c r="S51" s="645"/>
      <c r="T51" s="646"/>
      <c r="U51" s="653"/>
      <c r="V51" s="654"/>
      <c r="W51" s="654"/>
      <c r="X51" s="654"/>
      <c r="Y51" s="655"/>
      <c r="Z51" s="653"/>
      <c r="AA51" s="654"/>
      <c r="AB51" s="654"/>
      <c r="AC51" s="654"/>
      <c r="AD51" s="655"/>
    </row>
    <row r="52" spans="1:30" ht="18" customHeight="1" thickBot="1">
      <c r="A52" s="647"/>
      <c r="B52" s="648"/>
      <c r="C52" s="648"/>
      <c r="D52" s="648"/>
      <c r="E52" s="649"/>
      <c r="F52" s="647"/>
      <c r="G52" s="648"/>
      <c r="H52" s="648"/>
      <c r="I52" s="648"/>
      <c r="J52" s="649"/>
      <c r="K52" s="647"/>
      <c r="L52" s="648"/>
      <c r="M52" s="648"/>
      <c r="N52" s="648"/>
      <c r="O52" s="649"/>
      <c r="P52" s="647"/>
      <c r="Q52" s="648"/>
      <c r="R52" s="648"/>
      <c r="S52" s="648"/>
      <c r="T52" s="649"/>
      <c r="U52" s="656"/>
      <c r="V52" s="657"/>
      <c r="W52" s="657"/>
      <c r="X52" s="657"/>
      <c r="Y52" s="658"/>
      <c r="Z52" s="656"/>
      <c r="AA52" s="657"/>
      <c r="AB52" s="657"/>
      <c r="AC52" s="657"/>
      <c r="AD52" s="658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28BD67B7-278B-4800-A01F-24C03B00E846}"/>
</file>

<file path=customXml/itemProps2.xml><?xml version="1.0" encoding="utf-8"?>
<ds:datastoreItem xmlns:ds="http://schemas.openxmlformats.org/officeDocument/2006/customXml" ds:itemID="{BA6D1EAC-24F8-4C2E-A39A-CB2010D70374}"/>
</file>

<file path=customXml/itemProps3.xml><?xml version="1.0" encoding="utf-8"?>
<ds:datastoreItem xmlns:ds="http://schemas.openxmlformats.org/officeDocument/2006/customXml" ds:itemID="{40FBF671-8927-48AF-B455-B4B057894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2021-12-30T07:45:15Z</cp:lastPrinted>
  <dcterms:created xsi:type="dcterms:W3CDTF">2011-11-24T03:16:40Z</dcterms:created>
  <dcterms:modified xsi:type="dcterms:W3CDTF">2022-02-12T20:27:12Z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