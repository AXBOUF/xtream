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8FEFD2FD-9EAD-44EE-9723-F9869F574F1F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  <sheet name="Sheet2" sheetId="10" r:id="rId9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3" i="2" l="1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6" i="2"/>
  <c r="J5" i="2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3" i="1"/>
  <c r="J11" i="1"/>
  <c r="J10" i="1"/>
  <c r="J9" i="1"/>
  <c r="J8" i="1"/>
  <c r="J7" i="1"/>
  <c r="J6" i="1"/>
  <c r="J5" i="1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V17" i="8"/>
  <c r="V12" i="8"/>
  <c r="V7" i="8"/>
  <c r="V2" i="8"/>
  <c r="S32" i="4" l="1"/>
  <c r="S32" i="6"/>
  <c r="S32" i="7"/>
  <c r="H23" i="8"/>
  <c r="M94" i="2" l="1"/>
  <c r="L94" i="2"/>
  <c r="I94" i="2"/>
  <c r="H94" i="2"/>
  <c r="K93" i="2"/>
  <c r="K94" i="2" s="1"/>
  <c r="J94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M62" i="2"/>
  <c r="L62" i="2"/>
  <c r="I62" i="2"/>
  <c r="H62" i="2"/>
  <c r="K61" i="2"/>
  <c r="K60" i="2"/>
  <c r="J62" i="2"/>
  <c r="K59" i="2"/>
  <c r="K58" i="2"/>
  <c r="K57" i="2"/>
  <c r="K62" i="2" s="1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0" i="2"/>
  <c r="M31" i="2" s="1"/>
  <c r="L30" i="2"/>
  <c r="L31" i="2" s="1"/>
  <c r="I30" i="2"/>
  <c r="I31" i="2" s="1"/>
  <c r="Z32" i="2" s="1"/>
  <c r="H30" i="2"/>
  <c r="H31" i="2" s="1"/>
  <c r="K29" i="2"/>
  <c r="K28" i="2"/>
  <c r="K27" i="2"/>
  <c r="K26" i="2"/>
  <c r="T25" i="2"/>
  <c r="T26" i="2" s="1"/>
  <c r="S25" i="2"/>
  <c r="S26" i="2" s="1"/>
  <c r="R25" i="2"/>
  <c r="R26" i="2" s="1"/>
  <c r="K25" i="2"/>
  <c r="K24" i="2"/>
  <c r="K23" i="2"/>
  <c r="AR22" i="2"/>
  <c r="AQ22" i="2"/>
  <c r="AP22" i="2"/>
  <c r="AF25" i="2" s="1"/>
  <c r="AG22" i="2"/>
  <c r="AH25" i="2" s="1"/>
  <c r="AF22" i="2"/>
  <c r="AG25" i="2" s="1"/>
  <c r="AE22" i="2"/>
  <c r="AE25" i="2" s="1"/>
  <c r="K22" i="2"/>
  <c r="K20" i="2"/>
  <c r="T19" i="2"/>
  <c r="S19" i="2"/>
  <c r="K19" i="2"/>
  <c r="K18" i="2"/>
  <c r="K17" i="2"/>
  <c r="U15" i="2"/>
  <c r="K15" i="2"/>
  <c r="U14" i="2"/>
  <c r="K14" i="2"/>
  <c r="U13" i="2"/>
  <c r="K13" i="2"/>
  <c r="U12" i="2"/>
  <c r="K12" i="2"/>
  <c r="U11" i="2"/>
  <c r="K11" i="2"/>
  <c r="U10" i="2"/>
  <c r="U9" i="2"/>
  <c r="K9" i="2"/>
  <c r="U8" i="2"/>
  <c r="K8" i="2"/>
  <c r="U7" i="2"/>
  <c r="K7" i="2"/>
  <c r="U6" i="2"/>
  <c r="K6" i="2"/>
  <c r="U5" i="2"/>
  <c r="K5" i="2"/>
  <c r="J30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J62" i="1" s="1"/>
  <c r="K60" i="1"/>
  <c r="J60" i="1"/>
  <c r="K59" i="1"/>
  <c r="J59" i="1"/>
  <c r="K58" i="1"/>
  <c r="J58" i="1"/>
  <c r="K57" i="1"/>
  <c r="K62" i="1" s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I31" i="1" s="1"/>
  <c r="Z32" i="1" s="1"/>
  <c r="Z33" i="1" s="1"/>
  <c r="H30" i="1"/>
  <c r="H31" i="1" s="1"/>
  <c r="K29" i="1"/>
  <c r="K28" i="1"/>
  <c r="K27" i="1"/>
  <c r="K26" i="1"/>
  <c r="AF25" i="1"/>
  <c r="T25" i="1"/>
  <c r="T26" i="1" s="1"/>
  <c r="S25" i="1"/>
  <c r="S26" i="1" s="1"/>
  <c r="R25" i="1"/>
  <c r="R26" i="1" s="1"/>
  <c r="K25" i="1"/>
  <c r="K24" i="1"/>
  <c r="K23" i="1"/>
  <c r="AR22" i="1"/>
  <c r="AQ22" i="1"/>
  <c r="AP22" i="1"/>
  <c r="AG22" i="1"/>
  <c r="AH25" i="1" s="1"/>
  <c r="AF22" i="1"/>
  <c r="AG25" i="1" s="1"/>
  <c r="AE22" i="1"/>
  <c r="AE25" i="1" s="1"/>
  <c r="K22" i="1"/>
  <c r="K21" i="1"/>
  <c r="K20" i="1"/>
  <c r="T19" i="1"/>
  <c r="S19" i="1"/>
  <c r="K19" i="1"/>
  <c r="K18" i="1"/>
  <c r="K17" i="1"/>
  <c r="K16" i="1"/>
  <c r="U15" i="1"/>
  <c r="K15" i="1"/>
  <c r="U14" i="1"/>
  <c r="J14" i="1"/>
  <c r="U13" i="1"/>
  <c r="K13" i="1"/>
  <c r="U12" i="1"/>
  <c r="J12" i="1"/>
  <c r="U11" i="1"/>
  <c r="K11" i="1"/>
  <c r="U10" i="1"/>
  <c r="K10" i="1"/>
  <c r="U9" i="1"/>
  <c r="K9" i="1"/>
  <c r="U8" i="1"/>
  <c r="K8" i="1"/>
  <c r="U7" i="1"/>
  <c r="K7" i="1"/>
  <c r="U6" i="1"/>
  <c r="K6" i="1"/>
  <c r="U5" i="1"/>
  <c r="K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2" i="3"/>
  <c r="K60" i="3"/>
  <c r="K59" i="3"/>
  <c r="K62" i="3" s="1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H30" i="3"/>
  <c r="H31" i="3" s="1"/>
  <c r="K29" i="3"/>
  <c r="K28" i="3"/>
  <c r="K27" i="3"/>
  <c r="K26" i="3"/>
  <c r="T25" i="3"/>
  <c r="T26" i="3" s="1"/>
  <c r="S25" i="3"/>
  <c r="S26" i="3" s="1"/>
  <c r="R25" i="3"/>
  <c r="R26" i="3" s="1"/>
  <c r="K25" i="3"/>
  <c r="K24" i="3"/>
  <c r="K23" i="3"/>
  <c r="AR22" i="3"/>
  <c r="AQ22" i="3"/>
  <c r="AP22" i="3"/>
  <c r="AF25" i="3" s="1"/>
  <c r="AG22" i="3"/>
  <c r="AH25" i="3" s="1"/>
  <c r="AF22" i="3"/>
  <c r="AG25" i="3" s="1"/>
  <c r="AE22" i="3"/>
  <c r="AE25" i="3" s="1"/>
  <c r="K22" i="3"/>
  <c r="K21" i="3"/>
  <c r="K20" i="3"/>
  <c r="T19" i="3"/>
  <c r="S19" i="3"/>
  <c r="K19" i="3"/>
  <c r="K18" i="3"/>
  <c r="K17" i="3"/>
  <c r="K16" i="3"/>
  <c r="U15" i="3"/>
  <c r="K15" i="3"/>
  <c r="U14" i="3"/>
  <c r="K14" i="3"/>
  <c r="U13" i="3"/>
  <c r="K13" i="3"/>
  <c r="U12" i="3"/>
  <c r="K12" i="3"/>
  <c r="U11" i="3"/>
  <c r="K11" i="3"/>
  <c r="U10" i="3"/>
  <c r="K10" i="3"/>
  <c r="U9" i="3"/>
  <c r="K9" i="3"/>
  <c r="U8" i="3"/>
  <c r="K8" i="3"/>
  <c r="U7" i="3"/>
  <c r="K7" i="3"/>
  <c r="U6" i="3"/>
  <c r="K6" i="3"/>
  <c r="U5" i="3"/>
  <c r="K5" i="3"/>
  <c r="M94" i="4"/>
  <c r="L94" i="4"/>
  <c r="I94" i="4"/>
  <c r="H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0" i="4"/>
  <c r="L30" i="4"/>
  <c r="L31" i="4" s="1"/>
  <c r="I30" i="4"/>
  <c r="H30" i="4"/>
  <c r="H31" i="4" s="1"/>
  <c r="K29" i="4"/>
  <c r="J29" i="4"/>
  <c r="K28" i="4"/>
  <c r="J28" i="4"/>
  <c r="K27" i="4"/>
  <c r="J27" i="4"/>
  <c r="K26" i="4"/>
  <c r="J26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P22" i="4"/>
  <c r="AF25" i="4" s="1"/>
  <c r="AG22" i="4"/>
  <c r="AF22" i="4"/>
  <c r="AG25" i="4" s="1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J61" i="5"/>
  <c r="J62" i="5" s="1"/>
  <c r="K60" i="5"/>
  <c r="J60" i="5"/>
  <c r="K59" i="5"/>
  <c r="K62" i="5" s="1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0" i="5"/>
  <c r="M31" i="5" s="1"/>
  <c r="L30" i="5"/>
  <c r="L31" i="5" s="1"/>
  <c r="I30" i="5"/>
  <c r="I31" i="5" s="1"/>
  <c r="Z32" i="5" s="1"/>
  <c r="Z33" i="5" s="1"/>
  <c r="H30" i="5"/>
  <c r="H31" i="5" s="1"/>
  <c r="K29" i="5"/>
  <c r="J29" i="5"/>
  <c r="K28" i="5"/>
  <c r="J28" i="5"/>
  <c r="K27" i="5"/>
  <c r="J27" i="5"/>
  <c r="K26" i="5"/>
  <c r="J26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P22" i="5"/>
  <c r="AF25" i="5" s="1"/>
  <c r="AG22" i="5"/>
  <c r="AH25" i="5" s="1"/>
  <c r="AF22" i="5"/>
  <c r="AG25" i="5" s="1"/>
  <c r="AE22" i="5"/>
  <c r="AE25" i="5" s="1"/>
  <c r="K22" i="5"/>
  <c r="J22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J7" i="5"/>
  <c r="U6" i="5"/>
  <c r="J6" i="5"/>
  <c r="U5" i="5"/>
  <c r="K5" i="5"/>
  <c r="J5" i="5"/>
  <c r="M94" i="6"/>
  <c r="L94" i="6"/>
  <c r="I94" i="6"/>
  <c r="H94" i="6"/>
  <c r="K93" i="6"/>
  <c r="J93" i="6"/>
  <c r="J94" i="6" s="1"/>
  <c r="K92" i="6"/>
  <c r="K94" i="6" s="1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T66" i="6"/>
  <c r="M62" i="6"/>
  <c r="L62" i="6"/>
  <c r="I62" i="6"/>
  <c r="H62" i="6"/>
  <c r="K61" i="6"/>
  <c r="J61" i="6"/>
  <c r="J62" i="6" s="1"/>
  <c r="K60" i="6"/>
  <c r="J60" i="6"/>
  <c r="K59" i="6"/>
  <c r="K62" i="6" s="1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H31" i="6"/>
  <c r="M30" i="6"/>
  <c r="M31" i="6" s="1"/>
  <c r="L30" i="6"/>
  <c r="L31" i="6" s="1"/>
  <c r="I30" i="6"/>
  <c r="I31" i="6" s="1"/>
  <c r="Z32" i="6" s="1"/>
  <c r="Z33" i="6" s="1"/>
  <c r="H30" i="6"/>
  <c r="K29" i="6"/>
  <c r="J29" i="6"/>
  <c r="K28" i="6"/>
  <c r="J28" i="6"/>
  <c r="K27" i="6"/>
  <c r="J27" i="6"/>
  <c r="K26" i="6"/>
  <c r="J26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P22" i="6"/>
  <c r="AF25" i="6" s="1"/>
  <c r="AG22" i="6"/>
  <c r="AH25" i="6" s="1"/>
  <c r="AF22" i="6"/>
  <c r="AG25" i="6" s="1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J5" i="6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M94" i="7"/>
  <c r="L94" i="7"/>
  <c r="I94" i="7"/>
  <c r="H94" i="7"/>
  <c r="K93" i="7"/>
  <c r="K94" i="7" s="1"/>
  <c r="J94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J62" i="7"/>
  <c r="K59" i="7"/>
  <c r="K58" i="7"/>
  <c r="K57" i="7"/>
  <c r="K62" i="7" s="1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A34" i="7"/>
  <c r="A66" i="7" s="1"/>
  <c r="H32" i="7"/>
  <c r="Z31" i="7"/>
  <c r="Q31" i="7"/>
  <c r="P31" i="7"/>
  <c r="O31" i="7"/>
  <c r="N31" i="7"/>
  <c r="M30" i="7"/>
  <c r="M31" i="7" s="1"/>
  <c r="L30" i="7"/>
  <c r="L31" i="7" s="1"/>
  <c r="I30" i="7"/>
  <c r="I31" i="7" s="1"/>
  <c r="Z32" i="7" s="1"/>
  <c r="Z33" i="7" s="1"/>
  <c r="H30" i="7"/>
  <c r="H31" i="7" s="1"/>
  <c r="K29" i="7"/>
  <c r="K28" i="7"/>
  <c r="K27" i="7"/>
  <c r="K26" i="7"/>
  <c r="T25" i="7"/>
  <c r="T26" i="7" s="1"/>
  <c r="S25" i="7"/>
  <c r="S26" i="7" s="1"/>
  <c r="R25" i="7"/>
  <c r="R26" i="7" s="1"/>
  <c r="K25" i="7"/>
  <c r="K24" i="7"/>
  <c r="K23" i="7"/>
  <c r="AR22" i="7"/>
  <c r="AQ22" i="7"/>
  <c r="AP22" i="7"/>
  <c r="AF25" i="7" s="1"/>
  <c r="AG22" i="7"/>
  <c r="AH25" i="7" s="1"/>
  <c r="AF22" i="7"/>
  <c r="AG25" i="7" s="1"/>
  <c r="AE22" i="7"/>
  <c r="AE25" i="7" s="1"/>
  <c r="K22" i="7"/>
  <c r="K21" i="7"/>
  <c r="K20" i="7"/>
  <c r="T19" i="7"/>
  <c r="S19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K30" i="2" l="1"/>
  <c r="K31" i="2" s="1"/>
  <c r="H34" i="8" s="1"/>
  <c r="U16" i="2"/>
  <c r="R16" i="2" s="1"/>
  <c r="J31" i="2"/>
  <c r="H35" i="8" s="1"/>
  <c r="K30" i="1"/>
  <c r="K31" i="1" s="1"/>
  <c r="J30" i="1"/>
  <c r="J31" i="1" s="1"/>
  <c r="U16" i="1"/>
  <c r="S16" i="1" s="1"/>
  <c r="I31" i="3"/>
  <c r="T31" i="3" s="1"/>
  <c r="K30" i="3"/>
  <c r="K31" i="3" s="1"/>
  <c r="U16" i="3"/>
  <c r="S16" i="3" s="1"/>
  <c r="J30" i="3"/>
  <c r="J31" i="3" s="1"/>
  <c r="M31" i="4"/>
  <c r="J62" i="4"/>
  <c r="K94" i="4"/>
  <c r="AH25" i="4"/>
  <c r="K62" i="4"/>
  <c r="I31" i="4"/>
  <c r="Z32" i="4" s="1"/>
  <c r="J94" i="4"/>
  <c r="U16" i="4"/>
  <c r="S16" i="4" s="1"/>
  <c r="K30" i="4"/>
  <c r="K31" i="4" s="1"/>
  <c r="Z33" i="4"/>
  <c r="J30" i="4"/>
  <c r="J31" i="4" s="1"/>
  <c r="J30" i="5"/>
  <c r="J31" i="5" s="1"/>
  <c r="K30" i="5"/>
  <c r="K31" i="5" s="1"/>
  <c r="U16" i="5"/>
  <c r="R16" i="5" s="1"/>
  <c r="K30" i="6"/>
  <c r="K31" i="6" s="1"/>
  <c r="J30" i="6"/>
  <c r="J31" i="6" s="1"/>
  <c r="C32" i="6" s="1"/>
  <c r="Q32" i="6" s="1"/>
  <c r="U16" i="6"/>
  <c r="S16" i="6" s="1"/>
  <c r="U16" i="7"/>
  <c r="R16" i="7" s="1"/>
  <c r="K30" i="7"/>
  <c r="K31" i="7" s="1"/>
  <c r="J30" i="7"/>
  <c r="J31" i="7" s="1"/>
  <c r="C32" i="7" s="1"/>
  <c r="AI25" i="2"/>
  <c r="AD25" i="2"/>
  <c r="Z33" i="2"/>
  <c r="S31" i="2"/>
  <c r="T31" i="2"/>
  <c r="S32" i="2"/>
  <c r="H33" i="8" s="1"/>
  <c r="AI25" i="1"/>
  <c r="AD25" i="1"/>
  <c r="S31" i="1"/>
  <c r="H27" i="8" s="1"/>
  <c r="T31" i="1"/>
  <c r="S32" i="1"/>
  <c r="H28" i="8" s="1"/>
  <c r="AI25" i="3"/>
  <c r="AD25" i="3"/>
  <c r="S32" i="3"/>
  <c r="S31" i="3"/>
  <c r="AI25" i="4"/>
  <c r="AD25" i="4"/>
  <c r="S31" i="4"/>
  <c r="H17" i="8" s="1"/>
  <c r="AI25" i="5"/>
  <c r="AD25" i="5"/>
  <c r="S16" i="5"/>
  <c r="S31" i="5"/>
  <c r="H12" i="8" s="1"/>
  <c r="T31" i="5"/>
  <c r="S32" i="5"/>
  <c r="AI25" i="6"/>
  <c r="AD25" i="6"/>
  <c r="S31" i="6"/>
  <c r="H7" i="8" s="1"/>
  <c r="T31" i="6"/>
  <c r="AI25" i="7"/>
  <c r="AD25" i="7"/>
  <c r="S16" i="7"/>
  <c r="S31" i="7"/>
  <c r="T31" i="7"/>
  <c r="H8" i="8"/>
  <c r="Y39" i="8"/>
  <c r="H32" i="8"/>
  <c r="H2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O39" i="8"/>
  <c r="T39" i="8"/>
  <c r="E2" i="8"/>
  <c r="H2" i="8"/>
  <c r="E34" i="8"/>
  <c r="E33" i="8"/>
  <c r="E32" i="8"/>
  <c r="E24" i="8"/>
  <c r="E23" i="8"/>
  <c r="E22" i="8"/>
  <c r="E9" i="8"/>
  <c r="E8" i="8"/>
  <c r="E7" i="8"/>
  <c r="E36" i="8" l="1"/>
  <c r="S16" i="2"/>
  <c r="V32" i="8"/>
  <c r="C32" i="2"/>
  <c r="N32" i="2" s="1"/>
  <c r="L32" i="8" s="1"/>
  <c r="C32" i="1"/>
  <c r="N32" i="1" s="1"/>
  <c r="R16" i="1"/>
  <c r="E31" i="8"/>
  <c r="Z32" i="3"/>
  <c r="Z33" i="3" s="1"/>
  <c r="C32" i="3"/>
  <c r="O32" i="3" s="1"/>
  <c r="E26" i="8"/>
  <c r="R16" i="3"/>
  <c r="H18" i="8"/>
  <c r="T31" i="4"/>
  <c r="R16" i="4"/>
  <c r="C32" i="4"/>
  <c r="P32" i="4" s="1"/>
  <c r="C32" i="5"/>
  <c r="N32" i="5" s="1"/>
  <c r="R16" i="6"/>
  <c r="U25" i="5"/>
  <c r="U25" i="6"/>
  <c r="T16" i="6"/>
  <c r="K32" i="6"/>
  <c r="N32" i="6"/>
  <c r="O32" i="6"/>
  <c r="L8" i="8" s="1"/>
  <c r="P32" i="6"/>
  <c r="U25" i="7"/>
  <c r="K32" i="7"/>
  <c r="T16" i="7"/>
  <c r="N32" i="7"/>
  <c r="O32" i="7"/>
  <c r="P32" i="7"/>
  <c r="Q32" i="7"/>
  <c r="H13" i="8"/>
  <c r="E11" i="8"/>
  <c r="H3" i="8"/>
  <c r="Z45" i="8"/>
  <c r="E21" i="8"/>
  <c r="E16" i="8"/>
  <c r="H15" i="8"/>
  <c r="E6" i="8"/>
  <c r="Q7" i="8"/>
  <c r="Q32" i="8"/>
  <c r="Q22" i="8"/>
  <c r="Q17" i="8"/>
  <c r="Q12" i="8"/>
  <c r="H10" i="8"/>
  <c r="O32" i="2" l="1"/>
  <c r="L33" i="8" s="1"/>
  <c r="T16" i="2"/>
  <c r="Q32" i="2"/>
  <c r="L35" i="8" s="1"/>
  <c r="K32" i="2"/>
  <c r="P32" i="2"/>
  <c r="L34" i="8" s="1"/>
  <c r="U25" i="2"/>
  <c r="U25" i="3"/>
  <c r="U25" i="1"/>
  <c r="K32" i="1"/>
  <c r="O32" i="1"/>
  <c r="Q32" i="1"/>
  <c r="P32" i="1"/>
  <c r="T16" i="1"/>
  <c r="P32" i="3"/>
  <c r="L24" i="8" s="1"/>
  <c r="T16" i="3"/>
  <c r="Q32" i="3"/>
  <c r="L25" i="8" s="1"/>
  <c r="N32" i="3"/>
  <c r="L22" i="8" s="1"/>
  <c r="K32" i="3"/>
  <c r="U25" i="4"/>
  <c r="N32" i="4"/>
  <c r="Q32" i="4"/>
  <c r="T16" i="4"/>
  <c r="K32" i="4"/>
  <c r="O32" i="4"/>
  <c r="Q32" i="5"/>
  <c r="O32" i="5"/>
  <c r="K32" i="5"/>
  <c r="T16" i="5"/>
  <c r="P32" i="5"/>
  <c r="L23" i="8"/>
  <c r="L10" i="8"/>
  <c r="L7" i="8"/>
  <c r="L9" i="8"/>
  <c r="H19" i="8"/>
  <c r="H20" i="8"/>
  <c r="U45" i="8"/>
  <c r="Z49" i="8" s="1"/>
  <c r="O41" i="8"/>
  <c r="T41" i="8"/>
  <c r="H25" i="8"/>
  <c r="V22" i="8" s="1"/>
  <c r="H24" i="8"/>
  <c r="H14" i="8"/>
  <c r="H9" i="8"/>
  <c r="E30" i="8"/>
  <c r="E29" i="8"/>
  <c r="E28" i="8"/>
  <c r="E27" i="8"/>
  <c r="U49" i="8" l="1"/>
  <c r="L18" i="8"/>
  <c r="L15" i="8"/>
  <c r="L14" i="8"/>
  <c r="L12" i="8"/>
  <c r="L13" i="8"/>
  <c r="Q27" i="8"/>
  <c r="H29" i="8"/>
  <c r="L19" i="8" l="1"/>
  <c r="L20" i="8"/>
  <c r="L17" i="8"/>
  <c r="L28" i="8"/>
  <c r="H30" i="8"/>
  <c r="V27" i="8" s="1"/>
  <c r="L30" i="8" l="1"/>
  <c r="L27" i="8"/>
  <c r="L29" i="8"/>
  <c r="E4" i="8" l="1"/>
  <c r="E5" i="8"/>
  <c r="E3" i="8" l="1"/>
  <c r="Q2" i="8" l="1"/>
  <c r="A39" i="8" s="1"/>
  <c r="H4" i="8" l="1"/>
  <c r="H5" i="8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<sst xmlns="http://schemas.openxmlformats.org/spreadsheetml/2006/main" count="1646" uniqueCount="373">
  <si>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</si>
  <si>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</si>
  <si>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</si>
  <si>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</si>
  <si>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</si>
  <si>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</si>
  <si>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</si>
  <si>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</si>
  <si>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</si>
  <si>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</si>
  <si>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</si>
  <si>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</si>
  <si>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</si>
  <si>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</si>
  <si>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</si>
  <si>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</si>
  <si>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</si>
  <si>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</si>
  <si>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</si>
  <si>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</si>
  <si>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</si>
  <si>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</si>
  <si>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</si>
  <si>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</si>
  <si>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</si>
  <si>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</si>
  <si>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</si>
  <si>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</si>
  <si>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</si>
  <si>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</si>
  <si>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</si>
  <si>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</si>
  <si>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</si>
  <si>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</si>
  <si>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</si>
  <si>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</si>
  <si>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</si>
  <si>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</si>
  <si>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</si>
  <si>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</si>
  <si>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</si>
  <si>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</si>
  <si>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</si>
  <si>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</si>
  <si>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</si>
  <si>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</si>
  <si>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</si>
  <si>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</si>
  <si>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</si>
  <si>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</si>
  <si>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</si>
  <si>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</si>
  <si>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</si>
  <si>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</si>
  <si>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</si>
  <si>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</si>
  <si>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</si>
  <si>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</si>
  <si>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</si>
  <si>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</si>
  <si>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</si>
  <si>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</si>
  <si>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</si>
  <si>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</si>
  <si>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</si>
  <si>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</si>
  <si>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</si>
  <si>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</si>
  <si>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</si>
  <si>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</si>
  <si>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</si>
  <si>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</si>
  <si>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</si>
  <si>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</si>
  <si>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</si>
  <si>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</si>
  <si>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</si>
  <si>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</si>
  <si>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</si>
  <si>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</si>
  <si>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</si>
  <si>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</si>
  <si>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</si>
  <si>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</si>
  <si>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</si>
  <si>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</si>
  <si>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</si>
  <si>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</si>
  <si>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</si>
  <si>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STAFF HRS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</si>
  <si>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</si>
  <si>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</si>
  <si>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</si>
  <si>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</si>
  <si>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Size</t>
  </si>
  <si>
    <t>S</t>
  </si>
  <si>
    <t>M</t>
  </si>
  <si>
    <t>L</t>
  </si>
  <si>
    <t>EOL27E</t>
    <phoneticPr fontId="3" type="noConversion"/>
  </si>
  <si>
    <t>CDS89H</t>
    <phoneticPr fontId="3" type="noConversion"/>
  </si>
  <si>
    <t>88FATE</t>
    <phoneticPr fontId="3" type="noConversion"/>
  </si>
  <si>
    <t>DP469</t>
    <phoneticPr fontId="3" type="noConversion"/>
  </si>
  <si>
    <t>7-02-2022</t>
    <phoneticPr fontId="3" type="noConversion"/>
  </si>
  <si>
    <t>8-02-2022</t>
    <phoneticPr fontId="3" type="noConversion"/>
  </si>
  <si>
    <t>9-02-2022</t>
    <phoneticPr fontId="3" type="noConversion"/>
  </si>
  <si>
    <t>10-02-2022</t>
    <phoneticPr fontId="3" type="noConversion"/>
  </si>
  <si>
    <t>11-02-2022</t>
    <phoneticPr fontId="3" type="noConversion"/>
  </si>
  <si>
    <t>12-02-2022</t>
    <phoneticPr fontId="3" type="noConversion"/>
  </si>
  <si>
    <t>13-02-2022</t>
    <phoneticPr fontId="3" type="noConversion"/>
  </si>
  <si>
    <t>CX10G8</t>
    <phoneticPr fontId="3" type="noConversion"/>
  </si>
  <si>
    <t>0402012082</t>
    <phoneticPr fontId="3" type="noConversion"/>
  </si>
  <si>
    <t>D/ST</t>
    <phoneticPr fontId="3" type="noConversion"/>
  </si>
  <si>
    <t>DZE76K</t>
    <phoneticPr fontId="3" type="noConversion"/>
  </si>
  <si>
    <t>0428724704</t>
    <phoneticPr fontId="3" type="noConversion"/>
  </si>
  <si>
    <t>L</t>
    <phoneticPr fontId="3" type="noConversion"/>
  </si>
  <si>
    <t>IN</t>
    <phoneticPr fontId="3" type="noConversion"/>
  </si>
  <si>
    <t>MI39KU</t>
    <phoneticPr fontId="3" type="noConversion"/>
  </si>
  <si>
    <t>0403987772</t>
    <phoneticPr fontId="3" type="noConversion"/>
  </si>
  <si>
    <t>X</t>
    <phoneticPr fontId="3" type="noConversion"/>
  </si>
  <si>
    <t>EJX85L</t>
    <phoneticPr fontId="3" type="noConversion"/>
  </si>
  <si>
    <t>0421085336</t>
    <phoneticPr fontId="3" type="noConversion"/>
  </si>
  <si>
    <t>S</t>
    <phoneticPr fontId="3" type="noConversion"/>
  </si>
  <si>
    <t>D</t>
    <phoneticPr fontId="3" type="noConversion"/>
  </si>
  <si>
    <t>BKN48F</t>
    <phoneticPr fontId="3" type="noConversion"/>
  </si>
  <si>
    <t>0413723556</t>
    <phoneticPr fontId="3" type="noConversion"/>
  </si>
  <si>
    <t>BJC14G</t>
    <phoneticPr fontId="3" type="noConversion"/>
  </si>
  <si>
    <t>0467680536</t>
    <phoneticPr fontId="3" type="noConversion"/>
  </si>
  <si>
    <t>EQA93H</t>
    <phoneticPr fontId="3" type="noConversion"/>
  </si>
  <si>
    <t>0401530380</t>
    <phoneticPr fontId="3" type="noConversion"/>
  </si>
  <si>
    <t>DVE92C</t>
    <phoneticPr fontId="3" type="noConversion"/>
  </si>
  <si>
    <t>0415779552</t>
    <phoneticPr fontId="3" type="noConversion"/>
  </si>
  <si>
    <t>DPK65Y</t>
    <phoneticPr fontId="3" type="noConversion"/>
  </si>
  <si>
    <t>0413884883</t>
    <phoneticPr fontId="3" type="noConversion"/>
  </si>
  <si>
    <t>MIX</t>
    <phoneticPr fontId="3" type="noConversion"/>
  </si>
  <si>
    <t>JOHN</t>
    <phoneticPr fontId="3" type="noConversion"/>
  </si>
  <si>
    <t>HENDRA</t>
    <phoneticPr fontId="3" type="noConversion"/>
  </si>
  <si>
    <t>ARIANTO</t>
    <phoneticPr fontId="3" type="noConversion"/>
  </si>
  <si>
    <t>KUROSH</t>
    <phoneticPr fontId="3" type="noConversion"/>
  </si>
  <si>
    <t>PETER</t>
    <phoneticPr fontId="3" type="noConversion"/>
  </si>
  <si>
    <t>DFZ53M</t>
    <phoneticPr fontId="3" type="noConversion"/>
  </si>
  <si>
    <t>0451185659</t>
    <phoneticPr fontId="3" type="noConversion"/>
  </si>
  <si>
    <t>PCL</t>
    <phoneticPr fontId="3" type="noConversion"/>
  </si>
  <si>
    <t>21062(3/6)</t>
    <phoneticPr fontId="3" type="noConversion"/>
  </si>
  <si>
    <t>DBK20Y</t>
    <phoneticPr fontId="3" type="noConversion"/>
  </si>
  <si>
    <t>0439402104</t>
    <phoneticPr fontId="3" type="noConversion"/>
  </si>
  <si>
    <t>F/D</t>
    <phoneticPr fontId="3" type="noConversion"/>
  </si>
  <si>
    <t>CI37CC</t>
    <phoneticPr fontId="3" type="noConversion"/>
  </si>
  <si>
    <t>0412822385</t>
    <phoneticPr fontId="3" type="noConversion"/>
  </si>
  <si>
    <t>H</t>
    <phoneticPr fontId="3" type="noConversion"/>
  </si>
  <si>
    <t>22001(NEW)</t>
    <phoneticPr fontId="3" type="noConversion"/>
  </si>
  <si>
    <t>GABZ</t>
    <phoneticPr fontId="3" type="noConversion"/>
  </si>
  <si>
    <t>0404444048</t>
    <phoneticPr fontId="3" type="noConversion"/>
  </si>
  <si>
    <t>JUNIOR</t>
    <phoneticPr fontId="3" type="noConversion"/>
  </si>
  <si>
    <t>HEATHER</t>
    <phoneticPr fontId="3" type="noConversion"/>
  </si>
  <si>
    <t>EKH64Y</t>
    <phoneticPr fontId="3" type="noConversion"/>
  </si>
  <si>
    <t>0479077655</t>
    <phoneticPr fontId="3" type="noConversion"/>
  </si>
  <si>
    <t>EBF61F</t>
    <phoneticPr fontId="3" type="noConversion"/>
  </si>
  <si>
    <t>21053(5/6)</t>
    <phoneticPr fontId="3" type="noConversion"/>
  </si>
  <si>
    <t>0414858897</t>
    <phoneticPr fontId="3" type="noConversion"/>
  </si>
  <si>
    <t>SUNNY</t>
    <phoneticPr fontId="3" type="noConversion"/>
  </si>
  <si>
    <t>DLJ38W</t>
    <phoneticPr fontId="3" type="noConversion"/>
  </si>
  <si>
    <t>0404340669</t>
    <phoneticPr fontId="3" type="noConversion"/>
  </si>
  <si>
    <t>ANTHONY</t>
    <phoneticPr fontId="3" type="noConversion"/>
  </si>
  <si>
    <t>EOV94G</t>
    <phoneticPr fontId="3" type="noConversion"/>
  </si>
  <si>
    <t>0408409070</t>
    <phoneticPr fontId="3" type="noConversion"/>
  </si>
  <si>
    <t>DVW72Q</t>
    <phoneticPr fontId="3" type="noConversion"/>
  </si>
  <si>
    <t>0418881485</t>
    <phoneticPr fontId="3" type="noConversion"/>
  </si>
  <si>
    <t>21057(1/6)</t>
    <phoneticPr fontId="3" type="noConversion"/>
  </si>
  <si>
    <t>NBZ17R</t>
    <phoneticPr fontId="3" type="noConversion"/>
  </si>
  <si>
    <t>0414151185</t>
    <phoneticPr fontId="3" type="noConversion"/>
  </si>
  <si>
    <t>DTJ82B</t>
    <phoneticPr fontId="3" type="noConversion"/>
  </si>
  <si>
    <t>0416347269</t>
    <phoneticPr fontId="3" type="noConversion"/>
  </si>
  <si>
    <t>H/ST</t>
    <phoneticPr fontId="3" type="noConversion"/>
  </si>
  <si>
    <t>DDD88L</t>
    <phoneticPr fontId="3" type="noConversion"/>
  </si>
  <si>
    <t>0402555552</t>
    <phoneticPr fontId="3" type="noConversion"/>
  </si>
  <si>
    <t>GV3</t>
    <phoneticPr fontId="3" type="noConversion"/>
  </si>
  <si>
    <t>202993(4/6)</t>
    <phoneticPr fontId="3" type="noConversion"/>
  </si>
  <si>
    <t>EHI70Q</t>
    <phoneticPr fontId="3" type="noConversion"/>
  </si>
  <si>
    <t>0419860342</t>
    <phoneticPr fontId="3" type="noConversion"/>
  </si>
  <si>
    <t>CX076YM</t>
    <phoneticPr fontId="3" type="noConversion"/>
  </si>
  <si>
    <t>0433797997</t>
    <phoneticPr fontId="3" type="noConversion"/>
  </si>
  <si>
    <t>EIO39K</t>
    <phoneticPr fontId="3" type="noConversion"/>
  </si>
  <si>
    <t>0408095095</t>
    <phoneticPr fontId="3" type="noConversion"/>
  </si>
  <si>
    <t>DCS68B</t>
    <phoneticPr fontId="3" type="noConversion"/>
  </si>
  <si>
    <t>0418677764</t>
    <phoneticPr fontId="3" type="noConversion"/>
  </si>
  <si>
    <t>PCS</t>
    <phoneticPr fontId="3" type="noConversion"/>
  </si>
  <si>
    <t>21044(5/6)</t>
    <phoneticPr fontId="3" type="noConversion"/>
  </si>
  <si>
    <t>EEH85P</t>
    <phoneticPr fontId="3" type="noConversion"/>
  </si>
  <si>
    <t>0478513380</t>
    <phoneticPr fontId="3" type="noConversion"/>
  </si>
  <si>
    <t>ENM68N</t>
    <phoneticPr fontId="3" type="noConversion"/>
  </si>
  <si>
    <t>0452118313</t>
    <phoneticPr fontId="3" type="noConversion"/>
  </si>
  <si>
    <t>DDP53S</t>
    <phoneticPr fontId="3" type="noConversion"/>
  </si>
  <si>
    <t>XWC148</t>
    <phoneticPr fontId="3" type="noConversion"/>
  </si>
  <si>
    <t>0433565707</t>
    <phoneticPr fontId="3" type="noConversion"/>
  </si>
  <si>
    <t>H/ID</t>
    <phoneticPr fontId="3" type="noConversion"/>
  </si>
  <si>
    <t>0411014635</t>
    <phoneticPr fontId="3" type="noConversion"/>
  </si>
  <si>
    <t>BPQ53P</t>
    <phoneticPr fontId="3" type="noConversion"/>
  </si>
  <si>
    <t>0421075870</t>
    <phoneticPr fontId="3" type="noConversion"/>
  </si>
  <si>
    <t>00SHA</t>
    <phoneticPr fontId="3" type="noConversion"/>
  </si>
  <si>
    <t>0450928298</t>
    <phoneticPr fontId="3" type="noConversion"/>
  </si>
  <si>
    <t>DKM62H</t>
    <phoneticPr fontId="3" type="noConversion"/>
  </si>
  <si>
    <t>0404714158</t>
    <phoneticPr fontId="3" type="noConversion"/>
  </si>
  <si>
    <t>88BMWM</t>
    <phoneticPr fontId="3" type="noConversion"/>
  </si>
  <si>
    <t>0479077545</t>
    <phoneticPr fontId="3" type="noConversion"/>
  </si>
  <si>
    <t>TS6888</t>
    <phoneticPr fontId="3" type="noConversion"/>
  </si>
  <si>
    <t>0417880888</t>
    <phoneticPr fontId="3" type="noConversion"/>
  </si>
  <si>
    <t>21021(6/6),22002(NEW)</t>
    <phoneticPr fontId="3" type="noConversion"/>
  </si>
  <si>
    <t>ERD77U</t>
    <phoneticPr fontId="3" type="noConversion"/>
  </si>
  <si>
    <t>0452102105</t>
    <phoneticPr fontId="3" type="noConversion"/>
  </si>
  <si>
    <t>GV1</t>
    <phoneticPr fontId="3" type="noConversion"/>
  </si>
  <si>
    <t>202799(6/6)</t>
    <phoneticPr fontId="3" type="noConversion"/>
  </si>
  <si>
    <t>GCP573</t>
    <phoneticPr fontId="3" type="noConversion"/>
  </si>
  <si>
    <t>0413874273</t>
    <phoneticPr fontId="3" type="noConversion"/>
  </si>
  <si>
    <t>WO</t>
    <phoneticPr fontId="3" type="noConversion"/>
  </si>
  <si>
    <t>DQG86M</t>
    <phoneticPr fontId="3" type="noConversion"/>
  </si>
  <si>
    <t>0411832570</t>
    <phoneticPr fontId="3" type="noConversion"/>
  </si>
  <si>
    <t>21027(1/6)</t>
    <phoneticPr fontId="3" type="noConversion"/>
  </si>
  <si>
    <t>DB88ZA</t>
    <phoneticPr fontId="3" type="noConversion"/>
  </si>
  <si>
    <t>0424576197</t>
    <phoneticPr fontId="3" type="noConversion"/>
  </si>
  <si>
    <t>W/H</t>
    <phoneticPr fontId="3" type="noConversion"/>
  </si>
  <si>
    <t>21037(4,5,6/6),NEXT TIME</t>
    <phoneticPr fontId="3" type="noConversion"/>
  </si>
  <si>
    <t>CSS96W</t>
    <phoneticPr fontId="3" type="noConversion"/>
  </si>
  <si>
    <t>0414262262</t>
    <phoneticPr fontId="3" type="noConversion"/>
  </si>
  <si>
    <t>DCA98H</t>
    <phoneticPr fontId="3" type="noConversion"/>
  </si>
  <si>
    <t>0410489985</t>
    <phoneticPr fontId="3" type="noConversion"/>
  </si>
  <si>
    <t>CLB30E</t>
    <phoneticPr fontId="3" type="noConversion"/>
  </si>
  <si>
    <t>0434022609</t>
    <phoneticPr fontId="3" type="noConversion"/>
  </si>
  <si>
    <t>21020(5/6)</t>
    <phoneticPr fontId="3" type="noConversion"/>
  </si>
  <si>
    <t>OOOSAL</t>
    <phoneticPr fontId="3" type="noConversion"/>
  </si>
  <si>
    <t>0414272218</t>
    <phoneticPr fontId="3" type="noConversion"/>
  </si>
  <si>
    <t>LP5569</t>
    <phoneticPr fontId="3" type="noConversion"/>
  </si>
  <si>
    <t>0410669160</t>
    <phoneticPr fontId="3" type="noConversion"/>
  </si>
  <si>
    <t>EEP11B</t>
    <phoneticPr fontId="3" type="noConversion"/>
  </si>
  <si>
    <t>04155085787</t>
    <phoneticPr fontId="3" type="noConversion"/>
  </si>
  <si>
    <t>EEC93Z</t>
    <phoneticPr fontId="3" type="noConversion"/>
  </si>
  <si>
    <t>0481001446</t>
    <phoneticPr fontId="3" type="noConversion"/>
  </si>
  <si>
    <t>TM123</t>
    <phoneticPr fontId="3" type="noConversion"/>
  </si>
  <si>
    <t>0419280680</t>
    <phoneticPr fontId="3" type="noConversion"/>
  </si>
  <si>
    <t>AEQ39N</t>
    <phoneticPr fontId="3" type="noConversion"/>
  </si>
  <si>
    <t>0403976363</t>
    <phoneticPr fontId="3" type="noConversion"/>
  </si>
  <si>
    <t>BTN15D</t>
    <phoneticPr fontId="3" type="noConversion"/>
  </si>
  <si>
    <t>0403902656</t>
    <phoneticPr fontId="3" type="noConversion"/>
  </si>
  <si>
    <t>EPE21C</t>
    <phoneticPr fontId="3" type="noConversion"/>
  </si>
  <si>
    <t>0438354090</t>
    <phoneticPr fontId="3" type="noConversion"/>
  </si>
  <si>
    <t>BZV75U</t>
    <phoneticPr fontId="3" type="noConversion"/>
  </si>
  <si>
    <t>0401629030</t>
    <phoneticPr fontId="3" type="noConversion"/>
  </si>
  <si>
    <t>W/O</t>
    <phoneticPr fontId="3" type="noConversion"/>
  </si>
  <si>
    <t>BACK SEAT /ST</t>
    <phoneticPr fontId="3" type="noConversion"/>
  </si>
  <si>
    <t>EQK74L</t>
    <phoneticPr fontId="3" type="noConversion"/>
  </si>
  <si>
    <t>0449883204</t>
    <phoneticPr fontId="3" type="noConversion"/>
  </si>
  <si>
    <t>M</t>
    <phoneticPr fontId="3" type="noConversion"/>
  </si>
  <si>
    <t>CY54ZA</t>
    <phoneticPr fontId="3" type="noConversion"/>
  </si>
  <si>
    <t>0402090924</t>
    <phoneticPr fontId="3" type="noConversion"/>
  </si>
  <si>
    <t>BOOKING</t>
    <phoneticPr fontId="3" type="noConversion"/>
  </si>
  <si>
    <t>DNK08Z</t>
    <phoneticPr fontId="3" type="noConversion"/>
  </si>
  <si>
    <t>0426828096</t>
    <phoneticPr fontId="3" type="noConversion"/>
  </si>
  <si>
    <t>21036(4/6)</t>
    <phoneticPr fontId="3" type="noConversion"/>
  </si>
  <si>
    <t>88SJ</t>
    <phoneticPr fontId="3" type="noConversion"/>
  </si>
  <si>
    <t>0408510088</t>
    <phoneticPr fontId="3" type="noConversion"/>
  </si>
  <si>
    <t>ELM13V</t>
    <phoneticPr fontId="3" type="noConversion"/>
  </si>
  <si>
    <t>0418620807</t>
    <phoneticPr fontId="3" type="noConversion"/>
  </si>
  <si>
    <t>202201047(D)</t>
    <phoneticPr fontId="3" type="noConversion"/>
  </si>
  <si>
    <t>DYU77A</t>
    <phoneticPr fontId="3" type="noConversion"/>
  </si>
  <si>
    <t>0488268777</t>
    <phoneticPr fontId="3" type="noConversion"/>
  </si>
  <si>
    <t>22003(NEW)</t>
    <phoneticPr fontId="3" type="noConversion"/>
  </si>
  <si>
    <t>ANT90S</t>
    <phoneticPr fontId="3" type="noConversion"/>
  </si>
  <si>
    <t>0407416907</t>
    <phoneticPr fontId="3" type="noConversion"/>
  </si>
  <si>
    <t>DBB68G</t>
    <phoneticPr fontId="3" type="noConversion"/>
  </si>
  <si>
    <t>0438406642</t>
    <phoneticPr fontId="3" type="noConversion"/>
  </si>
  <si>
    <t>BW68PO</t>
    <phoneticPr fontId="3" type="noConversion"/>
  </si>
  <si>
    <t>0425830228</t>
    <phoneticPr fontId="3" type="noConversion"/>
  </si>
  <si>
    <t>DGG97Z</t>
    <phoneticPr fontId="3" type="noConversion"/>
  </si>
  <si>
    <t>0402519751</t>
    <phoneticPr fontId="3" type="noConversion"/>
  </si>
  <si>
    <t>DGM111</t>
    <phoneticPr fontId="3" type="noConversion"/>
  </si>
  <si>
    <t>0418691153</t>
    <phoneticPr fontId="3" type="noConversion"/>
  </si>
  <si>
    <t>BWD40C</t>
    <phoneticPr fontId="3" type="noConversion"/>
  </si>
  <si>
    <t>0410580486</t>
    <phoneticPr fontId="3" type="noConversion"/>
  </si>
  <si>
    <t>D/ID</t>
    <phoneticPr fontId="3" type="noConversion"/>
  </si>
  <si>
    <t>EGR64D</t>
    <phoneticPr fontId="3" type="noConversion"/>
  </si>
  <si>
    <t>0408885895</t>
    <phoneticPr fontId="3" type="noConversion"/>
  </si>
  <si>
    <t>EHG87N</t>
    <phoneticPr fontId="3" type="noConversion"/>
  </si>
  <si>
    <t>0410448101</t>
    <phoneticPr fontId="3" type="noConversion"/>
  </si>
  <si>
    <t>CDD62Z</t>
    <phoneticPr fontId="3" type="noConversion"/>
  </si>
  <si>
    <t>0412688789</t>
    <phoneticPr fontId="3" type="noConversion"/>
  </si>
  <si>
    <t>TAX,KOREAN</t>
    <phoneticPr fontId="3" type="noConversion"/>
  </si>
  <si>
    <t>RAIN</t>
    <phoneticPr fontId="3" type="noConversion"/>
  </si>
  <si>
    <t>DYA55U</t>
    <phoneticPr fontId="3" type="noConversion"/>
  </si>
  <si>
    <t>0432212280</t>
    <phoneticPr fontId="3" type="noConversion"/>
  </si>
  <si>
    <t>NLP77A</t>
    <phoneticPr fontId="3" type="noConversion"/>
  </si>
  <si>
    <t>0458977226</t>
    <phoneticPr fontId="3" type="noConversion"/>
  </si>
  <si>
    <t>CNU72Q</t>
    <phoneticPr fontId="3" type="noConversion"/>
  </si>
  <si>
    <t>0408577729</t>
    <phoneticPr fontId="3" type="noConversion"/>
  </si>
  <si>
    <t>DQX92X</t>
    <phoneticPr fontId="3" type="noConversion"/>
  </si>
  <si>
    <t>0407065929</t>
    <phoneticPr fontId="3" type="noConversion"/>
  </si>
  <si>
    <t>BDH43W</t>
    <phoneticPr fontId="3" type="noConversion"/>
  </si>
  <si>
    <t>0416192892</t>
    <phoneticPr fontId="3" type="noConversion"/>
  </si>
  <si>
    <t>CWQ66M</t>
    <phoneticPr fontId="3" type="noConversion"/>
  </si>
  <si>
    <t>0414943453</t>
    <phoneticPr fontId="3" type="noConversion"/>
  </si>
  <si>
    <t>CW23ZE</t>
    <phoneticPr fontId="3" type="noConversion"/>
  </si>
  <si>
    <t>0438275390</t>
    <phoneticPr fontId="3" type="noConversion"/>
  </si>
  <si>
    <t>EEU56J</t>
    <phoneticPr fontId="3" type="noConversion"/>
  </si>
  <si>
    <t>0430527449</t>
    <phoneticPr fontId="3" type="noConversion"/>
  </si>
  <si>
    <t>PIENAR</t>
    <phoneticPr fontId="3" type="noConversion"/>
  </si>
  <si>
    <t>0437722310</t>
    <phoneticPr fontId="3" type="noConversion"/>
  </si>
  <si>
    <t>HMC168</t>
    <phoneticPr fontId="3" type="noConversion"/>
  </si>
  <si>
    <t>0416235397</t>
    <phoneticPr fontId="3" type="noConversion"/>
  </si>
  <si>
    <t>22004(1/6)</t>
    <phoneticPr fontId="3" type="noConversion"/>
  </si>
  <si>
    <t>CWB93E</t>
    <phoneticPr fontId="3" type="noConversion"/>
  </si>
  <si>
    <t>0479167486</t>
    <phoneticPr fontId="3" type="noConversion"/>
  </si>
  <si>
    <t>0400167996</t>
    <phoneticPr fontId="3" type="noConversion"/>
  </si>
  <si>
    <t>EMB31D</t>
    <phoneticPr fontId="3" type="noConversion"/>
  </si>
  <si>
    <t>0439642395</t>
    <phoneticPr fontId="3" type="noConversion"/>
  </si>
  <si>
    <t>ECG68Q</t>
    <phoneticPr fontId="3" type="noConversion"/>
  </si>
  <si>
    <t>0417230580</t>
    <phoneticPr fontId="3" type="noConversion"/>
  </si>
  <si>
    <t>EII82R</t>
    <phoneticPr fontId="3" type="noConversion"/>
  </si>
  <si>
    <t>0451374668</t>
    <phoneticPr fontId="3" type="noConversion"/>
  </si>
  <si>
    <t>H/ARMOR</t>
    <phoneticPr fontId="3" type="noConversion"/>
  </si>
  <si>
    <t>JAIKE</t>
    <phoneticPr fontId="3" type="noConversion"/>
  </si>
  <si>
    <t>CGB33Z</t>
    <phoneticPr fontId="3" type="noConversion"/>
  </si>
  <si>
    <t>0413002322</t>
    <phoneticPr fontId="3" type="noConversion"/>
  </si>
  <si>
    <t>DBG98Q</t>
    <phoneticPr fontId="3" type="noConversion"/>
  </si>
  <si>
    <t>0420566060</t>
    <phoneticPr fontId="3" type="noConversion"/>
  </si>
  <si>
    <t>ECE78G</t>
    <phoneticPr fontId="3" type="noConversion"/>
  </si>
  <si>
    <t>0402031217</t>
    <phoneticPr fontId="3" type="noConversion"/>
  </si>
  <si>
    <t>DHN23B</t>
    <phoneticPr fontId="3" type="noConversion"/>
  </si>
  <si>
    <t>0423471070</t>
    <phoneticPr fontId="3" type="noConversion"/>
  </si>
  <si>
    <t>DPH25M</t>
    <phoneticPr fontId="3" type="noConversion"/>
  </si>
  <si>
    <t>0413128074</t>
    <phoneticPr fontId="3" type="noConversion"/>
  </si>
  <si>
    <t>BJ69RS</t>
    <phoneticPr fontId="3" type="noConversion"/>
  </si>
  <si>
    <t>0432638117</t>
    <phoneticPr fontId="3" type="noConversion"/>
  </si>
  <si>
    <t>DHG63Z</t>
    <phoneticPr fontId="3" type="noConversion"/>
  </si>
  <si>
    <t>0413693536</t>
    <phoneticPr fontId="3" type="noConversion"/>
  </si>
  <si>
    <t>CKA59X</t>
    <phoneticPr fontId="3" type="noConversion"/>
  </si>
  <si>
    <t>0424138064</t>
    <phoneticPr fontId="3" type="noConversion"/>
  </si>
  <si>
    <t>CMK487</t>
    <phoneticPr fontId="3" type="noConversion"/>
  </si>
  <si>
    <t>0422997980</t>
    <phoneticPr fontId="3" type="noConversion"/>
  </si>
  <si>
    <t>TAX</t>
    <phoneticPr fontId="3" type="noConversion"/>
  </si>
  <si>
    <t>YDX79Q</t>
    <phoneticPr fontId="3" type="noConversion"/>
  </si>
  <si>
    <t>0418230539</t>
    <phoneticPr fontId="3" type="noConversion"/>
  </si>
  <si>
    <t>EMJ32U</t>
    <phoneticPr fontId="3" type="noConversion"/>
  </si>
  <si>
    <t>0466711171</t>
    <phoneticPr fontId="3" type="noConversion"/>
  </si>
  <si>
    <t>CWP52Y</t>
    <phoneticPr fontId="3" type="noConversion"/>
  </si>
  <si>
    <t>0403215490</t>
    <phoneticPr fontId="3" type="noConversion"/>
  </si>
  <si>
    <t>DGE07L</t>
    <phoneticPr fontId="3" type="noConversion"/>
  </si>
  <si>
    <t>0422286731</t>
    <phoneticPr fontId="3" type="noConversion"/>
  </si>
  <si>
    <t>cJKJ75E</t>
    <phoneticPr fontId="3" type="noConversion"/>
  </si>
  <si>
    <t>0413328510</t>
    <phoneticPr fontId="3" type="noConversion"/>
  </si>
  <si>
    <t>COD81L</t>
    <phoneticPr fontId="3" type="noConversion"/>
  </si>
  <si>
    <t>0410888824</t>
    <phoneticPr fontId="3" type="noConversion"/>
  </si>
  <si>
    <t>DXB70P</t>
    <phoneticPr fontId="3" type="noConversion"/>
  </si>
  <si>
    <t>0439931560</t>
    <phoneticPr fontId="3" type="noConversion"/>
  </si>
  <si>
    <t>DWR91R</t>
    <phoneticPr fontId="3" type="noConversion"/>
  </si>
  <si>
    <t>0403419794</t>
    <phoneticPr fontId="3" type="noConversion"/>
  </si>
  <si>
    <t>CYS78B</t>
    <phoneticPr fontId="3" type="noConversion"/>
  </si>
  <si>
    <t>0405128331</t>
    <phoneticPr fontId="3" type="noConversion"/>
  </si>
  <si>
    <t>EKY86R</t>
    <phoneticPr fontId="3" type="noConversion"/>
  </si>
  <si>
    <t>0408763516</t>
    <phoneticPr fontId="3" type="noConversion"/>
  </si>
  <si>
    <t>DPL50C</t>
    <phoneticPr fontId="3" type="noConversion"/>
  </si>
  <si>
    <t>0430380802</t>
    <phoneticPr fontId="3" type="noConversion"/>
  </si>
  <si>
    <t>CAH21V</t>
    <phoneticPr fontId="3" type="noConversion"/>
  </si>
  <si>
    <t>0437737553</t>
    <phoneticPr fontId="3" type="noConversion"/>
  </si>
  <si>
    <t>AWS04Q</t>
    <phoneticPr fontId="3" type="noConversion"/>
  </si>
  <si>
    <t>0413318376</t>
    <phoneticPr fontId="3" type="noConversion"/>
  </si>
  <si>
    <t>DJL54R</t>
    <phoneticPr fontId="3" type="noConversion"/>
  </si>
  <si>
    <t>0408752956</t>
    <phoneticPr fontId="3" type="noConversion"/>
  </si>
  <si>
    <t>ECK37C</t>
    <phoneticPr fontId="3" type="noConversion"/>
  </si>
  <si>
    <t>0410471717</t>
    <phoneticPr fontId="3" type="noConversion"/>
  </si>
  <si>
    <t>192649(4/6)</t>
    <phoneticPr fontId="3" type="noConversion"/>
  </si>
  <si>
    <t>21027 (5/6)</t>
    <phoneticPr fontId="3" type="noConversion"/>
  </si>
  <si>
    <t>21059 (1/6)</t>
    <phoneticPr fontId="3" type="noConversion"/>
  </si>
  <si>
    <t>202788 (6/6)</t>
    <phoneticPr fontId="3" type="noConversion"/>
  </si>
  <si>
    <t xml:space="preserve"> 22005 (1/6)</t>
    <phoneticPr fontId="3" type="noConversion"/>
  </si>
  <si>
    <t>202201042, 202201043(x)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</si>
</sst>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62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4" xfId="0" applyBorder="1"/>
    <xf numFmtId="49" fontId="24" fillId="0" borderId="6" xfId="0" applyNumberFormat="1" applyFont="1" applyBorder="1" applyAlignment="1">
      <alignment horizontal="left"/>
    </xf>
    <xf numFmtId="49" fontId="16" fillId="13" borderId="8" xfId="0" applyNumberFormat="1" applyFont="1" applyFill="1" applyBorder="1" applyAlignment="1">
      <alignment horizontal="center" shrinkToFit="1"/>
    </xf>
    <xf numFmtId="0" fontId="16" fillId="13" borderId="34" xfId="0" applyFont="1" applyFill="1" applyBorder="1" applyAlignment="1">
      <alignment horizontal="center" shrinkToFit="1"/>
    </xf>
    <xf numFmtId="0" fontId="16" fillId="13" borderId="63" xfId="0" applyFont="1" applyFill="1" applyBorder="1" applyAlignment="1">
      <alignment horizontal="center" shrinkToFit="1"/>
    </xf>
    <xf numFmtId="49" fontId="28" fillId="0" borderId="6" xfId="0" applyNumberFormat="1" applyFont="1" applyBorder="1"/>
    <xf numFmtId="0" fontId="16" fillId="13" borderId="48" xfId="0" applyFont="1" applyFill="1" applyBorder="1" applyAlignment="1">
      <alignment horizontal="center" shrinkToFit="1"/>
    </xf>
    <xf numFmtId="49" fontId="0" fillId="0" borderId="6" xfId="0" applyNumberFormat="1" applyBorder="1"/>
    <xf numFmtId="178" fontId="1" fillId="6" borderId="3" xfId="0" applyNumberFormat="1" applyFont="1" applyFill="1" applyBorder="1" applyAlignment="1">
      <alignment horizontal="center" shrinkToFit="1"/>
    </xf>
    <xf numFmtId="0" fontId="0" fillId="0" borderId="0" xfId="0" applyAlignment="1">
      <alignment vertical="center"/>
    </xf>
    <xf numFmtId="49" fontId="16" fillId="13" borderId="8" xfId="0" applyNumberFormat="1" applyFont="1" applyFill="1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16" fillId="13" borderId="8" xfId="0" applyFont="1" applyFill="1" applyBorder="1" applyAlignment="1">
      <alignment horizontal="center" vertical="center" shrinkToFit="1"/>
    </xf>
    <xf numFmtId="176" fontId="4" fillId="6" borderId="3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23" fillId="14" borderId="4" xfId="4" applyBorder="1" applyAlignment="1">
      <alignment horizontal="center" shrinkToFit="1"/>
    </xf>
    <xf numFmtId="0" fontId="23" fillId="14" borderId="1" xfId="4" applyBorder="1" applyAlignment="1">
      <alignment horizontal="left"/>
    </xf>
    <xf numFmtId="49" fontId="23" fillId="14" borderId="2" xfId="4" applyNumberFormat="1" applyBorder="1" applyAlignment="1">
      <alignment horizontal="left"/>
    </xf>
    <xf numFmtId="0" fontId="23" fillId="14" borderId="1" xfId="4" applyBorder="1" applyAlignment="1">
      <alignment horizontal="center" vertical="center" shrinkToFit="1"/>
    </xf>
    <xf numFmtId="179" fontId="23" fillId="14" borderId="26" xfId="4" applyNumberFormat="1" applyBorder="1" applyAlignment="1">
      <alignment horizontal="left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 shrinkToFit="1"/>
    </xf>
    <xf numFmtId="178" fontId="23" fillId="14" borderId="1" xfId="4" applyNumberFormat="1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3" fontId="0" fillId="0" borderId="2" xfId="0" applyNumberFormat="1" applyBorder="1" applyAlignment="1">
      <alignment horizontal="center" shrinkToFit="1"/>
    </xf>
    <xf numFmtId="12" fontId="0" fillId="0" borderId="2" xfId="0" applyNumberFormat="1" applyBorder="1" applyAlignment="1">
      <alignment horizont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2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180" fontId="20" fillId="0" borderId="44" xfId="0" applyNumberFormat="1" applyFont="1" applyBorder="1" applyAlignment="1">
      <alignment horizontal="center" vertical="center" shrinkToFit="1"/>
    </xf>
    <xf numFmtId="180" fontId="20" fillId="0" borderId="46" xfId="0" applyNumberFormat="1" applyFont="1" applyBorder="1" applyAlignment="1">
      <alignment horizontal="center" vertical="center" shrinkToFit="1"/>
    </xf>
    <xf numFmtId="180" fontId="20" fillId="0" borderId="60" xfId="0" applyNumberFormat="1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80" fontId="4" fillId="6" borderId="2" xfId="0" applyNumberFormat="1" applyFont="1" applyFill="1" applyBorder="1" applyAlignment="1">
      <alignment horizontal="center" vertical="center" shrinkToFit="1"/>
    </xf>
    <xf numFmtId="180" fontId="4" fillId="6" borderId="29" xfId="0" applyNumberFormat="1" applyFont="1" applyFill="1" applyBorder="1" applyAlignment="1">
      <alignment horizontal="center" vertical="center" shrinkToFit="1"/>
    </xf>
    <xf numFmtId="180" fontId="4" fillId="6" borderId="26" xfId="0" applyNumberFormat="1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2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2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2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178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2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90" zoomScaleNormal="90" zoomScaleSheetLayoutView="100" workbookViewId="0">
      <selection activeCell="J5" sqref="J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0" customWidth="1"/>
    <col min="5" max="5" width="5.75" style="265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3" t="s">
        <v>77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5"/>
    </row>
    <row r="2" spans="1:44" ht="17.25" thickBot="1" x14ac:dyDescent="0.35">
      <c r="A2" s="293" t="s">
        <v>102</v>
      </c>
      <c r="B2" s="294"/>
      <c r="C2" s="294"/>
      <c r="D2" s="294"/>
      <c r="E2" s="294"/>
      <c r="F2" s="294"/>
      <c r="G2" s="295"/>
      <c r="H2" s="296" t="s">
        <v>49</v>
      </c>
      <c r="I2" s="297"/>
      <c r="J2" s="293" t="s">
        <v>133</v>
      </c>
      <c r="K2" s="295"/>
      <c r="L2" s="297" t="s">
        <v>93</v>
      </c>
      <c r="M2" s="298"/>
      <c r="N2" s="296"/>
      <c r="O2" s="294" t="s">
        <v>134</v>
      </c>
      <c r="P2" s="294"/>
      <c r="Q2" s="295"/>
      <c r="R2" s="297" t="s">
        <v>51</v>
      </c>
      <c r="S2" s="296"/>
      <c r="T2" s="299">
        <v>4</v>
      </c>
      <c r="U2" s="29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49" t="s">
        <v>21</v>
      </c>
      <c r="C4" s="249" t="s">
        <v>7</v>
      </c>
      <c r="D4" s="256" t="s">
        <v>88</v>
      </c>
      <c r="E4" s="266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3" t="s">
        <v>8</v>
      </c>
      <c r="P4" s="303"/>
      <c r="Q4" s="303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3108</v>
      </c>
      <c r="C5" s="254" t="s">
        <v>109</v>
      </c>
      <c r="D5" s="255" t="s">
        <v>110</v>
      </c>
      <c r="E5" s="268" t="s">
        <v>97</v>
      </c>
      <c r="F5" s="169">
        <v>800</v>
      </c>
      <c r="G5" s="118" t="s">
        <v>111</v>
      </c>
      <c r="H5" s="91">
        <v>150</v>
      </c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138</v>
      </c>
      <c r="O5" s="304"/>
      <c r="P5" s="305"/>
      <c r="Q5" s="306"/>
      <c r="R5" s="33" t="s">
        <v>134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3109</v>
      </c>
      <c r="C6" s="67" t="s">
        <v>112</v>
      </c>
      <c r="D6" s="195" t="s">
        <v>113</v>
      </c>
      <c r="E6" s="269" t="s">
        <v>114</v>
      </c>
      <c r="F6" s="170">
        <v>930</v>
      </c>
      <c r="G6" s="118" t="s">
        <v>115</v>
      </c>
      <c r="H6" s="91"/>
      <c r="I6" s="124">
        <v>80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134</v>
      </c>
      <c r="O6" s="307"/>
      <c r="P6" s="308"/>
      <c r="Q6" s="309"/>
      <c r="R6" s="132" t="s">
        <v>135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3110</v>
      </c>
      <c r="C7" s="67" t="s">
        <v>116</v>
      </c>
      <c r="D7" s="195" t="s">
        <v>117</v>
      </c>
      <c r="E7" s="269" t="s">
        <v>95</v>
      </c>
      <c r="F7" s="170">
        <v>940</v>
      </c>
      <c r="G7" s="118" t="s">
        <v>118</v>
      </c>
      <c r="H7" s="91"/>
      <c r="I7" s="124">
        <v>60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134</v>
      </c>
      <c r="O7" s="310"/>
      <c r="P7" s="311"/>
      <c r="Q7" s="312"/>
      <c r="R7" s="134" t="s">
        <v>136</v>
      </c>
      <c r="S7" s="31">
        <v>0.41666666666666669</v>
      </c>
      <c r="T7" s="32">
        <v>0.70833333333333337</v>
      </c>
      <c r="U7" s="92">
        <f t="shared" si="0"/>
        <v>7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3111</v>
      </c>
      <c r="C8" s="27" t="s">
        <v>127</v>
      </c>
      <c r="D8" s="195" t="s">
        <v>128</v>
      </c>
      <c r="E8" s="269" t="s">
        <v>121</v>
      </c>
      <c r="F8" s="170">
        <v>1005</v>
      </c>
      <c r="G8" s="118" t="s">
        <v>118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134</v>
      </c>
      <c r="O8" s="313"/>
      <c r="P8" s="314"/>
      <c r="Q8" s="315"/>
      <c r="R8" s="26" t="s">
        <v>137</v>
      </c>
      <c r="S8" s="31">
        <v>0.41666666666666669</v>
      </c>
      <c r="T8" s="32">
        <v>0.65625</v>
      </c>
      <c r="U8" s="92">
        <f t="shared" si="0"/>
        <v>5.75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3112</v>
      </c>
      <c r="C9" s="63" t="s">
        <v>119</v>
      </c>
      <c r="D9" s="196" t="s">
        <v>120</v>
      </c>
      <c r="E9" s="269" t="s">
        <v>121</v>
      </c>
      <c r="F9" s="171">
        <v>1010</v>
      </c>
      <c r="G9" s="119" t="s">
        <v>122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3"/>
      <c r="P9" s="314"/>
      <c r="Q9" s="315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3113</v>
      </c>
      <c r="C10" s="28" t="s">
        <v>123</v>
      </c>
      <c r="D10" s="197" t="s">
        <v>124</v>
      </c>
      <c r="E10" s="269" t="s">
        <v>114</v>
      </c>
      <c r="F10" s="172">
        <v>1030</v>
      </c>
      <c r="G10" s="120" t="s">
        <v>122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0"/>
      <c r="P10" s="301"/>
      <c r="Q10" s="30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3114</v>
      </c>
      <c r="C11" s="18" t="s">
        <v>125</v>
      </c>
      <c r="D11" s="198" t="s">
        <v>126</v>
      </c>
      <c r="E11" s="269" t="s">
        <v>121</v>
      </c>
      <c r="F11" s="66">
        <v>1110</v>
      </c>
      <c r="G11" s="121" t="s">
        <v>122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134</v>
      </c>
      <c r="O11" s="310"/>
      <c r="P11" s="311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3115</v>
      </c>
      <c r="C12" s="64" t="s">
        <v>129</v>
      </c>
      <c r="D12" s="199" t="s">
        <v>130</v>
      </c>
      <c r="E12" s="269" t="s">
        <v>114</v>
      </c>
      <c r="F12" s="172">
        <v>1205</v>
      </c>
      <c r="G12" s="119" t="s">
        <v>122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134</v>
      </c>
      <c r="O12" s="310"/>
      <c r="P12" s="311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3116</v>
      </c>
      <c r="C13" s="64" t="s">
        <v>131</v>
      </c>
      <c r="D13" s="199" t="s">
        <v>132</v>
      </c>
      <c r="E13" s="269" t="s">
        <v>114</v>
      </c>
      <c r="F13" s="172">
        <v>1305</v>
      </c>
      <c r="G13" s="119" t="s">
        <v>118</v>
      </c>
      <c r="H13" s="168"/>
      <c r="I13" s="167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134</v>
      </c>
      <c r="O13" s="310"/>
      <c r="P13" s="311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0"/>
      <c r="E14" s="269"/>
      <c r="F14" s="173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0"/>
      <c r="P14" s="311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0"/>
      <c r="E15" s="269"/>
      <c r="F15" s="173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0"/>
      <c r="P15" s="311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0"/>
      <c r="E16" s="269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0"/>
      <c r="P16" s="311"/>
      <c r="Q16" s="312"/>
      <c r="R16" s="82">
        <f>H32/U16</f>
        <v>0.29268292682926828</v>
      </c>
      <c r="S16" s="83">
        <f>H32/(U16-U5)</f>
        <v>0.41379310344827586</v>
      </c>
      <c r="T16" s="83">
        <f>C32/U16</f>
        <v>23.414634146341459</v>
      </c>
      <c r="U16" s="83">
        <f>SUM(U5:U15)</f>
        <v>30.750000000000004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198"/>
      <c r="E17" s="269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0"/>
      <c r="P17" s="311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198"/>
      <c r="E18" s="269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0"/>
      <c r="P18" s="311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198"/>
      <c r="E19" s="269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0"/>
      <c r="P19" s="311"/>
      <c r="Q19" s="31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198"/>
      <c r="E20" s="269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8"/>
      <c r="P20" s="319"/>
      <c r="Q20" s="31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198"/>
      <c r="E21" s="269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0"/>
      <c r="P21" s="311"/>
      <c r="Q21" s="31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1"/>
      <c r="E22" s="269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0"/>
      <c r="P22" s="311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2"/>
      <c r="E23" s="269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6"/>
      <c r="Y23" s="317"/>
      <c r="Z23" s="31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1"/>
      <c r="E24" s="269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11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3"/>
      <c r="E25" s="269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11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0">
        <f>((C32+(R26+S26+T26)*0.5))</f>
        <v>720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4"/>
      <c r="E26" s="269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11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2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4"/>
      <c r="E27" s="269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11"/>
      <c r="Q27" s="312"/>
      <c r="R27" s="329" t="s">
        <v>56</v>
      </c>
      <c r="S27" s="330"/>
      <c r="T27" s="330"/>
      <c r="U27" s="33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35">
      <c r="A28" s="135">
        <v>24</v>
      </c>
      <c r="B28" s="133"/>
      <c r="C28" s="27"/>
      <c r="D28" s="204"/>
      <c r="E28" s="27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11"/>
      <c r="Q28" s="312"/>
      <c r="R28" s="322"/>
      <c r="S28" s="323"/>
      <c r="T28" s="32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05"/>
      <c r="E29" s="271"/>
      <c r="F29" s="176"/>
      <c r="G29" s="20"/>
      <c r="H29" s="89"/>
      <c r="I29" s="89"/>
      <c r="J29" s="262" t="str">
        <f t="shared" si="1"/>
        <v>0</v>
      </c>
      <c r="K29" s="262" t="str">
        <f t="shared" si="2"/>
        <v>0</v>
      </c>
      <c r="L29" s="69"/>
      <c r="M29" s="69"/>
      <c r="N29" s="134"/>
      <c r="O29" s="338"/>
      <c r="P29" s="339"/>
      <c r="Q29" s="340"/>
      <c r="R29" s="341"/>
      <c r="S29" s="342"/>
      <c r="T29" s="34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4" t="s">
        <v>48</v>
      </c>
      <c r="B30" s="345"/>
      <c r="C30" s="345"/>
      <c r="D30" s="345"/>
      <c r="E30" s="346"/>
      <c r="F30" s="345"/>
      <c r="G30" s="345"/>
      <c r="H30" s="245">
        <f t="shared" ref="H30:M30" si="3">SUM(H5:H29)</f>
        <v>150</v>
      </c>
      <c r="I30" s="105">
        <f>SUM(I5:I29)</f>
        <v>570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7"/>
      <c r="S30" s="347"/>
      <c r="T30" s="34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9" t="s">
        <v>16</v>
      </c>
      <c r="B31" s="350"/>
      <c r="C31" s="350"/>
      <c r="D31" s="350"/>
      <c r="E31" s="350"/>
      <c r="F31" s="350"/>
      <c r="G31" s="350"/>
      <c r="H31" s="246">
        <f t="shared" ref="H31:J31" si="4">H30+H62+H94</f>
        <v>150</v>
      </c>
      <c r="I31" s="103">
        <f t="shared" si="4"/>
        <v>570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51">
        <f>COUNT(H5:H29,H37:H61,H69:H93)</f>
        <v>1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150</v>
      </c>
      <c r="T31" s="334">
        <f>H31+I31+L31+M31</f>
        <v>720</v>
      </c>
      <c r="U31" s="33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5" t="s">
        <v>55</v>
      </c>
      <c r="B32" s="326"/>
      <c r="C32" s="107">
        <f>H31+I31+J31+K31</f>
        <v>720</v>
      </c>
      <c r="D32" s="192"/>
      <c r="E32" s="267"/>
      <c r="F32" s="327" t="s">
        <v>53</v>
      </c>
      <c r="G32" s="327"/>
      <c r="H32" s="109">
        <f>COUNT(B5:B29,B37:B61,B69:B93)</f>
        <v>9</v>
      </c>
      <c r="I32" s="328" t="s">
        <v>54</v>
      </c>
      <c r="J32" s="328"/>
      <c r="K32" s="108">
        <f>C32/H32</f>
        <v>80</v>
      </c>
      <c r="L32" s="252"/>
      <c r="M32" s="252"/>
      <c r="N32" s="252">
        <f>H31/C32</f>
        <v>0.20833333333333334</v>
      </c>
      <c r="O32" s="252">
        <f>I31/C32</f>
        <v>0.79166666666666663</v>
      </c>
      <c r="P32" s="252">
        <f>K31/C32</f>
        <v>0</v>
      </c>
      <c r="Q32" s="110">
        <f>J31/C32</f>
        <v>0</v>
      </c>
      <c r="R32" s="99" t="s">
        <v>82</v>
      </c>
      <c r="S32" s="247">
        <f>I31+M31</f>
        <v>570</v>
      </c>
      <c r="T32" s="336"/>
      <c r="U32" s="337"/>
      <c r="V32" s="55"/>
      <c r="W32" s="55"/>
      <c r="X32" s="56" t="s">
        <v>27</v>
      </c>
      <c r="Y32" s="56"/>
      <c r="Z32" s="54">
        <f>I31</f>
        <v>570</v>
      </c>
      <c r="AE32" s="37"/>
      <c r="AF32" s="37"/>
      <c r="AG32" s="37"/>
      <c r="AH32" s="37"/>
    </row>
    <row r="33" spans="1:34" ht="17.25" thickBot="1" x14ac:dyDescent="0.35">
      <c r="A33" s="332" t="s">
        <v>24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294"/>
      <c r="U33" s="295"/>
      <c r="X33" s="57" t="s">
        <v>29</v>
      </c>
      <c r="Y33" s="57"/>
      <c r="Z33" s="58">
        <f>SUM(Z31:Z32)</f>
        <v>-2175</v>
      </c>
      <c r="AE33" s="37"/>
      <c r="AF33" s="37"/>
      <c r="AG33" s="59"/>
      <c r="AH33" s="37"/>
    </row>
    <row r="34" spans="1:34" ht="17.25" thickBot="1" x14ac:dyDescent="0.35">
      <c r="A34" s="293" t="str">
        <f>A2</f>
        <v>7-02-2022</v>
      </c>
      <c r="B34" s="294"/>
      <c r="C34" s="294"/>
      <c r="D34" s="294"/>
      <c r="E34" s="294"/>
      <c r="F34" s="294"/>
      <c r="G34" s="295"/>
      <c r="H34" s="296" t="s">
        <v>49</v>
      </c>
      <c r="I34" s="297"/>
      <c r="J34" s="293" t="str">
        <f>J2</f>
        <v>MIX</v>
      </c>
      <c r="K34" s="295"/>
      <c r="L34" s="297" t="s">
        <v>50</v>
      </c>
      <c r="M34" s="298"/>
      <c r="N34" s="296"/>
      <c r="O34" s="294" t="str">
        <f>O2</f>
        <v>JOHN</v>
      </c>
      <c r="P34" s="294"/>
      <c r="Q34" s="295"/>
      <c r="R34" s="297" t="s">
        <v>51</v>
      </c>
      <c r="S34" s="296"/>
      <c r="T34" s="299">
        <f>T2</f>
        <v>4</v>
      </c>
      <c r="U34" s="29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257" t="s">
        <v>0</v>
      </c>
      <c r="B36" s="154" t="s">
        <v>21</v>
      </c>
      <c r="C36" s="249" t="s">
        <v>7</v>
      </c>
      <c r="D36" s="256" t="s">
        <v>88</v>
      </c>
      <c r="E36" s="266" t="s">
        <v>94</v>
      </c>
      <c r="F36" s="249" t="s">
        <v>25</v>
      </c>
      <c r="G36" s="260" t="s">
        <v>1</v>
      </c>
      <c r="H36" s="258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3" t="s">
        <v>8</v>
      </c>
      <c r="P36" s="303"/>
      <c r="Q36" s="303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254"/>
      <c r="D37" s="259"/>
      <c r="E37" s="268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11"/>
      <c r="Q37" s="312"/>
      <c r="R37" s="60"/>
      <c r="S37" s="61"/>
      <c r="T37" s="61"/>
      <c r="U37" s="70"/>
    </row>
    <row r="38" spans="1:34" x14ac:dyDescent="0.3">
      <c r="A38" s="128">
        <f>A37+1</f>
        <v>27</v>
      </c>
      <c r="B38" s="248"/>
      <c r="C38" s="67"/>
      <c r="D38" s="191"/>
      <c r="E38" s="269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7"/>
      <c r="P38" s="308"/>
      <c r="Q38" s="30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0"/>
      <c r="E39" s="269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11"/>
      <c r="Q39" s="312"/>
      <c r="R39" s="79"/>
      <c r="S39" s="13"/>
      <c r="T39" s="12"/>
      <c r="U39" s="72"/>
    </row>
    <row r="40" spans="1:34" x14ac:dyDescent="0.3">
      <c r="A40" s="128">
        <f t="shared" si="7"/>
        <v>29</v>
      </c>
      <c r="B40" s="248"/>
      <c r="C40" s="63"/>
      <c r="D40" s="181"/>
      <c r="E40" s="269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3"/>
      <c r="P40" s="314"/>
      <c r="Q40" s="31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1"/>
      <c r="E41" s="269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3"/>
      <c r="P41" s="314"/>
      <c r="Q41" s="315"/>
      <c r="R41" s="80"/>
      <c r="S41" s="73"/>
      <c r="T41" s="73"/>
      <c r="U41" s="74"/>
    </row>
    <row r="42" spans="1:34" x14ac:dyDescent="0.3">
      <c r="A42" s="128">
        <f t="shared" si="7"/>
        <v>31</v>
      </c>
      <c r="B42" s="248"/>
      <c r="C42" s="28"/>
      <c r="D42" s="182"/>
      <c r="E42" s="269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0"/>
      <c r="P42" s="301"/>
      <c r="Q42" s="30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88"/>
      <c r="E43" s="269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11"/>
      <c r="Q43" s="312"/>
      <c r="R43" s="78"/>
      <c r="S43" s="71"/>
      <c r="T43" s="71"/>
      <c r="U43" s="72"/>
    </row>
    <row r="44" spans="1:34" x14ac:dyDescent="0.3">
      <c r="A44" s="128">
        <f t="shared" si="7"/>
        <v>33</v>
      </c>
      <c r="B44" s="248"/>
      <c r="C44" s="64"/>
      <c r="D44" s="183"/>
      <c r="E44" s="269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11"/>
      <c r="Q44" s="31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3"/>
      <c r="E45" s="269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11"/>
      <c r="Q45" s="312"/>
      <c r="R45" s="5"/>
      <c r="S45" s="71"/>
      <c r="T45" s="71"/>
      <c r="U45" s="72"/>
    </row>
    <row r="46" spans="1:34" x14ac:dyDescent="0.3">
      <c r="A46" s="128">
        <f t="shared" si="7"/>
        <v>35</v>
      </c>
      <c r="B46" s="248"/>
      <c r="C46" s="65"/>
      <c r="D46" s="184"/>
      <c r="E46" s="269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11"/>
      <c r="Q46" s="31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88"/>
      <c r="E47" s="269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11"/>
      <c r="Q47" s="312"/>
      <c r="R47" s="5"/>
      <c r="S47" s="71"/>
      <c r="T47" s="71"/>
      <c r="U47" s="72"/>
    </row>
    <row r="48" spans="1:34" x14ac:dyDescent="0.3">
      <c r="A48" s="128">
        <f t="shared" si="7"/>
        <v>37</v>
      </c>
      <c r="B48" s="248"/>
      <c r="C48" s="65"/>
      <c r="D48" s="184"/>
      <c r="E48" s="269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11"/>
      <c r="Q48" s="312"/>
      <c r="R48" s="5"/>
      <c r="S48" s="71"/>
      <c r="T48" s="71"/>
      <c r="U48" s="72"/>
    </row>
    <row r="49" spans="1:21" x14ac:dyDescent="0.3">
      <c r="A49" s="128">
        <f t="shared" si="7"/>
        <v>38</v>
      </c>
      <c r="B49" s="248"/>
      <c r="C49" s="18"/>
      <c r="D49" s="188"/>
      <c r="E49" s="269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11"/>
      <c r="Q49" s="312"/>
      <c r="R49" s="5"/>
      <c r="S49" s="71"/>
      <c r="T49" s="75"/>
      <c r="U49" s="72"/>
    </row>
    <row r="50" spans="1:21" x14ac:dyDescent="0.3">
      <c r="A50" s="128">
        <f t="shared" si="7"/>
        <v>39</v>
      </c>
      <c r="B50" s="248"/>
      <c r="C50" s="18"/>
      <c r="D50" s="188"/>
      <c r="E50" s="269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11"/>
      <c r="Q50" s="312"/>
      <c r="R50" s="5"/>
      <c r="S50" s="71"/>
      <c r="T50" s="75"/>
      <c r="U50" s="72"/>
    </row>
    <row r="51" spans="1:21" x14ac:dyDescent="0.3">
      <c r="A51" s="128">
        <f t="shared" si="7"/>
        <v>40</v>
      </c>
      <c r="B51" s="248"/>
      <c r="C51" s="18"/>
      <c r="D51" s="188"/>
      <c r="E51" s="269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11"/>
      <c r="Q51" s="311"/>
      <c r="R51" s="5"/>
      <c r="S51" s="71"/>
      <c r="T51" s="75"/>
      <c r="U51" s="72"/>
    </row>
    <row r="52" spans="1:21" x14ac:dyDescent="0.3">
      <c r="A52" s="128">
        <f t="shared" si="7"/>
        <v>41</v>
      </c>
      <c r="B52" s="248"/>
      <c r="C52" s="66"/>
      <c r="D52" s="189"/>
      <c r="E52" s="269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11"/>
      <c r="Q52" s="311"/>
      <c r="R52" s="81"/>
      <c r="S52" s="68"/>
      <c r="T52" s="76"/>
      <c r="U52" s="77"/>
    </row>
    <row r="53" spans="1:21" x14ac:dyDescent="0.3">
      <c r="A53" s="128">
        <f t="shared" si="7"/>
        <v>42</v>
      </c>
      <c r="B53" s="248"/>
      <c r="C53" s="127"/>
      <c r="D53" s="185"/>
      <c r="E53" s="269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48"/>
      <c r="C54" s="127"/>
      <c r="D54" s="185"/>
      <c r="E54" s="269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48"/>
      <c r="C55" s="127"/>
      <c r="D55" s="185"/>
      <c r="E55" s="269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48"/>
      <c r="C56" s="132"/>
      <c r="D56" s="186"/>
      <c r="E56" s="269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1"/>
      <c r="P56" s="311"/>
      <c r="Q56" s="311"/>
      <c r="R56" s="81"/>
      <c r="S56" s="68"/>
      <c r="T56" s="76"/>
      <c r="U56" s="77"/>
    </row>
    <row r="57" spans="1:21" x14ac:dyDescent="0.3">
      <c r="A57" s="128">
        <f t="shared" si="7"/>
        <v>46</v>
      </c>
      <c r="B57" s="248"/>
      <c r="C57" s="27"/>
      <c r="D57" s="180"/>
      <c r="E57" s="269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11"/>
      <c r="Q57" s="311"/>
      <c r="R57" s="81"/>
      <c r="S57" s="68"/>
      <c r="T57" s="68"/>
      <c r="U57" s="77"/>
    </row>
    <row r="58" spans="1:21" x14ac:dyDescent="0.3">
      <c r="A58" s="128">
        <f t="shared" si="7"/>
        <v>47</v>
      </c>
      <c r="B58" s="248"/>
      <c r="C58" s="27"/>
      <c r="D58" s="180"/>
      <c r="E58" s="269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1"/>
      <c r="P58" s="311"/>
      <c r="Q58" s="311"/>
      <c r="R58" s="81"/>
      <c r="S58" s="68"/>
      <c r="T58" s="68"/>
      <c r="U58" s="77"/>
    </row>
    <row r="59" spans="1:21" x14ac:dyDescent="0.3">
      <c r="A59" s="128">
        <f t="shared" si="7"/>
        <v>48</v>
      </c>
      <c r="B59" s="248"/>
      <c r="C59" s="27"/>
      <c r="D59" s="180"/>
      <c r="E59" s="269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1"/>
      <c r="P59" s="311"/>
      <c r="Q59" s="311"/>
      <c r="R59" s="81"/>
      <c r="S59" s="68"/>
      <c r="T59" s="68"/>
      <c r="U59" s="77"/>
    </row>
    <row r="60" spans="1:21" x14ac:dyDescent="0.3">
      <c r="A60" s="128">
        <f t="shared" si="7"/>
        <v>49</v>
      </c>
      <c r="B60" s="248"/>
      <c r="C60" s="34"/>
      <c r="D60" s="187"/>
      <c r="E60" s="269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11"/>
      <c r="Q60" s="31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48"/>
      <c r="C61" s="30"/>
      <c r="D61" s="193"/>
      <c r="E61" s="269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2"/>
      <c r="P61" s="353"/>
      <c r="Q61" s="354"/>
      <c r="R61" s="81"/>
      <c r="S61" s="68"/>
      <c r="T61" s="68"/>
      <c r="U61" s="77"/>
    </row>
    <row r="62" spans="1:21" x14ac:dyDescent="0.3">
      <c r="A62" s="355" t="s">
        <v>48</v>
      </c>
      <c r="B62" s="356"/>
      <c r="C62" s="356"/>
      <c r="D62" s="356"/>
      <c r="E62" s="356"/>
      <c r="F62" s="356"/>
      <c r="G62" s="356"/>
      <c r="H62" s="356">
        <f t="shared" ref="H62:M62" si="8">SUM(H37:H61)</f>
        <v>0</v>
      </c>
      <c r="I62" s="361">
        <f t="shared" si="8"/>
        <v>0</v>
      </c>
      <c r="J62" s="361">
        <f>J61+J60+J59+J58+J57+J56+J55+J54+J53+J52+J51+J50+J49+J48+J47+J46+J45+J44+J43+J42+J41+J40+J39+J38+J37</f>
        <v>0</v>
      </c>
      <c r="K62" s="361">
        <f>K61+K60+K59+K58+K57+K56+K55+K54+K53+K52+K51+K50+K49+K48+K47+K46+K45+K44+K43+K42+K41+K40+K39+K38+K37</f>
        <v>0</v>
      </c>
      <c r="L62" s="364">
        <f t="shared" si="8"/>
        <v>0</v>
      </c>
      <c r="M62" s="367">
        <f t="shared" si="8"/>
        <v>0</v>
      </c>
      <c r="N62" s="370"/>
      <c r="O62" s="371"/>
      <c r="P62" s="371"/>
      <c r="Q62" s="372"/>
      <c r="R62" s="5"/>
      <c r="S62" s="6"/>
      <c r="T62" s="7"/>
      <c r="U62" s="8"/>
    </row>
    <row r="63" spans="1:21" ht="17.25" thickBot="1" x14ac:dyDescent="0.35">
      <c r="A63" s="357"/>
      <c r="B63" s="358"/>
      <c r="C63" s="358"/>
      <c r="D63" s="358"/>
      <c r="E63" s="358"/>
      <c r="F63" s="358"/>
      <c r="G63" s="358"/>
      <c r="H63" s="358"/>
      <c r="I63" s="362"/>
      <c r="J63" s="362"/>
      <c r="K63" s="362"/>
      <c r="L63" s="365"/>
      <c r="M63" s="368"/>
      <c r="N63" s="373"/>
      <c r="O63" s="374"/>
      <c r="P63" s="374"/>
      <c r="Q63" s="375"/>
      <c r="R63" s="1"/>
      <c r="S63" s="2"/>
      <c r="T63" s="3"/>
      <c r="U63" s="4"/>
    </row>
    <row r="64" spans="1:21" ht="17.25" thickBot="1" x14ac:dyDescent="0.35">
      <c r="A64" s="359"/>
      <c r="B64" s="360"/>
      <c r="C64" s="360"/>
      <c r="D64" s="360"/>
      <c r="E64" s="360"/>
      <c r="F64" s="360"/>
      <c r="G64" s="360"/>
      <c r="H64" s="360"/>
      <c r="I64" s="363"/>
      <c r="J64" s="363"/>
      <c r="K64" s="363"/>
      <c r="L64" s="366"/>
      <c r="M64" s="369"/>
      <c r="N64" s="332"/>
      <c r="O64" s="333"/>
      <c r="P64" s="333"/>
      <c r="Q64" s="376"/>
      <c r="R64" s="377" t="s">
        <v>17</v>
      </c>
      <c r="S64" s="378"/>
      <c r="T64" s="378"/>
      <c r="U64" s="379"/>
    </row>
    <row r="65" spans="1:21" ht="17.25" thickBot="1" x14ac:dyDescent="0.35">
      <c r="A65" s="293" t="s">
        <v>24</v>
      </c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5"/>
    </row>
    <row r="66" spans="1:21" ht="17.25" thickBot="1" x14ac:dyDescent="0.35">
      <c r="A66" s="293" t="str">
        <f>A34</f>
        <v>7-02-2022</v>
      </c>
      <c r="B66" s="294"/>
      <c r="C66" s="294"/>
      <c r="D66" s="294"/>
      <c r="E66" s="294"/>
      <c r="F66" s="294"/>
      <c r="G66" s="295"/>
      <c r="H66" s="296" t="s">
        <v>49</v>
      </c>
      <c r="I66" s="297"/>
      <c r="J66" s="293" t="str">
        <f>J34</f>
        <v>MIX</v>
      </c>
      <c r="K66" s="295"/>
      <c r="L66" s="297" t="s">
        <v>50</v>
      </c>
      <c r="M66" s="298"/>
      <c r="N66" s="296"/>
      <c r="O66" s="294" t="str">
        <f>O34</f>
        <v>JOHN</v>
      </c>
      <c r="P66" s="294"/>
      <c r="Q66" s="295"/>
      <c r="R66" s="297" t="s">
        <v>51</v>
      </c>
      <c r="S66" s="296"/>
      <c r="T66" s="299">
        <f>T34</f>
        <v>4</v>
      </c>
      <c r="U66" s="299"/>
    </row>
    <row r="67" spans="1:21" ht="17.25" thickBot="1" x14ac:dyDescent="0.35">
      <c r="A67" s="15" t="s">
        <v>6</v>
      </c>
      <c r="F67" s="166"/>
      <c r="H67" s="9"/>
      <c r="I67" s="19"/>
      <c r="T67" s="10"/>
      <c r="U67" s="11"/>
    </row>
    <row r="68" spans="1:21" ht="17.25" thickBot="1" x14ac:dyDescent="0.35">
      <c r="A68" s="154" t="s">
        <v>0</v>
      </c>
      <c r="B68" s="249" t="s">
        <v>21</v>
      </c>
      <c r="C68" s="249" t="s">
        <v>7</v>
      </c>
      <c r="D68" s="256" t="s">
        <v>88</v>
      </c>
      <c r="E68" s="266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3" t="s">
        <v>8</v>
      </c>
      <c r="P68" s="303"/>
      <c r="Q68" s="303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48"/>
      <c r="C69" s="254"/>
      <c r="D69" s="261"/>
      <c r="E69" s="268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11"/>
      <c r="Q69" s="312"/>
      <c r="R69" s="60"/>
      <c r="S69" s="61"/>
      <c r="T69" s="61"/>
      <c r="U69" s="70"/>
    </row>
    <row r="70" spans="1:21" x14ac:dyDescent="0.3">
      <c r="A70" s="128">
        <f>A69+1</f>
        <v>52</v>
      </c>
      <c r="B70" s="248"/>
      <c r="C70" s="67"/>
      <c r="D70" s="191"/>
      <c r="E70" s="269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7"/>
      <c r="P70" s="308"/>
      <c r="Q70" s="30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48"/>
      <c r="C71" s="27"/>
      <c r="D71" s="180"/>
      <c r="E71" s="269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11"/>
      <c r="Q71" s="31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48"/>
      <c r="C72" s="63"/>
      <c r="D72" s="181"/>
      <c r="E72" s="269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3"/>
      <c r="P72" s="314"/>
      <c r="Q72" s="31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48"/>
      <c r="C73" s="63"/>
      <c r="D73" s="181"/>
      <c r="E73" s="269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3"/>
      <c r="P73" s="314"/>
      <c r="Q73" s="31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48"/>
      <c r="C74" s="28"/>
      <c r="D74" s="182"/>
      <c r="E74" s="269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0"/>
      <c r="P74" s="301"/>
      <c r="Q74" s="30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48"/>
      <c r="C75" s="18"/>
      <c r="D75" s="188"/>
      <c r="E75" s="269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11"/>
      <c r="Q75" s="31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48"/>
      <c r="C76" s="64"/>
      <c r="D76" s="183"/>
      <c r="E76" s="269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11"/>
      <c r="Q76" s="312"/>
      <c r="R76" s="5"/>
      <c r="S76" s="71"/>
      <c r="T76" s="71"/>
      <c r="U76" s="72"/>
    </row>
    <row r="77" spans="1:21" x14ac:dyDescent="0.3">
      <c r="A77" s="128">
        <f t="shared" si="11"/>
        <v>59</v>
      </c>
      <c r="B77" s="248"/>
      <c r="C77" s="64"/>
      <c r="D77" s="183"/>
      <c r="E77" s="269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11"/>
      <c r="Q77" s="312"/>
      <c r="R77" s="5"/>
      <c r="S77" s="71"/>
      <c r="T77" s="71"/>
      <c r="U77" s="72"/>
    </row>
    <row r="78" spans="1:21" x14ac:dyDescent="0.3">
      <c r="A78" s="128">
        <f t="shared" si="11"/>
        <v>60</v>
      </c>
      <c r="B78" s="248"/>
      <c r="C78" s="65"/>
      <c r="D78" s="184"/>
      <c r="E78" s="269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11"/>
      <c r="Q78" s="312"/>
      <c r="R78" s="5"/>
      <c r="S78" s="71"/>
      <c r="T78" s="71"/>
      <c r="U78" s="72"/>
    </row>
    <row r="79" spans="1:21" x14ac:dyDescent="0.3">
      <c r="A79" s="128">
        <f t="shared" si="11"/>
        <v>61</v>
      </c>
      <c r="B79" s="248"/>
      <c r="C79" s="18"/>
      <c r="D79" s="188"/>
      <c r="E79" s="269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11"/>
      <c r="Q79" s="312"/>
      <c r="R79" s="5"/>
      <c r="S79" s="71"/>
      <c r="T79" s="71"/>
      <c r="U79" s="72"/>
    </row>
    <row r="80" spans="1:21" x14ac:dyDescent="0.3">
      <c r="A80" s="128">
        <f t="shared" si="11"/>
        <v>62</v>
      </c>
      <c r="B80" s="248"/>
      <c r="C80" s="65"/>
      <c r="D80" s="184"/>
      <c r="E80" s="269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11"/>
      <c r="Q80" s="312"/>
      <c r="R80" s="5"/>
      <c r="S80" s="71"/>
      <c r="T80" s="71"/>
      <c r="U80" s="72"/>
    </row>
    <row r="81" spans="1:21" x14ac:dyDescent="0.3">
      <c r="A81" s="128">
        <f t="shared" si="11"/>
        <v>63</v>
      </c>
      <c r="B81" s="248"/>
      <c r="C81" s="18"/>
      <c r="D81" s="188"/>
      <c r="E81" s="269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11"/>
      <c r="Q81" s="312"/>
      <c r="R81" s="5"/>
      <c r="S81" s="71"/>
      <c r="T81" s="75"/>
      <c r="U81" s="72"/>
    </row>
    <row r="82" spans="1:21" x14ac:dyDescent="0.3">
      <c r="A82" s="128">
        <f t="shared" si="11"/>
        <v>64</v>
      </c>
      <c r="B82" s="248"/>
      <c r="C82" s="18"/>
      <c r="D82" s="188"/>
      <c r="E82" s="269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11"/>
      <c r="Q82" s="312"/>
      <c r="R82" s="5"/>
      <c r="S82" s="71"/>
      <c r="T82" s="75"/>
      <c r="U82" s="72"/>
    </row>
    <row r="83" spans="1:21" x14ac:dyDescent="0.3">
      <c r="A83" s="128">
        <f t="shared" si="11"/>
        <v>65</v>
      </c>
      <c r="B83" s="248"/>
      <c r="C83" s="18"/>
      <c r="D83" s="188"/>
      <c r="E83" s="269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11"/>
      <c r="Q83" s="311"/>
      <c r="R83" s="5"/>
      <c r="S83" s="71"/>
      <c r="T83" s="75"/>
      <c r="U83" s="72"/>
    </row>
    <row r="84" spans="1:21" x14ac:dyDescent="0.3">
      <c r="A84" s="128">
        <f t="shared" si="11"/>
        <v>66</v>
      </c>
      <c r="B84" s="248"/>
      <c r="C84" s="66"/>
      <c r="D84" s="189"/>
      <c r="E84" s="269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11"/>
      <c r="Q84" s="31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48"/>
      <c r="C85" s="127"/>
      <c r="D85" s="185"/>
      <c r="E85" s="269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48"/>
      <c r="C86" s="127"/>
      <c r="D86" s="185"/>
      <c r="E86" s="269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48"/>
      <c r="C87" s="127"/>
      <c r="D87" s="185"/>
      <c r="E87" s="269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48"/>
      <c r="C88" s="132"/>
      <c r="D88" s="186"/>
      <c r="E88" s="269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1"/>
      <c r="P88" s="311"/>
      <c r="Q88" s="31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48"/>
      <c r="C89" s="27"/>
      <c r="D89" s="180"/>
      <c r="E89" s="269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11"/>
      <c r="Q89" s="31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48"/>
      <c r="C90" s="27"/>
      <c r="D90" s="180"/>
      <c r="E90" s="269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1"/>
      <c r="P90" s="311"/>
      <c r="Q90" s="31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48"/>
      <c r="C91" s="27"/>
      <c r="D91" s="180"/>
      <c r="E91" s="269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1"/>
      <c r="P91" s="311"/>
      <c r="Q91" s="31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48"/>
      <c r="C92" s="34"/>
      <c r="D92" s="187"/>
      <c r="E92" s="269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11"/>
      <c r="Q92" s="31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48"/>
      <c r="C93" s="30"/>
      <c r="D93" s="194"/>
      <c r="E93" s="272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2"/>
      <c r="P93" s="353"/>
      <c r="Q93" s="354"/>
      <c r="R93" s="81"/>
      <c r="S93" s="68"/>
      <c r="T93" s="68"/>
      <c r="U93" s="77"/>
    </row>
    <row r="94" spans="1:21" x14ac:dyDescent="0.3">
      <c r="A94" s="355" t="s">
        <v>48</v>
      </c>
      <c r="B94" s="356"/>
      <c r="C94" s="356"/>
      <c r="D94" s="356"/>
      <c r="E94" s="380"/>
      <c r="F94" s="356"/>
      <c r="G94" s="356"/>
      <c r="H94" s="356">
        <f t="shared" ref="H94:M94" si="12">SUM(H69:H93)</f>
        <v>0</v>
      </c>
      <c r="I94" s="361">
        <f t="shared" si="12"/>
        <v>0</v>
      </c>
      <c r="J94" s="361">
        <f>J93+J92+J91+J90+J89+J88+J87+J86+J85+J84+J83+J82+J81+J80+J79+J78+J77+J76+J75+J74+J73+J72+J71+J70+J69</f>
        <v>0</v>
      </c>
      <c r="K94" s="361">
        <f>K93+K92+K91+K90+K89+K88+K87+K86+K85+K84+K83+K82+K81+K80+K79+K78+K77+K76+K75+K74+K73+K72+K71+K70+K69</f>
        <v>0</v>
      </c>
      <c r="L94" s="364">
        <f t="shared" si="12"/>
        <v>0</v>
      </c>
      <c r="M94" s="367">
        <f t="shared" si="12"/>
        <v>0</v>
      </c>
      <c r="N94" s="370"/>
      <c r="O94" s="371"/>
      <c r="P94" s="371"/>
      <c r="Q94" s="372"/>
      <c r="R94" s="5"/>
      <c r="S94" s="6"/>
      <c r="T94" s="7"/>
      <c r="U94" s="8"/>
    </row>
    <row r="95" spans="1:21" ht="17.25" thickBot="1" x14ac:dyDescent="0.35">
      <c r="A95" s="357"/>
      <c r="B95" s="358"/>
      <c r="C95" s="358"/>
      <c r="D95" s="358"/>
      <c r="E95" s="358"/>
      <c r="F95" s="358"/>
      <c r="G95" s="358"/>
      <c r="H95" s="358"/>
      <c r="I95" s="362"/>
      <c r="J95" s="362"/>
      <c r="K95" s="362"/>
      <c r="L95" s="365"/>
      <c r="M95" s="368"/>
      <c r="N95" s="373"/>
      <c r="O95" s="374"/>
      <c r="P95" s="374"/>
      <c r="Q95" s="375"/>
      <c r="R95" s="1"/>
      <c r="S95" s="2"/>
      <c r="T95" s="3"/>
      <c r="U95" s="4"/>
    </row>
    <row r="96" spans="1:21" ht="17.25" thickBot="1" x14ac:dyDescent="0.35">
      <c r="A96" s="359"/>
      <c r="B96" s="360"/>
      <c r="C96" s="360"/>
      <c r="D96" s="360"/>
      <c r="E96" s="360"/>
      <c r="F96" s="360"/>
      <c r="G96" s="360"/>
      <c r="H96" s="360"/>
      <c r="I96" s="363"/>
      <c r="J96" s="363"/>
      <c r="K96" s="363"/>
      <c r="L96" s="366"/>
      <c r="M96" s="369"/>
      <c r="N96" s="332"/>
      <c r="O96" s="333"/>
      <c r="P96" s="333"/>
      <c r="Q96" s="376"/>
      <c r="R96" s="377" t="s">
        <v>52</v>
      </c>
      <c r="S96" s="378"/>
      <c r="T96" s="378"/>
      <c r="U96" s="379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2">
    <dataValidation type="list" allowBlank="1" showInputMessage="1" showErrorMessage="1" sqref="X7" xr:uid="{6D4B4139-2BB7-4BA4-AA63-4374F0F68D6B}">
      <formula1>$W$5:$W$7</formula1>
    </dataValidation>
    <dataValidation type="list" allowBlank="1" showInputMessage="1" showErrorMessage="1" sqref="W5:W8 E5:E29 E37:E61 E69:E93" xr:uid="{143AC879-D040-45D1-95D0-26980E766AE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topLeftCell="A10" zoomScale="90" zoomScaleNormal="90" zoomScaleSheetLayoutView="77" workbookViewId="0">
      <selection activeCell="J31" sqref="J3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0" customWidth="1"/>
    <col min="5" max="5" width="5.75" style="265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3" t="s">
        <v>77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5"/>
    </row>
    <row r="2" spans="1:44" ht="17.25" thickBot="1" x14ac:dyDescent="0.35">
      <c r="A2" s="293" t="s">
        <v>103</v>
      </c>
      <c r="B2" s="294"/>
      <c r="C2" s="294"/>
      <c r="D2" s="294"/>
      <c r="E2" s="294"/>
      <c r="F2" s="294"/>
      <c r="G2" s="295"/>
      <c r="H2" s="296" t="s">
        <v>49</v>
      </c>
      <c r="I2" s="297"/>
      <c r="J2" s="293" t="s">
        <v>159</v>
      </c>
      <c r="K2" s="295"/>
      <c r="L2" s="297" t="s">
        <v>93</v>
      </c>
      <c r="M2" s="298"/>
      <c r="N2" s="296"/>
      <c r="O2" s="294" t="s">
        <v>134</v>
      </c>
      <c r="P2" s="294"/>
      <c r="Q2" s="295"/>
      <c r="R2" s="297" t="s">
        <v>51</v>
      </c>
      <c r="S2" s="296"/>
      <c r="T2" s="299">
        <v>5</v>
      </c>
      <c r="U2" s="29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49" t="s">
        <v>21</v>
      </c>
      <c r="C4" s="249" t="s">
        <v>7</v>
      </c>
      <c r="D4" s="256" t="s">
        <v>88</v>
      </c>
      <c r="E4" s="266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3" t="s">
        <v>8</v>
      </c>
      <c r="P4" s="303"/>
      <c r="Q4" s="303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3117</v>
      </c>
      <c r="C5" s="254" t="s">
        <v>139</v>
      </c>
      <c r="D5" s="255" t="s">
        <v>140</v>
      </c>
      <c r="E5" s="268" t="s">
        <v>95</v>
      </c>
      <c r="F5" s="169">
        <v>905</v>
      </c>
      <c r="G5" s="118" t="s">
        <v>141</v>
      </c>
      <c r="H5" s="91"/>
      <c r="I5" s="124"/>
      <c r="J5" s="130" t="str">
        <f>IF(G5="RSL","50","0")</f>
        <v>0</v>
      </c>
      <c r="K5" s="130">
        <v>79.099999999999994</v>
      </c>
      <c r="L5" s="131"/>
      <c r="M5" s="131"/>
      <c r="N5" s="134" t="s">
        <v>134</v>
      </c>
      <c r="O5" s="304" t="s">
        <v>142</v>
      </c>
      <c r="P5" s="305"/>
      <c r="Q5" s="306"/>
      <c r="R5" s="33" t="s">
        <v>134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3118</v>
      </c>
      <c r="C6" s="67" t="s">
        <v>143</v>
      </c>
      <c r="D6" s="195" t="s">
        <v>144</v>
      </c>
      <c r="E6" s="269" t="s">
        <v>97</v>
      </c>
      <c r="F6" s="170">
        <v>950</v>
      </c>
      <c r="G6" s="118" t="s">
        <v>145</v>
      </c>
      <c r="H6" s="91"/>
      <c r="I6" s="124">
        <v>450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134</v>
      </c>
      <c r="O6" s="307"/>
      <c r="P6" s="308"/>
      <c r="Q6" s="309"/>
      <c r="R6" s="132" t="s">
        <v>135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273">
        <v>3119</v>
      </c>
      <c r="C7" s="274" t="s">
        <v>146</v>
      </c>
      <c r="D7" s="275" t="s">
        <v>147</v>
      </c>
      <c r="E7" s="276" t="s">
        <v>121</v>
      </c>
      <c r="F7" s="277">
        <v>1135</v>
      </c>
      <c r="G7" s="273" t="s">
        <v>148</v>
      </c>
      <c r="H7" s="278"/>
      <c r="I7" s="278">
        <v>120</v>
      </c>
      <c r="J7" s="278" t="str">
        <f t="shared" si="1"/>
        <v>0</v>
      </c>
      <c r="K7" s="278" t="str">
        <f t="shared" si="2"/>
        <v>0</v>
      </c>
      <c r="L7" s="279"/>
      <c r="M7" s="279">
        <v>375</v>
      </c>
      <c r="N7" s="280" t="s">
        <v>134</v>
      </c>
      <c r="O7" s="381" t="s">
        <v>149</v>
      </c>
      <c r="P7" s="382"/>
      <c r="Q7" s="383"/>
      <c r="R7" s="134" t="s">
        <v>136</v>
      </c>
      <c r="S7" s="31">
        <v>0.41666666666666669</v>
      </c>
      <c r="T7" s="32">
        <v>0.66666666666666663</v>
      </c>
      <c r="U7" s="92">
        <f t="shared" si="0"/>
        <v>5.9999999999999982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3120</v>
      </c>
      <c r="C8" s="27" t="s">
        <v>150</v>
      </c>
      <c r="D8" s="195" t="s">
        <v>151</v>
      </c>
      <c r="E8" s="269" t="s">
        <v>121</v>
      </c>
      <c r="F8" s="170">
        <v>1240</v>
      </c>
      <c r="G8" s="118" t="s">
        <v>118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134</v>
      </c>
      <c r="O8" s="313"/>
      <c r="P8" s="314"/>
      <c r="Q8" s="315"/>
      <c r="R8" s="134" t="s">
        <v>152</v>
      </c>
      <c r="S8" s="31">
        <v>0.34375</v>
      </c>
      <c r="T8" s="32">
        <v>0.70833333333333337</v>
      </c>
      <c r="U8" s="92">
        <f t="shared" si="0"/>
        <v>8.75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3121</v>
      </c>
      <c r="C9" s="63" t="s">
        <v>154</v>
      </c>
      <c r="D9" s="196" t="s">
        <v>155</v>
      </c>
      <c r="E9" s="269" t="s">
        <v>114</v>
      </c>
      <c r="F9" s="171">
        <v>1430</v>
      </c>
      <c r="G9" s="119" t="s">
        <v>118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3"/>
      <c r="P9" s="314"/>
      <c r="Q9" s="315"/>
      <c r="R9" s="26" t="s">
        <v>153</v>
      </c>
      <c r="S9" s="31">
        <v>0.41666666666666669</v>
      </c>
      <c r="T9" s="32">
        <v>0.6875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3122</v>
      </c>
      <c r="C10" s="28" t="s">
        <v>156</v>
      </c>
      <c r="D10" s="197" t="s">
        <v>158</v>
      </c>
      <c r="E10" s="269" t="s">
        <v>121</v>
      </c>
      <c r="F10" s="172">
        <v>1430</v>
      </c>
      <c r="G10" s="120" t="s">
        <v>141</v>
      </c>
      <c r="H10" s="123"/>
      <c r="I10" s="125"/>
      <c r="J10" s="130" t="str">
        <f t="shared" si="1"/>
        <v>0</v>
      </c>
      <c r="K10" s="130">
        <v>100</v>
      </c>
      <c r="L10" s="131"/>
      <c r="M10" s="131"/>
      <c r="N10" s="134" t="s">
        <v>134</v>
      </c>
      <c r="O10" s="300" t="s">
        <v>157</v>
      </c>
      <c r="P10" s="301"/>
      <c r="Q10" s="30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3123</v>
      </c>
      <c r="C11" s="18" t="s">
        <v>160</v>
      </c>
      <c r="D11" s="198" t="s">
        <v>161</v>
      </c>
      <c r="E11" s="269" t="s">
        <v>121</v>
      </c>
      <c r="F11" s="66">
        <v>1640</v>
      </c>
      <c r="G11" s="121" t="s">
        <v>118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10"/>
      <c r="P11" s="311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199"/>
      <c r="E12" s="269"/>
      <c r="F12" s="172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0"/>
      <c r="P12" s="311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199"/>
      <c r="E13" s="269"/>
      <c r="F13" s="172"/>
      <c r="G13" s="119"/>
      <c r="H13" s="168"/>
      <c r="I13" s="167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0"/>
      <c r="P13" s="311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0"/>
      <c r="E14" s="269"/>
      <c r="F14" s="173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0"/>
      <c r="P14" s="311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0"/>
      <c r="E15" s="269"/>
      <c r="F15" s="173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0" t="s">
        <v>41</v>
      </c>
      <c r="P15" s="311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0"/>
      <c r="E16" s="269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0"/>
      <c r="P16" s="311"/>
      <c r="Q16" s="312"/>
      <c r="R16" s="82">
        <f>H32/U16</f>
        <v>0.18300653594771241</v>
      </c>
      <c r="S16" s="83">
        <f>H32/(U16-U5)</f>
        <v>0.23931623931623933</v>
      </c>
      <c r="T16" s="83">
        <f>C32/U16</f>
        <v>25.989542483660131</v>
      </c>
      <c r="U16" s="83">
        <f>SUM(U5:U15)</f>
        <v>38.25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198"/>
      <c r="E17" s="269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0"/>
      <c r="P17" s="311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198"/>
      <c r="E18" s="269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0"/>
      <c r="P18" s="311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198"/>
      <c r="E19" s="269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0"/>
      <c r="P19" s="311"/>
      <c r="Q19" s="311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198"/>
      <c r="E20" s="269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8"/>
      <c r="P20" s="319"/>
      <c r="Q20" s="31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198"/>
      <c r="E21" s="269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0"/>
      <c r="P21" s="311"/>
      <c r="Q21" s="31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1"/>
      <c r="E22" s="269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0"/>
      <c r="P22" s="311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2"/>
      <c r="E23" s="269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6"/>
      <c r="Y23" s="317"/>
      <c r="Z23" s="31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1"/>
      <c r="E24" s="269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11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3"/>
      <c r="E25" s="269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11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0">
        <f>((C32+(R26+S26+T26)*0.5))</f>
        <v>994.1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4"/>
      <c r="E26" s="269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11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2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4"/>
      <c r="E27" s="269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11"/>
      <c r="Q27" s="312"/>
      <c r="R27" s="329" t="s">
        <v>56</v>
      </c>
      <c r="S27" s="330"/>
      <c r="T27" s="330"/>
      <c r="U27" s="33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35">
      <c r="A28" s="135">
        <v>24</v>
      </c>
      <c r="B28" s="133"/>
      <c r="C28" s="27"/>
      <c r="D28" s="204"/>
      <c r="E28" s="27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11"/>
      <c r="Q28" s="312"/>
      <c r="R28" s="322"/>
      <c r="S28" s="323"/>
      <c r="T28" s="32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05"/>
      <c r="E29" s="271"/>
      <c r="F29" s="176"/>
      <c r="G29" s="20"/>
      <c r="H29" s="89"/>
      <c r="I29" s="89"/>
      <c r="J29" s="262" t="str">
        <f t="shared" si="1"/>
        <v>0</v>
      </c>
      <c r="K29" s="262" t="str">
        <f t="shared" si="2"/>
        <v>0</v>
      </c>
      <c r="L29" s="69"/>
      <c r="M29" s="69"/>
      <c r="N29" s="134"/>
      <c r="O29" s="338"/>
      <c r="P29" s="339"/>
      <c r="Q29" s="340"/>
      <c r="R29" s="341"/>
      <c r="S29" s="342"/>
      <c r="T29" s="34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4" t="s">
        <v>48</v>
      </c>
      <c r="B30" s="345"/>
      <c r="C30" s="345"/>
      <c r="D30" s="345"/>
      <c r="E30" s="346"/>
      <c r="F30" s="345"/>
      <c r="G30" s="345"/>
      <c r="H30" s="245">
        <f t="shared" ref="H30:M30" si="3">SUM(H5:H29)</f>
        <v>0</v>
      </c>
      <c r="I30" s="105">
        <f>SUM(I5:I29)</f>
        <v>815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179.1</v>
      </c>
      <c r="L30" s="106">
        <f t="shared" si="3"/>
        <v>0</v>
      </c>
      <c r="M30" s="106">
        <f t="shared" si="3"/>
        <v>375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7"/>
      <c r="S30" s="347"/>
      <c r="T30" s="34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9" t="s">
        <v>16</v>
      </c>
      <c r="B31" s="350"/>
      <c r="C31" s="350"/>
      <c r="D31" s="350"/>
      <c r="E31" s="350"/>
      <c r="F31" s="350"/>
      <c r="G31" s="350"/>
      <c r="H31" s="246">
        <f t="shared" ref="H31:J31" si="4">H30+H62+H94</f>
        <v>0</v>
      </c>
      <c r="I31" s="103">
        <f t="shared" si="4"/>
        <v>815</v>
      </c>
      <c r="J31" s="103">
        <f t="shared" si="4"/>
        <v>0</v>
      </c>
      <c r="K31" s="103">
        <f>K30+K62+K94</f>
        <v>179.1</v>
      </c>
      <c r="L31" s="97">
        <f>L30+L62+L94</f>
        <v>0</v>
      </c>
      <c r="M31" s="97">
        <f>M30+M62+M94</f>
        <v>375</v>
      </c>
      <c r="N31" s="251">
        <f>COUNT(H5:H29,H37:H61,H69:H93)</f>
        <v>0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4">
        <f>H31+I31+L31+M31</f>
        <v>1190</v>
      </c>
      <c r="U31" s="33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5" t="s">
        <v>55</v>
      </c>
      <c r="B32" s="326"/>
      <c r="C32" s="107">
        <f>H31+I31+J31+K31</f>
        <v>994.1</v>
      </c>
      <c r="D32" s="192"/>
      <c r="E32" s="267"/>
      <c r="F32" s="327" t="s">
        <v>53</v>
      </c>
      <c r="G32" s="327"/>
      <c r="H32" s="109">
        <f>COUNT(B5:B29,B37:B61,B69:B93)</f>
        <v>7</v>
      </c>
      <c r="I32" s="328" t="s">
        <v>54</v>
      </c>
      <c r="J32" s="328"/>
      <c r="K32" s="108">
        <f>C32/H32</f>
        <v>142.01428571428571</v>
      </c>
      <c r="L32" s="252"/>
      <c r="M32" s="252"/>
      <c r="N32" s="252">
        <f>H31/C32</f>
        <v>0</v>
      </c>
      <c r="O32" s="252">
        <f>I31/C32</f>
        <v>0.81983703852731116</v>
      </c>
      <c r="P32" s="252">
        <f>K31/C32</f>
        <v>0.18016296147268884</v>
      </c>
      <c r="Q32" s="110">
        <f>J31/C32</f>
        <v>0</v>
      </c>
      <c r="R32" s="99" t="s">
        <v>82</v>
      </c>
      <c r="S32" s="247">
        <f>I31+M31</f>
        <v>1190</v>
      </c>
      <c r="T32" s="336"/>
      <c r="U32" s="337"/>
      <c r="V32" s="55"/>
      <c r="W32" s="55"/>
      <c r="X32" s="56" t="s">
        <v>27</v>
      </c>
      <c r="Y32" s="56"/>
      <c r="Z32" s="54">
        <f>I31</f>
        <v>815</v>
      </c>
      <c r="AE32" s="37"/>
      <c r="AF32" s="37"/>
      <c r="AG32" s="37"/>
      <c r="AH32" s="37"/>
    </row>
    <row r="33" spans="1:34" ht="17.25" thickBot="1" x14ac:dyDescent="0.35">
      <c r="A33" s="332" t="s">
        <v>24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294"/>
      <c r="U33" s="295"/>
      <c r="X33" s="57" t="s">
        <v>29</v>
      </c>
      <c r="Y33" s="57"/>
      <c r="Z33" s="58">
        <f>SUM(Z31:Z32)</f>
        <v>-1930</v>
      </c>
      <c r="AE33" s="37"/>
      <c r="AF33" s="37"/>
      <c r="AG33" s="59"/>
      <c r="AH33" s="37"/>
    </row>
    <row r="34" spans="1:34" ht="17.25" thickBot="1" x14ac:dyDescent="0.35">
      <c r="A34" s="293" t="str">
        <f>A2</f>
        <v>8-02-2022</v>
      </c>
      <c r="B34" s="294"/>
      <c r="C34" s="294"/>
      <c r="D34" s="294"/>
      <c r="E34" s="294"/>
      <c r="F34" s="294"/>
      <c r="G34" s="295"/>
      <c r="H34" s="296" t="s">
        <v>49</v>
      </c>
      <c r="I34" s="297"/>
      <c r="J34" s="293" t="str">
        <f>J2</f>
        <v>SUNNY</v>
      </c>
      <c r="K34" s="295"/>
      <c r="L34" s="297" t="s">
        <v>50</v>
      </c>
      <c r="M34" s="298"/>
      <c r="N34" s="296"/>
      <c r="O34" s="294" t="str">
        <f>O2</f>
        <v>JOHN</v>
      </c>
      <c r="P34" s="294"/>
      <c r="Q34" s="295"/>
      <c r="R34" s="297" t="s">
        <v>51</v>
      </c>
      <c r="S34" s="296"/>
      <c r="T34" s="299">
        <f>T2</f>
        <v>5</v>
      </c>
      <c r="U34" s="29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257" t="s">
        <v>0</v>
      </c>
      <c r="B36" s="154" t="s">
        <v>21</v>
      </c>
      <c r="C36" s="249" t="s">
        <v>7</v>
      </c>
      <c r="D36" s="256" t="s">
        <v>88</v>
      </c>
      <c r="E36" s="266" t="s">
        <v>94</v>
      </c>
      <c r="F36" s="249" t="s">
        <v>25</v>
      </c>
      <c r="G36" s="260" t="s">
        <v>1</v>
      </c>
      <c r="H36" s="258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3" t="s">
        <v>8</v>
      </c>
      <c r="P36" s="303"/>
      <c r="Q36" s="303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254"/>
      <c r="D37" s="259"/>
      <c r="E37" s="268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11"/>
      <c r="Q37" s="312"/>
      <c r="R37" s="60"/>
      <c r="S37" s="61"/>
      <c r="T37" s="61"/>
      <c r="U37" s="70"/>
    </row>
    <row r="38" spans="1:34" x14ac:dyDescent="0.3">
      <c r="A38" s="128">
        <f>A37+1</f>
        <v>27</v>
      </c>
      <c r="B38" s="248"/>
      <c r="C38" s="67"/>
      <c r="D38" s="191"/>
      <c r="E38" s="269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7"/>
      <c r="P38" s="308"/>
      <c r="Q38" s="30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0"/>
      <c r="E39" s="269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11"/>
      <c r="Q39" s="312"/>
      <c r="R39" s="79"/>
      <c r="S39" s="13"/>
      <c r="T39" s="12"/>
      <c r="U39" s="72"/>
    </row>
    <row r="40" spans="1:34" x14ac:dyDescent="0.3">
      <c r="A40" s="128">
        <f t="shared" si="7"/>
        <v>29</v>
      </c>
      <c r="B40" s="248"/>
      <c r="C40" s="63"/>
      <c r="D40" s="181"/>
      <c r="E40" s="269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3"/>
      <c r="P40" s="314"/>
      <c r="Q40" s="31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1"/>
      <c r="E41" s="269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3"/>
      <c r="P41" s="314"/>
      <c r="Q41" s="315"/>
      <c r="R41" s="80"/>
      <c r="S41" s="73"/>
      <c r="T41" s="73"/>
      <c r="U41" s="74"/>
    </row>
    <row r="42" spans="1:34" x14ac:dyDescent="0.3">
      <c r="A42" s="128">
        <f t="shared" si="7"/>
        <v>31</v>
      </c>
      <c r="B42" s="248"/>
      <c r="C42" s="28"/>
      <c r="D42" s="182"/>
      <c r="E42" s="269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0"/>
      <c r="P42" s="301"/>
      <c r="Q42" s="30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88"/>
      <c r="E43" s="269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11"/>
      <c r="Q43" s="312"/>
      <c r="R43" s="78"/>
      <c r="S43" s="71"/>
      <c r="T43" s="71"/>
      <c r="U43" s="72"/>
    </row>
    <row r="44" spans="1:34" x14ac:dyDescent="0.3">
      <c r="A44" s="128">
        <f t="shared" si="7"/>
        <v>33</v>
      </c>
      <c r="B44" s="248"/>
      <c r="C44" s="64"/>
      <c r="D44" s="183"/>
      <c r="E44" s="269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11"/>
      <c r="Q44" s="31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3"/>
      <c r="E45" s="269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11"/>
      <c r="Q45" s="312"/>
      <c r="R45" s="5"/>
      <c r="S45" s="71"/>
      <c r="T45" s="71"/>
      <c r="U45" s="72"/>
    </row>
    <row r="46" spans="1:34" x14ac:dyDescent="0.3">
      <c r="A46" s="128">
        <f t="shared" si="7"/>
        <v>35</v>
      </c>
      <c r="B46" s="248"/>
      <c r="C46" s="65"/>
      <c r="D46" s="184"/>
      <c r="E46" s="269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11"/>
      <c r="Q46" s="31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88"/>
      <c r="E47" s="269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11"/>
      <c r="Q47" s="312"/>
      <c r="R47" s="5"/>
      <c r="S47" s="71"/>
      <c r="T47" s="71"/>
      <c r="U47" s="72"/>
    </row>
    <row r="48" spans="1:34" x14ac:dyDescent="0.3">
      <c r="A48" s="128">
        <f t="shared" si="7"/>
        <v>37</v>
      </c>
      <c r="B48" s="248"/>
      <c r="C48" s="65"/>
      <c r="D48" s="184"/>
      <c r="E48" s="269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11"/>
      <c r="Q48" s="312"/>
      <c r="R48" s="5"/>
      <c r="S48" s="71"/>
      <c r="T48" s="71"/>
      <c r="U48" s="72"/>
    </row>
    <row r="49" spans="1:21" x14ac:dyDescent="0.3">
      <c r="A49" s="128">
        <f t="shared" si="7"/>
        <v>38</v>
      </c>
      <c r="B49" s="248"/>
      <c r="C49" s="18"/>
      <c r="D49" s="188"/>
      <c r="E49" s="269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11"/>
      <c r="Q49" s="312"/>
      <c r="R49" s="5"/>
      <c r="S49" s="71"/>
      <c r="T49" s="75"/>
      <c r="U49" s="72"/>
    </row>
    <row r="50" spans="1:21" x14ac:dyDescent="0.3">
      <c r="A50" s="128">
        <f t="shared" si="7"/>
        <v>39</v>
      </c>
      <c r="B50" s="248"/>
      <c r="C50" s="18"/>
      <c r="D50" s="188"/>
      <c r="E50" s="269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11"/>
      <c r="Q50" s="312"/>
      <c r="R50" s="5"/>
      <c r="S50" s="71"/>
      <c r="T50" s="75"/>
      <c r="U50" s="72"/>
    </row>
    <row r="51" spans="1:21" x14ac:dyDescent="0.3">
      <c r="A51" s="128">
        <f t="shared" si="7"/>
        <v>40</v>
      </c>
      <c r="B51" s="248"/>
      <c r="C51" s="18"/>
      <c r="D51" s="188"/>
      <c r="E51" s="269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11"/>
      <c r="Q51" s="311"/>
      <c r="R51" s="5"/>
      <c r="S51" s="71"/>
      <c r="T51" s="75"/>
      <c r="U51" s="72"/>
    </row>
    <row r="52" spans="1:21" x14ac:dyDescent="0.3">
      <c r="A52" s="128">
        <f t="shared" si="7"/>
        <v>41</v>
      </c>
      <c r="B52" s="248"/>
      <c r="C52" s="66"/>
      <c r="D52" s="189"/>
      <c r="E52" s="269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11"/>
      <c r="Q52" s="311"/>
      <c r="R52" s="81"/>
      <c r="S52" s="68"/>
      <c r="T52" s="76"/>
      <c r="U52" s="77"/>
    </row>
    <row r="53" spans="1:21" x14ac:dyDescent="0.3">
      <c r="A53" s="128">
        <f t="shared" si="7"/>
        <v>42</v>
      </c>
      <c r="B53" s="248"/>
      <c r="C53" s="127"/>
      <c r="D53" s="185"/>
      <c r="E53" s="269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48"/>
      <c r="C54" s="127"/>
      <c r="D54" s="185"/>
      <c r="E54" s="269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48"/>
      <c r="C55" s="127"/>
      <c r="D55" s="185"/>
      <c r="E55" s="269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48"/>
      <c r="C56" s="132"/>
      <c r="D56" s="186"/>
      <c r="E56" s="269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1"/>
      <c r="P56" s="311"/>
      <c r="Q56" s="311"/>
      <c r="R56" s="81"/>
      <c r="S56" s="68"/>
      <c r="T56" s="76"/>
      <c r="U56" s="77"/>
    </row>
    <row r="57" spans="1:21" x14ac:dyDescent="0.3">
      <c r="A57" s="128">
        <f t="shared" si="7"/>
        <v>46</v>
      </c>
      <c r="B57" s="248"/>
      <c r="C57" s="27"/>
      <c r="D57" s="180"/>
      <c r="E57" s="269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11"/>
      <c r="Q57" s="311"/>
      <c r="R57" s="81"/>
      <c r="S57" s="68"/>
      <c r="T57" s="68"/>
      <c r="U57" s="77"/>
    </row>
    <row r="58" spans="1:21" x14ac:dyDescent="0.3">
      <c r="A58" s="128">
        <f t="shared" si="7"/>
        <v>47</v>
      </c>
      <c r="B58" s="248"/>
      <c r="C58" s="27"/>
      <c r="D58" s="180"/>
      <c r="E58" s="269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1"/>
      <c r="P58" s="311"/>
      <c r="Q58" s="311"/>
      <c r="R58" s="81"/>
      <c r="S58" s="68"/>
      <c r="T58" s="68"/>
      <c r="U58" s="77"/>
    </row>
    <row r="59" spans="1:21" x14ac:dyDescent="0.3">
      <c r="A59" s="128">
        <f t="shared" si="7"/>
        <v>48</v>
      </c>
      <c r="B59" s="248"/>
      <c r="C59" s="27"/>
      <c r="D59" s="180"/>
      <c r="E59" s="269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1"/>
      <c r="P59" s="311"/>
      <c r="Q59" s="311"/>
      <c r="R59" s="81"/>
      <c r="S59" s="68"/>
      <c r="T59" s="68"/>
      <c r="U59" s="77"/>
    </row>
    <row r="60" spans="1:21" x14ac:dyDescent="0.3">
      <c r="A60" s="128">
        <f t="shared" si="7"/>
        <v>49</v>
      </c>
      <c r="B60" s="248"/>
      <c r="C60" s="34"/>
      <c r="D60" s="187"/>
      <c r="E60" s="269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11"/>
      <c r="Q60" s="31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48"/>
      <c r="C61" s="30"/>
      <c r="D61" s="193"/>
      <c r="E61" s="269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2"/>
      <c r="P61" s="353"/>
      <c r="Q61" s="354"/>
      <c r="R61" s="81"/>
      <c r="S61" s="68"/>
      <c r="T61" s="68"/>
      <c r="U61" s="77"/>
    </row>
    <row r="62" spans="1:21" x14ac:dyDescent="0.3">
      <c r="A62" s="355" t="s">
        <v>48</v>
      </c>
      <c r="B62" s="356"/>
      <c r="C62" s="356"/>
      <c r="D62" s="356"/>
      <c r="E62" s="356"/>
      <c r="F62" s="356"/>
      <c r="G62" s="356"/>
      <c r="H62" s="356">
        <f t="shared" ref="H62:M62" si="8">SUM(H37:H61)</f>
        <v>0</v>
      </c>
      <c r="I62" s="361">
        <f t="shared" si="8"/>
        <v>0</v>
      </c>
      <c r="J62" s="361">
        <f>J61+J60+J59+J58+J57+J56+J55+J54+J53+J52+J51+J50+J49+J48+J47+J46+J45+J44+J43+J42+J41+J40+J39+J38+J37</f>
        <v>0</v>
      </c>
      <c r="K62" s="361">
        <f>K61+K60+K59+K58+K57+K56+K55+K54+K53+K52+K51+K50+K49+K48+K47+K46+K45+K44+K43+K42+K41+K40+K39+K38+K37</f>
        <v>0</v>
      </c>
      <c r="L62" s="364">
        <f t="shared" si="8"/>
        <v>0</v>
      </c>
      <c r="M62" s="367">
        <f t="shared" si="8"/>
        <v>0</v>
      </c>
      <c r="N62" s="370"/>
      <c r="O62" s="371"/>
      <c r="P62" s="371"/>
      <c r="Q62" s="372"/>
      <c r="R62" s="5"/>
      <c r="S62" s="6"/>
      <c r="T62" s="7"/>
      <c r="U62" s="8"/>
    </row>
    <row r="63" spans="1:21" ht="17.25" thickBot="1" x14ac:dyDescent="0.35">
      <c r="A63" s="357"/>
      <c r="B63" s="358"/>
      <c r="C63" s="358"/>
      <c r="D63" s="358"/>
      <c r="E63" s="358"/>
      <c r="F63" s="358"/>
      <c r="G63" s="358"/>
      <c r="H63" s="358"/>
      <c r="I63" s="362"/>
      <c r="J63" s="362"/>
      <c r="K63" s="362"/>
      <c r="L63" s="365"/>
      <c r="M63" s="368"/>
      <c r="N63" s="373"/>
      <c r="O63" s="374"/>
      <c r="P63" s="374"/>
      <c r="Q63" s="375"/>
      <c r="R63" s="1"/>
      <c r="S63" s="2"/>
      <c r="T63" s="3"/>
      <c r="U63" s="4"/>
    </row>
    <row r="64" spans="1:21" ht="17.25" thickBot="1" x14ac:dyDescent="0.35">
      <c r="A64" s="359"/>
      <c r="B64" s="360"/>
      <c r="C64" s="360"/>
      <c r="D64" s="360"/>
      <c r="E64" s="360"/>
      <c r="F64" s="360"/>
      <c r="G64" s="360"/>
      <c r="H64" s="360"/>
      <c r="I64" s="363"/>
      <c r="J64" s="363"/>
      <c r="K64" s="363"/>
      <c r="L64" s="366"/>
      <c r="M64" s="369"/>
      <c r="N64" s="332"/>
      <c r="O64" s="333"/>
      <c r="P64" s="333"/>
      <c r="Q64" s="376"/>
      <c r="R64" s="377" t="s">
        <v>17</v>
      </c>
      <c r="S64" s="378"/>
      <c r="T64" s="378"/>
      <c r="U64" s="379"/>
    </row>
    <row r="65" spans="1:21" ht="17.25" thickBot="1" x14ac:dyDescent="0.35">
      <c r="A65" s="293" t="s">
        <v>24</v>
      </c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5"/>
    </row>
    <row r="66" spans="1:21" ht="17.25" thickBot="1" x14ac:dyDescent="0.35">
      <c r="A66" s="293" t="str">
        <f>A34</f>
        <v>8-02-2022</v>
      </c>
      <c r="B66" s="294"/>
      <c r="C66" s="294"/>
      <c r="D66" s="294"/>
      <c r="E66" s="294"/>
      <c r="F66" s="294"/>
      <c r="G66" s="295"/>
      <c r="H66" s="296" t="s">
        <v>49</v>
      </c>
      <c r="I66" s="297"/>
      <c r="J66" s="293" t="str">
        <f>J34</f>
        <v>SUNNY</v>
      </c>
      <c r="K66" s="295"/>
      <c r="L66" s="297" t="s">
        <v>50</v>
      </c>
      <c r="M66" s="298"/>
      <c r="N66" s="296"/>
      <c r="O66" s="294" t="str">
        <f>O34</f>
        <v>JOHN</v>
      </c>
      <c r="P66" s="294"/>
      <c r="Q66" s="295"/>
      <c r="R66" s="297" t="s">
        <v>51</v>
      </c>
      <c r="S66" s="296"/>
      <c r="T66" s="299">
        <f>T34</f>
        <v>5</v>
      </c>
      <c r="U66" s="299"/>
    </row>
    <row r="67" spans="1:21" ht="17.25" thickBot="1" x14ac:dyDescent="0.35">
      <c r="A67" s="15" t="s">
        <v>6</v>
      </c>
      <c r="F67" s="166"/>
      <c r="H67" s="9"/>
      <c r="I67" s="19"/>
      <c r="T67" s="10"/>
      <c r="U67" s="11"/>
    </row>
    <row r="68" spans="1:21" ht="17.25" thickBot="1" x14ac:dyDescent="0.35">
      <c r="A68" s="154" t="s">
        <v>0</v>
      </c>
      <c r="B68" s="249" t="s">
        <v>21</v>
      </c>
      <c r="C68" s="249" t="s">
        <v>7</v>
      </c>
      <c r="D68" s="256" t="s">
        <v>88</v>
      </c>
      <c r="E68" s="266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3" t="s">
        <v>8</v>
      </c>
      <c r="P68" s="303"/>
      <c r="Q68" s="303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48"/>
      <c r="C69" s="254"/>
      <c r="D69" s="261"/>
      <c r="E69" s="268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11"/>
      <c r="Q69" s="312"/>
      <c r="R69" s="60"/>
      <c r="S69" s="61"/>
      <c r="T69" s="61"/>
      <c r="U69" s="70"/>
    </row>
    <row r="70" spans="1:21" x14ac:dyDescent="0.3">
      <c r="A70" s="128">
        <f>A69+1</f>
        <v>52</v>
      </c>
      <c r="B70" s="248"/>
      <c r="C70" s="67"/>
      <c r="D70" s="191"/>
      <c r="E70" s="269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7"/>
      <c r="P70" s="308"/>
      <c r="Q70" s="30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48"/>
      <c r="C71" s="27"/>
      <c r="D71" s="180"/>
      <c r="E71" s="269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11"/>
      <c r="Q71" s="31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48"/>
      <c r="C72" s="63"/>
      <c r="D72" s="181"/>
      <c r="E72" s="269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3"/>
      <c r="P72" s="314"/>
      <c r="Q72" s="31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48"/>
      <c r="C73" s="63"/>
      <c r="D73" s="181"/>
      <c r="E73" s="269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3"/>
      <c r="P73" s="314"/>
      <c r="Q73" s="31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48"/>
      <c r="C74" s="28"/>
      <c r="D74" s="182"/>
      <c r="E74" s="269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0"/>
      <c r="P74" s="301"/>
      <c r="Q74" s="30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48"/>
      <c r="C75" s="18"/>
      <c r="D75" s="188"/>
      <c r="E75" s="269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11"/>
      <c r="Q75" s="31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48"/>
      <c r="C76" s="64"/>
      <c r="D76" s="183"/>
      <c r="E76" s="269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11"/>
      <c r="Q76" s="312"/>
      <c r="R76" s="5"/>
      <c r="S76" s="71"/>
      <c r="T76" s="71"/>
      <c r="U76" s="72"/>
    </row>
    <row r="77" spans="1:21" x14ac:dyDescent="0.3">
      <c r="A77" s="128">
        <f t="shared" si="11"/>
        <v>59</v>
      </c>
      <c r="B77" s="248"/>
      <c r="C77" s="64"/>
      <c r="D77" s="183"/>
      <c r="E77" s="269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11"/>
      <c r="Q77" s="312"/>
      <c r="R77" s="5"/>
      <c r="S77" s="71"/>
      <c r="T77" s="71"/>
      <c r="U77" s="72"/>
    </row>
    <row r="78" spans="1:21" x14ac:dyDescent="0.3">
      <c r="A78" s="128">
        <f t="shared" si="11"/>
        <v>60</v>
      </c>
      <c r="B78" s="248"/>
      <c r="C78" s="65"/>
      <c r="D78" s="184"/>
      <c r="E78" s="269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11"/>
      <c r="Q78" s="312"/>
      <c r="R78" s="5"/>
      <c r="S78" s="71"/>
      <c r="T78" s="71"/>
      <c r="U78" s="72"/>
    </row>
    <row r="79" spans="1:21" x14ac:dyDescent="0.3">
      <c r="A79" s="128">
        <f t="shared" si="11"/>
        <v>61</v>
      </c>
      <c r="B79" s="248"/>
      <c r="C79" s="18"/>
      <c r="D79" s="188"/>
      <c r="E79" s="269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11"/>
      <c r="Q79" s="312"/>
      <c r="R79" s="5"/>
      <c r="S79" s="71"/>
      <c r="T79" s="71"/>
      <c r="U79" s="72"/>
    </row>
    <row r="80" spans="1:21" x14ac:dyDescent="0.3">
      <c r="A80" s="128">
        <f t="shared" si="11"/>
        <v>62</v>
      </c>
      <c r="B80" s="248"/>
      <c r="C80" s="65"/>
      <c r="D80" s="184"/>
      <c r="E80" s="269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11"/>
      <c r="Q80" s="312"/>
      <c r="R80" s="5"/>
      <c r="S80" s="71"/>
      <c r="T80" s="71"/>
      <c r="U80" s="72"/>
    </row>
    <row r="81" spans="1:21" x14ac:dyDescent="0.3">
      <c r="A81" s="128">
        <f t="shared" si="11"/>
        <v>63</v>
      </c>
      <c r="B81" s="248"/>
      <c r="C81" s="18"/>
      <c r="D81" s="188"/>
      <c r="E81" s="269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11"/>
      <c r="Q81" s="312"/>
      <c r="R81" s="5"/>
      <c r="S81" s="71"/>
      <c r="T81" s="75"/>
      <c r="U81" s="72"/>
    </row>
    <row r="82" spans="1:21" x14ac:dyDescent="0.3">
      <c r="A82" s="128">
        <f t="shared" si="11"/>
        <v>64</v>
      </c>
      <c r="B82" s="248"/>
      <c r="C82" s="18"/>
      <c r="D82" s="188"/>
      <c r="E82" s="269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11"/>
      <c r="Q82" s="312"/>
      <c r="R82" s="5"/>
      <c r="S82" s="71"/>
      <c r="T82" s="75"/>
      <c r="U82" s="72"/>
    </row>
    <row r="83" spans="1:21" x14ac:dyDescent="0.3">
      <c r="A83" s="128">
        <f t="shared" si="11"/>
        <v>65</v>
      </c>
      <c r="B83" s="248"/>
      <c r="C83" s="18"/>
      <c r="D83" s="188"/>
      <c r="E83" s="269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11"/>
      <c r="Q83" s="311"/>
      <c r="R83" s="5"/>
      <c r="S83" s="71"/>
      <c r="T83" s="75"/>
      <c r="U83" s="72"/>
    </row>
    <row r="84" spans="1:21" x14ac:dyDescent="0.3">
      <c r="A84" s="128">
        <f t="shared" si="11"/>
        <v>66</v>
      </c>
      <c r="B84" s="248"/>
      <c r="C84" s="66"/>
      <c r="D84" s="189"/>
      <c r="E84" s="269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11"/>
      <c r="Q84" s="31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48"/>
      <c r="C85" s="127"/>
      <c r="D85" s="185"/>
      <c r="E85" s="269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48"/>
      <c r="C86" s="127"/>
      <c r="D86" s="185"/>
      <c r="E86" s="269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48"/>
      <c r="C87" s="127"/>
      <c r="D87" s="185"/>
      <c r="E87" s="269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48"/>
      <c r="C88" s="132"/>
      <c r="D88" s="186"/>
      <c r="E88" s="269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1"/>
      <c r="P88" s="311"/>
      <c r="Q88" s="31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48"/>
      <c r="C89" s="27"/>
      <c r="D89" s="180"/>
      <c r="E89" s="269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11"/>
      <c r="Q89" s="31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48"/>
      <c r="C90" s="27"/>
      <c r="D90" s="180"/>
      <c r="E90" s="269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1"/>
      <c r="P90" s="311"/>
      <c r="Q90" s="31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48"/>
      <c r="C91" s="27"/>
      <c r="D91" s="180"/>
      <c r="E91" s="269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1"/>
      <c r="P91" s="311"/>
      <c r="Q91" s="31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48"/>
      <c r="C92" s="34"/>
      <c r="D92" s="187"/>
      <c r="E92" s="269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11"/>
      <c r="Q92" s="31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48"/>
      <c r="C93" s="30"/>
      <c r="D93" s="194"/>
      <c r="E93" s="272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2"/>
      <c r="P93" s="353"/>
      <c r="Q93" s="354"/>
      <c r="R93" s="81"/>
      <c r="S93" s="68"/>
      <c r="T93" s="68"/>
      <c r="U93" s="77"/>
    </row>
    <row r="94" spans="1:21" x14ac:dyDescent="0.3">
      <c r="A94" s="355" t="s">
        <v>48</v>
      </c>
      <c r="B94" s="356"/>
      <c r="C94" s="356"/>
      <c r="D94" s="356"/>
      <c r="E94" s="380"/>
      <c r="F94" s="356"/>
      <c r="G94" s="356"/>
      <c r="H94" s="356">
        <f t="shared" ref="H94:M94" si="12">SUM(H69:H93)</f>
        <v>0</v>
      </c>
      <c r="I94" s="361">
        <f t="shared" si="12"/>
        <v>0</v>
      </c>
      <c r="J94" s="361">
        <f>J93+J92+J91+J90+J89+J88+J87+J86+J85+J84+J83+J82+J81+J80+J79+J78+J77+J76+J75+J74+J73+J72+J71+J70+J69</f>
        <v>0</v>
      </c>
      <c r="K94" s="361">
        <f>K93+K92+K91+K90+K89+K88+K87+K86+K85+K84+K83+K82+K81+K80+K79+K78+K77+K76+K75+K74+K73+K72+K71+K70+K69</f>
        <v>0</v>
      </c>
      <c r="L94" s="364">
        <f t="shared" si="12"/>
        <v>0</v>
      </c>
      <c r="M94" s="367">
        <f t="shared" si="12"/>
        <v>0</v>
      </c>
      <c r="N94" s="370"/>
      <c r="O94" s="371"/>
      <c r="P94" s="371"/>
      <c r="Q94" s="372"/>
      <c r="R94" s="5"/>
      <c r="S94" s="6"/>
      <c r="T94" s="7"/>
      <c r="U94" s="8"/>
    </row>
    <row r="95" spans="1:21" ht="17.25" thickBot="1" x14ac:dyDescent="0.35">
      <c r="A95" s="357"/>
      <c r="B95" s="358"/>
      <c r="C95" s="358"/>
      <c r="D95" s="358"/>
      <c r="E95" s="358"/>
      <c r="F95" s="358"/>
      <c r="G95" s="358"/>
      <c r="H95" s="358"/>
      <c r="I95" s="362"/>
      <c r="J95" s="362"/>
      <c r="K95" s="362"/>
      <c r="L95" s="365"/>
      <c r="M95" s="368"/>
      <c r="N95" s="373"/>
      <c r="O95" s="374"/>
      <c r="P95" s="374"/>
      <c r="Q95" s="375"/>
      <c r="R95" s="1"/>
      <c r="S95" s="2"/>
      <c r="T95" s="3"/>
      <c r="U95" s="4"/>
    </row>
    <row r="96" spans="1:21" ht="17.25" thickBot="1" x14ac:dyDescent="0.35">
      <c r="A96" s="359"/>
      <c r="B96" s="360"/>
      <c r="C96" s="360"/>
      <c r="D96" s="360"/>
      <c r="E96" s="360"/>
      <c r="F96" s="360"/>
      <c r="G96" s="360"/>
      <c r="H96" s="360"/>
      <c r="I96" s="363"/>
      <c r="J96" s="363"/>
      <c r="K96" s="363"/>
      <c r="L96" s="366"/>
      <c r="M96" s="369"/>
      <c r="N96" s="332"/>
      <c r="O96" s="333"/>
      <c r="P96" s="333"/>
      <c r="Q96" s="376"/>
      <c r="R96" s="377" t="s">
        <v>52</v>
      </c>
      <c r="S96" s="378"/>
      <c r="T96" s="378"/>
      <c r="U96" s="379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2">
    <dataValidation type="list" allowBlank="1" showInputMessage="1" showErrorMessage="1" sqref="X7" xr:uid="{3C63AC9D-55E3-4C9F-812C-4AB75701F154}">
      <formula1>$W$5:$W$7</formula1>
    </dataValidation>
    <dataValidation type="list" allowBlank="1" showInputMessage="1" showErrorMessage="1" sqref="W5:W8 E5:E29 E37:E61 E69:E93" xr:uid="{0149F2FF-A173-4E88-9C6C-8C1E1E9FA83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topLeftCell="A10" zoomScale="90" zoomScaleNormal="90" zoomScaleSheetLayoutView="77" workbookViewId="0">
      <selection activeCell="O27" sqref="O27:Q2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0" customWidth="1"/>
    <col min="5" max="5" width="5.75" style="265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3" t="s">
        <v>77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5"/>
    </row>
    <row r="2" spans="1:44" ht="17.25" thickBot="1" x14ac:dyDescent="0.35">
      <c r="A2" s="293" t="s">
        <v>104</v>
      </c>
      <c r="B2" s="294"/>
      <c r="C2" s="294"/>
      <c r="D2" s="294"/>
      <c r="E2" s="294"/>
      <c r="F2" s="294"/>
      <c r="G2" s="295"/>
      <c r="H2" s="296" t="s">
        <v>49</v>
      </c>
      <c r="I2" s="297"/>
      <c r="J2" s="293" t="s">
        <v>159</v>
      </c>
      <c r="K2" s="295"/>
      <c r="L2" s="297" t="s">
        <v>93</v>
      </c>
      <c r="M2" s="298"/>
      <c r="N2" s="296"/>
      <c r="O2" s="294" t="s">
        <v>134</v>
      </c>
      <c r="P2" s="294"/>
      <c r="Q2" s="295"/>
      <c r="R2" s="297" t="s">
        <v>51</v>
      </c>
      <c r="S2" s="296"/>
      <c r="T2" s="299">
        <v>6</v>
      </c>
      <c r="U2" s="29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49" t="s">
        <v>21</v>
      </c>
      <c r="C4" s="249" t="s">
        <v>7</v>
      </c>
      <c r="D4" s="256" t="s">
        <v>88</v>
      </c>
      <c r="E4" s="266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3" t="s">
        <v>8</v>
      </c>
      <c r="P4" s="303"/>
      <c r="Q4" s="303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3124</v>
      </c>
      <c r="C5" s="254" t="s">
        <v>163</v>
      </c>
      <c r="D5" s="255" t="s">
        <v>164</v>
      </c>
      <c r="E5" s="268" t="s">
        <v>97</v>
      </c>
      <c r="F5" s="169">
        <v>910</v>
      </c>
      <c r="G5" s="118" t="s">
        <v>118</v>
      </c>
      <c r="H5" s="91"/>
      <c r="I5" s="124">
        <v>95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134</v>
      </c>
      <c r="O5" s="304"/>
      <c r="P5" s="305"/>
      <c r="Q5" s="306"/>
      <c r="R5" s="33" t="s">
        <v>134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3125</v>
      </c>
      <c r="C6" s="67" t="s">
        <v>165</v>
      </c>
      <c r="D6" s="195" t="s">
        <v>166</v>
      </c>
      <c r="E6" s="269" t="s">
        <v>114</v>
      </c>
      <c r="F6" s="170">
        <v>910</v>
      </c>
      <c r="G6" s="118" t="s">
        <v>141</v>
      </c>
      <c r="H6" s="91"/>
      <c r="I6" s="124"/>
      <c r="J6" s="130" t="str">
        <f t="shared" ref="J6:J29" si="1">IF(G6="RSL","50","0")</f>
        <v>0</v>
      </c>
      <c r="K6" s="130">
        <v>78.099999999999994</v>
      </c>
      <c r="L6" s="131"/>
      <c r="M6" s="131"/>
      <c r="N6" s="134" t="s">
        <v>134</v>
      </c>
      <c r="O6" s="307" t="s">
        <v>167</v>
      </c>
      <c r="P6" s="308"/>
      <c r="Q6" s="309"/>
      <c r="R6" s="132" t="s">
        <v>135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3126</v>
      </c>
      <c r="C7" s="67" t="s">
        <v>168</v>
      </c>
      <c r="D7" s="195" t="s">
        <v>169</v>
      </c>
      <c r="E7" s="269" t="s">
        <v>114</v>
      </c>
      <c r="F7" s="170">
        <v>915</v>
      </c>
      <c r="G7" s="118" t="s">
        <v>141</v>
      </c>
      <c r="H7" s="91"/>
      <c r="I7" s="124">
        <v>100</v>
      </c>
      <c r="J7" s="130" t="str">
        <f t="shared" si="1"/>
        <v>0</v>
      </c>
      <c r="K7" s="130">
        <v>237.5</v>
      </c>
      <c r="L7" s="131"/>
      <c r="M7" s="131"/>
      <c r="N7" s="134" t="s">
        <v>134</v>
      </c>
      <c r="O7" s="310" t="s">
        <v>220</v>
      </c>
      <c r="P7" s="311"/>
      <c r="Q7" s="312"/>
      <c r="R7" s="134" t="s">
        <v>136</v>
      </c>
      <c r="S7" s="31">
        <v>0.39583333333333331</v>
      </c>
      <c r="T7" s="32">
        <v>0.66666666666666663</v>
      </c>
      <c r="U7" s="92">
        <f t="shared" si="0"/>
        <v>6.5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3127</v>
      </c>
      <c r="C8" s="27" t="s">
        <v>170</v>
      </c>
      <c r="D8" s="195" t="s">
        <v>171</v>
      </c>
      <c r="E8" s="269" t="s">
        <v>95</v>
      </c>
      <c r="F8" s="170">
        <v>920</v>
      </c>
      <c r="G8" s="118" t="s">
        <v>172</v>
      </c>
      <c r="H8" s="91"/>
      <c r="I8" s="124">
        <v>300</v>
      </c>
      <c r="J8" s="130" t="str">
        <f t="shared" si="1"/>
        <v>0</v>
      </c>
      <c r="K8" s="130" t="str">
        <f t="shared" ref="K8:K29" si="2">IF(G8="GVS","37.5",IF(G8="GVM","41.5",IF(G8="GVL","50",IF(G8="PCS","45.8",IF(G8="PCM","50",IF(G8="PCL","58.3","0"))))))</f>
        <v>0</v>
      </c>
      <c r="L8" s="131"/>
      <c r="M8" s="131"/>
      <c r="N8" s="134" t="s">
        <v>134</v>
      </c>
      <c r="O8" s="313"/>
      <c r="P8" s="314"/>
      <c r="Q8" s="315"/>
      <c r="R8" s="134" t="s">
        <v>152</v>
      </c>
      <c r="S8" s="31">
        <v>0.33333333333333331</v>
      </c>
      <c r="T8" s="32">
        <v>0.70833333333333337</v>
      </c>
      <c r="U8" s="92">
        <f t="shared" si="0"/>
        <v>9.0000000000000018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3128</v>
      </c>
      <c r="C9" s="63" t="s">
        <v>173</v>
      </c>
      <c r="D9" s="196" t="s">
        <v>174</v>
      </c>
      <c r="E9" s="269" t="s">
        <v>114</v>
      </c>
      <c r="F9" s="171">
        <v>1000</v>
      </c>
      <c r="G9" s="119" t="s">
        <v>175</v>
      </c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3" t="s">
        <v>176</v>
      </c>
      <c r="P9" s="314"/>
      <c r="Q9" s="315"/>
      <c r="R9" s="26" t="s">
        <v>137</v>
      </c>
      <c r="S9" s="31">
        <v>0.40625</v>
      </c>
      <c r="T9" s="32">
        <v>0.69791666666666663</v>
      </c>
      <c r="U9" s="92">
        <f t="shared" si="0"/>
        <v>6.9999999999999991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3129</v>
      </c>
      <c r="C10" s="28" t="s">
        <v>177</v>
      </c>
      <c r="D10" s="197" t="s">
        <v>178</v>
      </c>
      <c r="E10" s="269" t="s">
        <v>121</v>
      </c>
      <c r="F10" s="172">
        <v>1000</v>
      </c>
      <c r="G10" s="120" t="s">
        <v>118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0"/>
      <c r="P10" s="301"/>
      <c r="Q10" s="302"/>
      <c r="R10" s="26" t="s">
        <v>162</v>
      </c>
      <c r="S10" s="31">
        <v>0.4513888888888889</v>
      </c>
      <c r="T10" s="32">
        <v>0.70833333333333337</v>
      </c>
      <c r="U10" s="92">
        <f t="shared" si="0"/>
        <v>6.1666666666666679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3130</v>
      </c>
      <c r="C11" s="18" t="s">
        <v>179</v>
      </c>
      <c r="D11" s="198" t="s">
        <v>180</v>
      </c>
      <c r="E11" s="269" t="s">
        <v>121</v>
      </c>
      <c r="F11" s="66">
        <v>1010</v>
      </c>
      <c r="G11" s="121" t="s">
        <v>122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134</v>
      </c>
      <c r="O11" s="310"/>
      <c r="P11" s="311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3131</v>
      </c>
      <c r="C12" s="64" t="s">
        <v>181</v>
      </c>
      <c r="D12" s="199" t="s">
        <v>182</v>
      </c>
      <c r="E12" s="269" t="s">
        <v>114</v>
      </c>
      <c r="F12" s="172">
        <v>1010</v>
      </c>
      <c r="G12" s="119" t="s">
        <v>118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134</v>
      </c>
      <c r="O12" s="310"/>
      <c r="P12" s="311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3132</v>
      </c>
      <c r="C13" s="64" t="s">
        <v>183</v>
      </c>
      <c r="D13" s="199" t="s">
        <v>184</v>
      </c>
      <c r="E13" s="269" t="s">
        <v>121</v>
      </c>
      <c r="F13" s="172">
        <v>1050</v>
      </c>
      <c r="G13" s="119" t="s">
        <v>185</v>
      </c>
      <c r="H13" s="168"/>
      <c r="I13" s="167"/>
      <c r="J13" s="130" t="str">
        <f t="shared" si="1"/>
        <v>0</v>
      </c>
      <c r="K13" s="130" t="str">
        <f t="shared" si="2"/>
        <v>45.8</v>
      </c>
      <c r="L13" s="131"/>
      <c r="M13" s="131"/>
      <c r="N13" s="134" t="s">
        <v>134</v>
      </c>
      <c r="O13" s="310" t="s">
        <v>186</v>
      </c>
      <c r="P13" s="311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3133</v>
      </c>
      <c r="C14" s="65" t="s">
        <v>187</v>
      </c>
      <c r="D14" s="200" t="s">
        <v>188</v>
      </c>
      <c r="E14" s="269" t="s">
        <v>121</v>
      </c>
      <c r="F14" s="173">
        <v>1055</v>
      </c>
      <c r="G14" s="122" t="s">
        <v>148</v>
      </c>
      <c r="H14" s="123"/>
      <c r="I14" s="125">
        <v>110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134</v>
      </c>
      <c r="O14" s="310"/>
      <c r="P14" s="311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3134</v>
      </c>
      <c r="C15" s="65" t="s">
        <v>192</v>
      </c>
      <c r="D15" s="200" t="s">
        <v>193</v>
      </c>
      <c r="E15" s="269" t="s">
        <v>121</v>
      </c>
      <c r="F15" s="173">
        <v>1110</v>
      </c>
      <c r="G15" s="122" t="s">
        <v>194</v>
      </c>
      <c r="H15" s="123"/>
      <c r="I15" s="124">
        <v>380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134</v>
      </c>
      <c r="O15" s="310"/>
      <c r="P15" s="311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3135</v>
      </c>
      <c r="C16" s="65" t="s">
        <v>189</v>
      </c>
      <c r="D16" s="200" t="s">
        <v>190</v>
      </c>
      <c r="E16" s="269" t="s">
        <v>114</v>
      </c>
      <c r="F16" s="173">
        <v>1130</v>
      </c>
      <c r="G16" s="122" t="s">
        <v>118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134</v>
      </c>
      <c r="O16" s="310"/>
      <c r="P16" s="311"/>
      <c r="Q16" s="312"/>
      <c r="R16" s="82">
        <f>H32/U16</f>
        <v>0.47142857142857136</v>
      </c>
      <c r="S16" s="83">
        <f>H32/(U16-U5)</f>
        <v>0.5840707964601769</v>
      </c>
      <c r="T16" s="83">
        <f>C32/U16</f>
        <v>50.046428571428564</v>
      </c>
      <c r="U16" s="83">
        <f>SUM(U5:U15)</f>
        <v>46.666666666666671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3136</v>
      </c>
      <c r="C17" s="18" t="s">
        <v>191</v>
      </c>
      <c r="D17" s="198" t="s">
        <v>195</v>
      </c>
      <c r="E17" s="269" t="s">
        <v>121</v>
      </c>
      <c r="F17" s="66">
        <v>1155</v>
      </c>
      <c r="G17" s="121" t="s">
        <v>122</v>
      </c>
      <c r="H17" s="123"/>
      <c r="I17" s="124">
        <v>55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134</v>
      </c>
      <c r="O17" s="310"/>
      <c r="P17" s="311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3137</v>
      </c>
      <c r="C18" s="18" t="s">
        <v>196</v>
      </c>
      <c r="D18" s="198" t="s">
        <v>197</v>
      </c>
      <c r="E18" s="269" t="s">
        <v>121</v>
      </c>
      <c r="F18" s="66">
        <v>1205</v>
      </c>
      <c r="G18" s="20" t="s">
        <v>118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134</v>
      </c>
      <c r="O18" s="310"/>
      <c r="P18" s="311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3138</v>
      </c>
      <c r="C19" s="18" t="s">
        <v>198</v>
      </c>
      <c r="D19" s="198" t="s">
        <v>199</v>
      </c>
      <c r="E19" s="269" t="s">
        <v>121</v>
      </c>
      <c r="F19" s="66">
        <v>1220</v>
      </c>
      <c r="G19" s="121" t="s">
        <v>122</v>
      </c>
      <c r="H19" s="123"/>
      <c r="I19" s="12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134</v>
      </c>
      <c r="O19" s="310"/>
      <c r="P19" s="311"/>
      <c r="Q19" s="311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3139</v>
      </c>
      <c r="C20" s="18" t="s">
        <v>200</v>
      </c>
      <c r="D20" s="198" t="s">
        <v>201</v>
      </c>
      <c r="E20" s="269" t="s">
        <v>121</v>
      </c>
      <c r="F20" s="66">
        <v>1235</v>
      </c>
      <c r="G20" s="121" t="s">
        <v>118</v>
      </c>
      <c r="H20" s="123"/>
      <c r="I20" s="141">
        <v>75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134</v>
      </c>
      <c r="O20" s="318"/>
      <c r="P20" s="319"/>
      <c r="Q20" s="31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273">
        <v>3140</v>
      </c>
      <c r="C21" s="281" t="s">
        <v>204</v>
      </c>
      <c r="D21" s="282" t="s">
        <v>205</v>
      </c>
      <c r="E21" s="276" t="s">
        <v>121</v>
      </c>
      <c r="F21" s="283">
        <v>1235</v>
      </c>
      <c r="G21" s="284" t="s">
        <v>185</v>
      </c>
      <c r="H21" s="285"/>
      <c r="I21" s="278"/>
      <c r="J21" s="278" t="str">
        <f t="shared" si="1"/>
        <v>0</v>
      </c>
      <c r="K21" s="278">
        <v>58.3</v>
      </c>
      <c r="L21" s="279"/>
      <c r="M21" s="279">
        <v>375</v>
      </c>
      <c r="N21" s="280" t="s">
        <v>134</v>
      </c>
      <c r="O21" s="381" t="s">
        <v>206</v>
      </c>
      <c r="P21" s="382"/>
      <c r="Q21" s="38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3141</v>
      </c>
      <c r="C22" s="127" t="s">
        <v>202</v>
      </c>
      <c r="D22" s="201" t="s">
        <v>203</v>
      </c>
      <c r="E22" s="269" t="s">
        <v>121</v>
      </c>
      <c r="F22" s="174">
        <v>1315</v>
      </c>
      <c r="G22" s="248" t="s">
        <v>118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134</v>
      </c>
      <c r="O22" s="318"/>
      <c r="P22" s="319"/>
      <c r="Q22" s="31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3142</v>
      </c>
      <c r="C23" s="136" t="s">
        <v>207</v>
      </c>
      <c r="D23" s="202" t="s">
        <v>208</v>
      </c>
      <c r="E23" s="269" t="s">
        <v>121</v>
      </c>
      <c r="F23" s="175">
        <v>1340</v>
      </c>
      <c r="G23" s="165" t="s">
        <v>209</v>
      </c>
      <c r="H23" s="89"/>
      <c r="I23" s="141">
        <v>80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134</v>
      </c>
      <c r="O23" s="310" t="s">
        <v>210</v>
      </c>
      <c r="P23" s="311"/>
      <c r="Q23" s="312"/>
      <c r="R23" s="113"/>
      <c r="S23" s="114"/>
      <c r="T23" s="114"/>
      <c r="U23" s="115"/>
      <c r="X23" s="316"/>
      <c r="Y23" s="317"/>
      <c r="Z23" s="31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3143</v>
      </c>
      <c r="C24" s="127" t="s">
        <v>211</v>
      </c>
      <c r="D24" s="201" t="s">
        <v>212</v>
      </c>
      <c r="E24" s="269" t="s">
        <v>121</v>
      </c>
      <c r="F24" s="174">
        <v>1400</v>
      </c>
      <c r="G24" s="248" t="s">
        <v>213</v>
      </c>
      <c r="H24" s="89">
        <v>50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134</v>
      </c>
      <c r="O24" s="310"/>
      <c r="P24" s="311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3144</v>
      </c>
      <c r="C25" s="132" t="s">
        <v>214</v>
      </c>
      <c r="D25" s="203" t="s">
        <v>215</v>
      </c>
      <c r="E25" s="269" t="s">
        <v>121</v>
      </c>
      <c r="F25" s="174">
        <v>1410</v>
      </c>
      <c r="G25" s="248" t="s">
        <v>185</v>
      </c>
      <c r="H25" s="90"/>
      <c r="I25" s="90"/>
      <c r="J25" s="130" t="str">
        <f t="shared" si="1"/>
        <v>0</v>
      </c>
      <c r="K25" s="130" t="str">
        <f t="shared" si="2"/>
        <v>45.8</v>
      </c>
      <c r="L25" s="69"/>
      <c r="M25" s="69"/>
      <c r="N25" s="134" t="s">
        <v>134</v>
      </c>
      <c r="O25" s="310" t="s">
        <v>216</v>
      </c>
      <c r="P25" s="311"/>
      <c r="Q25" s="312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0">
        <f>((C32+(R26+S26+T26)*0.5))</f>
        <v>2379.25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3145</v>
      </c>
      <c r="C26" s="27" t="s">
        <v>217</v>
      </c>
      <c r="D26" s="204" t="s">
        <v>218</v>
      </c>
      <c r="E26" s="269" t="s">
        <v>114</v>
      </c>
      <c r="F26" s="176">
        <v>1530</v>
      </c>
      <c r="G26" s="20" t="s">
        <v>219</v>
      </c>
      <c r="H26" s="89"/>
      <c r="I26" s="141">
        <v>100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134</v>
      </c>
      <c r="O26" s="310"/>
      <c r="P26" s="311"/>
      <c r="Q26" s="312"/>
      <c r="R26" s="112">
        <f>R25*37.5</f>
        <v>37.5</v>
      </c>
      <c r="S26" s="102">
        <f>S25*41.5</f>
        <v>0</v>
      </c>
      <c r="T26" s="102">
        <f>T25*50</f>
        <v>50</v>
      </c>
      <c r="U26" s="32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4"/>
      <c r="E27" s="269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11"/>
      <c r="Q27" s="312"/>
      <c r="R27" s="329" t="s">
        <v>56</v>
      </c>
      <c r="S27" s="330"/>
      <c r="T27" s="330"/>
      <c r="U27" s="33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35">
      <c r="A28" s="135">
        <v>24</v>
      </c>
      <c r="B28" s="133"/>
      <c r="C28" s="27"/>
      <c r="D28" s="204"/>
      <c r="E28" s="27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11"/>
      <c r="Q28" s="312"/>
      <c r="R28" s="322"/>
      <c r="S28" s="323"/>
      <c r="T28" s="32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05"/>
      <c r="E29" s="271"/>
      <c r="F29" s="176"/>
      <c r="G29" s="20"/>
      <c r="H29" s="89"/>
      <c r="I29" s="89"/>
      <c r="J29" s="262" t="str">
        <f t="shared" si="1"/>
        <v>0</v>
      </c>
      <c r="K29" s="262" t="str">
        <f t="shared" si="2"/>
        <v>0</v>
      </c>
      <c r="L29" s="69"/>
      <c r="M29" s="69"/>
      <c r="N29" s="134"/>
      <c r="O29" s="338"/>
      <c r="P29" s="339"/>
      <c r="Q29" s="340"/>
      <c r="R29" s="341"/>
      <c r="S29" s="342"/>
      <c r="T29" s="34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4" t="s">
        <v>48</v>
      </c>
      <c r="B30" s="345"/>
      <c r="C30" s="345"/>
      <c r="D30" s="345"/>
      <c r="E30" s="346"/>
      <c r="F30" s="345"/>
      <c r="G30" s="345"/>
      <c r="H30" s="245">
        <f t="shared" ref="H30:M30" si="3">SUM(H5:H29)</f>
        <v>50</v>
      </c>
      <c r="I30" s="105">
        <f>SUM(I5:I29)</f>
        <v>1820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465.50000000000006</v>
      </c>
      <c r="L30" s="106">
        <f t="shared" si="3"/>
        <v>0</v>
      </c>
      <c r="M30" s="106">
        <f t="shared" si="3"/>
        <v>375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7"/>
      <c r="S30" s="347"/>
      <c r="T30" s="34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9" t="s">
        <v>16</v>
      </c>
      <c r="B31" s="350"/>
      <c r="C31" s="350"/>
      <c r="D31" s="350"/>
      <c r="E31" s="350"/>
      <c r="F31" s="350"/>
      <c r="G31" s="350"/>
      <c r="H31" s="246">
        <f t="shared" ref="H31:J31" si="4">H30+H62+H94</f>
        <v>50</v>
      </c>
      <c r="I31" s="103">
        <f t="shared" si="4"/>
        <v>1820</v>
      </c>
      <c r="J31" s="103">
        <f t="shared" si="4"/>
        <v>0</v>
      </c>
      <c r="K31" s="103">
        <f>K30+K62+K94</f>
        <v>465.50000000000006</v>
      </c>
      <c r="L31" s="97">
        <f>L30+L62+L94</f>
        <v>0</v>
      </c>
      <c r="M31" s="97">
        <f>M30+M62+M94</f>
        <v>375</v>
      </c>
      <c r="N31" s="251">
        <f>COUNT(H5:H29,H37:H61,H69:H93)</f>
        <v>1</v>
      </c>
      <c r="O31" s="104">
        <f>COUNT(I5:I29,I37:I61,I69:I93)</f>
        <v>16</v>
      </c>
      <c r="P31" s="104">
        <f>COUNTIF(G5:G29,"G*")+COUNTIF(G37:G61,"G*")+COUNTIF(G69:G93,"G*")+COUNTIF(G5:G29,"P*")+COUNTIF(G37:G61,"P*")+COUNTIF(G69:G93,"P*")</f>
        <v>7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50</v>
      </c>
      <c r="T31" s="334">
        <f>H31+I31+L31+M31</f>
        <v>2245</v>
      </c>
      <c r="U31" s="33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5" t="s">
        <v>55</v>
      </c>
      <c r="B32" s="326"/>
      <c r="C32" s="107">
        <f>H31+I31+J31+K31</f>
        <v>2335.5</v>
      </c>
      <c r="D32" s="192"/>
      <c r="E32" s="267"/>
      <c r="F32" s="327" t="s">
        <v>53</v>
      </c>
      <c r="G32" s="327"/>
      <c r="H32" s="109">
        <f>COUNT(B5:B29,B37:B61,B69:B93)</f>
        <v>22</v>
      </c>
      <c r="I32" s="328" t="s">
        <v>54</v>
      </c>
      <c r="J32" s="328"/>
      <c r="K32" s="108">
        <f>C32/H32</f>
        <v>106.15909090909091</v>
      </c>
      <c r="L32" s="252"/>
      <c r="M32" s="252"/>
      <c r="N32" s="252">
        <f>H31/C32</f>
        <v>2.1408691928923144E-2</v>
      </c>
      <c r="O32" s="252">
        <f>I31/C32</f>
        <v>0.77927638621280237</v>
      </c>
      <c r="P32" s="252">
        <f>K31/C32</f>
        <v>0.19931492185827449</v>
      </c>
      <c r="Q32" s="110">
        <f>J31/C32</f>
        <v>0</v>
      </c>
      <c r="R32" s="99" t="s">
        <v>82</v>
      </c>
      <c r="S32" s="247">
        <f>I31+M31</f>
        <v>2195</v>
      </c>
      <c r="T32" s="336"/>
      <c r="U32" s="337"/>
      <c r="V32" s="55"/>
      <c r="W32" s="55"/>
      <c r="X32" s="56" t="s">
        <v>27</v>
      </c>
      <c r="Y32" s="56"/>
      <c r="Z32" s="54">
        <f>I31</f>
        <v>1820</v>
      </c>
      <c r="AE32" s="37"/>
      <c r="AF32" s="37"/>
      <c r="AG32" s="37"/>
      <c r="AH32" s="37"/>
    </row>
    <row r="33" spans="1:34" ht="17.25" thickBot="1" x14ac:dyDescent="0.35">
      <c r="A33" s="332" t="s">
        <v>24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294"/>
      <c r="U33" s="295"/>
      <c r="X33" s="57" t="s">
        <v>29</v>
      </c>
      <c r="Y33" s="57"/>
      <c r="Z33" s="58">
        <f>SUM(Z31:Z32)</f>
        <v>-925</v>
      </c>
      <c r="AE33" s="37"/>
      <c r="AF33" s="37"/>
      <c r="AG33" s="59"/>
      <c r="AH33" s="37"/>
    </row>
    <row r="34" spans="1:34" ht="17.25" thickBot="1" x14ac:dyDescent="0.35">
      <c r="A34" s="293" t="str">
        <f>A2</f>
        <v>9-02-2022</v>
      </c>
      <c r="B34" s="294"/>
      <c r="C34" s="294"/>
      <c r="D34" s="294"/>
      <c r="E34" s="294"/>
      <c r="F34" s="294"/>
      <c r="G34" s="295"/>
      <c r="H34" s="296" t="s">
        <v>49</v>
      </c>
      <c r="I34" s="297"/>
      <c r="J34" s="293" t="str">
        <f>J2</f>
        <v>SUNNY</v>
      </c>
      <c r="K34" s="295"/>
      <c r="L34" s="297" t="s">
        <v>50</v>
      </c>
      <c r="M34" s="298"/>
      <c r="N34" s="296"/>
      <c r="O34" s="294" t="str">
        <f>O2</f>
        <v>JOHN</v>
      </c>
      <c r="P34" s="294"/>
      <c r="Q34" s="295"/>
      <c r="R34" s="297" t="s">
        <v>51</v>
      </c>
      <c r="S34" s="296"/>
      <c r="T34" s="299">
        <f>T2</f>
        <v>6</v>
      </c>
      <c r="U34" s="29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257" t="s">
        <v>0</v>
      </c>
      <c r="B36" s="154" t="s">
        <v>21</v>
      </c>
      <c r="C36" s="249" t="s">
        <v>7</v>
      </c>
      <c r="D36" s="256" t="s">
        <v>88</v>
      </c>
      <c r="E36" s="266" t="s">
        <v>94</v>
      </c>
      <c r="F36" s="249" t="s">
        <v>25</v>
      </c>
      <c r="G36" s="260" t="s">
        <v>1</v>
      </c>
      <c r="H36" s="258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3" t="s">
        <v>8</v>
      </c>
      <c r="P36" s="303"/>
      <c r="Q36" s="303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254"/>
      <c r="D37" s="259"/>
      <c r="E37" s="268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11"/>
      <c r="Q37" s="312"/>
      <c r="R37" s="60"/>
      <c r="S37" s="61"/>
      <c r="T37" s="61"/>
      <c r="U37" s="70"/>
    </row>
    <row r="38" spans="1:34" x14ac:dyDescent="0.3">
      <c r="A38" s="128">
        <f>A37+1</f>
        <v>27</v>
      </c>
      <c r="B38" s="248"/>
      <c r="C38" s="67"/>
      <c r="D38" s="191"/>
      <c r="E38" s="269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7"/>
      <c r="P38" s="308"/>
      <c r="Q38" s="30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0"/>
      <c r="E39" s="269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11"/>
      <c r="Q39" s="312"/>
      <c r="R39" s="79"/>
      <c r="S39" s="13"/>
      <c r="T39" s="12"/>
      <c r="U39" s="72"/>
    </row>
    <row r="40" spans="1:34" x14ac:dyDescent="0.3">
      <c r="A40" s="128">
        <f t="shared" si="7"/>
        <v>29</v>
      </c>
      <c r="B40" s="248"/>
      <c r="C40" s="63"/>
      <c r="D40" s="181"/>
      <c r="E40" s="269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3"/>
      <c r="P40" s="314"/>
      <c r="Q40" s="31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1"/>
      <c r="E41" s="269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3"/>
      <c r="P41" s="314"/>
      <c r="Q41" s="315"/>
      <c r="R41" s="80"/>
      <c r="S41" s="73"/>
      <c r="T41" s="73"/>
      <c r="U41" s="74"/>
    </row>
    <row r="42" spans="1:34" x14ac:dyDescent="0.3">
      <c r="A42" s="128">
        <f t="shared" si="7"/>
        <v>31</v>
      </c>
      <c r="B42" s="248"/>
      <c r="C42" s="28"/>
      <c r="D42" s="182"/>
      <c r="E42" s="269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0"/>
      <c r="P42" s="301"/>
      <c r="Q42" s="30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88"/>
      <c r="E43" s="269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11"/>
      <c r="Q43" s="312"/>
      <c r="R43" s="78"/>
      <c r="S43" s="71"/>
      <c r="T43" s="71"/>
      <c r="U43" s="72"/>
    </row>
    <row r="44" spans="1:34" x14ac:dyDescent="0.3">
      <c r="A44" s="128">
        <f t="shared" si="7"/>
        <v>33</v>
      </c>
      <c r="B44" s="248"/>
      <c r="C44" s="64"/>
      <c r="D44" s="183"/>
      <c r="E44" s="269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11"/>
      <c r="Q44" s="31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3"/>
      <c r="E45" s="269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11"/>
      <c r="Q45" s="312"/>
      <c r="R45" s="5"/>
      <c r="S45" s="71"/>
      <c r="T45" s="71"/>
      <c r="U45" s="72"/>
    </row>
    <row r="46" spans="1:34" x14ac:dyDescent="0.3">
      <c r="A46" s="128">
        <f t="shared" si="7"/>
        <v>35</v>
      </c>
      <c r="B46" s="248"/>
      <c r="C46" s="65"/>
      <c r="D46" s="184"/>
      <c r="E46" s="269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11"/>
      <c r="Q46" s="31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88"/>
      <c r="E47" s="269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11"/>
      <c r="Q47" s="312"/>
      <c r="R47" s="5"/>
      <c r="S47" s="71"/>
      <c r="T47" s="71"/>
      <c r="U47" s="72"/>
    </row>
    <row r="48" spans="1:34" x14ac:dyDescent="0.3">
      <c r="A48" s="128">
        <f t="shared" si="7"/>
        <v>37</v>
      </c>
      <c r="B48" s="248"/>
      <c r="C48" s="65"/>
      <c r="D48" s="184"/>
      <c r="E48" s="269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11"/>
      <c r="Q48" s="312"/>
      <c r="R48" s="5"/>
      <c r="S48" s="71"/>
      <c r="T48" s="71"/>
      <c r="U48" s="72"/>
    </row>
    <row r="49" spans="1:21" x14ac:dyDescent="0.3">
      <c r="A49" s="128">
        <f t="shared" si="7"/>
        <v>38</v>
      </c>
      <c r="B49" s="248"/>
      <c r="C49" s="18"/>
      <c r="D49" s="188"/>
      <c r="E49" s="269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11"/>
      <c r="Q49" s="312"/>
      <c r="R49" s="5"/>
      <c r="S49" s="71"/>
      <c r="T49" s="75"/>
      <c r="U49" s="72"/>
    </row>
    <row r="50" spans="1:21" x14ac:dyDescent="0.3">
      <c r="A50" s="128">
        <f t="shared" si="7"/>
        <v>39</v>
      </c>
      <c r="B50" s="248"/>
      <c r="C50" s="18"/>
      <c r="D50" s="188"/>
      <c r="E50" s="269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11"/>
      <c r="Q50" s="312"/>
      <c r="R50" s="5"/>
      <c r="S50" s="71"/>
      <c r="T50" s="75"/>
      <c r="U50" s="72"/>
    </row>
    <row r="51" spans="1:21" x14ac:dyDescent="0.3">
      <c r="A51" s="128">
        <f t="shared" si="7"/>
        <v>40</v>
      </c>
      <c r="B51" s="248"/>
      <c r="C51" s="18"/>
      <c r="D51" s="188"/>
      <c r="E51" s="269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11"/>
      <c r="Q51" s="311"/>
      <c r="R51" s="5"/>
      <c r="S51" s="71"/>
      <c r="T51" s="75"/>
      <c r="U51" s="72"/>
    </row>
    <row r="52" spans="1:21" x14ac:dyDescent="0.3">
      <c r="A52" s="128">
        <f t="shared" si="7"/>
        <v>41</v>
      </c>
      <c r="B52" s="248"/>
      <c r="C52" s="66"/>
      <c r="D52" s="189"/>
      <c r="E52" s="269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11"/>
      <c r="Q52" s="311"/>
      <c r="R52" s="81"/>
      <c r="S52" s="68"/>
      <c r="T52" s="76"/>
      <c r="U52" s="77"/>
    </row>
    <row r="53" spans="1:21" x14ac:dyDescent="0.3">
      <c r="A53" s="128">
        <f t="shared" si="7"/>
        <v>42</v>
      </c>
      <c r="B53" s="248"/>
      <c r="C53" s="127"/>
      <c r="D53" s="185"/>
      <c r="E53" s="269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48"/>
      <c r="C54" s="127"/>
      <c r="D54" s="185"/>
      <c r="E54" s="269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48"/>
      <c r="C55" s="127"/>
      <c r="D55" s="185"/>
      <c r="E55" s="269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48"/>
      <c r="C56" s="132"/>
      <c r="D56" s="186"/>
      <c r="E56" s="269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1"/>
      <c r="P56" s="311"/>
      <c r="Q56" s="311"/>
      <c r="R56" s="81"/>
      <c r="S56" s="68"/>
      <c r="T56" s="76"/>
      <c r="U56" s="77"/>
    </row>
    <row r="57" spans="1:21" x14ac:dyDescent="0.3">
      <c r="A57" s="128">
        <f t="shared" si="7"/>
        <v>46</v>
      </c>
      <c r="B57" s="248"/>
      <c r="C57" s="27"/>
      <c r="D57" s="180"/>
      <c r="E57" s="269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11"/>
      <c r="Q57" s="311"/>
      <c r="R57" s="81"/>
      <c r="S57" s="68"/>
      <c r="T57" s="68"/>
      <c r="U57" s="77"/>
    </row>
    <row r="58" spans="1:21" x14ac:dyDescent="0.3">
      <c r="A58" s="128">
        <f t="shared" si="7"/>
        <v>47</v>
      </c>
      <c r="B58" s="248"/>
      <c r="C58" s="27"/>
      <c r="D58" s="180"/>
      <c r="E58" s="269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1"/>
      <c r="P58" s="311"/>
      <c r="Q58" s="311"/>
      <c r="R58" s="81"/>
      <c r="S58" s="68"/>
      <c r="T58" s="68"/>
      <c r="U58" s="77"/>
    </row>
    <row r="59" spans="1:21" x14ac:dyDescent="0.3">
      <c r="A59" s="128">
        <f t="shared" si="7"/>
        <v>48</v>
      </c>
      <c r="B59" s="248"/>
      <c r="C59" s="27"/>
      <c r="D59" s="180"/>
      <c r="E59" s="269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1"/>
      <c r="P59" s="311"/>
      <c r="Q59" s="311"/>
      <c r="R59" s="81"/>
      <c r="S59" s="68"/>
      <c r="T59" s="68"/>
      <c r="U59" s="77"/>
    </row>
    <row r="60" spans="1:21" x14ac:dyDescent="0.3">
      <c r="A60" s="128">
        <f t="shared" si="7"/>
        <v>49</v>
      </c>
      <c r="B60" s="248"/>
      <c r="C60" s="34"/>
      <c r="D60" s="187"/>
      <c r="E60" s="269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11"/>
      <c r="Q60" s="31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48"/>
      <c r="C61" s="30"/>
      <c r="D61" s="193"/>
      <c r="E61" s="269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2"/>
      <c r="P61" s="353"/>
      <c r="Q61" s="354"/>
      <c r="R61" s="81"/>
      <c r="S61" s="68"/>
      <c r="T61" s="68"/>
      <c r="U61" s="77"/>
    </row>
    <row r="62" spans="1:21" x14ac:dyDescent="0.3">
      <c r="A62" s="355" t="s">
        <v>48</v>
      </c>
      <c r="B62" s="356"/>
      <c r="C62" s="356"/>
      <c r="D62" s="356"/>
      <c r="E62" s="356"/>
      <c r="F62" s="356"/>
      <c r="G62" s="356"/>
      <c r="H62" s="356">
        <f t="shared" ref="H62:M62" si="8">SUM(H37:H61)</f>
        <v>0</v>
      </c>
      <c r="I62" s="361">
        <f t="shared" si="8"/>
        <v>0</v>
      </c>
      <c r="J62" s="361">
        <f>J61+J60+J59+J58+J57+J56+J55+J54+J53+J52+J51+J50+J49+J48+J47+J46+J45+J44+J43+J42+J41+J40+J39+J38+J37</f>
        <v>0</v>
      </c>
      <c r="K62" s="361">
        <f>K61+K60+K59+K58+K57+K56+K55+K54+K53+K52+K51+K50+K49+K48+K47+K46+K45+K44+K43+K42+K41+K40+K39+K38+K37</f>
        <v>0</v>
      </c>
      <c r="L62" s="364">
        <f t="shared" si="8"/>
        <v>0</v>
      </c>
      <c r="M62" s="367">
        <f t="shared" si="8"/>
        <v>0</v>
      </c>
      <c r="N62" s="370"/>
      <c r="O62" s="371"/>
      <c r="P62" s="371"/>
      <c r="Q62" s="372"/>
      <c r="R62" s="5"/>
      <c r="S62" s="6"/>
      <c r="T62" s="7"/>
      <c r="U62" s="8"/>
    </row>
    <row r="63" spans="1:21" ht="17.25" thickBot="1" x14ac:dyDescent="0.35">
      <c r="A63" s="357"/>
      <c r="B63" s="358"/>
      <c r="C63" s="358"/>
      <c r="D63" s="358"/>
      <c r="E63" s="358"/>
      <c r="F63" s="358"/>
      <c r="G63" s="358"/>
      <c r="H63" s="358"/>
      <c r="I63" s="362"/>
      <c r="J63" s="362"/>
      <c r="K63" s="362"/>
      <c r="L63" s="365"/>
      <c r="M63" s="368"/>
      <c r="N63" s="373"/>
      <c r="O63" s="374"/>
      <c r="P63" s="374"/>
      <c r="Q63" s="375"/>
      <c r="R63" s="1"/>
      <c r="S63" s="2"/>
      <c r="T63" s="3"/>
      <c r="U63" s="4"/>
    </row>
    <row r="64" spans="1:21" ht="17.25" thickBot="1" x14ac:dyDescent="0.35">
      <c r="A64" s="359"/>
      <c r="B64" s="360"/>
      <c r="C64" s="360"/>
      <c r="D64" s="360"/>
      <c r="E64" s="360"/>
      <c r="F64" s="360"/>
      <c r="G64" s="360"/>
      <c r="H64" s="360"/>
      <c r="I64" s="363"/>
      <c r="J64" s="363"/>
      <c r="K64" s="363"/>
      <c r="L64" s="366"/>
      <c r="M64" s="369"/>
      <c r="N64" s="332"/>
      <c r="O64" s="333"/>
      <c r="P64" s="333"/>
      <c r="Q64" s="376"/>
      <c r="R64" s="377" t="s">
        <v>17</v>
      </c>
      <c r="S64" s="378"/>
      <c r="T64" s="378"/>
      <c r="U64" s="379"/>
    </row>
    <row r="65" spans="1:21" ht="17.25" thickBot="1" x14ac:dyDescent="0.35">
      <c r="A65" s="293" t="s">
        <v>24</v>
      </c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5"/>
    </row>
    <row r="66" spans="1:21" ht="17.25" thickBot="1" x14ac:dyDescent="0.35">
      <c r="A66" s="293" t="str">
        <f>A34</f>
        <v>9-02-2022</v>
      </c>
      <c r="B66" s="294"/>
      <c r="C66" s="294"/>
      <c r="D66" s="294"/>
      <c r="E66" s="294"/>
      <c r="F66" s="294"/>
      <c r="G66" s="295"/>
      <c r="H66" s="296" t="s">
        <v>49</v>
      </c>
      <c r="I66" s="297"/>
      <c r="J66" s="293" t="str">
        <f>J34</f>
        <v>SUNNY</v>
      </c>
      <c r="K66" s="295"/>
      <c r="L66" s="297" t="s">
        <v>50</v>
      </c>
      <c r="M66" s="298"/>
      <c r="N66" s="296"/>
      <c r="O66" s="294" t="str">
        <f>O34</f>
        <v>JOHN</v>
      </c>
      <c r="P66" s="294"/>
      <c r="Q66" s="295"/>
      <c r="R66" s="297" t="s">
        <v>51</v>
      </c>
      <c r="S66" s="296"/>
      <c r="T66" s="299">
        <f>T34</f>
        <v>6</v>
      </c>
      <c r="U66" s="299"/>
    </row>
    <row r="67" spans="1:21" ht="17.25" thickBot="1" x14ac:dyDescent="0.35">
      <c r="A67" s="15" t="s">
        <v>6</v>
      </c>
      <c r="F67" s="166"/>
      <c r="H67" s="9"/>
      <c r="I67" s="19"/>
      <c r="T67" s="10"/>
      <c r="U67" s="11"/>
    </row>
    <row r="68" spans="1:21" ht="17.25" thickBot="1" x14ac:dyDescent="0.35">
      <c r="A68" s="154" t="s">
        <v>0</v>
      </c>
      <c r="B68" s="249" t="s">
        <v>21</v>
      </c>
      <c r="C68" s="249" t="s">
        <v>7</v>
      </c>
      <c r="D68" s="256" t="s">
        <v>88</v>
      </c>
      <c r="E68" s="266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3" t="s">
        <v>8</v>
      </c>
      <c r="P68" s="303"/>
      <c r="Q68" s="303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48"/>
      <c r="C69" s="254"/>
      <c r="D69" s="261"/>
      <c r="E69" s="268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11"/>
      <c r="Q69" s="312"/>
      <c r="R69" s="60"/>
      <c r="S69" s="61"/>
      <c r="T69" s="61"/>
      <c r="U69" s="70"/>
    </row>
    <row r="70" spans="1:21" x14ac:dyDescent="0.3">
      <c r="A70" s="128">
        <f>A69+1</f>
        <v>52</v>
      </c>
      <c r="B70" s="248"/>
      <c r="C70" s="67"/>
      <c r="D70" s="191"/>
      <c r="E70" s="269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7"/>
      <c r="P70" s="308"/>
      <c r="Q70" s="30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48"/>
      <c r="C71" s="27"/>
      <c r="D71" s="180"/>
      <c r="E71" s="269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11"/>
      <c r="Q71" s="31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48"/>
      <c r="C72" s="63"/>
      <c r="D72" s="181"/>
      <c r="E72" s="269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3"/>
      <c r="P72" s="314"/>
      <c r="Q72" s="31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48"/>
      <c r="C73" s="63"/>
      <c r="D73" s="181"/>
      <c r="E73" s="269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3"/>
      <c r="P73" s="314"/>
      <c r="Q73" s="31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48"/>
      <c r="C74" s="28"/>
      <c r="D74" s="182"/>
      <c r="E74" s="269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0"/>
      <c r="P74" s="301"/>
      <c r="Q74" s="30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48"/>
      <c r="C75" s="18"/>
      <c r="D75" s="188"/>
      <c r="E75" s="269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11"/>
      <c r="Q75" s="31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48"/>
      <c r="C76" s="64"/>
      <c r="D76" s="183"/>
      <c r="E76" s="269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11"/>
      <c r="Q76" s="312"/>
      <c r="R76" s="5"/>
      <c r="S76" s="71"/>
      <c r="T76" s="71"/>
      <c r="U76" s="72"/>
    </row>
    <row r="77" spans="1:21" x14ac:dyDescent="0.3">
      <c r="A77" s="128">
        <f t="shared" si="11"/>
        <v>59</v>
      </c>
      <c r="B77" s="248"/>
      <c r="C77" s="64"/>
      <c r="D77" s="183"/>
      <c r="E77" s="269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11"/>
      <c r="Q77" s="312"/>
      <c r="R77" s="5"/>
      <c r="S77" s="71"/>
      <c r="T77" s="71"/>
      <c r="U77" s="72"/>
    </row>
    <row r="78" spans="1:21" x14ac:dyDescent="0.3">
      <c r="A78" s="128">
        <f t="shared" si="11"/>
        <v>60</v>
      </c>
      <c r="B78" s="248"/>
      <c r="C78" s="65"/>
      <c r="D78" s="184"/>
      <c r="E78" s="269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11"/>
      <c r="Q78" s="312"/>
      <c r="R78" s="5"/>
      <c r="S78" s="71"/>
      <c r="T78" s="71"/>
      <c r="U78" s="72"/>
    </row>
    <row r="79" spans="1:21" x14ac:dyDescent="0.3">
      <c r="A79" s="128">
        <f t="shared" si="11"/>
        <v>61</v>
      </c>
      <c r="B79" s="248"/>
      <c r="C79" s="18"/>
      <c r="D79" s="188"/>
      <c r="E79" s="269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11"/>
      <c r="Q79" s="312"/>
      <c r="R79" s="5"/>
      <c r="S79" s="71"/>
      <c r="T79" s="71"/>
      <c r="U79" s="72"/>
    </row>
    <row r="80" spans="1:21" x14ac:dyDescent="0.3">
      <c r="A80" s="128">
        <f t="shared" si="11"/>
        <v>62</v>
      </c>
      <c r="B80" s="248"/>
      <c r="C80" s="65"/>
      <c r="D80" s="184"/>
      <c r="E80" s="269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11"/>
      <c r="Q80" s="312"/>
      <c r="R80" s="5"/>
      <c r="S80" s="71"/>
      <c r="T80" s="71"/>
      <c r="U80" s="72"/>
    </row>
    <row r="81" spans="1:21" x14ac:dyDescent="0.3">
      <c r="A81" s="128">
        <f t="shared" si="11"/>
        <v>63</v>
      </c>
      <c r="B81" s="248"/>
      <c r="C81" s="18"/>
      <c r="D81" s="188"/>
      <c r="E81" s="269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11"/>
      <c r="Q81" s="312"/>
      <c r="R81" s="5"/>
      <c r="S81" s="71"/>
      <c r="T81" s="75"/>
      <c r="U81" s="72"/>
    </row>
    <row r="82" spans="1:21" x14ac:dyDescent="0.3">
      <c r="A82" s="128">
        <f t="shared" si="11"/>
        <v>64</v>
      </c>
      <c r="B82" s="248"/>
      <c r="C82" s="18"/>
      <c r="D82" s="188"/>
      <c r="E82" s="269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11"/>
      <c r="Q82" s="312"/>
      <c r="R82" s="5"/>
      <c r="S82" s="71"/>
      <c r="T82" s="75"/>
      <c r="U82" s="72"/>
    </row>
    <row r="83" spans="1:21" x14ac:dyDescent="0.3">
      <c r="A83" s="128">
        <f t="shared" si="11"/>
        <v>65</v>
      </c>
      <c r="B83" s="248"/>
      <c r="C83" s="18"/>
      <c r="D83" s="188"/>
      <c r="E83" s="269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11"/>
      <c r="Q83" s="311"/>
      <c r="R83" s="5"/>
      <c r="S83" s="71"/>
      <c r="T83" s="75"/>
      <c r="U83" s="72"/>
    </row>
    <row r="84" spans="1:21" x14ac:dyDescent="0.3">
      <c r="A84" s="128">
        <f t="shared" si="11"/>
        <v>66</v>
      </c>
      <c r="B84" s="248"/>
      <c r="C84" s="66"/>
      <c r="D84" s="189"/>
      <c r="E84" s="269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11"/>
      <c r="Q84" s="31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48"/>
      <c r="C85" s="127"/>
      <c r="D85" s="185"/>
      <c r="E85" s="269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48"/>
      <c r="C86" s="127"/>
      <c r="D86" s="185"/>
      <c r="E86" s="269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48"/>
      <c r="C87" s="127"/>
      <c r="D87" s="185"/>
      <c r="E87" s="269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48"/>
      <c r="C88" s="132"/>
      <c r="D88" s="186"/>
      <c r="E88" s="269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1"/>
      <c r="P88" s="311"/>
      <c r="Q88" s="31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48"/>
      <c r="C89" s="27"/>
      <c r="D89" s="180"/>
      <c r="E89" s="269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11"/>
      <c r="Q89" s="31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48"/>
      <c r="C90" s="27"/>
      <c r="D90" s="180"/>
      <c r="E90" s="269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1"/>
      <c r="P90" s="311"/>
      <c r="Q90" s="31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48"/>
      <c r="C91" s="27"/>
      <c r="D91" s="180"/>
      <c r="E91" s="269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1"/>
      <c r="P91" s="311"/>
      <c r="Q91" s="31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48"/>
      <c r="C92" s="34"/>
      <c r="D92" s="187"/>
      <c r="E92" s="269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11"/>
      <c r="Q92" s="31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48"/>
      <c r="C93" s="30"/>
      <c r="D93" s="194"/>
      <c r="E93" s="272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2"/>
      <c r="P93" s="353"/>
      <c r="Q93" s="354"/>
      <c r="R93" s="81"/>
      <c r="S93" s="68"/>
      <c r="T93" s="68"/>
      <c r="U93" s="77"/>
    </row>
    <row r="94" spans="1:21" x14ac:dyDescent="0.3">
      <c r="A94" s="355" t="s">
        <v>48</v>
      </c>
      <c r="B94" s="356"/>
      <c r="C94" s="356"/>
      <c r="D94" s="356"/>
      <c r="E94" s="380"/>
      <c r="F94" s="356"/>
      <c r="G94" s="356"/>
      <c r="H94" s="356">
        <f t="shared" ref="H94:M94" si="12">SUM(H69:H93)</f>
        <v>0</v>
      </c>
      <c r="I94" s="361">
        <f t="shared" si="12"/>
        <v>0</v>
      </c>
      <c r="J94" s="361">
        <f>J93+J92+J91+J90+J89+J88+J87+J86+J85+J84+J83+J82+J81+J80+J79+J78+J77+J76+J75+J74+J73+J72+J71+J70+J69</f>
        <v>0</v>
      </c>
      <c r="K94" s="361">
        <f>K93+K92+K91+K90+K89+K88+K87+K86+K85+K84+K83+K82+K81+K80+K79+K78+K77+K76+K75+K74+K73+K72+K71+K70+K69</f>
        <v>0</v>
      </c>
      <c r="L94" s="364">
        <f t="shared" si="12"/>
        <v>0</v>
      </c>
      <c r="M94" s="367">
        <f t="shared" si="12"/>
        <v>0</v>
      </c>
      <c r="N94" s="370"/>
      <c r="O94" s="371"/>
      <c r="P94" s="371"/>
      <c r="Q94" s="372"/>
      <c r="R94" s="5"/>
      <c r="S94" s="6"/>
      <c r="T94" s="7"/>
      <c r="U94" s="8"/>
    </row>
    <row r="95" spans="1:21" ht="17.25" thickBot="1" x14ac:dyDescent="0.35">
      <c r="A95" s="357"/>
      <c r="B95" s="358"/>
      <c r="C95" s="358"/>
      <c r="D95" s="358"/>
      <c r="E95" s="358"/>
      <c r="F95" s="358"/>
      <c r="G95" s="358"/>
      <c r="H95" s="358"/>
      <c r="I95" s="362"/>
      <c r="J95" s="362"/>
      <c r="K95" s="362"/>
      <c r="L95" s="365"/>
      <c r="M95" s="368"/>
      <c r="N95" s="373"/>
      <c r="O95" s="374"/>
      <c r="P95" s="374"/>
      <c r="Q95" s="375"/>
      <c r="R95" s="1"/>
      <c r="S95" s="2"/>
      <c r="T95" s="3"/>
      <c r="U95" s="4"/>
    </row>
    <row r="96" spans="1:21" ht="17.25" thickBot="1" x14ac:dyDescent="0.35">
      <c r="A96" s="359"/>
      <c r="B96" s="360"/>
      <c r="C96" s="360"/>
      <c r="D96" s="360"/>
      <c r="E96" s="360"/>
      <c r="F96" s="360"/>
      <c r="G96" s="360"/>
      <c r="H96" s="360"/>
      <c r="I96" s="363"/>
      <c r="J96" s="363"/>
      <c r="K96" s="363"/>
      <c r="L96" s="366"/>
      <c r="M96" s="369"/>
      <c r="N96" s="332"/>
      <c r="O96" s="333"/>
      <c r="P96" s="333"/>
      <c r="Q96" s="376"/>
      <c r="R96" s="377" t="s">
        <v>52</v>
      </c>
      <c r="S96" s="378"/>
      <c r="T96" s="378"/>
      <c r="U96" s="379"/>
    </row>
  </sheetData>
  <mergeCells count="132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2">
    <dataValidation type="list" allowBlank="1" showInputMessage="1" showErrorMessage="1" sqref="X7" xr:uid="{ADD511C5-A579-4D7F-A8A7-A59758B4A0FC}">
      <formula1>$W$5:$W$7</formula1>
    </dataValidation>
    <dataValidation type="list" allowBlank="1" showInputMessage="1" showErrorMessage="1" sqref="W5:W8 E5:E29 E37:E61 E69:E93" xr:uid="{38F78852-FFA4-4967-A101-187D2DD6F1C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="90" zoomScaleNormal="90" zoomScaleSheetLayoutView="77" workbookViewId="0">
      <selection activeCell="R29" sqref="R29:T2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0" customWidth="1"/>
    <col min="5" max="5" width="5.75" style="265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3" t="s">
        <v>77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5"/>
    </row>
    <row r="2" spans="1:44" ht="17.25" thickBot="1" x14ac:dyDescent="0.35">
      <c r="A2" s="293" t="s">
        <v>105</v>
      </c>
      <c r="B2" s="294"/>
      <c r="C2" s="294"/>
      <c r="D2" s="294"/>
      <c r="E2" s="294"/>
      <c r="F2" s="294"/>
      <c r="G2" s="295"/>
      <c r="H2" s="296" t="s">
        <v>49</v>
      </c>
      <c r="I2" s="297"/>
      <c r="J2" s="293" t="s">
        <v>159</v>
      </c>
      <c r="K2" s="295"/>
      <c r="L2" s="297" t="s">
        <v>93</v>
      </c>
      <c r="M2" s="298"/>
      <c r="N2" s="296"/>
      <c r="O2" s="294" t="s">
        <v>134</v>
      </c>
      <c r="P2" s="294"/>
      <c r="Q2" s="295"/>
      <c r="R2" s="297" t="s">
        <v>51</v>
      </c>
      <c r="S2" s="296"/>
      <c r="T2" s="299">
        <v>7</v>
      </c>
      <c r="U2" s="29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49" t="s">
        <v>21</v>
      </c>
      <c r="C4" s="249" t="s">
        <v>7</v>
      </c>
      <c r="D4" s="256" t="s">
        <v>88</v>
      </c>
      <c r="E4" s="266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3" t="s">
        <v>8</v>
      </c>
      <c r="P4" s="303"/>
      <c r="Q4" s="303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3146</v>
      </c>
      <c r="C5" s="254" t="s">
        <v>225</v>
      </c>
      <c r="D5" s="255" t="s">
        <v>226</v>
      </c>
      <c r="E5" s="268" t="s">
        <v>114</v>
      </c>
      <c r="F5" s="169">
        <v>910</v>
      </c>
      <c r="G5" s="118" t="s">
        <v>185</v>
      </c>
      <c r="H5" s="91"/>
      <c r="I5" s="124">
        <v>70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45.8</v>
      </c>
      <c r="L5" s="131"/>
      <c r="M5" s="131"/>
      <c r="N5" s="134" t="s">
        <v>134</v>
      </c>
      <c r="O5" s="304" t="s">
        <v>227</v>
      </c>
      <c r="P5" s="305"/>
      <c r="Q5" s="306"/>
      <c r="R5" s="33" t="s">
        <v>134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3147</v>
      </c>
      <c r="C6" s="67" t="s">
        <v>221</v>
      </c>
      <c r="D6" s="195" t="s">
        <v>222</v>
      </c>
      <c r="E6" s="269" t="s">
        <v>97</v>
      </c>
      <c r="F6" s="170">
        <v>910</v>
      </c>
      <c r="G6" s="118" t="s">
        <v>122</v>
      </c>
      <c r="H6" s="91"/>
      <c r="I6" s="124">
        <v>75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134</v>
      </c>
      <c r="O6" s="307"/>
      <c r="P6" s="308"/>
      <c r="Q6" s="309"/>
      <c r="R6" s="132" t="s">
        <v>135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3148</v>
      </c>
      <c r="C7" s="67" t="s">
        <v>228</v>
      </c>
      <c r="D7" s="195" t="s">
        <v>229</v>
      </c>
      <c r="E7" s="269" t="s">
        <v>121</v>
      </c>
      <c r="F7" s="170">
        <v>925</v>
      </c>
      <c r="G7" s="118" t="s">
        <v>118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134</v>
      </c>
      <c r="O7" s="310"/>
      <c r="P7" s="311"/>
      <c r="Q7" s="312"/>
      <c r="R7" s="134" t="s">
        <v>136</v>
      </c>
      <c r="S7" s="31">
        <v>0.39583333333333331</v>
      </c>
      <c r="T7" s="32">
        <v>0.66666666666666663</v>
      </c>
      <c r="U7" s="92">
        <f t="shared" si="0"/>
        <v>6.5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3149</v>
      </c>
      <c r="C8" s="27" t="s">
        <v>223</v>
      </c>
      <c r="D8" s="195" t="s">
        <v>224</v>
      </c>
      <c r="E8" s="269" t="s">
        <v>95</v>
      </c>
      <c r="F8" s="170">
        <v>935</v>
      </c>
      <c r="G8" s="118" t="s">
        <v>118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134</v>
      </c>
      <c r="O8" s="313"/>
      <c r="P8" s="314"/>
      <c r="Q8" s="315"/>
      <c r="R8" s="134" t="s">
        <v>152</v>
      </c>
      <c r="S8" s="31">
        <v>0.35416666666666669</v>
      </c>
      <c r="T8" s="32">
        <v>0.70833333333333337</v>
      </c>
      <c r="U8" s="92">
        <f t="shared" si="0"/>
        <v>8.5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3150</v>
      </c>
      <c r="C9" s="63" t="s">
        <v>230</v>
      </c>
      <c r="D9" s="196" t="s">
        <v>231</v>
      </c>
      <c r="E9" s="269" t="s">
        <v>96</v>
      </c>
      <c r="F9" s="171">
        <v>940</v>
      </c>
      <c r="G9" s="119" t="s">
        <v>122</v>
      </c>
      <c r="H9" s="91"/>
      <c r="I9" s="91">
        <v>60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3"/>
      <c r="P9" s="314"/>
      <c r="Q9" s="315"/>
      <c r="R9" s="26" t="s">
        <v>137</v>
      </c>
      <c r="S9" s="31">
        <v>0.40625</v>
      </c>
      <c r="T9" s="32">
        <v>0.6875</v>
      </c>
      <c r="U9" s="92">
        <f t="shared" si="0"/>
        <v>6.75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3151</v>
      </c>
      <c r="C10" s="28" t="s">
        <v>234</v>
      </c>
      <c r="D10" s="197" t="s">
        <v>235</v>
      </c>
      <c r="E10" s="269" t="s">
        <v>121</v>
      </c>
      <c r="F10" s="172">
        <v>950</v>
      </c>
      <c r="G10" s="120" t="s">
        <v>118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0"/>
      <c r="P10" s="301"/>
      <c r="Q10" s="302"/>
      <c r="R10" s="26" t="s">
        <v>162</v>
      </c>
      <c r="S10" s="31">
        <v>0.41666666666666669</v>
      </c>
      <c r="T10" s="32">
        <v>0.6875</v>
      </c>
      <c r="U10" s="92">
        <f t="shared" si="0"/>
        <v>6.5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3152</v>
      </c>
      <c r="C11" s="18" t="s">
        <v>232</v>
      </c>
      <c r="D11" s="198" t="s">
        <v>233</v>
      </c>
      <c r="E11" s="269" t="s">
        <v>114</v>
      </c>
      <c r="F11" s="66">
        <v>1010</v>
      </c>
      <c r="G11" s="121" t="s">
        <v>122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134</v>
      </c>
      <c r="O11" s="310"/>
      <c r="P11" s="311"/>
      <c r="Q11" s="312"/>
      <c r="R11" s="26" t="s">
        <v>153</v>
      </c>
      <c r="S11" s="31">
        <v>0.42708333333333331</v>
      </c>
      <c r="T11" s="32">
        <v>0.625</v>
      </c>
      <c r="U11" s="92">
        <f t="shared" si="0"/>
        <v>4.75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284">
        <v>3153</v>
      </c>
      <c r="C12" s="286" t="s">
        <v>236</v>
      </c>
      <c r="D12" s="287" t="s">
        <v>237</v>
      </c>
      <c r="E12" s="276" t="s">
        <v>121</v>
      </c>
      <c r="F12" s="288">
        <v>1035</v>
      </c>
      <c r="G12" s="284" t="s">
        <v>148</v>
      </c>
      <c r="H12" s="285"/>
      <c r="I12" s="285">
        <v>120</v>
      </c>
      <c r="J12" s="278" t="str">
        <f t="shared" si="1"/>
        <v>0</v>
      </c>
      <c r="K12" s="278" t="str">
        <f t="shared" si="2"/>
        <v>0</v>
      </c>
      <c r="L12" s="279"/>
      <c r="M12" s="279">
        <v>375</v>
      </c>
      <c r="N12" s="280" t="s">
        <v>134</v>
      </c>
      <c r="O12" s="381" t="s">
        <v>264</v>
      </c>
      <c r="P12" s="382"/>
      <c r="Q12" s="38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3154</v>
      </c>
      <c r="C13" s="64" t="s">
        <v>238</v>
      </c>
      <c r="D13" s="199" t="s">
        <v>239</v>
      </c>
      <c r="E13" s="269" t="s">
        <v>121</v>
      </c>
      <c r="F13" s="172">
        <v>1115</v>
      </c>
      <c r="G13" s="119" t="s">
        <v>148</v>
      </c>
      <c r="H13" s="168"/>
      <c r="I13" s="167">
        <v>100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134</v>
      </c>
      <c r="O13" s="310"/>
      <c r="P13" s="311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3155</v>
      </c>
      <c r="C14" s="65" t="s">
        <v>240</v>
      </c>
      <c r="D14" s="200" t="s">
        <v>241</v>
      </c>
      <c r="E14" s="269" t="s">
        <v>121</v>
      </c>
      <c r="F14" s="173">
        <v>1130</v>
      </c>
      <c r="G14" s="122" t="s">
        <v>111</v>
      </c>
      <c r="H14" s="123"/>
      <c r="I14" s="125">
        <v>150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2" t="s">
        <v>135</v>
      </c>
      <c r="O14" s="310" t="s">
        <v>247</v>
      </c>
      <c r="P14" s="311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3156</v>
      </c>
      <c r="C15" s="65" t="s">
        <v>254</v>
      </c>
      <c r="D15" s="200" t="s">
        <v>255</v>
      </c>
      <c r="E15" s="269" t="s">
        <v>121</v>
      </c>
      <c r="F15" s="173">
        <v>1200</v>
      </c>
      <c r="G15" s="122" t="s">
        <v>185</v>
      </c>
      <c r="H15" s="123"/>
      <c r="I15" s="124"/>
      <c r="J15" s="130" t="str">
        <f>IF(G15="RSL","50","0")</f>
        <v>0</v>
      </c>
      <c r="K15" s="130">
        <v>58.3</v>
      </c>
      <c r="L15" s="131"/>
      <c r="M15" s="131"/>
      <c r="N15" s="134" t="s">
        <v>134</v>
      </c>
      <c r="O15" s="310" t="s">
        <v>256</v>
      </c>
      <c r="P15" s="311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3157</v>
      </c>
      <c r="C16" s="65" t="s">
        <v>242</v>
      </c>
      <c r="D16" s="200" t="s">
        <v>243</v>
      </c>
      <c r="E16" s="269" t="s">
        <v>121</v>
      </c>
      <c r="F16" s="173">
        <v>1205</v>
      </c>
      <c r="G16" s="122" t="s">
        <v>122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134</v>
      </c>
      <c r="O16" s="310"/>
      <c r="P16" s="311"/>
      <c r="Q16" s="312"/>
      <c r="R16" s="82">
        <f>H32/U16</f>
        <v>0.35294117647058826</v>
      </c>
      <c r="S16" s="83">
        <f>H32/(U16-U5)</f>
        <v>0.42857142857142855</v>
      </c>
      <c r="T16" s="83">
        <f>C32/U16</f>
        <v>29.884313725490195</v>
      </c>
      <c r="U16" s="83">
        <f>SUM(U5:U15)</f>
        <v>51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3158</v>
      </c>
      <c r="C17" s="65" t="s">
        <v>244</v>
      </c>
      <c r="D17" s="200" t="s">
        <v>245</v>
      </c>
      <c r="E17" s="269" t="s">
        <v>121</v>
      </c>
      <c r="F17" s="173">
        <v>1205</v>
      </c>
      <c r="G17" s="122" t="s">
        <v>246</v>
      </c>
      <c r="H17" s="123">
        <v>60</v>
      </c>
      <c r="I17" s="124"/>
      <c r="J17" s="130" t="str">
        <f>IF(G17="RSL","50","0")</f>
        <v>0</v>
      </c>
      <c r="K17" s="130" t="str">
        <f>IF(G17="GVS","37.5",IF(G17="GVM","41.5",IF(G17="GVL","50",IF(G17="PCS","45.8",IF(G17="PCM","50",IF(G17="PCL","58.3","0"))))))</f>
        <v>0</v>
      </c>
      <c r="L17" s="131"/>
      <c r="M17" s="131"/>
      <c r="N17" s="134" t="s">
        <v>134</v>
      </c>
      <c r="O17" s="310"/>
      <c r="P17" s="311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3159</v>
      </c>
      <c r="C18" s="18" t="s">
        <v>248</v>
      </c>
      <c r="D18" s="198" t="s">
        <v>249</v>
      </c>
      <c r="E18" s="269" t="s">
        <v>250</v>
      </c>
      <c r="F18" s="66">
        <v>1240</v>
      </c>
      <c r="G18" s="121" t="s">
        <v>118</v>
      </c>
      <c r="H18" s="123"/>
      <c r="I18" s="124">
        <v>85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134</v>
      </c>
      <c r="O18" s="310"/>
      <c r="P18" s="311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273">
        <v>3160</v>
      </c>
      <c r="C19" s="281" t="s">
        <v>251</v>
      </c>
      <c r="D19" s="282" t="s">
        <v>252</v>
      </c>
      <c r="E19" s="276" t="s">
        <v>96</v>
      </c>
      <c r="F19" s="283">
        <v>1400</v>
      </c>
      <c r="G19" s="289" t="s">
        <v>118</v>
      </c>
      <c r="H19" s="285"/>
      <c r="I19" s="278">
        <v>85</v>
      </c>
      <c r="J19" s="278" t="str">
        <f t="shared" si="1"/>
        <v>0</v>
      </c>
      <c r="K19" s="278" t="str">
        <f t="shared" si="2"/>
        <v>0</v>
      </c>
      <c r="L19" s="279"/>
      <c r="M19" s="279"/>
      <c r="N19" s="280" t="s">
        <v>134</v>
      </c>
      <c r="O19" s="381" t="s">
        <v>253</v>
      </c>
      <c r="P19" s="382"/>
      <c r="Q19" s="382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3161</v>
      </c>
      <c r="C20" s="18" t="s">
        <v>257</v>
      </c>
      <c r="D20" s="198" t="s">
        <v>258</v>
      </c>
      <c r="E20" s="269" t="s">
        <v>114</v>
      </c>
      <c r="F20" s="66">
        <v>1430</v>
      </c>
      <c r="G20" s="121" t="s">
        <v>148</v>
      </c>
      <c r="H20" s="123"/>
      <c r="I20" s="125">
        <v>150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134</v>
      </c>
      <c r="O20" s="318"/>
      <c r="P20" s="319"/>
      <c r="Q20" s="31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3162</v>
      </c>
      <c r="C21" s="18" t="s">
        <v>262</v>
      </c>
      <c r="D21" s="198" t="s">
        <v>263</v>
      </c>
      <c r="E21" s="269" t="s">
        <v>121</v>
      </c>
      <c r="F21" s="66">
        <v>1440</v>
      </c>
      <c r="G21" s="20" t="s">
        <v>44</v>
      </c>
      <c r="H21" s="123">
        <v>5</v>
      </c>
      <c r="I21" s="124"/>
      <c r="J21" s="130" t="str">
        <f t="shared" si="1"/>
        <v>50</v>
      </c>
      <c r="K21" s="130" t="str">
        <f t="shared" si="2"/>
        <v>0</v>
      </c>
      <c r="L21" s="131"/>
      <c r="M21" s="131"/>
      <c r="N21" s="134" t="s">
        <v>134</v>
      </c>
      <c r="O21" s="310" t="s">
        <v>261</v>
      </c>
      <c r="P21" s="311"/>
      <c r="Q21" s="31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3163</v>
      </c>
      <c r="C22" s="127" t="s">
        <v>259</v>
      </c>
      <c r="D22" s="201" t="s">
        <v>260</v>
      </c>
      <c r="E22" s="269" t="s">
        <v>121</v>
      </c>
      <c r="F22" s="174">
        <v>1445</v>
      </c>
      <c r="G22" s="248" t="s">
        <v>122</v>
      </c>
      <c r="H22" s="89"/>
      <c r="I22" s="141">
        <v>55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134</v>
      </c>
      <c r="O22" s="310"/>
      <c r="P22" s="311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2"/>
      <c r="E23" s="269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6"/>
      <c r="Y23" s="317"/>
      <c r="Z23" s="31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1"/>
      <c r="E24" s="269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11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3"/>
      <c r="E25" s="269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11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0">
        <f>((C32+(R26+S26+T26)*0.5))</f>
        <v>1524.1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4"/>
      <c r="E26" s="269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11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2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4"/>
      <c r="E27" s="269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11"/>
      <c r="Q27" s="312"/>
      <c r="R27" s="329" t="s">
        <v>56</v>
      </c>
      <c r="S27" s="330"/>
      <c r="T27" s="330"/>
      <c r="U27" s="33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35">
      <c r="A28" s="135">
        <v>24</v>
      </c>
      <c r="B28" s="133"/>
      <c r="C28" s="27"/>
      <c r="D28" s="204"/>
      <c r="E28" s="27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11"/>
      <c r="Q28" s="312"/>
      <c r="R28" s="322"/>
      <c r="S28" s="323"/>
      <c r="T28" s="32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05"/>
      <c r="E29" s="271"/>
      <c r="F29" s="176"/>
      <c r="G29" s="20"/>
      <c r="H29" s="89"/>
      <c r="I29" s="89"/>
      <c r="J29" s="262" t="str">
        <f t="shared" si="1"/>
        <v>0</v>
      </c>
      <c r="K29" s="262" t="str">
        <f t="shared" si="2"/>
        <v>0</v>
      </c>
      <c r="L29" s="69"/>
      <c r="M29" s="69"/>
      <c r="N29" s="134"/>
      <c r="O29" s="338"/>
      <c r="P29" s="339"/>
      <c r="Q29" s="340"/>
      <c r="R29" s="341"/>
      <c r="S29" s="342"/>
      <c r="T29" s="34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4" t="s">
        <v>48</v>
      </c>
      <c r="B30" s="345"/>
      <c r="C30" s="345"/>
      <c r="D30" s="345"/>
      <c r="E30" s="346"/>
      <c r="F30" s="345"/>
      <c r="G30" s="345"/>
      <c r="H30" s="245">
        <f t="shared" ref="H30:M30" si="3">SUM(H5:H29)</f>
        <v>65</v>
      </c>
      <c r="I30" s="105">
        <f>SUM(I5:I29)</f>
        <v>1305</v>
      </c>
      <c r="J30" s="105">
        <f>J5+J6+J7+J8+J9+J10+J11+J12+J13+J14+J15+J16+J18+J19+J17+J20+J22+J23+J21+J24+J25+J26+J27+J28+J29</f>
        <v>50</v>
      </c>
      <c r="K30" s="105">
        <f>K5+K6+K7+K8+K9+K10+K11+K12+K13+K14+K15+K16+K18+K19+K17+K20+K22+K23+K21+K24+K25+K26+K27+K28+K29</f>
        <v>104.1</v>
      </c>
      <c r="L30" s="106">
        <f t="shared" si="3"/>
        <v>0</v>
      </c>
      <c r="M30" s="106">
        <f t="shared" si="3"/>
        <v>375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7"/>
      <c r="S30" s="347"/>
      <c r="T30" s="34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9" t="s">
        <v>16</v>
      </c>
      <c r="B31" s="350"/>
      <c r="C31" s="350"/>
      <c r="D31" s="350"/>
      <c r="E31" s="350"/>
      <c r="F31" s="350"/>
      <c r="G31" s="350"/>
      <c r="H31" s="246">
        <f t="shared" ref="H31:J31" si="4">H30+H62+H94</f>
        <v>65</v>
      </c>
      <c r="I31" s="103">
        <f t="shared" si="4"/>
        <v>1305</v>
      </c>
      <c r="J31" s="103">
        <f t="shared" si="4"/>
        <v>50</v>
      </c>
      <c r="K31" s="103">
        <f>K30+K62+K94</f>
        <v>104.1</v>
      </c>
      <c r="L31" s="97">
        <f>L30+L62+L94</f>
        <v>0</v>
      </c>
      <c r="M31" s="97">
        <f>M30+M62+M94</f>
        <v>375</v>
      </c>
      <c r="N31" s="251">
        <f>COUNT(H5:H29,H37:H61,H69:H93)</f>
        <v>2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65</v>
      </c>
      <c r="T31" s="334">
        <f>H31+I31+L31+M31</f>
        <v>1745</v>
      </c>
      <c r="U31" s="33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5" t="s">
        <v>55</v>
      </c>
      <c r="B32" s="326"/>
      <c r="C32" s="107">
        <f>H31+I31+J31+K31</f>
        <v>1524.1</v>
      </c>
      <c r="D32" s="192"/>
      <c r="E32" s="267"/>
      <c r="F32" s="327" t="s">
        <v>53</v>
      </c>
      <c r="G32" s="327"/>
      <c r="H32" s="109">
        <f>COUNT(B5:B29,B37:B61,B69:B93)</f>
        <v>18</v>
      </c>
      <c r="I32" s="328" t="s">
        <v>54</v>
      </c>
      <c r="J32" s="328"/>
      <c r="K32" s="108">
        <f>C32/H32</f>
        <v>84.672222222222217</v>
      </c>
      <c r="L32" s="252"/>
      <c r="M32" s="252"/>
      <c r="N32" s="252">
        <f>H31/C32</f>
        <v>4.2648120202086477E-2</v>
      </c>
      <c r="O32" s="252">
        <f>I31/C32</f>
        <v>0.85624302867265933</v>
      </c>
      <c r="P32" s="252">
        <f>K31/C32</f>
        <v>6.8302604815956958E-2</v>
      </c>
      <c r="Q32" s="110">
        <f>J31/C32</f>
        <v>3.2806246309297293E-2</v>
      </c>
      <c r="R32" s="99" t="s">
        <v>82</v>
      </c>
      <c r="S32" s="247">
        <f>I31+M31</f>
        <v>1680</v>
      </c>
      <c r="T32" s="336"/>
      <c r="U32" s="337"/>
      <c r="V32" s="55"/>
      <c r="W32" s="55"/>
      <c r="X32" s="56" t="s">
        <v>27</v>
      </c>
      <c r="Y32" s="56"/>
      <c r="Z32" s="54">
        <f>I31</f>
        <v>1305</v>
      </c>
      <c r="AE32" s="37"/>
      <c r="AF32" s="37"/>
      <c r="AG32" s="37"/>
      <c r="AH32" s="37"/>
    </row>
    <row r="33" spans="1:34" ht="17.25" thickBot="1" x14ac:dyDescent="0.35">
      <c r="A33" s="332" t="s">
        <v>24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294"/>
      <c r="U33" s="295"/>
      <c r="X33" s="57" t="s">
        <v>29</v>
      </c>
      <c r="Y33" s="57"/>
      <c r="Z33" s="58">
        <f>SUM(Z31:Z32)</f>
        <v>-1440</v>
      </c>
      <c r="AE33" s="37"/>
      <c r="AF33" s="37"/>
      <c r="AG33" s="59"/>
      <c r="AH33" s="37"/>
    </row>
    <row r="34" spans="1:34" ht="17.25" thickBot="1" x14ac:dyDescent="0.35">
      <c r="A34" s="293" t="str">
        <f>A2</f>
        <v>10-02-2022</v>
      </c>
      <c r="B34" s="294"/>
      <c r="C34" s="294"/>
      <c r="D34" s="294"/>
      <c r="E34" s="294"/>
      <c r="F34" s="294"/>
      <c r="G34" s="295"/>
      <c r="H34" s="296" t="s">
        <v>49</v>
      </c>
      <c r="I34" s="297"/>
      <c r="J34" s="293" t="str">
        <f>J2</f>
        <v>SUNNY</v>
      </c>
      <c r="K34" s="295"/>
      <c r="L34" s="297" t="s">
        <v>50</v>
      </c>
      <c r="M34" s="298"/>
      <c r="N34" s="296"/>
      <c r="O34" s="294" t="str">
        <f>O2</f>
        <v>JOHN</v>
      </c>
      <c r="P34" s="294"/>
      <c r="Q34" s="295"/>
      <c r="R34" s="297" t="s">
        <v>51</v>
      </c>
      <c r="S34" s="296"/>
      <c r="T34" s="299">
        <f>T2</f>
        <v>7</v>
      </c>
      <c r="U34" s="29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257" t="s">
        <v>0</v>
      </c>
      <c r="B36" s="154" t="s">
        <v>21</v>
      </c>
      <c r="C36" s="249" t="s">
        <v>7</v>
      </c>
      <c r="D36" s="256" t="s">
        <v>88</v>
      </c>
      <c r="E36" s="266" t="s">
        <v>94</v>
      </c>
      <c r="F36" s="249" t="s">
        <v>25</v>
      </c>
      <c r="G36" s="260" t="s">
        <v>1</v>
      </c>
      <c r="H36" s="258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3" t="s">
        <v>8</v>
      </c>
      <c r="P36" s="303"/>
      <c r="Q36" s="303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254"/>
      <c r="D37" s="259"/>
      <c r="E37" s="268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11"/>
      <c r="Q37" s="312"/>
      <c r="R37" s="60"/>
      <c r="S37" s="61"/>
      <c r="T37" s="61"/>
      <c r="U37" s="70"/>
    </row>
    <row r="38" spans="1:34" x14ac:dyDescent="0.3">
      <c r="A38" s="128">
        <f>A37+1</f>
        <v>27</v>
      </c>
      <c r="B38" s="248"/>
      <c r="C38" s="67"/>
      <c r="D38" s="191"/>
      <c r="E38" s="269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7"/>
      <c r="P38" s="308"/>
      <c r="Q38" s="30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0"/>
      <c r="E39" s="269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11"/>
      <c r="Q39" s="312"/>
      <c r="R39" s="79"/>
      <c r="S39" s="13"/>
      <c r="T39" s="12"/>
      <c r="U39" s="72"/>
    </row>
    <row r="40" spans="1:34" x14ac:dyDescent="0.3">
      <c r="A40" s="128">
        <f t="shared" si="7"/>
        <v>29</v>
      </c>
      <c r="B40" s="248"/>
      <c r="C40" s="63"/>
      <c r="D40" s="181"/>
      <c r="E40" s="269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3"/>
      <c r="P40" s="314"/>
      <c r="Q40" s="31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1"/>
      <c r="E41" s="269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3"/>
      <c r="P41" s="314"/>
      <c r="Q41" s="315"/>
      <c r="R41" s="80"/>
      <c r="S41" s="73"/>
      <c r="T41" s="73"/>
      <c r="U41" s="74"/>
    </row>
    <row r="42" spans="1:34" x14ac:dyDescent="0.3">
      <c r="A42" s="128">
        <f t="shared" si="7"/>
        <v>31</v>
      </c>
      <c r="B42" s="248"/>
      <c r="C42" s="28"/>
      <c r="D42" s="182"/>
      <c r="E42" s="269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0"/>
      <c r="P42" s="301"/>
      <c r="Q42" s="30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88"/>
      <c r="E43" s="269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11"/>
      <c r="Q43" s="312"/>
      <c r="R43" s="78"/>
      <c r="S43" s="71"/>
      <c r="T43" s="71"/>
      <c r="U43" s="72"/>
    </row>
    <row r="44" spans="1:34" x14ac:dyDescent="0.3">
      <c r="A44" s="128">
        <f t="shared" si="7"/>
        <v>33</v>
      </c>
      <c r="B44" s="248"/>
      <c r="C44" s="64"/>
      <c r="D44" s="183"/>
      <c r="E44" s="269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11"/>
      <c r="Q44" s="31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3"/>
      <c r="E45" s="269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11"/>
      <c r="Q45" s="312"/>
      <c r="R45" s="5"/>
      <c r="S45" s="71"/>
      <c r="T45" s="71"/>
      <c r="U45" s="72"/>
    </row>
    <row r="46" spans="1:34" x14ac:dyDescent="0.3">
      <c r="A46" s="128">
        <f t="shared" si="7"/>
        <v>35</v>
      </c>
      <c r="B46" s="248"/>
      <c r="C46" s="65"/>
      <c r="D46" s="184"/>
      <c r="E46" s="269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11"/>
      <c r="Q46" s="31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88"/>
      <c r="E47" s="269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11"/>
      <c r="Q47" s="312"/>
      <c r="R47" s="5"/>
      <c r="S47" s="71"/>
      <c r="T47" s="71"/>
      <c r="U47" s="72"/>
    </row>
    <row r="48" spans="1:34" x14ac:dyDescent="0.3">
      <c r="A48" s="128">
        <f t="shared" si="7"/>
        <v>37</v>
      </c>
      <c r="B48" s="248"/>
      <c r="C48" s="65"/>
      <c r="D48" s="184"/>
      <c r="E48" s="269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11"/>
      <c r="Q48" s="312"/>
      <c r="R48" s="5"/>
      <c r="S48" s="71"/>
      <c r="T48" s="71"/>
      <c r="U48" s="72"/>
    </row>
    <row r="49" spans="1:21" x14ac:dyDescent="0.3">
      <c r="A49" s="128">
        <f t="shared" si="7"/>
        <v>38</v>
      </c>
      <c r="B49" s="248"/>
      <c r="C49" s="18"/>
      <c r="D49" s="188"/>
      <c r="E49" s="269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11"/>
      <c r="Q49" s="312"/>
      <c r="R49" s="5"/>
      <c r="S49" s="71"/>
      <c r="T49" s="75"/>
      <c r="U49" s="72"/>
    </row>
    <row r="50" spans="1:21" x14ac:dyDescent="0.3">
      <c r="A50" s="128">
        <f t="shared" si="7"/>
        <v>39</v>
      </c>
      <c r="B50" s="248"/>
      <c r="C50" s="18"/>
      <c r="D50" s="188"/>
      <c r="E50" s="269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11"/>
      <c r="Q50" s="312"/>
      <c r="R50" s="5"/>
      <c r="S50" s="71"/>
      <c r="T50" s="75"/>
      <c r="U50" s="72"/>
    </row>
    <row r="51" spans="1:21" x14ac:dyDescent="0.3">
      <c r="A51" s="128">
        <f t="shared" si="7"/>
        <v>40</v>
      </c>
      <c r="B51" s="248"/>
      <c r="C51" s="18"/>
      <c r="D51" s="188"/>
      <c r="E51" s="269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11"/>
      <c r="Q51" s="311"/>
      <c r="R51" s="5"/>
      <c r="S51" s="71"/>
      <c r="T51" s="75"/>
      <c r="U51" s="72"/>
    </row>
    <row r="52" spans="1:21" x14ac:dyDescent="0.3">
      <c r="A52" s="128">
        <f t="shared" si="7"/>
        <v>41</v>
      </c>
      <c r="B52" s="248"/>
      <c r="C52" s="66"/>
      <c r="D52" s="189"/>
      <c r="E52" s="269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11"/>
      <c r="Q52" s="311"/>
      <c r="R52" s="81"/>
      <c r="S52" s="68"/>
      <c r="T52" s="76"/>
      <c r="U52" s="77"/>
    </row>
    <row r="53" spans="1:21" x14ac:dyDescent="0.3">
      <c r="A53" s="128">
        <f t="shared" si="7"/>
        <v>42</v>
      </c>
      <c r="B53" s="248"/>
      <c r="C53" s="127"/>
      <c r="D53" s="185"/>
      <c r="E53" s="269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48"/>
      <c r="C54" s="127"/>
      <c r="D54" s="185"/>
      <c r="E54" s="269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48"/>
      <c r="C55" s="127"/>
      <c r="D55" s="185"/>
      <c r="E55" s="269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48"/>
      <c r="C56" s="132"/>
      <c r="D56" s="186"/>
      <c r="E56" s="269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1"/>
      <c r="P56" s="311"/>
      <c r="Q56" s="311"/>
      <c r="R56" s="81"/>
      <c r="S56" s="68"/>
      <c r="T56" s="76"/>
      <c r="U56" s="77"/>
    </row>
    <row r="57" spans="1:21" x14ac:dyDescent="0.3">
      <c r="A57" s="128">
        <f t="shared" si="7"/>
        <v>46</v>
      </c>
      <c r="B57" s="248"/>
      <c r="C57" s="27"/>
      <c r="D57" s="180"/>
      <c r="E57" s="269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11"/>
      <c r="Q57" s="311"/>
      <c r="R57" s="81"/>
      <c r="S57" s="68"/>
      <c r="T57" s="68"/>
      <c r="U57" s="77"/>
    </row>
    <row r="58" spans="1:21" x14ac:dyDescent="0.3">
      <c r="A58" s="128">
        <f t="shared" si="7"/>
        <v>47</v>
      </c>
      <c r="B58" s="248"/>
      <c r="C58" s="27"/>
      <c r="D58" s="180"/>
      <c r="E58" s="269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1"/>
      <c r="P58" s="311"/>
      <c r="Q58" s="311"/>
      <c r="R58" s="81"/>
      <c r="S58" s="68"/>
      <c r="T58" s="68"/>
      <c r="U58" s="77"/>
    </row>
    <row r="59" spans="1:21" x14ac:dyDescent="0.3">
      <c r="A59" s="128">
        <f t="shared" si="7"/>
        <v>48</v>
      </c>
      <c r="B59" s="248"/>
      <c r="C59" s="27"/>
      <c r="D59" s="180"/>
      <c r="E59" s="269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1"/>
      <c r="P59" s="311"/>
      <c r="Q59" s="311"/>
      <c r="R59" s="81"/>
      <c r="S59" s="68"/>
      <c r="T59" s="68"/>
      <c r="U59" s="77"/>
    </row>
    <row r="60" spans="1:21" x14ac:dyDescent="0.3">
      <c r="A60" s="128">
        <f t="shared" si="7"/>
        <v>49</v>
      </c>
      <c r="B60" s="248"/>
      <c r="C60" s="34"/>
      <c r="D60" s="187"/>
      <c r="E60" s="269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11"/>
      <c r="Q60" s="31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48"/>
      <c r="C61" s="30"/>
      <c r="D61" s="193"/>
      <c r="E61" s="269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2"/>
      <c r="P61" s="353"/>
      <c r="Q61" s="354"/>
      <c r="R61" s="81"/>
      <c r="S61" s="68"/>
      <c r="T61" s="68"/>
      <c r="U61" s="77"/>
    </row>
    <row r="62" spans="1:21" x14ac:dyDescent="0.3">
      <c r="A62" s="355" t="s">
        <v>48</v>
      </c>
      <c r="B62" s="356"/>
      <c r="C62" s="356"/>
      <c r="D62" s="356"/>
      <c r="E62" s="356"/>
      <c r="F62" s="356"/>
      <c r="G62" s="356"/>
      <c r="H62" s="356">
        <f t="shared" ref="H62:M62" si="8">SUM(H37:H61)</f>
        <v>0</v>
      </c>
      <c r="I62" s="361">
        <f t="shared" si="8"/>
        <v>0</v>
      </c>
      <c r="J62" s="361">
        <f>J61+J60+J59+J58+J57+J56+J55+J54+J53+J52+J51+J50+J49+J48+J47+J46+J45+J44+J43+J42+J41+J40+J39+J38+J37</f>
        <v>0</v>
      </c>
      <c r="K62" s="361">
        <f>K61+K60+K59+K58+K57+K56+K55+K54+K53+K52+K51+K50+K49+K48+K47+K46+K45+K44+K43+K42+K41+K40+K39+K38+K37</f>
        <v>0</v>
      </c>
      <c r="L62" s="364">
        <f t="shared" si="8"/>
        <v>0</v>
      </c>
      <c r="M62" s="367">
        <f t="shared" si="8"/>
        <v>0</v>
      </c>
      <c r="N62" s="370"/>
      <c r="O62" s="371"/>
      <c r="P62" s="371"/>
      <c r="Q62" s="372"/>
      <c r="R62" s="5"/>
      <c r="S62" s="6"/>
      <c r="T62" s="7"/>
      <c r="U62" s="8"/>
    </row>
    <row r="63" spans="1:21" ht="17.25" thickBot="1" x14ac:dyDescent="0.35">
      <c r="A63" s="357"/>
      <c r="B63" s="358"/>
      <c r="C63" s="358"/>
      <c r="D63" s="358"/>
      <c r="E63" s="358"/>
      <c r="F63" s="358"/>
      <c r="G63" s="358"/>
      <c r="H63" s="358"/>
      <c r="I63" s="362"/>
      <c r="J63" s="362"/>
      <c r="K63" s="362"/>
      <c r="L63" s="365"/>
      <c r="M63" s="368"/>
      <c r="N63" s="373"/>
      <c r="O63" s="374"/>
      <c r="P63" s="374"/>
      <c r="Q63" s="375"/>
      <c r="R63" s="1"/>
      <c r="S63" s="2"/>
      <c r="T63" s="3"/>
      <c r="U63" s="4"/>
    </row>
    <row r="64" spans="1:21" ht="17.25" thickBot="1" x14ac:dyDescent="0.35">
      <c r="A64" s="359"/>
      <c r="B64" s="360"/>
      <c r="C64" s="360"/>
      <c r="D64" s="360"/>
      <c r="E64" s="360"/>
      <c r="F64" s="360"/>
      <c r="G64" s="360"/>
      <c r="H64" s="360"/>
      <c r="I64" s="363"/>
      <c r="J64" s="363"/>
      <c r="K64" s="363"/>
      <c r="L64" s="366"/>
      <c r="M64" s="369"/>
      <c r="N64" s="332"/>
      <c r="O64" s="333"/>
      <c r="P64" s="333"/>
      <c r="Q64" s="376"/>
      <c r="R64" s="377" t="s">
        <v>17</v>
      </c>
      <c r="S64" s="378"/>
      <c r="T64" s="378"/>
      <c r="U64" s="379"/>
    </row>
    <row r="65" spans="1:21" ht="17.25" thickBot="1" x14ac:dyDescent="0.35">
      <c r="A65" s="293" t="s">
        <v>24</v>
      </c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5"/>
    </row>
    <row r="66" spans="1:21" ht="17.25" thickBot="1" x14ac:dyDescent="0.35">
      <c r="A66" s="293" t="str">
        <f>A34</f>
        <v>10-02-2022</v>
      </c>
      <c r="B66" s="294"/>
      <c r="C66" s="294"/>
      <c r="D66" s="294"/>
      <c r="E66" s="294"/>
      <c r="F66" s="294"/>
      <c r="G66" s="295"/>
      <c r="H66" s="296" t="s">
        <v>49</v>
      </c>
      <c r="I66" s="297"/>
      <c r="J66" s="293" t="str">
        <f>J34</f>
        <v>SUNNY</v>
      </c>
      <c r="K66" s="295"/>
      <c r="L66" s="297" t="s">
        <v>50</v>
      </c>
      <c r="M66" s="298"/>
      <c r="N66" s="296"/>
      <c r="O66" s="294" t="str">
        <f>O34</f>
        <v>JOHN</v>
      </c>
      <c r="P66" s="294"/>
      <c r="Q66" s="295"/>
      <c r="R66" s="297" t="s">
        <v>51</v>
      </c>
      <c r="S66" s="296"/>
      <c r="T66" s="299">
        <f>T34</f>
        <v>7</v>
      </c>
      <c r="U66" s="299"/>
    </row>
    <row r="67" spans="1:21" ht="17.25" thickBot="1" x14ac:dyDescent="0.35">
      <c r="A67" s="15" t="s">
        <v>6</v>
      </c>
      <c r="F67" s="166"/>
      <c r="H67" s="9"/>
      <c r="I67" s="19"/>
      <c r="T67" s="10"/>
      <c r="U67" s="11"/>
    </row>
    <row r="68" spans="1:21" ht="17.25" thickBot="1" x14ac:dyDescent="0.35">
      <c r="A68" s="154" t="s">
        <v>0</v>
      </c>
      <c r="B68" s="249" t="s">
        <v>21</v>
      </c>
      <c r="C68" s="249" t="s">
        <v>7</v>
      </c>
      <c r="D68" s="256" t="s">
        <v>88</v>
      </c>
      <c r="E68" s="266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3" t="s">
        <v>8</v>
      </c>
      <c r="P68" s="303"/>
      <c r="Q68" s="303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48"/>
      <c r="C69" s="254"/>
      <c r="D69" s="261"/>
      <c r="E69" s="268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11"/>
      <c r="Q69" s="312"/>
      <c r="R69" s="60"/>
      <c r="S69" s="61"/>
      <c r="T69" s="61"/>
      <c r="U69" s="70"/>
    </row>
    <row r="70" spans="1:21" x14ac:dyDescent="0.3">
      <c r="A70" s="128">
        <f>A69+1</f>
        <v>52</v>
      </c>
      <c r="B70" s="248"/>
      <c r="C70" s="67"/>
      <c r="D70" s="191"/>
      <c r="E70" s="269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7"/>
      <c r="P70" s="308"/>
      <c r="Q70" s="30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48"/>
      <c r="C71" s="27"/>
      <c r="D71" s="180"/>
      <c r="E71" s="269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11"/>
      <c r="Q71" s="31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48"/>
      <c r="C72" s="63"/>
      <c r="D72" s="181"/>
      <c r="E72" s="269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3"/>
      <c r="P72" s="314"/>
      <c r="Q72" s="31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48"/>
      <c r="C73" s="63"/>
      <c r="D73" s="181"/>
      <c r="E73" s="269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3"/>
      <c r="P73" s="314"/>
      <c r="Q73" s="31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48"/>
      <c r="C74" s="28"/>
      <c r="D74" s="182"/>
      <c r="E74" s="269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0"/>
      <c r="P74" s="301"/>
      <c r="Q74" s="30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48"/>
      <c r="C75" s="18"/>
      <c r="D75" s="188"/>
      <c r="E75" s="269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11"/>
      <c r="Q75" s="31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48"/>
      <c r="C76" s="64"/>
      <c r="D76" s="183"/>
      <c r="E76" s="269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11"/>
      <c r="Q76" s="312"/>
      <c r="R76" s="5"/>
      <c r="S76" s="71"/>
      <c r="T76" s="71"/>
      <c r="U76" s="72"/>
    </row>
    <row r="77" spans="1:21" x14ac:dyDescent="0.3">
      <c r="A77" s="128">
        <f t="shared" si="11"/>
        <v>59</v>
      </c>
      <c r="B77" s="248"/>
      <c r="C77" s="64"/>
      <c r="D77" s="183"/>
      <c r="E77" s="269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11"/>
      <c r="Q77" s="312"/>
      <c r="R77" s="5"/>
      <c r="S77" s="71"/>
      <c r="T77" s="71"/>
      <c r="U77" s="72"/>
    </row>
    <row r="78" spans="1:21" x14ac:dyDescent="0.3">
      <c r="A78" s="128">
        <f t="shared" si="11"/>
        <v>60</v>
      </c>
      <c r="B78" s="248"/>
      <c r="C78" s="65"/>
      <c r="D78" s="184"/>
      <c r="E78" s="269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11"/>
      <c r="Q78" s="312"/>
      <c r="R78" s="5"/>
      <c r="S78" s="71"/>
      <c r="T78" s="71"/>
      <c r="U78" s="72"/>
    </row>
    <row r="79" spans="1:21" x14ac:dyDescent="0.3">
      <c r="A79" s="128">
        <f t="shared" si="11"/>
        <v>61</v>
      </c>
      <c r="B79" s="248"/>
      <c r="C79" s="18"/>
      <c r="D79" s="188"/>
      <c r="E79" s="269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11"/>
      <c r="Q79" s="312"/>
      <c r="R79" s="5"/>
      <c r="S79" s="71"/>
      <c r="T79" s="71"/>
      <c r="U79" s="72"/>
    </row>
    <row r="80" spans="1:21" x14ac:dyDescent="0.3">
      <c r="A80" s="128">
        <f t="shared" si="11"/>
        <v>62</v>
      </c>
      <c r="B80" s="248"/>
      <c r="C80" s="65"/>
      <c r="D80" s="184"/>
      <c r="E80" s="269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11"/>
      <c r="Q80" s="312"/>
      <c r="R80" s="5"/>
      <c r="S80" s="71"/>
      <c r="T80" s="71"/>
      <c r="U80" s="72"/>
    </row>
    <row r="81" spans="1:21" x14ac:dyDescent="0.3">
      <c r="A81" s="128">
        <f t="shared" si="11"/>
        <v>63</v>
      </c>
      <c r="B81" s="248"/>
      <c r="C81" s="18"/>
      <c r="D81" s="188"/>
      <c r="E81" s="269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11"/>
      <c r="Q81" s="312"/>
      <c r="R81" s="5"/>
      <c r="S81" s="71"/>
      <c r="T81" s="75"/>
      <c r="U81" s="72"/>
    </row>
    <row r="82" spans="1:21" x14ac:dyDescent="0.3">
      <c r="A82" s="128">
        <f t="shared" si="11"/>
        <v>64</v>
      </c>
      <c r="B82" s="248"/>
      <c r="C82" s="18"/>
      <c r="D82" s="188"/>
      <c r="E82" s="269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11"/>
      <c r="Q82" s="312"/>
      <c r="R82" s="5"/>
      <c r="S82" s="71"/>
      <c r="T82" s="75"/>
      <c r="U82" s="72"/>
    </row>
    <row r="83" spans="1:21" x14ac:dyDescent="0.3">
      <c r="A83" s="128">
        <f t="shared" si="11"/>
        <v>65</v>
      </c>
      <c r="B83" s="248"/>
      <c r="C83" s="18"/>
      <c r="D83" s="188"/>
      <c r="E83" s="269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11"/>
      <c r="Q83" s="311"/>
      <c r="R83" s="5"/>
      <c r="S83" s="71"/>
      <c r="T83" s="75"/>
      <c r="U83" s="72"/>
    </row>
    <row r="84" spans="1:21" x14ac:dyDescent="0.3">
      <c r="A84" s="128">
        <f t="shared" si="11"/>
        <v>66</v>
      </c>
      <c r="B84" s="248"/>
      <c r="C84" s="66"/>
      <c r="D84" s="189"/>
      <c r="E84" s="269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11"/>
      <c r="Q84" s="31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48"/>
      <c r="C85" s="127"/>
      <c r="D85" s="185"/>
      <c r="E85" s="269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48"/>
      <c r="C86" s="127"/>
      <c r="D86" s="185"/>
      <c r="E86" s="269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48"/>
      <c r="C87" s="127"/>
      <c r="D87" s="185"/>
      <c r="E87" s="269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48"/>
      <c r="C88" s="132"/>
      <c r="D88" s="186"/>
      <c r="E88" s="269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1"/>
      <c r="P88" s="311"/>
      <c r="Q88" s="31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48"/>
      <c r="C89" s="27"/>
      <c r="D89" s="180"/>
      <c r="E89" s="269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11"/>
      <c r="Q89" s="31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48"/>
      <c r="C90" s="27"/>
      <c r="D90" s="180"/>
      <c r="E90" s="269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1"/>
      <c r="P90" s="311"/>
      <c r="Q90" s="31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48"/>
      <c r="C91" s="27"/>
      <c r="D91" s="180"/>
      <c r="E91" s="269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1"/>
      <c r="P91" s="311"/>
      <c r="Q91" s="31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48"/>
      <c r="C92" s="34"/>
      <c r="D92" s="187"/>
      <c r="E92" s="269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11"/>
      <c r="Q92" s="31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48"/>
      <c r="C93" s="30"/>
      <c r="D93" s="194"/>
      <c r="E93" s="272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2"/>
      <c r="P93" s="353"/>
      <c r="Q93" s="354"/>
      <c r="R93" s="81"/>
      <c r="S93" s="68"/>
      <c r="T93" s="68"/>
      <c r="U93" s="77"/>
    </row>
    <row r="94" spans="1:21" x14ac:dyDescent="0.3">
      <c r="A94" s="355" t="s">
        <v>48</v>
      </c>
      <c r="B94" s="356"/>
      <c r="C94" s="356"/>
      <c r="D94" s="356"/>
      <c r="E94" s="380"/>
      <c r="F94" s="356"/>
      <c r="G94" s="356"/>
      <c r="H94" s="356">
        <f t="shared" ref="H94:M94" si="12">SUM(H69:H93)</f>
        <v>0</v>
      </c>
      <c r="I94" s="361">
        <f t="shared" si="12"/>
        <v>0</v>
      </c>
      <c r="J94" s="361">
        <f>J93+J92+J91+J90+J89+J88+J87+J86+J85+J84+J83+J82+J81+J80+J79+J78+J77+J76+J75+J74+J73+J72+J71+J70+J69</f>
        <v>0</v>
      </c>
      <c r="K94" s="361">
        <f>K93+K92+K91+K90+K89+K88+K87+K86+K85+K84+K83+K82+K81+K80+K79+K78+K77+K76+K75+K74+K73+K72+K71+K70+K69</f>
        <v>0</v>
      </c>
      <c r="L94" s="364">
        <f t="shared" si="12"/>
        <v>0</v>
      </c>
      <c r="M94" s="367">
        <f t="shared" si="12"/>
        <v>0</v>
      </c>
      <c r="N94" s="370"/>
      <c r="O94" s="371"/>
      <c r="P94" s="371"/>
      <c r="Q94" s="372"/>
      <c r="R94" s="5"/>
      <c r="S94" s="6"/>
      <c r="T94" s="7"/>
      <c r="U94" s="8"/>
    </row>
    <row r="95" spans="1:21" ht="17.25" thickBot="1" x14ac:dyDescent="0.35">
      <c r="A95" s="357"/>
      <c r="B95" s="358"/>
      <c r="C95" s="358"/>
      <c r="D95" s="358"/>
      <c r="E95" s="358"/>
      <c r="F95" s="358"/>
      <c r="G95" s="358"/>
      <c r="H95" s="358"/>
      <c r="I95" s="362"/>
      <c r="J95" s="362"/>
      <c r="K95" s="362"/>
      <c r="L95" s="365"/>
      <c r="M95" s="368"/>
      <c r="N95" s="373"/>
      <c r="O95" s="374"/>
      <c r="P95" s="374"/>
      <c r="Q95" s="375"/>
      <c r="R95" s="1"/>
      <c r="S95" s="2"/>
      <c r="T95" s="3"/>
      <c r="U95" s="4"/>
    </row>
    <row r="96" spans="1:21" ht="17.25" thickBot="1" x14ac:dyDescent="0.35">
      <c r="A96" s="359"/>
      <c r="B96" s="360"/>
      <c r="C96" s="360"/>
      <c r="D96" s="360"/>
      <c r="E96" s="360"/>
      <c r="F96" s="360"/>
      <c r="G96" s="360"/>
      <c r="H96" s="360"/>
      <c r="I96" s="363"/>
      <c r="J96" s="363"/>
      <c r="K96" s="363"/>
      <c r="L96" s="366"/>
      <c r="M96" s="369"/>
      <c r="N96" s="332"/>
      <c r="O96" s="333"/>
      <c r="P96" s="333"/>
      <c r="Q96" s="376"/>
      <c r="R96" s="377" t="s">
        <v>52</v>
      </c>
      <c r="S96" s="378"/>
      <c r="T96" s="378"/>
      <c r="U96" s="379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2">
    <dataValidation type="list" allowBlank="1" showInputMessage="1" showErrorMessage="1" sqref="X7" xr:uid="{B4BD3761-17A6-476D-878A-FA2071D28076}">
      <formula1>$W$5:$W$7</formula1>
    </dataValidation>
    <dataValidation type="list" allowBlank="1" showInputMessage="1" showErrorMessage="1" sqref="W5:W8 E69:E93 E37:E61 E5:E29" xr:uid="{2DB5AA51-BE3E-4B78-8A11-B40E6120581E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17" zoomScaleNormal="100" zoomScaleSheetLayoutView="77" zoomScalePageLayoutView="80" workbookViewId="0">
      <selection activeCell="J37" sqref="J37:J6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0" customWidth="1"/>
    <col min="5" max="5" width="5.75" style="265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3" t="s">
        <v>77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5"/>
    </row>
    <row r="2" spans="1:44" ht="17.25" thickBot="1" x14ac:dyDescent="0.35">
      <c r="A2" s="293" t="s">
        <v>106</v>
      </c>
      <c r="B2" s="294"/>
      <c r="C2" s="294"/>
      <c r="D2" s="294"/>
      <c r="E2" s="294"/>
      <c r="F2" s="294"/>
      <c r="G2" s="295"/>
      <c r="H2" s="296" t="s">
        <v>49</v>
      </c>
      <c r="I2" s="297"/>
      <c r="J2" s="293" t="s">
        <v>285</v>
      </c>
      <c r="K2" s="295"/>
      <c r="L2" s="297" t="s">
        <v>93</v>
      </c>
      <c r="M2" s="298"/>
      <c r="N2" s="296"/>
      <c r="O2" s="294" t="s">
        <v>134</v>
      </c>
      <c r="P2" s="294"/>
      <c r="Q2" s="295"/>
      <c r="R2" s="297" t="s">
        <v>51</v>
      </c>
      <c r="S2" s="296"/>
      <c r="T2" s="299">
        <v>4</v>
      </c>
      <c r="U2" s="29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49" t="s">
        <v>21</v>
      </c>
      <c r="C4" s="249" t="s">
        <v>7</v>
      </c>
      <c r="D4" s="256" t="s">
        <v>88</v>
      </c>
      <c r="E4" s="266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3" t="s">
        <v>8</v>
      </c>
      <c r="P4" s="303"/>
      <c r="Q4" s="303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3164</v>
      </c>
      <c r="C5" s="254" t="s">
        <v>265</v>
      </c>
      <c r="D5" s="255" t="s">
        <v>266</v>
      </c>
      <c r="E5" s="268" t="s">
        <v>95</v>
      </c>
      <c r="F5" s="169">
        <v>920</v>
      </c>
      <c r="G5" s="118" t="s">
        <v>118</v>
      </c>
      <c r="H5" s="91">
        <v>75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134</v>
      </c>
      <c r="O5" s="304"/>
      <c r="P5" s="305"/>
      <c r="Q5" s="306"/>
      <c r="R5" s="33" t="s">
        <v>134</v>
      </c>
      <c r="S5" s="31">
        <v>0.33333333333333331</v>
      </c>
      <c r="T5" s="32">
        <v>0.73958333333333337</v>
      </c>
      <c r="U5" s="92">
        <f t="shared" ref="U5:U15" si="0">(T5-S5)*24</f>
        <v>9.7500000000000018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3165</v>
      </c>
      <c r="C6" s="67" t="s">
        <v>267</v>
      </c>
      <c r="D6" s="195" t="s">
        <v>268</v>
      </c>
      <c r="E6" s="269" t="s">
        <v>97</v>
      </c>
      <c r="F6" s="170">
        <v>920</v>
      </c>
      <c r="G6" s="118" t="s">
        <v>122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134</v>
      </c>
      <c r="O6" s="307"/>
      <c r="P6" s="308"/>
      <c r="Q6" s="309"/>
      <c r="R6" s="132" t="s">
        <v>135</v>
      </c>
      <c r="S6" s="31">
        <v>0.35416666666666669</v>
      </c>
      <c r="T6" s="32">
        <v>0.375</v>
      </c>
      <c r="U6" s="92">
        <f t="shared" si="0"/>
        <v>0.49999999999999956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3166</v>
      </c>
      <c r="C7" s="67" t="s">
        <v>269</v>
      </c>
      <c r="D7" s="195" t="s">
        <v>270</v>
      </c>
      <c r="E7" s="269" t="s">
        <v>97</v>
      </c>
      <c r="F7" s="170">
        <v>1005</v>
      </c>
      <c r="G7" s="118" t="s">
        <v>246</v>
      </c>
      <c r="H7" s="91">
        <v>150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134</v>
      </c>
      <c r="O7" s="310"/>
      <c r="P7" s="311"/>
      <c r="Q7" s="312"/>
      <c r="R7" s="134"/>
      <c r="S7" s="31">
        <v>0.70833333333333337</v>
      </c>
      <c r="T7" s="32">
        <v>0.73958333333333337</v>
      </c>
      <c r="U7" s="92">
        <f t="shared" si="0"/>
        <v>0.75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3167</v>
      </c>
      <c r="C8" s="27" t="s">
        <v>271</v>
      </c>
      <c r="D8" s="195" t="s">
        <v>272</v>
      </c>
      <c r="E8" s="269" t="s">
        <v>121</v>
      </c>
      <c r="F8" s="170">
        <v>1045</v>
      </c>
      <c r="G8" s="118" t="s">
        <v>111</v>
      </c>
      <c r="H8" s="91"/>
      <c r="I8" s="124">
        <v>300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134</v>
      </c>
      <c r="O8" s="313"/>
      <c r="P8" s="314"/>
      <c r="Q8" s="315"/>
      <c r="R8" s="134" t="s">
        <v>152</v>
      </c>
      <c r="S8" s="31">
        <v>0.33333333333333331</v>
      </c>
      <c r="T8" s="32">
        <v>0.73958333333333337</v>
      </c>
      <c r="U8" s="92">
        <f t="shared" si="0"/>
        <v>9.7500000000000018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3168</v>
      </c>
      <c r="C9" s="63" t="s">
        <v>273</v>
      </c>
      <c r="D9" s="196" t="s">
        <v>274</v>
      </c>
      <c r="E9" s="269" t="s">
        <v>121</v>
      </c>
      <c r="F9" s="171">
        <v>1050</v>
      </c>
      <c r="G9" s="119" t="s">
        <v>122</v>
      </c>
      <c r="H9" s="91">
        <v>55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3"/>
      <c r="P9" s="314"/>
      <c r="Q9" s="315"/>
      <c r="R9" s="26" t="s">
        <v>153</v>
      </c>
      <c r="S9" s="31">
        <v>0.41666666666666669</v>
      </c>
      <c r="T9" s="32">
        <v>0.73958333333333337</v>
      </c>
      <c r="U9" s="92">
        <f t="shared" si="0"/>
        <v>7.75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3169</v>
      </c>
      <c r="C10" s="28" t="s">
        <v>275</v>
      </c>
      <c r="D10" s="197" t="s">
        <v>276</v>
      </c>
      <c r="E10" s="269" t="s">
        <v>114</v>
      </c>
      <c r="F10" s="172">
        <v>1140</v>
      </c>
      <c r="G10" s="120" t="s">
        <v>277</v>
      </c>
      <c r="H10" s="123">
        <v>300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0" t="s">
        <v>284</v>
      </c>
      <c r="P10" s="301"/>
      <c r="Q10" s="30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3170</v>
      </c>
      <c r="C11" s="18" t="s">
        <v>278</v>
      </c>
      <c r="D11" s="198" t="s">
        <v>279</v>
      </c>
      <c r="E11" s="269" t="s">
        <v>121</v>
      </c>
      <c r="F11" s="66">
        <v>1150</v>
      </c>
      <c r="G11" s="121" t="s">
        <v>246</v>
      </c>
      <c r="H11" s="123">
        <v>50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134</v>
      </c>
      <c r="O11" s="310"/>
      <c r="P11" s="311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3171</v>
      </c>
      <c r="C12" s="64" t="s">
        <v>280</v>
      </c>
      <c r="D12" s="199" t="s">
        <v>281</v>
      </c>
      <c r="E12" s="269" t="s">
        <v>114</v>
      </c>
      <c r="F12" s="172">
        <v>1230</v>
      </c>
      <c r="G12" s="119" t="s">
        <v>118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134</v>
      </c>
      <c r="O12" s="310"/>
      <c r="P12" s="311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3172</v>
      </c>
      <c r="C13" s="64" t="s">
        <v>282</v>
      </c>
      <c r="D13" s="199" t="s">
        <v>283</v>
      </c>
      <c r="E13" s="269" t="s">
        <v>114</v>
      </c>
      <c r="F13" s="172">
        <v>1330</v>
      </c>
      <c r="G13" s="119" t="s">
        <v>111</v>
      </c>
      <c r="H13" s="168">
        <v>300</v>
      </c>
      <c r="I13" s="167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134</v>
      </c>
      <c r="O13" s="310"/>
      <c r="P13" s="311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3173</v>
      </c>
      <c r="C14" s="65" t="s">
        <v>286</v>
      </c>
      <c r="D14" s="200" t="s">
        <v>287</v>
      </c>
      <c r="E14" s="269" t="s">
        <v>121</v>
      </c>
      <c r="F14" s="173">
        <v>1625</v>
      </c>
      <c r="G14" s="122" t="s">
        <v>111</v>
      </c>
      <c r="H14" s="123"/>
      <c r="I14" s="125">
        <v>280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134</v>
      </c>
      <c r="O14" s="310"/>
      <c r="P14" s="311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3174</v>
      </c>
      <c r="C15" s="65" t="s">
        <v>288</v>
      </c>
      <c r="D15" s="200" t="s">
        <v>289</v>
      </c>
      <c r="E15" s="269" t="s">
        <v>114</v>
      </c>
      <c r="F15" s="173">
        <v>1630</v>
      </c>
      <c r="G15" s="122" t="s">
        <v>145</v>
      </c>
      <c r="H15" s="123"/>
      <c r="I15" s="124">
        <v>480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134</v>
      </c>
      <c r="O15" s="310"/>
      <c r="P15" s="311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0"/>
      <c r="E16" s="269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0"/>
      <c r="P16" s="311"/>
      <c r="Q16" s="312"/>
      <c r="R16" s="82">
        <f>H32/U16</f>
        <v>0.38596491228070173</v>
      </c>
      <c r="S16" s="83">
        <f>H32/(U16-U5)</f>
        <v>0.58666666666666667</v>
      </c>
      <c r="T16" s="83">
        <f>C32/U16</f>
        <v>75.78947368421052</v>
      </c>
      <c r="U16" s="83">
        <f>SUM(U5:U15)</f>
        <v>28.500000000000004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198"/>
      <c r="E17" s="269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0"/>
      <c r="P17" s="311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198"/>
      <c r="E18" s="269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0"/>
      <c r="P18" s="311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198"/>
      <c r="E19" s="269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0"/>
      <c r="P19" s="311"/>
      <c r="Q19" s="31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198"/>
      <c r="E20" s="269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18"/>
      <c r="P20" s="319"/>
      <c r="Q20" s="31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198"/>
      <c r="E21" s="269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0"/>
      <c r="P21" s="311"/>
      <c r="Q21" s="31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1"/>
      <c r="E22" s="269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0"/>
      <c r="P22" s="311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2"/>
      <c r="E23" s="269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6"/>
      <c r="Y23" s="317"/>
      <c r="Z23" s="31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1"/>
      <c r="E24" s="269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11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3"/>
      <c r="E25" s="269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11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0">
        <f>((C32+(R26+S26+T26)*0.5))</f>
        <v>2160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4"/>
      <c r="E26" s="269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11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2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4"/>
      <c r="E27" s="269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11"/>
      <c r="Q27" s="312"/>
      <c r="R27" s="329" t="s">
        <v>56</v>
      </c>
      <c r="S27" s="330"/>
      <c r="T27" s="330"/>
      <c r="U27" s="33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35">
      <c r="A28" s="135">
        <v>24</v>
      </c>
      <c r="B28" s="133"/>
      <c r="C28" s="27"/>
      <c r="D28" s="204"/>
      <c r="E28" s="27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11"/>
      <c r="Q28" s="312"/>
      <c r="R28" s="322"/>
      <c r="S28" s="323"/>
      <c r="T28" s="32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05"/>
      <c r="E29" s="271"/>
      <c r="F29" s="176"/>
      <c r="G29" s="20"/>
      <c r="H29" s="89"/>
      <c r="I29" s="89"/>
      <c r="J29" s="130" t="str">
        <f t="shared" si="1"/>
        <v>0</v>
      </c>
      <c r="K29" s="262" t="str">
        <f t="shared" si="2"/>
        <v>0</v>
      </c>
      <c r="L29" s="69"/>
      <c r="M29" s="69"/>
      <c r="N29" s="134"/>
      <c r="O29" s="338"/>
      <c r="P29" s="339"/>
      <c r="Q29" s="340"/>
      <c r="R29" s="341"/>
      <c r="S29" s="342"/>
      <c r="T29" s="34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4" t="s">
        <v>48</v>
      </c>
      <c r="B30" s="345"/>
      <c r="C30" s="345"/>
      <c r="D30" s="345"/>
      <c r="E30" s="346"/>
      <c r="F30" s="345"/>
      <c r="G30" s="345"/>
      <c r="H30" s="245">
        <f t="shared" ref="H30:M30" si="3">SUM(H5:H29)</f>
        <v>930</v>
      </c>
      <c r="I30" s="105">
        <f>SUM(I5:I29)</f>
        <v>1230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7"/>
      <c r="S30" s="347"/>
      <c r="T30" s="34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9" t="s">
        <v>16</v>
      </c>
      <c r="B31" s="350"/>
      <c r="C31" s="350"/>
      <c r="D31" s="350"/>
      <c r="E31" s="350"/>
      <c r="F31" s="350"/>
      <c r="G31" s="350"/>
      <c r="H31" s="246">
        <f t="shared" ref="H31:J31" si="4">H30+H62+H94</f>
        <v>930</v>
      </c>
      <c r="I31" s="103">
        <f t="shared" si="4"/>
        <v>1230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51">
        <f>COUNT(H5:H29,H37:H61,H69:H93)</f>
        <v>6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930</v>
      </c>
      <c r="T31" s="334">
        <f>H31+I31+L31+M31</f>
        <v>2160</v>
      </c>
      <c r="U31" s="33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5" t="s">
        <v>55</v>
      </c>
      <c r="B32" s="326"/>
      <c r="C32" s="107">
        <f>H31+I31+J31+K31</f>
        <v>2160</v>
      </c>
      <c r="D32" s="192"/>
      <c r="E32" s="267"/>
      <c r="F32" s="327" t="s">
        <v>53</v>
      </c>
      <c r="G32" s="327"/>
      <c r="H32" s="109">
        <f>COUNT(B5:B29,B37:B61,B69:B93)</f>
        <v>11</v>
      </c>
      <c r="I32" s="328" t="s">
        <v>54</v>
      </c>
      <c r="J32" s="328"/>
      <c r="K32" s="108">
        <f>C32/H32</f>
        <v>196.36363636363637</v>
      </c>
      <c r="L32" s="252"/>
      <c r="M32" s="252"/>
      <c r="N32" s="252">
        <f>H31/C32</f>
        <v>0.43055555555555558</v>
      </c>
      <c r="O32" s="252">
        <f>I31/C32</f>
        <v>0.56944444444444442</v>
      </c>
      <c r="P32" s="252">
        <f>K31/C32</f>
        <v>0</v>
      </c>
      <c r="Q32" s="110">
        <f>J31/C32</f>
        <v>0</v>
      </c>
      <c r="R32" s="99" t="s">
        <v>82</v>
      </c>
      <c r="S32" s="247">
        <f>I31+M31</f>
        <v>1230</v>
      </c>
      <c r="T32" s="336"/>
      <c r="U32" s="337"/>
      <c r="V32" s="55"/>
      <c r="W32" s="55"/>
      <c r="X32" s="56" t="s">
        <v>27</v>
      </c>
      <c r="Y32" s="56"/>
      <c r="Z32" s="54">
        <f>I31</f>
        <v>1230</v>
      </c>
      <c r="AE32" s="37"/>
      <c r="AF32" s="37"/>
      <c r="AG32" s="37"/>
      <c r="AH32" s="37"/>
    </row>
    <row r="33" spans="1:34" ht="17.25" thickBot="1" x14ac:dyDescent="0.35">
      <c r="A33" s="332" t="s">
        <v>24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294"/>
      <c r="U33" s="295"/>
      <c r="X33" s="57" t="s">
        <v>29</v>
      </c>
      <c r="Y33" s="57"/>
      <c r="Z33" s="58">
        <f>SUM(Z31:Z32)</f>
        <v>-1515</v>
      </c>
      <c r="AE33" s="37"/>
      <c r="AF33" s="37"/>
      <c r="AG33" s="59"/>
      <c r="AH33" s="37"/>
    </row>
    <row r="34" spans="1:34" ht="17.25" thickBot="1" x14ac:dyDescent="0.35">
      <c r="A34" s="293" t="str">
        <f>A2</f>
        <v>11-02-2022</v>
      </c>
      <c r="B34" s="294"/>
      <c r="C34" s="294"/>
      <c r="D34" s="294"/>
      <c r="E34" s="294"/>
      <c r="F34" s="294"/>
      <c r="G34" s="295"/>
      <c r="H34" s="296" t="s">
        <v>49</v>
      </c>
      <c r="I34" s="297"/>
      <c r="J34" s="293" t="str">
        <f>J2</f>
        <v>RAIN</v>
      </c>
      <c r="K34" s="295"/>
      <c r="L34" s="297" t="s">
        <v>50</v>
      </c>
      <c r="M34" s="298"/>
      <c r="N34" s="296"/>
      <c r="O34" s="294" t="str">
        <f>O2</f>
        <v>JOHN</v>
      </c>
      <c r="P34" s="294"/>
      <c r="Q34" s="295"/>
      <c r="R34" s="297" t="s">
        <v>51</v>
      </c>
      <c r="S34" s="296"/>
      <c r="T34" s="299">
        <f>T2</f>
        <v>4</v>
      </c>
      <c r="U34" s="29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257" t="s">
        <v>0</v>
      </c>
      <c r="B36" s="154" t="s">
        <v>21</v>
      </c>
      <c r="C36" s="249" t="s">
        <v>7</v>
      </c>
      <c r="D36" s="256" t="s">
        <v>88</v>
      </c>
      <c r="E36" s="266" t="s">
        <v>94</v>
      </c>
      <c r="F36" s="249" t="s">
        <v>25</v>
      </c>
      <c r="G36" s="260" t="s">
        <v>1</v>
      </c>
      <c r="H36" s="258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3" t="s">
        <v>8</v>
      </c>
      <c r="P36" s="303"/>
      <c r="Q36" s="303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254"/>
      <c r="D37" s="259"/>
      <c r="E37" s="268"/>
      <c r="F37" s="173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11"/>
      <c r="Q37" s="312"/>
      <c r="R37" s="60"/>
      <c r="S37" s="61"/>
      <c r="T37" s="61"/>
      <c r="U37" s="70"/>
    </row>
    <row r="38" spans="1:34" x14ac:dyDescent="0.3">
      <c r="A38" s="128">
        <f>A37+1</f>
        <v>27</v>
      </c>
      <c r="B38" s="248"/>
      <c r="C38" s="67"/>
      <c r="D38" s="191"/>
      <c r="E38" s="269"/>
      <c r="F38" s="178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7"/>
      <c r="P38" s="308"/>
      <c r="Q38" s="30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0"/>
      <c r="E39" s="269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11"/>
      <c r="Q39" s="312"/>
      <c r="R39" s="79"/>
      <c r="S39" s="13"/>
      <c r="T39" s="12"/>
      <c r="U39" s="72"/>
    </row>
    <row r="40" spans="1:34" x14ac:dyDescent="0.3">
      <c r="A40" s="128">
        <f t="shared" si="7"/>
        <v>29</v>
      </c>
      <c r="B40" s="248"/>
      <c r="C40" s="63"/>
      <c r="D40" s="181"/>
      <c r="E40" s="269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3"/>
      <c r="P40" s="314"/>
      <c r="Q40" s="31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1"/>
      <c r="E41" s="269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3"/>
      <c r="P41" s="314"/>
      <c r="Q41" s="315"/>
      <c r="R41" s="80"/>
      <c r="S41" s="73"/>
      <c r="T41" s="73"/>
      <c r="U41" s="74"/>
    </row>
    <row r="42" spans="1:34" x14ac:dyDescent="0.3">
      <c r="A42" s="128">
        <f t="shared" si="7"/>
        <v>31</v>
      </c>
      <c r="B42" s="248"/>
      <c r="C42" s="28"/>
      <c r="D42" s="182"/>
      <c r="E42" s="269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0"/>
      <c r="P42" s="301"/>
      <c r="Q42" s="30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88"/>
      <c r="E43" s="269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11"/>
      <c r="Q43" s="312"/>
      <c r="R43" s="78"/>
      <c r="S43" s="71"/>
      <c r="T43" s="71"/>
      <c r="U43" s="72"/>
    </row>
    <row r="44" spans="1:34" x14ac:dyDescent="0.3">
      <c r="A44" s="128">
        <f t="shared" si="7"/>
        <v>33</v>
      </c>
      <c r="B44" s="248"/>
      <c r="C44" s="64"/>
      <c r="D44" s="183"/>
      <c r="E44" s="269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11"/>
      <c r="Q44" s="31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3"/>
      <c r="E45" s="269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11"/>
      <c r="Q45" s="312"/>
      <c r="R45" s="5"/>
      <c r="S45" s="71"/>
      <c r="T45" s="71"/>
      <c r="U45" s="72"/>
    </row>
    <row r="46" spans="1:34" x14ac:dyDescent="0.3">
      <c r="A46" s="128">
        <f t="shared" si="7"/>
        <v>35</v>
      </c>
      <c r="B46" s="248"/>
      <c r="C46" s="65"/>
      <c r="D46" s="184"/>
      <c r="E46" s="269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11"/>
      <c r="Q46" s="31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88"/>
      <c r="E47" s="269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11"/>
      <c r="Q47" s="312"/>
      <c r="R47" s="5"/>
      <c r="S47" s="71"/>
      <c r="T47" s="71"/>
      <c r="U47" s="72"/>
    </row>
    <row r="48" spans="1:34" x14ac:dyDescent="0.3">
      <c r="A48" s="128">
        <f t="shared" si="7"/>
        <v>37</v>
      </c>
      <c r="B48" s="248"/>
      <c r="C48" s="65"/>
      <c r="D48" s="184"/>
      <c r="E48" s="269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11"/>
      <c r="Q48" s="312"/>
      <c r="R48" s="5"/>
      <c r="S48" s="71"/>
      <c r="T48" s="71"/>
      <c r="U48" s="72"/>
    </row>
    <row r="49" spans="1:21" x14ac:dyDescent="0.3">
      <c r="A49" s="128">
        <f t="shared" si="7"/>
        <v>38</v>
      </c>
      <c r="B49" s="248"/>
      <c r="C49" s="18"/>
      <c r="D49" s="188"/>
      <c r="E49" s="269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11"/>
      <c r="Q49" s="312"/>
      <c r="R49" s="5"/>
      <c r="S49" s="71"/>
      <c r="T49" s="75"/>
      <c r="U49" s="72"/>
    </row>
    <row r="50" spans="1:21" x14ac:dyDescent="0.3">
      <c r="A50" s="128">
        <f t="shared" si="7"/>
        <v>39</v>
      </c>
      <c r="B50" s="248"/>
      <c r="C50" s="18"/>
      <c r="D50" s="188"/>
      <c r="E50" s="269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11"/>
      <c r="Q50" s="312"/>
      <c r="R50" s="5"/>
      <c r="S50" s="71"/>
      <c r="T50" s="75"/>
      <c r="U50" s="72"/>
    </row>
    <row r="51" spans="1:21" x14ac:dyDescent="0.3">
      <c r="A51" s="128">
        <f t="shared" si="7"/>
        <v>40</v>
      </c>
      <c r="B51" s="248"/>
      <c r="C51" s="18"/>
      <c r="D51" s="188"/>
      <c r="E51" s="269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11"/>
      <c r="Q51" s="311"/>
      <c r="R51" s="5"/>
      <c r="S51" s="71"/>
      <c r="T51" s="75"/>
      <c r="U51" s="72"/>
    </row>
    <row r="52" spans="1:21" x14ac:dyDescent="0.3">
      <c r="A52" s="128">
        <f t="shared" si="7"/>
        <v>41</v>
      </c>
      <c r="B52" s="248"/>
      <c r="C52" s="66"/>
      <c r="D52" s="189"/>
      <c r="E52" s="269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11"/>
      <c r="Q52" s="311"/>
      <c r="R52" s="81"/>
      <c r="S52" s="68"/>
      <c r="T52" s="76"/>
      <c r="U52" s="77"/>
    </row>
    <row r="53" spans="1:21" x14ac:dyDescent="0.3">
      <c r="A53" s="128">
        <f t="shared" si="7"/>
        <v>42</v>
      </c>
      <c r="B53" s="248"/>
      <c r="C53" s="127"/>
      <c r="D53" s="185"/>
      <c r="E53" s="269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48"/>
      <c r="C54" s="127"/>
      <c r="D54" s="185"/>
      <c r="E54" s="269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48"/>
      <c r="C55" s="127"/>
      <c r="D55" s="185"/>
      <c r="E55" s="269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48"/>
      <c r="C56" s="132"/>
      <c r="D56" s="186"/>
      <c r="E56" s="269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1"/>
      <c r="P56" s="311"/>
      <c r="Q56" s="311"/>
      <c r="R56" s="81"/>
      <c r="S56" s="68"/>
      <c r="T56" s="76"/>
      <c r="U56" s="77"/>
    </row>
    <row r="57" spans="1:21" x14ac:dyDescent="0.3">
      <c r="A57" s="128">
        <f t="shared" si="7"/>
        <v>46</v>
      </c>
      <c r="B57" s="248"/>
      <c r="C57" s="27"/>
      <c r="D57" s="180"/>
      <c r="E57" s="269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11"/>
      <c r="Q57" s="311"/>
      <c r="R57" s="81"/>
      <c r="S57" s="68"/>
      <c r="T57" s="68"/>
      <c r="U57" s="77"/>
    </row>
    <row r="58" spans="1:21" x14ac:dyDescent="0.3">
      <c r="A58" s="128">
        <f t="shared" si="7"/>
        <v>47</v>
      </c>
      <c r="B58" s="248"/>
      <c r="C58" s="27"/>
      <c r="D58" s="180"/>
      <c r="E58" s="269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1"/>
      <c r="P58" s="311"/>
      <c r="Q58" s="311"/>
      <c r="R58" s="81"/>
      <c r="S58" s="68"/>
      <c r="T58" s="68"/>
      <c r="U58" s="77"/>
    </row>
    <row r="59" spans="1:21" x14ac:dyDescent="0.3">
      <c r="A59" s="128">
        <f t="shared" si="7"/>
        <v>48</v>
      </c>
      <c r="B59" s="248"/>
      <c r="C59" s="27"/>
      <c r="D59" s="180"/>
      <c r="E59" s="269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1"/>
      <c r="P59" s="311"/>
      <c r="Q59" s="311"/>
      <c r="R59" s="81"/>
      <c r="S59" s="68"/>
      <c r="T59" s="68"/>
      <c r="U59" s="77"/>
    </row>
    <row r="60" spans="1:21" x14ac:dyDescent="0.3">
      <c r="A60" s="128">
        <f t="shared" si="7"/>
        <v>49</v>
      </c>
      <c r="B60" s="248"/>
      <c r="C60" s="34"/>
      <c r="D60" s="187"/>
      <c r="E60" s="269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11"/>
      <c r="Q60" s="31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48"/>
      <c r="C61" s="30"/>
      <c r="D61" s="193"/>
      <c r="E61" s="269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2"/>
      <c r="P61" s="353"/>
      <c r="Q61" s="354"/>
      <c r="R61" s="81"/>
      <c r="S61" s="68"/>
      <c r="T61" s="68"/>
      <c r="U61" s="77"/>
    </row>
    <row r="62" spans="1:21" x14ac:dyDescent="0.3">
      <c r="A62" s="355" t="s">
        <v>48</v>
      </c>
      <c r="B62" s="356"/>
      <c r="C62" s="356"/>
      <c r="D62" s="356"/>
      <c r="E62" s="356"/>
      <c r="F62" s="356"/>
      <c r="G62" s="356"/>
      <c r="H62" s="356">
        <f t="shared" ref="H62:M62" si="8">SUM(H37:H61)</f>
        <v>0</v>
      </c>
      <c r="I62" s="361">
        <f t="shared" si="8"/>
        <v>0</v>
      </c>
      <c r="J62" s="361">
        <f>J61+J60+J59+J58+J57+J56+J55+J54+J53+J52+J51+J50+J49+J48+J47+J46+J45+J44+J43+J42+J41+J40+J39+J38+J37</f>
        <v>0</v>
      </c>
      <c r="K62" s="361">
        <f>K61+K60+K59+K58+K57+K56+K55+K54+K53+K52+K51+K50+K49+K48+K47+K46+K45+K44+K43+K42+K41+K40+K39+K38+K37</f>
        <v>0</v>
      </c>
      <c r="L62" s="364">
        <f t="shared" si="8"/>
        <v>0</v>
      </c>
      <c r="M62" s="367">
        <f t="shared" si="8"/>
        <v>0</v>
      </c>
      <c r="N62" s="370"/>
      <c r="O62" s="371"/>
      <c r="P62" s="371"/>
      <c r="Q62" s="372"/>
      <c r="R62" s="5"/>
      <c r="S62" s="6"/>
      <c r="T62" s="7"/>
      <c r="U62" s="8"/>
    </row>
    <row r="63" spans="1:21" ht="17.25" thickBot="1" x14ac:dyDescent="0.35">
      <c r="A63" s="357"/>
      <c r="B63" s="358"/>
      <c r="C63" s="358"/>
      <c r="D63" s="358"/>
      <c r="E63" s="358"/>
      <c r="F63" s="358"/>
      <c r="G63" s="358"/>
      <c r="H63" s="358"/>
      <c r="I63" s="362"/>
      <c r="J63" s="362"/>
      <c r="K63" s="362"/>
      <c r="L63" s="365"/>
      <c r="M63" s="368"/>
      <c r="N63" s="373"/>
      <c r="O63" s="374"/>
      <c r="P63" s="374"/>
      <c r="Q63" s="375"/>
      <c r="R63" s="1"/>
      <c r="S63" s="2"/>
      <c r="T63" s="3"/>
      <c r="U63" s="4"/>
    </row>
    <row r="64" spans="1:21" ht="17.25" thickBot="1" x14ac:dyDescent="0.35">
      <c r="A64" s="359"/>
      <c r="B64" s="360"/>
      <c r="C64" s="360"/>
      <c r="D64" s="360"/>
      <c r="E64" s="360"/>
      <c r="F64" s="360"/>
      <c r="G64" s="360"/>
      <c r="H64" s="360"/>
      <c r="I64" s="363"/>
      <c r="J64" s="363"/>
      <c r="K64" s="363"/>
      <c r="L64" s="366"/>
      <c r="M64" s="369"/>
      <c r="N64" s="332"/>
      <c r="O64" s="333"/>
      <c r="P64" s="333"/>
      <c r="Q64" s="376"/>
      <c r="R64" s="377" t="s">
        <v>17</v>
      </c>
      <c r="S64" s="378"/>
      <c r="T64" s="378"/>
      <c r="U64" s="379"/>
    </row>
    <row r="65" spans="1:21" ht="17.25" thickBot="1" x14ac:dyDescent="0.35">
      <c r="A65" s="293" t="s">
        <v>24</v>
      </c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5"/>
    </row>
    <row r="66" spans="1:21" ht="17.25" thickBot="1" x14ac:dyDescent="0.35">
      <c r="A66" s="293" t="str">
        <f>A34</f>
        <v>11-02-2022</v>
      </c>
      <c r="B66" s="294"/>
      <c r="C66" s="294"/>
      <c r="D66" s="294"/>
      <c r="E66" s="294"/>
      <c r="F66" s="294"/>
      <c r="G66" s="295"/>
      <c r="H66" s="296" t="s">
        <v>49</v>
      </c>
      <c r="I66" s="297"/>
      <c r="J66" s="293" t="str">
        <f>J34</f>
        <v>RAIN</v>
      </c>
      <c r="K66" s="295"/>
      <c r="L66" s="297" t="s">
        <v>50</v>
      </c>
      <c r="M66" s="298"/>
      <c r="N66" s="296"/>
      <c r="O66" s="294" t="str">
        <f>O34</f>
        <v>JOHN</v>
      </c>
      <c r="P66" s="294"/>
      <c r="Q66" s="295"/>
      <c r="R66" s="297" t="s">
        <v>51</v>
      </c>
      <c r="S66" s="296"/>
      <c r="T66" s="299">
        <f>T34</f>
        <v>4</v>
      </c>
      <c r="U66" s="299"/>
    </row>
    <row r="67" spans="1:21" ht="17.25" thickBot="1" x14ac:dyDescent="0.35">
      <c r="A67" s="15" t="s">
        <v>6</v>
      </c>
      <c r="F67" s="166"/>
      <c r="H67" s="9"/>
      <c r="I67" s="19"/>
      <c r="T67" s="10"/>
      <c r="U67" s="11"/>
    </row>
    <row r="68" spans="1:21" ht="17.25" thickBot="1" x14ac:dyDescent="0.35">
      <c r="A68" s="154" t="s">
        <v>0</v>
      </c>
      <c r="B68" s="249" t="s">
        <v>21</v>
      </c>
      <c r="C68" s="249" t="s">
        <v>7</v>
      </c>
      <c r="D68" s="256" t="s">
        <v>88</v>
      </c>
      <c r="E68" s="266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3" t="s">
        <v>8</v>
      </c>
      <c r="P68" s="303"/>
      <c r="Q68" s="303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48"/>
      <c r="C69" s="254"/>
      <c r="D69" s="261"/>
      <c r="E69" s="268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11"/>
      <c r="Q69" s="312"/>
      <c r="R69" s="60"/>
      <c r="S69" s="61"/>
      <c r="T69" s="61"/>
      <c r="U69" s="70"/>
    </row>
    <row r="70" spans="1:21" x14ac:dyDescent="0.3">
      <c r="A70" s="128">
        <f>A69+1</f>
        <v>52</v>
      </c>
      <c r="B70" s="248"/>
      <c r="C70" s="67"/>
      <c r="D70" s="191"/>
      <c r="E70" s="269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7"/>
      <c r="P70" s="308"/>
      <c r="Q70" s="30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48"/>
      <c r="C71" s="27"/>
      <c r="D71" s="180"/>
      <c r="E71" s="269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11"/>
      <c r="Q71" s="31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48"/>
      <c r="C72" s="63"/>
      <c r="D72" s="181"/>
      <c r="E72" s="269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3"/>
      <c r="P72" s="314"/>
      <c r="Q72" s="31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48"/>
      <c r="C73" s="63"/>
      <c r="D73" s="181"/>
      <c r="E73" s="269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3"/>
      <c r="P73" s="314"/>
      <c r="Q73" s="31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48"/>
      <c r="C74" s="28"/>
      <c r="D74" s="182"/>
      <c r="E74" s="269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0"/>
      <c r="P74" s="301"/>
      <c r="Q74" s="30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48"/>
      <c r="C75" s="18"/>
      <c r="D75" s="188"/>
      <c r="E75" s="269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11"/>
      <c r="Q75" s="31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48"/>
      <c r="C76" s="64"/>
      <c r="D76" s="183"/>
      <c r="E76" s="269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11"/>
      <c r="Q76" s="312"/>
      <c r="R76" s="5"/>
      <c r="S76" s="71"/>
      <c r="T76" s="71"/>
      <c r="U76" s="72"/>
    </row>
    <row r="77" spans="1:21" x14ac:dyDescent="0.3">
      <c r="A77" s="128">
        <f t="shared" si="11"/>
        <v>59</v>
      </c>
      <c r="B77" s="248"/>
      <c r="C77" s="64"/>
      <c r="D77" s="183"/>
      <c r="E77" s="269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11"/>
      <c r="Q77" s="312"/>
      <c r="R77" s="5"/>
      <c r="S77" s="71"/>
      <c r="T77" s="71"/>
      <c r="U77" s="72"/>
    </row>
    <row r="78" spans="1:21" x14ac:dyDescent="0.3">
      <c r="A78" s="128">
        <f t="shared" si="11"/>
        <v>60</v>
      </c>
      <c r="B78" s="248"/>
      <c r="C78" s="65"/>
      <c r="D78" s="184"/>
      <c r="E78" s="269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11"/>
      <c r="Q78" s="312"/>
      <c r="R78" s="5"/>
      <c r="S78" s="71"/>
      <c r="T78" s="71"/>
      <c r="U78" s="72"/>
    </row>
    <row r="79" spans="1:21" x14ac:dyDescent="0.3">
      <c r="A79" s="128">
        <f t="shared" si="11"/>
        <v>61</v>
      </c>
      <c r="B79" s="248"/>
      <c r="C79" s="18"/>
      <c r="D79" s="188"/>
      <c r="E79" s="269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11"/>
      <c r="Q79" s="312"/>
      <c r="R79" s="5"/>
      <c r="S79" s="71"/>
      <c r="T79" s="71"/>
      <c r="U79" s="72"/>
    </row>
    <row r="80" spans="1:21" x14ac:dyDescent="0.3">
      <c r="A80" s="128">
        <f t="shared" si="11"/>
        <v>62</v>
      </c>
      <c r="B80" s="248"/>
      <c r="C80" s="65"/>
      <c r="D80" s="184"/>
      <c r="E80" s="269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11"/>
      <c r="Q80" s="312"/>
      <c r="R80" s="5"/>
      <c r="S80" s="71"/>
      <c r="T80" s="71"/>
      <c r="U80" s="72"/>
    </row>
    <row r="81" spans="1:21" x14ac:dyDescent="0.3">
      <c r="A81" s="128">
        <f t="shared" si="11"/>
        <v>63</v>
      </c>
      <c r="B81" s="248"/>
      <c r="C81" s="18"/>
      <c r="D81" s="188"/>
      <c r="E81" s="269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11"/>
      <c r="Q81" s="312"/>
      <c r="R81" s="5"/>
      <c r="S81" s="71"/>
      <c r="T81" s="75"/>
      <c r="U81" s="72"/>
    </row>
    <row r="82" spans="1:21" x14ac:dyDescent="0.3">
      <c r="A82" s="128">
        <f t="shared" si="11"/>
        <v>64</v>
      </c>
      <c r="B82" s="248"/>
      <c r="C82" s="18"/>
      <c r="D82" s="188"/>
      <c r="E82" s="269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11"/>
      <c r="Q82" s="312"/>
      <c r="R82" s="5"/>
      <c r="S82" s="71"/>
      <c r="T82" s="75"/>
      <c r="U82" s="72"/>
    </row>
    <row r="83" spans="1:21" x14ac:dyDescent="0.3">
      <c r="A83" s="128">
        <f t="shared" si="11"/>
        <v>65</v>
      </c>
      <c r="B83" s="248"/>
      <c r="C83" s="18"/>
      <c r="D83" s="188"/>
      <c r="E83" s="269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11"/>
      <c r="Q83" s="311"/>
      <c r="R83" s="5"/>
      <c r="S83" s="71"/>
      <c r="T83" s="75"/>
      <c r="U83" s="72"/>
    </row>
    <row r="84" spans="1:21" x14ac:dyDescent="0.3">
      <c r="A84" s="128">
        <f t="shared" si="11"/>
        <v>66</v>
      </c>
      <c r="B84" s="248"/>
      <c r="C84" s="66"/>
      <c r="D84" s="189"/>
      <c r="E84" s="269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11"/>
      <c r="Q84" s="31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48"/>
      <c r="C85" s="127"/>
      <c r="D85" s="185"/>
      <c r="E85" s="269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48"/>
      <c r="C86" s="127"/>
      <c r="D86" s="185"/>
      <c r="E86" s="269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48"/>
      <c r="C87" s="127"/>
      <c r="D87" s="185"/>
      <c r="E87" s="269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48"/>
      <c r="C88" s="132"/>
      <c r="D88" s="186"/>
      <c r="E88" s="269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1"/>
      <c r="P88" s="311"/>
      <c r="Q88" s="31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48"/>
      <c r="C89" s="27"/>
      <c r="D89" s="180"/>
      <c r="E89" s="269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11"/>
      <c r="Q89" s="31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48"/>
      <c r="C90" s="27"/>
      <c r="D90" s="180"/>
      <c r="E90" s="269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1"/>
      <c r="P90" s="311"/>
      <c r="Q90" s="31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48"/>
      <c r="C91" s="27"/>
      <c r="D91" s="180"/>
      <c r="E91" s="269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1"/>
      <c r="P91" s="311"/>
      <c r="Q91" s="31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48"/>
      <c r="C92" s="34"/>
      <c r="D92" s="187"/>
      <c r="E92" s="269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11"/>
      <c r="Q92" s="31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48"/>
      <c r="C93" s="30"/>
      <c r="D93" s="194"/>
      <c r="E93" s="272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2"/>
      <c r="P93" s="353"/>
      <c r="Q93" s="354"/>
      <c r="R93" s="81"/>
      <c r="S93" s="68"/>
      <c r="T93" s="68"/>
      <c r="U93" s="77"/>
    </row>
    <row r="94" spans="1:21" x14ac:dyDescent="0.3">
      <c r="A94" s="355" t="s">
        <v>48</v>
      </c>
      <c r="B94" s="356"/>
      <c r="C94" s="356"/>
      <c r="D94" s="356"/>
      <c r="E94" s="380"/>
      <c r="F94" s="356"/>
      <c r="G94" s="356"/>
      <c r="H94" s="356">
        <f t="shared" ref="H94:M94" si="12">SUM(H69:H93)</f>
        <v>0</v>
      </c>
      <c r="I94" s="361">
        <f t="shared" si="12"/>
        <v>0</v>
      </c>
      <c r="J94" s="361">
        <f>J93+J92+J91+J90+J89+J88+J87+J86+J85+J84+J83+J82+J81+J80+J79+J78+J77+J76+J75+J74+J73+J72+J71+J70+J69</f>
        <v>0</v>
      </c>
      <c r="K94" s="361">
        <f>K93+K92+K91+K90+K89+K88+K87+K86+K85+K84+K83+K82+K81+K80+K79+K78+K77+K76+K75+K74+K73+K72+K71+K70+K69</f>
        <v>0</v>
      </c>
      <c r="L94" s="364">
        <f t="shared" si="12"/>
        <v>0</v>
      </c>
      <c r="M94" s="367">
        <f t="shared" si="12"/>
        <v>0</v>
      </c>
      <c r="N94" s="370"/>
      <c r="O94" s="371"/>
      <c r="P94" s="371"/>
      <c r="Q94" s="372"/>
      <c r="R94" s="5"/>
      <c r="S94" s="6"/>
      <c r="T94" s="7"/>
      <c r="U94" s="8"/>
    </row>
    <row r="95" spans="1:21" ht="17.25" thickBot="1" x14ac:dyDescent="0.35">
      <c r="A95" s="357"/>
      <c r="B95" s="358"/>
      <c r="C95" s="358"/>
      <c r="D95" s="358"/>
      <c r="E95" s="358"/>
      <c r="F95" s="358"/>
      <c r="G95" s="358"/>
      <c r="H95" s="358"/>
      <c r="I95" s="362"/>
      <c r="J95" s="362"/>
      <c r="K95" s="362"/>
      <c r="L95" s="365"/>
      <c r="M95" s="368"/>
      <c r="N95" s="373"/>
      <c r="O95" s="374"/>
      <c r="P95" s="374"/>
      <c r="Q95" s="375"/>
      <c r="R95" s="1"/>
      <c r="S95" s="2"/>
      <c r="T95" s="3"/>
      <c r="U95" s="4"/>
    </row>
    <row r="96" spans="1:21" ht="17.25" thickBot="1" x14ac:dyDescent="0.35">
      <c r="A96" s="359"/>
      <c r="B96" s="360"/>
      <c r="C96" s="360"/>
      <c r="D96" s="360"/>
      <c r="E96" s="360"/>
      <c r="F96" s="360"/>
      <c r="G96" s="360"/>
      <c r="H96" s="360"/>
      <c r="I96" s="363"/>
      <c r="J96" s="363"/>
      <c r="K96" s="363"/>
      <c r="L96" s="366"/>
      <c r="M96" s="369"/>
      <c r="N96" s="332"/>
      <c r="O96" s="333"/>
      <c r="P96" s="333"/>
      <c r="Q96" s="376"/>
      <c r="R96" s="377" t="s">
        <v>52</v>
      </c>
      <c r="S96" s="378"/>
      <c r="T96" s="378"/>
      <c r="U96" s="37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2">
    <dataValidation type="list" allowBlank="1" showInputMessage="1" showErrorMessage="1" sqref="X7" xr:uid="{AA69CB26-51B0-4898-BE1D-5010069443C1}">
      <formula1>$W$5:$W$7</formula1>
    </dataValidation>
    <dataValidation type="list" allowBlank="1" showInputMessage="1" showErrorMessage="1" sqref="W5:W8 E5:E29 E37:E61 E69:E93" xr:uid="{02D827E8-FE10-4132-B18A-E760A9555B3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5" zoomScaleNormal="100" zoomScaleSheetLayoutView="77" workbookViewId="0">
      <selection activeCell="J15" sqref="J15:J2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0" customWidth="1"/>
    <col min="5" max="5" width="5.75" style="265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3" t="s">
        <v>77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5"/>
    </row>
    <row r="2" spans="1:44" ht="17.25" thickBot="1" x14ac:dyDescent="0.35">
      <c r="A2" s="293" t="s">
        <v>107</v>
      </c>
      <c r="B2" s="294"/>
      <c r="C2" s="294"/>
      <c r="D2" s="294"/>
      <c r="E2" s="294"/>
      <c r="F2" s="294"/>
      <c r="G2" s="295"/>
      <c r="H2" s="296" t="s">
        <v>49</v>
      </c>
      <c r="I2" s="297"/>
      <c r="J2" s="293" t="s">
        <v>133</v>
      </c>
      <c r="K2" s="295"/>
      <c r="L2" s="297" t="s">
        <v>93</v>
      </c>
      <c r="M2" s="298"/>
      <c r="N2" s="296"/>
      <c r="O2" s="294" t="s">
        <v>134</v>
      </c>
      <c r="P2" s="294"/>
      <c r="Q2" s="295"/>
      <c r="R2" s="297" t="s">
        <v>51</v>
      </c>
      <c r="S2" s="296"/>
      <c r="T2" s="299">
        <v>7</v>
      </c>
      <c r="U2" s="29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49" t="s">
        <v>21</v>
      </c>
      <c r="C4" s="249" t="s">
        <v>7</v>
      </c>
      <c r="D4" s="256" t="s">
        <v>88</v>
      </c>
      <c r="E4" s="266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3" t="s">
        <v>8</v>
      </c>
      <c r="P4" s="303"/>
      <c r="Q4" s="303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3175</v>
      </c>
      <c r="C5" s="254" t="s">
        <v>290</v>
      </c>
      <c r="D5" s="255" t="s">
        <v>291</v>
      </c>
      <c r="E5" s="268" t="s">
        <v>95</v>
      </c>
      <c r="F5" s="169">
        <v>1000</v>
      </c>
      <c r="G5" s="118" t="s">
        <v>246</v>
      </c>
      <c r="H5" s="91"/>
      <c r="I5" s="124">
        <v>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134</v>
      </c>
      <c r="O5" s="304"/>
      <c r="P5" s="305"/>
      <c r="Q5" s="306"/>
      <c r="R5" s="33" t="s">
        <v>134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3176</v>
      </c>
      <c r="C6" s="67" t="s">
        <v>292</v>
      </c>
      <c r="D6" s="195" t="s">
        <v>293</v>
      </c>
      <c r="E6" s="269" t="s">
        <v>96</v>
      </c>
      <c r="F6" s="170">
        <v>1015</v>
      </c>
      <c r="G6" s="118" t="s">
        <v>122</v>
      </c>
      <c r="H6" s="91">
        <v>60</v>
      </c>
      <c r="I6" s="124"/>
      <c r="J6" s="130" t="str">
        <f t="shared" ref="J6:J11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134</v>
      </c>
      <c r="O6" s="307"/>
      <c r="P6" s="308"/>
      <c r="Q6" s="309"/>
      <c r="R6" s="132" t="s">
        <v>135</v>
      </c>
      <c r="S6" s="31">
        <v>0.33333333333333331</v>
      </c>
      <c r="T6" s="32">
        <v>0.6875</v>
      </c>
      <c r="U6" s="92">
        <f t="shared" si="0"/>
        <v>8.5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3177</v>
      </c>
      <c r="C7" s="67" t="s">
        <v>294</v>
      </c>
      <c r="D7" s="195" t="s">
        <v>295</v>
      </c>
      <c r="E7" s="269" t="s">
        <v>97</v>
      </c>
      <c r="F7" s="170">
        <v>1030</v>
      </c>
      <c r="G7" s="118" t="s">
        <v>148</v>
      </c>
      <c r="H7" s="91"/>
      <c r="I7" s="124">
        <v>160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134</v>
      </c>
      <c r="O7" s="310"/>
      <c r="P7" s="311"/>
      <c r="Q7" s="312"/>
      <c r="R7" s="134" t="s">
        <v>136</v>
      </c>
      <c r="S7" s="31">
        <v>0.39583333333333331</v>
      </c>
      <c r="T7" s="32">
        <v>0.64583333333333337</v>
      </c>
      <c r="U7" s="92">
        <f t="shared" si="0"/>
        <v>6.0000000000000018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3178</v>
      </c>
      <c r="C8" s="27" t="s">
        <v>296</v>
      </c>
      <c r="D8" s="195" t="s">
        <v>297</v>
      </c>
      <c r="E8" s="269" t="s">
        <v>250</v>
      </c>
      <c r="F8" s="170">
        <v>1040</v>
      </c>
      <c r="G8" s="118" t="s">
        <v>122</v>
      </c>
      <c r="H8" s="91"/>
      <c r="I8" s="124">
        <v>60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134</v>
      </c>
      <c r="O8" s="313"/>
      <c r="P8" s="314"/>
      <c r="Q8" s="315"/>
      <c r="R8" s="134" t="s">
        <v>152</v>
      </c>
      <c r="S8" s="31">
        <v>0.33333333333333331</v>
      </c>
      <c r="T8" s="32">
        <v>0.69791666666666663</v>
      </c>
      <c r="U8" s="92">
        <f t="shared" si="0"/>
        <v>8.75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3179</v>
      </c>
      <c r="C9" s="63" t="s">
        <v>298</v>
      </c>
      <c r="D9" s="196" t="s">
        <v>299</v>
      </c>
      <c r="E9" s="269" t="s">
        <v>114</v>
      </c>
      <c r="F9" s="171">
        <v>1110</v>
      </c>
      <c r="G9" s="119" t="s">
        <v>148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3"/>
      <c r="P9" s="314"/>
      <c r="Q9" s="315"/>
      <c r="R9" s="26" t="s">
        <v>137</v>
      </c>
      <c r="S9" s="31">
        <v>0.41666666666666669</v>
      </c>
      <c r="T9" s="32">
        <v>0.64583333333333337</v>
      </c>
      <c r="U9" s="92">
        <f t="shared" si="0"/>
        <v>5.5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3180</v>
      </c>
      <c r="C10" s="28" t="s">
        <v>300</v>
      </c>
      <c r="D10" s="197" t="s">
        <v>301</v>
      </c>
      <c r="E10" s="269" t="s">
        <v>114</v>
      </c>
      <c r="F10" s="172">
        <v>1210</v>
      </c>
      <c r="G10" s="120" t="s">
        <v>316</v>
      </c>
      <c r="H10" s="123"/>
      <c r="I10" s="125">
        <v>180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0"/>
      <c r="P10" s="301"/>
      <c r="Q10" s="302"/>
      <c r="R10" s="26" t="s">
        <v>162</v>
      </c>
      <c r="S10" s="31">
        <v>0.41666666666666669</v>
      </c>
      <c r="T10" s="32">
        <v>0.64583333333333337</v>
      </c>
      <c r="U10" s="92">
        <f t="shared" si="0"/>
        <v>5.5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3181</v>
      </c>
      <c r="C11" s="18" t="s">
        <v>302</v>
      </c>
      <c r="D11" s="198" t="s">
        <v>303</v>
      </c>
      <c r="E11" s="269" t="s">
        <v>121</v>
      </c>
      <c r="F11" s="66">
        <v>1215</v>
      </c>
      <c r="G11" s="121" t="s">
        <v>118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134</v>
      </c>
      <c r="O11" s="310"/>
      <c r="P11" s="311"/>
      <c r="Q11" s="312"/>
      <c r="R11" s="26" t="s">
        <v>153</v>
      </c>
      <c r="S11" s="31">
        <v>0.41666666666666669</v>
      </c>
      <c r="T11" s="32">
        <v>0.57291666666666663</v>
      </c>
      <c r="U11" s="92">
        <f t="shared" si="0"/>
        <v>3.7499999999999987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284">
        <v>3182</v>
      </c>
      <c r="C12" s="286" t="s">
        <v>304</v>
      </c>
      <c r="D12" s="287" t="s">
        <v>305</v>
      </c>
      <c r="E12" s="276" t="s">
        <v>114</v>
      </c>
      <c r="F12" s="288">
        <v>1240</v>
      </c>
      <c r="G12" s="284" t="s">
        <v>141</v>
      </c>
      <c r="H12" s="285"/>
      <c r="I12" s="285"/>
      <c r="J12" s="278" t="str">
        <f t="shared" ref="J12:J14" si="3">IF(G12="RSL","50","0")</f>
        <v>0</v>
      </c>
      <c r="K12" s="278">
        <v>79.099999999999994</v>
      </c>
      <c r="L12" s="279"/>
      <c r="M12" s="279">
        <v>475</v>
      </c>
      <c r="N12" s="280" t="s">
        <v>134</v>
      </c>
      <c r="O12" s="381" t="s">
        <v>306</v>
      </c>
      <c r="P12" s="382"/>
      <c r="Q12" s="383"/>
      <c r="R12" s="26"/>
      <c r="S12" s="31">
        <v>0.61458333333333337</v>
      </c>
      <c r="T12" s="32">
        <v>0.64583333333333337</v>
      </c>
      <c r="U12" s="92">
        <f t="shared" si="0"/>
        <v>0.75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3183</v>
      </c>
      <c r="C13" s="64" t="s">
        <v>307</v>
      </c>
      <c r="D13" s="199" t="s">
        <v>308</v>
      </c>
      <c r="E13" s="269" t="s">
        <v>114</v>
      </c>
      <c r="F13" s="172">
        <v>1245</v>
      </c>
      <c r="G13" s="119" t="s">
        <v>122</v>
      </c>
      <c r="H13" s="168">
        <v>50</v>
      </c>
      <c r="I13" s="167">
        <v>25</v>
      </c>
      <c r="J13" s="130" t="str">
        <f>IF(G13="RSL","55","0")</f>
        <v>0</v>
      </c>
      <c r="K13" s="130" t="str">
        <f t="shared" si="2"/>
        <v>0</v>
      </c>
      <c r="L13" s="131"/>
      <c r="M13" s="131"/>
      <c r="N13" s="134" t="s">
        <v>134</v>
      </c>
      <c r="O13" s="310"/>
      <c r="P13" s="311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284">
        <v>3184</v>
      </c>
      <c r="C14" s="290">
        <v>2088</v>
      </c>
      <c r="D14" s="291" t="s">
        <v>309</v>
      </c>
      <c r="E14" s="276" t="s">
        <v>121</v>
      </c>
      <c r="F14" s="292">
        <v>1250</v>
      </c>
      <c r="G14" s="273" t="s">
        <v>185</v>
      </c>
      <c r="H14" s="285"/>
      <c r="I14" s="285"/>
      <c r="J14" s="278" t="str">
        <f t="shared" si="3"/>
        <v>0</v>
      </c>
      <c r="K14" s="278">
        <v>62.5</v>
      </c>
      <c r="L14" s="279"/>
      <c r="M14" s="279">
        <v>375</v>
      </c>
      <c r="N14" s="280" t="s">
        <v>134</v>
      </c>
      <c r="O14" s="381" t="s">
        <v>306</v>
      </c>
      <c r="P14" s="382"/>
      <c r="Q14" s="38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3185</v>
      </c>
      <c r="C15" s="65" t="s">
        <v>310</v>
      </c>
      <c r="D15" s="200" t="s">
        <v>311</v>
      </c>
      <c r="E15" s="269" t="s">
        <v>121</v>
      </c>
      <c r="F15" s="173">
        <v>1250</v>
      </c>
      <c r="G15" s="122" t="s">
        <v>118</v>
      </c>
      <c r="H15" s="123"/>
      <c r="I15" s="124">
        <v>75</v>
      </c>
      <c r="J15" s="130" t="str">
        <f t="shared" ref="J15:J29" si="4">IF(G15="RSL","55","0")</f>
        <v>0</v>
      </c>
      <c r="K15" s="130" t="str">
        <f t="shared" si="2"/>
        <v>0</v>
      </c>
      <c r="L15" s="131"/>
      <c r="M15" s="131"/>
      <c r="N15" s="134" t="s">
        <v>134</v>
      </c>
      <c r="O15" s="310"/>
      <c r="P15" s="311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3186</v>
      </c>
      <c r="C16" s="65" t="s">
        <v>312</v>
      </c>
      <c r="D16" s="200" t="s">
        <v>313</v>
      </c>
      <c r="E16" s="269" t="s">
        <v>121</v>
      </c>
      <c r="F16" s="173">
        <v>1300</v>
      </c>
      <c r="G16" s="122" t="s">
        <v>118</v>
      </c>
      <c r="H16" s="123"/>
      <c r="I16" s="124">
        <v>100</v>
      </c>
      <c r="J16" s="130" t="str">
        <f t="shared" si="4"/>
        <v>0</v>
      </c>
      <c r="K16" s="130" t="str">
        <f t="shared" si="2"/>
        <v>0</v>
      </c>
      <c r="L16" s="131"/>
      <c r="M16" s="131"/>
      <c r="N16" s="134" t="s">
        <v>134</v>
      </c>
      <c r="O16" s="310"/>
      <c r="P16" s="311"/>
      <c r="Q16" s="312"/>
      <c r="R16" s="82">
        <f>H32/U16</f>
        <v>0.27368421052631581</v>
      </c>
      <c r="S16" s="83">
        <f>H32/(U16-U5)</f>
        <v>0.33548387096774196</v>
      </c>
      <c r="T16" s="83">
        <f>C32/U16</f>
        <v>25.402105263157893</v>
      </c>
      <c r="U16" s="83">
        <f>SUM(U5:U15)</f>
        <v>47.5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3187</v>
      </c>
      <c r="C17" s="18" t="s">
        <v>314</v>
      </c>
      <c r="D17" s="198" t="s">
        <v>315</v>
      </c>
      <c r="E17" s="269" t="s">
        <v>114</v>
      </c>
      <c r="F17" s="66">
        <v>1410</v>
      </c>
      <c r="G17" s="121" t="s">
        <v>115</v>
      </c>
      <c r="H17" s="123"/>
      <c r="I17" s="124">
        <v>80</v>
      </c>
      <c r="J17" s="130" t="str">
        <f t="shared" si="4"/>
        <v>0</v>
      </c>
      <c r="K17" s="130" t="str">
        <f t="shared" si="2"/>
        <v>0</v>
      </c>
      <c r="L17" s="131"/>
      <c r="M17" s="131"/>
      <c r="N17" s="134" t="s">
        <v>134</v>
      </c>
      <c r="O17" s="310"/>
      <c r="P17" s="311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198"/>
      <c r="E18" s="269"/>
      <c r="F18" s="66"/>
      <c r="G18" s="20"/>
      <c r="H18" s="123"/>
      <c r="I18" s="124"/>
      <c r="J18" s="130" t="str">
        <f t="shared" si="4"/>
        <v>0</v>
      </c>
      <c r="K18" s="130" t="str">
        <f t="shared" si="2"/>
        <v>0</v>
      </c>
      <c r="L18" s="131"/>
      <c r="M18" s="131"/>
      <c r="N18" s="134"/>
      <c r="O18" s="310"/>
      <c r="P18" s="311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198"/>
      <c r="E19" s="269"/>
      <c r="F19" s="66"/>
      <c r="G19" s="121"/>
      <c r="H19" s="123"/>
      <c r="I19" s="124"/>
      <c r="J19" s="130" t="str">
        <f t="shared" si="4"/>
        <v>0</v>
      </c>
      <c r="K19" s="130" t="str">
        <f t="shared" si="2"/>
        <v>0</v>
      </c>
      <c r="L19" s="131"/>
      <c r="M19" s="131"/>
      <c r="N19" s="134"/>
      <c r="O19" s="310"/>
      <c r="P19" s="311"/>
      <c r="Q19" s="311"/>
      <c r="R19" s="93" t="s">
        <v>45</v>
      </c>
      <c r="S19" s="94">
        <f>COUNT(L5:M29,L37:M61,L69:M93)</f>
        <v>2</v>
      </c>
      <c r="T19" s="116">
        <f>SUM(L5:M29,L37:M61,L69:M93)</f>
        <v>850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198"/>
      <c r="E20" s="269"/>
      <c r="F20" s="66"/>
      <c r="G20" s="121"/>
      <c r="H20" s="123"/>
      <c r="I20" s="206"/>
      <c r="J20" s="130" t="str">
        <f t="shared" si="4"/>
        <v>0</v>
      </c>
      <c r="K20" s="208" t="str">
        <f t="shared" si="2"/>
        <v>0</v>
      </c>
      <c r="L20" s="207"/>
      <c r="M20" s="207"/>
      <c r="N20" s="134"/>
      <c r="O20" s="318"/>
      <c r="P20" s="319"/>
      <c r="Q20" s="31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198"/>
      <c r="E21" s="269"/>
      <c r="F21" s="66"/>
      <c r="G21" s="20"/>
      <c r="H21" s="123"/>
      <c r="I21" s="124"/>
      <c r="J21" s="130" t="str">
        <f t="shared" si="4"/>
        <v>0</v>
      </c>
      <c r="K21" s="130" t="str">
        <f t="shared" si="2"/>
        <v>0</v>
      </c>
      <c r="L21" s="131"/>
      <c r="M21" s="131"/>
      <c r="N21" s="134"/>
      <c r="O21" s="310"/>
      <c r="P21" s="311"/>
      <c r="Q21" s="31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1"/>
      <c r="E22" s="269"/>
      <c r="F22" s="174"/>
      <c r="G22" s="248"/>
      <c r="H22" s="89"/>
      <c r="I22" s="141"/>
      <c r="J22" s="130" t="str">
        <f t="shared" si="4"/>
        <v>0</v>
      </c>
      <c r="K22" s="130" t="str">
        <f t="shared" si="2"/>
        <v>0</v>
      </c>
      <c r="L22" s="69"/>
      <c r="M22" s="69"/>
      <c r="N22" s="134"/>
      <c r="O22" s="310"/>
      <c r="P22" s="311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2"/>
      <c r="E23" s="269"/>
      <c r="F23" s="175"/>
      <c r="G23" s="165"/>
      <c r="H23" s="89"/>
      <c r="I23" s="141"/>
      <c r="J23" s="130" t="str">
        <f t="shared" si="4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6"/>
      <c r="Y23" s="317"/>
      <c r="Z23" s="31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1"/>
      <c r="E24" s="269"/>
      <c r="F24" s="174"/>
      <c r="G24" s="248"/>
      <c r="H24" s="89"/>
      <c r="I24" s="141"/>
      <c r="J24" s="130" t="str">
        <f t="shared" si="4"/>
        <v>0</v>
      </c>
      <c r="K24" s="130" t="str">
        <f t="shared" si="2"/>
        <v>0</v>
      </c>
      <c r="L24" s="69"/>
      <c r="M24" s="69"/>
      <c r="N24" s="134"/>
      <c r="O24" s="310"/>
      <c r="P24" s="311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3"/>
      <c r="E25" s="269"/>
      <c r="F25" s="174"/>
      <c r="G25" s="248"/>
      <c r="H25" s="90"/>
      <c r="I25" s="90"/>
      <c r="J25" s="130" t="str">
        <f t="shared" si="4"/>
        <v>0</v>
      </c>
      <c r="K25" s="130" t="str">
        <f t="shared" si="2"/>
        <v>0</v>
      </c>
      <c r="L25" s="69"/>
      <c r="M25" s="69"/>
      <c r="N25" s="134"/>
      <c r="O25" s="310"/>
      <c r="P25" s="311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0">
        <f>((C32+(R26+S26+T26)*0.5))</f>
        <v>1206.5999999999999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4"/>
      <c r="E26" s="269"/>
      <c r="F26" s="176"/>
      <c r="G26" s="20"/>
      <c r="H26" s="89"/>
      <c r="I26" s="141"/>
      <c r="J26" s="130" t="str">
        <f t="shared" si="4"/>
        <v>0</v>
      </c>
      <c r="K26" s="130" t="str">
        <f t="shared" si="2"/>
        <v>0</v>
      </c>
      <c r="L26" s="69"/>
      <c r="M26" s="69"/>
      <c r="N26" s="134"/>
      <c r="O26" s="310"/>
      <c r="P26" s="311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2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4"/>
      <c r="E27" s="269"/>
      <c r="F27" s="176"/>
      <c r="G27" s="20"/>
      <c r="H27" s="89"/>
      <c r="I27" s="141"/>
      <c r="J27" s="130" t="str">
        <f t="shared" si="4"/>
        <v>0</v>
      </c>
      <c r="K27" s="130" t="str">
        <f t="shared" si="2"/>
        <v>0</v>
      </c>
      <c r="L27" s="69"/>
      <c r="M27" s="69"/>
      <c r="N27" s="134"/>
      <c r="O27" s="310"/>
      <c r="P27" s="311"/>
      <c r="Q27" s="312"/>
      <c r="R27" s="329" t="s">
        <v>56</v>
      </c>
      <c r="S27" s="330"/>
      <c r="T27" s="330"/>
      <c r="U27" s="33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35">
      <c r="A28" s="135">
        <v>24</v>
      </c>
      <c r="B28" s="133"/>
      <c r="C28" s="27"/>
      <c r="D28" s="204"/>
      <c r="E28" s="270"/>
      <c r="F28" s="176"/>
      <c r="G28" s="20"/>
      <c r="H28" s="89"/>
      <c r="I28" s="141"/>
      <c r="J28" s="130" t="str">
        <f t="shared" si="4"/>
        <v>0</v>
      </c>
      <c r="K28" s="130" t="str">
        <f t="shared" si="2"/>
        <v>0</v>
      </c>
      <c r="L28" s="69"/>
      <c r="M28" s="69"/>
      <c r="N28" s="134"/>
      <c r="O28" s="310"/>
      <c r="P28" s="311"/>
      <c r="Q28" s="312"/>
      <c r="R28" s="322"/>
      <c r="S28" s="323"/>
      <c r="T28" s="32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05"/>
      <c r="E29" s="271"/>
      <c r="F29" s="176"/>
      <c r="G29" s="20"/>
      <c r="H29" s="89"/>
      <c r="I29" s="89"/>
      <c r="J29" s="130" t="str">
        <f t="shared" si="4"/>
        <v>0</v>
      </c>
      <c r="K29" s="262" t="str">
        <f t="shared" si="2"/>
        <v>0</v>
      </c>
      <c r="L29" s="69"/>
      <c r="M29" s="69"/>
      <c r="N29" s="134"/>
      <c r="O29" s="338"/>
      <c r="P29" s="339"/>
      <c r="Q29" s="340"/>
      <c r="R29" s="341"/>
      <c r="S29" s="342"/>
      <c r="T29" s="34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4" t="s">
        <v>48</v>
      </c>
      <c r="B30" s="345"/>
      <c r="C30" s="345"/>
      <c r="D30" s="345"/>
      <c r="E30" s="346"/>
      <c r="F30" s="345"/>
      <c r="G30" s="345"/>
      <c r="H30" s="245">
        <f t="shared" ref="H30:M30" si="5">SUM(H5:H29)</f>
        <v>110</v>
      </c>
      <c r="I30" s="105">
        <f>SUM(I5:I29)</f>
        <v>955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141.6</v>
      </c>
      <c r="L30" s="106">
        <f t="shared" si="5"/>
        <v>0</v>
      </c>
      <c r="M30" s="106">
        <f t="shared" si="5"/>
        <v>850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7"/>
      <c r="S30" s="347"/>
      <c r="T30" s="34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9" t="s">
        <v>16</v>
      </c>
      <c r="B31" s="350"/>
      <c r="C31" s="350"/>
      <c r="D31" s="350"/>
      <c r="E31" s="350"/>
      <c r="F31" s="350"/>
      <c r="G31" s="350"/>
      <c r="H31" s="246">
        <f t="shared" ref="H31:J31" si="6">H30+H62+H94</f>
        <v>110</v>
      </c>
      <c r="I31" s="103">
        <f t="shared" si="6"/>
        <v>955</v>
      </c>
      <c r="J31" s="103">
        <f t="shared" si="6"/>
        <v>0</v>
      </c>
      <c r="K31" s="103">
        <f>K30+K62+K94</f>
        <v>141.6</v>
      </c>
      <c r="L31" s="97">
        <f>L30+L62+L94</f>
        <v>0</v>
      </c>
      <c r="M31" s="97">
        <f>M30+M62+M94</f>
        <v>850</v>
      </c>
      <c r="N31" s="251">
        <f>COUNT(H5:H29,H37:H61,H69:H93)</f>
        <v>2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110</v>
      </c>
      <c r="T31" s="334">
        <f>H31+I31+L31+M31</f>
        <v>1915</v>
      </c>
      <c r="U31" s="33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5" t="s">
        <v>55</v>
      </c>
      <c r="B32" s="326"/>
      <c r="C32" s="107">
        <f>H31+I31+J31+K31</f>
        <v>1206.5999999999999</v>
      </c>
      <c r="D32" s="192"/>
      <c r="E32" s="267"/>
      <c r="F32" s="327" t="s">
        <v>53</v>
      </c>
      <c r="G32" s="327"/>
      <c r="H32" s="109">
        <f>COUNT(B5:B29,B37:B61,B69:B93)</f>
        <v>13</v>
      </c>
      <c r="I32" s="328" t="s">
        <v>54</v>
      </c>
      <c r="J32" s="328"/>
      <c r="K32" s="108">
        <f>C32/H32</f>
        <v>92.815384615384602</v>
      </c>
      <c r="L32" s="252"/>
      <c r="M32" s="252"/>
      <c r="N32" s="252">
        <f>H31/C32</f>
        <v>9.1165257749046921E-2</v>
      </c>
      <c r="O32" s="252">
        <f>I31/C32</f>
        <v>0.79148019227581645</v>
      </c>
      <c r="P32" s="252">
        <f>K31/C32</f>
        <v>0.11735454997513675</v>
      </c>
      <c r="Q32" s="110">
        <f>J31/C32</f>
        <v>0</v>
      </c>
      <c r="R32" s="99" t="s">
        <v>82</v>
      </c>
      <c r="S32" s="247">
        <f>I31+M31</f>
        <v>1805</v>
      </c>
      <c r="T32" s="336"/>
      <c r="U32" s="337"/>
      <c r="V32" s="55"/>
      <c r="W32" s="55"/>
      <c r="X32" s="56" t="s">
        <v>27</v>
      </c>
      <c r="Y32" s="56"/>
      <c r="Z32" s="54">
        <f>I31</f>
        <v>955</v>
      </c>
      <c r="AE32" s="37"/>
      <c r="AF32" s="37"/>
      <c r="AG32" s="37"/>
      <c r="AH32" s="37"/>
    </row>
    <row r="33" spans="1:34" ht="17.25" thickBot="1" x14ac:dyDescent="0.35">
      <c r="A33" s="332" t="s">
        <v>24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294"/>
      <c r="U33" s="295"/>
      <c r="X33" s="57" t="s">
        <v>29</v>
      </c>
      <c r="Y33" s="57"/>
      <c r="Z33" s="58">
        <f>SUM(Z31:Z32)</f>
        <v>-1790</v>
      </c>
      <c r="AE33" s="37"/>
      <c r="AF33" s="37"/>
      <c r="AG33" s="59"/>
      <c r="AH33" s="37"/>
    </row>
    <row r="34" spans="1:34" ht="17.25" thickBot="1" x14ac:dyDescent="0.35">
      <c r="A34" s="293" t="str">
        <f>A2</f>
        <v>12-02-2022</v>
      </c>
      <c r="B34" s="294"/>
      <c r="C34" s="294"/>
      <c r="D34" s="294"/>
      <c r="E34" s="294"/>
      <c r="F34" s="294"/>
      <c r="G34" s="295"/>
      <c r="H34" s="296" t="s">
        <v>49</v>
      </c>
      <c r="I34" s="297"/>
      <c r="J34" s="293" t="str">
        <f>J2</f>
        <v>MIX</v>
      </c>
      <c r="K34" s="295"/>
      <c r="L34" s="297" t="s">
        <v>50</v>
      </c>
      <c r="M34" s="298"/>
      <c r="N34" s="296"/>
      <c r="O34" s="294" t="str">
        <f>O2</f>
        <v>JOHN</v>
      </c>
      <c r="P34" s="294"/>
      <c r="Q34" s="295"/>
      <c r="R34" s="297" t="s">
        <v>51</v>
      </c>
      <c r="S34" s="296"/>
      <c r="T34" s="299">
        <f>T2</f>
        <v>7</v>
      </c>
      <c r="U34" s="29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257" t="s">
        <v>0</v>
      </c>
      <c r="B36" s="154" t="s">
        <v>21</v>
      </c>
      <c r="C36" s="249" t="s">
        <v>7</v>
      </c>
      <c r="D36" s="256" t="s">
        <v>88</v>
      </c>
      <c r="E36" s="266" t="s">
        <v>94</v>
      </c>
      <c r="F36" s="249" t="s">
        <v>25</v>
      </c>
      <c r="G36" s="260" t="s">
        <v>1</v>
      </c>
      <c r="H36" s="258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3" t="s">
        <v>8</v>
      </c>
      <c r="P36" s="303"/>
      <c r="Q36" s="303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254"/>
      <c r="D37" s="259"/>
      <c r="E37" s="268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7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11"/>
      <c r="Q37" s="312"/>
      <c r="R37" s="60"/>
      <c r="S37" s="61"/>
      <c r="T37" s="61"/>
      <c r="U37" s="70"/>
    </row>
    <row r="38" spans="1:34" x14ac:dyDescent="0.3">
      <c r="A38" s="128">
        <f>A37+1</f>
        <v>27</v>
      </c>
      <c r="B38" s="248"/>
      <c r="C38" s="67"/>
      <c r="D38" s="191"/>
      <c r="E38" s="269"/>
      <c r="F38" s="178"/>
      <c r="G38" s="118"/>
      <c r="H38" s="91"/>
      <c r="I38" s="124"/>
      <c r="J38" s="130" t="str">
        <f t="shared" ref="J38:J61" si="8">IF(G38="RSL","50","0")</f>
        <v>0</v>
      </c>
      <c r="K38" s="130" t="str">
        <f t="shared" si="7"/>
        <v>0</v>
      </c>
      <c r="L38" s="131"/>
      <c r="M38" s="131"/>
      <c r="N38" s="69"/>
      <c r="O38" s="307"/>
      <c r="P38" s="308"/>
      <c r="Q38" s="309"/>
      <c r="R38" s="78"/>
      <c r="S38" s="71"/>
      <c r="T38" s="16"/>
      <c r="U38" s="72"/>
    </row>
    <row r="39" spans="1:34" x14ac:dyDescent="0.3">
      <c r="A39" s="128">
        <f t="shared" ref="A39:A61" si="9">A38+1</f>
        <v>28</v>
      </c>
      <c r="B39" s="118"/>
      <c r="C39" s="27"/>
      <c r="D39" s="180"/>
      <c r="E39" s="269"/>
      <c r="F39" s="178"/>
      <c r="G39" s="118"/>
      <c r="H39" s="91"/>
      <c r="I39" s="124"/>
      <c r="J39" s="130" t="str">
        <f t="shared" si="8"/>
        <v>0</v>
      </c>
      <c r="K39" s="130" t="str">
        <f t="shared" si="7"/>
        <v>0</v>
      </c>
      <c r="L39" s="131"/>
      <c r="M39" s="131"/>
      <c r="N39" s="69"/>
      <c r="O39" s="310"/>
      <c r="P39" s="311"/>
      <c r="Q39" s="312"/>
      <c r="R39" s="79"/>
      <c r="S39" s="13"/>
      <c r="T39" s="12"/>
      <c r="U39" s="72"/>
    </row>
    <row r="40" spans="1:34" x14ac:dyDescent="0.3">
      <c r="A40" s="128">
        <f t="shared" si="9"/>
        <v>29</v>
      </c>
      <c r="B40" s="248"/>
      <c r="C40" s="63"/>
      <c r="D40" s="181"/>
      <c r="E40" s="269"/>
      <c r="F40" s="179"/>
      <c r="G40" s="119"/>
      <c r="H40" s="91"/>
      <c r="I40" s="91"/>
      <c r="J40" s="130" t="str">
        <f t="shared" si="8"/>
        <v>0</v>
      </c>
      <c r="K40" s="130" t="str">
        <f t="shared" si="7"/>
        <v>0</v>
      </c>
      <c r="L40" s="131"/>
      <c r="M40" s="131"/>
      <c r="N40" s="69"/>
      <c r="O40" s="313"/>
      <c r="P40" s="314"/>
      <c r="Q40" s="315"/>
      <c r="R40" s="78"/>
      <c r="S40" s="71"/>
      <c r="T40" s="71"/>
      <c r="U40" s="72"/>
    </row>
    <row r="41" spans="1:34" x14ac:dyDescent="0.3">
      <c r="A41" s="128">
        <f t="shared" si="9"/>
        <v>30</v>
      </c>
      <c r="B41" s="118"/>
      <c r="C41" s="63"/>
      <c r="D41" s="181"/>
      <c r="E41" s="269"/>
      <c r="F41" s="179"/>
      <c r="G41" s="119"/>
      <c r="H41" s="91"/>
      <c r="I41" s="91"/>
      <c r="J41" s="130" t="str">
        <f t="shared" si="8"/>
        <v>0</v>
      </c>
      <c r="K41" s="130" t="str">
        <f t="shared" si="7"/>
        <v>0</v>
      </c>
      <c r="L41" s="131"/>
      <c r="M41" s="131"/>
      <c r="N41" s="69"/>
      <c r="O41" s="313"/>
      <c r="P41" s="314"/>
      <c r="Q41" s="315"/>
      <c r="R41" s="80"/>
      <c r="S41" s="73"/>
      <c r="T41" s="73"/>
      <c r="U41" s="74"/>
    </row>
    <row r="42" spans="1:34" x14ac:dyDescent="0.3">
      <c r="A42" s="128">
        <f t="shared" si="9"/>
        <v>31</v>
      </c>
      <c r="B42" s="248"/>
      <c r="C42" s="28"/>
      <c r="D42" s="182"/>
      <c r="E42" s="269"/>
      <c r="F42" s="172"/>
      <c r="G42" s="120"/>
      <c r="H42" s="123"/>
      <c r="I42" s="125"/>
      <c r="J42" s="130" t="str">
        <f t="shared" si="8"/>
        <v>0</v>
      </c>
      <c r="K42" s="130" t="str">
        <f t="shared" si="7"/>
        <v>0</v>
      </c>
      <c r="L42" s="131"/>
      <c r="M42" s="131"/>
      <c r="N42" s="69"/>
      <c r="O42" s="300"/>
      <c r="P42" s="301"/>
      <c r="Q42" s="302"/>
      <c r="R42" s="80"/>
      <c r="S42" s="73"/>
      <c r="T42" s="73"/>
      <c r="U42" s="74"/>
    </row>
    <row r="43" spans="1:34" x14ac:dyDescent="0.3">
      <c r="A43" s="128">
        <f t="shared" si="9"/>
        <v>32</v>
      </c>
      <c r="B43" s="118"/>
      <c r="C43" s="18"/>
      <c r="D43" s="188"/>
      <c r="E43" s="269"/>
      <c r="F43" s="66"/>
      <c r="G43" s="153"/>
      <c r="H43" s="123"/>
      <c r="I43" s="124"/>
      <c r="J43" s="130" t="str">
        <f t="shared" si="8"/>
        <v>0</v>
      </c>
      <c r="K43" s="130" t="str">
        <f t="shared" si="7"/>
        <v>0</v>
      </c>
      <c r="L43" s="131"/>
      <c r="M43" s="131"/>
      <c r="N43" s="69"/>
      <c r="O43" s="310"/>
      <c r="P43" s="311"/>
      <c r="Q43" s="312"/>
      <c r="R43" s="78"/>
      <c r="S43" s="71"/>
      <c r="T43" s="71"/>
      <c r="U43" s="72"/>
    </row>
    <row r="44" spans="1:34" x14ac:dyDescent="0.3">
      <c r="A44" s="128">
        <f t="shared" si="9"/>
        <v>33</v>
      </c>
      <c r="B44" s="248"/>
      <c r="C44" s="64"/>
      <c r="D44" s="183"/>
      <c r="E44" s="269"/>
      <c r="F44" s="172"/>
      <c r="G44" s="119"/>
      <c r="H44" s="123"/>
      <c r="I44" s="125"/>
      <c r="J44" s="130" t="str">
        <f t="shared" si="8"/>
        <v>0</v>
      </c>
      <c r="K44" s="130" t="str">
        <f t="shared" si="7"/>
        <v>0</v>
      </c>
      <c r="L44" s="131"/>
      <c r="M44" s="131"/>
      <c r="N44" s="69"/>
      <c r="O44" s="310"/>
      <c r="P44" s="311"/>
      <c r="Q44" s="312"/>
      <c r="R44" s="5"/>
      <c r="S44" s="71"/>
      <c r="T44" s="71"/>
      <c r="U44" s="72"/>
    </row>
    <row r="45" spans="1:34" x14ac:dyDescent="0.3">
      <c r="A45" s="128">
        <f t="shared" si="9"/>
        <v>34</v>
      </c>
      <c r="B45" s="118"/>
      <c r="C45" s="64"/>
      <c r="D45" s="183"/>
      <c r="E45" s="269"/>
      <c r="F45" s="172"/>
      <c r="G45" s="119"/>
      <c r="H45" s="123"/>
      <c r="I45" s="125"/>
      <c r="J45" s="130" t="str">
        <f t="shared" si="8"/>
        <v>0</v>
      </c>
      <c r="K45" s="130" t="str">
        <f t="shared" si="7"/>
        <v>0</v>
      </c>
      <c r="L45" s="131"/>
      <c r="M45" s="131"/>
      <c r="N45" s="69"/>
      <c r="O45" s="310"/>
      <c r="P45" s="311"/>
      <c r="Q45" s="312"/>
      <c r="R45" s="5"/>
      <c r="S45" s="71"/>
      <c r="T45" s="71"/>
      <c r="U45" s="72"/>
    </row>
    <row r="46" spans="1:34" x14ac:dyDescent="0.3">
      <c r="A46" s="128">
        <f t="shared" si="9"/>
        <v>35</v>
      </c>
      <c r="B46" s="248"/>
      <c r="C46" s="65"/>
      <c r="D46" s="184"/>
      <c r="E46" s="269"/>
      <c r="F46" s="169"/>
      <c r="G46" s="122"/>
      <c r="H46" s="123"/>
      <c r="I46" s="124"/>
      <c r="J46" s="130" t="str">
        <f t="shared" si="8"/>
        <v>0</v>
      </c>
      <c r="K46" s="130" t="str">
        <f t="shared" si="7"/>
        <v>0</v>
      </c>
      <c r="L46" s="131"/>
      <c r="M46" s="131"/>
      <c r="N46" s="69"/>
      <c r="O46" s="310"/>
      <c r="P46" s="311"/>
      <c r="Q46" s="312"/>
      <c r="R46" s="5"/>
      <c r="S46" s="71"/>
      <c r="T46" s="71"/>
      <c r="U46" s="72"/>
    </row>
    <row r="47" spans="1:34" x14ac:dyDescent="0.3">
      <c r="A47" s="128">
        <f t="shared" si="9"/>
        <v>36</v>
      </c>
      <c r="B47" s="118"/>
      <c r="C47" s="18"/>
      <c r="D47" s="188"/>
      <c r="E47" s="269"/>
      <c r="F47" s="66"/>
      <c r="G47" s="121"/>
      <c r="H47" s="123"/>
      <c r="I47" s="124"/>
      <c r="J47" s="130" t="str">
        <f t="shared" si="8"/>
        <v>0</v>
      </c>
      <c r="K47" s="130" t="str">
        <f t="shared" si="7"/>
        <v>0</v>
      </c>
      <c r="L47" s="131"/>
      <c r="M47" s="131"/>
      <c r="N47" s="69"/>
      <c r="O47" s="310"/>
      <c r="P47" s="311"/>
      <c r="Q47" s="312"/>
      <c r="R47" s="5"/>
      <c r="S47" s="71"/>
      <c r="T47" s="71"/>
      <c r="U47" s="72"/>
    </row>
    <row r="48" spans="1:34" x14ac:dyDescent="0.3">
      <c r="A48" s="128">
        <f t="shared" si="9"/>
        <v>37</v>
      </c>
      <c r="B48" s="248"/>
      <c r="C48" s="65"/>
      <c r="D48" s="184"/>
      <c r="E48" s="269"/>
      <c r="F48" s="169"/>
      <c r="G48" s="122"/>
      <c r="H48" s="123"/>
      <c r="I48" s="124"/>
      <c r="J48" s="130" t="str">
        <f t="shared" si="8"/>
        <v>0</v>
      </c>
      <c r="K48" s="130" t="str">
        <f t="shared" si="7"/>
        <v>0</v>
      </c>
      <c r="L48" s="131"/>
      <c r="M48" s="131"/>
      <c r="N48" s="69"/>
      <c r="O48" s="310"/>
      <c r="P48" s="311"/>
      <c r="Q48" s="312"/>
      <c r="R48" s="5"/>
      <c r="S48" s="71"/>
      <c r="T48" s="71"/>
      <c r="U48" s="72"/>
    </row>
    <row r="49" spans="1:21" x14ac:dyDescent="0.3">
      <c r="A49" s="128">
        <f t="shared" si="9"/>
        <v>38</v>
      </c>
      <c r="B49" s="248"/>
      <c r="C49" s="18"/>
      <c r="D49" s="188"/>
      <c r="E49" s="269"/>
      <c r="F49" s="66"/>
      <c r="G49" s="121"/>
      <c r="H49" s="123"/>
      <c r="I49" s="124"/>
      <c r="J49" s="130" t="str">
        <f t="shared" si="8"/>
        <v>0</v>
      </c>
      <c r="K49" s="130" t="str">
        <f t="shared" si="7"/>
        <v>0</v>
      </c>
      <c r="L49" s="131"/>
      <c r="M49" s="131"/>
      <c r="N49" s="69"/>
      <c r="O49" s="310"/>
      <c r="P49" s="311"/>
      <c r="Q49" s="312"/>
      <c r="R49" s="5"/>
      <c r="S49" s="71"/>
      <c r="T49" s="75"/>
      <c r="U49" s="72"/>
    </row>
    <row r="50" spans="1:21" x14ac:dyDescent="0.3">
      <c r="A50" s="128">
        <f t="shared" si="9"/>
        <v>39</v>
      </c>
      <c r="B50" s="248"/>
      <c r="C50" s="18"/>
      <c r="D50" s="188"/>
      <c r="E50" s="269"/>
      <c r="F50" s="66"/>
      <c r="G50" s="20"/>
      <c r="H50" s="123"/>
      <c r="I50" s="124"/>
      <c r="J50" s="130" t="str">
        <f t="shared" si="8"/>
        <v>0</v>
      </c>
      <c r="K50" s="130" t="str">
        <f t="shared" si="7"/>
        <v>0</v>
      </c>
      <c r="L50" s="131"/>
      <c r="M50" s="131"/>
      <c r="N50" s="69"/>
      <c r="O50" s="310"/>
      <c r="P50" s="311"/>
      <c r="Q50" s="312"/>
      <c r="R50" s="5"/>
      <c r="S50" s="71"/>
      <c r="T50" s="75"/>
      <c r="U50" s="72"/>
    </row>
    <row r="51" spans="1:21" x14ac:dyDescent="0.3">
      <c r="A51" s="128">
        <f t="shared" si="9"/>
        <v>40</v>
      </c>
      <c r="B51" s="248"/>
      <c r="C51" s="18"/>
      <c r="D51" s="188"/>
      <c r="E51" s="269"/>
      <c r="F51" s="66"/>
      <c r="G51" s="121"/>
      <c r="H51" s="123"/>
      <c r="I51" s="124"/>
      <c r="J51" s="130" t="str">
        <f t="shared" si="8"/>
        <v>0</v>
      </c>
      <c r="K51" s="130" t="str">
        <f t="shared" si="7"/>
        <v>0</v>
      </c>
      <c r="L51" s="131"/>
      <c r="M51" s="131"/>
      <c r="N51" s="69"/>
      <c r="O51" s="310"/>
      <c r="P51" s="311"/>
      <c r="Q51" s="311"/>
      <c r="R51" s="5"/>
      <c r="S51" s="71"/>
      <c r="T51" s="75"/>
      <c r="U51" s="72"/>
    </row>
    <row r="52" spans="1:21" x14ac:dyDescent="0.3">
      <c r="A52" s="128">
        <f t="shared" si="9"/>
        <v>41</v>
      </c>
      <c r="B52" s="248"/>
      <c r="C52" s="66"/>
      <c r="D52" s="189"/>
      <c r="E52" s="269"/>
      <c r="F52" s="66"/>
      <c r="G52" s="121"/>
      <c r="H52" s="123"/>
      <c r="I52" s="124"/>
      <c r="J52" s="130" t="str">
        <f t="shared" si="8"/>
        <v>0</v>
      </c>
      <c r="K52" s="130" t="str">
        <f t="shared" si="7"/>
        <v>0</v>
      </c>
      <c r="L52" s="131"/>
      <c r="M52" s="131"/>
      <c r="N52" s="69"/>
      <c r="O52" s="310"/>
      <c r="P52" s="311"/>
      <c r="Q52" s="311"/>
      <c r="R52" s="81"/>
      <c r="S52" s="68"/>
      <c r="T52" s="76"/>
      <c r="U52" s="77"/>
    </row>
    <row r="53" spans="1:21" x14ac:dyDescent="0.3">
      <c r="A53" s="128">
        <f t="shared" si="9"/>
        <v>42</v>
      </c>
      <c r="B53" s="248"/>
      <c r="C53" s="127"/>
      <c r="D53" s="185"/>
      <c r="E53" s="269"/>
      <c r="F53" s="174"/>
      <c r="G53" s="248"/>
      <c r="H53" s="89"/>
      <c r="I53" s="141"/>
      <c r="J53" s="130" t="str">
        <f t="shared" si="8"/>
        <v>0</v>
      </c>
      <c r="K53" s="130" t="str">
        <f t="shared" si="7"/>
        <v>0</v>
      </c>
      <c r="L53" s="69"/>
      <c r="M53" s="69"/>
      <c r="N53" s="69"/>
      <c r="O53" s="351"/>
      <c r="P53" s="310"/>
      <c r="Q53" s="310"/>
      <c r="R53" s="81"/>
      <c r="S53" s="68"/>
      <c r="T53" s="76"/>
      <c r="U53" s="77"/>
    </row>
    <row r="54" spans="1:21" x14ac:dyDescent="0.3">
      <c r="A54" s="128">
        <f t="shared" si="9"/>
        <v>43</v>
      </c>
      <c r="B54" s="248"/>
      <c r="C54" s="127"/>
      <c r="D54" s="185"/>
      <c r="E54" s="269"/>
      <c r="F54" s="174"/>
      <c r="G54" s="248"/>
      <c r="H54" s="89"/>
      <c r="I54" s="141"/>
      <c r="J54" s="130" t="str">
        <f t="shared" si="8"/>
        <v>0</v>
      </c>
      <c r="K54" s="130" t="str">
        <f t="shared" si="7"/>
        <v>0</v>
      </c>
      <c r="L54" s="69"/>
      <c r="M54" s="69"/>
      <c r="N54" s="69"/>
      <c r="O54" s="351"/>
      <c r="P54" s="310"/>
      <c r="Q54" s="310"/>
      <c r="R54" s="81"/>
      <c r="S54" s="68"/>
      <c r="T54" s="76"/>
      <c r="U54" s="77"/>
    </row>
    <row r="55" spans="1:21" x14ac:dyDescent="0.3">
      <c r="A55" s="128">
        <f t="shared" si="9"/>
        <v>44</v>
      </c>
      <c r="B55" s="248"/>
      <c r="C55" s="127"/>
      <c r="D55" s="185"/>
      <c r="E55" s="269"/>
      <c r="F55" s="174"/>
      <c r="G55" s="248"/>
      <c r="H55" s="89"/>
      <c r="I55" s="141"/>
      <c r="J55" s="130" t="str">
        <f t="shared" si="8"/>
        <v>0</v>
      </c>
      <c r="K55" s="130" t="str">
        <f t="shared" si="7"/>
        <v>0</v>
      </c>
      <c r="L55" s="69"/>
      <c r="M55" s="69"/>
      <c r="N55" s="69"/>
      <c r="O55" s="351"/>
      <c r="P55" s="310"/>
      <c r="Q55" s="310"/>
      <c r="R55" s="81"/>
      <c r="S55" s="68"/>
      <c r="T55" s="76"/>
      <c r="U55" s="77"/>
    </row>
    <row r="56" spans="1:21" x14ac:dyDescent="0.3">
      <c r="A56" s="128">
        <f t="shared" si="9"/>
        <v>45</v>
      </c>
      <c r="B56" s="248"/>
      <c r="C56" s="132"/>
      <c r="D56" s="186"/>
      <c r="E56" s="269"/>
      <c r="F56" s="174"/>
      <c r="G56" s="248"/>
      <c r="H56" s="90"/>
      <c r="I56" s="90"/>
      <c r="J56" s="130" t="str">
        <f t="shared" si="8"/>
        <v>0</v>
      </c>
      <c r="K56" s="130" t="str">
        <f t="shared" si="7"/>
        <v>0</v>
      </c>
      <c r="L56" s="69"/>
      <c r="M56" s="69"/>
      <c r="N56" s="69"/>
      <c r="O56" s="311"/>
      <c r="P56" s="311"/>
      <c r="Q56" s="311"/>
      <c r="R56" s="81"/>
      <c r="S56" s="68"/>
      <c r="T56" s="76"/>
      <c r="U56" s="77"/>
    </row>
    <row r="57" spans="1:21" x14ac:dyDescent="0.3">
      <c r="A57" s="128">
        <f t="shared" si="9"/>
        <v>46</v>
      </c>
      <c r="B57" s="248"/>
      <c r="C57" s="27"/>
      <c r="D57" s="180"/>
      <c r="E57" s="269"/>
      <c r="F57" s="176"/>
      <c r="G57" s="20"/>
      <c r="H57" s="89"/>
      <c r="I57" s="141"/>
      <c r="J57" s="130" t="str">
        <f t="shared" si="8"/>
        <v>0</v>
      </c>
      <c r="K57" s="130" t="str">
        <f t="shared" si="7"/>
        <v>0</v>
      </c>
      <c r="L57" s="69"/>
      <c r="M57" s="69"/>
      <c r="N57" s="69"/>
      <c r="O57" s="310"/>
      <c r="P57" s="311"/>
      <c r="Q57" s="311"/>
      <c r="R57" s="81"/>
      <c r="S57" s="68"/>
      <c r="T57" s="68"/>
      <c r="U57" s="77"/>
    </row>
    <row r="58" spans="1:21" x14ac:dyDescent="0.3">
      <c r="A58" s="128">
        <f t="shared" si="9"/>
        <v>47</v>
      </c>
      <c r="B58" s="248"/>
      <c r="C58" s="27"/>
      <c r="D58" s="180"/>
      <c r="E58" s="269"/>
      <c r="F58" s="176"/>
      <c r="G58" s="20"/>
      <c r="H58" s="89"/>
      <c r="I58" s="141"/>
      <c r="J58" s="130" t="str">
        <f t="shared" si="8"/>
        <v>0</v>
      </c>
      <c r="K58" s="130" t="str">
        <f t="shared" si="7"/>
        <v>0</v>
      </c>
      <c r="L58" s="69"/>
      <c r="M58" s="69"/>
      <c r="N58" s="69"/>
      <c r="O58" s="311"/>
      <c r="P58" s="311"/>
      <c r="Q58" s="311"/>
      <c r="R58" s="81"/>
      <c r="S58" s="68"/>
      <c r="T58" s="68"/>
      <c r="U58" s="77"/>
    </row>
    <row r="59" spans="1:21" x14ac:dyDescent="0.3">
      <c r="A59" s="128">
        <f t="shared" si="9"/>
        <v>48</v>
      </c>
      <c r="B59" s="248"/>
      <c r="C59" s="27"/>
      <c r="D59" s="180"/>
      <c r="E59" s="269"/>
      <c r="F59" s="176"/>
      <c r="G59" s="20"/>
      <c r="H59" s="89"/>
      <c r="I59" s="141"/>
      <c r="J59" s="130" t="str">
        <f t="shared" si="8"/>
        <v>0</v>
      </c>
      <c r="K59" s="130" t="str">
        <f t="shared" si="7"/>
        <v>0</v>
      </c>
      <c r="L59" s="69"/>
      <c r="M59" s="69"/>
      <c r="N59" s="69"/>
      <c r="O59" s="311"/>
      <c r="P59" s="311"/>
      <c r="Q59" s="311"/>
      <c r="R59" s="81"/>
      <c r="S59" s="68"/>
      <c r="T59" s="68"/>
      <c r="U59" s="77"/>
    </row>
    <row r="60" spans="1:21" x14ac:dyDescent="0.3">
      <c r="A60" s="128">
        <f t="shared" si="9"/>
        <v>49</v>
      </c>
      <c r="B60" s="248"/>
      <c r="C60" s="34"/>
      <c r="D60" s="187"/>
      <c r="E60" s="269"/>
      <c r="F60" s="176"/>
      <c r="G60" s="20"/>
      <c r="H60" s="89"/>
      <c r="I60" s="89"/>
      <c r="J60" s="130" t="str">
        <f t="shared" si="8"/>
        <v>0</v>
      </c>
      <c r="K60" s="130" t="str">
        <f t="shared" si="7"/>
        <v>0</v>
      </c>
      <c r="L60" s="69"/>
      <c r="M60" s="69"/>
      <c r="N60" s="69"/>
      <c r="O60" s="310"/>
      <c r="P60" s="311"/>
      <c r="Q60" s="312"/>
      <c r="R60" s="81"/>
      <c r="S60" s="68"/>
      <c r="T60" s="68"/>
      <c r="U60" s="77"/>
    </row>
    <row r="61" spans="1:21" ht="17.25" thickBot="1" x14ac:dyDescent="0.35">
      <c r="A61" s="128">
        <f t="shared" si="9"/>
        <v>50</v>
      </c>
      <c r="B61" s="248"/>
      <c r="C61" s="30"/>
      <c r="D61" s="193"/>
      <c r="E61" s="269"/>
      <c r="F61" s="30"/>
      <c r="G61" s="248"/>
      <c r="H61" s="148"/>
      <c r="I61" s="148"/>
      <c r="J61" s="130" t="str">
        <f t="shared" si="8"/>
        <v>0</v>
      </c>
      <c r="K61" s="130" t="str">
        <f t="shared" si="7"/>
        <v>0</v>
      </c>
      <c r="L61" s="149"/>
      <c r="M61" s="149"/>
      <c r="N61" s="149"/>
      <c r="O61" s="352"/>
      <c r="P61" s="353"/>
      <c r="Q61" s="354"/>
      <c r="R61" s="81"/>
      <c r="S61" s="68"/>
      <c r="T61" s="68"/>
      <c r="U61" s="77"/>
    </row>
    <row r="62" spans="1:21" x14ac:dyDescent="0.3">
      <c r="A62" s="355" t="s">
        <v>48</v>
      </c>
      <c r="B62" s="356"/>
      <c r="C62" s="356"/>
      <c r="D62" s="356"/>
      <c r="E62" s="356"/>
      <c r="F62" s="356"/>
      <c r="G62" s="356"/>
      <c r="H62" s="356">
        <f t="shared" ref="H62:M62" si="10">SUM(H37:H61)</f>
        <v>0</v>
      </c>
      <c r="I62" s="361">
        <f t="shared" si="10"/>
        <v>0</v>
      </c>
      <c r="J62" s="361">
        <f>J61+J60+J59+J58+J57+J56+J55+J54+J53+J52+J51+J50+J49+J48+J47+J46+J45+J44+J43+J42+J41+J40+J39+J38+J37</f>
        <v>0</v>
      </c>
      <c r="K62" s="361">
        <f>K61+K60+K59+K58+K57+K56+K55+K54+K53+K52+K51+K50+K49+K48+K47+K46+K45+K44+K43+K42+K41+K40+K39+K38+K37</f>
        <v>0</v>
      </c>
      <c r="L62" s="364">
        <f t="shared" si="10"/>
        <v>0</v>
      </c>
      <c r="M62" s="367">
        <f t="shared" si="10"/>
        <v>0</v>
      </c>
      <c r="N62" s="370"/>
      <c r="O62" s="371"/>
      <c r="P62" s="371"/>
      <c r="Q62" s="372"/>
      <c r="R62" s="5"/>
      <c r="S62" s="6"/>
      <c r="T62" s="7"/>
      <c r="U62" s="8"/>
    </row>
    <row r="63" spans="1:21" ht="17.25" thickBot="1" x14ac:dyDescent="0.35">
      <c r="A63" s="357"/>
      <c r="B63" s="358"/>
      <c r="C63" s="358"/>
      <c r="D63" s="358"/>
      <c r="E63" s="358"/>
      <c r="F63" s="358"/>
      <c r="G63" s="358"/>
      <c r="H63" s="358"/>
      <c r="I63" s="362"/>
      <c r="J63" s="362"/>
      <c r="K63" s="362"/>
      <c r="L63" s="365"/>
      <c r="M63" s="368"/>
      <c r="N63" s="373"/>
      <c r="O63" s="374"/>
      <c r="P63" s="374"/>
      <c r="Q63" s="375"/>
      <c r="R63" s="1"/>
      <c r="S63" s="2"/>
      <c r="T63" s="3"/>
      <c r="U63" s="4"/>
    </row>
    <row r="64" spans="1:21" ht="17.25" thickBot="1" x14ac:dyDescent="0.35">
      <c r="A64" s="359"/>
      <c r="B64" s="360"/>
      <c r="C64" s="360"/>
      <c r="D64" s="360"/>
      <c r="E64" s="360"/>
      <c r="F64" s="360"/>
      <c r="G64" s="360"/>
      <c r="H64" s="360"/>
      <c r="I64" s="363"/>
      <c r="J64" s="363"/>
      <c r="K64" s="363"/>
      <c r="L64" s="366"/>
      <c r="M64" s="369"/>
      <c r="N64" s="332"/>
      <c r="O64" s="333"/>
      <c r="P64" s="333"/>
      <c r="Q64" s="376"/>
      <c r="R64" s="377" t="s">
        <v>17</v>
      </c>
      <c r="S64" s="378"/>
      <c r="T64" s="378"/>
      <c r="U64" s="379"/>
    </row>
    <row r="65" spans="1:21" ht="17.25" thickBot="1" x14ac:dyDescent="0.35">
      <c r="A65" s="293" t="s">
        <v>24</v>
      </c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5"/>
    </row>
    <row r="66" spans="1:21" ht="17.25" thickBot="1" x14ac:dyDescent="0.35">
      <c r="A66" s="293" t="str">
        <f>A34</f>
        <v>12-02-2022</v>
      </c>
      <c r="B66" s="294"/>
      <c r="C66" s="294"/>
      <c r="D66" s="294"/>
      <c r="E66" s="294"/>
      <c r="F66" s="294"/>
      <c r="G66" s="295"/>
      <c r="H66" s="296" t="s">
        <v>49</v>
      </c>
      <c r="I66" s="297"/>
      <c r="J66" s="293" t="str">
        <f>J34</f>
        <v>MIX</v>
      </c>
      <c r="K66" s="295"/>
      <c r="L66" s="297" t="s">
        <v>50</v>
      </c>
      <c r="M66" s="298"/>
      <c r="N66" s="296"/>
      <c r="O66" s="294" t="str">
        <f>O34</f>
        <v>JOHN</v>
      </c>
      <c r="P66" s="294"/>
      <c r="Q66" s="295"/>
      <c r="R66" s="297" t="s">
        <v>51</v>
      </c>
      <c r="S66" s="296"/>
      <c r="T66" s="299">
        <f>T34</f>
        <v>7</v>
      </c>
      <c r="U66" s="299"/>
    </row>
    <row r="67" spans="1:21" ht="17.25" thickBot="1" x14ac:dyDescent="0.35">
      <c r="A67" s="15" t="s">
        <v>6</v>
      </c>
      <c r="F67" s="166"/>
      <c r="H67" s="9"/>
      <c r="I67" s="19"/>
      <c r="T67" s="10"/>
      <c r="U67" s="11"/>
    </row>
    <row r="68" spans="1:21" ht="17.25" thickBot="1" x14ac:dyDescent="0.35">
      <c r="A68" s="154" t="s">
        <v>0</v>
      </c>
      <c r="B68" s="249" t="s">
        <v>21</v>
      </c>
      <c r="C68" s="249" t="s">
        <v>7</v>
      </c>
      <c r="D68" s="256" t="s">
        <v>88</v>
      </c>
      <c r="E68" s="266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3" t="s">
        <v>8</v>
      </c>
      <c r="P68" s="303"/>
      <c r="Q68" s="303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48"/>
      <c r="C69" s="254"/>
      <c r="D69" s="261"/>
      <c r="E69" s="268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11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11"/>
      <c r="Q69" s="312"/>
      <c r="R69" s="60"/>
      <c r="S69" s="61"/>
      <c r="T69" s="61"/>
      <c r="U69" s="70"/>
    </row>
    <row r="70" spans="1:21" x14ac:dyDescent="0.3">
      <c r="A70" s="128">
        <f>A69+1</f>
        <v>52</v>
      </c>
      <c r="B70" s="248"/>
      <c r="C70" s="67"/>
      <c r="D70" s="191"/>
      <c r="E70" s="269"/>
      <c r="F70" s="170"/>
      <c r="G70" s="118"/>
      <c r="H70" s="91"/>
      <c r="I70" s="124"/>
      <c r="J70" s="130" t="str">
        <f t="shared" ref="J70:J93" si="12">IF(G70="RSL","50","0")</f>
        <v>0</v>
      </c>
      <c r="K70" s="130" t="str">
        <f t="shared" si="11"/>
        <v>0</v>
      </c>
      <c r="L70" s="131"/>
      <c r="M70" s="131"/>
      <c r="N70" s="69"/>
      <c r="O70" s="307"/>
      <c r="P70" s="308"/>
      <c r="Q70" s="309"/>
      <c r="R70" s="78"/>
      <c r="S70" s="71"/>
      <c r="T70" s="16"/>
      <c r="U70" s="72"/>
    </row>
    <row r="71" spans="1:21" x14ac:dyDescent="0.3">
      <c r="A71" s="128">
        <f t="shared" ref="A71:A93" si="13">A70+1</f>
        <v>53</v>
      </c>
      <c r="B71" s="248"/>
      <c r="C71" s="27"/>
      <c r="D71" s="180"/>
      <c r="E71" s="269"/>
      <c r="F71" s="170"/>
      <c r="G71" s="118"/>
      <c r="H71" s="91"/>
      <c r="I71" s="124"/>
      <c r="J71" s="130" t="str">
        <f t="shared" si="12"/>
        <v>0</v>
      </c>
      <c r="K71" s="130" t="str">
        <f t="shared" si="11"/>
        <v>0</v>
      </c>
      <c r="L71" s="131"/>
      <c r="M71" s="131"/>
      <c r="N71" s="69"/>
      <c r="O71" s="310"/>
      <c r="P71" s="311"/>
      <c r="Q71" s="312"/>
      <c r="R71" s="79"/>
      <c r="S71" s="13"/>
      <c r="T71" s="12"/>
      <c r="U71" s="72"/>
    </row>
    <row r="72" spans="1:21" x14ac:dyDescent="0.3">
      <c r="A72" s="128">
        <f t="shared" si="13"/>
        <v>54</v>
      </c>
      <c r="B72" s="248"/>
      <c r="C72" s="63"/>
      <c r="D72" s="181"/>
      <c r="E72" s="269"/>
      <c r="F72" s="171"/>
      <c r="G72" s="119"/>
      <c r="H72" s="91"/>
      <c r="I72" s="91"/>
      <c r="J72" s="130" t="str">
        <f t="shared" si="12"/>
        <v>0</v>
      </c>
      <c r="K72" s="130" t="str">
        <f t="shared" si="11"/>
        <v>0</v>
      </c>
      <c r="L72" s="131"/>
      <c r="M72" s="131"/>
      <c r="N72" s="69"/>
      <c r="O72" s="313"/>
      <c r="P72" s="314"/>
      <c r="Q72" s="315"/>
      <c r="R72" s="78"/>
      <c r="S72" s="71"/>
      <c r="T72" s="71"/>
      <c r="U72" s="72"/>
    </row>
    <row r="73" spans="1:21" x14ac:dyDescent="0.3">
      <c r="A73" s="128">
        <f t="shared" si="13"/>
        <v>55</v>
      </c>
      <c r="B73" s="248"/>
      <c r="C73" s="63"/>
      <c r="D73" s="181"/>
      <c r="E73" s="269"/>
      <c r="F73" s="171"/>
      <c r="G73" s="119"/>
      <c r="H73" s="91"/>
      <c r="I73" s="91"/>
      <c r="J73" s="130" t="str">
        <f t="shared" si="12"/>
        <v>0</v>
      </c>
      <c r="K73" s="130" t="str">
        <f t="shared" si="11"/>
        <v>0</v>
      </c>
      <c r="L73" s="131"/>
      <c r="M73" s="131"/>
      <c r="N73" s="69"/>
      <c r="O73" s="313"/>
      <c r="P73" s="314"/>
      <c r="Q73" s="315"/>
      <c r="R73" s="80"/>
      <c r="S73" s="73"/>
      <c r="T73" s="73"/>
      <c r="U73" s="74"/>
    </row>
    <row r="74" spans="1:21" x14ac:dyDescent="0.3">
      <c r="A74" s="128">
        <f t="shared" si="13"/>
        <v>56</v>
      </c>
      <c r="B74" s="248"/>
      <c r="C74" s="28"/>
      <c r="D74" s="182"/>
      <c r="E74" s="269"/>
      <c r="F74" s="172"/>
      <c r="G74" s="120"/>
      <c r="H74" s="123"/>
      <c r="I74" s="125"/>
      <c r="J74" s="130" t="str">
        <f t="shared" si="12"/>
        <v>0</v>
      </c>
      <c r="K74" s="130" t="str">
        <f t="shared" si="11"/>
        <v>0</v>
      </c>
      <c r="L74" s="131"/>
      <c r="M74" s="131"/>
      <c r="N74" s="69"/>
      <c r="O74" s="300"/>
      <c r="P74" s="301"/>
      <c r="Q74" s="302"/>
      <c r="R74" s="80"/>
      <c r="S74" s="73"/>
      <c r="T74" s="73"/>
      <c r="U74" s="74"/>
    </row>
    <row r="75" spans="1:21" x14ac:dyDescent="0.3">
      <c r="A75" s="128">
        <f t="shared" si="13"/>
        <v>57</v>
      </c>
      <c r="B75" s="248"/>
      <c r="C75" s="18"/>
      <c r="D75" s="188"/>
      <c r="E75" s="269"/>
      <c r="F75" s="66"/>
      <c r="G75" s="121"/>
      <c r="H75" s="123"/>
      <c r="I75" s="124"/>
      <c r="J75" s="130" t="str">
        <f t="shared" si="12"/>
        <v>0</v>
      </c>
      <c r="K75" s="130" t="str">
        <f t="shared" si="11"/>
        <v>0</v>
      </c>
      <c r="L75" s="131"/>
      <c r="M75" s="131"/>
      <c r="N75" s="69"/>
      <c r="O75" s="310"/>
      <c r="P75" s="311"/>
      <c r="Q75" s="312"/>
      <c r="R75" s="78"/>
      <c r="S75" s="71"/>
      <c r="T75" s="71"/>
      <c r="U75" s="72"/>
    </row>
    <row r="76" spans="1:21" x14ac:dyDescent="0.3">
      <c r="A76" s="128">
        <f t="shared" si="13"/>
        <v>58</v>
      </c>
      <c r="B76" s="248"/>
      <c r="C76" s="64"/>
      <c r="D76" s="183"/>
      <c r="E76" s="269"/>
      <c r="F76" s="172"/>
      <c r="G76" s="119"/>
      <c r="H76" s="123"/>
      <c r="I76" s="125"/>
      <c r="J76" s="130" t="str">
        <f t="shared" si="12"/>
        <v>0</v>
      </c>
      <c r="K76" s="130" t="str">
        <f t="shared" si="11"/>
        <v>0</v>
      </c>
      <c r="L76" s="131"/>
      <c r="M76" s="131"/>
      <c r="N76" s="69"/>
      <c r="O76" s="310"/>
      <c r="P76" s="311"/>
      <c r="Q76" s="312"/>
      <c r="R76" s="5"/>
      <c r="S76" s="71"/>
      <c r="T76" s="71"/>
      <c r="U76" s="72"/>
    </row>
    <row r="77" spans="1:21" x14ac:dyDescent="0.3">
      <c r="A77" s="128">
        <f t="shared" si="13"/>
        <v>59</v>
      </c>
      <c r="B77" s="248"/>
      <c r="C77" s="64"/>
      <c r="D77" s="183"/>
      <c r="E77" s="269"/>
      <c r="F77" s="172"/>
      <c r="G77" s="119"/>
      <c r="H77" s="123"/>
      <c r="I77" s="125"/>
      <c r="J77" s="130" t="str">
        <f t="shared" si="12"/>
        <v>0</v>
      </c>
      <c r="K77" s="130" t="str">
        <f t="shared" si="11"/>
        <v>0</v>
      </c>
      <c r="L77" s="131"/>
      <c r="M77" s="131"/>
      <c r="N77" s="69"/>
      <c r="O77" s="310"/>
      <c r="P77" s="311"/>
      <c r="Q77" s="312"/>
      <c r="R77" s="5"/>
      <c r="S77" s="71"/>
      <c r="T77" s="71"/>
      <c r="U77" s="72"/>
    </row>
    <row r="78" spans="1:21" x14ac:dyDescent="0.3">
      <c r="A78" s="128">
        <f t="shared" si="13"/>
        <v>60</v>
      </c>
      <c r="B78" s="248"/>
      <c r="C78" s="65"/>
      <c r="D78" s="184"/>
      <c r="E78" s="269"/>
      <c r="F78" s="169"/>
      <c r="G78" s="122"/>
      <c r="H78" s="123"/>
      <c r="I78" s="124"/>
      <c r="J78" s="130" t="str">
        <f t="shared" si="12"/>
        <v>0</v>
      </c>
      <c r="K78" s="130" t="str">
        <f t="shared" si="11"/>
        <v>0</v>
      </c>
      <c r="L78" s="131"/>
      <c r="M78" s="131"/>
      <c r="N78" s="69"/>
      <c r="O78" s="310"/>
      <c r="P78" s="311"/>
      <c r="Q78" s="312"/>
      <c r="R78" s="5"/>
      <c r="S78" s="71"/>
      <c r="T78" s="71"/>
      <c r="U78" s="72"/>
    </row>
    <row r="79" spans="1:21" x14ac:dyDescent="0.3">
      <c r="A79" s="128">
        <f t="shared" si="13"/>
        <v>61</v>
      </c>
      <c r="B79" s="248"/>
      <c r="C79" s="18"/>
      <c r="D79" s="188"/>
      <c r="E79" s="269"/>
      <c r="F79" s="66"/>
      <c r="G79" s="121"/>
      <c r="H79" s="123"/>
      <c r="I79" s="124"/>
      <c r="J79" s="130" t="str">
        <f t="shared" si="12"/>
        <v>0</v>
      </c>
      <c r="K79" s="130" t="str">
        <f t="shared" si="11"/>
        <v>0</v>
      </c>
      <c r="L79" s="131"/>
      <c r="M79" s="131"/>
      <c r="N79" s="69"/>
      <c r="O79" s="310"/>
      <c r="P79" s="311"/>
      <c r="Q79" s="312"/>
      <c r="R79" s="5"/>
      <c r="S79" s="71"/>
      <c r="T79" s="71"/>
      <c r="U79" s="72"/>
    </row>
    <row r="80" spans="1:21" x14ac:dyDescent="0.3">
      <c r="A80" s="128">
        <f t="shared" si="13"/>
        <v>62</v>
      </c>
      <c r="B80" s="248"/>
      <c r="C80" s="65"/>
      <c r="D80" s="184"/>
      <c r="E80" s="269"/>
      <c r="F80" s="169"/>
      <c r="G80" s="122"/>
      <c r="H80" s="123"/>
      <c r="I80" s="124"/>
      <c r="J80" s="130" t="str">
        <f t="shared" si="12"/>
        <v>0</v>
      </c>
      <c r="K80" s="130" t="str">
        <f t="shared" si="11"/>
        <v>0</v>
      </c>
      <c r="L80" s="131"/>
      <c r="M80" s="131"/>
      <c r="N80" s="69"/>
      <c r="O80" s="310"/>
      <c r="P80" s="311"/>
      <c r="Q80" s="312"/>
      <c r="R80" s="5"/>
      <c r="S80" s="71"/>
      <c r="T80" s="71"/>
      <c r="U80" s="72"/>
    </row>
    <row r="81" spans="1:21" x14ac:dyDescent="0.3">
      <c r="A81" s="128">
        <f t="shared" si="13"/>
        <v>63</v>
      </c>
      <c r="B81" s="248"/>
      <c r="C81" s="18"/>
      <c r="D81" s="188"/>
      <c r="E81" s="269"/>
      <c r="F81" s="66"/>
      <c r="G81" s="121"/>
      <c r="H81" s="123"/>
      <c r="I81" s="124"/>
      <c r="J81" s="130" t="str">
        <f t="shared" si="12"/>
        <v>0</v>
      </c>
      <c r="K81" s="130" t="str">
        <f t="shared" si="11"/>
        <v>0</v>
      </c>
      <c r="L81" s="131"/>
      <c r="M81" s="131"/>
      <c r="N81" s="69"/>
      <c r="O81" s="310"/>
      <c r="P81" s="311"/>
      <c r="Q81" s="312"/>
      <c r="R81" s="5"/>
      <c r="S81" s="71"/>
      <c r="T81" s="75"/>
      <c r="U81" s="72"/>
    </row>
    <row r="82" spans="1:21" x14ac:dyDescent="0.3">
      <c r="A82" s="128">
        <f t="shared" si="13"/>
        <v>64</v>
      </c>
      <c r="B82" s="248"/>
      <c r="C82" s="18"/>
      <c r="D82" s="188"/>
      <c r="E82" s="269"/>
      <c r="F82" s="66"/>
      <c r="G82" s="20"/>
      <c r="H82" s="123"/>
      <c r="I82" s="124"/>
      <c r="J82" s="130" t="str">
        <f t="shared" si="12"/>
        <v>0</v>
      </c>
      <c r="K82" s="130" t="str">
        <f t="shared" si="11"/>
        <v>0</v>
      </c>
      <c r="L82" s="131"/>
      <c r="M82" s="131"/>
      <c r="N82" s="69"/>
      <c r="O82" s="310"/>
      <c r="P82" s="311"/>
      <c r="Q82" s="312"/>
      <c r="R82" s="5"/>
      <c r="S82" s="71"/>
      <c r="T82" s="75"/>
      <c r="U82" s="72"/>
    </row>
    <row r="83" spans="1:21" x14ac:dyDescent="0.3">
      <c r="A83" s="128">
        <f t="shared" si="13"/>
        <v>65</v>
      </c>
      <c r="B83" s="248"/>
      <c r="C83" s="18"/>
      <c r="D83" s="188"/>
      <c r="E83" s="269"/>
      <c r="F83" s="66"/>
      <c r="G83" s="121"/>
      <c r="H83" s="123"/>
      <c r="I83" s="124"/>
      <c r="J83" s="130" t="str">
        <f t="shared" si="12"/>
        <v>0</v>
      </c>
      <c r="K83" s="130" t="str">
        <f t="shared" si="11"/>
        <v>0</v>
      </c>
      <c r="L83" s="131"/>
      <c r="M83" s="131"/>
      <c r="N83" s="69"/>
      <c r="O83" s="310"/>
      <c r="P83" s="311"/>
      <c r="Q83" s="311"/>
      <c r="R83" s="5"/>
      <c r="S83" s="71"/>
      <c r="T83" s="75"/>
      <c r="U83" s="72"/>
    </row>
    <row r="84" spans="1:21" x14ac:dyDescent="0.3">
      <c r="A84" s="128">
        <f t="shared" si="13"/>
        <v>66</v>
      </c>
      <c r="B84" s="248"/>
      <c r="C84" s="66"/>
      <c r="D84" s="189"/>
      <c r="E84" s="269"/>
      <c r="F84" s="66"/>
      <c r="G84" s="121"/>
      <c r="H84" s="123"/>
      <c r="I84" s="124"/>
      <c r="J84" s="130" t="str">
        <f t="shared" si="12"/>
        <v>0</v>
      </c>
      <c r="K84" s="130" t="str">
        <f t="shared" si="11"/>
        <v>0</v>
      </c>
      <c r="L84" s="131"/>
      <c r="M84" s="131"/>
      <c r="N84" s="69"/>
      <c r="O84" s="310"/>
      <c r="P84" s="311"/>
      <c r="Q84" s="311"/>
      <c r="R84" s="81"/>
      <c r="S84" s="68"/>
      <c r="T84" s="76"/>
      <c r="U84" s="77"/>
    </row>
    <row r="85" spans="1:21" x14ac:dyDescent="0.3">
      <c r="A85" s="128">
        <f t="shared" si="13"/>
        <v>67</v>
      </c>
      <c r="B85" s="248"/>
      <c r="C85" s="127"/>
      <c r="D85" s="185"/>
      <c r="E85" s="269"/>
      <c r="F85" s="174"/>
      <c r="G85" s="248"/>
      <c r="H85" s="89"/>
      <c r="I85" s="141"/>
      <c r="J85" s="130" t="str">
        <f t="shared" si="12"/>
        <v>0</v>
      </c>
      <c r="K85" s="130" t="str">
        <f t="shared" si="11"/>
        <v>0</v>
      </c>
      <c r="L85" s="69"/>
      <c r="M85" s="69"/>
      <c r="N85" s="69"/>
      <c r="O85" s="351"/>
      <c r="P85" s="310"/>
      <c r="Q85" s="310"/>
      <c r="R85" s="81"/>
      <c r="S85" s="68"/>
      <c r="T85" s="76"/>
      <c r="U85" s="77"/>
    </row>
    <row r="86" spans="1:21" x14ac:dyDescent="0.3">
      <c r="A86" s="128">
        <f t="shared" si="13"/>
        <v>68</v>
      </c>
      <c r="B86" s="248"/>
      <c r="C86" s="127"/>
      <c r="D86" s="185"/>
      <c r="E86" s="269"/>
      <c r="F86" s="174"/>
      <c r="G86" s="248"/>
      <c r="H86" s="89"/>
      <c r="I86" s="141"/>
      <c r="J86" s="130" t="str">
        <f t="shared" si="12"/>
        <v>0</v>
      </c>
      <c r="K86" s="130" t="str">
        <f t="shared" si="11"/>
        <v>0</v>
      </c>
      <c r="L86" s="69"/>
      <c r="M86" s="69"/>
      <c r="N86" s="69"/>
      <c r="O86" s="351"/>
      <c r="P86" s="310"/>
      <c r="Q86" s="310"/>
      <c r="R86" s="81"/>
      <c r="S86" s="68"/>
      <c r="T86" s="76"/>
      <c r="U86" s="77"/>
    </row>
    <row r="87" spans="1:21" x14ac:dyDescent="0.3">
      <c r="A87" s="128">
        <f t="shared" si="13"/>
        <v>69</v>
      </c>
      <c r="B87" s="248"/>
      <c r="C87" s="127"/>
      <c r="D87" s="185"/>
      <c r="E87" s="269"/>
      <c r="F87" s="174"/>
      <c r="G87" s="248"/>
      <c r="H87" s="89"/>
      <c r="I87" s="141"/>
      <c r="J87" s="130" t="str">
        <f t="shared" si="12"/>
        <v>0</v>
      </c>
      <c r="K87" s="130" t="str">
        <f t="shared" si="11"/>
        <v>0</v>
      </c>
      <c r="L87" s="69"/>
      <c r="M87" s="69"/>
      <c r="N87" s="69"/>
      <c r="O87" s="351"/>
      <c r="P87" s="310"/>
      <c r="Q87" s="310"/>
      <c r="R87" s="81"/>
      <c r="S87" s="68"/>
      <c r="T87" s="76"/>
      <c r="U87" s="77"/>
    </row>
    <row r="88" spans="1:21" x14ac:dyDescent="0.3">
      <c r="A88" s="128">
        <f t="shared" si="13"/>
        <v>70</v>
      </c>
      <c r="B88" s="248"/>
      <c r="C88" s="132"/>
      <c r="D88" s="186"/>
      <c r="E88" s="269"/>
      <c r="F88" s="174"/>
      <c r="G88" s="248"/>
      <c r="H88" s="90"/>
      <c r="I88" s="90"/>
      <c r="J88" s="130" t="str">
        <f t="shared" si="12"/>
        <v>0</v>
      </c>
      <c r="K88" s="130" t="str">
        <f t="shared" si="11"/>
        <v>0</v>
      </c>
      <c r="L88" s="69"/>
      <c r="M88" s="69"/>
      <c r="N88" s="69"/>
      <c r="O88" s="311"/>
      <c r="P88" s="311"/>
      <c r="Q88" s="311"/>
      <c r="R88" s="81"/>
      <c r="S88" s="68"/>
      <c r="T88" s="76"/>
      <c r="U88" s="77"/>
    </row>
    <row r="89" spans="1:21" x14ac:dyDescent="0.3">
      <c r="A89" s="128">
        <f t="shared" si="13"/>
        <v>71</v>
      </c>
      <c r="B89" s="248"/>
      <c r="C89" s="27"/>
      <c r="D89" s="180"/>
      <c r="E89" s="269"/>
      <c r="F89" s="176"/>
      <c r="G89" s="20"/>
      <c r="H89" s="89"/>
      <c r="I89" s="141"/>
      <c r="J89" s="130" t="str">
        <f t="shared" si="12"/>
        <v>0</v>
      </c>
      <c r="K89" s="130" t="str">
        <f t="shared" si="11"/>
        <v>0</v>
      </c>
      <c r="L89" s="69"/>
      <c r="M89" s="69"/>
      <c r="N89" s="69"/>
      <c r="O89" s="310"/>
      <c r="P89" s="311"/>
      <c r="Q89" s="311"/>
      <c r="R89" s="81"/>
      <c r="S89" s="68"/>
      <c r="T89" s="68"/>
      <c r="U89" s="77"/>
    </row>
    <row r="90" spans="1:21" x14ac:dyDescent="0.3">
      <c r="A90" s="128">
        <f t="shared" si="13"/>
        <v>72</v>
      </c>
      <c r="B90" s="248"/>
      <c r="C90" s="27"/>
      <c r="D90" s="180"/>
      <c r="E90" s="269"/>
      <c r="F90" s="176"/>
      <c r="G90" s="20"/>
      <c r="H90" s="89"/>
      <c r="I90" s="141"/>
      <c r="J90" s="130" t="str">
        <f t="shared" si="12"/>
        <v>0</v>
      </c>
      <c r="K90" s="130" t="str">
        <f t="shared" si="11"/>
        <v>0</v>
      </c>
      <c r="L90" s="69"/>
      <c r="M90" s="69"/>
      <c r="N90" s="69"/>
      <c r="O90" s="311"/>
      <c r="P90" s="311"/>
      <c r="Q90" s="311"/>
      <c r="R90" s="81"/>
      <c r="S90" s="68"/>
      <c r="T90" s="68"/>
      <c r="U90" s="77"/>
    </row>
    <row r="91" spans="1:21" x14ac:dyDescent="0.3">
      <c r="A91" s="128">
        <f t="shared" si="13"/>
        <v>73</v>
      </c>
      <c r="B91" s="248"/>
      <c r="C91" s="27"/>
      <c r="D91" s="180"/>
      <c r="E91" s="269"/>
      <c r="F91" s="176"/>
      <c r="G91" s="20"/>
      <c r="H91" s="89"/>
      <c r="I91" s="141"/>
      <c r="J91" s="130" t="str">
        <f t="shared" si="12"/>
        <v>0</v>
      </c>
      <c r="K91" s="130" t="str">
        <f t="shared" si="11"/>
        <v>0</v>
      </c>
      <c r="L91" s="69"/>
      <c r="M91" s="69"/>
      <c r="N91" s="69"/>
      <c r="O91" s="311"/>
      <c r="P91" s="311"/>
      <c r="Q91" s="311"/>
      <c r="R91" s="81"/>
      <c r="S91" s="68"/>
      <c r="T91" s="68"/>
      <c r="U91" s="77"/>
    </row>
    <row r="92" spans="1:21" x14ac:dyDescent="0.3">
      <c r="A92" s="128">
        <f t="shared" si="13"/>
        <v>74</v>
      </c>
      <c r="B92" s="248"/>
      <c r="C92" s="34"/>
      <c r="D92" s="187"/>
      <c r="E92" s="269"/>
      <c r="F92" s="176"/>
      <c r="G92" s="20"/>
      <c r="H92" s="89"/>
      <c r="I92" s="89"/>
      <c r="J92" s="130" t="str">
        <f t="shared" si="12"/>
        <v>0</v>
      </c>
      <c r="K92" s="130" t="str">
        <f t="shared" si="11"/>
        <v>0</v>
      </c>
      <c r="L92" s="69"/>
      <c r="M92" s="69"/>
      <c r="N92" s="69"/>
      <c r="O92" s="310"/>
      <c r="P92" s="311"/>
      <c r="Q92" s="312"/>
      <c r="R92" s="81"/>
      <c r="S92" s="68"/>
      <c r="T92" s="68"/>
      <c r="U92" s="77"/>
    </row>
    <row r="93" spans="1:21" ht="17.25" thickBot="1" x14ac:dyDescent="0.35">
      <c r="A93" s="128">
        <f t="shared" si="13"/>
        <v>75</v>
      </c>
      <c r="B93" s="248"/>
      <c r="C93" s="30"/>
      <c r="D93" s="194"/>
      <c r="E93" s="272"/>
      <c r="F93" s="177"/>
      <c r="G93" s="248"/>
      <c r="H93" s="148"/>
      <c r="I93" s="148"/>
      <c r="J93" s="130" t="str">
        <f t="shared" si="12"/>
        <v>0</v>
      </c>
      <c r="K93" s="130" t="str">
        <f t="shared" si="11"/>
        <v>0</v>
      </c>
      <c r="L93" s="149"/>
      <c r="M93" s="149"/>
      <c r="N93" s="149"/>
      <c r="O93" s="352"/>
      <c r="P93" s="353"/>
      <c r="Q93" s="354"/>
      <c r="R93" s="81"/>
      <c r="S93" s="68"/>
      <c r="T93" s="68"/>
      <c r="U93" s="77"/>
    </row>
    <row r="94" spans="1:21" x14ac:dyDescent="0.3">
      <c r="A94" s="355" t="s">
        <v>48</v>
      </c>
      <c r="B94" s="356"/>
      <c r="C94" s="356"/>
      <c r="D94" s="356"/>
      <c r="E94" s="380"/>
      <c r="F94" s="356"/>
      <c r="G94" s="356"/>
      <c r="H94" s="356">
        <f t="shared" ref="H94:M94" si="14">SUM(H69:H93)</f>
        <v>0</v>
      </c>
      <c r="I94" s="361">
        <f t="shared" si="14"/>
        <v>0</v>
      </c>
      <c r="J94" s="361">
        <f>J93+J92+J91+J90+J89+J88+J87+J86+J85+J84+J83+J82+J81+J80+J79+J78+J77+J76+J75+J74+J73+J72+J71+J70+J69</f>
        <v>0</v>
      </c>
      <c r="K94" s="361">
        <f>K93+K92+K91+K90+K89+K88+K87+K86+K85+K84+K83+K82+K81+K80+K79+K78+K77+K76+K75+K74+K73+K72+K71+K70+K69</f>
        <v>0</v>
      </c>
      <c r="L94" s="364">
        <f t="shared" si="14"/>
        <v>0</v>
      </c>
      <c r="M94" s="367">
        <f t="shared" si="14"/>
        <v>0</v>
      </c>
      <c r="N94" s="370"/>
      <c r="O94" s="371"/>
      <c r="P94" s="371"/>
      <c r="Q94" s="372"/>
      <c r="R94" s="5"/>
      <c r="S94" s="6"/>
      <c r="T94" s="7"/>
      <c r="U94" s="8"/>
    </row>
    <row r="95" spans="1:21" ht="17.25" thickBot="1" x14ac:dyDescent="0.35">
      <c r="A95" s="357"/>
      <c r="B95" s="358"/>
      <c r="C95" s="358"/>
      <c r="D95" s="358"/>
      <c r="E95" s="358"/>
      <c r="F95" s="358"/>
      <c r="G95" s="358"/>
      <c r="H95" s="358"/>
      <c r="I95" s="362"/>
      <c r="J95" s="362"/>
      <c r="K95" s="362"/>
      <c r="L95" s="365"/>
      <c r="M95" s="368"/>
      <c r="N95" s="373"/>
      <c r="O95" s="374"/>
      <c r="P95" s="374"/>
      <c r="Q95" s="375"/>
      <c r="R95" s="1"/>
      <c r="S95" s="2"/>
      <c r="T95" s="3"/>
      <c r="U95" s="4"/>
    </row>
    <row r="96" spans="1:21" ht="17.25" thickBot="1" x14ac:dyDescent="0.35">
      <c r="A96" s="359"/>
      <c r="B96" s="360"/>
      <c r="C96" s="360"/>
      <c r="D96" s="360"/>
      <c r="E96" s="360"/>
      <c r="F96" s="360"/>
      <c r="G96" s="360"/>
      <c r="H96" s="360"/>
      <c r="I96" s="363"/>
      <c r="J96" s="363"/>
      <c r="K96" s="363"/>
      <c r="L96" s="366"/>
      <c r="M96" s="369"/>
      <c r="N96" s="332"/>
      <c r="O96" s="333"/>
      <c r="P96" s="333"/>
      <c r="Q96" s="376"/>
      <c r="R96" s="377" t="s">
        <v>52</v>
      </c>
      <c r="S96" s="378"/>
      <c r="T96" s="378"/>
      <c r="U96" s="379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2">
    <dataValidation type="list" allowBlank="1" showInputMessage="1" showErrorMessage="1" sqref="X7" xr:uid="{9FB6D0A9-17A8-49F9-A555-872331B6777B}">
      <formula1>$W$5:$W$7</formula1>
    </dataValidation>
    <dataValidation type="list" allowBlank="1" showInputMessage="1" showErrorMessage="1" sqref="W5:W8 E5:E29 E37:E61 E69:E93" xr:uid="{6AEF1EA5-BBDC-40AD-BD7C-6EBADB1310C1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L19" sqref="L1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0" customWidth="1"/>
    <col min="5" max="5" width="5.75" style="265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3" t="s">
        <v>77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5"/>
    </row>
    <row r="2" spans="1:44" ht="17.25" thickBot="1" x14ac:dyDescent="0.35">
      <c r="A2" s="293" t="s">
        <v>108</v>
      </c>
      <c r="B2" s="294"/>
      <c r="C2" s="294"/>
      <c r="D2" s="294"/>
      <c r="E2" s="294"/>
      <c r="F2" s="294"/>
      <c r="G2" s="295"/>
      <c r="H2" s="296" t="s">
        <v>49</v>
      </c>
      <c r="I2" s="297"/>
      <c r="J2" s="293" t="s">
        <v>159</v>
      </c>
      <c r="K2" s="295"/>
      <c r="L2" s="297" t="s">
        <v>93</v>
      </c>
      <c r="M2" s="298"/>
      <c r="N2" s="296"/>
      <c r="O2" s="294" t="s">
        <v>135</v>
      </c>
      <c r="P2" s="294"/>
      <c r="Q2" s="295"/>
      <c r="R2" s="297" t="s">
        <v>51</v>
      </c>
      <c r="S2" s="296"/>
      <c r="T2" s="299">
        <v>7</v>
      </c>
      <c r="U2" s="29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49" t="s">
        <v>21</v>
      </c>
      <c r="C4" s="249" t="s">
        <v>7</v>
      </c>
      <c r="D4" s="256" t="s">
        <v>88</v>
      </c>
      <c r="E4" s="266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3" t="s">
        <v>8</v>
      </c>
      <c r="P4" s="303"/>
      <c r="Q4" s="303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3188</v>
      </c>
      <c r="C5" s="254" t="s">
        <v>318</v>
      </c>
      <c r="D5" s="255" t="s">
        <v>319</v>
      </c>
      <c r="E5" s="268" t="s">
        <v>121</v>
      </c>
      <c r="F5" s="169">
        <v>810</v>
      </c>
      <c r="G5" s="118" t="s">
        <v>44</v>
      </c>
      <c r="H5" s="91"/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135</v>
      </c>
      <c r="O5" s="304">
        <v>202112014</v>
      </c>
      <c r="P5" s="305"/>
      <c r="Q5" s="306"/>
      <c r="R5" s="132" t="s">
        <v>135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3189</v>
      </c>
      <c r="C6" s="67" t="s">
        <v>328</v>
      </c>
      <c r="D6" s="195" t="s">
        <v>329</v>
      </c>
      <c r="E6" s="269" t="s">
        <v>121</v>
      </c>
      <c r="F6" s="170">
        <v>925</v>
      </c>
      <c r="G6" s="118" t="s">
        <v>122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135</v>
      </c>
      <c r="O6" s="307"/>
      <c r="P6" s="308"/>
      <c r="Q6" s="309"/>
      <c r="R6" s="134" t="s">
        <v>152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3190</v>
      </c>
      <c r="C7" s="67" t="s">
        <v>320</v>
      </c>
      <c r="D7" s="195" t="s">
        <v>321</v>
      </c>
      <c r="E7" s="269" t="s">
        <v>121</v>
      </c>
      <c r="F7" s="170">
        <v>1005</v>
      </c>
      <c r="G7" s="118" t="s">
        <v>44</v>
      </c>
      <c r="H7" s="91"/>
      <c r="I7" s="124"/>
      <c r="J7" s="130">
        <v>110</v>
      </c>
      <c r="K7" s="130" t="str">
        <f t="shared" si="2"/>
        <v>0</v>
      </c>
      <c r="L7" s="131"/>
      <c r="M7" s="131"/>
      <c r="N7" s="134" t="s">
        <v>135</v>
      </c>
      <c r="O7" s="384" t="s">
        <v>372</v>
      </c>
      <c r="P7" s="311"/>
      <c r="Q7" s="312"/>
      <c r="R7" s="26" t="s">
        <v>137</v>
      </c>
      <c r="S7" s="31">
        <v>0.39583333333333331</v>
      </c>
      <c r="T7" s="32">
        <v>0.71875</v>
      </c>
      <c r="U7" s="92">
        <f t="shared" si="0"/>
        <v>7.75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3191</v>
      </c>
      <c r="C8" s="27" t="s">
        <v>322</v>
      </c>
      <c r="D8" s="195" t="s">
        <v>323</v>
      </c>
      <c r="E8" s="269" t="s">
        <v>250</v>
      </c>
      <c r="F8" s="170">
        <v>1005</v>
      </c>
      <c r="G8" s="118" t="s">
        <v>122</v>
      </c>
      <c r="H8" s="91"/>
      <c r="I8" s="124">
        <v>60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135</v>
      </c>
      <c r="O8" s="313"/>
      <c r="P8" s="314"/>
      <c r="Q8" s="315"/>
      <c r="R8" s="26" t="s">
        <v>162</v>
      </c>
      <c r="S8" s="31">
        <v>0.41666666666666669</v>
      </c>
      <c r="T8" s="32">
        <v>0.71875</v>
      </c>
      <c r="U8" s="92">
        <f t="shared" si="0"/>
        <v>7.25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3192</v>
      </c>
      <c r="C9" s="63" t="s">
        <v>324</v>
      </c>
      <c r="D9" s="196" t="s">
        <v>325</v>
      </c>
      <c r="E9" s="269" t="s">
        <v>114</v>
      </c>
      <c r="F9" s="171">
        <v>1005</v>
      </c>
      <c r="G9" s="119" t="s">
        <v>175</v>
      </c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135</v>
      </c>
      <c r="O9" s="313" t="s">
        <v>367</v>
      </c>
      <c r="P9" s="314"/>
      <c r="Q9" s="315"/>
      <c r="R9" s="26" t="s">
        <v>153</v>
      </c>
      <c r="S9" s="31">
        <v>0.39583333333333331</v>
      </c>
      <c r="T9" s="32">
        <v>0.72916666666666663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3193</v>
      </c>
      <c r="C10" s="28" t="s">
        <v>326</v>
      </c>
      <c r="D10" s="197" t="s">
        <v>327</v>
      </c>
      <c r="E10" s="269" t="s">
        <v>114</v>
      </c>
      <c r="F10" s="172">
        <v>1010</v>
      </c>
      <c r="G10" s="120" t="s">
        <v>141</v>
      </c>
      <c r="H10" s="123"/>
      <c r="I10" s="125"/>
      <c r="J10" s="130" t="str">
        <f t="shared" si="1"/>
        <v>0</v>
      </c>
      <c r="K10" s="130">
        <v>79.099999999999994</v>
      </c>
      <c r="L10" s="131"/>
      <c r="M10" s="131"/>
      <c r="N10" s="134" t="s">
        <v>135</v>
      </c>
      <c r="O10" s="300" t="s">
        <v>368</v>
      </c>
      <c r="P10" s="301"/>
      <c r="Q10" s="302"/>
      <c r="R10" s="26" t="s">
        <v>317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3194</v>
      </c>
      <c r="C11" s="18" t="s">
        <v>330</v>
      </c>
      <c r="D11" s="198" t="s">
        <v>331</v>
      </c>
      <c r="E11" s="269" t="s">
        <v>121</v>
      </c>
      <c r="F11" s="66">
        <v>1050</v>
      </c>
      <c r="G11" s="121" t="s">
        <v>111</v>
      </c>
      <c r="H11" s="123"/>
      <c r="I11" s="124">
        <v>145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135</v>
      </c>
      <c r="O11" s="310" t="s">
        <v>336</v>
      </c>
      <c r="P11" s="311"/>
      <c r="Q11" s="312"/>
      <c r="R11" s="26" t="s">
        <v>138</v>
      </c>
      <c r="S11" s="31">
        <v>0.375</v>
      </c>
      <c r="T11" s="32">
        <v>0.70833333333333337</v>
      </c>
      <c r="U11" s="92">
        <f t="shared" si="0"/>
        <v>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3195</v>
      </c>
      <c r="C12" s="64" t="s">
        <v>332</v>
      </c>
      <c r="D12" s="199" t="s">
        <v>333</v>
      </c>
      <c r="E12" s="269" t="s">
        <v>121</v>
      </c>
      <c r="F12" s="172">
        <v>1100</v>
      </c>
      <c r="G12" s="119" t="s">
        <v>122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135</v>
      </c>
      <c r="O12" s="310"/>
      <c r="P12" s="311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3196</v>
      </c>
      <c r="C13" s="64" t="s">
        <v>334</v>
      </c>
      <c r="D13" s="199" t="s">
        <v>335</v>
      </c>
      <c r="E13" s="269" t="s">
        <v>114</v>
      </c>
      <c r="F13" s="172">
        <v>1135</v>
      </c>
      <c r="G13" s="119" t="s">
        <v>118</v>
      </c>
      <c r="H13" s="168"/>
      <c r="I13" s="167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135</v>
      </c>
      <c r="O13" s="310" t="s">
        <v>336</v>
      </c>
      <c r="P13" s="311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3197</v>
      </c>
      <c r="C14" s="65" t="s">
        <v>337</v>
      </c>
      <c r="D14" s="200" t="s">
        <v>338</v>
      </c>
      <c r="E14" s="269" t="s">
        <v>114</v>
      </c>
      <c r="F14" s="173">
        <v>1145</v>
      </c>
      <c r="G14" s="122" t="s">
        <v>219</v>
      </c>
      <c r="H14" s="123"/>
      <c r="I14" s="125">
        <v>100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135</v>
      </c>
      <c r="O14" s="310"/>
      <c r="P14" s="311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3198</v>
      </c>
      <c r="C15" s="65" t="s">
        <v>339</v>
      </c>
      <c r="D15" s="200" t="s">
        <v>340</v>
      </c>
      <c r="E15" s="269" t="s">
        <v>114</v>
      </c>
      <c r="F15" s="173">
        <v>1225</v>
      </c>
      <c r="G15" s="122" t="s">
        <v>118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135</v>
      </c>
      <c r="O15" s="310"/>
      <c r="P15" s="311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3199</v>
      </c>
      <c r="C16" s="65" t="s">
        <v>341</v>
      </c>
      <c r="D16" s="200" t="s">
        <v>342</v>
      </c>
      <c r="E16" s="269" t="s">
        <v>114</v>
      </c>
      <c r="F16" s="173">
        <v>1230</v>
      </c>
      <c r="G16" s="122" t="s">
        <v>141</v>
      </c>
      <c r="H16" s="123"/>
      <c r="I16" s="124"/>
      <c r="J16" s="130" t="str">
        <f t="shared" si="1"/>
        <v>0</v>
      </c>
      <c r="K16" s="130">
        <v>79.099999999999994</v>
      </c>
      <c r="L16" s="131"/>
      <c r="M16" s="131"/>
      <c r="N16" s="134" t="s">
        <v>135</v>
      </c>
      <c r="O16" s="310" t="s">
        <v>369</v>
      </c>
      <c r="P16" s="311"/>
      <c r="Q16" s="312"/>
      <c r="R16" s="82">
        <f>H32/U16</f>
        <v>0.42105263157894735</v>
      </c>
      <c r="S16" s="83">
        <f>H32/(U16-U5)</f>
        <v>0.50526315789473686</v>
      </c>
      <c r="T16" s="83">
        <f>C32/U16</f>
        <v>38.403508771929822</v>
      </c>
      <c r="U16" s="83">
        <f>SUM(U5:U15)</f>
        <v>57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3200</v>
      </c>
      <c r="C17" s="18" t="s">
        <v>343</v>
      </c>
      <c r="D17" s="198" t="s">
        <v>344</v>
      </c>
      <c r="E17" s="269" t="s">
        <v>114</v>
      </c>
      <c r="F17" s="66">
        <v>1235</v>
      </c>
      <c r="G17" s="121" t="s">
        <v>148</v>
      </c>
      <c r="H17" s="123">
        <v>150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135</v>
      </c>
      <c r="O17" s="310"/>
      <c r="P17" s="311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3201</v>
      </c>
      <c r="C18" s="18" t="s">
        <v>345</v>
      </c>
      <c r="D18" s="198" t="s">
        <v>346</v>
      </c>
      <c r="E18" s="269" t="s">
        <v>114</v>
      </c>
      <c r="F18" s="66">
        <v>1300</v>
      </c>
      <c r="G18" s="20" t="s">
        <v>118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135</v>
      </c>
      <c r="O18" s="310"/>
      <c r="P18" s="311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3202</v>
      </c>
      <c r="C19" s="18" t="s">
        <v>347</v>
      </c>
      <c r="D19" s="198" t="s">
        <v>348</v>
      </c>
      <c r="E19" s="269" t="s">
        <v>121</v>
      </c>
      <c r="F19" s="66">
        <v>1310</v>
      </c>
      <c r="G19" s="121" t="s">
        <v>209</v>
      </c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135</v>
      </c>
      <c r="O19" s="310" t="s">
        <v>370</v>
      </c>
      <c r="P19" s="311"/>
      <c r="Q19" s="311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3203</v>
      </c>
      <c r="C20" s="18" t="s">
        <v>349</v>
      </c>
      <c r="D20" s="198" t="s">
        <v>350</v>
      </c>
      <c r="E20" s="269" t="s">
        <v>121</v>
      </c>
      <c r="F20" s="66">
        <v>1330</v>
      </c>
      <c r="G20" s="121" t="s">
        <v>111</v>
      </c>
      <c r="H20" s="123"/>
      <c r="I20" s="123">
        <v>150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135</v>
      </c>
      <c r="O20" s="318"/>
      <c r="P20" s="319"/>
      <c r="Q20" s="31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273">
        <v>3204</v>
      </c>
      <c r="C21" s="281" t="s">
        <v>351</v>
      </c>
      <c r="D21" s="282" t="s">
        <v>352</v>
      </c>
      <c r="E21" s="276" t="s">
        <v>121</v>
      </c>
      <c r="F21" s="283">
        <v>1400</v>
      </c>
      <c r="G21" s="284" t="s">
        <v>185</v>
      </c>
      <c r="H21" s="285"/>
      <c r="I21" s="278"/>
      <c r="J21" s="278" t="str">
        <f t="shared" si="1"/>
        <v>0</v>
      </c>
      <c r="K21" s="278">
        <v>62.5</v>
      </c>
      <c r="L21" s="279"/>
      <c r="M21" s="279">
        <v>375</v>
      </c>
      <c r="N21" s="280" t="s">
        <v>135</v>
      </c>
      <c r="O21" s="381" t="s">
        <v>371</v>
      </c>
      <c r="P21" s="382"/>
      <c r="Q21" s="38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3205</v>
      </c>
      <c r="C22" s="127" t="s">
        <v>353</v>
      </c>
      <c r="D22" s="201" t="s">
        <v>354</v>
      </c>
      <c r="E22" s="269" t="s">
        <v>121</v>
      </c>
      <c r="F22" s="174">
        <v>1405</v>
      </c>
      <c r="G22" s="248" t="s">
        <v>118</v>
      </c>
      <c r="H22" s="89"/>
      <c r="I22" s="141">
        <v>100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135</v>
      </c>
      <c r="O22" s="310"/>
      <c r="P22" s="311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3206</v>
      </c>
      <c r="C23" s="136" t="s">
        <v>355</v>
      </c>
      <c r="D23" s="202" t="s">
        <v>356</v>
      </c>
      <c r="E23" s="269" t="s">
        <v>121</v>
      </c>
      <c r="F23" s="175">
        <v>1415</v>
      </c>
      <c r="G23" s="165" t="s">
        <v>172</v>
      </c>
      <c r="H23" s="89"/>
      <c r="I23" s="141">
        <v>200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135</v>
      </c>
      <c r="O23" s="163"/>
      <c r="P23" s="164"/>
      <c r="Q23" s="159"/>
      <c r="R23" s="113"/>
      <c r="S23" s="114"/>
      <c r="T23" s="114"/>
      <c r="U23" s="115"/>
      <c r="X23" s="316"/>
      <c r="Y23" s="317"/>
      <c r="Z23" s="31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3207</v>
      </c>
      <c r="C24" s="127" t="s">
        <v>357</v>
      </c>
      <c r="D24" s="201" t="s">
        <v>358</v>
      </c>
      <c r="E24" s="269" t="s">
        <v>114</v>
      </c>
      <c r="F24" s="174">
        <v>1420</v>
      </c>
      <c r="G24" s="248" t="s">
        <v>148</v>
      </c>
      <c r="H24" s="89"/>
      <c r="I24" s="141">
        <v>150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135</v>
      </c>
      <c r="O24" s="310"/>
      <c r="P24" s="311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3208</v>
      </c>
      <c r="C25" s="132" t="s">
        <v>359</v>
      </c>
      <c r="D25" s="203" t="s">
        <v>360</v>
      </c>
      <c r="E25" s="269" t="s">
        <v>114</v>
      </c>
      <c r="F25" s="174">
        <v>1445</v>
      </c>
      <c r="G25" s="248" t="s">
        <v>148</v>
      </c>
      <c r="H25" s="90"/>
      <c r="I25" s="90">
        <v>150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135</v>
      </c>
      <c r="O25" s="310"/>
      <c r="P25" s="311"/>
      <c r="Q25" s="312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0">
        <f>((C32+(R26+S26+T26)*0.5))</f>
        <v>2232.75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3209</v>
      </c>
      <c r="C26" s="27" t="s">
        <v>361</v>
      </c>
      <c r="D26" s="204" t="s">
        <v>362</v>
      </c>
      <c r="E26" s="269" t="s">
        <v>121</v>
      </c>
      <c r="F26" s="176">
        <v>1456</v>
      </c>
      <c r="G26" s="20" t="s">
        <v>122</v>
      </c>
      <c r="H26" s="89"/>
      <c r="I26" s="141">
        <v>70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135</v>
      </c>
      <c r="O26" s="310"/>
      <c r="P26" s="311"/>
      <c r="Q26" s="312"/>
      <c r="R26" s="112">
        <f>R25*37.5</f>
        <v>37.5</v>
      </c>
      <c r="S26" s="102">
        <f>S25*41.5</f>
        <v>0</v>
      </c>
      <c r="T26" s="102">
        <f>T25*50</f>
        <v>50</v>
      </c>
      <c r="U26" s="32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3210</v>
      </c>
      <c r="C27" s="27" t="s">
        <v>363</v>
      </c>
      <c r="D27" s="204" t="s">
        <v>364</v>
      </c>
      <c r="E27" s="269" t="s">
        <v>114</v>
      </c>
      <c r="F27" s="176">
        <v>1500</v>
      </c>
      <c r="G27" s="20" t="s">
        <v>141</v>
      </c>
      <c r="H27" s="89"/>
      <c r="I27" s="141"/>
      <c r="J27" s="130" t="str">
        <f t="shared" si="1"/>
        <v>0</v>
      </c>
      <c r="K27" s="130" t="str">
        <f t="shared" si="2"/>
        <v>58.3</v>
      </c>
      <c r="L27" s="69"/>
      <c r="M27" s="69"/>
      <c r="N27" s="134" t="s">
        <v>135</v>
      </c>
      <c r="O27" s="385">
        <v>2112062.3333333335</v>
      </c>
      <c r="P27" s="311"/>
      <c r="Q27" s="312"/>
      <c r="R27" s="329" t="s">
        <v>56</v>
      </c>
      <c r="S27" s="330"/>
      <c r="T27" s="330"/>
      <c r="U27" s="33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 x14ac:dyDescent="0.35">
      <c r="A28" s="135">
        <v>24</v>
      </c>
      <c r="B28" s="133">
        <v>3211</v>
      </c>
      <c r="C28" s="27" t="s">
        <v>365</v>
      </c>
      <c r="D28" s="204" t="s">
        <v>366</v>
      </c>
      <c r="E28" s="270" t="s">
        <v>114</v>
      </c>
      <c r="F28" s="176">
        <v>1550</v>
      </c>
      <c r="G28" s="20" t="s">
        <v>122</v>
      </c>
      <c r="H28" s="89"/>
      <c r="I28" s="141">
        <v>75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135</v>
      </c>
      <c r="O28" s="310"/>
      <c r="P28" s="311"/>
      <c r="Q28" s="312"/>
      <c r="R28" s="322"/>
      <c r="S28" s="323"/>
      <c r="T28" s="32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05"/>
      <c r="E29" s="271"/>
      <c r="F29" s="176"/>
      <c r="G29" s="20"/>
      <c r="H29" s="89"/>
      <c r="I29" s="89"/>
      <c r="J29" s="130" t="str">
        <f t="shared" si="1"/>
        <v>0</v>
      </c>
      <c r="K29" s="262" t="str">
        <f t="shared" si="2"/>
        <v>0</v>
      </c>
      <c r="L29" s="69"/>
      <c r="M29" s="69"/>
      <c r="N29" s="134"/>
      <c r="O29" s="338"/>
      <c r="P29" s="339"/>
      <c r="Q29" s="340"/>
      <c r="R29" s="341"/>
      <c r="S29" s="342"/>
      <c r="T29" s="34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4" t="s">
        <v>48</v>
      </c>
      <c r="B30" s="345"/>
      <c r="C30" s="345"/>
      <c r="D30" s="345"/>
      <c r="E30" s="346"/>
      <c r="F30" s="345"/>
      <c r="G30" s="345"/>
      <c r="H30" s="245">
        <f t="shared" ref="H30:M30" si="3">SUM(H5:H29)</f>
        <v>150</v>
      </c>
      <c r="I30" s="105">
        <f>SUM(I5:I29)</f>
        <v>1595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279</v>
      </c>
      <c r="L30" s="106">
        <f t="shared" si="3"/>
        <v>0</v>
      </c>
      <c r="M30" s="106">
        <f t="shared" si="3"/>
        <v>375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7"/>
      <c r="S30" s="347"/>
      <c r="T30" s="34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9" t="s">
        <v>16</v>
      </c>
      <c r="B31" s="350"/>
      <c r="C31" s="350"/>
      <c r="D31" s="350"/>
      <c r="E31" s="350"/>
      <c r="F31" s="350"/>
      <c r="G31" s="350"/>
      <c r="H31" s="246">
        <f t="shared" ref="H31:J31" si="4">H30+H62+H94</f>
        <v>150</v>
      </c>
      <c r="I31" s="103">
        <f t="shared" si="4"/>
        <v>1595</v>
      </c>
      <c r="J31" s="103">
        <f t="shared" si="4"/>
        <v>165</v>
      </c>
      <c r="K31" s="103">
        <f>K30+K62+K94</f>
        <v>279</v>
      </c>
      <c r="L31" s="97">
        <f>L30+L62+L94</f>
        <v>0</v>
      </c>
      <c r="M31" s="97">
        <f>M30+M62+M94</f>
        <v>375</v>
      </c>
      <c r="N31" s="251">
        <f>COUNT(H5:H29,H37:H61,H69:H93)</f>
        <v>1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150</v>
      </c>
      <c r="T31" s="334">
        <f>H31+I31+L31+M31</f>
        <v>2120</v>
      </c>
      <c r="U31" s="33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5" t="s">
        <v>55</v>
      </c>
      <c r="B32" s="326"/>
      <c r="C32" s="107">
        <f>H31+I31+J31+K31</f>
        <v>2189</v>
      </c>
      <c r="D32" s="192"/>
      <c r="E32" s="267"/>
      <c r="F32" s="327" t="s">
        <v>53</v>
      </c>
      <c r="G32" s="327"/>
      <c r="H32" s="109">
        <f>COUNT(B5:B29,B37:B61,B69:B93)</f>
        <v>24</v>
      </c>
      <c r="I32" s="328" t="s">
        <v>54</v>
      </c>
      <c r="J32" s="328"/>
      <c r="K32" s="108">
        <f>C32/H32</f>
        <v>91.208333333333329</v>
      </c>
      <c r="L32" s="252"/>
      <c r="M32" s="252"/>
      <c r="N32" s="252">
        <f>H31/C32</f>
        <v>6.8524440383736868E-2</v>
      </c>
      <c r="O32" s="252">
        <f>I31/C32</f>
        <v>0.72864321608040206</v>
      </c>
      <c r="P32" s="252">
        <f>K31/C32</f>
        <v>0.12745545911375056</v>
      </c>
      <c r="Q32" s="110">
        <f>J31/C32</f>
        <v>7.5376884422110546E-2</v>
      </c>
      <c r="R32" s="99" t="s">
        <v>82</v>
      </c>
      <c r="S32" s="247">
        <f>I31+M31</f>
        <v>1970</v>
      </c>
      <c r="T32" s="336"/>
      <c r="U32" s="337"/>
      <c r="V32" s="55"/>
      <c r="W32" s="55"/>
      <c r="X32" s="56" t="s">
        <v>27</v>
      </c>
      <c r="Y32" s="56"/>
      <c r="Z32" s="54">
        <f>I31</f>
        <v>1595</v>
      </c>
      <c r="AE32" s="37"/>
      <c r="AF32" s="37"/>
      <c r="AG32" s="37"/>
      <c r="AH32" s="37"/>
    </row>
    <row r="33" spans="1:34" ht="17.25" thickBot="1" x14ac:dyDescent="0.35">
      <c r="A33" s="332" t="s">
        <v>24</v>
      </c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294"/>
      <c r="U33" s="295"/>
      <c r="X33" s="57" t="s">
        <v>29</v>
      </c>
      <c r="Y33" s="57"/>
      <c r="Z33" s="58">
        <f>SUM(Z31:Z32)</f>
        <v>-1150</v>
      </c>
      <c r="AE33" s="37"/>
      <c r="AF33" s="37"/>
      <c r="AG33" s="59"/>
      <c r="AH33" s="37"/>
    </row>
    <row r="34" spans="1:34" ht="17.25" thickBot="1" x14ac:dyDescent="0.35">
      <c r="A34" s="293" t="str">
        <f>A2</f>
        <v>13-02-2022</v>
      </c>
      <c r="B34" s="294"/>
      <c r="C34" s="294"/>
      <c r="D34" s="294"/>
      <c r="E34" s="294"/>
      <c r="F34" s="294"/>
      <c r="G34" s="295"/>
      <c r="H34" s="296" t="s">
        <v>49</v>
      </c>
      <c r="I34" s="297"/>
      <c r="J34" s="293" t="str">
        <f>J2</f>
        <v>SUNNY</v>
      </c>
      <c r="K34" s="295"/>
      <c r="L34" s="297" t="s">
        <v>50</v>
      </c>
      <c r="M34" s="298"/>
      <c r="N34" s="296"/>
      <c r="O34" s="294" t="str">
        <f>O2</f>
        <v>HENDRA</v>
      </c>
      <c r="P34" s="294"/>
      <c r="Q34" s="295"/>
      <c r="R34" s="297" t="s">
        <v>51</v>
      </c>
      <c r="S34" s="296"/>
      <c r="T34" s="299">
        <f>T2</f>
        <v>7</v>
      </c>
      <c r="U34" s="299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257" t="s">
        <v>0</v>
      </c>
      <c r="B36" s="154" t="s">
        <v>21</v>
      </c>
      <c r="C36" s="249" t="s">
        <v>7</v>
      </c>
      <c r="D36" s="256" t="s">
        <v>88</v>
      </c>
      <c r="E36" s="266" t="s">
        <v>94</v>
      </c>
      <c r="F36" s="249" t="s">
        <v>25</v>
      </c>
      <c r="G36" s="260" t="s">
        <v>1</v>
      </c>
      <c r="H36" s="258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3" t="s">
        <v>8</v>
      </c>
      <c r="P36" s="303"/>
      <c r="Q36" s="303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254"/>
      <c r="D37" s="259"/>
      <c r="E37" s="268"/>
      <c r="F37" s="173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11"/>
      <c r="Q37" s="312"/>
      <c r="R37" s="60"/>
      <c r="S37" s="61"/>
      <c r="T37" s="61"/>
      <c r="U37" s="70"/>
    </row>
    <row r="38" spans="1:34" x14ac:dyDescent="0.3">
      <c r="A38" s="128">
        <f>A37+1</f>
        <v>27</v>
      </c>
      <c r="B38" s="248"/>
      <c r="C38" s="67"/>
      <c r="D38" s="191"/>
      <c r="E38" s="269"/>
      <c r="F38" s="178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7"/>
      <c r="P38" s="308"/>
      <c r="Q38" s="30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0"/>
      <c r="E39" s="269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11"/>
      <c r="Q39" s="312"/>
      <c r="R39" s="79"/>
      <c r="S39" s="13"/>
      <c r="T39" s="12"/>
      <c r="U39" s="72"/>
    </row>
    <row r="40" spans="1:34" x14ac:dyDescent="0.3">
      <c r="A40" s="128">
        <f t="shared" si="7"/>
        <v>29</v>
      </c>
      <c r="B40" s="248"/>
      <c r="C40" s="63"/>
      <c r="D40" s="181"/>
      <c r="E40" s="269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3"/>
      <c r="P40" s="314"/>
      <c r="Q40" s="315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1"/>
      <c r="E41" s="269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3"/>
      <c r="P41" s="314"/>
      <c r="Q41" s="315"/>
      <c r="R41" s="80"/>
      <c r="S41" s="73"/>
      <c r="T41" s="73"/>
      <c r="U41" s="74"/>
    </row>
    <row r="42" spans="1:34" x14ac:dyDescent="0.3">
      <c r="A42" s="128">
        <f t="shared" si="7"/>
        <v>31</v>
      </c>
      <c r="B42" s="248"/>
      <c r="C42" s="28"/>
      <c r="D42" s="182"/>
      <c r="E42" s="269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0"/>
      <c r="P42" s="301"/>
      <c r="Q42" s="30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88"/>
      <c r="E43" s="269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11"/>
      <c r="Q43" s="312"/>
      <c r="R43" s="78"/>
      <c r="S43" s="71"/>
      <c r="T43" s="71"/>
      <c r="U43" s="72"/>
    </row>
    <row r="44" spans="1:34" x14ac:dyDescent="0.3">
      <c r="A44" s="128">
        <f t="shared" si="7"/>
        <v>33</v>
      </c>
      <c r="B44" s="248"/>
      <c r="C44" s="64"/>
      <c r="D44" s="183"/>
      <c r="E44" s="269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11"/>
      <c r="Q44" s="31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3"/>
      <c r="E45" s="269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11"/>
      <c r="Q45" s="312"/>
      <c r="R45" s="5"/>
      <c r="S45" s="71"/>
      <c r="T45" s="71"/>
      <c r="U45" s="72"/>
    </row>
    <row r="46" spans="1:34" x14ac:dyDescent="0.3">
      <c r="A46" s="128">
        <f t="shared" si="7"/>
        <v>35</v>
      </c>
      <c r="B46" s="248"/>
      <c r="C46" s="65"/>
      <c r="D46" s="184"/>
      <c r="E46" s="269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11"/>
      <c r="Q46" s="31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88"/>
      <c r="E47" s="269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11"/>
      <c r="Q47" s="312"/>
      <c r="R47" s="5"/>
      <c r="S47" s="71"/>
      <c r="T47" s="71"/>
      <c r="U47" s="72"/>
    </row>
    <row r="48" spans="1:34" x14ac:dyDescent="0.3">
      <c r="A48" s="128">
        <f t="shared" si="7"/>
        <v>37</v>
      </c>
      <c r="B48" s="248"/>
      <c r="C48" s="65"/>
      <c r="D48" s="184"/>
      <c r="E48" s="269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11"/>
      <c r="Q48" s="312"/>
      <c r="R48" s="5"/>
      <c r="S48" s="71"/>
      <c r="T48" s="71"/>
      <c r="U48" s="72"/>
    </row>
    <row r="49" spans="1:21" x14ac:dyDescent="0.3">
      <c r="A49" s="128">
        <f t="shared" si="7"/>
        <v>38</v>
      </c>
      <c r="B49" s="248"/>
      <c r="C49" s="18"/>
      <c r="D49" s="188"/>
      <c r="E49" s="269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11"/>
      <c r="Q49" s="312"/>
      <c r="R49" s="5"/>
      <c r="S49" s="71"/>
      <c r="T49" s="75"/>
      <c r="U49" s="72"/>
    </row>
    <row r="50" spans="1:21" x14ac:dyDescent="0.3">
      <c r="A50" s="128">
        <f t="shared" si="7"/>
        <v>39</v>
      </c>
      <c r="B50" s="248"/>
      <c r="C50" s="18"/>
      <c r="D50" s="188"/>
      <c r="E50" s="269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11"/>
      <c r="Q50" s="312"/>
      <c r="R50" s="5"/>
      <c r="S50" s="71"/>
      <c r="T50" s="75"/>
      <c r="U50" s="72"/>
    </row>
    <row r="51" spans="1:21" x14ac:dyDescent="0.3">
      <c r="A51" s="128">
        <f t="shared" si="7"/>
        <v>40</v>
      </c>
      <c r="B51" s="248"/>
      <c r="C51" s="18"/>
      <c r="D51" s="188"/>
      <c r="E51" s="269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11"/>
      <c r="Q51" s="311"/>
      <c r="R51" s="5"/>
      <c r="S51" s="71"/>
      <c r="T51" s="75"/>
      <c r="U51" s="72"/>
    </row>
    <row r="52" spans="1:21" x14ac:dyDescent="0.3">
      <c r="A52" s="128">
        <f t="shared" si="7"/>
        <v>41</v>
      </c>
      <c r="B52" s="248"/>
      <c r="C52" s="66"/>
      <c r="D52" s="189"/>
      <c r="E52" s="269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11"/>
      <c r="Q52" s="311"/>
      <c r="R52" s="81"/>
      <c r="S52" s="68"/>
      <c r="T52" s="76"/>
      <c r="U52" s="77"/>
    </row>
    <row r="53" spans="1:21" x14ac:dyDescent="0.3">
      <c r="A53" s="128">
        <f t="shared" si="7"/>
        <v>42</v>
      </c>
      <c r="B53" s="248"/>
      <c r="C53" s="127"/>
      <c r="D53" s="185"/>
      <c r="E53" s="269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48"/>
      <c r="C54" s="127"/>
      <c r="D54" s="185"/>
      <c r="E54" s="269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48"/>
      <c r="C55" s="127"/>
      <c r="D55" s="185"/>
      <c r="E55" s="269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48"/>
      <c r="C56" s="132"/>
      <c r="D56" s="186"/>
      <c r="E56" s="269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1"/>
      <c r="P56" s="311"/>
      <c r="Q56" s="311"/>
      <c r="R56" s="81"/>
      <c r="S56" s="68"/>
      <c r="T56" s="76"/>
      <c r="U56" s="77"/>
    </row>
    <row r="57" spans="1:21" x14ac:dyDescent="0.3">
      <c r="A57" s="128">
        <f t="shared" si="7"/>
        <v>46</v>
      </c>
      <c r="B57" s="248"/>
      <c r="C57" s="27"/>
      <c r="D57" s="180"/>
      <c r="E57" s="269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11"/>
      <c r="Q57" s="311"/>
      <c r="R57" s="81"/>
      <c r="S57" s="68"/>
      <c r="T57" s="68"/>
      <c r="U57" s="77"/>
    </row>
    <row r="58" spans="1:21" x14ac:dyDescent="0.3">
      <c r="A58" s="128">
        <f t="shared" si="7"/>
        <v>47</v>
      </c>
      <c r="B58" s="248"/>
      <c r="C58" s="27"/>
      <c r="D58" s="180"/>
      <c r="E58" s="269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1"/>
      <c r="P58" s="311"/>
      <c r="Q58" s="311"/>
      <c r="R58" s="81"/>
      <c r="S58" s="68"/>
      <c r="T58" s="68"/>
      <c r="U58" s="77"/>
    </row>
    <row r="59" spans="1:21" x14ac:dyDescent="0.3">
      <c r="A59" s="128">
        <f t="shared" si="7"/>
        <v>48</v>
      </c>
      <c r="B59" s="248"/>
      <c r="C59" s="27"/>
      <c r="D59" s="180"/>
      <c r="E59" s="269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1"/>
      <c r="P59" s="311"/>
      <c r="Q59" s="311"/>
      <c r="R59" s="81"/>
      <c r="S59" s="68"/>
      <c r="T59" s="68"/>
      <c r="U59" s="77"/>
    </row>
    <row r="60" spans="1:21" x14ac:dyDescent="0.3">
      <c r="A60" s="128">
        <f t="shared" si="7"/>
        <v>49</v>
      </c>
      <c r="B60" s="248"/>
      <c r="C60" s="34"/>
      <c r="D60" s="187"/>
      <c r="E60" s="269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11"/>
      <c r="Q60" s="31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48"/>
      <c r="C61" s="30"/>
      <c r="D61" s="193"/>
      <c r="E61" s="269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2"/>
      <c r="P61" s="353"/>
      <c r="Q61" s="354"/>
      <c r="R61" s="81"/>
      <c r="S61" s="68"/>
      <c r="T61" s="68"/>
      <c r="U61" s="77"/>
    </row>
    <row r="62" spans="1:21" x14ac:dyDescent="0.3">
      <c r="A62" s="355" t="s">
        <v>48</v>
      </c>
      <c r="B62" s="356"/>
      <c r="C62" s="356"/>
      <c r="D62" s="356"/>
      <c r="E62" s="356"/>
      <c r="F62" s="356"/>
      <c r="G62" s="356"/>
      <c r="H62" s="356">
        <f t="shared" ref="H62:M62" si="8">SUM(H37:H61)</f>
        <v>0</v>
      </c>
      <c r="I62" s="361">
        <f t="shared" si="8"/>
        <v>0</v>
      </c>
      <c r="J62" s="361">
        <f>J61+J60+J59+J58+J57+J56+J55+J54+J53+J52+J51+J50+J49+J48+J47+J46+J45+J44+J43+J42+J41+J40+J39+J38+J37</f>
        <v>0</v>
      </c>
      <c r="K62" s="361">
        <f>K61+K60+K59+K58+K57+K56+K55+K54+K53+K52+K51+K50+K49+K48+K47+K46+K45+K44+K43+K42+K41+K40+K39+K38+K37</f>
        <v>0</v>
      </c>
      <c r="L62" s="364">
        <f t="shared" si="8"/>
        <v>0</v>
      </c>
      <c r="M62" s="367">
        <f t="shared" si="8"/>
        <v>0</v>
      </c>
      <c r="N62" s="370"/>
      <c r="O62" s="371"/>
      <c r="P62" s="371"/>
      <c r="Q62" s="372"/>
      <c r="R62" s="5"/>
      <c r="S62" s="6"/>
      <c r="T62" s="7"/>
      <c r="U62" s="8"/>
    </row>
    <row r="63" spans="1:21" ht="17.25" thickBot="1" x14ac:dyDescent="0.35">
      <c r="A63" s="357"/>
      <c r="B63" s="358"/>
      <c r="C63" s="358"/>
      <c r="D63" s="358"/>
      <c r="E63" s="358"/>
      <c r="F63" s="358"/>
      <c r="G63" s="358"/>
      <c r="H63" s="358"/>
      <c r="I63" s="362"/>
      <c r="J63" s="362"/>
      <c r="K63" s="362"/>
      <c r="L63" s="365"/>
      <c r="M63" s="368"/>
      <c r="N63" s="373"/>
      <c r="O63" s="374"/>
      <c r="P63" s="374"/>
      <c r="Q63" s="375"/>
      <c r="R63" s="1"/>
      <c r="S63" s="2"/>
      <c r="T63" s="3"/>
      <c r="U63" s="4"/>
    </row>
    <row r="64" spans="1:21" ht="17.25" thickBot="1" x14ac:dyDescent="0.35">
      <c r="A64" s="359"/>
      <c r="B64" s="360"/>
      <c r="C64" s="360"/>
      <c r="D64" s="360"/>
      <c r="E64" s="360"/>
      <c r="F64" s="360"/>
      <c r="G64" s="360"/>
      <c r="H64" s="360"/>
      <c r="I64" s="363"/>
      <c r="J64" s="363"/>
      <c r="K64" s="363"/>
      <c r="L64" s="366"/>
      <c r="M64" s="369"/>
      <c r="N64" s="332"/>
      <c r="O64" s="333"/>
      <c r="P64" s="333"/>
      <c r="Q64" s="376"/>
      <c r="R64" s="377" t="s">
        <v>17</v>
      </c>
      <c r="S64" s="378"/>
      <c r="T64" s="378"/>
      <c r="U64" s="379"/>
    </row>
    <row r="65" spans="1:21" ht="17.25" thickBot="1" x14ac:dyDescent="0.35">
      <c r="A65" s="293" t="s">
        <v>24</v>
      </c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5"/>
    </row>
    <row r="66" spans="1:21" ht="17.25" thickBot="1" x14ac:dyDescent="0.35">
      <c r="A66" s="293" t="str">
        <f>A34</f>
        <v>13-02-2022</v>
      </c>
      <c r="B66" s="294"/>
      <c r="C66" s="294"/>
      <c r="D66" s="294"/>
      <c r="E66" s="294"/>
      <c r="F66" s="294"/>
      <c r="G66" s="295"/>
      <c r="H66" s="296" t="s">
        <v>49</v>
      </c>
      <c r="I66" s="297"/>
      <c r="J66" s="293" t="str">
        <f>J34</f>
        <v>SUNNY</v>
      </c>
      <c r="K66" s="295"/>
      <c r="L66" s="297" t="s">
        <v>50</v>
      </c>
      <c r="M66" s="298"/>
      <c r="N66" s="296"/>
      <c r="O66" s="294" t="str">
        <f>O34</f>
        <v>HENDRA</v>
      </c>
      <c r="P66" s="294"/>
      <c r="Q66" s="295"/>
      <c r="R66" s="297" t="s">
        <v>51</v>
      </c>
      <c r="S66" s="296"/>
      <c r="T66" s="299">
        <f>T34</f>
        <v>7</v>
      </c>
      <c r="U66" s="299"/>
    </row>
    <row r="67" spans="1:21" ht="17.25" thickBot="1" x14ac:dyDescent="0.35">
      <c r="A67" s="15" t="s">
        <v>6</v>
      </c>
      <c r="F67" s="166"/>
      <c r="H67" s="9"/>
      <c r="I67" s="19"/>
      <c r="T67" s="10"/>
      <c r="U67" s="11"/>
    </row>
    <row r="68" spans="1:21" ht="17.25" thickBot="1" x14ac:dyDescent="0.35">
      <c r="A68" s="154" t="s">
        <v>0</v>
      </c>
      <c r="B68" s="249" t="s">
        <v>21</v>
      </c>
      <c r="C68" s="249" t="s">
        <v>7</v>
      </c>
      <c r="D68" s="256" t="s">
        <v>88</v>
      </c>
      <c r="E68" s="266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3" t="s">
        <v>8</v>
      </c>
      <c r="P68" s="303"/>
      <c r="Q68" s="303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48"/>
      <c r="C69" s="254"/>
      <c r="D69" s="261"/>
      <c r="E69" s="268"/>
      <c r="F69" s="170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11"/>
      <c r="Q69" s="312"/>
      <c r="R69" s="60"/>
      <c r="S69" s="61"/>
      <c r="T69" s="61"/>
      <c r="U69" s="70"/>
    </row>
    <row r="70" spans="1:21" x14ac:dyDescent="0.3">
      <c r="A70" s="128">
        <f>A69+1</f>
        <v>52</v>
      </c>
      <c r="B70" s="248"/>
      <c r="C70" s="67"/>
      <c r="D70" s="191"/>
      <c r="E70" s="269"/>
      <c r="F70" s="170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7"/>
      <c r="P70" s="308"/>
      <c r="Q70" s="30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48"/>
      <c r="C71" s="27"/>
      <c r="D71" s="180"/>
      <c r="E71" s="269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11"/>
      <c r="Q71" s="31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48"/>
      <c r="C72" s="63"/>
      <c r="D72" s="181"/>
      <c r="E72" s="269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3"/>
      <c r="P72" s="314"/>
      <c r="Q72" s="315"/>
      <c r="R72" s="78"/>
      <c r="S72" s="71"/>
      <c r="T72" s="71"/>
      <c r="U72" s="72"/>
    </row>
    <row r="73" spans="1:21" x14ac:dyDescent="0.3">
      <c r="A73" s="128">
        <f t="shared" si="11"/>
        <v>55</v>
      </c>
      <c r="B73" s="248"/>
      <c r="C73" s="63"/>
      <c r="D73" s="181"/>
      <c r="E73" s="269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3"/>
      <c r="P73" s="314"/>
      <c r="Q73" s="315"/>
      <c r="R73" s="80"/>
      <c r="S73" s="73"/>
      <c r="T73" s="73"/>
      <c r="U73" s="74"/>
    </row>
    <row r="74" spans="1:21" x14ac:dyDescent="0.3">
      <c r="A74" s="128">
        <f t="shared" si="11"/>
        <v>56</v>
      </c>
      <c r="B74" s="248"/>
      <c r="C74" s="28"/>
      <c r="D74" s="182"/>
      <c r="E74" s="269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0"/>
      <c r="P74" s="301"/>
      <c r="Q74" s="30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48"/>
      <c r="C75" s="18"/>
      <c r="D75" s="188"/>
      <c r="E75" s="269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11"/>
      <c r="Q75" s="31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48"/>
      <c r="C76" s="64"/>
      <c r="D76" s="183"/>
      <c r="E76" s="269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11"/>
      <c r="Q76" s="312"/>
      <c r="R76" s="5"/>
      <c r="S76" s="71"/>
      <c r="T76" s="71"/>
      <c r="U76" s="72"/>
    </row>
    <row r="77" spans="1:21" x14ac:dyDescent="0.3">
      <c r="A77" s="128">
        <f t="shared" si="11"/>
        <v>59</v>
      </c>
      <c r="B77" s="248"/>
      <c r="C77" s="64"/>
      <c r="D77" s="183"/>
      <c r="E77" s="269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11"/>
      <c r="Q77" s="312"/>
      <c r="R77" s="5"/>
      <c r="S77" s="71"/>
      <c r="T77" s="71"/>
      <c r="U77" s="72"/>
    </row>
    <row r="78" spans="1:21" x14ac:dyDescent="0.3">
      <c r="A78" s="128">
        <f t="shared" si="11"/>
        <v>60</v>
      </c>
      <c r="B78" s="248"/>
      <c r="C78" s="65"/>
      <c r="D78" s="184"/>
      <c r="E78" s="269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11"/>
      <c r="Q78" s="312"/>
      <c r="R78" s="5"/>
      <c r="S78" s="71"/>
      <c r="T78" s="71"/>
      <c r="U78" s="72"/>
    </row>
    <row r="79" spans="1:21" x14ac:dyDescent="0.3">
      <c r="A79" s="128">
        <f t="shared" si="11"/>
        <v>61</v>
      </c>
      <c r="B79" s="248"/>
      <c r="C79" s="18"/>
      <c r="D79" s="188"/>
      <c r="E79" s="269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11"/>
      <c r="Q79" s="312"/>
      <c r="R79" s="5"/>
      <c r="S79" s="71"/>
      <c r="T79" s="71"/>
      <c r="U79" s="72"/>
    </row>
    <row r="80" spans="1:21" x14ac:dyDescent="0.3">
      <c r="A80" s="128">
        <f t="shared" si="11"/>
        <v>62</v>
      </c>
      <c r="B80" s="248"/>
      <c r="C80" s="65"/>
      <c r="D80" s="184"/>
      <c r="E80" s="269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11"/>
      <c r="Q80" s="312"/>
      <c r="R80" s="5"/>
      <c r="S80" s="71"/>
      <c r="T80" s="71"/>
      <c r="U80" s="72"/>
    </row>
    <row r="81" spans="1:21" x14ac:dyDescent="0.3">
      <c r="A81" s="128">
        <f t="shared" si="11"/>
        <v>63</v>
      </c>
      <c r="B81" s="248"/>
      <c r="C81" s="18"/>
      <c r="D81" s="188"/>
      <c r="E81" s="269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11"/>
      <c r="Q81" s="312"/>
      <c r="R81" s="5"/>
      <c r="S81" s="71"/>
      <c r="T81" s="75"/>
      <c r="U81" s="72"/>
    </row>
    <row r="82" spans="1:21" x14ac:dyDescent="0.3">
      <c r="A82" s="128">
        <f t="shared" si="11"/>
        <v>64</v>
      </c>
      <c r="B82" s="248"/>
      <c r="C82" s="18"/>
      <c r="D82" s="188"/>
      <c r="E82" s="269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11"/>
      <c r="Q82" s="312"/>
      <c r="R82" s="5"/>
      <c r="S82" s="71"/>
      <c r="T82" s="75"/>
      <c r="U82" s="72"/>
    </row>
    <row r="83" spans="1:21" x14ac:dyDescent="0.3">
      <c r="A83" s="128">
        <f t="shared" si="11"/>
        <v>65</v>
      </c>
      <c r="B83" s="248"/>
      <c r="C83" s="18"/>
      <c r="D83" s="188"/>
      <c r="E83" s="269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11"/>
      <c r="Q83" s="311"/>
      <c r="R83" s="5"/>
      <c r="S83" s="71"/>
      <c r="T83" s="75"/>
      <c r="U83" s="72"/>
    </row>
    <row r="84" spans="1:21" x14ac:dyDescent="0.3">
      <c r="A84" s="128">
        <f t="shared" si="11"/>
        <v>66</v>
      </c>
      <c r="B84" s="248"/>
      <c r="C84" s="66"/>
      <c r="D84" s="189"/>
      <c r="E84" s="269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11"/>
      <c r="Q84" s="311"/>
      <c r="R84" s="81"/>
      <c r="S84" s="68"/>
      <c r="T84" s="76"/>
      <c r="U84" s="77"/>
    </row>
    <row r="85" spans="1:21" x14ac:dyDescent="0.3">
      <c r="A85" s="128">
        <f t="shared" si="11"/>
        <v>67</v>
      </c>
      <c r="B85" s="248"/>
      <c r="C85" s="127"/>
      <c r="D85" s="185"/>
      <c r="E85" s="269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48"/>
      <c r="C86" s="127"/>
      <c r="D86" s="185"/>
      <c r="E86" s="269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48"/>
      <c r="C87" s="127"/>
      <c r="D87" s="185"/>
      <c r="E87" s="269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48"/>
      <c r="C88" s="132"/>
      <c r="D88" s="186"/>
      <c r="E88" s="269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1"/>
      <c r="P88" s="311"/>
      <c r="Q88" s="311"/>
      <c r="R88" s="81"/>
      <c r="S88" s="68"/>
      <c r="T88" s="76"/>
      <c r="U88" s="77"/>
    </row>
    <row r="89" spans="1:21" x14ac:dyDescent="0.3">
      <c r="A89" s="128">
        <f t="shared" si="11"/>
        <v>71</v>
      </c>
      <c r="B89" s="248"/>
      <c r="C89" s="27"/>
      <c r="D89" s="180"/>
      <c r="E89" s="269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11"/>
      <c r="Q89" s="311"/>
      <c r="R89" s="81"/>
      <c r="S89" s="68"/>
      <c r="T89" s="68"/>
      <c r="U89" s="77"/>
    </row>
    <row r="90" spans="1:21" x14ac:dyDescent="0.3">
      <c r="A90" s="128">
        <f t="shared" si="11"/>
        <v>72</v>
      </c>
      <c r="B90" s="248"/>
      <c r="C90" s="27"/>
      <c r="D90" s="180"/>
      <c r="E90" s="269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1"/>
      <c r="P90" s="311"/>
      <c r="Q90" s="311"/>
      <c r="R90" s="81"/>
      <c r="S90" s="68"/>
      <c r="T90" s="68"/>
      <c r="U90" s="77"/>
    </row>
    <row r="91" spans="1:21" x14ac:dyDescent="0.3">
      <c r="A91" s="128">
        <f t="shared" si="11"/>
        <v>73</v>
      </c>
      <c r="B91" s="248"/>
      <c r="C91" s="27"/>
      <c r="D91" s="180"/>
      <c r="E91" s="269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1"/>
      <c r="P91" s="311"/>
      <c r="Q91" s="311"/>
      <c r="R91" s="81"/>
      <c r="S91" s="68"/>
      <c r="T91" s="68"/>
      <c r="U91" s="77"/>
    </row>
    <row r="92" spans="1:21" x14ac:dyDescent="0.3">
      <c r="A92" s="128">
        <f t="shared" si="11"/>
        <v>74</v>
      </c>
      <c r="B92" s="248"/>
      <c r="C92" s="34"/>
      <c r="D92" s="187"/>
      <c r="E92" s="269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11"/>
      <c r="Q92" s="31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48"/>
      <c r="C93" s="30"/>
      <c r="D93" s="194"/>
      <c r="E93" s="272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2"/>
      <c r="P93" s="353"/>
      <c r="Q93" s="354"/>
      <c r="R93" s="81"/>
      <c r="S93" s="68"/>
      <c r="T93" s="68"/>
      <c r="U93" s="77"/>
    </row>
    <row r="94" spans="1:21" x14ac:dyDescent="0.3">
      <c r="A94" s="355" t="s">
        <v>48</v>
      </c>
      <c r="B94" s="356"/>
      <c r="C94" s="356"/>
      <c r="D94" s="356"/>
      <c r="E94" s="380"/>
      <c r="F94" s="356"/>
      <c r="G94" s="356"/>
      <c r="H94" s="356">
        <f t="shared" ref="H94:M94" si="12">SUM(H69:H93)</f>
        <v>0</v>
      </c>
      <c r="I94" s="361">
        <f t="shared" si="12"/>
        <v>0</v>
      </c>
      <c r="J94" s="361">
        <f>J93+J92+J91+J90+J89+J88+J87+J86+J85+J84+J83+J82+J81+J80+J79+J78+J77+J76+J75+J74+J73+J72+J71+J70+J69</f>
        <v>0</v>
      </c>
      <c r="K94" s="361">
        <f>K93+K92+K91+K90+K89+K88+K87+K86+K85+K84+K83+K82+K81+K80+K79+K78+K77+K76+K75+K74+K73+K72+K71+K70+K69</f>
        <v>0</v>
      </c>
      <c r="L94" s="364">
        <f t="shared" si="12"/>
        <v>0</v>
      </c>
      <c r="M94" s="367">
        <f t="shared" si="12"/>
        <v>0</v>
      </c>
      <c r="N94" s="370"/>
      <c r="O94" s="371"/>
      <c r="P94" s="371"/>
      <c r="Q94" s="372"/>
      <c r="R94" s="5"/>
      <c r="S94" s="6"/>
      <c r="T94" s="7"/>
      <c r="U94" s="8"/>
    </row>
    <row r="95" spans="1:21" ht="17.25" thickBot="1" x14ac:dyDescent="0.35">
      <c r="A95" s="357"/>
      <c r="B95" s="358"/>
      <c r="C95" s="358"/>
      <c r="D95" s="358"/>
      <c r="E95" s="358"/>
      <c r="F95" s="358"/>
      <c r="G95" s="358"/>
      <c r="H95" s="358"/>
      <c r="I95" s="362"/>
      <c r="J95" s="362"/>
      <c r="K95" s="362"/>
      <c r="L95" s="365"/>
      <c r="M95" s="368"/>
      <c r="N95" s="373"/>
      <c r="O95" s="374"/>
      <c r="P95" s="374"/>
      <c r="Q95" s="375"/>
      <c r="R95" s="1"/>
      <c r="S95" s="2"/>
      <c r="T95" s="3"/>
      <c r="U95" s="4"/>
    </row>
    <row r="96" spans="1:21" ht="17.25" thickBot="1" x14ac:dyDescent="0.35">
      <c r="A96" s="359"/>
      <c r="B96" s="360"/>
      <c r="C96" s="360"/>
      <c r="D96" s="360"/>
      <c r="E96" s="360"/>
      <c r="F96" s="360"/>
      <c r="G96" s="360"/>
      <c r="H96" s="360"/>
      <c r="I96" s="363"/>
      <c r="J96" s="363"/>
      <c r="K96" s="363"/>
      <c r="L96" s="366"/>
      <c r="M96" s="369"/>
      <c r="N96" s="332"/>
      <c r="O96" s="333"/>
      <c r="P96" s="333"/>
      <c r="Q96" s="376"/>
      <c r="R96" s="377" t="s">
        <v>52</v>
      </c>
      <c r="S96" s="378"/>
      <c r="T96" s="378"/>
      <c r="U96" s="379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2">
    <dataValidation type="list" allowBlank="1" showInputMessage="1" showErrorMessage="1" sqref="X7" xr:uid="{FD5B6664-3DDE-4CAD-AC28-192AB3F4E41D}">
      <formula1>$W$5:$W$7</formula1>
    </dataValidation>
    <dataValidation type="list" allowBlank="1" showInputMessage="1" showErrorMessage="1" sqref="W5:W8 E5:E29 E37:E61 E69:E93" xr:uid="{A697709A-21A4-47C8-B625-72B51ECF845F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8" workbookViewId="0">
      <selection activeCell="U45" sqref="U45:Y48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38"/>
      <c r="B1" s="538"/>
      <c r="C1" s="538"/>
      <c r="D1" s="538"/>
      <c r="E1" s="536" t="s">
        <v>59</v>
      </c>
      <c r="F1" s="536"/>
      <c r="G1" s="536"/>
      <c r="H1" s="536" t="s">
        <v>60</v>
      </c>
      <c r="I1" s="536"/>
      <c r="J1" s="536"/>
      <c r="K1" s="536"/>
      <c r="L1" s="536" t="s">
        <v>61</v>
      </c>
      <c r="M1" s="536"/>
      <c r="N1" s="536"/>
      <c r="O1" s="536"/>
      <c r="P1" s="536"/>
      <c r="Q1" s="536" t="s">
        <v>62</v>
      </c>
      <c r="R1" s="536"/>
      <c r="S1" s="536"/>
      <c r="T1" s="536"/>
      <c r="U1" s="536"/>
      <c r="V1" s="536" t="s">
        <v>63</v>
      </c>
      <c r="W1" s="536"/>
      <c r="X1" s="536"/>
      <c r="Y1" s="536"/>
      <c r="Z1" s="536"/>
      <c r="AA1" s="536" t="s">
        <v>64</v>
      </c>
      <c r="AB1" s="536"/>
      <c r="AC1" s="536"/>
      <c r="AD1" s="536"/>
    </row>
    <row r="2" spans="1:30" ht="20.100000000000001" customHeight="1" x14ac:dyDescent="0.3">
      <c r="A2" s="452" t="s">
        <v>66</v>
      </c>
      <c r="B2" s="475" t="s">
        <v>57</v>
      </c>
      <c r="C2" s="475"/>
      <c r="D2" s="537"/>
      <c r="E2" s="537">
        <f>MON!N31</f>
        <v>1</v>
      </c>
      <c r="F2" s="537"/>
      <c r="G2" s="537"/>
      <c r="H2" s="539">
        <f>MON!S31</f>
        <v>150</v>
      </c>
      <c r="I2" s="539"/>
      <c r="J2" s="539"/>
      <c r="K2" s="539"/>
      <c r="L2" s="540">
        <f>MON!N32</f>
        <v>0.20833333333333334</v>
      </c>
      <c r="M2" s="540"/>
      <c r="N2" s="540"/>
      <c r="O2" s="540"/>
      <c r="P2" s="540"/>
      <c r="Q2" s="608">
        <f>SUM(E2:G5)</f>
        <v>9</v>
      </c>
      <c r="R2" s="609"/>
      <c r="S2" s="609"/>
      <c r="T2" s="609"/>
      <c r="U2" s="610"/>
      <c r="V2" s="550">
        <f>SUM(H2,H3,H5)</f>
        <v>720</v>
      </c>
      <c r="W2" s="551"/>
      <c r="X2" s="551"/>
      <c r="Y2" s="551"/>
      <c r="Z2" s="552"/>
      <c r="AA2" s="559">
        <f>V2/Q2</f>
        <v>80</v>
      </c>
      <c r="AB2" s="560"/>
      <c r="AC2" s="560"/>
      <c r="AD2" s="561"/>
    </row>
    <row r="3" spans="1:30" ht="20.100000000000001" customHeight="1" x14ac:dyDescent="0.3">
      <c r="A3" s="453"/>
      <c r="B3" s="475" t="s">
        <v>58</v>
      </c>
      <c r="C3" s="475"/>
      <c r="D3" s="537"/>
      <c r="E3" s="537">
        <f>MON!O31</f>
        <v>8</v>
      </c>
      <c r="F3" s="537"/>
      <c r="G3" s="537"/>
      <c r="H3" s="539">
        <f>MON!S32</f>
        <v>570</v>
      </c>
      <c r="I3" s="539"/>
      <c r="J3" s="539"/>
      <c r="K3" s="539"/>
      <c r="L3" s="540">
        <f>MON!O32</f>
        <v>0.79166666666666663</v>
      </c>
      <c r="M3" s="540"/>
      <c r="N3" s="540"/>
      <c r="O3" s="540"/>
      <c r="P3" s="540"/>
      <c r="Q3" s="611"/>
      <c r="R3" s="612"/>
      <c r="S3" s="612"/>
      <c r="T3" s="612"/>
      <c r="U3" s="613"/>
      <c r="V3" s="553"/>
      <c r="W3" s="554"/>
      <c r="X3" s="554"/>
      <c r="Y3" s="554"/>
      <c r="Z3" s="555"/>
      <c r="AA3" s="562"/>
      <c r="AB3" s="563"/>
      <c r="AC3" s="563"/>
      <c r="AD3" s="564"/>
    </row>
    <row r="4" spans="1:30" ht="20.100000000000001" customHeight="1" x14ac:dyDescent="0.3">
      <c r="A4" s="453"/>
      <c r="B4" s="475" t="s">
        <v>45</v>
      </c>
      <c r="C4" s="475"/>
      <c r="D4" s="537"/>
      <c r="E4" s="537">
        <f>MON!P31</f>
        <v>0</v>
      </c>
      <c r="F4" s="537"/>
      <c r="G4" s="537"/>
      <c r="H4" s="539">
        <f>MON!K31</f>
        <v>0</v>
      </c>
      <c r="I4" s="539"/>
      <c r="J4" s="539"/>
      <c r="K4" s="539"/>
      <c r="L4" s="540">
        <f>MON!P32</f>
        <v>0</v>
      </c>
      <c r="M4" s="540"/>
      <c r="N4" s="540"/>
      <c r="O4" s="540"/>
      <c r="P4" s="540"/>
      <c r="Q4" s="611"/>
      <c r="R4" s="612"/>
      <c r="S4" s="612"/>
      <c r="T4" s="612"/>
      <c r="U4" s="613"/>
      <c r="V4" s="553"/>
      <c r="W4" s="554"/>
      <c r="X4" s="554"/>
      <c r="Y4" s="554"/>
      <c r="Z4" s="555"/>
      <c r="AA4" s="562"/>
      <c r="AB4" s="563"/>
      <c r="AC4" s="563"/>
      <c r="AD4" s="564"/>
    </row>
    <row r="5" spans="1:30" ht="20.100000000000001" customHeight="1" x14ac:dyDescent="0.3">
      <c r="A5" s="453"/>
      <c r="B5" s="473" t="s">
        <v>65</v>
      </c>
      <c r="C5" s="474"/>
      <c r="D5" s="475"/>
      <c r="E5" s="473">
        <f>MON!Q31</f>
        <v>0</v>
      </c>
      <c r="F5" s="474"/>
      <c r="G5" s="475"/>
      <c r="H5" s="596">
        <f>MON!J31</f>
        <v>0</v>
      </c>
      <c r="I5" s="597"/>
      <c r="J5" s="597"/>
      <c r="K5" s="598"/>
      <c r="L5" s="599">
        <f>MON!Q32</f>
        <v>0</v>
      </c>
      <c r="M5" s="600"/>
      <c r="N5" s="600"/>
      <c r="O5" s="600"/>
      <c r="P5" s="601"/>
      <c r="Q5" s="614"/>
      <c r="R5" s="615"/>
      <c r="S5" s="615"/>
      <c r="T5" s="615"/>
      <c r="U5" s="616"/>
      <c r="V5" s="556"/>
      <c r="W5" s="557"/>
      <c r="X5" s="557"/>
      <c r="Y5" s="557"/>
      <c r="Z5" s="558"/>
      <c r="AA5" s="565"/>
      <c r="AB5" s="566"/>
      <c r="AC5" s="566"/>
      <c r="AD5" s="567"/>
    </row>
    <row r="6" spans="1:30" ht="20.100000000000001" customHeight="1" x14ac:dyDescent="0.3">
      <c r="A6" s="454"/>
      <c r="B6" s="473" t="s">
        <v>91</v>
      </c>
      <c r="C6" s="474"/>
      <c r="D6" s="475"/>
      <c r="E6" s="473">
        <f>MON!U16</f>
        <v>30.750000000000004</v>
      </c>
      <c r="F6" s="474"/>
      <c r="G6" s="475"/>
      <c r="H6" s="596" t="s">
        <v>92</v>
      </c>
      <c r="I6" s="597"/>
      <c r="J6" s="597"/>
      <c r="K6" s="598"/>
      <c r="L6" s="656">
        <f>MON!T2</f>
        <v>4</v>
      </c>
      <c r="M6" s="657"/>
      <c r="N6" s="657"/>
      <c r="O6" s="657"/>
      <c r="P6" s="658"/>
      <c r="Q6" s="659"/>
      <c r="R6" s="660"/>
      <c r="S6" s="660"/>
      <c r="T6" s="660"/>
      <c r="U6" s="661"/>
      <c r="V6" s="423"/>
      <c r="W6" s="424"/>
      <c r="X6" s="424"/>
      <c r="Y6" s="424"/>
      <c r="Z6" s="425"/>
      <c r="AA6" s="426"/>
      <c r="AB6" s="427"/>
      <c r="AC6" s="427"/>
      <c r="AD6" s="428"/>
    </row>
    <row r="7" spans="1:30" ht="20.100000000000001" customHeight="1" x14ac:dyDescent="0.3">
      <c r="A7" s="455" t="s">
        <v>67</v>
      </c>
      <c r="B7" s="431" t="s">
        <v>57</v>
      </c>
      <c r="C7" s="431"/>
      <c r="D7" s="447"/>
      <c r="E7" s="447">
        <f>TUE!N31</f>
        <v>0</v>
      </c>
      <c r="F7" s="447"/>
      <c r="G7" s="447"/>
      <c r="H7" s="448">
        <f>TUE!S31</f>
        <v>0</v>
      </c>
      <c r="I7" s="448"/>
      <c r="J7" s="448"/>
      <c r="K7" s="448"/>
      <c r="L7" s="449">
        <f>TUE!N32</f>
        <v>0</v>
      </c>
      <c r="M7" s="450"/>
      <c r="N7" s="450"/>
      <c r="O7" s="450"/>
      <c r="P7" s="451"/>
      <c r="Q7" s="638">
        <f>SUM(E7:G10)</f>
        <v>7</v>
      </c>
      <c r="R7" s="639"/>
      <c r="S7" s="639"/>
      <c r="T7" s="639"/>
      <c r="U7" s="640"/>
      <c r="V7" s="541">
        <f>SUM(H7,H8,H10)</f>
        <v>1190</v>
      </c>
      <c r="W7" s="542"/>
      <c r="X7" s="542"/>
      <c r="Y7" s="542"/>
      <c r="Z7" s="543"/>
      <c r="AA7" s="568">
        <f>V7/Q7</f>
        <v>170</v>
      </c>
      <c r="AB7" s="569"/>
      <c r="AC7" s="569"/>
      <c r="AD7" s="570"/>
    </row>
    <row r="8" spans="1:30" ht="20.100000000000001" customHeight="1" x14ac:dyDescent="0.3">
      <c r="A8" s="456"/>
      <c r="B8" s="431" t="s">
        <v>58</v>
      </c>
      <c r="C8" s="431"/>
      <c r="D8" s="447"/>
      <c r="E8" s="447">
        <f>TUE!O31</f>
        <v>5</v>
      </c>
      <c r="F8" s="447"/>
      <c r="G8" s="447"/>
      <c r="H8" s="448">
        <f>TUE!S32</f>
        <v>1190</v>
      </c>
      <c r="I8" s="448"/>
      <c r="J8" s="448"/>
      <c r="K8" s="448"/>
      <c r="L8" s="449">
        <f>TUE!O32</f>
        <v>0.81983703852731116</v>
      </c>
      <c r="M8" s="450"/>
      <c r="N8" s="450"/>
      <c r="O8" s="450"/>
      <c r="P8" s="451"/>
      <c r="Q8" s="641"/>
      <c r="R8" s="642"/>
      <c r="S8" s="642"/>
      <c r="T8" s="642"/>
      <c r="U8" s="643"/>
      <c r="V8" s="544"/>
      <c r="W8" s="545"/>
      <c r="X8" s="545"/>
      <c r="Y8" s="545"/>
      <c r="Z8" s="546"/>
      <c r="AA8" s="571"/>
      <c r="AB8" s="572"/>
      <c r="AC8" s="572"/>
      <c r="AD8" s="573"/>
    </row>
    <row r="9" spans="1:30" ht="20.100000000000001" customHeight="1" x14ac:dyDescent="0.3">
      <c r="A9" s="456"/>
      <c r="B9" s="431" t="s">
        <v>45</v>
      </c>
      <c r="C9" s="431"/>
      <c r="D9" s="447"/>
      <c r="E9" s="447">
        <f>TUE!P31</f>
        <v>2</v>
      </c>
      <c r="F9" s="447"/>
      <c r="G9" s="447"/>
      <c r="H9" s="448">
        <f>TUE!K31</f>
        <v>179.1</v>
      </c>
      <c r="I9" s="448"/>
      <c r="J9" s="448"/>
      <c r="K9" s="448"/>
      <c r="L9" s="449">
        <f>TUE!P32</f>
        <v>0.18016296147268884</v>
      </c>
      <c r="M9" s="450"/>
      <c r="N9" s="450"/>
      <c r="O9" s="450"/>
      <c r="P9" s="451"/>
      <c r="Q9" s="641"/>
      <c r="R9" s="642"/>
      <c r="S9" s="642"/>
      <c r="T9" s="642"/>
      <c r="U9" s="643"/>
      <c r="V9" s="544"/>
      <c r="W9" s="545"/>
      <c r="X9" s="545"/>
      <c r="Y9" s="545"/>
      <c r="Z9" s="546"/>
      <c r="AA9" s="571"/>
      <c r="AB9" s="572"/>
      <c r="AC9" s="572"/>
      <c r="AD9" s="573"/>
    </row>
    <row r="10" spans="1:30" ht="20.100000000000001" customHeight="1" x14ac:dyDescent="0.3">
      <c r="A10" s="456"/>
      <c r="B10" s="429" t="s">
        <v>65</v>
      </c>
      <c r="C10" s="430"/>
      <c r="D10" s="431"/>
      <c r="E10" s="429">
        <f>TUE!Q31</f>
        <v>0</v>
      </c>
      <c r="F10" s="430"/>
      <c r="G10" s="431"/>
      <c r="H10" s="432">
        <f>TUE!J31</f>
        <v>0</v>
      </c>
      <c r="I10" s="433"/>
      <c r="J10" s="433"/>
      <c r="K10" s="434"/>
      <c r="L10" s="449">
        <f>TUE!Q32</f>
        <v>0</v>
      </c>
      <c r="M10" s="450"/>
      <c r="N10" s="450"/>
      <c r="O10" s="450"/>
      <c r="P10" s="451"/>
      <c r="Q10" s="644"/>
      <c r="R10" s="645"/>
      <c r="S10" s="645"/>
      <c r="T10" s="645"/>
      <c r="U10" s="646"/>
      <c r="V10" s="547"/>
      <c r="W10" s="548"/>
      <c r="X10" s="548"/>
      <c r="Y10" s="548"/>
      <c r="Z10" s="549"/>
      <c r="AA10" s="574"/>
      <c r="AB10" s="575"/>
      <c r="AC10" s="575"/>
      <c r="AD10" s="576"/>
    </row>
    <row r="11" spans="1:30" ht="20.100000000000001" customHeight="1" x14ac:dyDescent="0.3">
      <c r="A11" s="457"/>
      <c r="B11" s="429" t="s">
        <v>91</v>
      </c>
      <c r="C11" s="430"/>
      <c r="D11" s="431"/>
      <c r="E11" s="429">
        <f>TUE!U16</f>
        <v>38.25</v>
      </c>
      <c r="F11" s="430"/>
      <c r="G11" s="431"/>
      <c r="H11" s="432" t="s">
        <v>92</v>
      </c>
      <c r="I11" s="433"/>
      <c r="J11" s="433"/>
      <c r="K11" s="434"/>
      <c r="L11" s="435">
        <f>TUE!T2</f>
        <v>5</v>
      </c>
      <c r="M11" s="436"/>
      <c r="N11" s="436"/>
      <c r="O11" s="436"/>
      <c r="P11" s="437"/>
      <c r="Q11" s="438"/>
      <c r="R11" s="439"/>
      <c r="S11" s="439"/>
      <c r="T11" s="439"/>
      <c r="U11" s="440"/>
      <c r="V11" s="441"/>
      <c r="W11" s="442"/>
      <c r="X11" s="442"/>
      <c r="Y11" s="442"/>
      <c r="Z11" s="443"/>
      <c r="AA11" s="444"/>
      <c r="AB11" s="445"/>
      <c r="AC11" s="445"/>
      <c r="AD11" s="446"/>
    </row>
    <row r="12" spans="1:30" ht="20.100000000000001" customHeight="1" x14ac:dyDescent="0.3">
      <c r="A12" s="458" t="s">
        <v>68</v>
      </c>
      <c r="B12" s="478" t="s">
        <v>57</v>
      </c>
      <c r="C12" s="478"/>
      <c r="D12" s="358"/>
      <c r="E12" s="358">
        <f>WED!N31</f>
        <v>1</v>
      </c>
      <c r="F12" s="358"/>
      <c r="G12" s="358"/>
      <c r="H12" s="602">
        <f>WED!S31</f>
        <v>50</v>
      </c>
      <c r="I12" s="603"/>
      <c r="J12" s="603"/>
      <c r="K12" s="604"/>
      <c r="L12" s="605">
        <f>WED!N32</f>
        <v>2.1408691928923144E-2</v>
      </c>
      <c r="M12" s="606"/>
      <c r="N12" s="606"/>
      <c r="O12" s="606"/>
      <c r="P12" s="607"/>
      <c r="Q12" s="617">
        <f>SUM(E12:G15)</f>
        <v>24</v>
      </c>
      <c r="R12" s="618"/>
      <c r="S12" s="618"/>
      <c r="T12" s="618"/>
      <c r="U12" s="619"/>
      <c r="V12" s="395">
        <f>SUM(H12,H13,H15)</f>
        <v>2245</v>
      </c>
      <c r="W12" s="396"/>
      <c r="X12" s="396"/>
      <c r="Y12" s="396"/>
      <c r="Z12" s="397"/>
      <c r="AA12" s="386">
        <f>V12/Q12</f>
        <v>93.541666666666671</v>
      </c>
      <c r="AB12" s="387"/>
      <c r="AC12" s="387"/>
      <c r="AD12" s="388"/>
    </row>
    <row r="13" spans="1:30" ht="20.100000000000001" customHeight="1" x14ac:dyDescent="0.3">
      <c r="A13" s="459"/>
      <c r="B13" s="478" t="s">
        <v>58</v>
      </c>
      <c r="C13" s="478"/>
      <c r="D13" s="358"/>
      <c r="E13" s="358">
        <f>WED!O31</f>
        <v>16</v>
      </c>
      <c r="F13" s="358"/>
      <c r="G13" s="358"/>
      <c r="H13" s="602">
        <f>WED!S32</f>
        <v>2195</v>
      </c>
      <c r="I13" s="603"/>
      <c r="J13" s="603"/>
      <c r="K13" s="604"/>
      <c r="L13" s="605">
        <f>WED!O32</f>
        <v>0.77927638621280237</v>
      </c>
      <c r="M13" s="606"/>
      <c r="N13" s="606"/>
      <c r="O13" s="606"/>
      <c r="P13" s="607"/>
      <c r="Q13" s="620"/>
      <c r="R13" s="621"/>
      <c r="S13" s="621"/>
      <c r="T13" s="621"/>
      <c r="U13" s="622"/>
      <c r="V13" s="398"/>
      <c r="W13" s="399"/>
      <c r="X13" s="399"/>
      <c r="Y13" s="399"/>
      <c r="Z13" s="400"/>
      <c r="AA13" s="389"/>
      <c r="AB13" s="390"/>
      <c r="AC13" s="390"/>
      <c r="AD13" s="391"/>
    </row>
    <row r="14" spans="1:30" ht="20.100000000000001" customHeight="1" x14ac:dyDescent="0.3">
      <c r="A14" s="459"/>
      <c r="B14" s="478" t="s">
        <v>45</v>
      </c>
      <c r="C14" s="478"/>
      <c r="D14" s="358"/>
      <c r="E14" s="358">
        <f>WED!P31</f>
        <v>7</v>
      </c>
      <c r="F14" s="358"/>
      <c r="G14" s="358"/>
      <c r="H14" s="602">
        <f>WED!K31</f>
        <v>465.50000000000006</v>
      </c>
      <c r="I14" s="603"/>
      <c r="J14" s="603"/>
      <c r="K14" s="604"/>
      <c r="L14" s="605">
        <f>WED!P32</f>
        <v>0.19931492185827449</v>
      </c>
      <c r="M14" s="606"/>
      <c r="N14" s="606"/>
      <c r="O14" s="606"/>
      <c r="P14" s="607"/>
      <c r="Q14" s="620"/>
      <c r="R14" s="621"/>
      <c r="S14" s="621"/>
      <c r="T14" s="621"/>
      <c r="U14" s="622"/>
      <c r="V14" s="398"/>
      <c r="W14" s="399"/>
      <c r="X14" s="399"/>
      <c r="Y14" s="399"/>
      <c r="Z14" s="400"/>
      <c r="AA14" s="389"/>
      <c r="AB14" s="390"/>
      <c r="AC14" s="390"/>
      <c r="AD14" s="391"/>
    </row>
    <row r="15" spans="1:30" ht="20.100000000000001" customHeight="1" x14ac:dyDescent="0.3">
      <c r="A15" s="459"/>
      <c r="B15" s="476" t="s">
        <v>65</v>
      </c>
      <c r="C15" s="477"/>
      <c r="D15" s="478"/>
      <c r="E15" s="476">
        <f>WED!Q31</f>
        <v>0</v>
      </c>
      <c r="F15" s="477"/>
      <c r="G15" s="478"/>
      <c r="H15" s="602">
        <f>WED!J31</f>
        <v>0</v>
      </c>
      <c r="I15" s="603"/>
      <c r="J15" s="603"/>
      <c r="K15" s="604"/>
      <c r="L15" s="605">
        <f>WED!Q32</f>
        <v>0</v>
      </c>
      <c r="M15" s="606"/>
      <c r="N15" s="606"/>
      <c r="O15" s="606"/>
      <c r="P15" s="607"/>
      <c r="Q15" s="623"/>
      <c r="R15" s="624"/>
      <c r="S15" s="624"/>
      <c r="T15" s="624"/>
      <c r="U15" s="625"/>
      <c r="V15" s="401"/>
      <c r="W15" s="402"/>
      <c r="X15" s="402"/>
      <c r="Y15" s="402"/>
      <c r="Z15" s="403"/>
      <c r="AA15" s="392"/>
      <c r="AB15" s="393"/>
      <c r="AC15" s="393"/>
      <c r="AD15" s="394"/>
    </row>
    <row r="16" spans="1:30" ht="20.100000000000001" customHeight="1" x14ac:dyDescent="0.3">
      <c r="A16" s="460"/>
      <c r="B16" s="476" t="s">
        <v>91</v>
      </c>
      <c r="C16" s="477"/>
      <c r="D16" s="478"/>
      <c r="E16" s="665">
        <f>WED!U16</f>
        <v>46.666666666666671</v>
      </c>
      <c r="F16" s="666"/>
      <c r="G16" s="667"/>
      <c r="H16" s="602" t="s">
        <v>92</v>
      </c>
      <c r="I16" s="603"/>
      <c r="J16" s="603"/>
      <c r="K16" s="604"/>
      <c r="L16" s="662">
        <f>WED!T2</f>
        <v>6</v>
      </c>
      <c r="M16" s="663"/>
      <c r="N16" s="663"/>
      <c r="O16" s="663"/>
      <c r="P16" s="664"/>
      <c r="Q16" s="221"/>
      <c r="R16" s="222"/>
      <c r="S16" s="222"/>
      <c r="T16" s="222"/>
      <c r="U16" s="223"/>
      <c r="V16" s="212"/>
      <c r="W16" s="213"/>
      <c r="X16" s="213"/>
      <c r="Y16" s="213"/>
      <c r="Z16" s="214"/>
      <c r="AA16" s="209"/>
      <c r="AB16" s="210"/>
      <c r="AC16" s="210"/>
      <c r="AD16" s="211"/>
    </row>
    <row r="17" spans="1:30" ht="20.100000000000001" customHeight="1" x14ac:dyDescent="0.3">
      <c r="A17" s="461" t="s">
        <v>69</v>
      </c>
      <c r="B17" s="481" t="s">
        <v>57</v>
      </c>
      <c r="C17" s="481"/>
      <c r="D17" s="408"/>
      <c r="E17" s="408">
        <f>THU!N31</f>
        <v>2</v>
      </c>
      <c r="F17" s="408"/>
      <c r="G17" s="408"/>
      <c r="H17" s="407">
        <f>THU!S31</f>
        <v>65</v>
      </c>
      <c r="I17" s="407"/>
      <c r="J17" s="407"/>
      <c r="K17" s="407"/>
      <c r="L17" s="417">
        <f>THU!N32</f>
        <v>4.2648120202086477E-2</v>
      </c>
      <c r="M17" s="417"/>
      <c r="N17" s="417"/>
      <c r="O17" s="417"/>
      <c r="P17" s="417"/>
      <c r="Q17" s="647">
        <f>SUM(E17:G20)</f>
        <v>20</v>
      </c>
      <c r="R17" s="648"/>
      <c r="S17" s="648"/>
      <c r="T17" s="648"/>
      <c r="U17" s="649"/>
      <c r="V17" s="587">
        <f>SUM(H17,H18,H20)</f>
        <v>1795</v>
      </c>
      <c r="W17" s="588"/>
      <c r="X17" s="588"/>
      <c r="Y17" s="588"/>
      <c r="Z17" s="589"/>
      <c r="AA17" s="578">
        <f>V17/Q17</f>
        <v>89.75</v>
      </c>
      <c r="AB17" s="579"/>
      <c r="AC17" s="579"/>
      <c r="AD17" s="580"/>
    </row>
    <row r="18" spans="1:30" ht="20.100000000000001" customHeight="1" x14ac:dyDescent="0.3">
      <c r="A18" s="462"/>
      <c r="B18" s="481" t="s">
        <v>58</v>
      </c>
      <c r="C18" s="481"/>
      <c r="D18" s="408"/>
      <c r="E18" s="408">
        <f>THU!O31</f>
        <v>15</v>
      </c>
      <c r="F18" s="408"/>
      <c r="G18" s="408"/>
      <c r="H18" s="407">
        <f>THU!S32</f>
        <v>1680</v>
      </c>
      <c r="I18" s="407"/>
      <c r="J18" s="407"/>
      <c r="K18" s="407"/>
      <c r="L18" s="417">
        <f>THU!O32</f>
        <v>0.85624302867265933</v>
      </c>
      <c r="M18" s="417"/>
      <c r="N18" s="417"/>
      <c r="O18" s="417"/>
      <c r="P18" s="417"/>
      <c r="Q18" s="650"/>
      <c r="R18" s="651"/>
      <c r="S18" s="651"/>
      <c r="T18" s="651"/>
      <c r="U18" s="652"/>
      <c r="V18" s="590"/>
      <c r="W18" s="591"/>
      <c r="X18" s="591"/>
      <c r="Y18" s="591"/>
      <c r="Z18" s="592"/>
      <c r="AA18" s="581"/>
      <c r="AB18" s="582"/>
      <c r="AC18" s="582"/>
      <c r="AD18" s="583"/>
    </row>
    <row r="19" spans="1:30" ht="20.100000000000001" customHeight="1" x14ac:dyDescent="0.3">
      <c r="A19" s="462"/>
      <c r="B19" s="481" t="s">
        <v>45</v>
      </c>
      <c r="C19" s="481"/>
      <c r="D19" s="408"/>
      <c r="E19" s="408">
        <f>THU!P31</f>
        <v>2</v>
      </c>
      <c r="F19" s="408"/>
      <c r="G19" s="408"/>
      <c r="H19" s="407">
        <f>THU!K31</f>
        <v>104.1</v>
      </c>
      <c r="I19" s="407"/>
      <c r="J19" s="407"/>
      <c r="K19" s="407"/>
      <c r="L19" s="417">
        <f>THU!P32</f>
        <v>6.8302604815956958E-2</v>
      </c>
      <c r="M19" s="417"/>
      <c r="N19" s="417"/>
      <c r="O19" s="417"/>
      <c r="P19" s="417"/>
      <c r="Q19" s="650"/>
      <c r="R19" s="651"/>
      <c r="S19" s="651"/>
      <c r="T19" s="651"/>
      <c r="U19" s="652"/>
      <c r="V19" s="590"/>
      <c r="W19" s="591"/>
      <c r="X19" s="591"/>
      <c r="Y19" s="591"/>
      <c r="Z19" s="592"/>
      <c r="AA19" s="581"/>
      <c r="AB19" s="582"/>
      <c r="AC19" s="582"/>
      <c r="AD19" s="583"/>
    </row>
    <row r="20" spans="1:30" ht="20.100000000000001" customHeight="1" x14ac:dyDescent="0.3">
      <c r="A20" s="462"/>
      <c r="B20" s="479" t="s">
        <v>65</v>
      </c>
      <c r="C20" s="480"/>
      <c r="D20" s="481"/>
      <c r="E20" s="479">
        <f>THU!Q31</f>
        <v>1</v>
      </c>
      <c r="F20" s="480"/>
      <c r="G20" s="481"/>
      <c r="H20" s="668">
        <f>THU!J31</f>
        <v>50</v>
      </c>
      <c r="I20" s="669"/>
      <c r="J20" s="669"/>
      <c r="K20" s="670"/>
      <c r="L20" s="680">
        <f>THU!Q32</f>
        <v>3.2806246309297293E-2</v>
      </c>
      <c r="M20" s="681"/>
      <c r="N20" s="681"/>
      <c r="O20" s="681"/>
      <c r="P20" s="682"/>
      <c r="Q20" s="653"/>
      <c r="R20" s="654"/>
      <c r="S20" s="654"/>
      <c r="T20" s="654"/>
      <c r="U20" s="655"/>
      <c r="V20" s="593"/>
      <c r="W20" s="594"/>
      <c r="X20" s="594"/>
      <c r="Y20" s="594"/>
      <c r="Z20" s="595"/>
      <c r="AA20" s="584"/>
      <c r="AB20" s="585"/>
      <c r="AC20" s="585"/>
      <c r="AD20" s="586"/>
    </row>
    <row r="21" spans="1:30" ht="20.100000000000001" customHeight="1" x14ac:dyDescent="0.3">
      <c r="A21" s="463"/>
      <c r="B21" s="479" t="s">
        <v>91</v>
      </c>
      <c r="C21" s="480"/>
      <c r="D21" s="481"/>
      <c r="E21" s="479">
        <f>THU!U16</f>
        <v>51</v>
      </c>
      <c r="F21" s="480"/>
      <c r="G21" s="481"/>
      <c r="H21" s="668" t="s">
        <v>92</v>
      </c>
      <c r="I21" s="669"/>
      <c r="J21" s="669"/>
      <c r="K21" s="670"/>
      <c r="L21" s="687">
        <f>THU!T2</f>
        <v>7</v>
      </c>
      <c r="M21" s="688"/>
      <c r="N21" s="688"/>
      <c r="O21" s="688"/>
      <c r="P21" s="689"/>
      <c r="Q21" s="227"/>
      <c r="R21" s="228"/>
      <c r="S21" s="228"/>
      <c r="T21" s="228"/>
      <c r="U21" s="229"/>
      <c r="V21" s="218"/>
      <c r="W21" s="219"/>
      <c r="X21" s="219"/>
      <c r="Y21" s="219"/>
      <c r="Z21" s="220"/>
      <c r="AA21" s="215"/>
      <c r="AB21" s="216"/>
      <c r="AC21" s="216"/>
      <c r="AD21" s="217"/>
    </row>
    <row r="22" spans="1:30" ht="20.100000000000001" customHeight="1" x14ac:dyDescent="0.3">
      <c r="A22" s="464" t="s">
        <v>90</v>
      </c>
      <c r="B22" s="484" t="s">
        <v>57</v>
      </c>
      <c r="C22" s="484"/>
      <c r="D22" s="489"/>
      <c r="E22" s="489">
        <f>FRI!N31</f>
        <v>6</v>
      </c>
      <c r="F22" s="489"/>
      <c r="G22" s="489"/>
      <c r="H22" s="412">
        <f>FRI!S31</f>
        <v>930</v>
      </c>
      <c r="I22" s="412"/>
      <c r="J22" s="412"/>
      <c r="K22" s="412"/>
      <c r="L22" s="413">
        <f>FRI!N32</f>
        <v>0.43055555555555558</v>
      </c>
      <c r="M22" s="413"/>
      <c r="N22" s="413"/>
      <c r="O22" s="413"/>
      <c r="P22" s="413"/>
      <c r="Q22" s="726">
        <f>SUM(E22:G25)</f>
        <v>11</v>
      </c>
      <c r="R22" s="727"/>
      <c r="S22" s="727"/>
      <c r="T22" s="727"/>
      <c r="U22" s="728"/>
      <c r="V22" s="671">
        <f>SUM(H22,H23,H25)</f>
        <v>2160</v>
      </c>
      <c r="W22" s="672"/>
      <c r="X22" s="672"/>
      <c r="Y22" s="672"/>
      <c r="Z22" s="673"/>
      <c r="AA22" s="693">
        <f>V22/Q22</f>
        <v>196.36363636363637</v>
      </c>
      <c r="AB22" s="694"/>
      <c r="AC22" s="694"/>
      <c r="AD22" s="695"/>
    </row>
    <row r="23" spans="1:30" ht="20.100000000000001" customHeight="1" x14ac:dyDescent="0.3">
      <c r="A23" s="465"/>
      <c r="B23" s="484" t="s">
        <v>58</v>
      </c>
      <c r="C23" s="484"/>
      <c r="D23" s="489"/>
      <c r="E23" s="489">
        <f>FRI!O31</f>
        <v>5</v>
      </c>
      <c r="F23" s="489"/>
      <c r="G23" s="489"/>
      <c r="H23" s="412">
        <f>FRI!S32</f>
        <v>1230</v>
      </c>
      <c r="I23" s="412"/>
      <c r="J23" s="412"/>
      <c r="K23" s="412"/>
      <c r="L23" s="413">
        <f>FRI!O32</f>
        <v>0.56944444444444442</v>
      </c>
      <c r="M23" s="413"/>
      <c r="N23" s="413"/>
      <c r="O23" s="413"/>
      <c r="P23" s="413"/>
      <c r="Q23" s="729"/>
      <c r="R23" s="730"/>
      <c r="S23" s="730"/>
      <c r="T23" s="730"/>
      <c r="U23" s="731"/>
      <c r="V23" s="674"/>
      <c r="W23" s="675"/>
      <c r="X23" s="675"/>
      <c r="Y23" s="675"/>
      <c r="Z23" s="676"/>
      <c r="AA23" s="696"/>
      <c r="AB23" s="697"/>
      <c r="AC23" s="697"/>
      <c r="AD23" s="698"/>
    </row>
    <row r="24" spans="1:30" ht="20.100000000000001" customHeight="1" x14ac:dyDescent="0.3">
      <c r="A24" s="465"/>
      <c r="B24" s="484" t="s">
        <v>45</v>
      </c>
      <c r="C24" s="484"/>
      <c r="D24" s="489"/>
      <c r="E24" s="489">
        <f>FRI!P31</f>
        <v>0</v>
      </c>
      <c r="F24" s="489"/>
      <c r="G24" s="489"/>
      <c r="H24" s="412">
        <f>FRI!K31</f>
        <v>0</v>
      </c>
      <c r="I24" s="412"/>
      <c r="J24" s="412"/>
      <c r="K24" s="412"/>
      <c r="L24" s="413">
        <f>FRI!P32</f>
        <v>0</v>
      </c>
      <c r="M24" s="413"/>
      <c r="N24" s="413"/>
      <c r="O24" s="413"/>
      <c r="P24" s="413"/>
      <c r="Q24" s="729"/>
      <c r="R24" s="730"/>
      <c r="S24" s="730"/>
      <c r="T24" s="730"/>
      <c r="U24" s="731"/>
      <c r="V24" s="674"/>
      <c r="W24" s="675"/>
      <c r="X24" s="675"/>
      <c r="Y24" s="675"/>
      <c r="Z24" s="676"/>
      <c r="AA24" s="696"/>
      <c r="AB24" s="697"/>
      <c r="AC24" s="697"/>
      <c r="AD24" s="698"/>
    </row>
    <row r="25" spans="1:30" ht="20.100000000000001" customHeight="1" x14ac:dyDescent="0.3">
      <c r="A25" s="465"/>
      <c r="B25" s="482" t="s">
        <v>65</v>
      </c>
      <c r="C25" s="483"/>
      <c r="D25" s="484"/>
      <c r="E25" s="482">
        <f>FRI!Q31</f>
        <v>0</v>
      </c>
      <c r="F25" s="483"/>
      <c r="G25" s="484"/>
      <c r="H25" s="720">
        <f>FRI!J31</f>
        <v>0</v>
      </c>
      <c r="I25" s="721"/>
      <c r="J25" s="721"/>
      <c r="K25" s="722"/>
      <c r="L25" s="723">
        <f>FRI!Q32</f>
        <v>0</v>
      </c>
      <c r="M25" s="724"/>
      <c r="N25" s="724"/>
      <c r="O25" s="724"/>
      <c r="P25" s="725"/>
      <c r="Q25" s="732"/>
      <c r="R25" s="733"/>
      <c r="S25" s="733"/>
      <c r="T25" s="733"/>
      <c r="U25" s="734"/>
      <c r="V25" s="677"/>
      <c r="W25" s="678"/>
      <c r="X25" s="678"/>
      <c r="Y25" s="678"/>
      <c r="Z25" s="679"/>
      <c r="AA25" s="699"/>
      <c r="AB25" s="700"/>
      <c r="AC25" s="700"/>
      <c r="AD25" s="701"/>
    </row>
    <row r="26" spans="1:30" ht="20.100000000000001" customHeight="1" x14ac:dyDescent="0.3">
      <c r="A26" s="466"/>
      <c r="B26" s="482" t="s">
        <v>91</v>
      </c>
      <c r="C26" s="483"/>
      <c r="D26" s="484"/>
      <c r="E26" s="482">
        <f>FRI!U16</f>
        <v>28.500000000000004</v>
      </c>
      <c r="F26" s="483"/>
      <c r="G26" s="484"/>
      <c r="H26" s="720" t="s">
        <v>92</v>
      </c>
      <c r="I26" s="721"/>
      <c r="J26" s="721"/>
      <c r="K26" s="722"/>
      <c r="L26" s="690">
        <f>FRI!T2</f>
        <v>4</v>
      </c>
      <c r="M26" s="691"/>
      <c r="N26" s="691"/>
      <c r="O26" s="691"/>
      <c r="P26" s="692"/>
      <c r="Q26" s="230"/>
      <c r="R26" s="231"/>
      <c r="S26" s="231"/>
      <c r="T26" s="231"/>
      <c r="U26" s="232"/>
      <c r="V26" s="233"/>
      <c r="W26" s="234"/>
      <c r="X26" s="234"/>
      <c r="Y26" s="234"/>
      <c r="Z26" s="235"/>
      <c r="AA26" s="236"/>
      <c r="AB26" s="237"/>
      <c r="AC26" s="237"/>
      <c r="AD26" s="238"/>
    </row>
    <row r="27" spans="1:30" ht="20.100000000000001" customHeight="1" x14ac:dyDescent="0.3">
      <c r="A27" s="467" t="s">
        <v>70</v>
      </c>
      <c r="B27" s="422" t="s">
        <v>57</v>
      </c>
      <c r="C27" s="422"/>
      <c r="D27" s="419"/>
      <c r="E27" s="419">
        <f>SAT!N31</f>
        <v>2</v>
      </c>
      <c r="F27" s="419"/>
      <c r="G27" s="419"/>
      <c r="H27" s="577">
        <f>SAT!S31</f>
        <v>110</v>
      </c>
      <c r="I27" s="577"/>
      <c r="J27" s="577"/>
      <c r="K27" s="577"/>
      <c r="L27" s="418">
        <f>SAT!N32</f>
        <v>9.1165257749046921E-2</v>
      </c>
      <c r="M27" s="418"/>
      <c r="N27" s="418"/>
      <c r="O27" s="418"/>
      <c r="P27" s="418"/>
      <c r="Q27" s="626">
        <f>SUM(E27:G30)</f>
        <v>14</v>
      </c>
      <c r="R27" s="627"/>
      <c r="S27" s="627"/>
      <c r="T27" s="627"/>
      <c r="U27" s="628"/>
      <c r="V27" s="711">
        <f>SUM(H27,H28,H30)</f>
        <v>1915</v>
      </c>
      <c r="W27" s="712"/>
      <c r="X27" s="712"/>
      <c r="Y27" s="712"/>
      <c r="Z27" s="713"/>
      <c r="AA27" s="702">
        <f>V27/Q27</f>
        <v>136.78571428571428</v>
      </c>
      <c r="AB27" s="703"/>
      <c r="AC27" s="703"/>
      <c r="AD27" s="704"/>
    </row>
    <row r="28" spans="1:30" ht="20.100000000000001" customHeight="1" x14ac:dyDescent="0.3">
      <c r="A28" s="468"/>
      <c r="B28" s="422" t="s">
        <v>58</v>
      </c>
      <c r="C28" s="422"/>
      <c r="D28" s="419"/>
      <c r="E28" s="419">
        <f>SAT!O31</f>
        <v>10</v>
      </c>
      <c r="F28" s="419"/>
      <c r="G28" s="419"/>
      <c r="H28" s="577">
        <f>SAT!S32</f>
        <v>1805</v>
      </c>
      <c r="I28" s="577"/>
      <c r="J28" s="577"/>
      <c r="K28" s="577"/>
      <c r="L28" s="418">
        <f>SAT!O32</f>
        <v>0.79148019227581645</v>
      </c>
      <c r="M28" s="418"/>
      <c r="N28" s="418"/>
      <c r="O28" s="418"/>
      <c r="P28" s="418"/>
      <c r="Q28" s="629"/>
      <c r="R28" s="630"/>
      <c r="S28" s="630"/>
      <c r="T28" s="630"/>
      <c r="U28" s="631"/>
      <c r="V28" s="714"/>
      <c r="W28" s="715"/>
      <c r="X28" s="715"/>
      <c r="Y28" s="715"/>
      <c r="Z28" s="716"/>
      <c r="AA28" s="705"/>
      <c r="AB28" s="706"/>
      <c r="AC28" s="706"/>
      <c r="AD28" s="707"/>
    </row>
    <row r="29" spans="1:30" ht="20.100000000000001" customHeight="1" x14ac:dyDescent="0.3">
      <c r="A29" s="468"/>
      <c r="B29" s="422" t="s">
        <v>45</v>
      </c>
      <c r="C29" s="422"/>
      <c r="D29" s="419"/>
      <c r="E29" s="419">
        <f>SAT!P31</f>
        <v>2</v>
      </c>
      <c r="F29" s="419"/>
      <c r="G29" s="419"/>
      <c r="H29" s="577">
        <f>SAT!K31</f>
        <v>141.6</v>
      </c>
      <c r="I29" s="577"/>
      <c r="J29" s="577"/>
      <c r="K29" s="577"/>
      <c r="L29" s="418">
        <f>SAT!P32</f>
        <v>0.11735454997513675</v>
      </c>
      <c r="M29" s="418"/>
      <c r="N29" s="418"/>
      <c r="O29" s="418"/>
      <c r="P29" s="418"/>
      <c r="Q29" s="629"/>
      <c r="R29" s="630"/>
      <c r="S29" s="630"/>
      <c r="T29" s="630"/>
      <c r="U29" s="631"/>
      <c r="V29" s="714"/>
      <c r="W29" s="715"/>
      <c r="X29" s="715"/>
      <c r="Y29" s="715"/>
      <c r="Z29" s="716"/>
      <c r="AA29" s="705"/>
      <c r="AB29" s="706"/>
      <c r="AC29" s="706"/>
      <c r="AD29" s="707"/>
    </row>
    <row r="30" spans="1:30" ht="20.100000000000001" customHeight="1" x14ac:dyDescent="0.3">
      <c r="A30" s="468"/>
      <c r="B30" s="420" t="s">
        <v>65</v>
      </c>
      <c r="C30" s="421"/>
      <c r="D30" s="422"/>
      <c r="E30" s="420">
        <f>SAT!Q31</f>
        <v>0</v>
      </c>
      <c r="F30" s="421"/>
      <c r="G30" s="422"/>
      <c r="H30" s="414">
        <f>SAT!J31</f>
        <v>0</v>
      </c>
      <c r="I30" s="415"/>
      <c r="J30" s="415"/>
      <c r="K30" s="416"/>
      <c r="L30" s="635">
        <f>SAT!Q32</f>
        <v>0</v>
      </c>
      <c r="M30" s="636"/>
      <c r="N30" s="636"/>
      <c r="O30" s="636"/>
      <c r="P30" s="637"/>
      <c r="Q30" s="632"/>
      <c r="R30" s="633"/>
      <c r="S30" s="633"/>
      <c r="T30" s="633"/>
      <c r="U30" s="634"/>
      <c r="V30" s="717"/>
      <c r="W30" s="718"/>
      <c r="X30" s="718"/>
      <c r="Y30" s="718"/>
      <c r="Z30" s="719"/>
      <c r="AA30" s="708"/>
      <c r="AB30" s="709"/>
      <c r="AC30" s="709"/>
      <c r="AD30" s="710"/>
    </row>
    <row r="31" spans="1:30" ht="20.100000000000001" customHeight="1" x14ac:dyDescent="0.3">
      <c r="A31" s="469"/>
      <c r="B31" s="420" t="s">
        <v>91</v>
      </c>
      <c r="C31" s="421"/>
      <c r="D31" s="422"/>
      <c r="E31" s="420">
        <f>SAT!U16</f>
        <v>47.5</v>
      </c>
      <c r="F31" s="421"/>
      <c r="G31" s="422"/>
      <c r="H31" s="414" t="s">
        <v>92</v>
      </c>
      <c r="I31" s="415"/>
      <c r="J31" s="415"/>
      <c r="K31" s="416"/>
      <c r="L31" s="404">
        <f>SAT!T2</f>
        <v>7</v>
      </c>
      <c r="M31" s="405"/>
      <c r="N31" s="405"/>
      <c r="O31" s="405"/>
      <c r="P31" s="406"/>
      <c r="Q31" s="224"/>
      <c r="R31" s="225"/>
      <c r="S31" s="225"/>
      <c r="T31" s="225"/>
      <c r="U31" s="226"/>
      <c r="V31" s="242"/>
      <c r="W31" s="243"/>
      <c r="X31" s="243"/>
      <c r="Y31" s="243"/>
      <c r="Z31" s="244"/>
      <c r="AA31" s="239"/>
      <c r="AB31" s="240"/>
      <c r="AC31" s="240"/>
      <c r="AD31" s="241"/>
    </row>
    <row r="32" spans="1:30" ht="20.100000000000001" customHeight="1" x14ac:dyDescent="0.3">
      <c r="A32" s="470" t="s">
        <v>71</v>
      </c>
      <c r="B32" s="488" t="s">
        <v>57</v>
      </c>
      <c r="C32" s="409"/>
      <c r="D32" s="409"/>
      <c r="E32" s="409">
        <f>SUN!N31</f>
        <v>1</v>
      </c>
      <c r="F32" s="409"/>
      <c r="G32" s="409"/>
      <c r="H32" s="410">
        <f>SUN!S31</f>
        <v>150</v>
      </c>
      <c r="I32" s="410"/>
      <c r="J32" s="410"/>
      <c r="K32" s="410"/>
      <c r="L32" s="411">
        <f>SUN!N32</f>
        <v>6.8524440383736868E-2</v>
      </c>
      <c r="M32" s="411"/>
      <c r="N32" s="411"/>
      <c r="O32" s="411"/>
      <c r="P32" s="411"/>
      <c r="Q32" s="686">
        <f>SUM(E32:G35)</f>
        <v>24</v>
      </c>
      <c r="R32" s="686"/>
      <c r="S32" s="686"/>
      <c r="T32" s="686"/>
      <c r="U32" s="686"/>
      <c r="V32" s="744">
        <f>SUM(H32,H33,H35)</f>
        <v>2285</v>
      </c>
      <c r="W32" s="744"/>
      <c r="X32" s="744"/>
      <c r="Y32" s="744"/>
      <c r="Z32" s="744"/>
      <c r="AA32" s="758">
        <f>V32/Q32</f>
        <v>95.208333333333329</v>
      </c>
      <c r="AB32" s="758"/>
      <c r="AC32" s="758"/>
      <c r="AD32" s="758"/>
    </row>
    <row r="33" spans="1:30" ht="20.100000000000001" customHeight="1" x14ac:dyDescent="0.3">
      <c r="A33" s="471"/>
      <c r="B33" s="488" t="s">
        <v>58</v>
      </c>
      <c r="C33" s="409"/>
      <c r="D33" s="409"/>
      <c r="E33" s="409">
        <f>SUN!O31</f>
        <v>15</v>
      </c>
      <c r="F33" s="409"/>
      <c r="G33" s="409"/>
      <c r="H33" s="410">
        <f>SUN!S32</f>
        <v>1970</v>
      </c>
      <c r="I33" s="410"/>
      <c r="J33" s="410"/>
      <c r="K33" s="410"/>
      <c r="L33" s="411">
        <f>SUN!O32</f>
        <v>0.72864321608040206</v>
      </c>
      <c r="M33" s="411"/>
      <c r="N33" s="411"/>
      <c r="O33" s="411"/>
      <c r="P33" s="411"/>
      <c r="Q33" s="686"/>
      <c r="R33" s="686"/>
      <c r="S33" s="686"/>
      <c r="T33" s="686"/>
      <c r="U33" s="686"/>
      <c r="V33" s="744"/>
      <c r="W33" s="744"/>
      <c r="X33" s="744"/>
      <c r="Y33" s="744"/>
      <c r="Z33" s="744"/>
      <c r="AA33" s="758"/>
      <c r="AB33" s="758"/>
      <c r="AC33" s="758"/>
      <c r="AD33" s="758"/>
    </row>
    <row r="34" spans="1:30" ht="20.100000000000001" customHeight="1" x14ac:dyDescent="0.3">
      <c r="A34" s="471"/>
      <c r="B34" s="488" t="s">
        <v>45</v>
      </c>
      <c r="C34" s="409"/>
      <c r="D34" s="409"/>
      <c r="E34" s="409">
        <f>SUN!P31</f>
        <v>6</v>
      </c>
      <c r="F34" s="409"/>
      <c r="G34" s="409"/>
      <c r="H34" s="410">
        <f>SUN!K31</f>
        <v>279</v>
      </c>
      <c r="I34" s="410"/>
      <c r="J34" s="410"/>
      <c r="K34" s="410"/>
      <c r="L34" s="411">
        <f>SUN!P32</f>
        <v>0.12745545911375056</v>
      </c>
      <c r="M34" s="411"/>
      <c r="N34" s="411"/>
      <c r="O34" s="411"/>
      <c r="P34" s="411"/>
      <c r="Q34" s="686"/>
      <c r="R34" s="686"/>
      <c r="S34" s="686"/>
      <c r="T34" s="686"/>
      <c r="U34" s="686"/>
      <c r="V34" s="744"/>
      <c r="W34" s="744"/>
      <c r="X34" s="744"/>
      <c r="Y34" s="744"/>
      <c r="Z34" s="744"/>
      <c r="AA34" s="758"/>
      <c r="AB34" s="758"/>
      <c r="AC34" s="758"/>
      <c r="AD34" s="758"/>
    </row>
    <row r="35" spans="1:30" ht="20.100000000000001" customHeight="1" x14ac:dyDescent="0.3">
      <c r="A35" s="471"/>
      <c r="B35" s="488" t="s">
        <v>65</v>
      </c>
      <c r="C35" s="409"/>
      <c r="D35" s="409"/>
      <c r="E35" s="409">
        <f>SUN!Q31</f>
        <v>2</v>
      </c>
      <c r="F35" s="409"/>
      <c r="G35" s="409"/>
      <c r="H35" s="410">
        <f>SUN!J31</f>
        <v>165</v>
      </c>
      <c r="I35" s="410"/>
      <c r="J35" s="410"/>
      <c r="K35" s="410"/>
      <c r="L35" s="411">
        <f>SUN!Q32</f>
        <v>7.5376884422110546E-2</v>
      </c>
      <c r="M35" s="411"/>
      <c r="N35" s="411"/>
      <c r="O35" s="411"/>
      <c r="P35" s="411"/>
      <c r="Q35" s="686"/>
      <c r="R35" s="686"/>
      <c r="S35" s="686"/>
      <c r="T35" s="686"/>
      <c r="U35" s="686"/>
      <c r="V35" s="744"/>
      <c r="W35" s="744"/>
      <c r="X35" s="744"/>
      <c r="Y35" s="744"/>
      <c r="Z35" s="744"/>
      <c r="AA35" s="758"/>
      <c r="AB35" s="758"/>
      <c r="AC35" s="758"/>
      <c r="AD35" s="758"/>
    </row>
    <row r="36" spans="1:30" ht="20.100000000000001" customHeight="1" thickBot="1" x14ac:dyDescent="0.35">
      <c r="A36" s="472"/>
      <c r="B36" s="485" t="s">
        <v>91</v>
      </c>
      <c r="C36" s="486"/>
      <c r="D36" s="487"/>
      <c r="E36" s="485">
        <f>SUN!U16</f>
        <v>57</v>
      </c>
      <c r="F36" s="486"/>
      <c r="G36" s="487"/>
      <c r="H36" s="485" t="s">
        <v>92</v>
      </c>
      <c r="I36" s="486"/>
      <c r="J36" s="486"/>
      <c r="K36" s="487"/>
      <c r="L36" s="759">
        <f>SUN!T2</f>
        <v>7</v>
      </c>
      <c r="M36" s="760"/>
      <c r="N36" s="760"/>
      <c r="O36" s="760"/>
      <c r="P36" s="761"/>
      <c r="Q36" s="683"/>
      <c r="R36" s="684"/>
      <c r="S36" s="684"/>
      <c r="T36" s="684"/>
      <c r="U36" s="685"/>
      <c r="V36" s="747"/>
      <c r="W36" s="748"/>
      <c r="X36" s="748"/>
      <c r="Y36" s="748"/>
      <c r="Z36" s="749"/>
      <c r="AA36" s="750"/>
      <c r="AB36" s="751"/>
      <c r="AC36" s="751"/>
      <c r="AD36" s="752"/>
    </row>
    <row r="37" spans="1:30" ht="16.5" customHeight="1" x14ac:dyDescent="0.3">
      <c r="A37" s="735" t="s">
        <v>72</v>
      </c>
      <c r="B37" s="736"/>
      <c r="C37" s="736"/>
      <c r="D37" s="736"/>
      <c r="E37" s="736" t="s">
        <v>73</v>
      </c>
      <c r="F37" s="736"/>
      <c r="G37" s="736"/>
      <c r="H37" s="736"/>
      <c r="I37" s="736"/>
      <c r="J37" s="736"/>
      <c r="K37" s="736" t="s">
        <v>74</v>
      </c>
      <c r="L37" s="736"/>
      <c r="M37" s="736"/>
      <c r="N37" s="736"/>
      <c r="O37" s="736" t="s">
        <v>65</v>
      </c>
      <c r="P37" s="736"/>
      <c r="Q37" s="736"/>
      <c r="R37" s="736"/>
      <c r="S37" s="736"/>
      <c r="T37" s="736" t="s">
        <v>75</v>
      </c>
      <c r="U37" s="736"/>
      <c r="V37" s="736"/>
      <c r="W37" s="736"/>
      <c r="X37" s="736"/>
      <c r="Y37" s="736" t="s">
        <v>76</v>
      </c>
      <c r="Z37" s="736"/>
      <c r="AA37" s="736"/>
      <c r="AB37" s="736"/>
      <c r="AC37" s="736"/>
      <c r="AD37" s="745"/>
    </row>
    <row r="38" spans="1:30" ht="16.5" customHeight="1" x14ac:dyDescent="0.3">
      <c r="A38" s="737"/>
      <c r="B38" s="738"/>
      <c r="C38" s="738"/>
      <c r="D38" s="738"/>
      <c r="E38" s="738"/>
      <c r="F38" s="738"/>
      <c r="G38" s="738"/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8"/>
      <c r="Y38" s="738"/>
      <c r="Z38" s="738"/>
      <c r="AA38" s="738"/>
      <c r="AB38" s="738"/>
      <c r="AC38" s="738"/>
      <c r="AD38" s="746"/>
    </row>
    <row r="39" spans="1:30" ht="16.5" customHeight="1" x14ac:dyDescent="0.3">
      <c r="A39" s="739">
        <f>SUM(Q2:U35)</f>
        <v>109</v>
      </c>
      <c r="B39" s="740"/>
      <c r="C39" s="740"/>
      <c r="D39" s="740"/>
      <c r="E39" s="743">
        <f>SUM(V2:Z35)</f>
        <v>12310</v>
      </c>
      <c r="F39" s="740"/>
      <c r="G39" s="740"/>
      <c r="H39" s="740"/>
      <c r="I39" s="740"/>
      <c r="J39" s="740"/>
      <c r="K39" s="743">
        <f>E39/A39</f>
        <v>112.93577981651376</v>
      </c>
      <c r="L39" s="740"/>
      <c r="M39" s="740"/>
      <c r="N39" s="740"/>
      <c r="O39" s="740">
        <f>SUM(MON:SUN!Q31)</f>
        <v>3</v>
      </c>
      <c r="P39" s="740"/>
      <c r="Q39" s="740"/>
      <c r="R39" s="740"/>
      <c r="S39" s="740"/>
      <c r="T39" s="740">
        <f>SUM(MON:SUN!P31)</f>
        <v>19</v>
      </c>
      <c r="U39" s="740"/>
      <c r="V39" s="740"/>
      <c r="W39" s="740"/>
      <c r="X39" s="740"/>
      <c r="Y39" s="740">
        <f>SUM(MON:SUN!S19)</f>
        <v>6</v>
      </c>
      <c r="Z39" s="740"/>
      <c r="AA39" s="740"/>
      <c r="AB39" s="740"/>
      <c r="AC39" s="740"/>
      <c r="AD39" s="755"/>
    </row>
    <row r="40" spans="1:30" ht="16.5" customHeight="1" x14ac:dyDescent="0.3">
      <c r="A40" s="739"/>
      <c r="B40" s="740"/>
      <c r="C40" s="740"/>
      <c r="D40" s="740"/>
      <c r="E40" s="740"/>
      <c r="F40" s="740"/>
      <c r="G40" s="740"/>
      <c r="H40" s="740"/>
      <c r="I40" s="740"/>
      <c r="J40" s="740"/>
      <c r="K40" s="740"/>
      <c r="L40" s="740"/>
      <c r="M40" s="740"/>
      <c r="N40" s="740"/>
      <c r="O40" s="740"/>
      <c r="P40" s="740"/>
      <c r="Q40" s="740"/>
      <c r="R40" s="740"/>
      <c r="S40" s="740"/>
      <c r="T40" s="740"/>
      <c r="U40" s="740"/>
      <c r="V40" s="740"/>
      <c r="W40" s="740"/>
      <c r="X40" s="740"/>
      <c r="Y40" s="740"/>
      <c r="Z40" s="740"/>
      <c r="AA40" s="740"/>
      <c r="AB40" s="740"/>
      <c r="AC40" s="740"/>
      <c r="AD40" s="755"/>
    </row>
    <row r="41" spans="1:30" ht="16.5" customHeight="1" x14ac:dyDescent="0.3">
      <c r="A41" s="739"/>
      <c r="B41" s="740"/>
      <c r="C41" s="740"/>
      <c r="D41" s="740"/>
      <c r="E41" s="740"/>
      <c r="F41" s="740"/>
      <c r="G41" s="740"/>
      <c r="H41" s="740"/>
      <c r="I41" s="740"/>
      <c r="J41" s="740"/>
      <c r="K41" s="740"/>
      <c r="L41" s="740"/>
      <c r="M41" s="740"/>
      <c r="N41" s="740"/>
      <c r="O41" s="753">
        <f>SUM(MON:SUN!J31)</f>
        <v>215</v>
      </c>
      <c r="P41" s="753"/>
      <c r="Q41" s="753"/>
      <c r="R41" s="753"/>
      <c r="S41" s="753"/>
      <c r="T41" s="753">
        <f>SUM(MON:SUN!K31)</f>
        <v>1169.3000000000002</v>
      </c>
      <c r="U41" s="753"/>
      <c r="V41" s="753"/>
      <c r="W41" s="753"/>
      <c r="X41" s="753"/>
      <c r="Y41" s="753">
        <f>SUM(MON:SUN!T19)</f>
        <v>2350</v>
      </c>
      <c r="Z41" s="753"/>
      <c r="AA41" s="753"/>
      <c r="AB41" s="753"/>
      <c r="AC41" s="753"/>
      <c r="AD41" s="756"/>
    </row>
    <row r="42" spans="1:30" ht="16.5" customHeight="1" thickBot="1" x14ac:dyDescent="0.35">
      <c r="A42" s="741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54"/>
      <c r="P42" s="754"/>
      <c r="Q42" s="754"/>
      <c r="R42" s="754"/>
      <c r="S42" s="754"/>
      <c r="T42" s="754"/>
      <c r="U42" s="754"/>
      <c r="V42" s="754"/>
      <c r="W42" s="754"/>
      <c r="X42" s="754"/>
      <c r="Y42" s="754"/>
      <c r="Z42" s="754"/>
      <c r="AA42" s="754"/>
      <c r="AB42" s="754"/>
      <c r="AC42" s="754"/>
      <c r="AD42" s="757"/>
    </row>
    <row r="43" spans="1:30" ht="17.45" customHeight="1" x14ac:dyDescent="0.3">
      <c r="A43" s="508" t="s">
        <v>84</v>
      </c>
      <c r="B43" s="509"/>
      <c r="C43" s="509"/>
      <c r="D43" s="509"/>
      <c r="E43" s="510"/>
      <c r="F43" s="508" t="s">
        <v>85</v>
      </c>
      <c r="G43" s="509"/>
      <c r="H43" s="509"/>
      <c r="I43" s="509"/>
      <c r="J43" s="510"/>
      <c r="K43" s="508" t="s">
        <v>86</v>
      </c>
      <c r="L43" s="509"/>
      <c r="M43" s="509"/>
      <c r="N43" s="509"/>
      <c r="O43" s="510"/>
      <c r="P43" s="508" t="s">
        <v>87</v>
      </c>
      <c r="Q43" s="509"/>
      <c r="R43" s="509"/>
      <c r="S43" s="509"/>
      <c r="T43" s="510"/>
      <c r="U43" s="508" t="s">
        <v>89</v>
      </c>
      <c r="V43" s="509"/>
      <c r="W43" s="509"/>
      <c r="X43" s="509"/>
      <c r="Y43" s="510"/>
      <c r="Z43" s="514" t="s">
        <v>92</v>
      </c>
      <c r="AA43" s="515"/>
      <c r="AB43" s="515"/>
      <c r="AC43" s="515"/>
      <c r="AD43" s="516"/>
    </row>
    <row r="44" spans="1:30" ht="17.45" customHeight="1" x14ac:dyDescent="0.3">
      <c r="A44" s="511"/>
      <c r="B44" s="512"/>
      <c r="C44" s="512"/>
      <c r="D44" s="512"/>
      <c r="E44" s="513"/>
      <c r="F44" s="511"/>
      <c r="G44" s="512"/>
      <c r="H44" s="512"/>
      <c r="I44" s="512"/>
      <c r="J44" s="513"/>
      <c r="K44" s="511"/>
      <c r="L44" s="512"/>
      <c r="M44" s="512"/>
      <c r="N44" s="512"/>
      <c r="O44" s="513"/>
      <c r="P44" s="511"/>
      <c r="Q44" s="512"/>
      <c r="R44" s="512"/>
      <c r="S44" s="512"/>
      <c r="T44" s="513"/>
      <c r="U44" s="511"/>
      <c r="V44" s="512"/>
      <c r="W44" s="512"/>
      <c r="X44" s="512"/>
      <c r="Y44" s="513"/>
      <c r="Z44" s="517"/>
      <c r="AA44" s="518"/>
      <c r="AB44" s="518"/>
      <c r="AC44" s="518"/>
      <c r="AD44" s="519"/>
    </row>
    <row r="45" spans="1:30" x14ac:dyDescent="0.3">
      <c r="A45" s="520">
        <f>SUM(H2,H7,H12,H17,H22,H27,H32)</f>
        <v>1455</v>
      </c>
      <c r="B45" s="521"/>
      <c r="C45" s="521"/>
      <c r="D45" s="521"/>
      <c r="E45" s="522"/>
      <c r="F45" s="520">
        <f>SUM(,H3,H8,H13,H18,H23,H28,H33)</f>
        <v>10640</v>
      </c>
      <c r="G45" s="521"/>
      <c r="H45" s="521"/>
      <c r="I45" s="521"/>
      <c r="J45" s="522"/>
      <c r="K45" s="520">
        <f>SUM(H5,H10,H15,H20,H25,H30,H35)</f>
        <v>215</v>
      </c>
      <c r="L45" s="521"/>
      <c r="M45" s="521"/>
      <c r="N45" s="521"/>
      <c r="O45" s="522"/>
      <c r="P45" s="520">
        <f>SUM(H4,H9,H14,H19,H24,H29,H34)</f>
        <v>1169.3000000000002</v>
      </c>
      <c r="Q45" s="521"/>
      <c r="R45" s="521"/>
      <c r="S45" s="521"/>
      <c r="T45" s="522"/>
      <c r="U45" s="499">
        <f>SUM(E6,E11,E16,E21,E26,E31,E36)</f>
        <v>299.66666666666669</v>
      </c>
      <c r="V45" s="500"/>
      <c r="W45" s="500"/>
      <c r="X45" s="500"/>
      <c r="Y45" s="529"/>
      <c r="Z45" s="532">
        <f>SUM(L6,L11,L16,L21,L26,L31,L36)</f>
        <v>40</v>
      </c>
      <c r="AA45" s="521"/>
      <c r="AB45" s="521"/>
      <c r="AC45" s="521"/>
      <c r="AD45" s="533"/>
    </row>
    <row r="46" spans="1:30" x14ac:dyDescent="0.3">
      <c r="A46" s="523"/>
      <c r="B46" s="524"/>
      <c r="C46" s="524"/>
      <c r="D46" s="524"/>
      <c r="E46" s="525"/>
      <c r="F46" s="523"/>
      <c r="G46" s="524"/>
      <c r="H46" s="524"/>
      <c r="I46" s="524"/>
      <c r="J46" s="525"/>
      <c r="K46" s="523"/>
      <c r="L46" s="524"/>
      <c r="M46" s="524"/>
      <c r="N46" s="524"/>
      <c r="O46" s="525"/>
      <c r="P46" s="523"/>
      <c r="Q46" s="524"/>
      <c r="R46" s="524"/>
      <c r="S46" s="524"/>
      <c r="T46" s="525"/>
      <c r="U46" s="502"/>
      <c r="V46" s="503"/>
      <c r="W46" s="503"/>
      <c r="X46" s="503"/>
      <c r="Y46" s="530"/>
      <c r="Z46" s="523"/>
      <c r="AA46" s="524"/>
      <c r="AB46" s="524"/>
      <c r="AC46" s="524"/>
      <c r="AD46" s="534"/>
    </row>
    <row r="47" spans="1:30" x14ac:dyDescent="0.3">
      <c r="A47" s="523"/>
      <c r="B47" s="524"/>
      <c r="C47" s="524"/>
      <c r="D47" s="524"/>
      <c r="E47" s="525"/>
      <c r="F47" s="523"/>
      <c r="G47" s="524"/>
      <c r="H47" s="524"/>
      <c r="I47" s="524"/>
      <c r="J47" s="525"/>
      <c r="K47" s="523"/>
      <c r="L47" s="524"/>
      <c r="M47" s="524"/>
      <c r="N47" s="524"/>
      <c r="O47" s="525"/>
      <c r="P47" s="523"/>
      <c r="Q47" s="524"/>
      <c r="R47" s="524"/>
      <c r="S47" s="524"/>
      <c r="T47" s="525"/>
      <c r="U47" s="502"/>
      <c r="V47" s="503"/>
      <c r="W47" s="503"/>
      <c r="X47" s="503"/>
      <c r="Y47" s="530"/>
      <c r="Z47" s="523"/>
      <c r="AA47" s="524"/>
      <c r="AB47" s="524"/>
      <c r="AC47" s="524"/>
      <c r="AD47" s="534"/>
    </row>
    <row r="48" spans="1:30" ht="17.25" thickBot="1" x14ac:dyDescent="0.35">
      <c r="A48" s="526"/>
      <c r="B48" s="527"/>
      <c r="C48" s="527"/>
      <c r="D48" s="527"/>
      <c r="E48" s="528"/>
      <c r="F48" s="526"/>
      <c r="G48" s="527"/>
      <c r="H48" s="527"/>
      <c r="I48" s="527"/>
      <c r="J48" s="528"/>
      <c r="K48" s="526"/>
      <c r="L48" s="527"/>
      <c r="M48" s="527"/>
      <c r="N48" s="527"/>
      <c r="O48" s="528"/>
      <c r="P48" s="526"/>
      <c r="Q48" s="527"/>
      <c r="R48" s="527"/>
      <c r="S48" s="527"/>
      <c r="T48" s="528"/>
      <c r="U48" s="505"/>
      <c r="V48" s="506"/>
      <c r="W48" s="506"/>
      <c r="X48" s="506"/>
      <c r="Y48" s="531"/>
      <c r="Z48" s="526"/>
      <c r="AA48" s="527"/>
      <c r="AB48" s="527"/>
      <c r="AC48" s="527"/>
      <c r="AD48" s="535"/>
    </row>
    <row r="49" spans="1:30" ht="17.45" customHeight="1" x14ac:dyDescent="0.3">
      <c r="A49" s="490">
        <f>A45/E39</f>
        <v>0.11819658813972381</v>
      </c>
      <c r="B49" s="491"/>
      <c r="C49" s="491"/>
      <c r="D49" s="491"/>
      <c r="E49" s="492"/>
      <c r="F49" s="490">
        <f>F45/E39</f>
        <v>0.86433793663688063</v>
      </c>
      <c r="G49" s="491"/>
      <c r="H49" s="491"/>
      <c r="I49" s="491"/>
      <c r="J49" s="492"/>
      <c r="K49" s="490">
        <f>K45/E39</f>
        <v>1.7465475223395612E-2</v>
      </c>
      <c r="L49" s="491"/>
      <c r="M49" s="491"/>
      <c r="N49" s="491"/>
      <c r="O49" s="492"/>
      <c r="P49" s="490">
        <f>P45/E39</f>
        <v>9.4987814784727884E-2</v>
      </c>
      <c r="Q49" s="491"/>
      <c r="R49" s="491"/>
      <c r="S49" s="491"/>
      <c r="T49" s="492"/>
      <c r="U49" s="499">
        <f>U45/7</f>
        <v>42.80952380952381</v>
      </c>
      <c r="V49" s="500"/>
      <c r="W49" s="500"/>
      <c r="X49" s="500"/>
      <c r="Y49" s="501"/>
      <c r="Z49" s="499">
        <f>U45/Z45</f>
        <v>7.4916666666666671</v>
      </c>
      <c r="AA49" s="500"/>
      <c r="AB49" s="500"/>
      <c r="AC49" s="500"/>
      <c r="AD49" s="501"/>
    </row>
    <row r="50" spans="1:30" ht="17.45" customHeight="1" x14ac:dyDescent="0.3">
      <c r="A50" s="493"/>
      <c r="B50" s="494"/>
      <c r="C50" s="494"/>
      <c r="D50" s="494"/>
      <c r="E50" s="495"/>
      <c r="F50" s="493"/>
      <c r="G50" s="494"/>
      <c r="H50" s="494"/>
      <c r="I50" s="494"/>
      <c r="J50" s="495"/>
      <c r="K50" s="493"/>
      <c r="L50" s="494"/>
      <c r="M50" s="494"/>
      <c r="N50" s="494"/>
      <c r="O50" s="495"/>
      <c r="P50" s="493"/>
      <c r="Q50" s="494"/>
      <c r="R50" s="494"/>
      <c r="S50" s="494"/>
      <c r="T50" s="495"/>
      <c r="U50" s="502"/>
      <c r="V50" s="503"/>
      <c r="W50" s="503"/>
      <c r="X50" s="503"/>
      <c r="Y50" s="504"/>
      <c r="Z50" s="502"/>
      <c r="AA50" s="503"/>
      <c r="AB50" s="503"/>
      <c r="AC50" s="503"/>
      <c r="AD50" s="504"/>
    </row>
    <row r="51" spans="1:30" ht="17.45" customHeight="1" x14ac:dyDescent="0.3">
      <c r="A51" s="493"/>
      <c r="B51" s="494"/>
      <c r="C51" s="494"/>
      <c r="D51" s="494"/>
      <c r="E51" s="495"/>
      <c r="F51" s="493"/>
      <c r="G51" s="494"/>
      <c r="H51" s="494"/>
      <c r="I51" s="494"/>
      <c r="J51" s="495"/>
      <c r="K51" s="493"/>
      <c r="L51" s="494"/>
      <c r="M51" s="494"/>
      <c r="N51" s="494"/>
      <c r="O51" s="495"/>
      <c r="P51" s="493"/>
      <c r="Q51" s="494"/>
      <c r="R51" s="494"/>
      <c r="S51" s="494"/>
      <c r="T51" s="495"/>
      <c r="U51" s="502"/>
      <c r="V51" s="503"/>
      <c r="W51" s="503"/>
      <c r="X51" s="503"/>
      <c r="Y51" s="504"/>
      <c r="Z51" s="502"/>
      <c r="AA51" s="503"/>
      <c r="AB51" s="503"/>
      <c r="AC51" s="503"/>
      <c r="AD51" s="504"/>
    </row>
    <row r="52" spans="1:30" ht="18" customHeight="1" thickBot="1" x14ac:dyDescent="0.35">
      <c r="A52" s="496"/>
      <c r="B52" s="497"/>
      <c r="C52" s="497"/>
      <c r="D52" s="497"/>
      <c r="E52" s="498"/>
      <c r="F52" s="496"/>
      <c r="G52" s="497"/>
      <c r="H52" s="497"/>
      <c r="I52" s="497"/>
      <c r="J52" s="498"/>
      <c r="K52" s="496"/>
      <c r="L52" s="497"/>
      <c r="M52" s="497"/>
      <c r="N52" s="497"/>
      <c r="O52" s="498"/>
      <c r="P52" s="496"/>
      <c r="Q52" s="497"/>
      <c r="R52" s="497"/>
      <c r="S52" s="497"/>
      <c r="T52" s="498"/>
      <c r="U52" s="505"/>
      <c r="V52" s="506"/>
      <c r="W52" s="506"/>
      <c r="X52" s="506"/>
      <c r="Y52" s="507"/>
      <c r="Z52" s="505"/>
      <c r="AA52" s="506"/>
      <c r="AB52" s="506"/>
      <c r="AC52" s="506"/>
      <c r="AD52" s="507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CFC1-E240-41D7-8492-60277956D22A}">
  <dimension ref="A1:B6"/>
  <sheetViews>
    <sheetView workbookViewId="0">
      <selection activeCell="B7" sqref="B7"/>
    </sheetView>
  </sheetViews>
  <sheetFormatPr defaultRowHeight="16.5" x14ac:dyDescent="0.3"/>
  <cols>
    <col min="1" max="1" width="11.5" customWidth="1"/>
    <col min="2" max="2" width="13.25" style="263" customWidth="1"/>
  </cols>
  <sheetData>
    <row r="1" spans="1:2" ht="17.25" thickBot="1" x14ac:dyDescent="0.35">
      <c r="A1" s="253" t="s">
        <v>7</v>
      </c>
      <c r="B1" s="264" t="s">
        <v>88</v>
      </c>
    </row>
    <row r="2" spans="1:2" x14ac:dyDescent="0.3">
      <c r="A2" t="s">
        <v>98</v>
      </c>
      <c r="B2" s="263">
        <v>404113366</v>
      </c>
    </row>
    <row r="3" spans="1:2" x14ac:dyDescent="0.3">
      <c r="A3" t="s">
        <v>99</v>
      </c>
      <c r="B3" s="263">
        <v>447514956</v>
      </c>
    </row>
    <row r="5" spans="1:2" x14ac:dyDescent="0.3">
      <c r="A5" t="s">
        <v>100</v>
      </c>
      <c r="B5" s="263">
        <v>449988448</v>
      </c>
    </row>
    <row r="6" spans="1:2" x14ac:dyDescent="0.3">
      <c r="A6" t="s">
        <v>101</v>
      </c>
      <c r="B6" s="263">
        <v>408417669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B0D8B57F-F63A-4D42-8375-65784F889C3A}"/>
</file>

<file path=customXml/itemProps2.xml><?xml version="1.0" encoding="utf-8"?>
<ds:datastoreItem xmlns:ds="http://schemas.openxmlformats.org/officeDocument/2006/customXml" ds:itemID="{A86A0BB3-8EC8-4889-8D0C-5AD63C3D57B8}"/>
</file>

<file path=customXml/itemProps3.xml><?xml version="1.0" encoding="utf-8"?>
<ds:datastoreItem xmlns:ds="http://schemas.openxmlformats.org/officeDocument/2006/customXml" ds:itemID="{B87AA731-5588-4780-A879-423B39CE1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Sheet2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2022-02-13T20:51:07Z</cp:lastPrinted>
  <dcterms:created xsi:type="dcterms:W3CDTF">2011-11-24T03:16:40Z</dcterms:created>
  <dcterms:modified xsi:type="dcterms:W3CDTF">2022-02-14T22:01:22Z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