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A1EFC8E4-AEE6-4202-A579-595B0A5C0D1C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H23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J8" i="2"/>
  <c r="U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L31" i="3"/>
  <c r="M30" i="3"/>
  <c r="M31" i="3" s="1"/>
  <c r="L30" i="3"/>
  <c r="I30" i="3"/>
  <c r="I31" i="3" s="1"/>
  <c r="H30" i="3"/>
  <c r="H31" i="3" s="1"/>
  <c r="K29" i="3"/>
  <c r="J29" i="3"/>
  <c r="K28" i="3"/>
  <c r="J28" i="3"/>
  <c r="K27" i="3"/>
  <c r="J27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J17" i="3"/>
  <c r="K16" i="3"/>
  <c r="J16" i="3"/>
  <c r="U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U13" i="4"/>
  <c r="K13" i="4"/>
  <c r="J13" i="4"/>
  <c r="U12" i="4"/>
  <c r="K12" i="4"/>
  <c r="J12" i="4"/>
  <c r="U11" i="4"/>
  <c r="J11" i="4"/>
  <c r="U10" i="4"/>
  <c r="K10" i="4"/>
  <c r="J10" i="4"/>
  <c r="U9" i="4"/>
  <c r="K9" i="4"/>
  <c r="J9" i="4"/>
  <c r="U8" i="4"/>
  <c r="J8" i="4"/>
  <c r="U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K30" i="2" l="1"/>
  <c r="K31" i="2" s="1"/>
  <c r="H34" i="8" s="1"/>
  <c r="J30" i="2"/>
  <c r="J31" i="2" s="1"/>
  <c r="U16" i="2"/>
  <c r="E36" i="8" s="1"/>
  <c r="J30" i="1"/>
  <c r="J31" i="1" s="1"/>
  <c r="K30" i="1"/>
  <c r="K31" i="1" s="1"/>
  <c r="S32" i="3"/>
  <c r="U16" i="1"/>
  <c r="E31" i="8" s="1"/>
  <c r="U16" i="3"/>
  <c r="S16" i="3" s="1"/>
  <c r="K30" i="3"/>
  <c r="K31" i="3" s="1"/>
  <c r="J30" i="3"/>
  <c r="J31" i="3" s="1"/>
  <c r="U16" i="4"/>
  <c r="S16" i="4" s="1"/>
  <c r="S32" i="4"/>
  <c r="H18" i="8" s="1"/>
  <c r="K30" i="4"/>
  <c r="K31" i="4" s="1"/>
  <c r="J30" i="4"/>
  <c r="J31" i="4" s="1"/>
  <c r="U16" i="5"/>
  <c r="J30" i="5"/>
  <c r="J31" i="5" s="1"/>
  <c r="K30" i="5"/>
  <c r="K31" i="5" s="1"/>
  <c r="U16" i="6"/>
  <c r="R16" i="6" s="1"/>
  <c r="J30" i="6"/>
  <c r="J31" i="6" s="1"/>
  <c r="K30" i="6"/>
  <c r="K31" i="6" s="1"/>
  <c r="AD25" i="2"/>
  <c r="AI25" i="2"/>
  <c r="S16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16" i="5"/>
  <c r="R16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5" i="8"/>
  <c r="V32" i="8" s="1"/>
  <c r="R16" i="2"/>
  <c r="C32" i="1"/>
  <c r="O32" i="1" s="1"/>
  <c r="R16" i="1"/>
  <c r="S16" i="1"/>
  <c r="E26" i="8"/>
  <c r="R16" i="3"/>
  <c r="C32" i="3"/>
  <c r="O32" i="3" s="1"/>
  <c r="R16" i="4"/>
  <c r="C32" i="4"/>
  <c r="T16" i="4" s="1"/>
  <c r="C32" i="5"/>
  <c r="P32" i="5" s="1"/>
  <c r="S16" i="6"/>
  <c r="E11" i="8"/>
  <c r="U25" i="1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N32" i="2" l="1"/>
  <c r="L32" i="8" s="1"/>
  <c r="T16" i="2"/>
  <c r="K32" i="2"/>
  <c r="P32" i="2"/>
  <c r="L34" i="8" s="1"/>
  <c r="U25" i="2"/>
  <c r="Q32" i="2"/>
  <c r="L35" i="8" s="1"/>
  <c r="Q32" i="1"/>
  <c r="T16" i="1"/>
  <c r="K32" i="1"/>
  <c r="N32" i="1"/>
  <c r="P32" i="1"/>
  <c r="U25" i="3"/>
  <c r="Q32" i="3"/>
  <c r="L25" i="8" s="1"/>
  <c r="P32" i="3"/>
  <c r="L24" i="8" s="1"/>
  <c r="K32" i="3"/>
  <c r="N32" i="3"/>
  <c r="L22" i="8" s="1"/>
  <c r="T16" i="3"/>
  <c r="U25" i="4"/>
  <c r="N32" i="4"/>
  <c r="O32" i="4"/>
  <c r="P32" i="4"/>
  <c r="K32" i="4"/>
  <c r="Q32" i="4"/>
  <c r="U25" i="5"/>
  <c r="Q32" i="5"/>
  <c r="K32" i="5"/>
  <c r="O32" i="5"/>
  <c r="N32" i="5"/>
  <c r="T16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<sst xmlns="http://schemas.openxmlformats.org/spreadsheetml/2006/main" count="1819" uniqueCount="436">
  <si>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</si>
  <si>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</si>
  <si>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</si>
  <si>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</si>
  <si>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</si>
  <si>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</si>
  <si>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</si>
  <si>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</si>
  <si>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</si>
  <si>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</si>
  <si>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</si>
  <si>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</si>
  <si>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</si>
  <si>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</si>
  <si>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</si>
  <si>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</si>
  <si>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</si>
  <si>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</si>
  <si>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</si>
  <si>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</si>
  <si>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</si>
  <si>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</si>
  <si>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</si>
  <si>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</si>
  <si>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</si>
  <si>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</si>
  <si>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</si>
  <si>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</si>
  <si>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</si>
  <si>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</si>
  <si>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</si>
  <si>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</si>
  <si>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</si>
  <si>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</si>
  <si>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</si>
  <si>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</si>
  <si>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</si>
  <si>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</si>
  <si>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</si>
  <si>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</si>
  <si>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</si>
  <si>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</si>
  <si>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</si>
  <si>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</si>
  <si>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</si>
  <si>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</si>
  <si>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</si>
  <si>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</si>
  <si>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</si>
  <si>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</si>
  <si>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</si>
  <si>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</si>
  <si>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</si>
  <si>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</si>
  <si>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</si>
  <si>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</si>
  <si>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</si>
  <si>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</si>
  <si>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</si>
  <si>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</si>
  <si>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</si>
  <si>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</si>
  <si>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</si>
  <si>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</si>
  <si>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</si>
  <si>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</si>
  <si>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</si>
  <si>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</si>
  <si>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</si>
  <si>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</si>
  <si>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</si>
  <si>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</si>
  <si>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</si>
  <si>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</si>
  <si>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</si>
  <si>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</si>
  <si>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</si>
  <si>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</si>
  <si>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</si>
  <si>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</si>
  <si>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</si>
  <si>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</si>
  <si>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</si>
  <si>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</si>
  <si>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</si>
  <si>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</si>
  <si>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</si>
  <si>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</si>
  <si>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</si>
  <si>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</si>
  <si>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</si>
  <si>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</si>
  <si>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</si>
  <si>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</si>
  <si>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</si>
  <si>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</si>
  <si>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</si>
  <si>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14-02-2022</t>
    <phoneticPr fontId="5" type="noConversion"/>
  </si>
  <si>
    <t>15-02-2022</t>
    <phoneticPr fontId="5" type="noConversion"/>
  </si>
  <si>
    <t>16-02-2022</t>
    <phoneticPr fontId="5" type="noConversion"/>
  </si>
  <si>
    <t>17-02-2022</t>
    <phoneticPr fontId="5" type="noConversion"/>
  </si>
  <si>
    <t>18-02-2022</t>
    <phoneticPr fontId="5" type="noConversion"/>
  </si>
  <si>
    <t>19-02-2022</t>
    <phoneticPr fontId="5" type="noConversion"/>
  </si>
  <si>
    <t>20-02-2022</t>
    <phoneticPr fontId="5" type="noConversion"/>
  </si>
  <si>
    <t>CLOUDY</t>
    <phoneticPr fontId="5" type="noConversion"/>
  </si>
  <si>
    <t>HENDRA</t>
    <phoneticPr fontId="5" type="noConversion"/>
  </si>
  <si>
    <t>JUNIOR</t>
    <phoneticPr fontId="5" type="noConversion"/>
  </si>
  <si>
    <t>ARIANTO</t>
    <phoneticPr fontId="5" type="noConversion"/>
  </si>
  <si>
    <t>HEATHER</t>
    <phoneticPr fontId="5" type="noConversion"/>
  </si>
  <si>
    <t>KUROSH</t>
    <phoneticPr fontId="5" type="noConversion"/>
  </si>
  <si>
    <t>ANTHONY</t>
    <phoneticPr fontId="5" type="noConversion"/>
  </si>
  <si>
    <t>GENDER</t>
    <phoneticPr fontId="5" type="noConversion"/>
  </si>
  <si>
    <t>D</t>
    <phoneticPr fontId="5" type="noConversion"/>
  </si>
  <si>
    <t>DMJ87F</t>
    <phoneticPr fontId="5" type="noConversion"/>
  </si>
  <si>
    <t>0425373221</t>
    <phoneticPr fontId="5" type="noConversion"/>
  </si>
  <si>
    <t>GV1</t>
    <phoneticPr fontId="5" type="noConversion"/>
  </si>
  <si>
    <t>JKD988</t>
    <phoneticPr fontId="5" type="noConversion"/>
  </si>
  <si>
    <t>0412822216</t>
    <phoneticPr fontId="5" type="noConversion"/>
  </si>
  <si>
    <t>CQA91H</t>
    <phoneticPr fontId="5" type="noConversion"/>
  </si>
  <si>
    <t>0404086706</t>
    <phoneticPr fontId="5" type="noConversion"/>
  </si>
  <si>
    <t>EKX62Y</t>
    <phoneticPr fontId="5" type="noConversion"/>
  </si>
  <si>
    <t>0431363338</t>
    <phoneticPr fontId="5" type="noConversion"/>
  </si>
  <si>
    <t>EJX89L</t>
    <phoneticPr fontId="5" type="noConversion"/>
  </si>
  <si>
    <t>0432180139</t>
    <phoneticPr fontId="5" type="noConversion"/>
  </si>
  <si>
    <t>BJ1688</t>
    <phoneticPr fontId="5" type="noConversion"/>
  </si>
  <si>
    <t>0414626818</t>
    <phoneticPr fontId="5" type="noConversion"/>
  </si>
  <si>
    <t>EJT86S</t>
    <phoneticPr fontId="5" type="noConversion"/>
  </si>
  <si>
    <t>0477187696</t>
    <phoneticPr fontId="5" type="noConversion"/>
  </si>
  <si>
    <t>H</t>
    <phoneticPr fontId="5" type="noConversion"/>
  </si>
  <si>
    <t>TAX</t>
    <phoneticPr fontId="5" type="noConversion"/>
  </si>
  <si>
    <t>IRX71X</t>
    <phoneticPr fontId="5" type="noConversion"/>
  </si>
  <si>
    <t>0414600886</t>
    <phoneticPr fontId="5" type="noConversion"/>
  </si>
  <si>
    <t>X</t>
    <phoneticPr fontId="5" type="noConversion"/>
  </si>
  <si>
    <t>EGH05H</t>
    <phoneticPr fontId="5" type="noConversion"/>
  </si>
  <si>
    <t>DMF83U</t>
    <phoneticPr fontId="5" type="noConversion"/>
  </si>
  <si>
    <t>0428928615</t>
    <phoneticPr fontId="5" type="noConversion"/>
  </si>
  <si>
    <t>ENH96Q</t>
    <phoneticPr fontId="5" type="noConversion"/>
  </si>
  <si>
    <t>WO</t>
    <phoneticPr fontId="5" type="noConversion"/>
  </si>
  <si>
    <t>DQR19K</t>
    <phoneticPr fontId="5" type="noConversion"/>
  </si>
  <si>
    <t>0419393360</t>
    <phoneticPr fontId="5" type="noConversion"/>
  </si>
  <si>
    <t>EQU75Z</t>
    <phoneticPr fontId="5" type="noConversion"/>
  </si>
  <si>
    <t>PCL</t>
    <phoneticPr fontId="5" type="noConversion"/>
  </si>
  <si>
    <t>0406658883</t>
    <phoneticPr fontId="5" type="noConversion"/>
  </si>
  <si>
    <t>CND55U</t>
    <phoneticPr fontId="5" type="noConversion"/>
  </si>
  <si>
    <t>0425968683</t>
    <phoneticPr fontId="5" type="noConversion"/>
  </si>
  <si>
    <t>DFR60M</t>
    <phoneticPr fontId="5" type="noConversion"/>
  </si>
  <si>
    <t>0414752818</t>
    <phoneticPr fontId="5" type="noConversion"/>
  </si>
  <si>
    <t>CZX67H</t>
    <phoneticPr fontId="5" type="noConversion"/>
  </si>
  <si>
    <t>0411600478</t>
    <phoneticPr fontId="5" type="noConversion"/>
  </si>
  <si>
    <t>PETER</t>
    <phoneticPr fontId="5" type="noConversion"/>
  </si>
  <si>
    <t>YT918</t>
    <phoneticPr fontId="5" type="noConversion"/>
  </si>
  <si>
    <t>0433797997</t>
    <phoneticPr fontId="5" type="noConversion"/>
  </si>
  <si>
    <t>202201068(X)</t>
    <phoneticPr fontId="5" type="noConversion"/>
  </si>
  <si>
    <t>20006 (5,6/6)</t>
    <phoneticPr fontId="5" type="noConversion"/>
  </si>
  <si>
    <t>202781 (6/6)</t>
    <phoneticPr fontId="5" type="noConversion"/>
  </si>
  <si>
    <t>M</t>
  </si>
  <si>
    <t>F</t>
  </si>
  <si>
    <t>JN901</t>
    <phoneticPr fontId="5" type="noConversion"/>
  </si>
  <si>
    <t>0450113886</t>
    <phoneticPr fontId="5" type="noConversion"/>
  </si>
  <si>
    <t>DLX91Z</t>
    <phoneticPr fontId="5" type="noConversion"/>
  </si>
  <si>
    <t>0408169586</t>
    <phoneticPr fontId="5" type="noConversion"/>
  </si>
  <si>
    <t>DDO28R</t>
    <phoneticPr fontId="5" type="noConversion"/>
  </si>
  <si>
    <t>0408251818</t>
    <phoneticPr fontId="5" type="noConversion"/>
  </si>
  <si>
    <t>GINZA</t>
    <phoneticPr fontId="5" type="noConversion"/>
  </si>
  <si>
    <t>0415428888</t>
    <phoneticPr fontId="5" type="noConversion"/>
  </si>
  <si>
    <t>CGS98C</t>
    <phoneticPr fontId="5" type="noConversion"/>
  </si>
  <si>
    <t>0418426230</t>
    <phoneticPr fontId="5" type="noConversion"/>
  </si>
  <si>
    <t>H/ID</t>
    <phoneticPr fontId="5" type="noConversion"/>
  </si>
  <si>
    <t>DPK84D</t>
    <phoneticPr fontId="5" type="noConversion"/>
  </si>
  <si>
    <t>0412324620</t>
    <phoneticPr fontId="5" type="noConversion"/>
  </si>
  <si>
    <t>KLF723</t>
    <phoneticPr fontId="5" type="noConversion"/>
  </si>
  <si>
    <t>0425777003</t>
    <phoneticPr fontId="5" type="noConversion"/>
  </si>
  <si>
    <t>88NONO</t>
    <phoneticPr fontId="5" type="noConversion"/>
  </si>
  <si>
    <t>0430096287</t>
    <phoneticPr fontId="5" type="noConversion"/>
  </si>
  <si>
    <t>202770(5,6/6)</t>
    <phoneticPr fontId="5" type="noConversion"/>
  </si>
  <si>
    <t>EGQ51D</t>
    <phoneticPr fontId="5" type="noConversion"/>
  </si>
  <si>
    <t>0410410079</t>
    <phoneticPr fontId="5" type="noConversion"/>
  </si>
  <si>
    <t>X/ID</t>
    <phoneticPr fontId="5" type="noConversion"/>
  </si>
  <si>
    <t>DWM98H</t>
    <phoneticPr fontId="5" type="noConversion"/>
  </si>
  <si>
    <t>0412146038</t>
    <phoneticPr fontId="5" type="noConversion"/>
  </si>
  <si>
    <t>DGC81J</t>
    <phoneticPr fontId="5" type="noConversion"/>
  </si>
  <si>
    <t>0415102888</t>
    <phoneticPr fontId="5" type="noConversion"/>
  </si>
  <si>
    <t>PCS</t>
    <phoneticPr fontId="5" type="noConversion"/>
  </si>
  <si>
    <t>21122814(2/6)</t>
    <phoneticPr fontId="5" type="noConversion"/>
  </si>
  <si>
    <t>PAJ888</t>
    <phoneticPr fontId="5" type="noConversion"/>
  </si>
  <si>
    <t>0450758988</t>
    <phoneticPr fontId="5" type="noConversion"/>
  </si>
  <si>
    <t>SN1515</t>
    <phoneticPr fontId="5" type="noConversion"/>
  </si>
  <si>
    <t>0407981506</t>
    <phoneticPr fontId="5" type="noConversion"/>
  </si>
  <si>
    <t>202112005(X)</t>
    <phoneticPr fontId="5" type="noConversion"/>
  </si>
  <si>
    <t>WX888</t>
    <phoneticPr fontId="5" type="noConversion"/>
  </si>
  <si>
    <t>0405177888</t>
    <phoneticPr fontId="5" type="noConversion"/>
  </si>
  <si>
    <t>QPU19K</t>
    <phoneticPr fontId="5" type="noConversion"/>
  </si>
  <si>
    <t>0422266755</t>
    <phoneticPr fontId="5" type="noConversion"/>
  </si>
  <si>
    <t>CIO68G</t>
    <phoneticPr fontId="5" type="noConversion"/>
  </si>
  <si>
    <t>0416244161</t>
    <phoneticPr fontId="5" type="noConversion"/>
  </si>
  <si>
    <t>DZV95H</t>
    <phoneticPr fontId="5" type="noConversion"/>
  </si>
  <si>
    <t>0411599779</t>
    <phoneticPr fontId="5" type="noConversion"/>
  </si>
  <si>
    <t>CWQ66N</t>
    <phoneticPr fontId="5" type="noConversion"/>
  </si>
  <si>
    <t>192670(2,3,4/6)</t>
    <phoneticPr fontId="5" type="noConversion"/>
  </si>
  <si>
    <t>EQC90T</t>
    <phoneticPr fontId="5" type="noConversion"/>
  </si>
  <si>
    <t>0403081386</t>
    <phoneticPr fontId="5" type="noConversion"/>
  </si>
  <si>
    <t>H/BABY ST</t>
    <phoneticPr fontId="5" type="noConversion"/>
  </si>
  <si>
    <t>CHH66R</t>
    <phoneticPr fontId="5" type="noConversion"/>
  </si>
  <si>
    <t>0413646573</t>
    <phoneticPr fontId="5" type="noConversion"/>
  </si>
  <si>
    <t>DTI36J</t>
    <phoneticPr fontId="5" type="noConversion"/>
  </si>
  <si>
    <t>0488042193</t>
    <phoneticPr fontId="5" type="noConversion"/>
  </si>
  <si>
    <t>CU50DN</t>
    <phoneticPr fontId="5" type="noConversion"/>
  </si>
  <si>
    <t>0450496722</t>
    <phoneticPr fontId="5" type="noConversion"/>
  </si>
  <si>
    <t>EHZ53A</t>
    <phoneticPr fontId="5" type="noConversion"/>
  </si>
  <si>
    <t>0413415008</t>
    <phoneticPr fontId="5" type="noConversion"/>
  </si>
  <si>
    <t>JOHN</t>
    <phoneticPr fontId="5" type="noConversion"/>
  </si>
  <si>
    <t>SUNNY</t>
    <phoneticPr fontId="5" type="noConversion"/>
  </si>
  <si>
    <t>21055(1-3/6)/ST</t>
    <phoneticPr fontId="5" type="noConversion"/>
  </si>
  <si>
    <t>XS66</t>
    <phoneticPr fontId="5" type="noConversion"/>
  </si>
  <si>
    <t>0431875858</t>
    <phoneticPr fontId="5" type="noConversion"/>
  </si>
  <si>
    <t>21039(4/6)</t>
    <phoneticPr fontId="5" type="noConversion"/>
  </si>
  <si>
    <t>CPP74H</t>
    <phoneticPr fontId="5" type="noConversion"/>
  </si>
  <si>
    <t>0410578709</t>
    <phoneticPr fontId="5" type="noConversion"/>
  </si>
  <si>
    <t>DWW70C</t>
    <phoneticPr fontId="5" type="noConversion"/>
  </si>
  <si>
    <t>0421422509</t>
    <phoneticPr fontId="5" type="noConversion"/>
  </si>
  <si>
    <t>YHQ72T</t>
    <phoneticPr fontId="5" type="noConversion"/>
  </si>
  <si>
    <t>0403412697</t>
    <phoneticPr fontId="5" type="noConversion"/>
  </si>
  <si>
    <t>EQQ88W</t>
    <phoneticPr fontId="5" type="noConversion"/>
  </si>
  <si>
    <t>0450188519</t>
    <phoneticPr fontId="5" type="noConversion"/>
  </si>
  <si>
    <t>DXQ33Y</t>
    <phoneticPr fontId="5" type="noConversion"/>
  </si>
  <si>
    <t>0474734139</t>
    <phoneticPr fontId="5" type="noConversion"/>
  </si>
  <si>
    <t>DKF35Z</t>
    <phoneticPr fontId="5" type="noConversion"/>
  </si>
  <si>
    <t>0406995975</t>
    <phoneticPr fontId="5" type="noConversion"/>
  </si>
  <si>
    <t>DDA54Y</t>
    <phoneticPr fontId="5" type="noConversion"/>
  </si>
  <si>
    <t>0416273547</t>
    <phoneticPr fontId="5" type="noConversion"/>
  </si>
  <si>
    <t>CWH70C</t>
    <phoneticPr fontId="5" type="noConversion"/>
  </si>
  <si>
    <t>0409764250</t>
    <phoneticPr fontId="5" type="noConversion"/>
  </si>
  <si>
    <t>QOOSMC</t>
    <phoneticPr fontId="5" type="noConversion"/>
  </si>
  <si>
    <t>0407674640</t>
    <phoneticPr fontId="5" type="noConversion"/>
  </si>
  <si>
    <t>BLE07C</t>
    <phoneticPr fontId="5" type="noConversion"/>
  </si>
  <si>
    <t>0421873258</t>
    <phoneticPr fontId="5" type="noConversion"/>
  </si>
  <si>
    <t>EPL82G</t>
    <phoneticPr fontId="5" type="noConversion"/>
  </si>
  <si>
    <t>0421973852</t>
    <phoneticPr fontId="5" type="noConversion"/>
  </si>
  <si>
    <t>EML343</t>
    <phoneticPr fontId="5" type="noConversion"/>
  </si>
  <si>
    <t>0414660109</t>
    <phoneticPr fontId="5" type="noConversion"/>
  </si>
  <si>
    <t>CE19KG</t>
    <phoneticPr fontId="5" type="noConversion"/>
  </si>
  <si>
    <t>0414807995</t>
    <phoneticPr fontId="5" type="noConversion"/>
  </si>
  <si>
    <t>X/ST</t>
    <phoneticPr fontId="5" type="noConversion"/>
  </si>
  <si>
    <t>KTM168</t>
    <phoneticPr fontId="5" type="noConversion"/>
  </si>
  <si>
    <t>0410583680</t>
    <phoneticPr fontId="5" type="noConversion"/>
  </si>
  <si>
    <t>202202044,45(H)</t>
    <phoneticPr fontId="5" type="noConversion"/>
  </si>
  <si>
    <t>2022201061(D)</t>
    <phoneticPr fontId="5" type="noConversion"/>
  </si>
  <si>
    <t>202201031(D)</t>
    <phoneticPr fontId="5" type="noConversion"/>
  </si>
  <si>
    <t>AEO97T</t>
    <phoneticPr fontId="5" type="noConversion"/>
  </si>
  <si>
    <t>0448510872</t>
    <phoneticPr fontId="5" type="noConversion"/>
  </si>
  <si>
    <t>21005(6/6),BUY IT NEXT MONTH</t>
    <phoneticPr fontId="5" type="noConversion"/>
  </si>
  <si>
    <t>KM1788</t>
    <phoneticPr fontId="5" type="noConversion"/>
  </si>
  <si>
    <t>0423123179</t>
    <phoneticPr fontId="5" type="noConversion"/>
  </si>
  <si>
    <t>11JJJJ</t>
    <phoneticPr fontId="5" type="noConversion"/>
  </si>
  <si>
    <t>0421412000</t>
    <phoneticPr fontId="5" type="noConversion"/>
  </si>
  <si>
    <t>ELP60B</t>
    <phoneticPr fontId="5" type="noConversion"/>
  </si>
  <si>
    <t>0424309405</t>
    <phoneticPr fontId="5" type="noConversion"/>
  </si>
  <si>
    <t>DKX87K</t>
    <phoneticPr fontId="5" type="noConversion"/>
  </si>
  <si>
    <t>0410446389</t>
    <phoneticPr fontId="5" type="noConversion"/>
  </si>
  <si>
    <t>21122813(1/6)</t>
    <phoneticPr fontId="5" type="noConversion"/>
  </si>
  <si>
    <t>EIG10G</t>
    <phoneticPr fontId="5" type="noConversion"/>
  </si>
  <si>
    <t>0452541507</t>
    <phoneticPr fontId="5" type="noConversion"/>
  </si>
  <si>
    <t>2005(1/6)</t>
    <phoneticPr fontId="5" type="noConversion"/>
  </si>
  <si>
    <t>DLJ96J</t>
    <phoneticPr fontId="5" type="noConversion"/>
  </si>
  <si>
    <t>0410051551</t>
    <phoneticPr fontId="5" type="noConversion"/>
  </si>
  <si>
    <t>202747(5/6)</t>
    <phoneticPr fontId="5" type="noConversion"/>
  </si>
  <si>
    <t>CSD37J</t>
    <phoneticPr fontId="5" type="noConversion"/>
  </si>
  <si>
    <t>F/D</t>
    <phoneticPr fontId="5" type="noConversion"/>
  </si>
  <si>
    <t>NCD82X</t>
    <phoneticPr fontId="5" type="noConversion"/>
  </si>
  <si>
    <t>22006(1/6)</t>
    <phoneticPr fontId="5" type="noConversion"/>
  </si>
  <si>
    <t>CX22DZ</t>
    <phoneticPr fontId="5" type="noConversion"/>
  </si>
  <si>
    <t>0432972295</t>
    <phoneticPr fontId="5" type="noConversion"/>
  </si>
  <si>
    <t>DNG33E</t>
    <phoneticPr fontId="5" type="noConversion"/>
  </si>
  <si>
    <t>0414747868</t>
    <phoneticPr fontId="5" type="noConversion"/>
  </si>
  <si>
    <t>GV3</t>
    <phoneticPr fontId="5" type="noConversion"/>
  </si>
  <si>
    <t>202761(4/6)</t>
    <phoneticPr fontId="5" type="noConversion"/>
  </si>
  <si>
    <t>BKV78D</t>
    <phoneticPr fontId="5" type="noConversion"/>
  </si>
  <si>
    <t>0402816668</t>
    <phoneticPr fontId="5" type="noConversion"/>
  </si>
  <si>
    <t>202112031,202112036(D)</t>
    <phoneticPr fontId="5" type="noConversion"/>
  </si>
  <si>
    <t>CNG67S</t>
    <phoneticPr fontId="5" type="noConversion"/>
  </si>
  <si>
    <t>192519(4-6/6)</t>
    <phoneticPr fontId="5" type="noConversion"/>
  </si>
  <si>
    <t>CLC75L</t>
    <phoneticPr fontId="5" type="noConversion"/>
  </si>
  <si>
    <t>0414491211</t>
    <phoneticPr fontId="5" type="noConversion"/>
  </si>
  <si>
    <t>MNY888</t>
    <phoneticPr fontId="5" type="noConversion"/>
  </si>
  <si>
    <t>0411687799</t>
    <phoneticPr fontId="5" type="noConversion"/>
  </si>
  <si>
    <t>CYU88Y</t>
    <phoneticPr fontId="5" type="noConversion"/>
  </si>
  <si>
    <t>0439984078</t>
    <phoneticPr fontId="5" type="noConversion"/>
  </si>
  <si>
    <t>LI6888</t>
    <phoneticPr fontId="5" type="noConversion"/>
  </si>
  <si>
    <t>0433286059</t>
    <phoneticPr fontId="5" type="noConversion"/>
  </si>
  <si>
    <t>DSF50G</t>
    <phoneticPr fontId="5" type="noConversion"/>
  </si>
  <si>
    <t>0400458738</t>
    <phoneticPr fontId="5" type="noConversion"/>
  </si>
  <si>
    <t>EAI54S</t>
    <phoneticPr fontId="5" type="noConversion"/>
  </si>
  <si>
    <t>0409512620</t>
    <phoneticPr fontId="5" type="noConversion"/>
  </si>
  <si>
    <t>EAL44U</t>
    <phoneticPr fontId="5" type="noConversion"/>
  </si>
  <si>
    <t>0415157506</t>
    <phoneticPr fontId="5" type="noConversion"/>
  </si>
  <si>
    <t>D/ST</t>
    <phoneticPr fontId="5" type="noConversion"/>
  </si>
  <si>
    <t>DST81Y</t>
    <phoneticPr fontId="5" type="noConversion"/>
  </si>
  <si>
    <t>0402659320</t>
    <phoneticPr fontId="5" type="noConversion"/>
  </si>
  <si>
    <t>AY61BT</t>
    <phoneticPr fontId="5" type="noConversion"/>
  </si>
  <si>
    <t>DME73S</t>
    <phoneticPr fontId="5" type="noConversion"/>
  </si>
  <si>
    <t>0449995963</t>
    <phoneticPr fontId="5" type="noConversion"/>
  </si>
  <si>
    <t>EBA95L</t>
    <phoneticPr fontId="5" type="noConversion"/>
  </si>
  <si>
    <t>0419977970</t>
    <phoneticPr fontId="5" type="noConversion"/>
  </si>
  <si>
    <t>NOPHON</t>
    <phoneticPr fontId="5" type="noConversion"/>
  </si>
  <si>
    <t>BZY43D</t>
    <phoneticPr fontId="5" type="noConversion"/>
  </si>
  <si>
    <t>0414895924</t>
    <phoneticPr fontId="5" type="noConversion"/>
  </si>
  <si>
    <t>ELG26R</t>
    <phoneticPr fontId="5" type="noConversion"/>
  </si>
  <si>
    <t>0416121196</t>
    <phoneticPr fontId="5" type="noConversion"/>
  </si>
  <si>
    <t>EMB70L</t>
    <phoneticPr fontId="5" type="noConversion"/>
  </si>
  <si>
    <t>0404074710</t>
    <phoneticPr fontId="5" type="noConversion"/>
  </si>
  <si>
    <t>DGM062</t>
    <phoneticPr fontId="5" type="noConversion"/>
  </si>
  <si>
    <t>0401853091</t>
    <phoneticPr fontId="5" type="noConversion"/>
  </si>
  <si>
    <t>DQZ96E</t>
    <phoneticPr fontId="5" type="noConversion"/>
  </si>
  <si>
    <t>0407515505</t>
    <phoneticPr fontId="5" type="noConversion"/>
  </si>
  <si>
    <t>EIX51L</t>
    <phoneticPr fontId="5" type="noConversion"/>
  </si>
  <si>
    <t>0426813006</t>
    <phoneticPr fontId="5" type="noConversion"/>
  </si>
  <si>
    <t>ERH89M</t>
    <phoneticPr fontId="5" type="noConversion"/>
  </si>
  <si>
    <t>0430822000</t>
    <phoneticPr fontId="5" type="noConversion"/>
  </si>
  <si>
    <t>BU98TR</t>
    <phoneticPr fontId="5" type="noConversion"/>
  </si>
  <si>
    <t>0409777911</t>
    <phoneticPr fontId="5" type="noConversion"/>
  </si>
  <si>
    <t>BMU68E</t>
    <phoneticPr fontId="5" type="noConversion"/>
  </si>
  <si>
    <t>0402215406</t>
    <phoneticPr fontId="5" type="noConversion"/>
  </si>
  <si>
    <t>EE2233</t>
    <phoneticPr fontId="5" type="noConversion"/>
  </si>
  <si>
    <t>0411393272</t>
    <phoneticPr fontId="5" type="noConversion"/>
  </si>
  <si>
    <t>21025(2/6)</t>
    <phoneticPr fontId="5" type="noConversion"/>
  </si>
  <si>
    <t>EIR80P</t>
    <phoneticPr fontId="5" type="noConversion"/>
  </si>
  <si>
    <t>0416663883</t>
    <phoneticPr fontId="5" type="noConversion"/>
  </si>
  <si>
    <t>NBZ93E</t>
    <phoneticPr fontId="5" type="noConversion"/>
  </si>
  <si>
    <t>22006(2/6)</t>
    <phoneticPr fontId="5" type="noConversion"/>
  </si>
  <si>
    <t>CTQ68X</t>
    <phoneticPr fontId="5" type="noConversion"/>
  </si>
  <si>
    <t>0415810268</t>
    <phoneticPr fontId="5" type="noConversion"/>
  </si>
  <si>
    <t>DZA05W</t>
    <phoneticPr fontId="5" type="noConversion"/>
  </si>
  <si>
    <t>0419411035</t>
    <phoneticPr fontId="5" type="noConversion"/>
  </si>
  <si>
    <t>EOO88Q</t>
    <phoneticPr fontId="5" type="noConversion"/>
  </si>
  <si>
    <t>0424252291</t>
    <phoneticPr fontId="5" type="noConversion"/>
  </si>
  <si>
    <t>LP127</t>
    <phoneticPr fontId="5" type="noConversion"/>
  </si>
  <si>
    <t>0419417672</t>
    <phoneticPr fontId="5" type="noConversion"/>
  </si>
  <si>
    <t>CMT86H</t>
    <phoneticPr fontId="5" type="noConversion"/>
  </si>
  <si>
    <t>0403881779</t>
    <phoneticPr fontId="5" type="noConversion"/>
  </si>
  <si>
    <t>CN800</t>
    <phoneticPr fontId="5" type="noConversion"/>
  </si>
  <si>
    <t>0418882000</t>
    <phoneticPr fontId="5" type="noConversion"/>
  </si>
  <si>
    <t>EPB92L</t>
    <phoneticPr fontId="5" type="noConversion"/>
  </si>
  <si>
    <t>NO PHON</t>
    <phoneticPr fontId="5" type="noConversion"/>
  </si>
  <si>
    <t>W/O</t>
    <phoneticPr fontId="5" type="noConversion"/>
  </si>
  <si>
    <t>ERIC(NEW)</t>
    <phoneticPr fontId="5" type="noConversion"/>
  </si>
  <si>
    <t>HELENJ</t>
    <phoneticPr fontId="5" type="noConversion"/>
  </si>
  <si>
    <t>0416730988</t>
    <phoneticPr fontId="5" type="noConversion"/>
  </si>
  <si>
    <t>CTF36W</t>
    <phoneticPr fontId="5" type="noConversion"/>
  </si>
  <si>
    <t>0468391020</t>
    <phoneticPr fontId="5" type="noConversion"/>
  </si>
  <si>
    <t>EQB91B</t>
    <phoneticPr fontId="5" type="noConversion"/>
  </si>
  <si>
    <t>0403800122</t>
    <phoneticPr fontId="5" type="noConversion"/>
  </si>
  <si>
    <t>2112063(3/6)</t>
    <phoneticPr fontId="5" type="noConversion"/>
  </si>
  <si>
    <t>BY86AZ</t>
    <phoneticPr fontId="5" type="noConversion"/>
  </si>
  <si>
    <t>0450430108</t>
    <phoneticPr fontId="5" type="noConversion"/>
  </si>
  <si>
    <t>CTU62V</t>
    <phoneticPr fontId="5" type="noConversion"/>
  </si>
  <si>
    <t>YPV88F</t>
    <phoneticPr fontId="5" type="noConversion"/>
  </si>
  <si>
    <t>0456847092</t>
    <phoneticPr fontId="5" type="noConversion"/>
  </si>
  <si>
    <t>EQA84G</t>
    <phoneticPr fontId="5" type="noConversion"/>
  </si>
  <si>
    <t>0421816061</t>
    <phoneticPr fontId="5" type="noConversion"/>
  </si>
  <si>
    <t>RW2288</t>
    <phoneticPr fontId="5" type="noConversion"/>
  </si>
  <si>
    <t>0422801818</t>
    <phoneticPr fontId="5" type="noConversion"/>
  </si>
  <si>
    <t>ECG04R</t>
    <phoneticPr fontId="5" type="noConversion"/>
  </si>
  <si>
    <t>0422054971</t>
    <phoneticPr fontId="5" type="noConversion"/>
  </si>
  <si>
    <t>DGE43Q</t>
    <phoneticPr fontId="5" type="noConversion"/>
  </si>
  <si>
    <t>0415239892</t>
    <phoneticPr fontId="5" type="noConversion"/>
  </si>
  <si>
    <t>EEH81Y</t>
    <phoneticPr fontId="5" type="noConversion"/>
  </si>
  <si>
    <t>0411691805</t>
    <phoneticPr fontId="5" type="noConversion"/>
  </si>
  <si>
    <t>CVW888</t>
    <phoneticPr fontId="5" type="noConversion"/>
  </si>
  <si>
    <t>0411778886</t>
    <phoneticPr fontId="5" type="noConversion"/>
  </si>
  <si>
    <t>DQP96N</t>
    <phoneticPr fontId="5" type="noConversion"/>
  </si>
  <si>
    <t>0411039673</t>
    <phoneticPr fontId="5" type="noConversion"/>
  </si>
  <si>
    <t>BSO65B</t>
    <phoneticPr fontId="5" type="noConversion"/>
  </si>
  <si>
    <t>0449922881</t>
    <phoneticPr fontId="5" type="noConversion"/>
  </si>
  <si>
    <t>IN</t>
    <phoneticPr fontId="5" type="noConversion"/>
  </si>
  <si>
    <t>MIX</t>
    <phoneticPr fontId="5" type="noConversion"/>
  </si>
  <si>
    <t>ELS91K</t>
    <phoneticPr fontId="5" type="noConversion"/>
  </si>
  <si>
    <t>0420313991</t>
    <phoneticPr fontId="5" type="noConversion"/>
  </si>
  <si>
    <t>DYC94V</t>
    <phoneticPr fontId="5" type="noConversion"/>
  </si>
  <si>
    <t>0407010005</t>
    <phoneticPr fontId="5" type="noConversion"/>
  </si>
  <si>
    <t>UJE10S</t>
    <phoneticPr fontId="5" type="noConversion"/>
  </si>
  <si>
    <t>0413212801</t>
    <phoneticPr fontId="5" type="noConversion"/>
  </si>
  <si>
    <t>DCS06A</t>
    <phoneticPr fontId="5" type="noConversion"/>
  </si>
  <si>
    <t>0421173077</t>
    <phoneticPr fontId="5" type="noConversion"/>
  </si>
  <si>
    <t>PCM</t>
    <phoneticPr fontId="5" type="noConversion"/>
  </si>
  <si>
    <t>22001(1/6)</t>
    <phoneticPr fontId="5" type="noConversion"/>
  </si>
  <si>
    <t>BU63CV</t>
    <phoneticPr fontId="5" type="noConversion"/>
  </si>
  <si>
    <t>0424518018</t>
    <phoneticPr fontId="5" type="noConversion"/>
  </si>
  <si>
    <t>DCF58M</t>
    <phoneticPr fontId="5" type="noConversion"/>
  </si>
  <si>
    <t>0421613788</t>
    <phoneticPr fontId="5" type="noConversion"/>
  </si>
  <si>
    <t>CYN56N</t>
    <phoneticPr fontId="5" type="noConversion"/>
  </si>
  <si>
    <t>0419777102</t>
    <phoneticPr fontId="5" type="noConversion"/>
  </si>
  <si>
    <t>BCL02F</t>
    <phoneticPr fontId="5" type="noConversion"/>
  </si>
  <si>
    <t>0409467788</t>
    <phoneticPr fontId="5" type="noConversion"/>
  </si>
  <si>
    <t>CI77CB</t>
    <phoneticPr fontId="5" type="noConversion"/>
  </si>
  <si>
    <t>0438135349</t>
    <phoneticPr fontId="5" type="noConversion"/>
  </si>
  <si>
    <t>DOM200</t>
    <phoneticPr fontId="5" type="noConversion"/>
  </si>
  <si>
    <t>0425277003</t>
    <phoneticPr fontId="5" type="noConversion"/>
  </si>
  <si>
    <t>EAH01G</t>
    <phoneticPr fontId="5" type="noConversion"/>
  </si>
  <si>
    <t>0425255625</t>
    <phoneticPr fontId="5" type="noConversion"/>
  </si>
  <si>
    <t>ERA52L</t>
    <phoneticPr fontId="5" type="noConversion"/>
  </si>
  <si>
    <t>0478034547</t>
    <phoneticPr fontId="5" type="noConversion"/>
  </si>
  <si>
    <t>KEVIN</t>
    <phoneticPr fontId="5" type="noConversion"/>
  </si>
  <si>
    <t>DYW43C</t>
    <phoneticPr fontId="5" type="noConversion"/>
  </si>
  <si>
    <t>0430436745</t>
    <phoneticPr fontId="5" type="noConversion"/>
  </si>
  <si>
    <t>EPK49U</t>
    <phoneticPr fontId="5" type="noConversion"/>
  </si>
  <si>
    <t>0423169139</t>
    <phoneticPr fontId="5" type="noConversion"/>
  </si>
  <si>
    <t>ELV86M</t>
    <phoneticPr fontId="5" type="noConversion"/>
  </si>
  <si>
    <t>0452599519</t>
    <phoneticPr fontId="5" type="noConversion"/>
  </si>
  <si>
    <t>21001(3/6)</t>
    <phoneticPr fontId="5" type="noConversion"/>
  </si>
  <si>
    <t>ENJ17Z</t>
    <phoneticPr fontId="5" type="noConversion"/>
  </si>
  <si>
    <t>04312246009</t>
    <phoneticPr fontId="5" type="noConversion"/>
  </si>
  <si>
    <t>2112089(2/6)</t>
    <phoneticPr fontId="5" type="noConversion"/>
  </si>
  <si>
    <t>CP07GA</t>
    <phoneticPr fontId="5" type="noConversion"/>
  </si>
  <si>
    <t>0415264247</t>
    <phoneticPr fontId="5" type="noConversion"/>
  </si>
  <si>
    <t>EGE98X</t>
    <phoneticPr fontId="5" type="noConversion"/>
  </si>
  <si>
    <t>0401747866</t>
    <phoneticPr fontId="5" type="noConversion"/>
  </si>
  <si>
    <t>DLA95M</t>
    <phoneticPr fontId="5" type="noConversion"/>
  </si>
  <si>
    <t>0402322067</t>
    <phoneticPr fontId="5" type="noConversion"/>
  </si>
  <si>
    <t>CDT46W</t>
    <phoneticPr fontId="5" type="noConversion"/>
  </si>
  <si>
    <t>0433978168</t>
    <phoneticPr fontId="5" type="noConversion"/>
  </si>
  <si>
    <t>CEI20Z</t>
    <phoneticPr fontId="5" type="noConversion"/>
  </si>
  <si>
    <t>0431499861</t>
    <phoneticPr fontId="5" type="noConversion"/>
  </si>
  <si>
    <t>202886(6/6),NEXT TIME</t>
    <phoneticPr fontId="5" type="noConversion"/>
  </si>
  <si>
    <t>33XXXX</t>
    <phoneticPr fontId="5" type="noConversion"/>
  </si>
  <si>
    <t>0422036999</t>
    <phoneticPr fontId="5" type="noConversion"/>
  </si>
  <si>
    <t>55URIC</t>
    <phoneticPr fontId="5" type="noConversion"/>
  </si>
  <si>
    <t>0424833162</t>
    <phoneticPr fontId="5" type="noConversion"/>
  </si>
  <si>
    <t>202201011,202202049(H)</t>
    <phoneticPr fontId="5" type="noConversion"/>
  </si>
  <si>
    <t>EQH67Q</t>
    <phoneticPr fontId="5" type="noConversion"/>
  </si>
  <si>
    <t>YJ1004</t>
    <phoneticPr fontId="5" type="noConversion"/>
  </si>
  <si>
    <t>0410505213</t>
    <phoneticPr fontId="5" type="noConversion"/>
  </si>
  <si>
    <t>DKY92G</t>
    <phoneticPr fontId="5" type="noConversion"/>
  </si>
  <si>
    <t>0414680186</t>
    <phoneticPr fontId="5" type="noConversion"/>
  </si>
  <si>
    <t>202752(6/6) ,NEXT TIME</t>
    <phoneticPr fontId="5" type="noConversion"/>
  </si>
  <si>
    <t>EAK95Q</t>
    <phoneticPr fontId="5" type="noConversion"/>
  </si>
  <si>
    <t>0450002440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</si>
</sst>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47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178" fontId="2" fillId="0" borderId="4" xfId="0" applyNumberFormat="1" applyFont="1" applyBorder="1" applyAlignment="1">
      <alignment horizontal="center" shrinkToFit="1"/>
    </xf>
    <xf numFmtId="0" fontId="25" fillId="14" borderId="1" xfId="4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49" fontId="25" fillId="14" borderId="2" xfId="4" applyNumberFormat="1" applyBorder="1" applyAlignment="1">
      <alignment horizontal="left"/>
    </xf>
    <xf numFmtId="0" fontId="25" fillId="14" borderId="62" xfId="4" applyBorder="1" applyAlignment="1">
      <alignment horizontal="center" shrinkToFit="1"/>
    </xf>
    <xf numFmtId="179" fontId="25" fillId="14" borderId="26" xfId="4" applyNumberFormat="1" applyBorder="1" applyAlignment="1">
      <alignment horizontal="left"/>
    </xf>
    <xf numFmtId="0" fontId="25" fillId="14" borderId="4" xfId="4" applyBorder="1" applyAlignment="1">
      <alignment horizontal="center" shrinkToFit="1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26" xfId="4" applyBorder="1" applyAlignment="1">
      <alignment horizontal="left"/>
    </xf>
    <xf numFmtId="0" fontId="25" fillId="14" borderId="1" xfId="4" applyBorder="1" applyAlignment="1">
      <alignment horizontal="center"/>
    </xf>
    <xf numFmtId="178" fontId="25" fillId="14" borderId="1" xfId="4" applyNumberFormat="1" applyBorder="1" applyAlignment="1">
      <alignment horizont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horizontal="left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9" sqref="R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97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104</v>
      </c>
      <c r="K2" s="333"/>
      <c r="L2" s="335" t="s">
        <v>96</v>
      </c>
      <c r="M2" s="336"/>
      <c r="N2" s="334"/>
      <c r="O2" s="332" t="s">
        <v>105</v>
      </c>
      <c r="P2" s="332"/>
      <c r="Q2" s="333"/>
      <c r="R2" s="335" t="s">
        <v>51</v>
      </c>
      <c r="S2" s="334"/>
      <c r="T2" s="323">
        <v>6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111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24" t="s">
        <v>8</v>
      </c>
      <c r="P4" s="324"/>
      <c r="Q4" s="324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3212</v>
      </c>
      <c r="C5" s="68" t="s">
        <v>113</v>
      </c>
      <c r="D5" s="200" t="s">
        <v>114</v>
      </c>
      <c r="E5" s="181" t="s">
        <v>92</v>
      </c>
      <c r="F5" s="170">
        <v>940</v>
      </c>
      <c r="G5" s="118" t="s">
        <v>115</v>
      </c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105</v>
      </c>
      <c r="O5" s="370" t="s">
        <v>154</v>
      </c>
      <c r="P5" s="371"/>
      <c r="Q5" s="372"/>
      <c r="R5" s="33" t="s">
        <v>105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3213</v>
      </c>
      <c r="C6" s="67" t="s">
        <v>116</v>
      </c>
      <c r="D6" s="200" t="s">
        <v>117</v>
      </c>
      <c r="E6" s="181" t="s">
        <v>92</v>
      </c>
      <c r="F6" s="171">
        <v>1010</v>
      </c>
      <c r="G6" s="118" t="s">
        <v>44</v>
      </c>
      <c r="H6" s="91"/>
      <c r="I6" s="124">
        <v>20</v>
      </c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105</v>
      </c>
      <c r="O6" s="325">
        <v>202201093</v>
      </c>
      <c r="P6" s="326"/>
      <c r="Q6" s="327"/>
      <c r="R6" s="132" t="s">
        <v>106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3214</v>
      </c>
      <c r="C7" s="67" t="s">
        <v>118</v>
      </c>
      <c r="D7" s="200" t="s">
        <v>119</v>
      </c>
      <c r="E7" s="181" t="s">
        <v>92</v>
      </c>
      <c r="F7" s="171">
        <v>1035</v>
      </c>
      <c r="G7" s="118" t="s">
        <v>112</v>
      </c>
      <c r="H7" s="91">
        <v>55</v>
      </c>
      <c r="I7" s="267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105</v>
      </c>
      <c r="O7" s="298"/>
      <c r="P7" s="297"/>
      <c r="Q7" s="299"/>
      <c r="R7" s="134" t="s">
        <v>107</v>
      </c>
      <c r="S7" s="31">
        <v>0.41666666666666669</v>
      </c>
      <c r="T7" s="32">
        <v>0.70833333333333337</v>
      </c>
      <c r="U7" s="92">
        <f t="shared" si="0"/>
        <v>7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3215</v>
      </c>
      <c r="C8" s="27" t="s">
        <v>120</v>
      </c>
      <c r="D8" s="200" t="s">
        <v>121</v>
      </c>
      <c r="E8" s="181" t="s">
        <v>91</v>
      </c>
      <c r="F8" s="171">
        <v>1105</v>
      </c>
      <c r="G8" s="118" t="s">
        <v>44</v>
      </c>
      <c r="H8" s="91">
        <v>40</v>
      </c>
      <c r="I8" s="124"/>
      <c r="J8" s="130" t="str">
        <f t="shared" si="1"/>
        <v>55</v>
      </c>
      <c r="K8" s="130" t="str">
        <f t="shared" si="2"/>
        <v>0</v>
      </c>
      <c r="L8" s="131"/>
      <c r="M8" s="131"/>
      <c r="N8" s="134" t="s">
        <v>105</v>
      </c>
      <c r="O8" s="328" t="s">
        <v>152</v>
      </c>
      <c r="P8" s="329"/>
      <c r="Q8" s="330"/>
      <c r="R8" s="26" t="s">
        <v>108</v>
      </c>
      <c r="S8" s="31">
        <v>0.41666666666666669</v>
      </c>
      <c r="T8" s="32">
        <v>0.67708333333333337</v>
      </c>
      <c r="U8" s="92">
        <f t="shared" si="0"/>
        <v>6.25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3216</v>
      </c>
      <c r="C9" s="63" t="s">
        <v>122</v>
      </c>
      <c r="D9" s="201" t="s">
        <v>123</v>
      </c>
      <c r="E9" s="181" t="s">
        <v>92</v>
      </c>
      <c r="F9" s="172">
        <v>1130</v>
      </c>
      <c r="G9" s="119" t="s">
        <v>112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105</v>
      </c>
      <c r="O9" s="328"/>
      <c r="P9" s="329"/>
      <c r="Q9" s="330"/>
      <c r="R9" s="26" t="s">
        <v>109</v>
      </c>
      <c r="S9" s="31">
        <v>0.39583333333333331</v>
      </c>
      <c r="T9" s="32">
        <v>0.45833333333333331</v>
      </c>
      <c r="U9" s="92">
        <f t="shared" si="0"/>
        <v>1.5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3217</v>
      </c>
      <c r="C10" s="28" t="s">
        <v>124</v>
      </c>
      <c r="D10" s="202" t="s">
        <v>125</v>
      </c>
      <c r="E10" s="181" t="s">
        <v>91</v>
      </c>
      <c r="F10" s="173">
        <v>1140</v>
      </c>
      <c r="G10" s="120" t="s">
        <v>141</v>
      </c>
      <c r="H10" s="123"/>
      <c r="I10" s="125"/>
      <c r="J10" s="130" t="str">
        <f t="shared" si="1"/>
        <v>0</v>
      </c>
      <c r="K10" s="130">
        <v>116.6</v>
      </c>
      <c r="L10" s="131"/>
      <c r="M10" s="131"/>
      <c r="N10" s="134" t="s">
        <v>105</v>
      </c>
      <c r="O10" s="320" t="s">
        <v>153</v>
      </c>
      <c r="P10" s="321"/>
      <c r="Q10" s="322"/>
      <c r="R10" s="26"/>
      <c r="S10" s="31">
        <v>0.55208333333333337</v>
      </c>
      <c r="T10" s="32">
        <v>0.70833333333333337</v>
      </c>
      <c r="U10" s="92">
        <f t="shared" si="0"/>
        <v>3.75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3218</v>
      </c>
      <c r="C11" s="18" t="s">
        <v>126</v>
      </c>
      <c r="D11" s="203" t="s">
        <v>127</v>
      </c>
      <c r="E11" s="181" t="s">
        <v>91</v>
      </c>
      <c r="F11" s="66">
        <v>1205</v>
      </c>
      <c r="G11" s="121" t="s">
        <v>128</v>
      </c>
      <c r="H11" s="123"/>
      <c r="I11" s="124">
        <v>100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105</v>
      </c>
      <c r="O11" s="298" t="s">
        <v>129</v>
      </c>
      <c r="P11" s="297"/>
      <c r="Q11" s="299"/>
      <c r="R11" s="26" t="s">
        <v>110</v>
      </c>
      <c r="S11" s="31">
        <v>0.41666666666666669</v>
      </c>
      <c r="T11" s="32">
        <v>0.45833333333333331</v>
      </c>
      <c r="U11" s="92">
        <f t="shared" si="0"/>
        <v>0.99999999999999911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3219</v>
      </c>
      <c r="C12" s="64" t="s">
        <v>130</v>
      </c>
      <c r="D12" s="204" t="s">
        <v>131</v>
      </c>
      <c r="E12" s="181" t="s">
        <v>92</v>
      </c>
      <c r="F12" s="173">
        <v>1230</v>
      </c>
      <c r="G12" s="119" t="s">
        <v>132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105</v>
      </c>
      <c r="O12" s="298"/>
      <c r="P12" s="297"/>
      <c r="Q12" s="299"/>
      <c r="R12" s="26"/>
      <c r="S12" s="31">
        <v>0.55208333333333337</v>
      </c>
      <c r="T12" s="32">
        <v>0.70833333333333337</v>
      </c>
      <c r="U12" s="92">
        <f t="shared" si="0"/>
        <v>3.75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3220</v>
      </c>
      <c r="C13" s="64" t="s">
        <v>133</v>
      </c>
      <c r="D13" s="204"/>
      <c r="E13" s="181" t="s">
        <v>92</v>
      </c>
      <c r="F13" s="173">
        <v>1300</v>
      </c>
      <c r="G13" s="119" t="s">
        <v>112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105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3221</v>
      </c>
      <c r="C14" s="65" t="s">
        <v>134</v>
      </c>
      <c r="D14" s="205" t="s">
        <v>135</v>
      </c>
      <c r="E14" s="181" t="s">
        <v>92</v>
      </c>
      <c r="F14" s="174">
        <v>1300</v>
      </c>
      <c r="G14" s="122" t="s">
        <v>132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105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3222</v>
      </c>
      <c r="C15" s="65" t="s">
        <v>136</v>
      </c>
      <c r="D15" s="205"/>
      <c r="E15" s="181" t="s">
        <v>92</v>
      </c>
      <c r="F15" s="174">
        <v>1330</v>
      </c>
      <c r="G15" s="122" t="s">
        <v>137</v>
      </c>
      <c r="H15" s="123"/>
      <c r="I15" s="124">
        <v>60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105</v>
      </c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3223</v>
      </c>
      <c r="C16" s="65" t="s">
        <v>138</v>
      </c>
      <c r="D16" s="205" t="s">
        <v>139</v>
      </c>
      <c r="E16" s="181" t="s">
        <v>92</v>
      </c>
      <c r="F16" s="174">
        <v>1335</v>
      </c>
      <c r="G16" s="122" t="s">
        <v>112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105</v>
      </c>
      <c r="O16" s="298"/>
      <c r="P16" s="297"/>
      <c r="Q16" s="299"/>
      <c r="R16" s="82">
        <f>H32/U16</f>
        <v>0.41212121212121211</v>
      </c>
      <c r="S16" s="83">
        <f>H32/(U16-U5)</f>
        <v>0.52713178294573648</v>
      </c>
      <c r="T16" s="83">
        <f>C32/U16</f>
        <v>36.402424242424239</v>
      </c>
      <c r="U16" s="83">
        <f>SUM(U5:U15)</f>
        <v>41.25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3224</v>
      </c>
      <c r="C17" s="18" t="s">
        <v>140</v>
      </c>
      <c r="D17" s="203" t="s">
        <v>142</v>
      </c>
      <c r="E17" s="181" t="s">
        <v>92</v>
      </c>
      <c r="F17" s="66">
        <v>1345</v>
      </c>
      <c r="G17" s="121" t="s">
        <v>128</v>
      </c>
      <c r="H17" s="123">
        <v>100</v>
      </c>
      <c r="I17" s="124">
        <v>50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105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3225</v>
      </c>
      <c r="C18" s="18" t="s">
        <v>143</v>
      </c>
      <c r="D18" s="203" t="s">
        <v>144</v>
      </c>
      <c r="E18" s="181" t="s">
        <v>91</v>
      </c>
      <c r="F18" s="66">
        <v>1400</v>
      </c>
      <c r="G18" s="20" t="s">
        <v>128</v>
      </c>
      <c r="H18" s="123"/>
      <c r="I18" s="124">
        <v>180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105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3226</v>
      </c>
      <c r="C19" s="18" t="s">
        <v>145</v>
      </c>
      <c r="D19" s="203" t="s">
        <v>146</v>
      </c>
      <c r="E19" s="181" t="s">
        <v>91</v>
      </c>
      <c r="F19" s="66">
        <v>1525</v>
      </c>
      <c r="G19" s="121" t="s">
        <v>132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105</v>
      </c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3227</v>
      </c>
      <c r="C20" s="18" t="s">
        <v>147</v>
      </c>
      <c r="D20" s="203" t="s">
        <v>148</v>
      </c>
      <c r="E20" s="181" t="s">
        <v>92</v>
      </c>
      <c r="F20" s="66">
        <v>1530</v>
      </c>
      <c r="G20" s="121" t="s">
        <v>112</v>
      </c>
      <c r="H20" s="123"/>
      <c r="I20" s="124">
        <v>50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149</v>
      </c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3228</v>
      </c>
      <c r="C21" s="18" t="s">
        <v>150</v>
      </c>
      <c r="D21" s="203" t="s">
        <v>151</v>
      </c>
      <c r="E21" s="181" t="s">
        <v>91</v>
      </c>
      <c r="F21" s="66">
        <v>1605</v>
      </c>
      <c r="G21" s="20" t="s">
        <v>128</v>
      </c>
      <c r="H21" s="123"/>
      <c r="I21" s="124">
        <v>150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105</v>
      </c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1520.35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37.5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11">
        <f t="shared" ref="H30:M30" si="3">SUM(H5:H29)</f>
        <v>195</v>
      </c>
      <c r="I30" s="105">
        <f>SUM(I5:I29)</f>
        <v>1080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116.6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12">
        <f t="shared" ref="H31:J31" si="4">H30+H62+H94</f>
        <v>195</v>
      </c>
      <c r="I31" s="103">
        <f t="shared" si="4"/>
        <v>1080</v>
      </c>
      <c r="J31" s="103">
        <f t="shared" si="4"/>
        <v>110</v>
      </c>
      <c r="K31" s="103">
        <f>K30+K62+K94</f>
        <v>116.6</v>
      </c>
      <c r="L31" s="97">
        <f>L30+L62+L94</f>
        <v>0</v>
      </c>
      <c r="M31" s="97">
        <f>M30+M62+M94</f>
        <v>0</v>
      </c>
      <c r="N31" s="217">
        <f>COUNT(H5:H29,H37:H61,H69:H93)</f>
        <v>3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195</v>
      </c>
      <c r="T31" s="337">
        <f>H31+I31+L31+M31</f>
        <v>1275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1501.6</v>
      </c>
      <c r="D32" s="196"/>
      <c r="E32" s="107"/>
      <c r="F32" s="359" t="s">
        <v>53</v>
      </c>
      <c r="G32" s="359"/>
      <c r="H32" s="109">
        <f>COUNT(B5:B29,B37:B61,B69:B93)</f>
        <v>17</v>
      </c>
      <c r="I32" s="360" t="s">
        <v>54</v>
      </c>
      <c r="J32" s="360"/>
      <c r="K32" s="108">
        <f>C32/H32</f>
        <v>88.329411764705881</v>
      </c>
      <c r="L32" s="218"/>
      <c r="M32" s="218"/>
      <c r="N32" s="218">
        <f>H31/C32</f>
        <v>0.1298614810868407</v>
      </c>
      <c r="O32" s="218">
        <f>I31/C32</f>
        <v>0.71923281832711783</v>
      </c>
      <c r="P32" s="218">
        <f>K31/C32</f>
        <v>7.765050612679808E-2</v>
      </c>
      <c r="Q32" s="110">
        <f>J31/C32</f>
        <v>7.3255194459243472E-2</v>
      </c>
      <c r="R32" s="99" t="s">
        <v>82</v>
      </c>
      <c r="S32" s="213">
        <f>I31+M31</f>
        <v>1080</v>
      </c>
      <c r="T32" s="339"/>
      <c r="U32" s="340"/>
      <c r="V32" s="55"/>
      <c r="W32" s="55"/>
      <c r="X32" s="56" t="s">
        <v>27</v>
      </c>
      <c r="Y32" s="56"/>
      <c r="Z32" s="54">
        <f>I31</f>
        <v>1080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-1665</v>
      </c>
      <c r="AE33" s="37"/>
      <c r="AF33" s="37"/>
      <c r="AG33" s="59"/>
      <c r="AH33" s="37"/>
    </row>
    <row r="34" spans="1:34" ht="17.25" thickBot="1" x14ac:dyDescent="0.35">
      <c r="A34" s="331" t="str">
        <f>A2</f>
        <v>14-02-2022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CLOUDY</v>
      </c>
      <c r="K34" s="333"/>
      <c r="L34" s="335" t="s">
        <v>50</v>
      </c>
      <c r="M34" s="336"/>
      <c r="N34" s="334"/>
      <c r="O34" s="332" t="str">
        <f>O2</f>
        <v>HENDRA</v>
      </c>
      <c r="P34" s="332"/>
      <c r="Q34" s="333"/>
      <c r="R34" s="335" t="s">
        <v>51</v>
      </c>
      <c r="S34" s="334"/>
      <c r="T34" s="323">
        <f>T2</f>
        <v>6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24" t="s">
        <v>8</v>
      </c>
      <c r="P36" s="324"/>
      <c r="Q36" s="324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14-02-2022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CLOUDY</v>
      </c>
      <c r="K66" s="333"/>
      <c r="L66" s="335" t="s">
        <v>50</v>
      </c>
      <c r="M66" s="336"/>
      <c r="N66" s="334"/>
      <c r="O66" s="332" t="str">
        <f>O34</f>
        <v>HENDRA</v>
      </c>
      <c r="P66" s="332"/>
      <c r="Q66" s="333"/>
      <c r="R66" s="335" t="s">
        <v>51</v>
      </c>
      <c r="S66" s="334"/>
      <c r="T66" s="323">
        <f>T34</f>
        <v>6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24" t="s">
        <v>8</v>
      </c>
      <c r="P68" s="324"/>
      <c r="Q68" s="324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D21" sqref="D2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98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211</v>
      </c>
      <c r="K2" s="333"/>
      <c r="L2" s="335" t="s">
        <v>96</v>
      </c>
      <c r="M2" s="336"/>
      <c r="N2" s="334"/>
      <c r="O2" s="332" t="s">
        <v>210</v>
      </c>
      <c r="P2" s="332"/>
      <c r="Q2" s="333"/>
      <c r="R2" s="335" t="s">
        <v>51</v>
      </c>
      <c r="S2" s="334"/>
      <c r="T2" s="323">
        <v>6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3229</v>
      </c>
      <c r="C5" s="68" t="s">
        <v>157</v>
      </c>
      <c r="D5" s="200" t="s">
        <v>158</v>
      </c>
      <c r="E5" s="181" t="s">
        <v>155</v>
      </c>
      <c r="F5" s="170">
        <v>920</v>
      </c>
      <c r="G5" s="118" t="s">
        <v>128</v>
      </c>
      <c r="H5" s="91"/>
      <c r="I5" s="124">
        <v>150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210</v>
      </c>
      <c r="O5" s="370"/>
      <c r="P5" s="371"/>
      <c r="Q5" s="372"/>
      <c r="R5" s="33" t="s">
        <v>210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3230</v>
      </c>
      <c r="C6" s="67" t="s">
        <v>159</v>
      </c>
      <c r="D6" s="200" t="s">
        <v>160</v>
      </c>
      <c r="E6" s="181" t="s">
        <v>156</v>
      </c>
      <c r="F6" s="171">
        <v>930</v>
      </c>
      <c r="G6" s="118" t="s">
        <v>112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210</v>
      </c>
      <c r="O6" s="325"/>
      <c r="P6" s="326"/>
      <c r="Q6" s="327"/>
      <c r="R6" s="33" t="s">
        <v>105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3231</v>
      </c>
      <c r="C7" s="67" t="s">
        <v>161</v>
      </c>
      <c r="D7" s="200" t="s">
        <v>162</v>
      </c>
      <c r="E7" s="181" t="s">
        <v>92</v>
      </c>
      <c r="F7" s="171">
        <v>930</v>
      </c>
      <c r="G7" s="118" t="s">
        <v>112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210</v>
      </c>
      <c r="O7" s="298"/>
      <c r="P7" s="297"/>
      <c r="Q7" s="299"/>
      <c r="R7" s="132" t="s">
        <v>106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3232</v>
      </c>
      <c r="C8" s="27" t="s">
        <v>163</v>
      </c>
      <c r="D8" s="200" t="s">
        <v>164</v>
      </c>
      <c r="E8" s="181" t="s">
        <v>92</v>
      </c>
      <c r="F8" s="171">
        <v>930</v>
      </c>
      <c r="G8" s="118" t="s">
        <v>141</v>
      </c>
      <c r="H8" s="91"/>
      <c r="I8" s="124"/>
      <c r="J8" s="130" t="str">
        <f t="shared" si="1"/>
        <v>0</v>
      </c>
      <c r="K8" s="130">
        <v>237.4</v>
      </c>
      <c r="L8" s="131"/>
      <c r="M8" s="131"/>
      <c r="N8" s="134" t="s">
        <v>210</v>
      </c>
      <c r="O8" s="328" t="s">
        <v>212</v>
      </c>
      <c r="P8" s="329"/>
      <c r="Q8" s="330"/>
      <c r="R8" s="134" t="s">
        <v>107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3233</v>
      </c>
      <c r="C9" s="63" t="s">
        <v>165</v>
      </c>
      <c r="D9" s="201" t="s">
        <v>166</v>
      </c>
      <c r="E9" s="181" t="s">
        <v>92</v>
      </c>
      <c r="F9" s="172">
        <v>1000</v>
      </c>
      <c r="G9" s="119" t="s">
        <v>167</v>
      </c>
      <c r="H9" s="91">
        <v>300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210</v>
      </c>
      <c r="O9" s="328"/>
      <c r="P9" s="329"/>
      <c r="Q9" s="330"/>
      <c r="R9" s="26" t="s">
        <v>109</v>
      </c>
      <c r="S9" s="31">
        <v>0.41666666666666669</v>
      </c>
      <c r="T9" s="32">
        <v>0.72916666666666663</v>
      </c>
      <c r="U9" s="92">
        <f t="shared" si="0"/>
        <v>7.4999999999999982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3234</v>
      </c>
      <c r="C10" s="28" t="s">
        <v>168</v>
      </c>
      <c r="D10" s="202" t="s">
        <v>169</v>
      </c>
      <c r="E10" s="181" t="s">
        <v>92</v>
      </c>
      <c r="F10" s="173">
        <v>1040</v>
      </c>
      <c r="G10" s="120" t="s">
        <v>128</v>
      </c>
      <c r="H10" s="123"/>
      <c r="I10" s="125">
        <v>140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210</v>
      </c>
      <c r="O10" s="320"/>
      <c r="P10" s="321"/>
      <c r="Q10" s="322"/>
      <c r="R10" s="26" t="s">
        <v>110</v>
      </c>
      <c r="S10" s="31">
        <v>0.41666666666666669</v>
      </c>
      <c r="T10" s="32">
        <v>0.72916666666666663</v>
      </c>
      <c r="U10" s="92">
        <f t="shared" si="0"/>
        <v>7.4999999999999982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3235</v>
      </c>
      <c r="C11" s="18" t="s">
        <v>170</v>
      </c>
      <c r="D11" s="203" t="s">
        <v>171</v>
      </c>
      <c r="E11" s="181" t="s">
        <v>91</v>
      </c>
      <c r="F11" s="66">
        <v>1040</v>
      </c>
      <c r="G11" s="121" t="s">
        <v>128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210</v>
      </c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3236</v>
      </c>
      <c r="C12" s="64" t="s">
        <v>172</v>
      </c>
      <c r="D12" s="204" t="s">
        <v>173</v>
      </c>
      <c r="E12" s="181" t="s">
        <v>92</v>
      </c>
      <c r="F12" s="173">
        <v>1100</v>
      </c>
      <c r="G12" s="119" t="s">
        <v>115</v>
      </c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210</v>
      </c>
      <c r="O12" s="298" t="s">
        <v>174</v>
      </c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3237</v>
      </c>
      <c r="C13" s="64" t="s">
        <v>175</v>
      </c>
      <c r="D13" s="204" t="s">
        <v>176</v>
      </c>
      <c r="E13" s="181" t="s">
        <v>92</v>
      </c>
      <c r="F13" s="173">
        <v>1105</v>
      </c>
      <c r="G13" s="119" t="s">
        <v>177</v>
      </c>
      <c r="H13" s="169"/>
      <c r="I13" s="168">
        <v>280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210</v>
      </c>
      <c r="O13" s="298" t="s">
        <v>129</v>
      </c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3238</v>
      </c>
      <c r="C14" s="65" t="s">
        <v>178</v>
      </c>
      <c r="D14" s="205" t="s">
        <v>179</v>
      </c>
      <c r="E14" s="181" t="s">
        <v>92</v>
      </c>
      <c r="F14" s="174">
        <v>1125</v>
      </c>
      <c r="G14" s="122" t="s">
        <v>128</v>
      </c>
      <c r="H14" s="123"/>
      <c r="I14" s="125">
        <v>150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210</v>
      </c>
      <c r="O14" s="298" t="s">
        <v>129</v>
      </c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3239</v>
      </c>
      <c r="C15" s="65" t="s">
        <v>180</v>
      </c>
      <c r="D15" s="205" t="s">
        <v>181</v>
      </c>
      <c r="E15" s="181" t="s">
        <v>92</v>
      </c>
      <c r="F15" s="174">
        <v>1130</v>
      </c>
      <c r="G15" s="122" t="s">
        <v>182</v>
      </c>
      <c r="H15" s="123"/>
      <c r="I15" s="124"/>
      <c r="J15" s="130" t="str">
        <f t="shared" si="1"/>
        <v>0</v>
      </c>
      <c r="K15" s="130">
        <v>62.5</v>
      </c>
      <c r="L15" s="131"/>
      <c r="M15" s="131"/>
      <c r="N15" s="134" t="s">
        <v>210</v>
      </c>
      <c r="O15" s="298" t="s">
        <v>183</v>
      </c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3240</v>
      </c>
      <c r="C16" s="65" t="s">
        <v>184</v>
      </c>
      <c r="D16" s="205" t="s">
        <v>185</v>
      </c>
      <c r="E16" s="181" t="s">
        <v>91</v>
      </c>
      <c r="F16" s="174">
        <v>1200</v>
      </c>
      <c r="G16" s="122" t="s">
        <v>44</v>
      </c>
      <c r="H16" s="123"/>
      <c r="I16" s="124">
        <v>45</v>
      </c>
      <c r="J16" s="130" t="str">
        <f t="shared" si="1"/>
        <v>55</v>
      </c>
      <c r="K16" s="130" t="str">
        <f t="shared" si="2"/>
        <v>0</v>
      </c>
      <c r="L16" s="131"/>
      <c r="M16" s="131"/>
      <c r="N16" s="134" t="s">
        <v>210</v>
      </c>
      <c r="O16" s="298" t="s">
        <v>188</v>
      </c>
      <c r="P16" s="297"/>
      <c r="Q16" s="299"/>
      <c r="R16" s="82">
        <f>H32/U16</f>
        <v>0.45544554455445546</v>
      </c>
      <c r="S16" s="83">
        <f>H32/(U16-U5)</f>
        <v>0.56097560975609762</v>
      </c>
      <c r="T16" s="83">
        <f>C32/U16</f>
        <v>57.126732673267327</v>
      </c>
      <c r="U16" s="83">
        <f>SUM(U5:U15)</f>
        <v>50.5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3241</v>
      </c>
      <c r="C17" s="18" t="s">
        <v>186</v>
      </c>
      <c r="D17" s="203" t="s">
        <v>187</v>
      </c>
      <c r="E17" s="181" t="s">
        <v>92</v>
      </c>
      <c r="F17" s="66">
        <v>1230</v>
      </c>
      <c r="G17" s="121" t="s">
        <v>132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210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3242</v>
      </c>
      <c r="C18" s="18" t="s">
        <v>189</v>
      </c>
      <c r="D18" s="203" t="s">
        <v>190</v>
      </c>
      <c r="E18" s="181" t="s">
        <v>92</v>
      </c>
      <c r="F18" s="66">
        <v>1230</v>
      </c>
      <c r="G18" s="20" t="s">
        <v>132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210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3243</v>
      </c>
      <c r="C19" s="18" t="s">
        <v>191</v>
      </c>
      <c r="D19" s="203" t="s">
        <v>192</v>
      </c>
      <c r="E19" s="181" t="s">
        <v>92</v>
      </c>
      <c r="F19" s="66">
        <v>1250</v>
      </c>
      <c r="G19" s="121" t="s">
        <v>132</v>
      </c>
      <c r="H19" s="123"/>
      <c r="I19" s="124">
        <v>85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210</v>
      </c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3244</v>
      </c>
      <c r="C20" s="18" t="s">
        <v>193</v>
      </c>
      <c r="D20" s="203" t="s">
        <v>194</v>
      </c>
      <c r="E20" s="181" t="s">
        <v>92</v>
      </c>
      <c r="F20" s="66">
        <v>1305</v>
      </c>
      <c r="G20" s="121" t="s">
        <v>132</v>
      </c>
      <c r="H20" s="123"/>
      <c r="I20" s="124">
        <v>120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210</v>
      </c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3245</v>
      </c>
      <c r="C21" s="18" t="s">
        <v>195</v>
      </c>
      <c r="D21" s="203" t="s">
        <v>196</v>
      </c>
      <c r="E21" s="181" t="s">
        <v>92</v>
      </c>
      <c r="F21" s="66">
        <v>1400</v>
      </c>
      <c r="G21" s="20" t="s">
        <v>132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210</v>
      </c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3246</v>
      </c>
      <c r="C22" s="127" t="s">
        <v>197</v>
      </c>
      <c r="D22" s="206" t="s">
        <v>173</v>
      </c>
      <c r="E22" s="181" t="s">
        <v>92</v>
      </c>
      <c r="F22" s="175">
        <v>1420</v>
      </c>
      <c r="G22" s="263" t="s">
        <v>115</v>
      </c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210</v>
      </c>
      <c r="O22" s="298" t="s">
        <v>198</v>
      </c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3247</v>
      </c>
      <c r="C23" s="136" t="s">
        <v>199</v>
      </c>
      <c r="D23" s="207" t="s">
        <v>200</v>
      </c>
      <c r="E23" s="181" t="s">
        <v>91</v>
      </c>
      <c r="F23" s="176">
        <v>1455</v>
      </c>
      <c r="G23" s="165" t="s">
        <v>201</v>
      </c>
      <c r="H23" s="89"/>
      <c r="I23" s="141">
        <v>220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210</v>
      </c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3248</v>
      </c>
      <c r="C24" s="127" t="s">
        <v>202</v>
      </c>
      <c r="D24" s="206" t="s">
        <v>203</v>
      </c>
      <c r="E24" s="181" t="s">
        <v>92</v>
      </c>
      <c r="F24" s="175">
        <v>1520</v>
      </c>
      <c r="G24" s="263" t="s">
        <v>128</v>
      </c>
      <c r="H24" s="89"/>
      <c r="I24" s="141">
        <v>150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210</v>
      </c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3249</v>
      </c>
      <c r="C25" s="132" t="s">
        <v>204</v>
      </c>
      <c r="D25" s="208" t="s">
        <v>205</v>
      </c>
      <c r="E25" s="181" t="s">
        <v>92</v>
      </c>
      <c r="F25" s="175">
        <v>1545</v>
      </c>
      <c r="G25" s="263" t="s">
        <v>128</v>
      </c>
      <c r="H25" s="90"/>
      <c r="I25" s="90">
        <v>150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210</v>
      </c>
      <c r="O25" s="298"/>
      <c r="P25" s="297"/>
      <c r="Q25" s="299"/>
      <c r="R25" s="100">
        <f>COUNTIF(G5:G29,"GV1")+COUNTIF(G37:G61,"GV1")+COUNTIF(G69:G93,"GV1")</f>
        <v>2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2922.4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3250</v>
      </c>
      <c r="C26" s="27" t="s">
        <v>206</v>
      </c>
      <c r="D26" s="209" t="s">
        <v>207</v>
      </c>
      <c r="E26" s="181" t="s">
        <v>92</v>
      </c>
      <c r="F26" s="177">
        <v>1550</v>
      </c>
      <c r="G26" s="20" t="s">
        <v>128</v>
      </c>
      <c r="H26" s="89">
        <v>140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210</v>
      </c>
      <c r="O26" s="298"/>
      <c r="P26" s="297"/>
      <c r="Q26" s="299"/>
      <c r="R26" s="112">
        <f>R25*37.5</f>
        <v>75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3251</v>
      </c>
      <c r="C27" s="27" t="s">
        <v>208</v>
      </c>
      <c r="D27" s="209" t="s">
        <v>209</v>
      </c>
      <c r="E27" s="181" t="s">
        <v>91</v>
      </c>
      <c r="F27" s="177">
        <v>1630</v>
      </c>
      <c r="G27" s="20" t="s">
        <v>112</v>
      </c>
      <c r="H27" s="89"/>
      <c r="I27" s="141">
        <v>75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210</v>
      </c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440</v>
      </c>
      <c r="I30" s="105">
        <f>SUM(I5:I29)</f>
        <v>2090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299.89999999999998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440</v>
      </c>
      <c r="I31" s="103">
        <f t="shared" si="4"/>
        <v>2090</v>
      </c>
      <c r="J31" s="103">
        <f t="shared" si="4"/>
        <v>55</v>
      </c>
      <c r="K31" s="103">
        <f>K30+K62+K94</f>
        <v>299.89999999999998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17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440</v>
      </c>
      <c r="T31" s="337">
        <f>H31+I31+L31+M31</f>
        <v>2530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2884.9</v>
      </c>
      <c r="D32" s="196"/>
      <c r="E32" s="107"/>
      <c r="F32" s="359" t="s">
        <v>53</v>
      </c>
      <c r="G32" s="359"/>
      <c r="H32" s="109">
        <f>COUNT(B5:B29,B37:B61,B69:B93)</f>
        <v>23</v>
      </c>
      <c r="I32" s="360" t="s">
        <v>54</v>
      </c>
      <c r="J32" s="360"/>
      <c r="K32" s="108">
        <f>C32/H32</f>
        <v>125.4304347826087</v>
      </c>
      <c r="L32" s="260"/>
      <c r="M32" s="260"/>
      <c r="N32" s="260">
        <f>H31/C32</f>
        <v>0.15251828486256022</v>
      </c>
      <c r="O32" s="260">
        <f>I31/C32</f>
        <v>0.72446185309716105</v>
      </c>
      <c r="P32" s="260">
        <f>K31/C32</f>
        <v>0.10395507643245866</v>
      </c>
      <c r="Q32" s="110">
        <f>J31/C32</f>
        <v>1.9064785607820028E-2</v>
      </c>
      <c r="R32" s="99" t="s">
        <v>82</v>
      </c>
      <c r="S32" s="266">
        <f>I31+M31</f>
        <v>2090</v>
      </c>
      <c r="T32" s="339"/>
      <c r="U32" s="340"/>
      <c r="V32" s="55"/>
      <c r="W32" s="55"/>
      <c r="X32" s="56" t="s">
        <v>27</v>
      </c>
      <c r="Y32" s="56"/>
      <c r="Z32" s="54">
        <f>I31</f>
        <v>2090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-655</v>
      </c>
      <c r="AE33" s="37"/>
      <c r="AF33" s="37"/>
      <c r="AG33" s="59"/>
      <c r="AH33" s="37"/>
    </row>
    <row r="34" spans="1:34" ht="17.25" thickBot="1" x14ac:dyDescent="0.35">
      <c r="A34" s="331" t="str">
        <f>A2</f>
        <v>15-02-2022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SUNNY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6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15-02-2022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SUNNY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6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E21" sqref="E2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99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211</v>
      </c>
      <c r="K2" s="333"/>
      <c r="L2" s="335" t="s">
        <v>96</v>
      </c>
      <c r="M2" s="336"/>
      <c r="N2" s="334"/>
      <c r="O2" s="332" t="s">
        <v>210</v>
      </c>
      <c r="P2" s="332"/>
      <c r="Q2" s="333"/>
      <c r="R2" s="335" t="s">
        <v>51</v>
      </c>
      <c r="S2" s="334"/>
      <c r="T2" s="323">
        <v>6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3252</v>
      </c>
      <c r="C5" s="68" t="s">
        <v>213</v>
      </c>
      <c r="D5" s="200" t="s">
        <v>214</v>
      </c>
      <c r="E5" s="181" t="s">
        <v>155</v>
      </c>
      <c r="F5" s="170">
        <v>855</v>
      </c>
      <c r="G5" s="118" t="s">
        <v>141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 t="s">
        <v>210</v>
      </c>
      <c r="O5" s="370" t="s">
        <v>215</v>
      </c>
      <c r="P5" s="371"/>
      <c r="Q5" s="372"/>
      <c r="R5" s="33" t="s">
        <v>210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3253</v>
      </c>
      <c r="C6" s="67" t="s">
        <v>216</v>
      </c>
      <c r="D6" s="200" t="s">
        <v>217</v>
      </c>
      <c r="E6" s="181" t="s">
        <v>156</v>
      </c>
      <c r="F6" s="171">
        <v>900</v>
      </c>
      <c r="G6" s="118" t="s">
        <v>128</v>
      </c>
      <c r="H6" s="91">
        <v>150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210</v>
      </c>
      <c r="O6" s="325"/>
      <c r="P6" s="326"/>
      <c r="Q6" s="327"/>
      <c r="R6" s="33" t="s">
        <v>105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3254</v>
      </c>
      <c r="C7" s="67" t="s">
        <v>218</v>
      </c>
      <c r="D7" s="200" t="s">
        <v>219</v>
      </c>
      <c r="E7" s="181" t="s">
        <v>92</v>
      </c>
      <c r="F7" s="171">
        <v>910</v>
      </c>
      <c r="G7" s="118" t="s">
        <v>132</v>
      </c>
      <c r="H7" s="91"/>
      <c r="I7" s="124">
        <v>85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210</v>
      </c>
      <c r="O7" s="298"/>
      <c r="P7" s="297"/>
      <c r="Q7" s="299"/>
      <c r="R7" s="132" t="s">
        <v>106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3255</v>
      </c>
      <c r="C8" s="27" t="s">
        <v>220</v>
      </c>
      <c r="D8" s="200" t="s">
        <v>221</v>
      </c>
      <c r="E8" s="181" t="s">
        <v>91</v>
      </c>
      <c r="F8" s="171">
        <v>1005</v>
      </c>
      <c r="G8" s="118" t="s">
        <v>132</v>
      </c>
      <c r="H8" s="91"/>
      <c r="I8" s="124">
        <v>80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210</v>
      </c>
      <c r="O8" s="328"/>
      <c r="P8" s="329"/>
      <c r="Q8" s="330"/>
      <c r="R8" s="134" t="s">
        <v>107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3256</v>
      </c>
      <c r="C9" s="63" t="s">
        <v>222</v>
      </c>
      <c r="D9" s="201" t="s">
        <v>223</v>
      </c>
      <c r="E9" s="181" t="s">
        <v>92</v>
      </c>
      <c r="F9" s="172">
        <v>1010</v>
      </c>
      <c r="G9" s="119" t="s">
        <v>112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210</v>
      </c>
      <c r="O9" s="328"/>
      <c r="P9" s="329"/>
      <c r="Q9" s="330"/>
      <c r="R9" s="26" t="s">
        <v>109</v>
      </c>
      <c r="S9" s="31">
        <v>0.41666666666666669</v>
      </c>
      <c r="T9" s="32">
        <v>0.6875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3257</v>
      </c>
      <c r="C10" s="28" t="s">
        <v>226</v>
      </c>
      <c r="D10" s="202" t="s">
        <v>227</v>
      </c>
      <c r="E10" s="181" t="s">
        <v>92</v>
      </c>
      <c r="F10" s="173">
        <v>1045</v>
      </c>
      <c r="G10" s="120" t="s">
        <v>132</v>
      </c>
      <c r="H10" s="123"/>
      <c r="I10" s="125">
        <v>85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210</v>
      </c>
      <c r="O10" s="320"/>
      <c r="P10" s="321"/>
      <c r="Q10" s="322"/>
      <c r="R10" s="26" t="s">
        <v>110</v>
      </c>
      <c r="S10" s="31">
        <v>0.41666666666666669</v>
      </c>
      <c r="T10" s="32">
        <v>0.6875</v>
      </c>
      <c r="U10" s="92">
        <f t="shared" si="0"/>
        <v>6.5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3258</v>
      </c>
      <c r="C11" s="18" t="s">
        <v>224</v>
      </c>
      <c r="D11" s="203" t="s">
        <v>225</v>
      </c>
      <c r="E11" s="181" t="s">
        <v>92</v>
      </c>
      <c r="F11" s="66">
        <v>1045</v>
      </c>
      <c r="G11" s="121" t="s">
        <v>112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210</v>
      </c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3259</v>
      </c>
      <c r="C12" s="64" t="s">
        <v>228</v>
      </c>
      <c r="D12" s="204" t="s">
        <v>229</v>
      </c>
      <c r="E12" s="181" t="s">
        <v>92</v>
      </c>
      <c r="F12" s="173">
        <v>1100</v>
      </c>
      <c r="G12" s="119" t="s">
        <v>132</v>
      </c>
      <c r="H12" s="123"/>
      <c r="I12" s="125">
        <v>85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210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3260</v>
      </c>
      <c r="C13" s="64" t="s">
        <v>230</v>
      </c>
      <c r="D13" s="204" t="s">
        <v>231</v>
      </c>
      <c r="E13" s="181" t="s">
        <v>92</v>
      </c>
      <c r="F13" s="173">
        <v>1100</v>
      </c>
      <c r="G13" s="119" t="s">
        <v>132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210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3261</v>
      </c>
      <c r="C14" s="65" t="s">
        <v>232</v>
      </c>
      <c r="D14" s="205" t="s">
        <v>233</v>
      </c>
      <c r="E14" s="181" t="s">
        <v>91</v>
      </c>
      <c r="F14" s="174">
        <v>1110</v>
      </c>
      <c r="G14" s="122" t="s">
        <v>128</v>
      </c>
      <c r="H14" s="123"/>
      <c r="I14" s="125">
        <v>120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210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3262</v>
      </c>
      <c r="C15" s="65" t="s">
        <v>234</v>
      </c>
      <c r="D15" s="205" t="s">
        <v>235</v>
      </c>
      <c r="E15" s="181" t="s">
        <v>91</v>
      </c>
      <c r="F15" s="174">
        <v>1210</v>
      </c>
      <c r="G15" s="122" t="s">
        <v>44</v>
      </c>
      <c r="H15" s="123"/>
      <c r="I15" s="124"/>
      <c r="J15" s="130" t="str">
        <f t="shared" si="1"/>
        <v>55</v>
      </c>
      <c r="K15" s="130" t="str">
        <f t="shared" si="2"/>
        <v>0</v>
      </c>
      <c r="L15" s="131"/>
      <c r="M15" s="131"/>
      <c r="N15" s="134" t="s">
        <v>210</v>
      </c>
      <c r="O15" s="298" t="s">
        <v>246</v>
      </c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3263</v>
      </c>
      <c r="C16" s="65" t="s">
        <v>236</v>
      </c>
      <c r="D16" s="205" t="s">
        <v>237</v>
      </c>
      <c r="E16" s="181" t="s">
        <v>92</v>
      </c>
      <c r="F16" s="174">
        <v>1230</v>
      </c>
      <c r="G16" s="122" t="s">
        <v>44</v>
      </c>
      <c r="H16" s="123">
        <v>5</v>
      </c>
      <c r="I16" s="124"/>
      <c r="J16" s="130" t="str">
        <f t="shared" si="1"/>
        <v>55</v>
      </c>
      <c r="K16" s="130" t="str">
        <f t="shared" si="2"/>
        <v>0</v>
      </c>
      <c r="L16" s="131"/>
      <c r="M16" s="131"/>
      <c r="N16" s="134" t="s">
        <v>210</v>
      </c>
      <c r="O16" s="298" t="s">
        <v>247</v>
      </c>
      <c r="P16" s="297"/>
      <c r="Q16" s="299"/>
      <c r="R16" s="82">
        <f>H32/U16</f>
        <v>0.36170212765957444</v>
      </c>
      <c r="S16" s="83">
        <f>H32/(U16-U5)</f>
        <v>0.44736842105263147</v>
      </c>
      <c r="T16" s="83">
        <f>C32/U16</f>
        <v>35.636170212765954</v>
      </c>
      <c r="U16" s="83">
        <f>SUM(U5:U15)</f>
        <v>47.000000000000007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3264</v>
      </c>
      <c r="C17" s="18" t="s">
        <v>238</v>
      </c>
      <c r="D17" s="203" t="s">
        <v>239</v>
      </c>
      <c r="E17" s="181" t="s">
        <v>92</v>
      </c>
      <c r="F17" s="66">
        <v>1230</v>
      </c>
      <c r="G17" s="121" t="s">
        <v>112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210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3265</v>
      </c>
      <c r="C18" s="18" t="s">
        <v>240</v>
      </c>
      <c r="D18" s="203" t="s">
        <v>241</v>
      </c>
      <c r="E18" s="181" t="s">
        <v>92</v>
      </c>
      <c r="F18" s="66">
        <v>1245</v>
      </c>
      <c r="G18" s="20" t="s">
        <v>242</v>
      </c>
      <c r="H18" s="123"/>
      <c r="I18" s="124">
        <v>280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210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3266</v>
      </c>
      <c r="C19" s="18" t="s">
        <v>243</v>
      </c>
      <c r="D19" s="203" t="s">
        <v>244</v>
      </c>
      <c r="E19" s="181" t="s">
        <v>91</v>
      </c>
      <c r="F19" s="66">
        <v>1400</v>
      </c>
      <c r="G19" s="121" t="s">
        <v>44</v>
      </c>
      <c r="H19" s="123"/>
      <c r="I19" s="124"/>
      <c r="J19" s="130">
        <v>110</v>
      </c>
      <c r="K19" s="130" t="str">
        <f t="shared" si="2"/>
        <v>0</v>
      </c>
      <c r="L19" s="131"/>
      <c r="M19" s="131"/>
      <c r="N19" s="134" t="s">
        <v>210</v>
      </c>
      <c r="O19" s="298" t="s">
        <v>245</v>
      </c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3267</v>
      </c>
      <c r="C20" s="18" t="s">
        <v>248</v>
      </c>
      <c r="D20" s="203" t="s">
        <v>249</v>
      </c>
      <c r="E20" s="181" t="s">
        <v>92</v>
      </c>
      <c r="F20" s="66">
        <v>1515</v>
      </c>
      <c r="G20" s="121" t="s">
        <v>128</v>
      </c>
      <c r="H20" s="123">
        <v>140</v>
      </c>
      <c r="I20" s="124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210</v>
      </c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3268</v>
      </c>
      <c r="C21" s="18" t="s">
        <v>251</v>
      </c>
      <c r="D21" s="203" t="s">
        <v>252</v>
      </c>
      <c r="E21" s="181" t="s">
        <v>92</v>
      </c>
      <c r="F21" s="66">
        <v>1555</v>
      </c>
      <c r="G21" s="20" t="s">
        <v>182</v>
      </c>
      <c r="H21" s="123"/>
      <c r="I21" s="124"/>
      <c r="J21" s="130" t="str">
        <f t="shared" si="1"/>
        <v>0</v>
      </c>
      <c r="K21" s="130" t="str">
        <f t="shared" si="2"/>
        <v>45.8</v>
      </c>
      <c r="L21" s="131"/>
      <c r="M21" s="131"/>
      <c r="N21" s="134" t="s">
        <v>210</v>
      </c>
      <c r="O21" s="298" t="s">
        <v>250</v>
      </c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/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/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/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/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1674.9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/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/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/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/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295</v>
      </c>
      <c r="I30" s="105">
        <f>SUM(I5:I29)</f>
        <v>1035</v>
      </c>
      <c r="J30" s="105">
        <f>J5+J6+J7+J8+J9+J10+J11+J12+J13+J14+J15+J16+J18+J19+J17+J20+J22+J23+J21+J24+J25+J26+J27+J28+J29</f>
        <v>220</v>
      </c>
      <c r="K30" s="105">
        <f>K5+K6+K7+K8+K9+K10+K11+K12+K13+K14+K15+K16+K18+K19+K17+K20+K22+K23+K21+K24+K25+K26+K27+K28+K29</f>
        <v>124.89999999999999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295</v>
      </c>
      <c r="I31" s="103">
        <f t="shared" si="4"/>
        <v>1035</v>
      </c>
      <c r="J31" s="103">
        <f t="shared" si="4"/>
        <v>220</v>
      </c>
      <c r="K31" s="103">
        <f>K30+K62+K94</f>
        <v>124.89999999999999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295</v>
      </c>
      <c r="T31" s="337">
        <f>H31+I31+L31+M31</f>
        <v>1330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1674.9</v>
      </c>
      <c r="D32" s="196"/>
      <c r="E32" s="107"/>
      <c r="F32" s="359" t="s">
        <v>53</v>
      </c>
      <c r="G32" s="359"/>
      <c r="H32" s="109">
        <f>COUNT(B5:B29,B37:B61,B69:B93)</f>
        <v>17</v>
      </c>
      <c r="I32" s="360" t="s">
        <v>54</v>
      </c>
      <c r="J32" s="360"/>
      <c r="K32" s="108">
        <f>C32/H32</f>
        <v>98.523529411764713</v>
      </c>
      <c r="L32" s="260"/>
      <c r="M32" s="260"/>
      <c r="N32" s="260">
        <f>H31/C32</f>
        <v>0.17612991820407187</v>
      </c>
      <c r="O32" s="260">
        <f>I31/C32</f>
        <v>0.61794734013970976</v>
      </c>
      <c r="P32" s="260">
        <f>K31/C32</f>
        <v>7.4571616215893477E-2</v>
      </c>
      <c r="Q32" s="110">
        <f>J31/C32</f>
        <v>0.13135112544032479</v>
      </c>
      <c r="R32" s="99" t="s">
        <v>82</v>
      </c>
      <c r="S32" s="266">
        <f>I31+M31</f>
        <v>1035</v>
      </c>
      <c r="T32" s="339"/>
      <c r="U32" s="340"/>
      <c r="V32" s="55"/>
      <c r="W32" s="55"/>
      <c r="X32" s="56" t="s">
        <v>27</v>
      </c>
      <c r="Y32" s="56"/>
      <c r="Z32" s="54">
        <f>I31</f>
        <v>1035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-1710</v>
      </c>
      <c r="AE33" s="37"/>
      <c r="AF33" s="37"/>
      <c r="AG33" s="59"/>
      <c r="AH33" s="37"/>
    </row>
    <row r="34" spans="1:34" ht="17.25" thickBot="1" x14ac:dyDescent="0.35">
      <c r="A34" s="331" t="str">
        <f>A2</f>
        <v>16-02-2022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SUNNY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6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1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3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4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5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6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7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8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9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10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11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12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13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14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15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16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17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18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19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20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21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22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23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24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25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16-02-2022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SUNNY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6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26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27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28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29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30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31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32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33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34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35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36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37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38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39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40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41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42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43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44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45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46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47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48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49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50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8" sqref="R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100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211</v>
      </c>
      <c r="K2" s="333"/>
      <c r="L2" s="335" t="s">
        <v>96</v>
      </c>
      <c r="M2" s="336"/>
      <c r="N2" s="334"/>
      <c r="O2" s="332" t="s">
        <v>210</v>
      </c>
      <c r="P2" s="332"/>
      <c r="Q2" s="333"/>
      <c r="R2" s="335" t="s">
        <v>51</v>
      </c>
      <c r="S2" s="334"/>
      <c r="T2" s="323">
        <v>6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3269</v>
      </c>
      <c r="C5" s="68" t="s">
        <v>253</v>
      </c>
      <c r="D5" s="200" t="s">
        <v>254</v>
      </c>
      <c r="E5" s="181" t="s">
        <v>155</v>
      </c>
      <c r="F5" s="170">
        <v>910</v>
      </c>
      <c r="G5" s="118" t="s">
        <v>132</v>
      </c>
      <c r="H5" s="91"/>
      <c r="I5" s="124">
        <v>90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210</v>
      </c>
      <c r="O5" s="370"/>
      <c r="P5" s="371"/>
      <c r="Q5" s="372"/>
      <c r="R5" s="33" t="s">
        <v>210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3270</v>
      </c>
      <c r="C6" s="67" t="s">
        <v>255</v>
      </c>
      <c r="D6" s="200" t="s">
        <v>256</v>
      </c>
      <c r="E6" s="181" t="s">
        <v>156</v>
      </c>
      <c r="F6" s="171">
        <v>915</v>
      </c>
      <c r="G6" s="118" t="s">
        <v>132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210</v>
      </c>
      <c r="O6" s="325"/>
      <c r="P6" s="326"/>
      <c r="Q6" s="327"/>
      <c r="R6" s="33" t="s">
        <v>105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3271</v>
      </c>
      <c r="C7" s="67" t="s">
        <v>257</v>
      </c>
      <c r="D7" s="200" t="s">
        <v>258</v>
      </c>
      <c r="E7" s="181" t="s">
        <v>91</v>
      </c>
      <c r="F7" s="171">
        <v>940</v>
      </c>
      <c r="G7" s="118" t="s">
        <v>141</v>
      </c>
      <c r="H7" s="91"/>
      <c r="I7" s="124"/>
      <c r="J7" s="130" t="str">
        <f t="shared" si="1"/>
        <v>0</v>
      </c>
      <c r="K7" s="130">
        <v>79.099999999999994</v>
      </c>
      <c r="L7" s="131"/>
      <c r="M7" s="131"/>
      <c r="N7" s="134" t="s">
        <v>210</v>
      </c>
      <c r="O7" s="298" t="s">
        <v>259</v>
      </c>
      <c r="P7" s="297"/>
      <c r="Q7" s="299"/>
      <c r="R7" s="132" t="s">
        <v>106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268">
        <v>3272</v>
      </c>
      <c r="C8" s="269" t="s">
        <v>260</v>
      </c>
      <c r="D8" s="270" t="s">
        <v>261</v>
      </c>
      <c r="E8" s="271" t="s">
        <v>91</v>
      </c>
      <c r="F8" s="272">
        <v>950</v>
      </c>
      <c r="G8" s="273" t="s">
        <v>141</v>
      </c>
      <c r="H8" s="274"/>
      <c r="I8" s="274">
        <v>100</v>
      </c>
      <c r="J8" s="274" t="str">
        <f t="shared" si="1"/>
        <v>0</v>
      </c>
      <c r="K8" s="274">
        <v>125</v>
      </c>
      <c r="L8" s="275"/>
      <c r="M8" s="275">
        <v>750</v>
      </c>
      <c r="N8" s="269" t="s">
        <v>210</v>
      </c>
      <c r="O8" s="373" t="s">
        <v>262</v>
      </c>
      <c r="P8" s="374"/>
      <c r="Q8" s="375"/>
      <c r="R8" s="134" t="s">
        <v>107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3273</v>
      </c>
      <c r="C9" s="63" t="s">
        <v>263</v>
      </c>
      <c r="D9" s="201" t="s">
        <v>264</v>
      </c>
      <c r="E9" s="181" t="s">
        <v>91</v>
      </c>
      <c r="F9" s="172">
        <v>1000</v>
      </c>
      <c r="G9" s="119" t="s">
        <v>182</v>
      </c>
      <c r="H9" s="91"/>
      <c r="I9" s="91"/>
      <c r="J9" s="130" t="str">
        <f t="shared" si="1"/>
        <v>0</v>
      </c>
      <c r="K9" s="130" t="str">
        <f t="shared" si="2"/>
        <v>45.8</v>
      </c>
      <c r="L9" s="131"/>
      <c r="M9" s="131"/>
      <c r="N9" s="134" t="s">
        <v>210</v>
      </c>
      <c r="O9" s="328" t="s">
        <v>265</v>
      </c>
      <c r="P9" s="329"/>
      <c r="Q9" s="330"/>
      <c r="R9" s="26" t="s">
        <v>108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3274</v>
      </c>
      <c r="C10" s="28" t="s">
        <v>266</v>
      </c>
      <c r="D10" s="202" t="s">
        <v>303</v>
      </c>
      <c r="E10" s="181" t="s">
        <v>92</v>
      </c>
      <c r="F10" s="173">
        <v>1015</v>
      </c>
      <c r="G10" s="120" t="s">
        <v>267</v>
      </c>
      <c r="H10" s="123"/>
      <c r="I10" s="125">
        <v>480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210</v>
      </c>
      <c r="O10" s="320"/>
      <c r="P10" s="321"/>
      <c r="Q10" s="322"/>
      <c r="R10" s="26" t="s">
        <v>110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273">
        <v>3275</v>
      </c>
      <c r="C11" s="276" t="s">
        <v>268</v>
      </c>
      <c r="D11" s="277" t="s">
        <v>171</v>
      </c>
      <c r="E11" s="271" t="s">
        <v>91</v>
      </c>
      <c r="F11" s="278">
        <v>1020</v>
      </c>
      <c r="G11" s="279" t="s">
        <v>141</v>
      </c>
      <c r="H11" s="280"/>
      <c r="I11" s="274">
        <v>55</v>
      </c>
      <c r="J11" s="274" t="str">
        <f t="shared" si="1"/>
        <v>0</v>
      </c>
      <c r="K11" s="274">
        <v>79.099999999999994</v>
      </c>
      <c r="L11" s="275"/>
      <c r="M11" s="275">
        <v>475</v>
      </c>
      <c r="N11" s="269" t="s">
        <v>210</v>
      </c>
      <c r="O11" s="373" t="s">
        <v>269</v>
      </c>
      <c r="P11" s="374"/>
      <c r="Q11" s="37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3276</v>
      </c>
      <c r="C12" s="64" t="s">
        <v>270</v>
      </c>
      <c r="D12" s="204" t="s">
        <v>271</v>
      </c>
      <c r="E12" s="181" t="s">
        <v>92</v>
      </c>
      <c r="F12" s="173">
        <v>1030</v>
      </c>
      <c r="G12" s="119" t="s">
        <v>112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210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3277</v>
      </c>
      <c r="C13" s="64" t="s">
        <v>272</v>
      </c>
      <c r="D13" s="204" t="s">
        <v>273</v>
      </c>
      <c r="E13" s="181" t="s">
        <v>92</v>
      </c>
      <c r="F13" s="173">
        <v>1100</v>
      </c>
      <c r="G13" s="119" t="s">
        <v>274</v>
      </c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210</v>
      </c>
      <c r="O13" s="298" t="s">
        <v>275</v>
      </c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3278</v>
      </c>
      <c r="C14" s="65" t="s">
        <v>276</v>
      </c>
      <c r="D14" s="205" t="s">
        <v>277</v>
      </c>
      <c r="E14" s="181" t="s">
        <v>91</v>
      </c>
      <c r="F14" s="174">
        <v>1110</v>
      </c>
      <c r="G14" s="122" t="s">
        <v>44</v>
      </c>
      <c r="H14" s="123"/>
      <c r="I14" s="125"/>
      <c r="J14" s="130">
        <v>110</v>
      </c>
      <c r="K14" s="130" t="str">
        <f t="shared" si="2"/>
        <v>0</v>
      </c>
      <c r="L14" s="131"/>
      <c r="M14" s="131"/>
      <c r="N14" s="134" t="s">
        <v>210</v>
      </c>
      <c r="O14" s="298" t="s">
        <v>278</v>
      </c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3279</v>
      </c>
      <c r="C15" s="65" t="s">
        <v>279</v>
      </c>
      <c r="D15" s="202" t="s">
        <v>303</v>
      </c>
      <c r="E15" s="181" t="s">
        <v>91</v>
      </c>
      <c r="F15" s="174">
        <v>1230</v>
      </c>
      <c r="G15" s="122" t="s">
        <v>274</v>
      </c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210</v>
      </c>
      <c r="O15" s="298" t="s">
        <v>280</v>
      </c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3280</v>
      </c>
      <c r="C16" s="65" t="s">
        <v>281</v>
      </c>
      <c r="D16" s="205" t="s">
        <v>282</v>
      </c>
      <c r="E16" s="181" t="s">
        <v>91</v>
      </c>
      <c r="F16" s="174">
        <v>1145</v>
      </c>
      <c r="G16" s="122" t="s">
        <v>132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210</v>
      </c>
      <c r="O16" s="298" t="s">
        <v>129</v>
      </c>
      <c r="P16" s="297"/>
      <c r="Q16" s="299"/>
      <c r="R16" s="82">
        <f>H32/U16</f>
        <v>0.44897959183673464</v>
      </c>
      <c r="S16" s="83">
        <f>H32/(U16-U5)</f>
        <v>0.54999999999999993</v>
      </c>
      <c r="T16" s="83">
        <f>C32/U16</f>
        <v>50.897959183673464</v>
      </c>
      <c r="U16" s="83">
        <f>SUM(U5:U15)</f>
        <v>49.000000000000007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3281</v>
      </c>
      <c r="C17" s="18" t="s">
        <v>283</v>
      </c>
      <c r="D17" s="203" t="s">
        <v>284</v>
      </c>
      <c r="E17" s="181" t="s">
        <v>92</v>
      </c>
      <c r="F17" s="66">
        <v>1145</v>
      </c>
      <c r="G17" s="121" t="s">
        <v>132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210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3282</v>
      </c>
      <c r="C18" s="18" t="s">
        <v>285</v>
      </c>
      <c r="D18" s="203" t="s">
        <v>286</v>
      </c>
      <c r="E18" s="181" t="s">
        <v>92</v>
      </c>
      <c r="F18" s="66">
        <v>1200</v>
      </c>
      <c r="G18" s="20" t="s">
        <v>112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210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3283</v>
      </c>
      <c r="C19" s="18" t="s">
        <v>298</v>
      </c>
      <c r="D19" s="200" t="s">
        <v>261</v>
      </c>
      <c r="E19" s="181" t="s">
        <v>91</v>
      </c>
      <c r="F19" s="66">
        <v>1220</v>
      </c>
      <c r="G19" s="121" t="s">
        <v>132</v>
      </c>
      <c r="H19" s="123"/>
      <c r="I19" s="124">
        <v>100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210</v>
      </c>
      <c r="O19" s="298"/>
      <c r="P19" s="297"/>
      <c r="Q19" s="297"/>
      <c r="R19" s="93" t="s">
        <v>45</v>
      </c>
      <c r="S19" s="94">
        <f>COUNT(L5:M29,L37:M61,L69:M93)</f>
        <v>2</v>
      </c>
      <c r="T19" s="116">
        <f>SUM(L5:M29,L37:M61,L69:M93)</f>
        <v>1225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3284</v>
      </c>
      <c r="C20" s="18" t="s">
        <v>287</v>
      </c>
      <c r="D20" s="203" t="s">
        <v>288</v>
      </c>
      <c r="E20" s="181" t="s">
        <v>92</v>
      </c>
      <c r="F20" s="66">
        <v>1250</v>
      </c>
      <c r="G20" s="121" t="s">
        <v>128</v>
      </c>
      <c r="H20" s="123"/>
      <c r="I20" s="124">
        <v>140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210</v>
      </c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3285</v>
      </c>
      <c r="C21" s="18" t="s">
        <v>289</v>
      </c>
      <c r="D21" s="203" t="s">
        <v>290</v>
      </c>
      <c r="E21" s="181" t="s">
        <v>92</v>
      </c>
      <c r="F21" s="66">
        <v>1250</v>
      </c>
      <c r="G21" s="121" t="s">
        <v>132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210</v>
      </c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3286</v>
      </c>
      <c r="C22" s="127" t="s">
        <v>291</v>
      </c>
      <c r="D22" s="206" t="s">
        <v>292</v>
      </c>
      <c r="E22" s="181" t="s">
        <v>91</v>
      </c>
      <c r="F22" s="175">
        <v>1325</v>
      </c>
      <c r="G22" s="263" t="s">
        <v>128</v>
      </c>
      <c r="H22" s="89"/>
      <c r="I22" s="141">
        <v>150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210</v>
      </c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3287</v>
      </c>
      <c r="C23" s="136" t="s">
        <v>293</v>
      </c>
      <c r="D23" s="207" t="s">
        <v>294</v>
      </c>
      <c r="E23" s="181" t="s">
        <v>92</v>
      </c>
      <c r="F23" s="176">
        <v>1330</v>
      </c>
      <c r="G23" s="165" t="s">
        <v>295</v>
      </c>
      <c r="H23" s="89"/>
      <c r="I23" s="141">
        <v>180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210</v>
      </c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3288</v>
      </c>
      <c r="C24" s="127" t="s">
        <v>296</v>
      </c>
      <c r="D24" s="206" t="s">
        <v>297</v>
      </c>
      <c r="E24" s="181" t="s">
        <v>92</v>
      </c>
      <c r="F24" s="175">
        <v>1420</v>
      </c>
      <c r="G24" s="263" t="s">
        <v>132</v>
      </c>
      <c r="H24" s="89">
        <v>75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210</v>
      </c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3289</v>
      </c>
      <c r="C25" s="132" t="s">
        <v>299</v>
      </c>
      <c r="D25" s="208" t="s">
        <v>300</v>
      </c>
      <c r="E25" s="181" t="s">
        <v>91</v>
      </c>
      <c r="F25" s="175">
        <v>1540</v>
      </c>
      <c r="G25" s="263" t="s">
        <v>132</v>
      </c>
      <c r="H25" s="90"/>
      <c r="I25" s="90">
        <v>75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210</v>
      </c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2</v>
      </c>
      <c r="U25" s="368">
        <f>((C32+(R26+S26+T26)*0.5))</f>
        <v>2544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3290</v>
      </c>
      <c r="C26" s="27" t="s">
        <v>301</v>
      </c>
      <c r="D26" s="209" t="s">
        <v>302</v>
      </c>
      <c r="E26" s="181" t="s">
        <v>91</v>
      </c>
      <c r="F26" s="177">
        <v>1610</v>
      </c>
      <c r="G26" s="20" t="s">
        <v>128</v>
      </c>
      <c r="H26" s="89"/>
      <c r="I26" s="141">
        <v>120</v>
      </c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100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245</v>
      </c>
      <c r="I30" s="105">
        <f>SUM(I5:I29)</f>
        <v>1810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329</v>
      </c>
      <c r="L30" s="106">
        <f t="shared" si="3"/>
        <v>0</v>
      </c>
      <c r="M30" s="106">
        <f t="shared" si="3"/>
        <v>1225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245</v>
      </c>
      <c r="I31" s="103">
        <f t="shared" si="4"/>
        <v>1810</v>
      </c>
      <c r="J31" s="103">
        <f t="shared" si="4"/>
        <v>110</v>
      </c>
      <c r="K31" s="103">
        <f>K30+K62+K94</f>
        <v>329</v>
      </c>
      <c r="L31" s="97">
        <f>L30+L62+L94</f>
        <v>0</v>
      </c>
      <c r="M31" s="97">
        <f>M30+M62+M94</f>
        <v>1225</v>
      </c>
      <c r="N31" s="262">
        <f>COUNT(H5:H29,H37:H61,H69:H93)</f>
        <v>3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245</v>
      </c>
      <c r="T31" s="337">
        <f>H31+I31+L31+M31</f>
        <v>3280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2494</v>
      </c>
      <c r="D32" s="196"/>
      <c r="E32" s="107"/>
      <c r="F32" s="359" t="s">
        <v>53</v>
      </c>
      <c r="G32" s="359"/>
      <c r="H32" s="109">
        <f>COUNT(B5:B29,B37:B61,B69:B93)</f>
        <v>22</v>
      </c>
      <c r="I32" s="360" t="s">
        <v>54</v>
      </c>
      <c r="J32" s="360"/>
      <c r="K32" s="108">
        <f>C32/H32</f>
        <v>113.36363636363636</v>
      </c>
      <c r="L32" s="260"/>
      <c r="M32" s="260"/>
      <c r="N32" s="260">
        <f>H31/C32</f>
        <v>9.8235765838011233E-2</v>
      </c>
      <c r="O32" s="260">
        <f>I31/C32</f>
        <v>0.72574178027265435</v>
      </c>
      <c r="P32" s="260">
        <f>K31/C32</f>
        <v>0.13191659983961507</v>
      </c>
      <c r="Q32" s="110">
        <f>J31/C32</f>
        <v>4.4105854049719326E-2</v>
      </c>
      <c r="R32" s="99" t="s">
        <v>82</v>
      </c>
      <c r="S32" s="266">
        <f>I31+M31</f>
        <v>3035</v>
      </c>
      <c r="T32" s="339"/>
      <c r="U32" s="340"/>
      <c r="V32" s="55"/>
      <c r="W32" s="55"/>
      <c r="X32" s="56" t="s">
        <v>27</v>
      </c>
      <c r="Y32" s="56"/>
      <c r="Z32" s="54">
        <f>I31</f>
        <v>1810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-935</v>
      </c>
      <c r="AE33" s="37"/>
      <c r="AF33" s="37"/>
      <c r="AG33" s="59"/>
      <c r="AH33" s="37"/>
    </row>
    <row r="34" spans="1:34" ht="17.25" thickBot="1" x14ac:dyDescent="0.35">
      <c r="A34" s="331" t="str">
        <f>A2</f>
        <v>17-02-2022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SUNNY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6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17-02-2022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SUNNY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6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10" sqref="R10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101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211</v>
      </c>
      <c r="K2" s="333"/>
      <c r="L2" s="335" t="s">
        <v>96</v>
      </c>
      <c r="M2" s="336"/>
      <c r="N2" s="334"/>
      <c r="O2" s="332" t="s">
        <v>210</v>
      </c>
      <c r="P2" s="332"/>
      <c r="Q2" s="333"/>
      <c r="R2" s="335" t="s">
        <v>51</v>
      </c>
      <c r="S2" s="334"/>
      <c r="T2" s="323">
        <v>7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3291</v>
      </c>
      <c r="C5" s="68" t="s">
        <v>304</v>
      </c>
      <c r="D5" s="200" t="s">
        <v>305</v>
      </c>
      <c r="E5" s="181" t="s">
        <v>156</v>
      </c>
      <c r="F5" s="170">
        <v>835</v>
      </c>
      <c r="G5" s="118" t="s">
        <v>132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33" t="s">
        <v>105</v>
      </c>
      <c r="O5" s="370"/>
      <c r="P5" s="371"/>
      <c r="Q5" s="372"/>
      <c r="R5" s="33" t="s">
        <v>210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3292</v>
      </c>
      <c r="C6" s="67" t="s">
        <v>306</v>
      </c>
      <c r="D6" s="200" t="s">
        <v>307</v>
      </c>
      <c r="E6" s="181" t="s">
        <v>92</v>
      </c>
      <c r="F6" s="171">
        <v>905</v>
      </c>
      <c r="G6" s="118" t="s">
        <v>112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210</v>
      </c>
      <c r="O6" s="325"/>
      <c r="P6" s="326"/>
      <c r="Q6" s="327"/>
      <c r="R6" s="33" t="s">
        <v>105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3293</v>
      </c>
      <c r="C7" s="67" t="s">
        <v>308</v>
      </c>
      <c r="D7" s="200" t="s">
        <v>309</v>
      </c>
      <c r="E7" s="181" t="s">
        <v>92</v>
      </c>
      <c r="F7" s="171">
        <v>935</v>
      </c>
      <c r="G7" s="118" t="s">
        <v>132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210</v>
      </c>
      <c r="O7" s="298" t="s">
        <v>129</v>
      </c>
      <c r="P7" s="297"/>
      <c r="Q7" s="299"/>
      <c r="R7" s="132" t="s">
        <v>106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3294</v>
      </c>
      <c r="C8" s="27" t="s">
        <v>310</v>
      </c>
      <c r="D8" s="200" t="s">
        <v>311</v>
      </c>
      <c r="E8" s="181" t="s">
        <v>92</v>
      </c>
      <c r="F8" s="171">
        <v>1000</v>
      </c>
      <c r="G8" s="118" t="s">
        <v>112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210</v>
      </c>
      <c r="O8" s="328"/>
      <c r="P8" s="329"/>
      <c r="Q8" s="330"/>
      <c r="R8" s="26" t="s">
        <v>109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3295</v>
      </c>
      <c r="C9" s="63" t="s">
        <v>312</v>
      </c>
      <c r="D9" s="201" t="s">
        <v>313</v>
      </c>
      <c r="E9" s="181" t="s">
        <v>92</v>
      </c>
      <c r="F9" s="172">
        <v>1000</v>
      </c>
      <c r="G9" s="119" t="s">
        <v>112</v>
      </c>
      <c r="H9" s="91">
        <v>55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210</v>
      </c>
      <c r="O9" s="328"/>
      <c r="P9" s="329"/>
      <c r="Q9" s="330"/>
      <c r="R9" s="26" t="s">
        <v>108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3296</v>
      </c>
      <c r="C10" s="28" t="s">
        <v>314</v>
      </c>
      <c r="D10" s="202" t="s">
        <v>315</v>
      </c>
      <c r="E10" s="181" t="s">
        <v>92</v>
      </c>
      <c r="F10" s="173">
        <v>1010</v>
      </c>
      <c r="G10" s="120" t="s">
        <v>128</v>
      </c>
      <c r="H10" s="123"/>
      <c r="I10" s="125">
        <v>120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210</v>
      </c>
      <c r="O10" s="320"/>
      <c r="P10" s="321"/>
      <c r="Q10" s="322"/>
      <c r="R10" s="26" t="s">
        <v>110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3297</v>
      </c>
      <c r="C11" s="18" t="s">
        <v>316</v>
      </c>
      <c r="D11" s="203" t="s">
        <v>317</v>
      </c>
      <c r="E11" s="181" t="s">
        <v>92</v>
      </c>
      <c r="F11" s="66">
        <v>1020</v>
      </c>
      <c r="G11" s="121" t="s">
        <v>112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210</v>
      </c>
      <c r="O11" s="298"/>
      <c r="P11" s="297"/>
      <c r="Q11" s="299"/>
      <c r="R11" s="26" t="s">
        <v>344</v>
      </c>
      <c r="S11" s="31">
        <v>0.44791666666666669</v>
      </c>
      <c r="T11" s="32">
        <v>0.625</v>
      </c>
      <c r="U11" s="92">
        <f t="shared" si="0"/>
        <v>4.25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3298</v>
      </c>
      <c r="C12" s="64" t="s">
        <v>337</v>
      </c>
      <c r="D12" s="204" t="s">
        <v>338</v>
      </c>
      <c r="E12" s="181" t="s">
        <v>92</v>
      </c>
      <c r="F12" s="173">
        <v>1035</v>
      </c>
      <c r="G12" s="119" t="s">
        <v>242</v>
      </c>
      <c r="H12" s="123"/>
      <c r="I12" s="125">
        <v>280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210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3299</v>
      </c>
      <c r="C13" s="64" t="s">
        <v>318</v>
      </c>
      <c r="D13" s="204" t="s">
        <v>319</v>
      </c>
      <c r="E13" s="181" t="s">
        <v>92</v>
      </c>
      <c r="F13" s="173">
        <v>1100</v>
      </c>
      <c r="G13" s="119" t="s">
        <v>132</v>
      </c>
      <c r="H13" s="123">
        <v>95</v>
      </c>
      <c r="I13" s="125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210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3300</v>
      </c>
      <c r="C14" s="64" t="s">
        <v>320</v>
      </c>
      <c r="D14" s="204" t="s">
        <v>321</v>
      </c>
      <c r="E14" s="181" t="s">
        <v>155</v>
      </c>
      <c r="F14" s="173">
        <v>1110</v>
      </c>
      <c r="G14" s="119" t="s">
        <v>167</v>
      </c>
      <c r="H14" s="169"/>
      <c r="I14" s="168">
        <v>380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210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4201</v>
      </c>
      <c r="C15" s="65" t="s">
        <v>322</v>
      </c>
      <c r="D15" s="205" t="s">
        <v>323</v>
      </c>
      <c r="E15" s="181" t="s">
        <v>92</v>
      </c>
      <c r="F15" s="174">
        <v>1110</v>
      </c>
      <c r="G15" s="122" t="s">
        <v>182</v>
      </c>
      <c r="H15" s="123"/>
      <c r="I15" s="124"/>
      <c r="J15" s="130" t="str">
        <f t="shared" si="1"/>
        <v>0</v>
      </c>
      <c r="K15" s="130">
        <v>62.5</v>
      </c>
      <c r="L15" s="131"/>
      <c r="M15" s="131"/>
      <c r="N15" s="134" t="s">
        <v>210</v>
      </c>
      <c r="O15" s="298" t="s">
        <v>324</v>
      </c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4202</v>
      </c>
      <c r="C16" s="65" t="s">
        <v>325</v>
      </c>
      <c r="D16" s="205" t="s">
        <v>326</v>
      </c>
      <c r="E16" s="181" t="s">
        <v>92</v>
      </c>
      <c r="F16" s="174">
        <v>1110</v>
      </c>
      <c r="G16" s="122" t="s">
        <v>132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210</v>
      </c>
      <c r="O16" s="298"/>
      <c r="P16" s="297"/>
      <c r="Q16" s="299"/>
      <c r="R16" s="82">
        <f>H32/U16</f>
        <v>0.45070422535211263</v>
      </c>
      <c r="S16" s="83">
        <f>H32/(U16-U5)</f>
        <v>0.54237288135593209</v>
      </c>
      <c r="T16" s="83">
        <f>C32/U16</f>
        <v>45.553051643192475</v>
      </c>
      <c r="U16" s="83">
        <f>SUM(U5:U15)</f>
        <v>53.250000000000007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4203</v>
      </c>
      <c r="C17" s="18" t="s">
        <v>327</v>
      </c>
      <c r="D17" s="203" t="s">
        <v>171</v>
      </c>
      <c r="E17" s="181" t="s">
        <v>91</v>
      </c>
      <c r="F17" s="66">
        <v>1140</v>
      </c>
      <c r="G17" s="121" t="s">
        <v>141</v>
      </c>
      <c r="H17" s="123"/>
      <c r="I17" s="124"/>
      <c r="J17" s="130" t="str">
        <f t="shared" si="1"/>
        <v>0</v>
      </c>
      <c r="K17" s="130">
        <v>79.099999999999994</v>
      </c>
      <c r="L17" s="131"/>
      <c r="M17" s="131"/>
      <c r="N17" s="134" t="s">
        <v>210</v>
      </c>
      <c r="O17" s="298" t="s">
        <v>328</v>
      </c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4204</v>
      </c>
      <c r="C18" s="18" t="s">
        <v>329</v>
      </c>
      <c r="D18" s="203" t="s">
        <v>330</v>
      </c>
      <c r="E18" s="181" t="s">
        <v>91</v>
      </c>
      <c r="F18" s="66">
        <v>1210</v>
      </c>
      <c r="G18" s="20" t="s">
        <v>132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210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4205</v>
      </c>
      <c r="C19" s="18" t="s">
        <v>331</v>
      </c>
      <c r="D19" s="203" t="s">
        <v>332</v>
      </c>
      <c r="E19" s="181" t="s">
        <v>91</v>
      </c>
      <c r="F19" s="66">
        <v>1230</v>
      </c>
      <c r="G19" s="121" t="s">
        <v>132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210</v>
      </c>
      <c r="O19" s="298"/>
      <c r="P19" s="297"/>
      <c r="Q19" s="297"/>
      <c r="R19" s="93" t="s">
        <v>45</v>
      </c>
      <c r="S19" s="94">
        <f>COUNT(L5:M29,L37:M61,L69:M93)</f>
        <v>1</v>
      </c>
      <c r="T19" s="116">
        <f>SUM(L5:M29,L37:M61,L69:M93)</f>
        <v>600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4206</v>
      </c>
      <c r="C20" s="18" t="s">
        <v>333</v>
      </c>
      <c r="D20" s="203" t="s">
        <v>334</v>
      </c>
      <c r="E20" s="181" t="s">
        <v>92</v>
      </c>
      <c r="F20" s="66">
        <v>1330</v>
      </c>
      <c r="G20" s="121" t="s">
        <v>132</v>
      </c>
      <c r="H20" s="123"/>
      <c r="I20" s="124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210</v>
      </c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4207</v>
      </c>
      <c r="C21" s="18" t="s">
        <v>339</v>
      </c>
      <c r="D21" s="203" t="s">
        <v>340</v>
      </c>
      <c r="E21" s="181" t="s">
        <v>92</v>
      </c>
      <c r="F21" s="66">
        <v>1330</v>
      </c>
      <c r="G21" s="20" t="s">
        <v>132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210</v>
      </c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4208</v>
      </c>
      <c r="C22" s="127" t="s">
        <v>335</v>
      </c>
      <c r="D22" s="206" t="s">
        <v>336</v>
      </c>
      <c r="E22" s="181" t="s">
        <v>92</v>
      </c>
      <c r="F22" s="175">
        <v>1350</v>
      </c>
      <c r="G22" s="263" t="s">
        <v>112</v>
      </c>
      <c r="H22" s="89"/>
      <c r="I22" s="141">
        <v>55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210</v>
      </c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4209</v>
      </c>
      <c r="C23" s="136" t="s">
        <v>341</v>
      </c>
      <c r="D23" s="207" t="s">
        <v>342</v>
      </c>
      <c r="E23" s="181" t="s">
        <v>91</v>
      </c>
      <c r="F23" s="176">
        <v>1415</v>
      </c>
      <c r="G23" s="165" t="s">
        <v>343</v>
      </c>
      <c r="H23" s="89"/>
      <c r="I23" s="141">
        <v>120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210</v>
      </c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268">
        <v>4210</v>
      </c>
      <c r="C24" s="282" t="s">
        <v>345</v>
      </c>
      <c r="D24" s="283" t="s">
        <v>346</v>
      </c>
      <c r="E24" s="271" t="s">
        <v>92</v>
      </c>
      <c r="F24" s="284">
        <v>1435</v>
      </c>
      <c r="G24" s="268" t="s">
        <v>128</v>
      </c>
      <c r="H24" s="280"/>
      <c r="I24" s="280">
        <v>20</v>
      </c>
      <c r="J24" s="274" t="str">
        <f t="shared" si="1"/>
        <v>0</v>
      </c>
      <c r="K24" s="274" t="str">
        <f t="shared" si="2"/>
        <v>0</v>
      </c>
      <c r="L24" s="274"/>
      <c r="M24" s="274">
        <v>600</v>
      </c>
      <c r="N24" s="269" t="s">
        <v>210</v>
      </c>
      <c r="O24" s="373" t="s">
        <v>269</v>
      </c>
      <c r="P24" s="374"/>
      <c r="Q24" s="37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4211</v>
      </c>
      <c r="C25" s="132" t="s">
        <v>347</v>
      </c>
      <c r="D25" s="208" t="s">
        <v>348</v>
      </c>
      <c r="E25" s="181" t="s">
        <v>91</v>
      </c>
      <c r="F25" s="175">
        <v>1440</v>
      </c>
      <c r="G25" s="263" t="s">
        <v>132</v>
      </c>
      <c r="H25" s="90"/>
      <c r="I25" s="90">
        <v>75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210</v>
      </c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2425.6999999999998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4212</v>
      </c>
      <c r="C26" s="27" t="s">
        <v>349</v>
      </c>
      <c r="D26" s="209" t="s">
        <v>350</v>
      </c>
      <c r="E26" s="181" t="s">
        <v>91</v>
      </c>
      <c r="F26" s="177">
        <v>1500</v>
      </c>
      <c r="G26" s="20" t="s">
        <v>141</v>
      </c>
      <c r="H26" s="89"/>
      <c r="I26" s="141"/>
      <c r="J26" s="130" t="str">
        <f t="shared" si="1"/>
        <v>0</v>
      </c>
      <c r="K26" s="130">
        <v>79.099999999999994</v>
      </c>
      <c r="L26" s="69"/>
      <c r="M26" s="69"/>
      <c r="N26" s="134" t="s">
        <v>210</v>
      </c>
      <c r="O26" s="298" t="s">
        <v>351</v>
      </c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4213</v>
      </c>
      <c r="C27" s="27" t="s">
        <v>352</v>
      </c>
      <c r="D27" s="209" t="s">
        <v>353</v>
      </c>
      <c r="E27" s="181" t="s">
        <v>91</v>
      </c>
      <c r="F27" s="177">
        <v>1530</v>
      </c>
      <c r="G27" s="20" t="s">
        <v>128</v>
      </c>
      <c r="H27" s="89"/>
      <c r="I27" s="281">
        <v>100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210</v>
      </c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4214</v>
      </c>
      <c r="C28" s="27" t="s">
        <v>354</v>
      </c>
      <c r="D28" s="209" t="s">
        <v>342</v>
      </c>
      <c r="E28" s="181" t="s">
        <v>92</v>
      </c>
      <c r="F28" s="177">
        <v>1555</v>
      </c>
      <c r="G28" s="20" t="s">
        <v>112</v>
      </c>
      <c r="H28" s="89">
        <v>55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210</v>
      </c>
      <c r="O28" s="298"/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300</v>
      </c>
      <c r="I30" s="105">
        <f>SUM(I5:I29)</f>
        <v>1905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220.7</v>
      </c>
      <c r="L30" s="106">
        <f t="shared" si="3"/>
        <v>0</v>
      </c>
      <c r="M30" s="106">
        <f t="shared" si="3"/>
        <v>600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300</v>
      </c>
      <c r="I31" s="103">
        <f t="shared" si="4"/>
        <v>1905</v>
      </c>
      <c r="J31" s="103">
        <f t="shared" si="4"/>
        <v>0</v>
      </c>
      <c r="K31" s="103">
        <f>K30+K62+K94</f>
        <v>220.7</v>
      </c>
      <c r="L31" s="97">
        <f>L30+L62+L94</f>
        <v>0</v>
      </c>
      <c r="M31" s="97">
        <f>M30+M62+M94</f>
        <v>600</v>
      </c>
      <c r="N31" s="262">
        <f>COUNT(H5:H29,H37:H61,H69:H93)</f>
        <v>4</v>
      </c>
      <c r="O31" s="104">
        <f>COUNT(I5:I29,I37:I61,I69:I93)</f>
        <v>17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300</v>
      </c>
      <c r="T31" s="337">
        <f>H31+I31+L31+M31</f>
        <v>2805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2425.6999999999998</v>
      </c>
      <c r="D32" s="196"/>
      <c r="E32" s="107"/>
      <c r="F32" s="359" t="s">
        <v>53</v>
      </c>
      <c r="G32" s="359"/>
      <c r="H32" s="109">
        <f>COUNT(B5:B29,B37:B61,B69:B93)</f>
        <v>24</v>
      </c>
      <c r="I32" s="360" t="s">
        <v>54</v>
      </c>
      <c r="J32" s="360"/>
      <c r="K32" s="108">
        <f>C32/H32</f>
        <v>101.07083333333333</v>
      </c>
      <c r="L32" s="260"/>
      <c r="M32" s="260"/>
      <c r="N32" s="260">
        <f>H31/C32</f>
        <v>0.12367564002143712</v>
      </c>
      <c r="O32" s="260">
        <f>I31/C32</f>
        <v>0.78534031413612571</v>
      </c>
      <c r="P32" s="260">
        <f>K31/C32</f>
        <v>9.0984045842437231E-2</v>
      </c>
      <c r="Q32" s="110">
        <f>J31/C32</f>
        <v>0</v>
      </c>
      <c r="R32" s="99" t="s">
        <v>82</v>
      </c>
      <c r="S32" s="266">
        <f>I31+M31</f>
        <v>2505</v>
      </c>
      <c r="T32" s="339"/>
      <c r="U32" s="340"/>
      <c r="V32" s="55"/>
      <c r="W32" s="55"/>
      <c r="X32" s="56" t="s">
        <v>27</v>
      </c>
      <c r="Y32" s="56"/>
      <c r="Z32" s="54">
        <f>I31</f>
        <v>1905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-840</v>
      </c>
      <c r="AE33" s="37"/>
      <c r="AF33" s="37"/>
      <c r="AG33" s="59"/>
      <c r="AH33" s="37"/>
    </row>
    <row r="34" spans="1:34" ht="17.25" thickBot="1" x14ac:dyDescent="0.35">
      <c r="A34" s="331" t="str">
        <f>A2</f>
        <v>18-02-2022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SUNNY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7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18-02-2022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SUNNY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7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S13" sqref="S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102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374</v>
      </c>
      <c r="K2" s="333"/>
      <c r="L2" s="335" t="s">
        <v>96</v>
      </c>
      <c r="M2" s="336"/>
      <c r="N2" s="334"/>
      <c r="O2" s="332" t="s">
        <v>210</v>
      </c>
      <c r="P2" s="332"/>
      <c r="Q2" s="333"/>
      <c r="R2" s="335" t="s">
        <v>51</v>
      </c>
      <c r="S2" s="334"/>
      <c r="T2" s="323">
        <v>6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4215</v>
      </c>
      <c r="C5" s="68" t="s">
        <v>355</v>
      </c>
      <c r="D5" s="200" t="s">
        <v>356</v>
      </c>
      <c r="E5" s="181" t="s">
        <v>156</v>
      </c>
      <c r="F5" s="170">
        <v>835</v>
      </c>
      <c r="G5" s="118" t="s">
        <v>132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210</v>
      </c>
      <c r="O5" s="370"/>
      <c r="P5" s="371"/>
      <c r="Q5" s="372"/>
      <c r="R5" s="33" t="s">
        <v>210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4216</v>
      </c>
      <c r="C6" s="67" t="s">
        <v>357</v>
      </c>
      <c r="D6" s="200" t="s">
        <v>358</v>
      </c>
      <c r="E6" s="181" t="s">
        <v>92</v>
      </c>
      <c r="F6" s="171">
        <v>910</v>
      </c>
      <c r="G6" s="118" t="s">
        <v>112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210</v>
      </c>
      <c r="O6" s="325"/>
      <c r="P6" s="326"/>
      <c r="Q6" s="327"/>
      <c r="R6" s="33" t="s">
        <v>105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4217</v>
      </c>
      <c r="C7" s="67" t="s">
        <v>359</v>
      </c>
      <c r="D7" s="200" t="s">
        <v>360</v>
      </c>
      <c r="E7" s="181" t="s">
        <v>92</v>
      </c>
      <c r="F7" s="171">
        <v>1000</v>
      </c>
      <c r="G7" s="118" t="s">
        <v>132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210</v>
      </c>
      <c r="O7" s="298"/>
      <c r="P7" s="297"/>
      <c r="Q7" s="299"/>
      <c r="R7" s="132" t="s">
        <v>106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4218</v>
      </c>
      <c r="C8" s="27" t="s">
        <v>361</v>
      </c>
      <c r="D8" s="200" t="s">
        <v>362</v>
      </c>
      <c r="E8" s="181" t="s">
        <v>92</v>
      </c>
      <c r="F8" s="171">
        <v>1005</v>
      </c>
      <c r="G8" s="118" t="s">
        <v>132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210</v>
      </c>
      <c r="O8" s="328"/>
      <c r="P8" s="329"/>
      <c r="Q8" s="330"/>
      <c r="R8" s="134" t="s">
        <v>107</v>
      </c>
      <c r="S8" s="31">
        <v>0.39583333333333331</v>
      </c>
      <c r="T8" s="32">
        <v>0.70833333333333337</v>
      </c>
      <c r="U8" s="92">
        <f t="shared" si="0"/>
        <v>7.5000000000000018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4219</v>
      </c>
      <c r="C9" s="63" t="s">
        <v>363</v>
      </c>
      <c r="D9" s="201" t="s">
        <v>364</v>
      </c>
      <c r="E9" s="181" t="s">
        <v>92</v>
      </c>
      <c r="F9" s="172">
        <v>1020</v>
      </c>
      <c r="G9" s="119" t="s">
        <v>132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210</v>
      </c>
      <c r="O9" s="328"/>
      <c r="P9" s="329"/>
      <c r="Q9" s="330"/>
      <c r="R9" s="26" t="s">
        <v>109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4220</v>
      </c>
      <c r="C10" s="28" t="s">
        <v>369</v>
      </c>
      <c r="D10" s="202" t="s">
        <v>370</v>
      </c>
      <c r="E10" s="181" t="s">
        <v>92</v>
      </c>
      <c r="F10" s="173">
        <v>1030</v>
      </c>
      <c r="G10" s="120" t="s">
        <v>132</v>
      </c>
      <c r="H10" s="123">
        <v>75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210</v>
      </c>
      <c r="O10" s="320"/>
      <c r="P10" s="321"/>
      <c r="Q10" s="322"/>
      <c r="R10" s="26" t="s">
        <v>110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4221</v>
      </c>
      <c r="C11" s="18" t="s">
        <v>367</v>
      </c>
      <c r="D11" s="203" t="s">
        <v>368</v>
      </c>
      <c r="E11" s="181" t="s">
        <v>155</v>
      </c>
      <c r="F11" s="66">
        <v>1030</v>
      </c>
      <c r="G11" s="121" t="s">
        <v>128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210</v>
      </c>
      <c r="O11" s="298"/>
      <c r="P11" s="297"/>
      <c r="Q11" s="299"/>
      <c r="R11" s="26" t="s">
        <v>401</v>
      </c>
      <c r="S11" s="31">
        <v>0.58333333333333337</v>
      </c>
      <c r="T11" s="32">
        <v>0.625</v>
      </c>
      <c r="U11" s="92">
        <f t="shared" si="0"/>
        <v>0.99999999999999911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4222</v>
      </c>
      <c r="C12" s="64" t="s">
        <v>365</v>
      </c>
      <c r="D12" s="204" t="s">
        <v>366</v>
      </c>
      <c r="E12" s="181" t="s">
        <v>92</v>
      </c>
      <c r="F12" s="173">
        <v>1030</v>
      </c>
      <c r="G12" s="119" t="s">
        <v>128</v>
      </c>
      <c r="H12" s="123"/>
      <c r="I12" s="125">
        <v>140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210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4223</v>
      </c>
      <c r="C13" s="64" t="s">
        <v>375</v>
      </c>
      <c r="D13" s="204" t="s">
        <v>376</v>
      </c>
      <c r="E13" s="181" t="s">
        <v>91</v>
      </c>
      <c r="F13" s="173">
        <v>1110</v>
      </c>
      <c r="G13" s="119" t="s">
        <v>132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210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4224</v>
      </c>
      <c r="C14" s="65" t="s">
        <v>371</v>
      </c>
      <c r="D14" s="205" t="s">
        <v>372</v>
      </c>
      <c r="E14" s="181" t="s">
        <v>91</v>
      </c>
      <c r="F14" s="174">
        <v>1130</v>
      </c>
      <c r="G14" s="122" t="s">
        <v>373</v>
      </c>
      <c r="H14" s="123"/>
      <c r="I14" s="125">
        <v>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210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4225</v>
      </c>
      <c r="C15" s="65" t="s">
        <v>377</v>
      </c>
      <c r="D15" s="205" t="s">
        <v>378</v>
      </c>
      <c r="E15" s="181" t="s">
        <v>92</v>
      </c>
      <c r="F15" s="174">
        <v>1135</v>
      </c>
      <c r="G15" s="122" t="s">
        <v>112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210</v>
      </c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4226</v>
      </c>
      <c r="C16" s="65" t="s">
        <v>379</v>
      </c>
      <c r="D16" s="205" t="s">
        <v>380</v>
      </c>
      <c r="E16" s="181" t="s">
        <v>91</v>
      </c>
      <c r="F16" s="174">
        <v>1320</v>
      </c>
      <c r="G16" s="122" t="s">
        <v>132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210</v>
      </c>
      <c r="O16" s="298"/>
      <c r="P16" s="297"/>
      <c r="Q16" s="299"/>
      <c r="R16" s="82">
        <f>H32/U16</f>
        <v>0.4242424242424242</v>
      </c>
      <c r="S16" s="83">
        <f>H32/(U16-U5)</f>
        <v>0.51851851851851838</v>
      </c>
      <c r="T16" s="83">
        <f>C32/U16</f>
        <v>40.404040404040401</v>
      </c>
      <c r="U16" s="83">
        <f>SUM(U5:U15)</f>
        <v>49.500000000000007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273">
        <v>4227</v>
      </c>
      <c r="C17" s="276" t="s">
        <v>381</v>
      </c>
      <c r="D17" s="277" t="s">
        <v>382</v>
      </c>
      <c r="E17" s="271" t="s">
        <v>92</v>
      </c>
      <c r="F17" s="278">
        <v>1330</v>
      </c>
      <c r="G17" s="279" t="s">
        <v>383</v>
      </c>
      <c r="H17" s="280"/>
      <c r="I17" s="274"/>
      <c r="J17" s="274" t="str">
        <f t="shared" si="1"/>
        <v>0</v>
      </c>
      <c r="K17" s="274">
        <v>80</v>
      </c>
      <c r="L17" s="275">
        <v>400</v>
      </c>
      <c r="M17" s="275"/>
      <c r="N17" s="269" t="s">
        <v>210</v>
      </c>
      <c r="O17" s="373" t="s">
        <v>384</v>
      </c>
      <c r="P17" s="374"/>
      <c r="Q17" s="37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4228</v>
      </c>
      <c r="C18" s="18" t="s">
        <v>385</v>
      </c>
      <c r="D18" s="203" t="s">
        <v>386</v>
      </c>
      <c r="E18" s="181" t="s">
        <v>92</v>
      </c>
      <c r="F18" s="66">
        <v>1340</v>
      </c>
      <c r="G18" s="20" t="s">
        <v>242</v>
      </c>
      <c r="H18" s="123"/>
      <c r="I18" s="124">
        <v>250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210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4229</v>
      </c>
      <c r="C19" s="18" t="s">
        <v>387</v>
      </c>
      <c r="D19" s="203" t="s">
        <v>388</v>
      </c>
      <c r="E19" s="181" t="s">
        <v>91</v>
      </c>
      <c r="F19" s="66">
        <v>1445</v>
      </c>
      <c r="G19" s="121" t="s">
        <v>132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210</v>
      </c>
      <c r="O19" s="298"/>
      <c r="P19" s="297"/>
      <c r="Q19" s="297"/>
      <c r="R19" s="93" t="s">
        <v>45</v>
      </c>
      <c r="S19" s="94">
        <f>COUNT(L5:M29,L37:M61,L69:M93)</f>
        <v>1</v>
      </c>
      <c r="T19" s="116">
        <f>SUM(L5:M29,L37:M61,L69:M93)</f>
        <v>400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4230</v>
      </c>
      <c r="C20" s="18" t="s">
        <v>389</v>
      </c>
      <c r="D20" s="203" t="s">
        <v>390</v>
      </c>
      <c r="E20" s="181" t="s">
        <v>92</v>
      </c>
      <c r="F20" s="66">
        <v>1505</v>
      </c>
      <c r="G20" s="121" t="s">
        <v>132</v>
      </c>
      <c r="H20" s="123"/>
      <c r="I20" s="124">
        <v>85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210</v>
      </c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4231</v>
      </c>
      <c r="C21" s="18" t="s">
        <v>391</v>
      </c>
      <c r="D21" s="203" t="s">
        <v>392</v>
      </c>
      <c r="E21" s="181" t="s">
        <v>92</v>
      </c>
      <c r="F21" s="66">
        <v>1510</v>
      </c>
      <c r="G21" s="20" t="s">
        <v>132</v>
      </c>
      <c r="H21" s="123">
        <v>70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210</v>
      </c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4232</v>
      </c>
      <c r="C22" s="127" t="s">
        <v>397</v>
      </c>
      <c r="D22" s="206" t="s">
        <v>398</v>
      </c>
      <c r="E22" s="181" t="s">
        <v>92</v>
      </c>
      <c r="F22" s="175">
        <v>1525</v>
      </c>
      <c r="G22" s="263" t="s">
        <v>112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210</v>
      </c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4233</v>
      </c>
      <c r="C23" s="136" t="s">
        <v>395</v>
      </c>
      <c r="D23" s="207" t="s">
        <v>396</v>
      </c>
      <c r="E23" s="181" t="s">
        <v>91</v>
      </c>
      <c r="F23" s="176">
        <v>1530</v>
      </c>
      <c r="G23" s="165" t="s">
        <v>132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210</v>
      </c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4234</v>
      </c>
      <c r="C24" s="127" t="s">
        <v>393</v>
      </c>
      <c r="D24" s="206" t="s">
        <v>394</v>
      </c>
      <c r="E24" s="181" t="s">
        <v>92</v>
      </c>
      <c r="F24" s="175">
        <v>1540</v>
      </c>
      <c r="G24" s="263" t="s">
        <v>132</v>
      </c>
      <c r="H24" s="89">
        <v>100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210</v>
      </c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4235</v>
      </c>
      <c r="C25" s="132" t="s">
        <v>399</v>
      </c>
      <c r="D25" s="208" t="s">
        <v>400</v>
      </c>
      <c r="E25" s="181" t="s">
        <v>92</v>
      </c>
      <c r="F25" s="175">
        <v>1620</v>
      </c>
      <c r="G25" s="263" t="s">
        <v>132</v>
      </c>
      <c r="H25" s="90">
        <v>75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210</v>
      </c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2000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585</v>
      </c>
      <c r="I30" s="105">
        <f>SUM(I5:I29)</f>
        <v>1335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80</v>
      </c>
      <c r="L30" s="106">
        <f t="shared" si="3"/>
        <v>400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585</v>
      </c>
      <c r="I31" s="103">
        <f t="shared" si="4"/>
        <v>1335</v>
      </c>
      <c r="J31" s="103">
        <f t="shared" si="4"/>
        <v>0</v>
      </c>
      <c r="K31" s="103">
        <f>K30+K62+K94</f>
        <v>80</v>
      </c>
      <c r="L31" s="97">
        <f>L30+L62+L94</f>
        <v>400</v>
      </c>
      <c r="M31" s="97">
        <f>M30+M62+M94</f>
        <v>0</v>
      </c>
      <c r="N31" s="262">
        <f>COUNT(H5:H29,H37:H61,H69:H93)</f>
        <v>7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985</v>
      </c>
      <c r="T31" s="337">
        <f>H31+I31+L31+M31</f>
        <v>2320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2000</v>
      </c>
      <c r="D32" s="196"/>
      <c r="E32" s="107"/>
      <c r="F32" s="359" t="s">
        <v>53</v>
      </c>
      <c r="G32" s="359"/>
      <c r="H32" s="109">
        <f>COUNT(B5:B29,B37:B61,B69:B93)</f>
        <v>21</v>
      </c>
      <c r="I32" s="360" t="s">
        <v>54</v>
      </c>
      <c r="J32" s="360"/>
      <c r="K32" s="108">
        <f>C32/H32</f>
        <v>95.238095238095241</v>
      </c>
      <c r="L32" s="260"/>
      <c r="M32" s="260"/>
      <c r="N32" s="260">
        <f>H31/C32</f>
        <v>0.29249999999999998</v>
      </c>
      <c r="O32" s="260">
        <f>I31/C32</f>
        <v>0.66749999999999998</v>
      </c>
      <c r="P32" s="260">
        <f>K31/C32</f>
        <v>0.04</v>
      </c>
      <c r="Q32" s="110">
        <f>J31/C32</f>
        <v>0</v>
      </c>
      <c r="R32" s="99" t="s">
        <v>82</v>
      </c>
      <c r="S32" s="266">
        <f>I31+M31</f>
        <v>1335</v>
      </c>
      <c r="T32" s="339"/>
      <c r="U32" s="340"/>
      <c r="V32" s="55"/>
      <c r="W32" s="55"/>
      <c r="X32" s="56" t="s">
        <v>27</v>
      </c>
      <c r="Y32" s="56"/>
      <c r="Z32" s="54">
        <f>I31</f>
        <v>1335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-1410</v>
      </c>
      <c r="AE33" s="37"/>
      <c r="AF33" s="37"/>
      <c r="AG33" s="59"/>
      <c r="AH33" s="37"/>
    </row>
    <row r="34" spans="1:34" ht="17.25" thickBot="1" x14ac:dyDescent="0.35">
      <c r="A34" s="331" t="str">
        <f>A2</f>
        <v>19-02-2022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MIX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6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19-02-2022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MIX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6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H17" sqref="H1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103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211</v>
      </c>
      <c r="K2" s="333"/>
      <c r="L2" s="335" t="s">
        <v>96</v>
      </c>
      <c r="M2" s="336"/>
      <c r="N2" s="334"/>
      <c r="O2" s="332" t="s">
        <v>210</v>
      </c>
      <c r="P2" s="332"/>
      <c r="Q2" s="333"/>
      <c r="R2" s="335" t="s">
        <v>51</v>
      </c>
      <c r="S2" s="334"/>
      <c r="T2" s="323">
        <v>7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4236</v>
      </c>
      <c r="C5" s="68" t="s">
        <v>402</v>
      </c>
      <c r="D5" s="200" t="s">
        <v>403</v>
      </c>
      <c r="E5" s="181" t="s">
        <v>156</v>
      </c>
      <c r="F5" s="170">
        <v>930</v>
      </c>
      <c r="G5" s="118" t="s">
        <v>112</v>
      </c>
      <c r="H5" s="91"/>
      <c r="I5" s="124">
        <v>55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210</v>
      </c>
      <c r="O5" s="370"/>
      <c r="P5" s="371"/>
      <c r="Q5" s="372"/>
      <c r="R5" s="33" t="s">
        <v>210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4237</v>
      </c>
      <c r="C6" s="67" t="s">
        <v>404</v>
      </c>
      <c r="D6" s="200" t="s">
        <v>405</v>
      </c>
      <c r="E6" s="181" t="s">
        <v>92</v>
      </c>
      <c r="F6" s="171">
        <v>935</v>
      </c>
      <c r="G6" s="118" t="s">
        <v>242</v>
      </c>
      <c r="H6" s="91"/>
      <c r="I6" s="124">
        <v>280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210</v>
      </c>
      <c r="O6" s="325"/>
      <c r="P6" s="326"/>
      <c r="Q6" s="327"/>
      <c r="R6" s="132" t="s">
        <v>105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4238</v>
      </c>
      <c r="C7" s="67" t="s">
        <v>406</v>
      </c>
      <c r="D7" s="200" t="s">
        <v>407</v>
      </c>
      <c r="E7" s="181" t="s">
        <v>92</v>
      </c>
      <c r="F7" s="171">
        <v>1050</v>
      </c>
      <c r="G7" s="118" t="s">
        <v>141</v>
      </c>
      <c r="H7" s="91"/>
      <c r="I7" s="124"/>
      <c r="J7" s="130" t="str">
        <f t="shared" si="1"/>
        <v>0</v>
      </c>
      <c r="K7" s="130" t="str">
        <f t="shared" si="2"/>
        <v>58.3</v>
      </c>
      <c r="L7" s="131"/>
      <c r="M7" s="131"/>
      <c r="N7" s="134" t="s">
        <v>210</v>
      </c>
      <c r="O7" s="298" t="s">
        <v>408</v>
      </c>
      <c r="P7" s="297"/>
      <c r="Q7" s="299"/>
      <c r="R7" s="134" t="s">
        <v>106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4239</v>
      </c>
      <c r="C8" s="27" t="s">
        <v>409</v>
      </c>
      <c r="D8" s="200" t="s">
        <v>410</v>
      </c>
      <c r="E8" s="181" t="s">
        <v>155</v>
      </c>
      <c r="F8" s="171">
        <v>1130</v>
      </c>
      <c r="G8" s="118" t="s">
        <v>141</v>
      </c>
      <c r="H8" s="91"/>
      <c r="I8" s="124"/>
      <c r="J8" s="130" t="str">
        <f t="shared" si="1"/>
        <v>0</v>
      </c>
      <c r="K8" s="130">
        <v>125</v>
      </c>
      <c r="L8" s="131"/>
      <c r="M8" s="131"/>
      <c r="N8" s="134" t="s">
        <v>210</v>
      </c>
      <c r="O8" s="328" t="s">
        <v>411</v>
      </c>
      <c r="P8" s="329"/>
      <c r="Q8" s="330"/>
      <c r="R8" s="26" t="s">
        <v>108</v>
      </c>
      <c r="S8" s="31">
        <v>0.41666666666666669</v>
      </c>
      <c r="T8" s="32">
        <v>0.67708333333333337</v>
      </c>
      <c r="U8" s="92">
        <f t="shared" si="0"/>
        <v>6.25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4240</v>
      </c>
      <c r="C9" s="63" t="s">
        <v>412</v>
      </c>
      <c r="D9" s="201" t="s">
        <v>413</v>
      </c>
      <c r="E9" s="181" t="s">
        <v>91</v>
      </c>
      <c r="F9" s="172">
        <v>1200</v>
      </c>
      <c r="G9" s="119" t="s">
        <v>112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2" t="s">
        <v>105</v>
      </c>
      <c r="O9" s="328"/>
      <c r="P9" s="329"/>
      <c r="Q9" s="330"/>
      <c r="R9" s="26" t="s">
        <v>109</v>
      </c>
      <c r="S9" s="31">
        <v>0.41666666666666669</v>
      </c>
      <c r="T9" s="32">
        <v>0.69791666666666663</v>
      </c>
      <c r="U9" s="92">
        <f t="shared" si="0"/>
        <v>6.7499999999999982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4241</v>
      </c>
      <c r="C10" s="28" t="s">
        <v>414</v>
      </c>
      <c r="D10" s="202" t="s">
        <v>415</v>
      </c>
      <c r="E10" s="181" t="s">
        <v>91</v>
      </c>
      <c r="F10" s="173">
        <v>1240</v>
      </c>
      <c r="G10" s="120" t="s">
        <v>128</v>
      </c>
      <c r="H10" s="123">
        <v>130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210</v>
      </c>
      <c r="O10" s="320"/>
      <c r="P10" s="321"/>
      <c r="Q10" s="322"/>
      <c r="R10" s="26" t="s">
        <v>401</v>
      </c>
      <c r="S10" s="31">
        <v>0.41666666666666669</v>
      </c>
      <c r="T10" s="32">
        <v>0.69791666666666663</v>
      </c>
      <c r="U10" s="92">
        <f t="shared" si="0"/>
        <v>6.7499999999999982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4242</v>
      </c>
      <c r="C11" s="18" t="s">
        <v>418</v>
      </c>
      <c r="D11" s="203" t="s">
        <v>419</v>
      </c>
      <c r="E11" s="181" t="s">
        <v>91</v>
      </c>
      <c r="F11" s="66">
        <v>1330</v>
      </c>
      <c r="G11" s="121" t="s">
        <v>274</v>
      </c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210</v>
      </c>
      <c r="O11" s="298" t="s">
        <v>422</v>
      </c>
      <c r="P11" s="297"/>
      <c r="Q11" s="299"/>
      <c r="R11" s="26" t="s">
        <v>110</v>
      </c>
      <c r="S11" s="31">
        <v>0.41666666666666669</v>
      </c>
      <c r="T11" s="32">
        <v>0.69791666666666663</v>
      </c>
      <c r="U11" s="92">
        <f t="shared" si="0"/>
        <v>6.7499999999999982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4243</v>
      </c>
      <c r="C12" s="64" t="s">
        <v>420</v>
      </c>
      <c r="D12" s="204" t="s">
        <v>421</v>
      </c>
      <c r="E12" s="181" t="s">
        <v>91</v>
      </c>
      <c r="F12" s="173">
        <v>1330</v>
      </c>
      <c r="G12" s="119" t="s">
        <v>132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210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4244</v>
      </c>
      <c r="C13" s="64" t="s">
        <v>416</v>
      </c>
      <c r="D13" s="204" t="s">
        <v>417</v>
      </c>
      <c r="E13" s="181" t="s">
        <v>91</v>
      </c>
      <c r="F13" s="173">
        <v>1330</v>
      </c>
      <c r="G13" s="119" t="s">
        <v>132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210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4245</v>
      </c>
      <c r="C14" s="65" t="s">
        <v>428</v>
      </c>
      <c r="D14" s="205" t="s">
        <v>424</v>
      </c>
      <c r="E14" s="181" t="s">
        <v>92</v>
      </c>
      <c r="F14" s="174">
        <v>1430</v>
      </c>
      <c r="G14" s="122" t="s">
        <v>132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210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4246</v>
      </c>
      <c r="C15" s="65" t="s">
        <v>425</v>
      </c>
      <c r="D15" s="205" t="s">
        <v>426</v>
      </c>
      <c r="E15" s="181" t="s">
        <v>92</v>
      </c>
      <c r="F15" s="174">
        <v>1430</v>
      </c>
      <c r="G15" s="122" t="s">
        <v>44</v>
      </c>
      <c r="H15" s="123"/>
      <c r="I15" s="124"/>
      <c r="J15" s="130">
        <v>110</v>
      </c>
      <c r="K15" s="130" t="str">
        <f t="shared" si="2"/>
        <v>0</v>
      </c>
      <c r="L15" s="131"/>
      <c r="M15" s="131"/>
      <c r="N15" s="134" t="s">
        <v>210</v>
      </c>
      <c r="O15" s="298" t="s">
        <v>427</v>
      </c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4247</v>
      </c>
      <c r="C16" s="65" t="s">
        <v>423</v>
      </c>
      <c r="D16" s="205" t="s">
        <v>424</v>
      </c>
      <c r="E16" s="181" t="s">
        <v>91</v>
      </c>
      <c r="F16" s="174">
        <v>1430</v>
      </c>
      <c r="G16" s="122" t="s">
        <v>132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210</v>
      </c>
      <c r="O16" s="298"/>
      <c r="P16" s="297"/>
      <c r="Q16" s="299"/>
      <c r="R16" s="82">
        <f>H32/U16</f>
        <v>0.28037383177570091</v>
      </c>
      <c r="S16" s="83">
        <f>H32/(U16-U5)</f>
        <v>0.33707865168539319</v>
      </c>
      <c r="T16" s="83">
        <f>C32/U16</f>
        <v>24.734579439252332</v>
      </c>
      <c r="U16" s="83">
        <f>SUM(U5:U15)</f>
        <v>53.500000000000007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4248</v>
      </c>
      <c r="C17" s="18" t="s">
        <v>429</v>
      </c>
      <c r="D17" s="203" t="s">
        <v>430</v>
      </c>
      <c r="E17" s="181" t="s">
        <v>91</v>
      </c>
      <c r="F17" s="66">
        <v>1515</v>
      </c>
      <c r="G17" s="121" t="s">
        <v>132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210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4249</v>
      </c>
      <c r="C18" s="18" t="s">
        <v>431</v>
      </c>
      <c r="D18" s="203" t="s">
        <v>432</v>
      </c>
      <c r="E18" s="181" t="s">
        <v>91</v>
      </c>
      <c r="F18" s="66">
        <v>1530</v>
      </c>
      <c r="G18" s="20" t="s">
        <v>274</v>
      </c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210</v>
      </c>
      <c r="O18" s="298" t="s">
        <v>433</v>
      </c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4250</v>
      </c>
      <c r="C19" s="18" t="s">
        <v>434</v>
      </c>
      <c r="D19" s="203" t="s">
        <v>435</v>
      </c>
      <c r="E19" s="181" t="s">
        <v>92</v>
      </c>
      <c r="F19" s="66">
        <v>1540</v>
      </c>
      <c r="G19" s="121" t="s">
        <v>132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210</v>
      </c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2</v>
      </c>
      <c r="U25" s="368">
        <f>((C32+(R26+S26+T26)*0.5))</f>
        <v>1373.3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100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205</v>
      </c>
      <c r="I30" s="105">
        <f>SUM(I5:I29)</f>
        <v>825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183.3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205</v>
      </c>
      <c r="I31" s="103">
        <f t="shared" si="4"/>
        <v>825</v>
      </c>
      <c r="J31" s="103">
        <f t="shared" si="4"/>
        <v>110</v>
      </c>
      <c r="K31" s="103">
        <f>K30+K62+K94</f>
        <v>183.3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205</v>
      </c>
      <c r="T31" s="337">
        <f>H31+I31+L31+M31</f>
        <v>1030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1323.3</v>
      </c>
      <c r="D32" s="196"/>
      <c r="E32" s="107"/>
      <c r="F32" s="359" t="s">
        <v>53</v>
      </c>
      <c r="G32" s="359"/>
      <c r="H32" s="109">
        <f>COUNT(B5:B29,B37:B61,B69:B93)</f>
        <v>15</v>
      </c>
      <c r="I32" s="360" t="s">
        <v>54</v>
      </c>
      <c r="J32" s="360"/>
      <c r="K32" s="108">
        <f>C32/H32</f>
        <v>88.22</v>
      </c>
      <c r="L32" s="260"/>
      <c r="M32" s="260"/>
      <c r="N32" s="260">
        <f>H31/C32</f>
        <v>0.15491574095065366</v>
      </c>
      <c r="O32" s="260">
        <f>I31/C32</f>
        <v>0.62344139650872821</v>
      </c>
      <c r="P32" s="260">
        <f>K31/C32</f>
        <v>0.13851734300612106</v>
      </c>
      <c r="Q32" s="110">
        <f>J31/C32</f>
        <v>8.3125519534497094E-2</v>
      </c>
      <c r="R32" s="99" t="s">
        <v>82</v>
      </c>
      <c r="S32" s="266">
        <f>I31+M31</f>
        <v>825</v>
      </c>
      <c r="T32" s="339"/>
      <c r="U32" s="340"/>
      <c r="V32" s="55"/>
      <c r="W32" s="55"/>
      <c r="X32" s="56" t="s">
        <v>27</v>
      </c>
      <c r="Y32" s="56"/>
      <c r="Z32" s="54">
        <f>I31</f>
        <v>825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-1920</v>
      </c>
      <c r="AE33" s="37"/>
      <c r="AF33" s="37"/>
      <c r="AG33" s="59"/>
      <c r="AH33" s="37"/>
    </row>
    <row r="34" spans="1:34" ht="17.25" thickBot="1" x14ac:dyDescent="0.35">
      <c r="A34" s="331" t="str">
        <f>A2</f>
        <v>20-02-2022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SUNNY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7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20-02-2022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SUNNY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7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workbookViewId="0">
      <selection activeCell="H24" sqref="H24:K24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04"/>
      <c r="B1" s="604"/>
      <c r="C1" s="604"/>
      <c r="D1" s="604"/>
      <c r="E1" s="603" t="s">
        <v>59</v>
      </c>
      <c r="F1" s="603"/>
      <c r="G1" s="603"/>
      <c r="H1" s="603" t="s">
        <v>60</v>
      </c>
      <c r="I1" s="603"/>
      <c r="J1" s="603"/>
      <c r="K1" s="603"/>
      <c r="L1" s="603" t="s">
        <v>61</v>
      </c>
      <c r="M1" s="603"/>
      <c r="N1" s="603"/>
      <c r="O1" s="603"/>
      <c r="P1" s="603"/>
      <c r="Q1" s="603" t="s">
        <v>62</v>
      </c>
      <c r="R1" s="603"/>
      <c r="S1" s="603"/>
      <c r="T1" s="603"/>
      <c r="U1" s="603"/>
      <c r="V1" s="603" t="s">
        <v>63</v>
      </c>
      <c r="W1" s="603"/>
      <c r="X1" s="603"/>
      <c r="Y1" s="603"/>
      <c r="Z1" s="603"/>
      <c r="AA1" s="603" t="s">
        <v>64</v>
      </c>
      <c r="AB1" s="603"/>
      <c r="AC1" s="603"/>
      <c r="AD1" s="603"/>
    </row>
    <row r="2" spans="1:30" ht="20.100000000000001" customHeight="1" x14ac:dyDescent="0.3">
      <c r="A2" s="684" t="s">
        <v>66</v>
      </c>
      <c r="B2" s="495" t="s">
        <v>57</v>
      </c>
      <c r="C2" s="495"/>
      <c r="D2" s="519"/>
      <c r="E2" s="519">
        <f>MON!N31</f>
        <v>3</v>
      </c>
      <c r="F2" s="519"/>
      <c r="G2" s="519"/>
      <c r="H2" s="488">
        <f>MON!S31</f>
        <v>195</v>
      </c>
      <c r="I2" s="488"/>
      <c r="J2" s="488"/>
      <c r="K2" s="488"/>
      <c r="L2" s="489">
        <f>MON!N32</f>
        <v>0.1298614810868407</v>
      </c>
      <c r="M2" s="489"/>
      <c r="N2" s="489"/>
      <c r="O2" s="489"/>
      <c r="P2" s="489"/>
      <c r="Q2" s="549">
        <f>SUM(E2:G5)</f>
        <v>20</v>
      </c>
      <c r="R2" s="550"/>
      <c r="S2" s="550"/>
      <c r="T2" s="550"/>
      <c r="U2" s="551"/>
      <c r="V2" s="614">
        <f>SUM(H2,H3,H5)</f>
        <v>1385</v>
      </c>
      <c r="W2" s="615"/>
      <c r="X2" s="615"/>
      <c r="Y2" s="615"/>
      <c r="Z2" s="616"/>
      <c r="AA2" s="623">
        <f>V2/Q2</f>
        <v>69.25</v>
      </c>
      <c r="AB2" s="624"/>
      <c r="AC2" s="624"/>
      <c r="AD2" s="625"/>
    </row>
    <row r="3" spans="1:30" ht="20.100000000000001" customHeight="1" x14ac:dyDescent="0.3">
      <c r="A3" s="685"/>
      <c r="B3" s="495" t="s">
        <v>58</v>
      </c>
      <c r="C3" s="495"/>
      <c r="D3" s="519"/>
      <c r="E3" s="519">
        <f>MON!O31</f>
        <v>13</v>
      </c>
      <c r="F3" s="519"/>
      <c r="G3" s="519"/>
      <c r="H3" s="488">
        <f>MON!S32</f>
        <v>1080</v>
      </c>
      <c r="I3" s="488"/>
      <c r="J3" s="488"/>
      <c r="K3" s="488"/>
      <c r="L3" s="489">
        <f>MON!O32</f>
        <v>0.71923281832711783</v>
      </c>
      <c r="M3" s="489"/>
      <c r="N3" s="489"/>
      <c r="O3" s="489"/>
      <c r="P3" s="489"/>
      <c r="Q3" s="552"/>
      <c r="R3" s="553"/>
      <c r="S3" s="553"/>
      <c r="T3" s="553"/>
      <c r="U3" s="554"/>
      <c r="V3" s="617"/>
      <c r="W3" s="618"/>
      <c r="X3" s="618"/>
      <c r="Y3" s="618"/>
      <c r="Z3" s="619"/>
      <c r="AA3" s="626"/>
      <c r="AB3" s="627"/>
      <c r="AC3" s="627"/>
      <c r="AD3" s="628"/>
    </row>
    <row r="4" spans="1:30" ht="20.100000000000001" customHeight="1" x14ac:dyDescent="0.3">
      <c r="A4" s="685"/>
      <c r="B4" s="495" t="s">
        <v>45</v>
      </c>
      <c r="C4" s="495"/>
      <c r="D4" s="519"/>
      <c r="E4" s="519">
        <f>MON!P31</f>
        <v>2</v>
      </c>
      <c r="F4" s="519"/>
      <c r="G4" s="519"/>
      <c r="H4" s="488">
        <f>MON!K31</f>
        <v>116.6</v>
      </c>
      <c r="I4" s="488"/>
      <c r="J4" s="488"/>
      <c r="K4" s="488"/>
      <c r="L4" s="489">
        <f>MON!P32</f>
        <v>7.765050612679808E-2</v>
      </c>
      <c r="M4" s="489"/>
      <c r="N4" s="489"/>
      <c r="O4" s="489"/>
      <c r="P4" s="489"/>
      <c r="Q4" s="552"/>
      <c r="R4" s="553"/>
      <c r="S4" s="553"/>
      <c r="T4" s="553"/>
      <c r="U4" s="554"/>
      <c r="V4" s="617"/>
      <c r="W4" s="618"/>
      <c r="X4" s="618"/>
      <c r="Y4" s="618"/>
      <c r="Z4" s="619"/>
      <c r="AA4" s="626"/>
      <c r="AB4" s="627"/>
      <c r="AC4" s="627"/>
      <c r="AD4" s="628"/>
    </row>
    <row r="5" spans="1:30" ht="20.100000000000001" customHeight="1" x14ac:dyDescent="0.3">
      <c r="A5" s="685"/>
      <c r="B5" s="493" t="s">
        <v>65</v>
      </c>
      <c r="C5" s="494"/>
      <c r="D5" s="495"/>
      <c r="E5" s="493">
        <f>MON!Q31</f>
        <v>2</v>
      </c>
      <c r="F5" s="494"/>
      <c r="G5" s="495"/>
      <c r="H5" s="541">
        <f>MON!J31</f>
        <v>110</v>
      </c>
      <c r="I5" s="542"/>
      <c r="J5" s="542"/>
      <c r="K5" s="543"/>
      <c r="L5" s="544">
        <f>MON!Q32</f>
        <v>7.3255194459243472E-2</v>
      </c>
      <c r="M5" s="545"/>
      <c r="N5" s="545"/>
      <c r="O5" s="545"/>
      <c r="P5" s="546"/>
      <c r="Q5" s="555"/>
      <c r="R5" s="556"/>
      <c r="S5" s="556"/>
      <c r="T5" s="556"/>
      <c r="U5" s="557"/>
      <c r="V5" s="620"/>
      <c r="W5" s="621"/>
      <c r="X5" s="621"/>
      <c r="Y5" s="621"/>
      <c r="Z5" s="622"/>
      <c r="AA5" s="629"/>
      <c r="AB5" s="630"/>
      <c r="AC5" s="630"/>
      <c r="AD5" s="631"/>
    </row>
    <row r="6" spans="1:30" ht="20.100000000000001" customHeight="1" x14ac:dyDescent="0.3">
      <c r="A6" s="686"/>
      <c r="B6" s="493" t="s">
        <v>94</v>
      </c>
      <c r="C6" s="494"/>
      <c r="D6" s="495"/>
      <c r="E6" s="493">
        <f>MON!U16</f>
        <v>41.25</v>
      </c>
      <c r="F6" s="494"/>
      <c r="G6" s="495"/>
      <c r="H6" s="541" t="s">
        <v>95</v>
      </c>
      <c r="I6" s="542"/>
      <c r="J6" s="542"/>
      <c r="K6" s="543"/>
      <c r="L6" s="597">
        <f>MON!T2</f>
        <v>6</v>
      </c>
      <c r="M6" s="598"/>
      <c r="N6" s="598"/>
      <c r="O6" s="598"/>
      <c r="P6" s="599"/>
      <c r="Q6" s="600"/>
      <c r="R6" s="601"/>
      <c r="S6" s="601"/>
      <c r="T6" s="601"/>
      <c r="U6" s="602"/>
      <c r="V6" s="705"/>
      <c r="W6" s="706"/>
      <c r="X6" s="706"/>
      <c r="Y6" s="706"/>
      <c r="Z6" s="707"/>
      <c r="AA6" s="708"/>
      <c r="AB6" s="709"/>
      <c r="AC6" s="709"/>
      <c r="AD6" s="710"/>
    </row>
    <row r="7" spans="1:30" ht="20.100000000000001" customHeight="1" x14ac:dyDescent="0.3">
      <c r="A7" s="687" t="s">
        <v>67</v>
      </c>
      <c r="B7" s="511" t="s">
        <v>57</v>
      </c>
      <c r="C7" s="511"/>
      <c r="D7" s="512"/>
      <c r="E7" s="512">
        <f>TUE!N31</f>
        <v>2</v>
      </c>
      <c r="F7" s="512"/>
      <c r="G7" s="512"/>
      <c r="H7" s="490">
        <f>TUE!S31</f>
        <v>440</v>
      </c>
      <c r="I7" s="490"/>
      <c r="J7" s="490"/>
      <c r="K7" s="490"/>
      <c r="L7" s="503">
        <f>TUE!N32</f>
        <v>0.15251828486256022</v>
      </c>
      <c r="M7" s="504"/>
      <c r="N7" s="504"/>
      <c r="O7" s="504"/>
      <c r="P7" s="505"/>
      <c r="Q7" s="579">
        <f>SUM(E7:G10)</f>
        <v>24</v>
      </c>
      <c r="R7" s="580"/>
      <c r="S7" s="580"/>
      <c r="T7" s="580"/>
      <c r="U7" s="581"/>
      <c r="V7" s="605">
        <f>SUM(H7,H8,H10)</f>
        <v>2585</v>
      </c>
      <c r="W7" s="606"/>
      <c r="X7" s="606"/>
      <c r="Y7" s="606"/>
      <c r="Z7" s="607"/>
      <c r="AA7" s="632">
        <f>V7/Q7</f>
        <v>107.70833333333333</v>
      </c>
      <c r="AB7" s="633"/>
      <c r="AC7" s="633"/>
      <c r="AD7" s="634"/>
    </row>
    <row r="8" spans="1:30" ht="20.100000000000001" customHeight="1" x14ac:dyDescent="0.3">
      <c r="A8" s="688"/>
      <c r="B8" s="511" t="s">
        <v>58</v>
      </c>
      <c r="C8" s="511"/>
      <c r="D8" s="512"/>
      <c r="E8" s="512">
        <f>TUE!O31</f>
        <v>17</v>
      </c>
      <c r="F8" s="512"/>
      <c r="G8" s="512"/>
      <c r="H8" s="490">
        <f>TUE!S32</f>
        <v>2090</v>
      </c>
      <c r="I8" s="490"/>
      <c r="J8" s="490"/>
      <c r="K8" s="490"/>
      <c r="L8" s="503">
        <f>TUE!O32</f>
        <v>0.72446185309716105</v>
      </c>
      <c r="M8" s="504"/>
      <c r="N8" s="504"/>
      <c r="O8" s="504"/>
      <c r="P8" s="505"/>
      <c r="Q8" s="582"/>
      <c r="R8" s="583"/>
      <c r="S8" s="583"/>
      <c r="T8" s="583"/>
      <c r="U8" s="584"/>
      <c r="V8" s="608"/>
      <c r="W8" s="609"/>
      <c r="X8" s="609"/>
      <c r="Y8" s="609"/>
      <c r="Z8" s="610"/>
      <c r="AA8" s="635"/>
      <c r="AB8" s="636"/>
      <c r="AC8" s="636"/>
      <c r="AD8" s="637"/>
    </row>
    <row r="9" spans="1:30" ht="20.100000000000001" customHeight="1" x14ac:dyDescent="0.3">
      <c r="A9" s="688"/>
      <c r="B9" s="511" t="s">
        <v>45</v>
      </c>
      <c r="C9" s="511"/>
      <c r="D9" s="512"/>
      <c r="E9" s="512">
        <f>TUE!P31</f>
        <v>4</v>
      </c>
      <c r="F9" s="512"/>
      <c r="G9" s="512"/>
      <c r="H9" s="490">
        <f>TUE!K31</f>
        <v>299.89999999999998</v>
      </c>
      <c r="I9" s="490"/>
      <c r="J9" s="490"/>
      <c r="K9" s="490"/>
      <c r="L9" s="503">
        <f>TUE!P32</f>
        <v>0.10395507643245866</v>
      </c>
      <c r="M9" s="504"/>
      <c r="N9" s="504"/>
      <c r="O9" s="504"/>
      <c r="P9" s="505"/>
      <c r="Q9" s="582"/>
      <c r="R9" s="583"/>
      <c r="S9" s="583"/>
      <c r="T9" s="583"/>
      <c r="U9" s="584"/>
      <c r="V9" s="608"/>
      <c r="W9" s="609"/>
      <c r="X9" s="609"/>
      <c r="Y9" s="609"/>
      <c r="Z9" s="610"/>
      <c r="AA9" s="635"/>
      <c r="AB9" s="636"/>
      <c r="AC9" s="636"/>
      <c r="AD9" s="637"/>
    </row>
    <row r="10" spans="1:30" ht="20.100000000000001" customHeight="1" x14ac:dyDescent="0.3">
      <c r="A10" s="688"/>
      <c r="B10" s="547" t="s">
        <v>65</v>
      </c>
      <c r="C10" s="548"/>
      <c r="D10" s="511"/>
      <c r="E10" s="547">
        <f>TUE!Q31</f>
        <v>1</v>
      </c>
      <c r="F10" s="548"/>
      <c r="G10" s="511"/>
      <c r="H10" s="520">
        <f>TUE!J31</f>
        <v>55</v>
      </c>
      <c r="I10" s="521"/>
      <c r="J10" s="521"/>
      <c r="K10" s="522"/>
      <c r="L10" s="503">
        <f>TUE!Q32</f>
        <v>1.9064785607820028E-2</v>
      </c>
      <c r="M10" s="504"/>
      <c r="N10" s="504"/>
      <c r="O10" s="504"/>
      <c r="P10" s="505"/>
      <c r="Q10" s="585"/>
      <c r="R10" s="586"/>
      <c r="S10" s="586"/>
      <c r="T10" s="586"/>
      <c r="U10" s="587"/>
      <c r="V10" s="611"/>
      <c r="W10" s="612"/>
      <c r="X10" s="612"/>
      <c r="Y10" s="612"/>
      <c r="Z10" s="613"/>
      <c r="AA10" s="638"/>
      <c r="AB10" s="639"/>
      <c r="AC10" s="639"/>
      <c r="AD10" s="640"/>
    </row>
    <row r="11" spans="1:30" ht="20.100000000000001" customHeight="1" x14ac:dyDescent="0.3">
      <c r="A11" s="689"/>
      <c r="B11" s="547" t="s">
        <v>94</v>
      </c>
      <c r="C11" s="548"/>
      <c r="D11" s="511"/>
      <c r="E11" s="547">
        <f>TUE!U16</f>
        <v>50.5</v>
      </c>
      <c r="F11" s="548"/>
      <c r="G11" s="511"/>
      <c r="H11" s="520" t="s">
        <v>95</v>
      </c>
      <c r="I11" s="521"/>
      <c r="J11" s="521"/>
      <c r="K11" s="522"/>
      <c r="L11" s="711">
        <f>TUE!T2</f>
        <v>6</v>
      </c>
      <c r="M11" s="712"/>
      <c r="N11" s="712"/>
      <c r="O11" s="712"/>
      <c r="P11" s="713"/>
      <c r="Q11" s="714"/>
      <c r="R11" s="715"/>
      <c r="S11" s="715"/>
      <c r="T11" s="715"/>
      <c r="U11" s="716"/>
      <c r="V11" s="717"/>
      <c r="W11" s="718"/>
      <c r="X11" s="718"/>
      <c r="Y11" s="718"/>
      <c r="Z11" s="719"/>
      <c r="AA11" s="720"/>
      <c r="AB11" s="721"/>
      <c r="AC11" s="721"/>
      <c r="AD11" s="722"/>
    </row>
    <row r="12" spans="1:30" ht="20.100000000000001" customHeight="1" x14ac:dyDescent="0.3">
      <c r="A12" s="690" t="s">
        <v>68</v>
      </c>
      <c r="B12" s="496" t="s">
        <v>57</v>
      </c>
      <c r="C12" s="496"/>
      <c r="D12" s="307"/>
      <c r="E12" s="307">
        <f>WED!N31</f>
        <v>3</v>
      </c>
      <c r="F12" s="307"/>
      <c r="G12" s="307"/>
      <c r="H12" s="497">
        <f>WED!S31</f>
        <v>295</v>
      </c>
      <c r="I12" s="498"/>
      <c r="J12" s="498"/>
      <c r="K12" s="499"/>
      <c r="L12" s="500">
        <f>WED!N32</f>
        <v>0.17612991820407187</v>
      </c>
      <c r="M12" s="501"/>
      <c r="N12" s="501"/>
      <c r="O12" s="501"/>
      <c r="P12" s="502"/>
      <c r="Q12" s="558">
        <f>SUM(E12:G15)</f>
        <v>18</v>
      </c>
      <c r="R12" s="559"/>
      <c r="S12" s="559"/>
      <c r="T12" s="559"/>
      <c r="U12" s="560"/>
      <c r="V12" s="732">
        <f>SUM(H12,H13,H15)</f>
        <v>1550</v>
      </c>
      <c r="W12" s="733"/>
      <c r="X12" s="733"/>
      <c r="Y12" s="733"/>
      <c r="Z12" s="734"/>
      <c r="AA12" s="723">
        <f>V12/Q12</f>
        <v>86.111111111111114</v>
      </c>
      <c r="AB12" s="724"/>
      <c r="AC12" s="724"/>
      <c r="AD12" s="725"/>
    </row>
    <row r="13" spans="1:30" ht="20.100000000000001" customHeight="1" x14ac:dyDescent="0.3">
      <c r="A13" s="691"/>
      <c r="B13" s="496" t="s">
        <v>58</v>
      </c>
      <c r="C13" s="496"/>
      <c r="D13" s="307"/>
      <c r="E13" s="307">
        <f>WED!O31</f>
        <v>10</v>
      </c>
      <c r="F13" s="307"/>
      <c r="G13" s="307"/>
      <c r="H13" s="497">
        <f>WED!S32</f>
        <v>1035</v>
      </c>
      <c r="I13" s="498"/>
      <c r="J13" s="498"/>
      <c r="K13" s="499"/>
      <c r="L13" s="500">
        <f>WED!O32</f>
        <v>0.61794734013970976</v>
      </c>
      <c r="M13" s="501"/>
      <c r="N13" s="501"/>
      <c r="O13" s="501"/>
      <c r="P13" s="502"/>
      <c r="Q13" s="561"/>
      <c r="R13" s="562"/>
      <c r="S13" s="562"/>
      <c r="T13" s="562"/>
      <c r="U13" s="563"/>
      <c r="V13" s="735"/>
      <c r="W13" s="736"/>
      <c r="X13" s="736"/>
      <c r="Y13" s="736"/>
      <c r="Z13" s="737"/>
      <c r="AA13" s="726"/>
      <c r="AB13" s="727"/>
      <c r="AC13" s="727"/>
      <c r="AD13" s="728"/>
    </row>
    <row r="14" spans="1:30" ht="20.100000000000001" customHeight="1" x14ac:dyDescent="0.3">
      <c r="A14" s="691"/>
      <c r="B14" s="496" t="s">
        <v>45</v>
      </c>
      <c r="C14" s="496"/>
      <c r="D14" s="307"/>
      <c r="E14" s="307">
        <f>WED!P31</f>
        <v>2</v>
      </c>
      <c r="F14" s="307"/>
      <c r="G14" s="307"/>
      <c r="H14" s="497">
        <f>WED!K31</f>
        <v>124.89999999999999</v>
      </c>
      <c r="I14" s="498"/>
      <c r="J14" s="498"/>
      <c r="K14" s="499"/>
      <c r="L14" s="500">
        <f>WED!P32</f>
        <v>7.4571616215893477E-2</v>
      </c>
      <c r="M14" s="501"/>
      <c r="N14" s="501"/>
      <c r="O14" s="501"/>
      <c r="P14" s="502"/>
      <c r="Q14" s="561"/>
      <c r="R14" s="562"/>
      <c r="S14" s="562"/>
      <c r="T14" s="562"/>
      <c r="U14" s="563"/>
      <c r="V14" s="735"/>
      <c r="W14" s="736"/>
      <c r="X14" s="736"/>
      <c r="Y14" s="736"/>
      <c r="Z14" s="737"/>
      <c r="AA14" s="726"/>
      <c r="AB14" s="727"/>
      <c r="AC14" s="727"/>
      <c r="AD14" s="728"/>
    </row>
    <row r="15" spans="1:30" ht="20.100000000000001" customHeight="1" x14ac:dyDescent="0.3">
      <c r="A15" s="691"/>
      <c r="B15" s="513" t="s">
        <v>65</v>
      </c>
      <c r="C15" s="514"/>
      <c r="D15" s="496"/>
      <c r="E15" s="513">
        <f>WED!Q31</f>
        <v>3</v>
      </c>
      <c r="F15" s="514"/>
      <c r="G15" s="496"/>
      <c r="H15" s="497">
        <f>WED!J31</f>
        <v>220</v>
      </c>
      <c r="I15" s="498"/>
      <c r="J15" s="498"/>
      <c r="K15" s="499"/>
      <c r="L15" s="500">
        <f>WED!Q32</f>
        <v>0.13135112544032479</v>
      </c>
      <c r="M15" s="501"/>
      <c r="N15" s="501"/>
      <c r="O15" s="501"/>
      <c r="P15" s="502"/>
      <c r="Q15" s="564"/>
      <c r="R15" s="565"/>
      <c r="S15" s="565"/>
      <c r="T15" s="565"/>
      <c r="U15" s="566"/>
      <c r="V15" s="738"/>
      <c r="W15" s="739"/>
      <c r="X15" s="739"/>
      <c r="Y15" s="739"/>
      <c r="Z15" s="740"/>
      <c r="AA15" s="729"/>
      <c r="AB15" s="730"/>
      <c r="AC15" s="730"/>
      <c r="AD15" s="731"/>
    </row>
    <row r="16" spans="1:30" ht="20.100000000000001" customHeight="1" x14ac:dyDescent="0.3">
      <c r="A16" s="692"/>
      <c r="B16" s="513" t="s">
        <v>94</v>
      </c>
      <c r="C16" s="514"/>
      <c r="D16" s="496"/>
      <c r="E16" s="513">
        <f>WED!U16</f>
        <v>47.000000000000007</v>
      </c>
      <c r="F16" s="514"/>
      <c r="G16" s="496"/>
      <c r="H16" s="497" t="s">
        <v>95</v>
      </c>
      <c r="I16" s="498"/>
      <c r="J16" s="498"/>
      <c r="K16" s="499"/>
      <c r="L16" s="516">
        <f>WED!T2</f>
        <v>6</v>
      </c>
      <c r="M16" s="517"/>
      <c r="N16" s="517"/>
      <c r="O16" s="517"/>
      <c r="P16" s="518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693" t="s">
        <v>69</v>
      </c>
      <c r="B17" s="460" t="s">
        <v>57</v>
      </c>
      <c r="C17" s="460"/>
      <c r="D17" s="507"/>
      <c r="E17" s="507">
        <f>THU!N31</f>
        <v>3</v>
      </c>
      <c r="F17" s="507"/>
      <c r="G17" s="507"/>
      <c r="H17" s="515">
        <f>THU!S31</f>
        <v>245</v>
      </c>
      <c r="I17" s="515"/>
      <c r="J17" s="515"/>
      <c r="K17" s="515"/>
      <c r="L17" s="506">
        <f>THU!N32</f>
        <v>9.8235765838011233E-2</v>
      </c>
      <c r="M17" s="506"/>
      <c r="N17" s="506"/>
      <c r="O17" s="506"/>
      <c r="P17" s="506"/>
      <c r="Q17" s="588">
        <f>SUM(E17:G20)</f>
        <v>24</v>
      </c>
      <c r="R17" s="589"/>
      <c r="S17" s="589"/>
      <c r="T17" s="589"/>
      <c r="U17" s="590"/>
      <c r="V17" s="532">
        <f>SUM(H17,H18,H20)</f>
        <v>3390</v>
      </c>
      <c r="W17" s="533"/>
      <c r="X17" s="533"/>
      <c r="Y17" s="533"/>
      <c r="Z17" s="534"/>
      <c r="AA17" s="523">
        <f>V17/Q17</f>
        <v>141.25</v>
      </c>
      <c r="AB17" s="524"/>
      <c r="AC17" s="524"/>
      <c r="AD17" s="525"/>
    </row>
    <row r="18" spans="1:30" ht="20.100000000000001" customHeight="1" x14ac:dyDescent="0.3">
      <c r="A18" s="694"/>
      <c r="B18" s="460" t="s">
        <v>58</v>
      </c>
      <c r="C18" s="460"/>
      <c r="D18" s="507"/>
      <c r="E18" s="507">
        <f>THU!O31</f>
        <v>14</v>
      </c>
      <c r="F18" s="507"/>
      <c r="G18" s="507"/>
      <c r="H18" s="515">
        <f>THU!S32</f>
        <v>3035</v>
      </c>
      <c r="I18" s="515"/>
      <c r="J18" s="515"/>
      <c r="K18" s="515"/>
      <c r="L18" s="506">
        <f>THU!O32</f>
        <v>0.72574178027265435</v>
      </c>
      <c r="M18" s="506"/>
      <c r="N18" s="506"/>
      <c r="O18" s="506"/>
      <c r="P18" s="506"/>
      <c r="Q18" s="591"/>
      <c r="R18" s="592"/>
      <c r="S18" s="592"/>
      <c r="T18" s="592"/>
      <c r="U18" s="593"/>
      <c r="V18" s="535"/>
      <c r="W18" s="536"/>
      <c r="X18" s="536"/>
      <c r="Y18" s="536"/>
      <c r="Z18" s="537"/>
      <c r="AA18" s="526"/>
      <c r="AB18" s="527"/>
      <c r="AC18" s="527"/>
      <c r="AD18" s="528"/>
    </row>
    <row r="19" spans="1:30" ht="20.100000000000001" customHeight="1" x14ac:dyDescent="0.3">
      <c r="A19" s="694"/>
      <c r="B19" s="460" t="s">
        <v>45</v>
      </c>
      <c r="C19" s="460"/>
      <c r="D19" s="507"/>
      <c r="E19" s="507">
        <f>THU!P31</f>
        <v>6</v>
      </c>
      <c r="F19" s="507"/>
      <c r="G19" s="507"/>
      <c r="H19" s="515">
        <f>THU!K31</f>
        <v>329</v>
      </c>
      <c r="I19" s="515"/>
      <c r="J19" s="515"/>
      <c r="K19" s="515"/>
      <c r="L19" s="506">
        <f>THU!P32</f>
        <v>0.13191659983961507</v>
      </c>
      <c r="M19" s="506"/>
      <c r="N19" s="506"/>
      <c r="O19" s="506"/>
      <c r="P19" s="506"/>
      <c r="Q19" s="591"/>
      <c r="R19" s="592"/>
      <c r="S19" s="592"/>
      <c r="T19" s="592"/>
      <c r="U19" s="593"/>
      <c r="V19" s="535"/>
      <c r="W19" s="536"/>
      <c r="X19" s="536"/>
      <c r="Y19" s="536"/>
      <c r="Z19" s="537"/>
      <c r="AA19" s="526"/>
      <c r="AB19" s="527"/>
      <c r="AC19" s="527"/>
      <c r="AD19" s="528"/>
    </row>
    <row r="20" spans="1:30" ht="20.100000000000001" customHeight="1" x14ac:dyDescent="0.3">
      <c r="A20" s="694"/>
      <c r="B20" s="458" t="s">
        <v>65</v>
      </c>
      <c r="C20" s="459"/>
      <c r="D20" s="460"/>
      <c r="E20" s="458">
        <f>THU!Q31</f>
        <v>1</v>
      </c>
      <c r="F20" s="459"/>
      <c r="G20" s="460"/>
      <c r="H20" s="452">
        <f>THU!J31</f>
        <v>110</v>
      </c>
      <c r="I20" s="453"/>
      <c r="J20" s="453"/>
      <c r="K20" s="454"/>
      <c r="L20" s="508">
        <f>THU!Q32</f>
        <v>4.4105854049719326E-2</v>
      </c>
      <c r="M20" s="509"/>
      <c r="N20" s="509"/>
      <c r="O20" s="509"/>
      <c r="P20" s="510"/>
      <c r="Q20" s="594"/>
      <c r="R20" s="595"/>
      <c r="S20" s="595"/>
      <c r="T20" s="595"/>
      <c r="U20" s="596"/>
      <c r="V20" s="538"/>
      <c r="W20" s="539"/>
      <c r="X20" s="539"/>
      <c r="Y20" s="539"/>
      <c r="Z20" s="540"/>
      <c r="AA20" s="529"/>
      <c r="AB20" s="530"/>
      <c r="AC20" s="530"/>
      <c r="AD20" s="531"/>
    </row>
    <row r="21" spans="1:30" ht="20.100000000000001" customHeight="1" x14ac:dyDescent="0.3">
      <c r="A21" s="695"/>
      <c r="B21" s="458" t="s">
        <v>94</v>
      </c>
      <c r="C21" s="459"/>
      <c r="D21" s="460"/>
      <c r="E21" s="458">
        <f>THU!U16</f>
        <v>49.000000000000007</v>
      </c>
      <c r="F21" s="459"/>
      <c r="G21" s="460"/>
      <c r="H21" s="452" t="s">
        <v>95</v>
      </c>
      <c r="I21" s="453"/>
      <c r="J21" s="453"/>
      <c r="K21" s="454"/>
      <c r="L21" s="417">
        <f>THU!T2</f>
        <v>6</v>
      </c>
      <c r="M21" s="418"/>
      <c r="N21" s="418"/>
      <c r="O21" s="418"/>
      <c r="P21" s="419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696" t="s">
        <v>93</v>
      </c>
      <c r="B22" s="415" t="s">
        <v>57</v>
      </c>
      <c r="C22" s="415"/>
      <c r="D22" s="416"/>
      <c r="E22" s="416">
        <f>FRI!N31</f>
        <v>4</v>
      </c>
      <c r="F22" s="416"/>
      <c r="G22" s="416"/>
      <c r="H22" s="491">
        <f>FRI!S31</f>
        <v>300</v>
      </c>
      <c r="I22" s="491"/>
      <c r="J22" s="491"/>
      <c r="K22" s="491"/>
      <c r="L22" s="492">
        <f>FRI!N32</f>
        <v>0.12367564002143712</v>
      </c>
      <c r="M22" s="492"/>
      <c r="N22" s="492"/>
      <c r="O22" s="492"/>
      <c r="P22" s="492"/>
      <c r="Q22" s="470">
        <f>SUM(E22:G25)</f>
        <v>24</v>
      </c>
      <c r="R22" s="471"/>
      <c r="S22" s="471"/>
      <c r="T22" s="471"/>
      <c r="U22" s="472"/>
      <c r="V22" s="479">
        <f>SUM(H22,H23,H25)</f>
        <v>2805</v>
      </c>
      <c r="W22" s="480"/>
      <c r="X22" s="480"/>
      <c r="Y22" s="480"/>
      <c r="Z22" s="481"/>
      <c r="AA22" s="423">
        <f>V22/Q22</f>
        <v>116.875</v>
      </c>
      <c r="AB22" s="424"/>
      <c r="AC22" s="424"/>
      <c r="AD22" s="425"/>
    </row>
    <row r="23" spans="1:30" ht="20.100000000000001" customHeight="1" x14ac:dyDescent="0.3">
      <c r="A23" s="697"/>
      <c r="B23" s="415" t="s">
        <v>58</v>
      </c>
      <c r="C23" s="415"/>
      <c r="D23" s="416"/>
      <c r="E23" s="416">
        <f>FRI!O31</f>
        <v>17</v>
      </c>
      <c r="F23" s="416"/>
      <c r="G23" s="416"/>
      <c r="H23" s="491">
        <f>FRI!S32</f>
        <v>2505</v>
      </c>
      <c r="I23" s="491"/>
      <c r="J23" s="491"/>
      <c r="K23" s="491"/>
      <c r="L23" s="492">
        <f>FRI!O32</f>
        <v>0.78534031413612571</v>
      </c>
      <c r="M23" s="492"/>
      <c r="N23" s="492"/>
      <c r="O23" s="492"/>
      <c r="P23" s="492"/>
      <c r="Q23" s="473"/>
      <c r="R23" s="474"/>
      <c r="S23" s="474"/>
      <c r="T23" s="474"/>
      <c r="U23" s="475"/>
      <c r="V23" s="482"/>
      <c r="W23" s="483"/>
      <c r="X23" s="483"/>
      <c r="Y23" s="483"/>
      <c r="Z23" s="484"/>
      <c r="AA23" s="426"/>
      <c r="AB23" s="427"/>
      <c r="AC23" s="427"/>
      <c r="AD23" s="428"/>
    </row>
    <row r="24" spans="1:30" ht="20.100000000000001" customHeight="1" x14ac:dyDescent="0.3">
      <c r="A24" s="697"/>
      <c r="B24" s="415" t="s">
        <v>45</v>
      </c>
      <c r="C24" s="415"/>
      <c r="D24" s="416"/>
      <c r="E24" s="416">
        <f>FRI!P31</f>
        <v>3</v>
      </c>
      <c r="F24" s="416"/>
      <c r="G24" s="416"/>
      <c r="H24" s="491">
        <f>FRI!K31</f>
        <v>220.7</v>
      </c>
      <c r="I24" s="491"/>
      <c r="J24" s="491"/>
      <c r="K24" s="491"/>
      <c r="L24" s="492">
        <f>FRI!P32</f>
        <v>9.0984045842437231E-2</v>
      </c>
      <c r="M24" s="492"/>
      <c r="N24" s="492"/>
      <c r="O24" s="492"/>
      <c r="P24" s="492"/>
      <c r="Q24" s="473"/>
      <c r="R24" s="474"/>
      <c r="S24" s="474"/>
      <c r="T24" s="474"/>
      <c r="U24" s="475"/>
      <c r="V24" s="482"/>
      <c r="W24" s="483"/>
      <c r="X24" s="483"/>
      <c r="Y24" s="483"/>
      <c r="Z24" s="484"/>
      <c r="AA24" s="426"/>
      <c r="AB24" s="427"/>
      <c r="AC24" s="427"/>
      <c r="AD24" s="428"/>
    </row>
    <row r="25" spans="1:30" ht="20.100000000000001" customHeight="1" x14ac:dyDescent="0.3">
      <c r="A25" s="697"/>
      <c r="B25" s="461" t="s">
        <v>65</v>
      </c>
      <c r="C25" s="462"/>
      <c r="D25" s="415"/>
      <c r="E25" s="461">
        <f>FRI!Q31</f>
        <v>0</v>
      </c>
      <c r="F25" s="462"/>
      <c r="G25" s="415"/>
      <c r="H25" s="455">
        <f>FRI!J31</f>
        <v>0</v>
      </c>
      <c r="I25" s="456"/>
      <c r="J25" s="456"/>
      <c r="K25" s="457"/>
      <c r="L25" s="467">
        <f>FRI!Q32</f>
        <v>0</v>
      </c>
      <c r="M25" s="468"/>
      <c r="N25" s="468"/>
      <c r="O25" s="468"/>
      <c r="P25" s="469"/>
      <c r="Q25" s="476"/>
      <c r="R25" s="477"/>
      <c r="S25" s="477"/>
      <c r="T25" s="477"/>
      <c r="U25" s="478"/>
      <c r="V25" s="485"/>
      <c r="W25" s="486"/>
      <c r="X25" s="486"/>
      <c r="Y25" s="486"/>
      <c r="Z25" s="487"/>
      <c r="AA25" s="429"/>
      <c r="AB25" s="430"/>
      <c r="AC25" s="430"/>
      <c r="AD25" s="431"/>
    </row>
    <row r="26" spans="1:30" ht="20.100000000000001" customHeight="1" x14ac:dyDescent="0.3">
      <c r="A26" s="698"/>
      <c r="B26" s="461" t="s">
        <v>94</v>
      </c>
      <c r="C26" s="462"/>
      <c r="D26" s="415"/>
      <c r="E26" s="461">
        <f>FRI!U16</f>
        <v>53.250000000000007</v>
      </c>
      <c r="F26" s="462"/>
      <c r="G26" s="415"/>
      <c r="H26" s="455" t="s">
        <v>95</v>
      </c>
      <c r="I26" s="456"/>
      <c r="J26" s="456"/>
      <c r="K26" s="457"/>
      <c r="L26" s="420">
        <f>FRI!T2</f>
        <v>7</v>
      </c>
      <c r="M26" s="421"/>
      <c r="N26" s="421"/>
      <c r="O26" s="421"/>
      <c r="P26" s="422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699" t="s">
        <v>70</v>
      </c>
      <c r="B27" s="465" t="s">
        <v>57</v>
      </c>
      <c r="C27" s="465"/>
      <c r="D27" s="450"/>
      <c r="E27" s="450">
        <f>SAT!N31</f>
        <v>7</v>
      </c>
      <c r="F27" s="450"/>
      <c r="G27" s="450"/>
      <c r="H27" s="451">
        <f>SAT!S31</f>
        <v>985</v>
      </c>
      <c r="I27" s="451"/>
      <c r="J27" s="451"/>
      <c r="K27" s="451"/>
      <c r="L27" s="466">
        <f>SAT!N32</f>
        <v>0.29249999999999998</v>
      </c>
      <c r="M27" s="466"/>
      <c r="N27" s="466"/>
      <c r="O27" s="466"/>
      <c r="P27" s="466"/>
      <c r="Q27" s="567">
        <f>SUM(E27:G30)</f>
        <v>21</v>
      </c>
      <c r="R27" s="568"/>
      <c r="S27" s="568"/>
      <c r="T27" s="568"/>
      <c r="U27" s="569"/>
      <c r="V27" s="441">
        <f>SUM(H27,H28,H30)</f>
        <v>2320</v>
      </c>
      <c r="W27" s="442"/>
      <c r="X27" s="442"/>
      <c r="Y27" s="442"/>
      <c r="Z27" s="443"/>
      <c r="AA27" s="432">
        <f>V27/Q27</f>
        <v>110.47619047619048</v>
      </c>
      <c r="AB27" s="433"/>
      <c r="AC27" s="433"/>
      <c r="AD27" s="434"/>
    </row>
    <row r="28" spans="1:30" ht="20.100000000000001" customHeight="1" x14ac:dyDescent="0.3">
      <c r="A28" s="700"/>
      <c r="B28" s="465" t="s">
        <v>58</v>
      </c>
      <c r="C28" s="465"/>
      <c r="D28" s="450"/>
      <c r="E28" s="450">
        <f>SAT!O31</f>
        <v>13</v>
      </c>
      <c r="F28" s="450"/>
      <c r="G28" s="450"/>
      <c r="H28" s="451">
        <f>SAT!S32</f>
        <v>1335</v>
      </c>
      <c r="I28" s="451"/>
      <c r="J28" s="451"/>
      <c r="K28" s="451"/>
      <c r="L28" s="466">
        <f>SAT!O32</f>
        <v>0.66749999999999998</v>
      </c>
      <c r="M28" s="466"/>
      <c r="N28" s="466"/>
      <c r="O28" s="466"/>
      <c r="P28" s="466"/>
      <c r="Q28" s="570"/>
      <c r="R28" s="571"/>
      <c r="S28" s="571"/>
      <c r="T28" s="571"/>
      <c r="U28" s="572"/>
      <c r="V28" s="444"/>
      <c r="W28" s="445"/>
      <c r="X28" s="445"/>
      <c r="Y28" s="445"/>
      <c r="Z28" s="446"/>
      <c r="AA28" s="435"/>
      <c r="AB28" s="436"/>
      <c r="AC28" s="436"/>
      <c r="AD28" s="437"/>
    </row>
    <row r="29" spans="1:30" ht="20.100000000000001" customHeight="1" x14ac:dyDescent="0.3">
      <c r="A29" s="700"/>
      <c r="B29" s="465" t="s">
        <v>45</v>
      </c>
      <c r="C29" s="465"/>
      <c r="D29" s="450"/>
      <c r="E29" s="450">
        <f>SAT!P31</f>
        <v>1</v>
      </c>
      <c r="F29" s="450"/>
      <c r="G29" s="450"/>
      <c r="H29" s="451">
        <f>SAT!K31</f>
        <v>80</v>
      </c>
      <c r="I29" s="451"/>
      <c r="J29" s="451"/>
      <c r="K29" s="451"/>
      <c r="L29" s="466">
        <f>SAT!P32</f>
        <v>0.04</v>
      </c>
      <c r="M29" s="466"/>
      <c r="N29" s="466"/>
      <c r="O29" s="466"/>
      <c r="P29" s="466"/>
      <c r="Q29" s="570"/>
      <c r="R29" s="571"/>
      <c r="S29" s="571"/>
      <c r="T29" s="571"/>
      <c r="U29" s="572"/>
      <c r="V29" s="444"/>
      <c r="W29" s="445"/>
      <c r="X29" s="445"/>
      <c r="Y29" s="445"/>
      <c r="Z29" s="446"/>
      <c r="AA29" s="435"/>
      <c r="AB29" s="436"/>
      <c r="AC29" s="436"/>
      <c r="AD29" s="437"/>
    </row>
    <row r="30" spans="1:30" ht="20.100000000000001" customHeight="1" x14ac:dyDescent="0.3">
      <c r="A30" s="700"/>
      <c r="B30" s="463" t="s">
        <v>65</v>
      </c>
      <c r="C30" s="464"/>
      <c r="D30" s="465"/>
      <c r="E30" s="463">
        <f>SAT!Q31</f>
        <v>0</v>
      </c>
      <c r="F30" s="464"/>
      <c r="G30" s="465"/>
      <c r="H30" s="744">
        <f>SAT!J31</f>
        <v>0</v>
      </c>
      <c r="I30" s="745"/>
      <c r="J30" s="745"/>
      <c r="K30" s="746"/>
      <c r="L30" s="576">
        <f>SAT!Q32</f>
        <v>0</v>
      </c>
      <c r="M30" s="577"/>
      <c r="N30" s="577"/>
      <c r="O30" s="577"/>
      <c r="P30" s="578"/>
      <c r="Q30" s="573"/>
      <c r="R30" s="574"/>
      <c r="S30" s="574"/>
      <c r="T30" s="574"/>
      <c r="U30" s="575"/>
      <c r="V30" s="447"/>
      <c r="W30" s="448"/>
      <c r="X30" s="448"/>
      <c r="Y30" s="448"/>
      <c r="Z30" s="449"/>
      <c r="AA30" s="438"/>
      <c r="AB30" s="439"/>
      <c r="AC30" s="439"/>
      <c r="AD30" s="440"/>
    </row>
    <row r="31" spans="1:30" ht="20.100000000000001" customHeight="1" x14ac:dyDescent="0.3">
      <c r="A31" s="701"/>
      <c r="B31" s="463" t="s">
        <v>94</v>
      </c>
      <c r="C31" s="464"/>
      <c r="D31" s="465"/>
      <c r="E31" s="463">
        <f>SAT!U16</f>
        <v>49.500000000000007</v>
      </c>
      <c r="F31" s="464"/>
      <c r="G31" s="465"/>
      <c r="H31" s="744" t="s">
        <v>95</v>
      </c>
      <c r="I31" s="745"/>
      <c r="J31" s="745"/>
      <c r="K31" s="746"/>
      <c r="L31" s="741">
        <f>SAT!T2</f>
        <v>6</v>
      </c>
      <c r="M31" s="742"/>
      <c r="N31" s="742"/>
      <c r="O31" s="742"/>
      <c r="P31" s="743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02" t="s">
        <v>71</v>
      </c>
      <c r="B32" s="386" t="s">
        <v>57</v>
      </c>
      <c r="C32" s="387"/>
      <c r="D32" s="387"/>
      <c r="E32" s="387">
        <f>SUN!N31</f>
        <v>2</v>
      </c>
      <c r="F32" s="387"/>
      <c r="G32" s="387"/>
      <c r="H32" s="412">
        <f>SUN!S31</f>
        <v>205</v>
      </c>
      <c r="I32" s="412"/>
      <c r="J32" s="412"/>
      <c r="K32" s="412"/>
      <c r="L32" s="413">
        <f>SUN!N32</f>
        <v>0.15491574095065366</v>
      </c>
      <c r="M32" s="413"/>
      <c r="N32" s="413"/>
      <c r="O32" s="413"/>
      <c r="P32" s="413"/>
      <c r="Q32" s="414">
        <f>SUM(E32:G35)</f>
        <v>15</v>
      </c>
      <c r="R32" s="414"/>
      <c r="S32" s="414"/>
      <c r="T32" s="414"/>
      <c r="U32" s="414"/>
      <c r="V32" s="385">
        <f>SUM(H32,H33,H35)</f>
        <v>1140</v>
      </c>
      <c r="W32" s="385"/>
      <c r="X32" s="385"/>
      <c r="Y32" s="385"/>
      <c r="Z32" s="385"/>
      <c r="AA32" s="404">
        <f>V32/Q32</f>
        <v>76</v>
      </c>
      <c r="AB32" s="405"/>
      <c r="AC32" s="405"/>
      <c r="AD32" s="405"/>
    </row>
    <row r="33" spans="1:30" ht="20.100000000000001" customHeight="1" x14ac:dyDescent="0.3">
      <c r="A33" s="703"/>
      <c r="B33" s="386" t="s">
        <v>58</v>
      </c>
      <c r="C33" s="387"/>
      <c r="D33" s="387"/>
      <c r="E33" s="387">
        <f>SUN!O31</f>
        <v>8</v>
      </c>
      <c r="F33" s="387"/>
      <c r="G33" s="387"/>
      <c r="H33" s="412">
        <f>SUN!S32</f>
        <v>825</v>
      </c>
      <c r="I33" s="412"/>
      <c r="J33" s="412"/>
      <c r="K33" s="412"/>
      <c r="L33" s="413">
        <f>SUN!O32</f>
        <v>0.62344139650872821</v>
      </c>
      <c r="M33" s="413"/>
      <c r="N33" s="413"/>
      <c r="O33" s="413"/>
      <c r="P33" s="413"/>
      <c r="Q33" s="414"/>
      <c r="R33" s="414"/>
      <c r="S33" s="414"/>
      <c r="T33" s="414"/>
      <c r="U33" s="414"/>
      <c r="V33" s="385"/>
      <c r="W33" s="385"/>
      <c r="X33" s="385"/>
      <c r="Y33" s="385"/>
      <c r="Z33" s="385"/>
      <c r="AA33" s="405"/>
      <c r="AB33" s="405"/>
      <c r="AC33" s="405"/>
      <c r="AD33" s="405"/>
    </row>
    <row r="34" spans="1:30" ht="20.100000000000001" customHeight="1" x14ac:dyDescent="0.3">
      <c r="A34" s="703"/>
      <c r="B34" s="386" t="s">
        <v>45</v>
      </c>
      <c r="C34" s="387"/>
      <c r="D34" s="387"/>
      <c r="E34" s="387">
        <f>SUN!P31</f>
        <v>4</v>
      </c>
      <c r="F34" s="387"/>
      <c r="G34" s="387"/>
      <c r="H34" s="412">
        <f>SUN!K31</f>
        <v>183.3</v>
      </c>
      <c r="I34" s="412"/>
      <c r="J34" s="412"/>
      <c r="K34" s="412"/>
      <c r="L34" s="413">
        <f>SUN!P32</f>
        <v>0.13851734300612106</v>
      </c>
      <c r="M34" s="413"/>
      <c r="N34" s="413"/>
      <c r="O34" s="413"/>
      <c r="P34" s="413"/>
      <c r="Q34" s="414"/>
      <c r="R34" s="414"/>
      <c r="S34" s="414"/>
      <c r="T34" s="414"/>
      <c r="U34" s="414"/>
      <c r="V34" s="385"/>
      <c r="W34" s="385"/>
      <c r="X34" s="385"/>
      <c r="Y34" s="385"/>
      <c r="Z34" s="385"/>
      <c r="AA34" s="405"/>
      <c r="AB34" s="405"/>
      <c r="AC34" s="405"/>
      <c r="AD34" s="405"/>
    </row>
    <row r="35" spans="1:30" ht="20.100000000000001" customHeight="1" x14ac:dyDescent="0.3">
      <c r="A35" s="703"/>
      <c r="B35" s="386" t="s">
        <v>65</v>
      </c>
      <c r="C35" s="387"/>
      <c r="D35" s="387"/>
      <c r="E35" s="387">
        <f>SUN!Q31</f>
        <v>1</v>
      </c>
      <c r="F35" s="387"/>
      <c r="G35" s="387"/>
      <c r="H35" s="412">
        <f>SUN!J31</f>
        <v>110</v>
      </c>
      <c r="I35" s="412"/>
      <c r="J35" s="412"/>
      <c r="K35" s="412"/>
      <c r="L35" s="413">
        <f>SUN!Q32</f>
        <v>8.3125519534497094E-2</v>
      </c>
      <c r="M35" s="413"/>
      <c r="N35" s="413"/>
      <c r="O35" s="413"/>
      <c r="P35" s="413"/>
      <c r="Q35" s="414"/>
      <c r="R35" s="414"/>
      <c r="S35" s="414"/>
      <c r="T35" s="414"/>
      <c r="U35" s="414"/>
      <c r="V35" s="385"/>
      <c r="W35" s="385"/>
      <c r="X35" s="385"/>
      <c r="Y35" s="385"/>
      <c r="Z35" s="385"/>
      <c r="AA35" s="405"/>
      <c r="AB35" s="405"/>
      <c r="AC35" s="405"/>
      <c r="AD35" s="405"/>
    </row>
    <row r="36" spans="1:30" ht="20.100000000000001" customHeight="1" thickBot="1" x14ac:dyDescent="0.35">
      <c r="A36" s="704"/>
      <c r="B36" s="390" t="s">
        <v>94</v>
      </c>
      <c r="C36" s="391"/>
      <c r="D36" s="392"/>
      <c r="E36" s="390">
        <f>SUN!U16</f>
        <v>53.500000000000007</v>
      </c>
      <c r="F36" s="391"/>
      <c r="G36" s="392"/>
      <c r="H36" s="390" t="s">
        <v>95</v>
      </c>
      <c r="I36" s="391"/>
      <c r="J36" s="391"/>
      <c r="K36" s="392"/>
      <c r="L36" s="406">
        <f>SUN!T2</f>
        <v>7</v>
      </c>
      <c r="M36" s="407"/>
      <c r="N36" s="407"/>
      <c r="O36" s="407"/>
      <c r="P36" s="408"/>
      <c r="Q36" s="409"/>
      <c r="R36" s="410"/>
      <c r="S36" s="410"/>
      <c r="T36" s="410"/>
      <c r="U36" s="411"/>
      <c r="V36" s="393"/>
      <c r="W36" s="394"/>
      <c r="X36" s="394"/>
      <c r="Y36" s="394"/>
      <c r="Z36" s="395"/>
      <c r="AA36" s="396"/>
      <c r="AB36" s="397"/>
      <c r="AC36" s="397"/>
      <c r="AD36" s="398"/>
    </row>
    <row r="37" spans="1:30" ht="16.5" customHeight="1" x14ac:dyDescent="0.3">
      <c r="A37" s="376" t="s">
        <v>72</v>
      </c>
      <c r="B37" s="377"/>
      <c r="C37" s="377"/>
      <c r="D37" s="377"/>
      <c r="E37" s="377" t="s">
        <v>73</v>
      </c>
      <c r="F37" s="377"/>
      <c r="G37" s="377"/>
      <c r="H37" s="377"/>
      <c r="I37" s="377"/>
      <c r="J37" s="377"/>
      <c r="K37" s="377" t="s">
        <v>74</v>
      </c>
      <c r="L37" s="377"/>
      <c r="M37" s="377"/>
      <c r="N37" s="377"/>
      <c r="O37" s="377" t="s">
        <v>65</v>
      </c>
      <c r="P37" s="377"/>
      <c r="Q37" s="377"/>
      <c r="R37" s="377"/>
      <c r="S37" s="377"/>
      <c r="T37" s="377" t="s">
        <v>75</v>
      </c>
      <c r="U37" s="377"/>
      <c r="V37" s="377"/>
      <c r="W37" s="377"/>
      <c r="X37" s="377"/>
      <c r="Y37" s="377" t="s">
        <v>76</v>
      </c>
      <c r="Z37" s="377"/>
      <c r="AA37" s="377"/>
      <c r="AB37" s="377"/>
      <c r="AC37" s="377"/>
      <c r="AD37" s="388"/>
    </row>
    <row r="38" spans="1:30" ht="16.5" customHeight="1" x14ac:dyDescent="0.3">
      <c r="A38" s="378"/>
      <c r="B38" s="379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89"/>
    </row>
    <row r="39" spans="1:30" ht="16.5" customHeight="1" x14ac:dyDescent="0.3">
      <c r="A39" s="380">
        <f>SUM(Q2:U35)</f>
        <v>146</v>
      </c>
      <c r="B39" s="381"/>
      <c r="C39" s="381"/>
      <c r="D39" s="381"/>
      <c r="E39" s="384">
        <f>SUM(V2:Z35)</f>
        <v>15175</v>
      </c>
      <c r="F39" s="381"/>
      <c r="G39" s="381"/>
      <c r="H39" s="381"/>
      <c r="I39" s="381"/>
      <c r="J39" s="381"/>
      <c r="K39" s="384">
        <f>E39/A39</f>
        <v>103.93835616438356</v>
      </c>
      <c r="L39" s="381"/>
      <c r="M39" s="381"/>
      <c r="N39" s="381"/>
      <c r="O39" s="381">
        <f>SUM(MON:SUN!Q31)</f>
        <v>8</v>
      </c>
      <c r="P39" s="381"/>
      <c r="Q39" s="381"/>
      <c r="R39" s="381"/>
      <c r="S39" s="381"/>
      <c r="T39" s="381">
        <f>SUM(MON:SUN!P31)</f>
        <v>22</v>
      </c>
      <c r="U39" s="381"/>
      <c r="V39" s="381"/>
      <c r="W39" s="381"/>
      <c r="X39" s="381"/>
      <c r="Y39" s="381">
        <f>SUM(MON:SUN!S19)</f>
        <v>4</v>
      </c>
      <c r="Z39" s="381"/>
      <c r="AA39" s="381"/>
      <c r="AB39" s="381"/>
      <c r="AC39" s="381"/>
      <c r="AD39" s="401"/>
    </row>
    <row r="40" spans="1:30" ht="16.5" customHeight="1" x14ac:dyDescent="0.3">
      <c r="A40" s="380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  <c r="AA40" s="381"/>
      <c r="AB40" s="381"/>
      <c r="AC40" s="381"/>
      <c r="AD40" s="401"/>
    </row>
    <row r="41" spans="1:30" ht="16.5" customHeight="1" x14ac:dyDescent="0.3">
      <c r="A41" s="380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99">
        <f>SUM(MON:SUN!J31)</f>
        <v>605</v>
      </c>
      <c r="P41" s="399"/>
      <c r="Q41" s="399"/>
      <c r="R41" s="399"/>
      <c r="S41" s="399"/>
      <c r="T41" s="399">
        <f>SUM(MON:SUN!K31)</f>
        <v>1354.3999999999999</v>
      </c>
      <c r="U41" s="399"/>
      <c r="V41" s="399"/>
      <c r="W41" s="399"/>
      <c r="X41" s="399"/>
      <c r="Y41" s="399">
        <f>SUM(MON:SUN!T19)</f>
        <v>2225</v>
      </c>
      <c r="Z41" s="399"/>
      <c r="AA41" s="399"/>
      <c r="AB41" s="399"/>
      <c r="AC41" s="399"/>
      <c r="AD41" s="402"/>
    </row>
    <row r="42" spans="1:30" ht="16.5" customHeight="1" thickBot="1" x14ac:dyDescent="0.35">
      <c r="A42" s="382"/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L42" s="383"/>
      <c r="M42" s="383"/>
      <c r="N42" s="383"/>
      <c r="O42" s="400"/>
      <c r="P42" s="400"/>
      <c r="Q42" s="400"/>
      <c r="R42" s="400"/>
      <c r="S42" s="400"/>
      <c r="T42" s="400"/>
      <c r="U42" s="400"/>
      <c r="V42" s="400"/>
      <c r="W42" s="400"/>
      <c r="X42" s="400"/>
      <c r="Y42" s="400"/>
      <c r="Z42" s="400"/>
      <c r="AA42" s="400"/>
      <c r="AB42" s="400"/>
      <c r="AC42" s="400"/>
      <c r="AD42" s="403"/>
    </row>
    <row r="43" spans="1:30" ht="17.45" customHeight="1" x14ac:dyDescent="0.3">
      <c r="A43" s="659" t="s">
        <v>84</v>
      </c>
      <c r="B43" s="660"/>
      <c r="C43" s="660"/>
      <c r="D43" s="660"/>
      <c r="E43" s="661"/>
      <c r="F43" s="659" t="s">
        <v>85</v>
      </c>
      <c r="G43" s="660"/>
      <c r="H43" s="660"/>
      <c r="I43" s="660"/>
      <c r="J43" s="661"/>
      <c r="K43" s="659" t="s">
        <v>86</v>
      </c>
      <c r="L43" s="660"/>
      <c r="M43" s="660"/>
      <c r="N43" s="660"/>
      <c r="O43" s="661"/>
      <c r="P43" s="659" t="s">
        <v>87</v>
      </c>
      <c r="Q43" s="660"/>
      <c r="R43" s="660"/>
      <c r="S43" s="660"/>
      <c r="T43" s="661"/>
      <c r="U43" s="659" t="s">
        <v>90</v>
      </c>
      <c r="V43" s="660"/>
      <c r="W43" s="660"/>
      <c r="X43" s="660"/>
      <c r="Y43" s="661"/>
      <c r="Z43" s="665" t="s">
        <v>95</v>
      </c>
      <c r="AA43" s="666"/>
      <c r="AB43" s="666"/>
      <c r="AC43" s="666"/>
      <c r="AD43" s="667"/>
    </row>
    <row r="44" spans="1:30" ht="17.45" customHeight="1" x14ac:dyDescent="0.3">
      <c r="A44" s="662"/>
      <c r="B44" s="663"/>
      <c r="C44" s="663"/>
      <c r="D44" s="663"/>
      <c r="E44" s="664"/>
      <c r="F44" s="662"/>
      <c r="G44" s="663"/>
      <c r="H44" s="663"/>
      <c r="I44" s="663"/>
      <c r="J44" s="664"/>
      <c r="K44" s="662"/>
      <c r="L44" s="663"/>
      <c r="M44" s="663"/>
      <c r="N44" s="663"/>
      <c r="O44" s="664"/>
      <c r="P44" s="662"/>
      <c r="Q44" s="663"/>
      <c r="R44" s="663"/>
      <c r="S44" s="663"/>
      <c r="T44" s="664"/>
      <c r="U44" s="662"/>
      <c r="V44" s="663"/>
      <c r="W44" s="663"/>
      <c r="X44" s="663"/>
      <c r="Y44" s="664"/>
      <c r="Z44" s="668"/>
      <c r="AA44" s="669"/>
      <c r="AB44" s="669"/>
      <c r="AC44" s="669"/>
      <c r="AD44" s="670"/>
    </row>
    <row r="45" spans="1:30" x14ac:dyDescent="0.3">
      <c r="A45" s="671">
        <f>SUM(H2,H7,H12,H17,H22,H27,H32)</f>
        <v>2665</v>
      </c>
      <c r="B45" s="672"/>
      <c r="C45" s="672"/>
      <c r="D45" s="672"/>
      <c r="E45" s="673"/>
      <c r="F45" s="671">
        <f>SUM(,H3,H8,H13,H18,H23,H28,H33)</f>
        <v>11905</v>
      </c>
      <c r="G45" s="672"/>
      <c r="H45" s="672"/>
      <c r="I45" s="672"/>
      <c r="J45" s="673"/>
      <c r="K45" s="671">
        <f>SUM(H5,H10,H15,H20,H25,H30,H35)</f>
        <v>605</v>
      </c>
      <c r="L45" s="672"/>
      <c r="M45" s="672"/>
      <c r="N45" s="672"/>
      <c r="O45" s="673"/>
      <c r="P45" s="671">
        <f>SUM(H4,H9,H14,H19,H24,H29,H34)</f>
        <v>1354.3999999999999</v>
      </c>
      <c r="Q45" s="672"/>
      <c r="R45" s="672"/>
      <c r="S45" s="672"/>
      <c r="T45" s="673"/>
      <c r="U45" s="680">
        <f>SUM(E6,E11,E16,E21,E26,E31,E36)</f>
        <v>344</v>
      </c>
      <c r="V45" s="672"/>
      <c r="W45" s="672"/>
      <c r="X45" s="672"/>
      <c r="Y45" s="673"/>
      <c r="Z45" s="680">
        <f>SUM(L6,L11,L16,L21,L26,L31,L36)</f>
        <v>44</v>
      </c>
      <c r="AA45" s="672"/>
      <c r="AB45" s="672"/>
      <c r="AC45" s="672"/>
      <c r="AD45" s="681"/>
    </row>
    <row r="46" spans="1:30" x14ac:dyDescent="0.3">
      <c r="A46" s="674"/>
      <c r="B46" s="675"/>
      <c r="C46" s="675"/>
      <c r="D46" s="675"/>
      <c r="E46" s="676"/>
      <c r="F46" s="674"/>
      <c r="G46" s="675"/>
      <c r="H46" s="675"/>
      <c r="I46" s="675"/>
      <c r="J46" s="676"/>
      <c r="K46" s="674"/>
      <c r="L46" s="675"/>
      <c r="M46" s="675"/>
      <c r="N46" s="675"/>
      <c r="O46" s="676"/>
      <c r="P46" s="674"/>
      <c r="Q46" s="675"/>
      <c r="R46" s="675"/>
      <c r="S46" s="675"/>
      <c r="T46" s="676"/>
      <c r="U46" s="674"/>
      <c r="V46" s="675"/>
      <c r="W46" s="675"/>
      <c r="X46" s="675"/>
      <c r="Y46" s="676"/>
      <c r="Z46" s="674"/>
      <c r="AA46" s="675"/>
      <c r="AB46" s="675"/>
      <c r="AC46" s="675"/>
      <c r="AD46" s="682"/>
    </row>
    <row r="47" spans="1:30" x14ac:dyDescent="0.3">
      <c r="A47" s="674"/>
      <c r="B47" s="675"/>
      <c r="C47" s="675"/>
      <c r="D47" s="675"/>
      <c r="E47" s="676"/>
      <c r="F47" s="674"/>
      <c r="G47" s="675"/>
      <c r="H47" s="675"/>
      <c r="I47" s="675"/>
      <c r="J47" s="676"/>
      <c r="K47" s="674"/>
      <c r="L47" s="675"/>
      <c r="M47" s="675"/>
      <c r="N47" s="675"/>
      <c r="O47" s="676"/>
      <c r="P47" s="674"/>
      <c r="Q47" s="675"/>
      <c r="R47" s="675"/>
      <c r="S47" s="675"/>
      <c r="T47" s="676"/>
      <c r="U47" s="674"/>
      <c r="V47" s="675"/>
      <c r="W47" s="675"/>
      <c r="X47" s="675"/>
      <c r="Y47" s="676"/>
      <c r="Z47" s="674"/>
      <c r="AA47" s="675"/>
      <c r="AB47" s="675"/>
      <c r="AC47" s="675"/>
      <c r="AD47" s="682"/>
    </row>
    <row r="48" spans="1:30" ht="17.25" thickBot="1" x14ac:dyDescent="0.35">
      <c r="A48" s="677"/>
      <c r="B48" s="678"/>
      <c r="C48" s="678"/>
      <c r="D48" s="678"/>
      <c r="E48" s="679"/>
      <c r="F48" s="677"/>
      <c r="G48" s="678"/>
      <c r="H48" s="678"/>
      <c r="I48" s="678"/>
      <c r="J48" s="679"/>
      <c r="K48" s="677"/>
      <c r="L48" s="678"/>
      <c r="M48" s="678"/>
      <c r="N48" s="678"/>
      <c r="O48" s="679"/>
      <c r="P48" s="677"/>
      <c r="Q48" s="678"/>
      <c r="R48" s="678"/>
      <c r="S48" s="678"/>
      <c r="T48" s="679"/>
      <c r="U48" s="677"/>
      <c r="V48" s="678"/>
      <c r="W48" s="678"/>
      <c r="X48" s="678"/>
      <c r="Y48" s="679"/>
      <c r="Z48" s="677"/>
      <c r="AA48" s="678"/>
      <c r="AB48" s="678"/>
      <c r="AC48" s="678"/>
      <c r="AD48" s="683"/>
    </row>
    <row r="49" spans="1:30" ht="17.45" customHeight="1" x14ac:dyDescent="0.3">
      <c r="A49" s="641">
        <f>A45/E39</f>
        <v>0.1756177924217463</v>
      </c>
      <c r="B49" s="642"/>
      <c r="C49" s="642"/>
      <c r="D49" s="642"/>
      <c r="E49" s="643"/>
      <c r="F49" s="641">
        <f>F45/E39</f>
        <v>0.78451400329489296</v>
      </c>
      <c r="G49" s="642"/>
      <c r="H49" s="642"/>
      <c r="I49" s="642"/>
      <c r="J49" s="643"/>
      <c r="K49" s="641">
        <f>K45/E39</f>
        <v>3.9868204283360791E-2</v>
      </c>
      <c r="L49" s="642"/>
      <c r="M49" s="642"/>
      <c r="N49" s="642"/>
      <c r="O49" s="643"/>
      <c r="P49" s="641">
        <f>P45/E39</f>
        <v>8.9252059308072479E-2</v>
      </c>
      <c r="Q49" s="642"/>
      <c r="R49" s="642"/>
      <c r="S49" s="642"/>
      <c r="T49" s="643"/>
      <c r="U49" s="650">
        <f>U45/7</f>
        <v>49.142857142857146</v>
      </c>
      <c r="V49" s="651"/>
      <c r="W49" s="651"/>
      <c r="X49" s="651"/>
      <c r="Y49" s="652"/>
      <c r="Z49" s="650">
        <f>U45/Z45</f>
        <v>7.8181818181818183</v>
      </c>
      <c r="AA49" s="651"/>
      <c r="AB49" s="651"/>
      <c r="AC49" s="651"/>
      <c r="AD49" s="652"/>
    </row>
    <row r="50" spans="1:30" ht="17.45" customHeight="1" x14ac:dyDescent="0.3">
      <c r="A50" s="644"/>
      <c r="B50" s="645"/>
      <c r="C50" s="645"/>
      <c r="D50" s="645"/>
      <c r="E50" s="646"/>
      <c r="F50" s="644"/>
      <c r="G50" s="645"/>
      <c r="H50" s="645"/>
      <c r="I50" s="645"/>
      <c r="J50" s="646"/>
      <c r="K50" s="644"/>
      <c r="L50" s="645"/>
      <c r="M50" s="645"/>
      <c r="N50" s="645"/>
      <c r="O50" s="646"/>
      <c r="P50" s="644"/>
      <c r="Q50" s="645"/>
      <c r="R50" s="645"/>
      <c r="S50" s="645"/>
      <c r="T50" s="646"/>
      <c r="U50" s="653"/>
      <c r="V50" s="654"/>
      <c r="W50" s="654"/>
      <c r="X50" s="654"/>
      <c r="Y50" s="655"/>
      <c r="Z50" s="653"/>
      <c r="AA50" s="654"/>
      <c r="AB50" s="654"/>
      <c r="AC50" s="654"/>
      <c r="AD50" s="655"/>
    </row>
    <row r="51" spans="1:30" ht="17.45" customHeight="1" x14ac:dyDescent="0.3">
      <c r="A51" s="644"/>
      <c r="B51" s="645"/>
      <c r="C51" s="645"/>
      <c r="D51" s="645"/>
      <c r="E51" s="646"/>
      <c r="F51" s="644"/>
      <c r="G51" s="645"/>
      <c r="H51" s="645"/>
      <c r="I51" s="645"/>
      <c r="J51" s="646"/>
      <c r="K51" s="644"/>
      <c r="L51" s="645"/>
      <c r="M51" s="645"/>
      <c r="N51" s="645"/>
      <c r="O51" s="646"/>
      <c r="P51" s="644"/>
      <c r="Q51" s="645"/>
      <c r="R51" s="645"/>
      <c r="S51" s="645"/>
      <c r="T51" s="646"/>
      <c r="U51" s="653"/>
      <c r="V51" s="654"/>
      <c r="W51" s="654"/>
      <c r="X51" s="654"/>
      <c r="Y51" s="655"/>
      <c r="Z51" s="653"/>
      <c r="AA51" s="654"/>
      <c r="AB51" s="654"/>
      <c r="AC51" s="654"/>
      <c r="AD51" s="655"/>
    </row>
    <row r="52" spans="1:30" ht="18" customHeight="1" thickBot="1" x14ac:dyDescent="0.35">
      <c r="A52" s="647"/>
      <c r="B52" s="648"/>
      <c r="C52" s="648"/>
      <c r="D52" s="648"/>
      <c r="E52" s="649"/>
      <c r="F52" s="647"/>
      <c r="G52" s="648"/>
      <c r="H52" s="648"/>
      <c r="I52" s="648"/>
      <c r="J52" s="649"/>
      <c r="K52" s="647"/>
      <c r="L52" s="648"/>
      <c r="M52" s="648"/>
      <c r="N52" s="648"/>
      <c r="O52" s="649"/>
      <c r="P52" s="647"/>
      <c r="Q52" s="648"/>
      <c r="R52" s="648"/>
      <c r="S52" s="648"/>
      <c r="T52" s="649"/>
      <c r="U52" s="656"/>
      <c r="V52" s="657"/>
      <c r="W52" s="657"/>
      <c r="X52" s="657"/>
      <c r="Y52" s="658"/>
      <c r="Z52" s="656"/>
      <c r="AA52" s="657"/>
      <c r="AB52" s="657"/>
      <c r="AC52" s="657"/>
      <c r="AD52" s="658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7ACEC59B-3DB4-4740-B9FD-8D24226975ED}"/>
</file>

<file path=customXml/itemProps2.xml><?xml version="1.0" encoding="utf-8"?>
<ds:datastoreItem xmlns:ds="http://schemas.openxmlformats.org/officeDocument/2006/customXml" ds:itemID="{14DC7A2D-5E04-4E82-A776-3B4132DCA823}"/>
</file>

<file path=customXml/itemProps3.xml><?xml version="1.0" encoding="utf-8"?>
<ds:datastoreItem xmlns:ds="http://schemas.openxmlformats.org/officeDocument/2006/customXml" ds:itemID="{70F11810-4175-45F6-969A-D48F4DB725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2022-02-20T06:16:47Z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