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U:\home\B2-PC\"/>
    </mc:Choice>
  </mc:AlternateContent>
  <xr:revisionPtr revIDLastSave="0" documentId="13_ncr:1_{248714EA-E1E9-4929-BD90-8968D8B25FE5}" xr6:coauthVersionLast="47" xr6:coauthVersionMax="47" xr10:uidLastSave="{00000000-0000-0000-0000-000000000000}"/>
  <bookViews>
    <workbookView xWindow="28680" yWindow="-120" windowWidth="29040" windowHeight="15840" activeTab="7" xr2:uid="{00000000-000D-0000-FFFF-FFFF00000000}"/>
  </bookViews>
  <sheets>
    <sheet name="OCT2012" sheetId="1" r:id="rId1"/>
    <sheet name="2013" sheetId="2" r:id="rId2"/>
    <sheet name="2014" sheetId="4" r:id="rId3"/>
    <sheet name="2015" sheetId="5" r:id="rId4"/>
    <sheet name="2016" sheetId="7" r:id="rId5"/>
    <sheet name="2017" sheetId="8" r:id="rId6"/>
    <sheet name="2018" sheetId="9" r:id="rId7"/>
    <sheet name="2019" sheetId="11" r:id="rId8"/>
    <sheet name="2020" sheetId="12" r:id="rId9"/>
    <sheet name="SUMMARY" sheetId="13" r:id="rId10"/>
    <sheet name="ALL BRANCH" sheetId="6" r:id="rId11"/>
    <sheet name="CRSL MOVEMBER" sheetId="1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4" i="12" l="1"/>
  <c r="C115" i="12" l="1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27" i="11" l="1"/>
  <c r="C473" i="9" l="1"/>
  <c r="K114" i="11" l="1"/>
  <c r="C353" i="9" l="1"/>
  <c r="K286" i="12" l="1"/>
  <c r="L286" i="12" s="1"/>
  <c r="J286" i="12"/>
  <c r="C286" i="12"/>
  <c r="K289" i="12" l="1"/>
  <c r="L289" i="12" s="1"/>
  <c r="J289" i="12"/>
  <c r="C289" i="12"/>
  <c r="K288" i="12"/>
  <c r="L288" i="12" s="1"/>
  <c r="J288" i="12"/>
  <c r="C288" i="12"/>
  <c r="K287" i="12"/>
  <c r="L287" i="12" s="1"/>
  <c r="J287" i="12"/>
  <c r="C287" i="12"/>
  <c r="K285" i="12"/>
  <c r="L285" i="12" s="1"/>
  <c r="J285" i="12"/>
  <c r="C285" i="12"/>
  <c r="K284" i="12"/>
  <c r="L284" i="12" s="1"/>
  <c r="J284" i="12"/>
  <c r="C284" i="12"/>
  <c r="K283" i="12"/>
  <c r="L283" i="12" s="1"/>
  <c r="J283" i="12"/>
  <c r="C283" i="12"/>
  <c r="K282" i="12"/>
  <c r="L282" i="12" s="1"/>
  <c r="J282" i="12"/>
  <c r="C282" i="12"/>
  <c r="K281" i="12"/>
  <c r="L281" i="12" s="1"/>
  <c r="J281" i="12"/>
  <c r="C281" i="12"/>
  <c r="K280" i="12"/>
  <c r="L280" i="12" s="1"/>
  <c r="J280" i="12"/>
  <c r="C280" i="12"/>
  <c r="K279" i="12"/>
  <c r="L279" i="12" s="1"/>
  <c r="J279" i="12"/>
  <c r="C279" i="12"/>
  <c r="K278" i="12"/>
  <c r="L278" i="12" s="1"/>
  <c r="J278" i="12"/>
  <c r="C278" i="12"/>
  <c r="K277" i="12"/>
  <c r="L277" i="12" s="1"/>
  <c r="J277" i="12"/>
  <c r="C277" i="12"/>
  <c r="K276" i="12"/>
  <c r="L276" i="12" s="1"/>
  <c r="J276" i="12"/>
  <c r="C276" i="12"/>
  <c r="K275" i="12"/>
  <c r="L275" i="12" s="1"/>
  <c r="J275" i="12"/>
  <c r="C275" i="12"/>
  <c r="K274" i="12"/>
  <c r="L274" i="12" s="1"/>
  <c r="J274" i="12"/>
  <c r="C274" i="12"/>
  <c r="K273" i="12"/>
  <c r="L273" i="12" s="1"/>
  <c r="J273" i="12"/>
  <c r="C273" i="12"/>
  <c r="K272" i="12"/>
  <c r="L272" i="12" s="1"/>
  <c r="J272" i="12"/>
  <c r="C272" i="12"/>
  <c r="K271" i="12"/>
  <c r="L271" i="12" s="1"/>
  <c r="J271" i="12"/>
  <c r="C271" i="12"/>
  <c r="K270" i="12"/>
  <c r="L270" i="12" s="1"/>
  <c r="J270" i="12"/>
  <c r="C270" i="12"/>
  <c r="K269" i="12"/>
  <c r="L269" i="12" s="1"/>
  <c r="J269" i="12"/>
  <c r="C269" i="12"/>
  <c r="K268" i="12"/>
  <c r="L268" i="12" s="1"/>
  <c r="J268" i="12"/>
  <c r="C268" i="12"/>
  <c r="K267" i="12"/>
  <c r="L267" i="12" s="1"/>
  <c r="J267" i="12"/>
  <c r="C267" i="12"/>
  <c r="K266" i="12"/>
  <c r="L266" i="12" s="1"/>
  <c r="J266" i="12"/>
  <c r="C266" i="12"/>
  <c r="K265" i="12"/>
  <c r="L265" i="12" s="1"/>
  <c r="J265" i="12"/>
  <c r="C265" i="12"/>
  <c r="K264" i="12"/>
  <c r="L264" i="12" s="1"/>
  <c r="J264" i="12"/>
  <c r="C264" i="12"/>
  <c r="K263" i="12"/>
  <c r="L263" i="12" s="1"/>
  <c r="J263" i="12"/>
  <c r="C263" i="12"/>
  <c r="K262" i="12"/>
  <c r="L262" i="12" s="1"/>
  <c r="J262" i="12"/>
  <c r="C262" i="12"/>
  <c r="K261" i="12"/>
  <c r="L261" i="12" s="1"/>
  <c r="J261" i="12"/>
  <c r="C261" i="12"/>
  <c r="K260" i="12"/>
  <c r="L260" i="12" s="1"/>
  <c r="J260" i="12"/>
  <c r="C260" i="12"/>
  <c r="C253" i="12" l="1"/>
  <c r="F308" i="11" l="1"/>
  <c r="K259" i="12" l="1"/>
  <c r="L259" i="12" s="1"/>
  <c r="J259" i="12"/>
  <c r="C259" i="12"/>
  <c r="K258" i="12"/>
  <c r="L258" i="12" s="1"/>
  <c r="J258" i="12"/>
  <c r="C258" i="12"/>
  <c r="K257" i="12"/>
  <c r="L257" i="12" s="1"/>
  <c r="J257" i="12"/>
  <c r="C257" i="12"/>
  <c r="K256" i="12"/>
  <c r="L256" i="12" s="1"/>
  <c r="J256" i="12"/>
  <c r="C256" i="12"/>
  <c r="K255" i="12"/>
  <c r="L255" i="12" s="1"/>
  <c r="J255" i="12"/>
  <c r="C255" i="12"/>
  <c r="K254" i="12"/>
  <c r="L254" i="12" s="1"/>
  <c r="J254" i="12"/>
  <c r="K253" i="12"/>
  <c r="L253" i="12" s="1"/>
  <c r="J253" i="12"/>
  <c r="K252" i="12"/>
  <c r="L252" i="12" s="1"/>
  <c r="J252" i="12"/>
  <c r="C252" i="12"/>
  <c r="K251" i="12"/>
  <c r="L251" i="12" s="1"/>
  <c r="J251" i="12"/>
  <c r="C251" i="12"/>
  <c r="K250" i="12"/>
  <c r="L250" i="12" s="1"/>
  <c r="J250" i="12"/>
  <c r="C250" i="12"/>
  <c r="K249" i="12"/>
  <c r="L249" i="12" s="1"/>
  <c r="J249" i="12"/>
  <c r="C249" i="12"/>
  <c r="K248" i="12"/>
  <c r="L248" i="12" s="1"/>
  <c r="J248" i="12"/>
  <c r="C248" i="12"/>
  <c r="K247" i="12"/>
  <c r="L247" i="12" s="1"/>
  <c r="J247" i="12"/>
  <c r="C247" i="12"/>
  <c r="K246" i="12"/>
  <c r="L246" i="12" s="1"/>
  <c r="J246" i="12"/>
  <c r="C246" i="12"/>
  <c r="K245" i="12"/>
  <c r="L245" i="12" s="1"/>
  <c r="J245" i="12"/>
  <c r="C245" i="12"/>
  <c r="K244" i="12"/>
  <c r="L244" i="12" s="1"/>
  <c r="J244" i="12"/>
  <c r="C244" i="12"/>
  <c r="K243" i="12"/>
  <c r="L243" i="12" s="1"/>
  <c r="J243" i="12"/>
  <c r="C243" i="12"/>
  <c r="K242" i="12"/>
  <c r="L242" i="12" s="1"/>
  <c r="J242" i="12"/>
  <c r="C242" i="12"/>
  <c r="K241" i="12"/>
  <c r="L241" i="12" s="1"/>
  <c r="J241" i="12"/>
  <c r="C241" i="12"/>
  <c r="K240" i="12"/>
  <c r="L240" i="12" s="1"/>
  <c r="J240" i="12"/>
  <c r="C240" i="12"/>
  <c r="K239" i="12"/>
  <c r="L239" i="12" s="1"/>
  <c r="J239" i="12"/>
  <c r="C239" i="12"/>
  <c r="K238" i="12"/>
  <c r="L238" i="12" s="1"/>
  <c r="J238" i="12"/>
  <c r="C238" i="12"/>
  <c r="K237" i="12"/>
  <c r="L237" i="12" s="1"/>
  <c r="J237" i="12"/>
  <c r="C237" i="12"/>
  <c r="K236" i="12"/>
  <c r="L236" i="12" s="1"/>
  <c r="J236" i="12"/>
  <c r="C236" i="12"/>
  <c r="K235" i="12"/>
  <c r="L235" i="12" s="1"/>
  <c r="J235" i="12"/>
  <c r="C235" i="12"/>
  <c r="K234" i="12"/>
  <c r="L234" i="12" s="1"/>
  <c r="J234" i="12"/>
  <c r="C234" i="12"/>
  <c r="K233" i="12"/>
  <c r="L233" i="12" s="1"/>
  <c r="J233" i="12"/>
  <c r="C233" i="12"/>
  <c r="K232" i="12" l="1"/>
  <c r="L232" i="12" s="1"/>
  <c r="J232" i="12"/>
  <c r="C232" i="12"/>
  <c r="K231" i="12"/>
  <c r="L231" i="12" s="1"/>
  <c r="J231" i="12"/>
  <c r="C231" i="12"/>
  <c r="K230" i="12"/>
  <c r="L230" i="12" s="1"/>
  <c r="J230" i="12"/>
  <c r="C230" i="12"/>
  <c r="K229" i="12" l="1"/>
  <c r="L229" i="12" s="1"/>
  <c r="J229" i="12"/>
  <c r="C229" i="12"/>
  <c r="K228" i="12"/>
  <c r="L228" i="12" s="1"/>
  <c r="J228" i="12"/>
  <c r="C228" i="12"/>
  <c r="K227" i="12"/>
  <c r="L227" i="12" s="1"/>
  <c r="J227" i="12"/>
  <c r="C227" i="12"/>
  <c r="K226" i="12"/>
  <c r="L226" i="12" s="1"/>
  <c r="J226" i="12"/>
  <c r="C226" i="12"/>
  <c r="K225" i="12"/>
  <c r="L225" i="12" s="1"/>
  <c r="J225" i="12"/>
  <c r="C225" i="12"/>
  <c r="K224" i="12"/>
  <c r="L224" i="12" s="1"/>
  <c r="J224" i="12"/>
  <c r="C224" i="12"/>
  <c r="K223" i="12"/>
  <c r="L223" i="12" s="1"/>
  <c r="J223" i="12"/>
  <c r="C223" i="12"/>
  <c r="K222" i="12"/>
  <c r="L222" i="12" s="1"/>
  <c r="J222" i="12"/>
  <c r="C222" i="12"/>
  <c r="K221" i="12"/>
  <c r="L221" i="12" s="1"/>
  <c r="J221" i="12"/>
  <c r="C221" i="12"/>
  <c r="K220" i="12"/>
  <c r="L220" i="12" s="1"/>
  <c r="J220" i="12"/>
  <c r="C220" i="12"/>
  <c r="K219" i="12"/>
  <c r="L219" i="12" s="1"/>
  <c r="J219" i="12"/>
  <c r="C219" i="12"/>
  <c r="K218" i="12"/>
  <c r="L218" i="12" s="1"/>
  <c r="J218" i="12"/>
  <c r="C218" i="12"/>
  <c r="K217" i="12"/>
  <c r="L217" i="12" s="1"/>
  <c r="J217" i="12"/>
  <c r="C217" i="12"/>
  <c r="K216" i="12"/>
  <c r="L216" i="12" s="1"/>
  <c r="J216" i="12"/>
  <c r="C216" i="12"/>
  <c r="K215" i="12"/>
  <c r="L215" i="12" s="1"/>
  <c r="J215" i="12"/>
  <c r="C215" i="12"/>
  <c r="K214" i="12"/>
  <c r="L214" i="12" s="1"/>
  <c r="J214" i="12"/>
  <c r="C214" i="12"/>
  <c r="K213" i="12"/>
  <c r="L213" i="12" s="1"/>
  <c r="J213" i="12"/>
  <c r="C213" i="12"/>
  <c r="K212" i="12"/>
  <c r="L212" i="12" s="1"/>
  <c r="J212" i="12"/>
  <c r="C212" i="12"/>
  <c r="K211" i="12"/>
  <c r="L211" i="12" s="1"/>
  <c r="J211" i="12"/>
  <c r="C211" i="12"/>
  <c r="K210" i="12"/>
  <c r="L210" i="12" s="1"/>
  <c r="J210" i="12"/>
  <c r="C210" i="12"/>
  <c r="K209" i="12"/>
  <c r="L209" i="12" s="1"/>
  <c r="J209" i="12"/>
  <c r="C209" i="12"/>
  <c r="K208" i="12"/>
  <c r="L208" i="12" s="1"/>
  <c r="J208" i="12"/>
  <c r="C208" i="12"/>
  <c r="K207" i="12"/>
  <c r="L207" i="12" s="1"/>
  <c r="J207" i="12"/>
  <c r="C207" i="12"/>
  <c r="K206" i="12"/>
  <c r="L206" i="12" s="1"/>
  <c r="J206" i="12"/>
  <c r="C206" i="12"/>
  <c r="K205" i="12"/>
  <c r="L205" i="12" s="1"/>
  <c r="J205" i="12"/>
  <c r="C205" i="12"/>
  <c r="K204" i="12"/>
  <c r="L204" i="12" s="1"/>
  <c r="J204" i="12"/>
  <c r="C204" i="12"/>
  <c r="K203" i="12"/>
  <c r="L203" i="12" s="1"/>
  <c r="J203" i="12"/>
  <c r="C203" i="12"/>
  <c r="K202" i="12"/>
  <c r="L202" i="12" s="1"/>
  <c r="J202" i="12"/>
  <c r="C202" i="12"/>
  <c r="K201" i="12"/>
  <c r="L201" i="12" s="1"/>
  <c r="J201" i="12"/>
  <c r="C201" i="12"/>
  <c r="K200" i="12"/>
  <c r="L200" i="12" s="1"/>
  <c r="J200" i="12"/>
  <c r="C200" i="12"/>
  <c r="C16" i="13" l="1"/>
  <c r="X250" i="12" l="1"/>
  <c r="X259" i="12"/>
  <c r="V259" i="12"/>
  <c r="T259" i="12"/>
  <c r="X258" i="12"/>
  <c r="V258" i="12"/>
  <c r="T258" i="12"/>
  <c r="X257" i="12"/>
  <c r="V257" i="12"/>
  <c r="T257" i="12"/>
  <c r="X256" i="12"/>
  <c r="V256" i="12"/>
  <c r="T256" i="12"/>
  <c r="X255" i="12"/>
  <c r="V255" i="12"/>
  <c r="T255" i="12"/>
  <c r="X254" i="12"/>
  <c r="V254" i="12"/>
  <c r="T254" i="12"/>
  <c r="X253" i="12"/>
  <c r="V253" i="12"/>
  <c r="T253" i="12"/>
  <c r="X252" i="12"/>
  <c r="V252" i="12"/>
  <c r="T252" i="12"/>
  <c r="X251" i="12"/>
  <c r="V251" i="12"/>
  <c r="T251" i="12"/>
  <c r="V250" i="12"/>
  <c r="T250" i="12"/>
  <c r="W249" i="12"/>
  <c r="X249" i="12" s="1"/>
  <c r="V249" i="12"/>
  <c r="T249" i="12"/>
  <c r="W248" i="12"/>
  <c r="X248" i="12" s="1"/>
  <c r="V248" i="12"/>
  <c r="T248" i="12"/>
  <c r="W247" i="12"/>
  <c r="X247" i="12" s="1"/>
  <c r="V247" i="12"/>
  <c r="T247" i="12"/>
  <c r="W246" i="12"/>
  <c r="X246" i="12" s="1"/>
  <c r="V246" i="12"/>
  <c r="T246" i="12"/>
  <c r="W245" i="12"/>
  <c r="X245" i="12" s="1"/>
  <c r="V245" i="12"/>
  <c r="T245" i="12"/>
  <c r="W244" i="12"/>
  <c r="X244" i="12" s="1"/>
  <c r="V244" i="12"/>
  <c r="T244" i="12"/>
  <c r="W243" i="12"/>
  <c r="X243" i="12" s="1"/>
  <c r="V243" i="12"/>
  <c r="T243" i="12"/>
  <c r="W242" i="12"/>
  <c r="X242" i="12" s="1"/>
  <c r="V242" i="12"/>
  <c r="T242" i="12"/>
  <c r="W241" i="12"/>
  <c r="X241" i="12" s="1"/>
  <c r="V241" i="12"/>
  <c r="T241" i="12"/>
  <c r="W240" i="12"/>
  <c r="X240" i="12" s="1"/>
  <c r="V240" i="12"/>
  <c r="T240" i="12"/>
  <c r="W239" i="12"/>
  <c r="X239" i="12" s="1"/>
  <c r="V239" i="12"/>
  <c r="T239" i="12"/>
  <c r="W238" i="12"/>
  <c r="X238" i="12" s="1"/>
  <c r="V238" i="12"/>
  <c r="T238" i="12"/>
  <c r="W237" i="12"/>
  <c r="X237" i="12" s="1"/>
  <c r="V237" i="12"/>
  <c r="T237" i="12"/>
  <c r="W236" i="12"/>
  <c r="X236" i="12" s="1"/>
  <c r="V236" i="12"/>
  <c r="T236" i="12"/>
  <c r="W235" i="12"/>
  <c r="X235" i="12" s="1"/>
  <c r="V235" i="12"/>
  <c r="T235" i="12"/>
  <c r="W234" i="12"/>
  <c r="X234" i="12" s="1"/>
  <c r="V234" i="12"/>
  <c r="T234" i="12"/>
  <c r="W233" i="12"/>
  <c r="X233" i="12" s="1"/>
  <c r="V233" i="12"/>
  <c r="T233" i="12"/>
  <c r="W232" i="12"/>
  <c r="X232" i="12" s="1"/>
  <c r="V232" i="12"/>
  <c r="T232" i="12"/>
  <c r="W231" i="12"/>
  <c r="X231" i="12" s="1"/>
  <c r="V231" i="12"/>
  <c r="T231" i="12"/>
  <c r="W230" i="12"/>
  <c r="X230" i="12" s="1"/>
  <c r="V230" i="12"/>
  <c r="T230" i="12"/>
  <c r="W229" i="12"/>
  <c r="X229" i="12" s="1"/>
  <c r="V229" i="12"/>
  <c r="T229" i="12"/>
  <c r="W228" i="12"/>
  <c r="X228" i="12" s="1"/>
  <c r="V228" i="12"/>
  <c r="T228" i="12"/>
  <c r="W227" i="12"/>
  <c r="X227" i="12" s="1"/>
  <c r="V227" i="12"/>
  <c r="T227" i="12"/>
  <c r="W226" i="12"/>
  <c r="X226" i="12" s="1"/>
  <c r="V226" i="12"/>
  <c r="T226" i="12"/>
  <c r="W225" i="12"/>
  <c r="X225" i="12" s="1"/>
  <c r="V225" i="12"/>
  <c r="T225" i="12"/>
  <c r="W224" i="12"/>
  <c r="X224" i="12" s="1"/>
  <c r="V224" i="12"/>
  <c r="T224" i="12"/>
  <c r="W223" i="12"/>
  <c r="X223" i="12" s="1"/>
  <c r="V223" i="12"/>
  <c r="T223" i="12"/>
  <c r="W222" i="12"/>
  <c r="X222" i="12" s="1"/>
  <c r="V222" i="12"/>
  <c r="T222" i="12"/>
  <c r="W221" i="12"/>
  <c r="X221" i="12" s="1"/>
  <c r="V221" i="12"/>
  <c r="T221" i="12"/>
  <c r="W220" i="12"/>
  <c r="X220" i="12" s="1"/>
  <c r="V220" i="12"/>
  <c r="T220" i="12"/>
  <c r="W219" i="12"/>
  <c r="X219" i="12" s="1"/>
  <c r="V219" i="12"/>
  <c r="T219" i="12"/>
  <c r="W218" i="12"/>
  <c r="X218" i="12" s="1"/>
  <c r="V218" i="12"/>
  <c r="T218" i="12"/>
  <c r="W217" i="12"/>
  <c r="X217" i="12" s="1"/>
  <c r="V217" i="12"/>
  <c r="T217" i="12"/>
  <c r="W216" i="12"/>
  <c r="X216" i="12" s="1"/>
  <c r="V216" i="12"/>
  <c r="T216" i="12"/>
  <c r="W215" i="12"/>
  <c r="X215" i="12" s="1"/>
  <c r="V215" i="12"/>
  <c r="T215" i="12"/>
  <c r="W214" i="12"/>
  <c r="X214" i="12" s="1"/>
  <c r="V214" i="12"/>
  <c r="T214" i="12"/>
  <c r="W213" i="12"/>
  <c r="X213" i="12" s="1"/>
  <c r="V213" i="12"/>
  <c r="T213" i="12"/>
  <c r="W212" i="12"/>
  <c r="X212" i="12" s="1"/>
  <c r="V212" i="12"/>
  <c r="T212" i="12"/>
  <c r="W211" i="12"/>
  <c r="X211" i="12" s="1"/>
  <c r="V211" i="12"/>
  <c r="T211" i="12"/>
  <c r="W210" i="12"/>
  <c r="X210" i="12" s="1"/>
  <c r="V210" i="12"/>
  <c r="T210" i="12"/>
  <c r="W209" i="12"/>
  <c r="X209" i="12" s="1"/>
  <c r="V209" i="12"/>
  <c r="T209" i="12"/>
  <c r="W208" i="12"/>
  <c r="X208" i="12" s="1"/>
  <c r="V208" i="12"/>
  <c r="T208" i="12"/>
  <c r="W207" i="12"/>
  <c r="X207" i="12" s="1"/>
  <c r="V207" i="12"/>
  <c r="T207" i="12"/>
  <c r="W206" i="12"/>
  <c r="X206" i="12" s="1"/>
  <c r="V206" i="12"/>
  <c r="T206" i="12"/>
  <c r="W205" i="12"/>
  <c r="X205" i="12" s="1"/>
  <c r="V205" i="12"/>
  <c r="T205" i="12"/>
  <c r="W204" i="12"/>
  <c r="X204" i="12" s="1"/>
  <c r="V204" i="12"/>
  <c r="T204" i="12"/>
  <c r="W203" i="12"/>
  <c r="X203" i="12" s="1"/>
  <c r="V203" i="12"/>
  <c r="T203" i="12"/>
  <c r="W202" i="12"/>
  <c r="X202" i="12" s="1"/>
  <c r="V202" i="12"/>
  <c r="T202" i="12"/>
  <c r="W201" i="12"/>
  <c r="X201" i="12" s="1"/>
  <c r="V201" i="12"/>
  <c r="T201" i="12"/>
  <c r="T200" i="12"/>
  <c r="W200" i="12"/>
  <c r="X200" i="12" s="1"/>
  <c r="V200" i="12"/>
  <c r="K199" i="12" l="1"/>
  <c r="L199" i="12" s="1"/>
  <c r="J199" i="12"/>
  <c r="C199" i="12"/>
  <c r="K198" i="12"/>
  <c r="L198" i="12" s="1"/>
  <c r="J198" i="12"/>
  <c r="C198" i="12"/>
  <c r="K197" i="12"/>
  <c r="L197" i="12" s="1"/>
  <c r="J197" i="12"/>
  <c r="C197" i="12"/>
  <c r="K196" i="12"/>
  <c r="L196" i="12" s="1"/>
  <c r="J196" i="12"/>
  <c r="C196" i="12"/>
  <c r="K195" i="12"/>
  <c r="L195" i="12" s="1"/>
  <c r="J195" i="12"/>
  <c r="C195" i="12"/>
  <c r="K194" i="12"/>
  <c r="L194" i="12" s="1"/>
  <c r="J194" i="12"/>
  <c r="C194" i="12"/>
  <c r="K193" i="12"/>
  <c r="L193" i="12" s="1"/>
  <c r="J193" i="12"/>
  <c r="C193" i="12"/>
  <c r="K192" i="12"/>
  <c r="L192" i="12" s="1"/>
  <c r="J192" i="12"/>
  <c r="C192" i="12"/>
  <c r="K191" i="12"/>
  <c r="L191" i="12" s="1"/>
  <c r="J191" i="12"/>
  <c r="C191" i="12"/>
  <c r="K190" i="12"/>
  <c r="L190" i="12" s="1"/>
  <c r="J190" i="12"/>
  <c r="C190" i="12"/>
  <c r="K189" i="12"/>
  <c r="L189" i="12" s="1"/>
  <c r="J189" i="12"/>
  <c r="C189" i="12"/>
  <c r="K188" i="12"/>
  <c r="L188" i="12" s="1"/>
  <c r="J188" i="12"/>
  <c r="C188" i="12"/>
  <c r="K187" i="12"/>
  <c r="L187" i="12" s="1"/>
  <c r="J187" i="12"/>
  <c r="C187" i="12"/>
  <c r="K186" i="12"/>
  <c r="L186" i="12" s="1"/>
  <c r="J186" i="12"/>
  <c r="C186" i="12"/>
  <c r="K185" i="12"/>
  <c r="L185" i="12" s="1"/>
  <c r="J185" i="12"/>
  <c r="C185" i="12"/>
  <c r="K184" i="12"/>
  <c r="L184" i="12" s="1"/>
  <c r="J184" i="12"/>
  <c r="C184" i="12"/>
  <c r="K183" i="12"/>
  <c r="L183" i="12" s="1"/>
  <c r="J183" i="12"/>
  <c r="C183" i="12"/>
  <c r="K182" i="12"/>
  <c r="L182" i="12" s="1"/>
  <c r="J182" i="12"/>
  <c r="C182" i="12"/>
  <c r="K181" i="12"/>
  <c r="L181" i="12" s="1"/>
  <c r="J181" i="12"/>
  <c r="C181" i="12"/>
  <c r="K180" i="12"/>
  <c r="L180" i="12" s="1"/>
  <c r="J180" i="12"/>
  <c r="C180" i="12"/>
  <c r="K179" i="12"/>
  <c r="L179" i="12" s="1"/>
  <c r="J179" i="12"/>
  <c r="C179" i="12"/>
  <c r="K178" i="12"/>
  <c r="L178" i="12" s="1"/>
  <c r="J178" i="12"/>
  <c r="C178" i="12"/>
  <c r="K177" i="12"/>
  <c r="L177" i="12" s="1"/>
  <c r="J177" i="12"/>
  <c r="C177" i="12"/>
  <c r="K176" i="12"/>
  <c r="L176" i="12" s="1"/>
  <c r="J176" i="12"/>
  <c r="C176" i="12"/>
  <c r="K175" i="12"/>
  <c r="L175" i="12" s="1"/>
  <c r="J175" i="12"/>
  <c r="C175" i="12"/>
  <c r="K174" i="12"/>
  <c r="L174" i="12" s="1"/>
  <c r="J174" i="12"/>
  <c r="C174" i="12"/>
  <c r="K173" i="12"/>
  <c r="L173" i="12" s="1"/>
  <c r="J173" i="12"/>
  <c r="C173" i="12"/>
  <c r="K172" i="12"/>
  <c r="L172" i="12" s="1"/>
  <c r="J172" i="12"/>
  <c r="C172" i="12"/>
  <c r="K171" i="12"/>
  <c r="L171" i="12" s="1"/>
  <c r="J171" i="12"/>
  <c r="C171" i="12"/>
  <c r="K170" i="12"/>
  <c r="L170" i="12" s="1"/>
  <c r="J170" i="12"/>
  <c r="C170" i="12"/>
  <c r="K169" i="12" l="1"/>
  <c r="L169" i="12" s="1"/>
  <c r="J169" i="12"/>
  <c r="C169" i="12"/>
  <c r="K168" i="12"/>
  <c r="L168" i="12" s="1"/>
  <c r="J168" i="12"/>
  <c r="C168" i="12"/>
  <c r="K167" i="12"/>
  <c r="L167" i="12" s="1"/>
  <c r="J167" i="12"/>
  <c r="C167" i="12"/>
  <c r="K166" i="12"/>
  <c r="L166" i="12" s="1"/>
  <c r="J166" i="12"/>
  <c r="C166" i="12"/>
  <c r="K165" i="12"/>
  <c r="L165" i="12" s="1"/>
  <c r="J165" i="12"/>
  <c r="C165" i="12"/>
  <c r="L164" i="12"/>
  <c r="K164" i="12"/>
  <c r="J164" i="12"/>
  <c r="C164" i="12"/>
  <c r="K163" i="12"/>
  <c r="L163" i="12" s="1"/>
  <c r="J163" i="12"/>
  <c r="C163" i="12"/>
  <c r="K162" i="12"/>
  <c r="L162" i="12" s="1"/>
  <c r="J162" i="12"/>
  <c r="C162" i="12"/>
  <c r="K161" i="12"/>
  <c r="L161" i="12" s="1"/>
  <c r="J161" i="12"/>
  <c r="C161" i="12"/>
  <c r="K160" i="12"/>
  <c r="L160" i="12" s="1"/>
  <c r="J160" i="12"/>
  <c r="C160" i="12"/>
  <c r="K159" i="12"/>
  <c r="L159" i="12" s="1"/>
  <c r="J159" i="12"/>
  <c r="C159" i="12"/>
  <c r="K158" i="12"/>
  <c r="L158" i="12" s="1"/>
  <c r="J158" i="12"/>
  <c r="C158" i="12"/>
  <c r="K157" i="12"/>
  <c r="L157" i="12" s="1"/>
  <c r="J157" i="12"/>
  <c r="C157" i="12"/>
  <c r="K156" i="12"/>
  <c r="L156" i="12" s="1"/>
  <c r="J156" i="12"/>
  <c r="C156" i="12"/>
  <c r="K155" i="12"/>
  <c r="L155" i="12" s="1"/>
  <c r="J155" i="12"/>
  <c r="C155" i="12"/>
  <c r="K154" i="12"/>
  <c r="L154" i="12" s="1"/>
  <c r="J154" i="12"/>
  <c r="C154" i="12"/>
  <c r="K153" i="12"/>
  <c r="L153" i="12" s="1"/>
  <c r="J153" i="12"/>
  <c r="C153" i="12"/>
  <c r="K152" i="12"/>
  <c r="L152" i="12" s="1"/>
  <c r="J152" i="12"/>
  <c r="C152" i="12"/>
  <c r="K151" i="12"/>
  <c r="L151" i="12" s="1"/>
  <c r="J151" i="12"/>
  <c r="C151" i="12"/>
  <c r="K150" i="12"/>
  <c r="L150" i="12" s="1"/>
  <c r="J150" i="12"/>
  <c r="C150" i="12"/>
  <c r="K149" i="12"/>
  <c r="L149" i="12" s="1"/>
  <c r="J149" i="12"/>
  <c r="C149" i="12"/>
  <c r="K148" i="12"/>
  <c r="L148" i="12" s="1"/>
  <c r="J148" i="12"/>
  <c r="C148" i="12"/>
  <c r="K147" i="12"/>
  <c r="L147" i="12" s="1"/>
  <c r="J147" i="12"/>
  <c r="C147" i="12"/>
  <c r="K146" i="12"/>
  <c r="L146" i="12" s="1"/>
  <c r="J146" i="12"/>
  <c r="C146" i="12"/>
  <c r="K145" i="12"/>
  <c r="L145" i="12" s="1"/>
  <c r="J145" i="12"/>
  <c r="C145" i="12"/>
  <c r="K144" i="12"/>
  <c r="L144" i="12" s="1"/>
  <c r="J144" i="12"/>
  <c r="C144" i="12"/>
  <c r="K143" i="12"/>
  <c r="L143" i="12" s="1"/>
  <c r="J143" i="12"/>
  <c r="C143" i="12"/>
  <c r="K142" i="12"/>
  <c r="L142" i="12" s="1"/>
  <c r="J142" i="12"/>
  <c r="C142" i="12"/>
  <c r="K141" i="12"/>
  <c r="L141" i="12" s="1"/>
  <c r="J141" i="12"/>
  <c r="C141" i="12"/>
  <c r="K140" i="12"/>
  <c r="L140" i="12" s="1"/>
  <c r="J140" i="12"/>
  <c r="C140" i="12"/>
  <c r="K93" i="12" l="1"/>
  <c r="L93" i="12" s="1"/>
  <c r="K110" i="12" l="1"/>
  <c r="J110" i="12"/>
  <c r="J284" i="9"/>
  <c r="C110" i="12"/>
  <c r="K139" i="12" l="1"/>
  <c r="L139" i="12" s="1"/>
  <c r="J139" i="12"/>
  <c r="C139" i="12"/>
  <c r="K138" i="12"/>
  <c r="L138" i="12" s="1"/>
  <c r="J138" i="12"/>
  <c r="C138" i="12"/>
  <c r="K137" i="12"/>
  <c r="L137" i="12" s="1"/>
  <c r="J137" i="12"/>
  <c r="C137" i="12"/>
  <c r="K136" i="12"/>
  <c r="L136" i="12" s="1"/>
  <c r="J136" i="12"/>
  <c r="C136" i="12"/>
  <c r="K135" i="12"/>
  <c r="L135" i="12" s="1"/>
  <c r="J135" i="12"/>
  <c r="C135" i="12"/>
  <c r="K134" i="12"/>
  <c r="L134" i="12" s="1"/>
  <c r="J134" i="12"/>
  <c r="C134" i="12"/>
  <c r="K133" i="12"/>
  <c r="L133" i="12" s="1"/>
  <c r="J133" i="12"/>
  <c r="C133" i="12"/>
  <c r="K132" i="12"/>
  <c r="L132" i="12" s="1"/>
  <c r="J132" i="12"/>
  <c r="C132" i="12"/>
  <c r="K131" i="12"/>
  <c r="L131" i="12" s="1"/>
  <c r="J131" i="12"/>
  <c r="C131" i="12"/>
  <c r="K130" i="12"/>
  <c r="L130" i="12" s="1"/>
  <c r="J130" i="12"/>
  <c r="K129" i="12"/>
  <c r="L129" i="12" s="1"/>
  <c r="J129" i="12"/>
  <c r="K128" i="12"/>
  <c r="L128" i="12" s="1"/>
  <c r="J128" i="12"/>
  <c r="K127" i="12"/>
  <c r="L127" i="12" s="1"/>
  <c r="J127" i="12"/>
  <c r="K126" i="12"/>
  <c r="L126" i="12" s="1"/>
  <c r="J126" i="12"/>
  <c r="K125" i="12"/>
  <c r="L125" i="12" s="1"/>
  <c r="J125" i="12"/>
  <c r="K124" i="12"/>
  <c r="L124" i="12" s="1"/>
  <c r="J124" i="12"/>
  <c r="K123" i="12"/>
  <c r="L123" i="12" s="1"/>
  <c r="J123" i="12"/>
  <c r="K122" i="12"/>
  <c r="L122" i="12" s="1"/>
  <c r="J122" i="12"/>
  <c r="K121" i="12"/>
  <c r="L121" i="12" s="1"/>
  <c r="J121" i="12"/>
  <c r="K120" i="12"/>
  <c r="L120" i="12" s="1"/>
  <c r="J120" i="12"/>
  <c r="K119" i="12"/>
  <c r="L119" i="12" s="1"/>
  <c r="J119" i="12"/>
  <c r="K118" i="12"/>
  <c r="L118" i="12" s="1"/>
  <c r="J118" i="12"/>
  <c r="K117" i="12"/>
  <c r="L117" i="12" s="1"/>
  <c r="J117" i="12"/>
  <c r="K116" i="12"/>
  <c r="L116" i="12" s="1"/>
  <c r="J116" i="12"/>
  <c r="K115" i="12"/>
  <c r="L115" i="12" s="1"/>
  <c r="J115" i="12"/>
  <c r="K114" i="12"/>
  <c r="L114" i="12" s="1"/>
  <c r="J114" i="12"/>
  <c r="C114" i="12"/>
  <c r="K113" i="12"/>
  <c r="L113" i="12" s="1"/>
  <c r="J113" i="12"/>
  <c r="C113" i="12"/>
  <c r="K112" i="12"/>
  <c r="L112" i="12" s="1"/>
  <c r="J112" i="12"/>
  <c r="C112" i="12"/>
  <c r="L110" i="12"/>
  <c r="K109" i="12"/>
  <c r="L109" i="12" s="1"/>
  <c r="J109" i="12"/>
  <c r="C109" i="12"/>
  <c r="K108" i="12"/>
  <c r="L108" i="12" s="1"/>
  <c r="J108" i="12"/>
  <c r="C108" i="12"/>
  <c r="K107" i="12"/>
  <c r="L107" i="12" s="1"/>
  <c r="J107" i="12"/>
  <c r="C107" i="12"/>
  <c r="K106" i="12"/>
  <c r="L106" i="12" s="1"/>
  <c r="J106" i="12"/>
  <c r="C106" i="12"/>
  <c r="K105" i="12"/>
  <c r="L105" i="12" s="1"/>
  <c r="J105" i="12"/>
  <c r="C105" i="12"/>
  <c r="K104" i="12"/>
  <c r="L104" i="12" s="1"/>
  <c r="J104" i="12"/>
  <c r="C104" i="12"/>
  <c r="K103" i="12"/>
  <c r="L103" i="12" s="1"/>
  <c r="J103" i="12"/>
  <c r="C103" i="12"/>
  <c r="K102" i="12"/>
  <c r="L102" i="12" s="1"/>
  <c r="J102" i="12"/>
  <c r="C102" i="12"/>
  <c r="K101" i="12"/>
  <c r="L101" i="12" s="1"/>
  <c r="J101" i="12"/>
  <c r="C101" i="12"/>
  <c r="K100" i="12"/>
  <c r="L100" i="12" s="1"/>
  <c r="J100" i="12"/>
  <c r="C100" i="12"/>
  <c r="K99" i="12"/>
  <c r="L99" i="12" s="1"/>
  <c r="J99" i="12"/>
  <c r="C99" i="12"/>
  <c r="K98" i="12"/>
  <c r="L98" i="12" s="1"/>
  <c r="J98" i="12"/>
  <c r="C98" i="12"/>
  <c r="K97" i="12"/>
  <c r="L97" i="12" s="1"/>
  <c r="J97" i="12"/>
  <c r="C97" i="12"/>
  <c r="K96" i="12"/>
  <c r="L96" i="12" s="1"/>
  <c r="J96" i="12"/>
  <c r="C96" i="12"/>
  <c r="K95" i="12"/>
  <c r="L95" i="12" s="1"/>
  <c r="J95" i="12"/>
  <c r="C95" i="12"/>
  <c r="K94" i="12"/>
  <c r="L94" i="12" s="1"/>
  <c r="J94" i="12"/>
  <c r="C94" i="12"/>
  <c r="J93" i="12"/>
  <c r="C93" i="12"/>
  <c r="K92" i="12"/>
  <c r="L92" i="12" s="1"/>
  <c r="J92" i="12"/>
  <c r="C92" i="12"/>
  <c r="K91" i="12"/>
  <c r="L91" i="12" s="1"/>
  <c r="J91" i="12"/>
  <c r="C91" i="12"/>
  <c r="K90" i="12"/>
  <c r="L90" i="12" s="1"/>
  <c r="J90" i="12"/>
  <c r="C90" i="12"/>
  <c r="K89" i="12"/>
  <c r="L89" i="12" s="1"/>
  <c r="J89" i="12"/>
  <c r="C89" i="12"/>
  <c r="K88" i="12"/>
  <c r="L88" i="12" s="1"/>
  <c r="J88" i="12"/>
  <c r="C88" i="12"/>
  <c r="K87" i="12"/>
  <c r="L87" i="12" s="1"/>
  <c r="J87" i="12"/>
  <c r="C87" i="12"/>
  <c r="K86" i="12"/>
  <c r="L86" i="12" s="1"/>
  <c r="J86" i="12"/>
  <c r="C86" i="12"/>
  <c r="K85" i="12"/>
  <c r="L85" i="12" s="1"/>
  <c r="J85" i="12"/>
  <c r="C85" i="12"/>
  <c r="K84" i="12"/>
  <c r="L84" i="12" s="1"/>
  <c r="J84" i="12"/>
  <c r="C84" i="12"/>
  <c r="K83" i="12"/>
  <c r="L83" i="12" s="1"/>
  <c r="J83" i="12"/>
  <c r="C83" i="12"/>
  <c r="K82" i="12"/>
  <c r="L82" i="12" s="1"/>
  <c r="J82" i="12"/>
  <c r="C82" i="12"/>
  <c r="K81" i="12"/>
  <c r="L81" i="12" s="1"/>
  <c r="J81" i="12"/>
  <c r="C81" i="12"/>
  <c r="K80" i="12"/>
  <c r="L80" i="12" s="1"/>
  <c r="J80" i="12"/>
  <c r="C80" i="12"/>
  <c r="K79" i="12"/>
  <c r="L79" i="12" s="1"/>
  <c r="J79" i="12"/>
  <c r="C79" i="12"/>
  <c r="K52" i="12" l="1"/>
  <c r="J52" i="12"/>
  <c r="K53" i="12"/>
  <c r="L53" i="12" s="1"/>
  <c r="J53" i="12"/>
  <c r="C52" i="12"/>
  <c r="C51" i="12"/>
  <c r="E8" i="13" l="1"/>
  <c r="E7" i="13"/>
  <c r="E6" i="13"/>
  <c r="E5" i="13"/>
  <c r="E4" i="13"/>
  <c r="E3" i="13"/>
  <c r="K78" i="12" l="1"/>
  <c r="L78" i="12" s="1"/>
  <c r="J78" i="12"/>
  <c r="C78" i="12"/>
  <c r="K77" i="12"/>
  <c r="L77" i="12" s="1"/>
  <c r="J77" i="12"/>
  <c r="C77" i="12"/>
  <c r="K76" i="12"/>
  <c r="L76" i="12" s="1"/>
  <c r="J76" i="12"/>
  <c r="C76" i="12"/>
  <c r="K75" i="12"/>
  <c r="L75" i="12" s="1"/>
  <c r="J75" i="12"/>
  <c r="C75" i="12"/>
  <c r="K74" i="12"/>
  <c r="L74" i="12" s="1"/>
  <c r="J74" i="12"/>
  <c r="C74" i="12"/>
  <c r="K73" i="12"/>
  <c r="L73" i="12" s="1"/>
  <c r="J73" i="12"/>
  <c r="C73" i="12"/>
  <c r="K72" i="12"/>
  <c r="L72" i="12" s="1"/>
  <c r="J72" i="12"/>
  <c r="C72" i="12"/>
  <c r="K71" i="12"/>
  <c r="L71" i="12" s="1"/>
  <c r="J71" i="12"/>
  <c r="C71" i="12"/>
  <c r="K70" i="12"/>
  <c r="L70" i="12" s="1"/>
  <c r="J70" i="12"/>
  <c r="C70" i="12"/>
  <c r="K69" i="12"/>
  <c r="L69" i="12" s="1"/>
  <c r="J69" i="12"/>
  <c r="C69" i="12"/>
  <c r="K68" i="12"/>
  <c r="L68" i="12" s="1"/>
  <c r="J68" i="12"/>
  <c r="C68" i="12"/>
  <c r="K67" i="12"/>
  <c r="L67" i="12" s="1"/>
  <c r="J67" i="12"/>
  <c r="C67" i="12"/>
  <c r="K66" i="12"/>
  <c r="L66" i="12" s="1"/>
  <c r="J66" i="12"/>
  <c r="C66" i="12"/>
  <c r="K65" i="12"/>
  <c r="L65" i="12" s="1"/>
  <c r="J65" i="12"/>
  <c r="C65" i="12"/>
  <c r="K64" i="12"/>
  <c r="L64" i="12" s="1"/>
  <c r="J64" i="12"/>
  <c r="C64" i="12"/>
  <c r="K63" i="12"/>
  <c r="L63" i="12" s="1"/>
  <c r="J63" i="12"/>
  <c r="C63" i="12"/>
  <c r="K62" i="12"/>
  <c r="L62" i="12" s="1"/>
  <c r="J62" i="12"/>
  <c r="C62" i="12"/>
  <c r="K61" i="12"/>
  <c r="L61" i="12" s="1"/>
  <c r="J61" i="12"/>
  <c r="C61" i="12"/>
  <c r="K60" i="12"/>
  <c r="L60" i="12" s="1"/>
  <c r="J60" i="12"/>
  <c r="C60" i="12"/>
  <c r="K59" i="12"/>
  <c r="L59" i="12" s="1"/>
  <c r="J59" i="12"/>
  <c r="C59" i="12"/>
  <c r="K58" i="12"/>
  <c r="L58" i="12" s="1"/>
  <c r="J58" i="12"/>
  <c r="C58" i="12"/>
  <c r="K57" i="12"/>
  <c r="L57" i="12" s="1"/>
  <c r="J57" i="12"/>
  <c r="C57" i="12"/>
  <c r="K56" i="12"/>
  <c r="L56" i="12" s="1"/>
  <c r="J56" i="12"/>
  <c r="C56" i="12"/>
  <c r="K55" i="12"/>
  <c r="L55" i="12" s="1"/>
  <c r="J55" i="12"/>
  <c r="C55" i="12"/>
  <c r="K54" i="12"/>
  <c r="L54" i="12" s="1"/>
  <c r="J54" i="12"/>
  <c r="C54" i="12"/>
  <c r="L52" i="12"/>
  <c r="K51" i="12"/>
  <c r="L51" i="12" s="1"/>
  <c r="J51" i="12"/>
  <c r="K50" i="12"/>
  <c r="L50" i="12" s="1"/>
  <c r="J50" i="12"/>
  <c r="C50" i="12"/>
  <c r="K49" i="12"/>
  <c r="L49" i="12" s="1"/>
  <c r="J49" i="12"/>
  <c r="C49" i="12"/>
  <c r="K48" i="12"/>
  <c r="L48" i="12" s="1"/>
  <c r="J48" i="12"/>
  <c r="C48" i="12"/>
  <c r="C29" i="12" l="1"/>
  <c r="K8" i="8" l="1"/>
  <c r="K47" i="12" l="1"/>
  <c r="L47" i="12" s="1"/>
  <c r="J47" i="12"/>
  <c r="C47" i="12"/>
  <c r="K46" i="12"/>
  <c r="L46" i="12" s="1"/>
  <c r="J46" i="12"/>
  <c r="C46" i="12"/>
  <c r="K45" i="12"/>
  <c r="L45" i="12" s="1"/>
  <c r="J45" i="12"/>
  <c r="C45" i="12"/>
  <c r="K44" i="12"/>
  <c r="L44" i="12" s="1"/>
  <c r="J44" i="12"/>
  <c r="C44" i="12"/>
  <c r="K43" i="12"/>
  <c r="L43" i="12" s="1"/>
  <c r="J43" i="12"/>
  <c r="C43" i="12"/>
  <c r="K42" i="12"/>
  <c r="L42" i="12" s="1"/>
  <c r="J42" i="12"/>
  <c r="C42" i="12"/>
  <c r="K41" i="12"/>
  <c r="L41" i="12" s="1"/>
  <c r="J41" i="12"/>
  <c r="C41" i="12"/>
  <c r="K40" i="12"/>
  <c r="L40" i="12" s="1"/>
  <c r="J40" i="12"/>
  <c r="C40" i="12"/>
  <c r="K39" i="12"/>
  <c r="L39" i="12" s="1"/>
  <c r="J39" i="12"/>
  <c r="C39" i="12"/>
  <c r="K38" i="12"/>
  <c r="L38" i="12" s="1"/>
  <c r="J38" i="12"/>
  <c r="C38" i="12"/>
  <c r="K37" i="12"/>
  <c r="L37" i="12" s="1"/>
  <c r="J37" i="12"/>
  <c r="C37" i="12"/>
  <c r="K36" i="12"/>
  <c r="L36" i="12" s="1"/>
  <c r="J36" i="12"/>
  <c r="C36" i="12"/>
  <c r="K35" i="12"/>
  <c r="L35" i="12" s="1"/>
  <c r="J35" i="12"/>
  <c r="C35" i="12"/>
  <c r="K34" i="12"/>
  <c r="L34" i="12" s="1"/>
  <c r="J34" i="12"/>
  <c r="C34" i="12"/>
  <c r="K33" i="12"/>
  <c r="L33" i="12" s="1"/>
  <c r="J33" i="12"/>
  <c r="C33" i="12"/>
  <c r="K32" i="12"/>
  <c r="L32" i="12" s="1"/>
  <c r="J32" i="12"/>
  <c r="C32" i="12"/>
  <c r="K31" i="12"/>
  <c r="L31" i="12" s="1"/>
  <c r="J31" i="12"/>
  <c r="C31" i="12"/>
  <c r="K30" i="12"/>
  <c r="L30" i="12" s="1"/>
  <c r="J30" i="12"/>
  <c r="C30" i="12"/>
  <c r="K29" i="12"/>
  <c r="L29" i="12" s="1"/>
  <c r="J29" i="12"/>
  <c r="K28" i="12"/>
  <c r="L28" i="12" s="1"/>
  <c r="J28" i="12"/>
  <c r="C28" i="12"/>
  <c r="K27" i="12"/>
  <c r="L27" i="12" s="1"/>
  <c r="J27" i="12"/>
  <c r="C27" i="12"/>
  <c r="K26" i="12"/>
  <c r="L26" i="12" s="1"/>
  <c r="J26" i="12"/>
  <c r="C26" i="12"/>
  <c r="K25" i="12"/>
  <c r="L25" i="12" s="1"/>
  <c r="J25" i="12"/>
  <c r="C25" i="12"/>
  <c r="K24" i="12"/>
  <c r="L24" i="12" s="1"/>
  <c r="J24" i="12"/>
  <c r="C24" i="12"/>
  <c r="K23" i="12"/>
  <c r="L23" i="12" s="1"/>
  <c r="J23" i="12"/>
  <c r="C23" i="12"/>
  <c r="K22" i="12"/>
  <c r="L22" i="12" s="1"/>
  <c r="J22" i="12"/>
  <c r="C22" i="12"/>
  <c r="K21" i="12"/>
  <c r="L21" i="12" s="1"/>
  <c r="J21" i="12"/>
  <c r="C21" i="12"/>
  <c r="K20" i="12"/>
  <c r="L20" i="12" s="1"/>
  <c r="J20" i="12"/>
  <c r="C20" i="12"/>
  <c r="K19" i="12"/>
  <c r="L19" i="12" s="1"/>
  <c r="J19" i="12"/>
  <c r="C19" i="12"/>
  <c r="K18" i="12"/>
  <c r="L18" i="12" s="1"/>
  <c r="J18" i="12"/>
  <c r="C18" i="12"/>
  <c r="K17" i="12" l="1"/>
  <c r="L17" i="12" s="1"/>
  <c r="J17" i="12"/>
  <c r="C17" i="12"/>
  <c r="K16" i="12"/>
  <c r="L16" i="12" s="1"/>
  <c r="J16" i="12"/>
  <c r="C16" i="12"/>
  <c r="K15" i="12"/>
  <c r="L15" i="12" s="1"/>
  <c r="J15" i="12"/>
  <c r="C15" i="12"/>
  <c r="K14" i="12"/>
  <c r="L14" i="12" s="1"/>
  <c r="J14" i="12"/>
  <c r="C14" i="12"/>
  <c r="K13" i="12"/>
  <c r="L13" i="12" s="1"/>
  <c r="J13" i="12"/>
  <c r="C13" i="12"/>
  <c r="K12" i="12"/>
  <c r="L12" i="12" s="1"/>
  <c r="J12" i="12"/>
  <c r="C12" i="12"/>
  <c r="K11" i="12"/>
  <c r="L11" i="12" s="1"/>
  <c r="J11" i="12"/>
  <c r="C11" i="12"/>
  <c r="K10" i="12"/>
  <c r="L10" i="12" s="1"/>
  <c r="J10" i="12"/>
  <c r="C10" i="12"/>
  <c r="K9" i="12"/>
  <c r="L9" i="12" s="1"/>
  <c r="J9" i="12"/>
  <c r="C9" i="12"/>
  <c r="K8" i="12"/>
  <c r="L8" i="12" s="1"/>
  <c r="J8" i="12"/>
  <c r="C8" i="12"/>
  <c r="K7" i="12"/>
  <c r="L7" i="12" s="1"/>
  <c r="J7" i="12"/>
  <c r="C7" i="12"/>
  <c r="K6" i="12"/>
  <c r="L6" i="12" s="1"/>
  <c r="J6" i="12"/>
  <c r="C6" i="12"/>
  <c r="C3" i="12" l="1"/>
  <c r="B11" i="13" s="1"/>
  <c r="L3" i="12"/>
  <c r="C11" i="13" s="1"/>
  <c r="K621" i="11"/>
  <c r="L621" i="11" s="1"/>
  <c r="J621" i="11"/>
  <c r="C621" i="11"/>
  <c r="K620" i="11"/>
  <c r="L620" i="11" s="1"/>
  <c r="J620" i="11"/>
  <c r="C620" i="11"/>
  <c r="K619" i="11"/>
  <c r="L619" i="11" s="1"/>
  <c r="J619" i="11"/>
  <c r="C619" i="11"/>
  <c r="K618" i="11"/>
  <c r="L618" i="11" s="1"/>
  <c r="J618" i="11"/>
  <c r="C618" i="11"/>
  <c r="K617" i="11"/>
  <c r="L617" i="11" s="1"/>
  <c r="J617" i="11"/>
  <c r="C617" i="11"/>
  <c r="K616" i="11"/>
  <c r="L616" i="11" s="1"/>
  <c r="J616" i="11"/>
  <c r="C616" i="11"/>
  <c r="K615" i="11"/>
  <c r="L615" i="11" s="1"/>
  <c r="J615" i="11"/>
  <c r="C615" i="11"/>
  <c r="K614" i="11"/>
  <c r="L614" i="11" s="1"/>
  <c r="J614" i="11"/>
  <c r="C614" i="11"/>
  <c r="K613" i="11"/>
  <c r="L613" i="11" s="1"/>
  <c r="J613" i="11"/>
  <c r="C613" i="11"/>
  <c r="K612" i="11"/>
  <c r="L612" i="11" s="1"/>
  <c r="J612" i="11"/>
  <c r="C612" i="11"/>
  <c r="K611" i="11"/>
  <c r="L611" i="11" s="1"/>
  <c r="J611" i="11"/>
  <c r="C611" i="11"/>
  <c r="K610" i="11"/>
  <c r="L610" i="11" s="1"/>
  <c r="J610" i="11"/>
  <c r="C610" i="11"/>
  <c r="K609" i="11"/>
  <c r="L609" i="11" s="1"/>
  <c r="J609" i="11"/>
  <c r="C609" i="11"/>
  <c r="K608" i="11"/>
  <c r="L608" i="11" s="1"/>
  <c r="J608" i="11"/>
  <c r="C608" i="11"/>
  <c r="K607" i="11"/>
  <c r="L607" i="11" s="1"/>
  <c r="J607" i="11"/>
  <c r="C607" i="11"/>
  <c r="K606" i="11"/>
  <c r="L606" i="11" s="1"/>
  <c r="J606" i="11"/>
  <c r="C606" i="11"/>
  <c r="K605" i="11"/>
  <c r="L605" i="11" s="1"/>
  <c r="J605" i="11"/>
  <c r="C605" i="11"/>
  <c r="K604" i="11"/>
  <c r="L604" i="11" s="1"/>
  <c r="J604" i="11"/>
  <c r="C604" i="11"/>
  <c r="E11" i="13" l="1"/>
  <c r="C594" i="11"/>
  <c r="C593" i="11"/>
  <c r="K603" i="11" l="1"/>
  <c r="L603" i="11" s="1"/>
  <c r="J603" i="11"/>
  <c r="C603" i="11"/>
  <c r="K602" i="11"/>
  <c r="L602" i="11" s="1"/>
  <c r="J602" i="11"/>
  <c r="C602" i="11"/>
  <c r="K601" i="11"/>
  <c r="L601" i="11" s="1"/>
  <c r="J601" i="11"/>
  <c r="C601" i="11"/>
  <c r="K600" i="11"/>
  <c r="L600" i="11" s="1"/>
  <c r="J600" i="11"/>
  <c r="C600" i="11"/>
  <c r="K599" i="11"/>
  <c r="L599" i="11" s="1"/>
  <c r="J599" i="11"/>
  <c r="C599" i="11"/>
  <c r="K598" i="11"/>
  <c r="L598" i="11" s="1"/>
  <c r="J598" i="11"/>
  <c r="C598" i="11"/>
  <c r="K597" i="11"/>
  <c r="L597" i="11" s="1"/>
  <c r="J597" i="11"/>
  <c r="C597" i="11"/>
  <c r="K596" i="11"/>
  <c r="L596" i="11" s="1"/>
  <c r="J596" i="11"/>
  <c r="C596" i="11"/>
  <c r="K595" i="11"/>
  <c r="L595" i="11" s="1"/>
  <c r="J595" i="11"/>
  <c r="C595" i="11"/>
  <c r="K594" i="11"/>
  <c r="L594" i="11" s="1"/>
  <c r="J594" i="11"/>
  <c r="K593" i="11"/>
  <c r="L593" i="11" s="1"/>
  <c r="J593" i="11"/>
  <c r="K592" i="11"/>
  <c r="L592" i="11" s="1"/>
  <c r="J592" i="11"/>
  <c r="C592" i="11"/>
  <c r="K591" i="11"/>
  <c r="L591" i="11" s="1"/>
  <c r="J591" i="11"/>
  <c r="C591" i="11"/>
  <c r="K590" i="11"/>
  <c r="L590" i="11" s="1"/>
  <c r="J590" i="11"/>
  <c r="C590" i="11"/>
  <c r="K589" i="11"/>
  <c r="L589" i="11" s="1"/>
  <c r="J589" i="11"/>
  <c r="C589" i="11"/>
  <c r="K588" i="11"/>
  <c r="L588" i="11" s="1"/>
  <c r="J588" i="11"/>
  <c r="C588" i="11"/>
  <c r="K587" i="11"/>
  <c r="L587" i="11" s="1"/>
  <c r="J587" i="11"/>
  <c r="C587" i="11"/>
  <c r="K586" i="11"/>
  <c r="L586" i="11" s="1"/>
  <c r="J586" i="11"/>
  <c r="C586" i="11"/>
  <c r="K585" i="11"/>
  <c r="L585" i="11" s="1"/>
  <c r="J585" i="11"/>
  <c r="C585" i="11"/>
  <c r="K584" i="11"/>
  <c r="L584" i="11" s="1"/>
  <c r="J584" i="11"/>
  <c r="C584" i="11"/>
  <c r="K583" i="11"/>
  <c r="L583" i="11" s="1"/>
  <c r="J583" i="11"/>
  <c r="C583" i="11"/>
  <c r="K582" i="11"/>
  <c r="L582" i="11" s="1"/>
  <c r="J582" i="11"/>
  <c r="C582" i="11"/>
  <c r="K581" i="11"/>
  <c r="L581" i="11" s="1"/>
  <c r="J581" i="11"/>
  <c r="C581" i="11"/>
  <c r="K580" i="11"/>
  <c r="L580" i="11" s="1"/>
  <c r="J580" i="11"/>
  <c r="C580" i="11"/>
  <c r="K579" i="11"/>
  <c r="L579" i="11" s="1"/>
  <c r="J579" i="11"/>
  <c r="C579" i="11"/>
  <c r="K578" i="11"/>
  <c r="L578" i="11" s="1"/>
  <c r="J578" i="11"/>
  <c r="C578" i="11"/>
  <c r="K577" i="11"/>
  <c r="L577" i="11" s="1"/>
  <c r="J577" i="11"/>
  <c r="C577" i="11"/>
  <c r="K576" i="11"/>
  <c r="L576" i="11" s="1"/>
  <c r="J576" i="11"/>
  <c r="C576" i="11"/>
  <c r="K575" i="11"/>
  <c r="L575" i="11" s="1"/>
  <c r="J575" i="11"/>
  <c r="C575" i="11"/>
  <c r="K574" i="11"/>
  <c r="L574" i="11" s="1"/>
  <c r="J574" i="11"/>
  <c r="C574" i="11"/>
  <c r="K573" i="11" l="1"/>
  <c r="L573" i="11" s="1"/>
  <c r="J573" i="11"/>
  <c r="C573" i="11"/>
  <c r="K572" i="11"/>
  <c r="L572" i="11" s="1"/>
  <c r="J572" i="11"/>
  <c r="C572" i="11"/>
  <c r="K571" i="11"/>
  <c r="L571" i="11" s="1"/>
  <c r="J571" i="11"/>
  <c r="C571" i="11"/>
  <c r="K570" i="11"/>
  <c r="L570" i="11" s="1"/>
  <c r="J570" i="11"/>
  <c r="C570" i="11"/>
  <c r="K569" i="11"/>
  <c r="L569" i="11" s="1"/>
  <c r="J569" i="11"/>
  <c r="C569" i="11"/>
  <c r="K568" i="11"/>
  <c r="L568" i="11" s="1"/>
  <c r="J568" i="11"/>
  <c r="C568" i="11"/>
  <c r="K567" i="11"/>
  <c r="L567" i="11" s="1"/>
  <c r="J567" i="11"/>
  <c r="C567" i="11"/>
  <c r="K566" i="11"/>
  <c r="L566" i="11" s="1"/>
  <c r="J566" i="11"/>
  <c r="C566" i="11"/>
  <c r="K565" i="11"/>
  <c r="L565" i="11" s="1"/>
  <c r="J565" i="11"/>
  <c r="C565" i="11"/>
  <c r="K564" i="11"/>
  <c r="L564" i="11" s="1"/>
  <c r="J564" i="11"/>
  <c r="C564" i="11"/>
  <c r="K563" i="11"/>
  <c r="L563" i="11" s="1"/>
  <c r="J563" i="11"/>
  <c r="C563" i="11"/>
  <c r="K562" i="11"/>
  <c r="L562" i="11" s="1"/>
  <c r="J562" i="11"/>
  <c r="C562" i="11"/>
  <c r="K561" i="11"/>
  <c r="L561" i="11" s="1"/>
  <c r="J561" i="11"/>
  <c r="C561" i="11"/>
  <c r="K560" i="11"/>
  <c r="L560" i="11" s="1"/>
  <c r="J560" i="11"/>
  <c r="C560" i="11"/>
  <c r="K559" i="11"/>
  <c r="L559" i="11" s="1"/>
  <c r="J559" i="11"/>
  <c r="C559" i="11"/>
  <c r="K558" i="11"/>
  <c r="L558" i="11" s="1"/>
  <c r="J558" i="11"/>
  <c r="C558" i="11"/>
  <c r="K557" i="11"/>
  <c r="L557" i="11" s="1"/>
  <c r="J557" i="11"/>
  <c r="C557" i="11"/>
  <c r="K556" i="11"/>
  <c r="L556" i="11" s="1"/>
  <c r="J556" i="11"/>
  <c r="C556" i="11"/>
  <c r="K555" i="11"/>
  <c r="L555" i="11" s="1"/>
  <c r="J555" i="11"/>
  <c r="C555" i="11"/>
  <c r="K554" i="11"/>
  <c r="L554" i="11" s="1"/>
  <c r="J554" i="11"/>
  <c r="C554" i="11"/>
  <c r="K553" i="11"/>
  <c r="L553" i="11" s="1"/>
  <c r="J553" i="11"/>
  <c r="C553" i="11"/>
  <c r="K552" i="11"/>
  <c r="L552" i="11" s="1"/>
  <c r="J552" i="11"/>
  <c r="C552" i="11"/>
  <c r="K551" i="11"/>
  <c r="L551" i="11" s="1"/>
  <c r="J551" i="11"/>
  <c r="C551" i="11"/>
  <c r="K550" i="11"/>
  <c r="L550" i="11" s="1"/>
  <c r="J550" i="11"/>
  <c r="C550" i="11"/>
  <c r="K549" i="11"/>
  <c r="L549" i="11" s="1"/>
  <c r="J549" i="11"/>
  <c r="C549" i="11"/>
  <c r="K548" i="11"/>
  <c r="L548" i="11" s="1"/>
  <c r="J548" i="11"/>
  <c r="C548" i="11"/>
  <c r="K547" i="11"/>
  <c r="L547" i="11" s="1"/>
  <c r="J547" i="11"/>
  <c r="C547" i="11"/>
  <c r="K546" i="11"/>
  <c r="L546" i="11" s="1"/>
  <c r="J546" i="11"/>
  <c r="C546" i="11"/>
  <c r="K545" i="11"/>
  <c r="L545" i="11" s="1"/>
  <c r="K544" i="11"/>
  <c r="L544" i="11" s="1"/>
  <c r="J544" i="11"/>
  <c r="C544" i="11"/>
  <c r="K514" i="11" l="1"/>
  <c r="L514" i="11" s="1"/>
  <c r="J514" i="11"/>
  <c r="C514" i="11"/>
  <c r="K543" i="11" l="1"/>
  <c r="L543" i="11" s="1"/>
  <c r="J543" i="11"/>
  <c r="C543" i="11"/>
  <c r="K542" i="11"/>
  <c r="L542" i="11" s="1"/>
  <c r="J542" i="11"/>
  <c r="C542" i="11"/>
  <c r="K541" i="11"/>
  <c r="L541" i="11" s="1"/>
  <c r="J541" i="11"/>
  <c r="C541" i="11"/>
  <c r="K540" i="11"/>
  <c r="L540" i="11" s="1"/>
  <c r="J540" i="11"/>
  <c r="C540" i="11"/>
  <c r="K539" i="11"/>
  <c r="L539" i="11" s="1"/>
  <c r="J539" i="11"/>
  <c r="C539" i="11"/>
  <c r="K538" i="11"/>
  <c r="L538" i="11" s="1"/>
  <c r="C538" i="11"/>
  <c r="K537" i="11"/>
  <c r="L537" i="11" s="1"/>
  <c r="J537" i="11"/>
  <c r="C537" i="11"/>
  <c r="K536" i="11"/>
  <c r="L536" i="11" s="1"/>
  <c r="J536" i="11"/>
  <c r="C536" i="11"/>
  <c r="K535" i="11"/>
  <c r="L535" i="11" s="1"/>
  <c r="J535" i="11"/>
  <c r="C535" i="11"/>
  <c r="K534" i="11"/>
  <c r="L534" i="11" s="1"/>
  <c r="J534" i="11"/>
  <c r="C534" i="11"/>
  <c r="K533" i="11"/>
  <c r="L533" i="11" s="1"/>
  <c r="J533" i="11"/>
  <c r="C533" i="11"/>
  <c r="K532" i="11"/>
  <c r="L532" i="11" s="1"/>
  <c r="J532" i="11"/>
  <c r="C532" i="11"/>
  <c r="K531" i="11"/>
  <c r="L531" i="11" s="1"/>
  <c r="J531" i="11"/>
  <c r="C531" i="11"/>
  <c r="K530" i="11"/>
  <c r="L530" i="11" s="1"/>
  <c r="J530" i="11"/>
  <c r="C530" i="11"/>
  <c r="K529" i="11"/>
  <c r="L529" i="11" s="1"/>
  <c r="J529" i="11"/>
  <c r="C529" i="11"/>
  <c r="K528" i="11"/>
  <c r="L528" i="11" s="1"/>
  <c r="J528" i="11"/>
  <c r="C528" i="11"/>
  <c r="K527" i="11"/>
  <c r="L527" i="11" s="1"/>
  <c r="J527" i="11"/>
  <c r="C527" i="11"/>
  <c r="K526" i="11"/>
  <c r="L526" i="11" s="1"/>
  <c r="J526" i="11"/>
  <c r="C526" i="11"/>
  <c r="K525" i="11"/>
  <c r="L525" i="11" s="1"/>
  <c r="J525" i="11"/>
  <c r="C525" i="11"/>
  <c r="K524" i="11"/>
  <c r="L524" i="11" s="1"/>
  <c r="J524" i="11"/>
  <c r="C524" i="11"/>
  <c r="K523" i="11"/>
  <c r="L523" i="11" s="1"/>
  <c r="J523" i="11"/>
  <c r="C523" i="11"/>
  <c r="K522" i="11"/>
  <c r="L522" i="11" s="1"/>
  <c r="J522" i="11"/>
  <c r="C522" i="11"/>
  <c r="K521" i="11"/>
  <c r="L521" i="11" s="1"/>
  <c r="J521" i="11"/>
  <c r="C521" i="11"/>
  <c r="K520" i="11"/>
  <c r="L520" i="11" s="1"/>
  <c r="J520" i="11"/>
  <c r="C520" i="11"/>
  <c r="K519" i="11"/>
  <c r="L519" i="11" s="1"/>
  <c r="J519" i="11"/>
  <c r="C519" i="11"/>
  <c r="K518" i="11"/>
  <c r="L518" i="11" s="1"/>
  <c r="J518" i="11"/>
  <c r="C518" i="11"/>
  <c r="K517" i="11"/>
  <c r="L517" i="11" s="1"/>
  <c r="J517" i="11"/>
  <c r="C517" i="11"/>
  <c r="K516" i="11"/>
  <c r="L516" i="11" s="1"/>
  <c r="J516" i="11"/>
  <c r="C516" i="11"/>
  <c r="K515" i="11"/>
  <c r="L515" i="11" s="1"/>
  <c r="J515" i="11"/>
  <c r="C515" i="11"/>
  <c r="K513" i="11" l="1"/>
  <c r="L513" i="11" s="1"/>
  <c r="J513" i="11"/>
  <c r="C513" i="11"/>
  <c r="K512" i="11"/>
  <c r="L512" i="11" s="1"/>
  <c r="J512" i="11"/>
  <c r="C512" i="11"/>
  <c r="K511" i="11"/>
  <c r="L511" i="11" s="1"/>
  <c r="J511" i="11"/>
  <c r="C511" i="11"/>
  <c r="K510" i="11"/>
  <c r="L510" i="11" s="1"/>
  <c r="J510" i="11"/>
  <c r="C510" i="11"/>
  <c r="K509" i="11"/>
  <c r="L509" i="11" s="1"/>
  <c r="J509" i="11"/>
  <c r="C509" i="11"/>
  <c r="K508" i="11"/>
  <c r="L508" i="11" s="1"/>
  <c r="J508" i="11"/>
  <c r="C508" i="11"/>
  <c r="K507" i="11"/>
  <c r="L507" i="11" s="1"/>
  <c r="J507" i="11"/>
  <c r="C507" i="11"/>
  <c r="K506" i="11"/>
  <c r="L506" i="11" s="1"/>
  <c r="J506" i="11"/>
  <c r="C506" i="11"/>
  <c r="K505" i="11"/>
  <c r="L505" i="11" s="1"/>
  <c r="J505" i="11"/>
  <c r="C505" i="11"/>
  <c r="K504" i="11"/>
  <c r="L504" i="11" s="1"/>
  <c r="J504" i="11"/>
  <c r="C504" i="11"/>
  <c r="K503" i="11"/>
  <c r="L503" i="11" s="1"/>
  <c r="J503" i="11"/>
  <c r="C503" i="11"/>
  <c r="K502" i="11"/>
  <c r="L502" i="11" s="1"/>
  <c r="J502" i="11"/>
  <c r="C502" i="11"/>
  <c r="K501" i="11"/>
  <c r="L501" i="11" s="1"/>
  <c r="J501" i="11"/>
  <c r="C501" i="11"/>
  <c r="K500" i="11"/>
  <c r="L500" i="11" s="1"/>
  <c r="J500" i="11"/>
  <c r="C500" i="11"/>
  <c r="K499" i="11"/>
  <c r="L499" i="11" s="1"/>
  <c r="J499" i="11"/>
  <c r="C499" i="11"/>
  <c r="K498" i="11"/>
  <c r="L498" i="11" s="1"/>
  <c r="J498" i="11"/>
  <c r="C498" i="11"/>
  <c r="K497" i="11"/>
  <c r="L497" i="11" s="1"/>
  <c r="J497" i="11"/>
  <c r="C497" i="11"/>
  <c r="K496" i="11"/>
  <c r="L496" i="11" s="1"/>
  <c r="J496" i="11"/>
  <c r="C496" i="11"/>
  <c r="K495" i="11"/>
  <c r="L495" i="11" s="1"/>
  <c r="J495" i="11"/>
  <c r="C495" i="11"/>
  <c r="K494" i="11"/>
  <c r="L494" i="11" s="1"/>
  <c r="J494" i="11"/>
  <c r="C494" i="11"/>
  <c r="K493" i="11"/>
  <c r="L493" i="11" s="1"/>
  <c r="J493" i="11"/>
  <c r="C493" i="11"/>
  <c r="K492" i="11"/>
  <c r="L492" i="11" s="1"/>
  <c r="J492" i="11"/>
  <c r="C492" i="11"/>
  <c r="K491" i="11"/>
  <c r="L491" i="11" s="1"/>
  <c r="J491" i="11"/>
  <c r="C491" i="11"/>
  <c r="K490" i="11"/>
  <c r="L490" i="11" s="1"/>
  <c r="J490" i="11"/>
  <c r="C490" i="11"/>
  <c r="K489" i="11"/>
  <c r="L489" i="11" s="1"/>
  <c r="J489" i="11"/>
  <c r="C489" i="11"/>
  <c r="K488" i="11"/>
  <c r="L488" i="11" s="1"/>
  <c r="J488" i="11"/>
  <c r="C488" i="11"/>
  <c r="K487" i="11"/>
  <c r="L487" i="11" s="1"/>
  <c r="J487" i="11"/>
  <c r="C487" i="11"/>
  <c r="K486" i="11"/>
  <c r="L486" i="11" s="1"/>
  <c r="J486" i="11"/>
  <c r="C486" i="11"/>
  <c r="K485" i="11"/>
  <c r="L485" i="11" s="1"/>
  <c r="J485" i="11"/>
  <c r="C485" i="11"/>
  <c r="K484" i="11"/>
  <c r="L484" i="11" s="1"/>
  <c r="J484" i="11"/>
  <c r="C484" i="11"/>
  <c r="K483" i="11" l="1"/>
  <c r="L483" i="11" s="1"/>
  <c r="J483" i="11"/>
  <c r="C483" i="11"/>
  <c r="K482" i="11"/>
  <c r="L482" i="11" s="1"/>
  <c r="J482" i="11"/>
  <c r="C482" i="11"/>
  <c r="K481" i="11"/>
  <c r="L481" i="11" s="1"/>
  <c r="J481" i="11"/>
  <c r="C481" i="11"/>
  <c r="K480" i="11"/>
  <c r="L480" i="11" s="1"/>
  <c r="J480" i="11"/>
  <c r="C480" i="11"/>
  <c r="K479" i="11"/>
  <c r="L479" i="11" s="1"/>
  <c r="J479" i="11"/>
  <c r="C479" i="11"/>
  <c r="K478" i="11" l="1"/>
  <c r="L478" i="11" s="1"/>
  <c r="J478" i="11"/>
  <c r="C478" i="11"/>
  <c r="K477" i="11"/>
  <c r="L477" i="11" s="1"/>
  <c r="J477" i="11"/>
  <c r="C477" i="11"/>
  <c r="K476" i="11"/>
  <c r="L476" i="11" s="1"/>
  <c r="J476" i="11"/>
  <c r="C476" i="11"/>
  <c r="K475" i="11"/>
  <c r="L475" i="11" s="1"/>
  <c r="J475" i="11"/>
  <c r="C475" i="11"/>
  <c r="K474" i="11"/>
  <c r="L474" i="11" s="1"/>
  <c r="J474" i="11"/>
  <c r="C474" i="11"/>
  <c r="K473" i="11"/>
  <c r="L473" i="11" s="1"/>
  <c r="J473" i="11"/>
  <c r="C473" i="11"/>
  <c r="K472" i="11"/>
  <c r="L472" i="11" s="1"/>
  <c r="J472" i="11"/>
  <c r="C472" i="11"/>
  <c r="K471" i="11"/>
  <c r="L471" i="11" s="1"/>
  <c r="J471" i="11"/>
  <c r="C471" i="11"/>
  <c r="K470" i="11"/>
  <c r="L470" i="11" s="1"/>
  <c r="J470" i="11"/>
  <c r="C470" i="11"/>
  <c r="K469" i="11"/>
  <c r="L469" i="11" s="1"/>
  <c r="J469" i="11"/>
  <c r="C469" i="11"/>
  <c r="K468" i="11"/>
  <c r="L468" i="11" s="1"/>
  <c r="J468" i="11"/>
  <c r="C468" i="11"/>
  <c r="K467" i="11"/>
  <c r="L467" i="11" s="1"/>
  <c r="J467" i="11"/>
  <c r="C467" i="11"/>
  <c r="K466" i="11"/>
  <c r="L466" i="11" s="1"/>
  <c r="J466" i="11"/>
  <c r="C466" i="11"/>
  <c r="K465" i="11"/>
  <c r="L465" i="11" s="1"/>
  <c r="J465" i="11"/>
  <c r="C465" i="11"/>
  <c r="K464" i="11"/>
  <c r="L464" i="11" s="1"/>
  <c r="J464" i="11"/>
  <c r="C464" i="11"/>
  <c r="K463" i="11"/>
  <c r="L463" i="11" s="1"/>
  <c r="J463" i="11"/>
  <c r="C463" i="11"/>
  <c r="K462" i="11"/>
  <c r="L462" i="11" s="1"/>
  <c r="J462" i="11"/>
  <c r="C462" i="11"/>
  <c r="K461" i="11"/>
  <c r="L461" i="11" s="1"/>
  <c r="J461" i="11"/>
  <c r="C461" i="11"/>
  <c r="K460" i="11"/>
  <c r="L460" i="11" s="1"/>
  <c r="J460" i="11"/>
  <c r="C460" i="11"/>
  <c r="K459" i="11"/>
  <c r="L459" i="11" s="1"/>
  <c r="J459" i="11"/>
  <c r="C459" i="11"/>
  <c r="K458" i="11"/>
  <c r="L458" i="11" s="1"/>
  <c r="J458" i="11"/>
  <c r="C458" i="11"/>
  <c r="K457" i="11"/>
  <c r="L457" i="11" s="1"/>
  <c r="J457" i="11"/>
  <c r="C457" i="11"/>
  <c r="K456" i="11"/>
  <c r="L456" i="11" s="1"/>
  <c r="J456" i="11"/>
  <c r="C456" i="11"/>
  <c r="K455" i="11"/>
  <c r="L455" i="11" s="1"/>
  <c r="J455" i="11"/>
  <c r="C455" i="11"/>
  <c r="K454" i="11"/>
  <c r="L454" i="11" s="1"/>
  <c r="J454" i="11"/>
  <c r="C454" i="11"/>
  <c r="K453" i="11"/>
  <c r="L453" i="11" s="1"/>
  <c r="J453" i="11"/>
  <c r="C453" i="11"/>
  <c r="K452" i="11"/>
  <c r="L452" i="11" s="1"/>
  <c r="J452" i="11"/>
  <c r="C452" i="11"/>
  <c r="K451" i="11"/>
  <c r="L451" i="11" s="1"/>
  <c r="J451" i="11"/>
  <c r="C451" i="11"/>
  <c r="K450" i="11"/>
  <c r="L450" i="11" s="1"/>
  <c r="J450" i="11"/>
  <c r="C450" i="11"/>
  <c r="K449" i="11"/>
  <c r="L449" i="11" s="1"/>
  <c r="J449" i="11"/>
  <c r="C449" i="11"/>
  <c r="K448" i="11" l="1"/>
  <c r="L448" i="11" s="1"/>
  <c r="J448" i="11"/>
  <c r="C448" i="11"/>
  <c r="K447" i="11"/>
  <c r="L447" i="11" s="1"/>
  <c r="J447" i="11"/>
  <c r="C447" i="11"/>
  <c r="K446" i="11"/>
  <c r="L446" i="11" s="1"/>
  <c r="J446" i="11"/>
  <c r="C446" i="11"/>
  <c r="K445" i="11"/>
  <c r="L445" i="11" s="1"/>
  <c r="J445" i="11"/>
  <c r="C445" i="11"/>
  <c r="K444" i="11"/>
  <c r="L444" i="11" s="1"/>
  <c r="J444" i="11"/>
  <c r="C444" i="11"/>
  <c r="K443" i="11"/>
  <c r="L443" i="11" s="1"/>
  <c r="J443" i="11"/>
  <c r="C443" i="11"/>
  <c r="K442" i="11"/>
  <c r="L442" i="11" s="1"/>
  <c r="J442" i="11"/>
  <c r="C442" i="11"/>
  <c r="K441" i="11"/>
  <c r="L441" i="11" s="1"/>
  <c r="J441" i="11"/>
  <c r="C441" i="11"/>
  <c r="K440" i="11"/>
  <c r="L440" i="11" s="1"/>
  <c r="J440" i="11"/>
  <c r="C440" i="11"/>
  <c r="K439" i="11"/>
  <c r="L439" i="11" s="1"/>
  <c r="J439" i="11"/>
  <c r="C439" i="11"/>
  <c r="K438" i="11"/>
  <c r="L438" i="11" s="1"/>
  <c r="J438" i="11"/>
  <c r="C438" i="11"/>
  <c r="K437" i="11"/>
  <c r="L437" i="11" s="1"/>
  <c r="J437" i="11"/>
  <c r="C437" i="11"/>
  <c r="K436" i="11"/>
  <c r="L436" i="11" s="1"/>
  <c r="J436" i="11"/>
  <c r="C436" i="11"/>
  <c r="K435" i="11"/>
  <c r="L435" i="11" s="1"/>
  <c r="J435" i="11"/>
  <c r="C435" i="11"/>
  <c r="K434" i="11"/>
  <c r="L434" i="11" s="1"/>
  <c r="J434" i="11"/>
  <c r="C434" i="11"/>
  <c r="K433" i="11"/>
  <c r="L433" i="11" s="1"/>
  <c r="J433" i="11"/>
  <c r="C433" i="11"/>
  <c r="K432" i="11"/>
  <c r="L432" i="11" s="1"/>
  <c r="J432" i="11"/>
  <c r="C432" i="11"/>
  <c r="K431" i="11"/>
  <c r="L431" i="11" s="1"/>
  <c r="J431" i="11"/>
  <c r="C431" i="11"/>
  <c r="K430" i="11"/>
  <c r="L430" i="11" s="1"/>
  <c r="J430" i="11"/>
  <c r="C430" i="11"/>
  <c r="K429" i="11"/>
  <c r="L429" i="11" s="1"/>
  <c r="J429" i="11"/>
  <c r="C429" i="11"/>
  <c r="K428" i="11"/>
  <c r="L428" i="11" s="1"/>
  <c r="J428" i="11"/>
  <c r="C428" i="11"/>
  <c r="K427" i="11"/>
  <c r="L427" i="11" s="1"/>
  <c r="J427" i="11"/>
  <c r="C427" i="11"/>
  <c r="K426" i="11"/>
  <c r="L426" i="11" s="1"/>
  <c r="J426" i="11"/>
  <c r="C426" i="11"/>
  <c r="K425" i="11"/>
  <c r="L425" i="11" s="1"/>
  <c r="J425" i="11"/>
  <c r="C425" i="11"/>
  <c r="K424" i="11"/>
  <c r="L424" i="11" s="1"/>
  <c r="J424" i="11"/>
  <c r="C424" i="11"/>
  <c r="K423" i="11"/>
  <c r="L423" i="11" s="1"/>
  <c r="J423" i="11"/>
  <c r="C423" i="11"/>
  <c r="K422" i="11"/>
  <c r="L422" i="11" s="1"/>
  <c r="J422" i="11"/>
  <c r="C422" i="11"/>
  <c r="K421" i="11"/>
  <c r="L421" i="11" s="1"/>
  <c r="J421" i="11"/>
  <c r="C421" i="11"/>
  <c r="K420" i="11"/>
  <c r="L420" i="11" s="1"/>
  <c r="J420" i="11"/>
  <c r="C420" i="11"/>
  <c r="K419" i="11"/>
  <c r="L419" i="11" s="1"/>
  <c r="J419" i="11"/>
  <c r="C419" i="11"/>
  <c r="K418" i="11" l="1"/>
  <c r="L418" i="11" s="1"/>
  <c r="J418" i="11"/>
  <c r="C418" i="11"/>
  <c r="K417" i="11"/>
  <c r="L417" i="11" s="1"/>
  <c r="J417" i="11"/>
  <c r="C417" i="11"/>
  <c r="K416" i="11"/>
  <c r="L416" i="11" s="1"/>
  <c r="J416" i="11"/>
  <c r="C416" i="11"/>
  <c r="K415" i="11"/>
  <c r="L415" i="11" s="1"/>
  <c r="J415" i="11"/>
  <c r="C415" i="11"/>
  <c r="K414" i="11"/>
  <c r="L414" i="11" s="1"/>
  <c r="J414" i="11"/>
  <c r="C414" i="11"/>
  <c r="K413" i="11"/>
  <c r="L413" i="11" s="1"/>
  <c r="J413" i="11"/>
  <c r="C413" i="11"/>
  <c r="K412" i="11"/>
  <c r="L412" i="11" s="1"/>
  <c r="J412" i="11"/>
  <c r="C412" i="11"/>
  <c r="K411" i="11"/>
  <c r="L411" i="11" s="1"/>
  <c r="J411" i="11"/>
  <c r="C411" i="11"/>
  <c r="K410" i="11"/>
  <c r="L410" i="11" s="1"/>
  <c r="J410" i="11"/>
  <c r="C410" i="11"/>
  <c r="K409" i="11"/>
  <c r="L409" i="11" s="1"/>
  <c r="J409" i="11"/>
  <c r="C409" i="11"/>
  <c r="K408" i="11"/>
  <c r="L408" i="11" s="1"/>
  <c r="J408" i="11"/>
  <c r="C408" i="11"/>
  <c r="K407" i="11"/>
  <c r="L407" i="11" s="1"/>
  <c r="J407" i="11"/>
  <c r="C407" i="11"/>
  <c r="K406" i="11"/>
  <c r="L406" i="11" s="1"/>
  <c r="J406" i="11"/>
  <c r="C406" i="11"/>
  <c r="K405" i="11"/>
  <c r="L405" i="11" s="1"/>
  <c r="J405" i="11"/>
  <c r="C405" i="11"/>
  <c r="K404" i="11"/>
  <c r="L404" i="11" s="1"/>
  <c r="J404" i="11"/>
  <c r="C404" i="11"/>
  <c r="K403" i="11"/>
  <c r="L403" i="11" s="1"/>
  <c r="J403" i="11"/>
  <c r="C403" i="11"/>
  <c r="K402" i="11"/>
  <c r="L402" i="11" s="1"/>
  <c r="J402" i="11"/>
  <c r="C402" i="11"/>
  <c r="K401" i="11"/>
  <c r="L401" i="11" s="1"/>
  <c r="J401" i="11"/>
  <c r="C401" i="11"/>
  <c r="K400" i="11"/>
  <c r="L400" i="11" s="1"/>
  <c r="J400" i="11"/>
  <c r="C400" i="11"/>
  <c r="K399" i="11"/>
  <c r="L399" i="11" s="1"/>
  <c r="J399" i="11"/>
  <c r="C399" i="11"/>
  <c r="K398" i="11"/>
  <c r="L398" i="11" s="1"/>
  <c r="J398" i="11"/>
  <c r="C398" i="11"/>
  <c r="K397" i="11"/>
  <c r="L397" i="11" s="1"/>
  <c r="J397" i="11"/>
  <c r="C397" i="11"/>
  <c r="K396" i="11"/>
  <c r="L396" i="11" s="1"/>
  <c r="J396" i="11"/>
  <c r="C396" i="11"/>
  <c r="K395" i="11"/>
  <c r="L395" i="11" s="1"/>
  <c r="J395" i="11"/>
  <c r="C395" i="11"/>
  <c r="K394" i="11"/>
  <c r="L394" i="11" s="1"/>
  <c r="J394" i="11"/>
  <c r="C394" i="11"/>
  <c r="K393" i="11"/>
  <c r="L393" i="11" s="1"/>
  <c r="J393" i="11"/>
  <c r="C393" i="11"/>
  <c r="K392" i="11"/>
  <c r="L392" i="11" s="1"/>
  <c r="J392" i="11"/>
  <c r="C392" i="11"/>
  <c r="K391" i="11"/>
  <c r="L391" i="11" s="1"/>
  <c r="J391" i="11"/>
  <c r="C391" i="11"/>
  <c r="K390" i="11"/>
  <c r="L390" i="11" s="1"/>
  <c r="J390" i="11"/>
  <c r="C390" i="11"/>
  <c r="K389" i="11"/>
  <c r="L389" i="11" s="1"/>
  <c r="J389" i="11"/>
  <c r="C389" i="11"/>
  <c r="J6" i="11" l="1"/>
  <c r="K388" i="11" l="1"/>
  <c r="L388" i="11" s="1"/>
  <c r="J388" i="11"/>
  <c r="C388" i="11"/>
  <c r="K387" i="11"/>
  <c r="L387" i="11" s="1"/>
  <c r="J387" i="11"/>
  <c r="C387" i="11"/>
  <c r="K386" i="11"/>
  <c r="L386" i="11" s="1"/>
  <c r="J386" i="11"/>
  <c r="C386" i="11"/>
  <c r="K385" i="11"/>
  <c r="L385" i="11" s="1"/>
  <c r="J385" i="11"/>
  <c r="C385" i="11"/>
  <c r="K384" i="11"/>
  <c r="L384" i="11" s="1"/>
  <c r="J384" i="11"/>
  <c r="C384" i="11"/>
  <c r="K383" i="11"/>
  <c r="L383" i="11" s="1"/>
  <c r="J383" i="11"/>
  <c r="C383" i="11"/>
  <c r="K382" i="11"/>
  <c r="L382" i="11" s="1"/>
  <c r="J382" i="11"/>
  <c r="C382" i="11"/>
  <c r="K381" i="11"/>
  <c r="L381" i="11" s="1"/>
  <c r="J381" i="11"/>
  <c r="C381" i="11"/>
  <c r="K380" i="11"/>
  <c r="L380" i="11" s="1"/>
  <c r="J380" i="11"/>
  <c r="C380" i="11"/>
  <c r="K379" i="11"/>
  <c r="L379" i="11" s="1"/>
  <c r="J379" i="11"/>
  <c r="C379" i="11"/>
  <c r="K378" i="11"/>
  <c r="L378" i="11" s="1"/>
  <c r="J378" i="11"/>
  <c r="C378" i="11"/>
  <c r="K377" i="11"/>
  <c r="L377" i="11" s="1"/>
  <c r="J377" i="11"/>
  <c r="C377" i="11"/>
  <c r="K376" i="11"/>
  <c r="L376" i="11" s="1"/>
  <c r="J376" i="11"/>
  <c r="C376" i="11"/>
  <c r="K375" i="11"/>
  <c r="L375" i="11" s="1"/>
  <c r="J375" i="11"/>
  <c r="C375" i="11"/>
  <c r="K374" i="11"/>
  <c r="L374" i="11" s="1"/>
  <c r="J374" i="11"/>
  <c r="C374" i="11"/>
  <c r="K373" i="11"/>
  <c r="L373" i="11" s="1"/>
  <c r="J373" i="11"/>
  <c r="C373" i="11"/>
  <c r="K372" i="11"/>
  <c r="L372" i="11" s="1"/>
  <c r="J372" i="11"/>
  <c r="C372" i="11"/>
  <c r="K371" i="11"/>
  <c r="L371" i="11" s="1"/>
  <c r="J371" i="11"/>
  <c r="C371" i="11"/>
  <c r="K370" i="11"/>
  <c r="L370" i="11" s="1"/>
  <c r="J370" i="11"/>
  <c r="C370" i="11"/>
  <c r="K369" i="11"/>
  <c r="L369" i="11" s="1"/>
  <c r="J369" i="11"/>
  <c r="C369" i="11"/>
  <c r="K368" i="11"/>
  <c r="L368" i="11" s="1"/>
  <c r="J368" i="11"/>
  <c r="C368" i="11"/>
  <c r="K367" i="11"/>
  <c r="L367" i="11" s="1"/>
  <c r="J367" i="11"/>
  <c r="C367" i="11"/>
  <c r="K366" i="11"/>
  <c r="L366" i="11" s="1"/>
  <c r="J366" i="11"/>
  <c r="C366" i="11"/>
  <c r="K365" i="11"/>
  <c r="L365" i="11" s="1"/>
  <c r="J365" i="11"/>
  <c r="C365" i="11"/>
  <c r="K364" i="11"/>
  <c r="L364" i="11" s="1"/>
  <c r="J364" i="11"/>
  <c r="C364" i="11"/>
  <c r="K363" i="11"/>
  <c r="L363" i="11" s="1"/>
  <c r="J363" i="11"/>
  <c r="C363" i="11"/>
  <c r="K362" i="11"/>
  <c r="L362" i="11" s="1"/>
  <c r="J362" i="11"/>
  <c r="C362" i="11"/>
  <c r="K361" i="11"/>
  <c r="L361" i="11" s="1"/>
  <c r="J361" i="11"/>
  <c r="C361" i="11"/>
  <c r="K360" i="11"/>
  <c r="L360" i="11" s="1"/>
  <c r="J360" i="11"/>
  <c r="C360" i="11"/>
  <c r="K359" i="11"/>
  <c r="L359" i="11" s="1"/>
  <c r="J359" i="11"/>
  <c r="C359" i="11"/>
  <c r="K358" i="11" l="1"/>
  <c r="L358" i="11" s="1"/>
  <c r="J358" i="11"/>
  <c r="C358" i="11"/>
  <c r="K357" i="11"/>
  <c r="L357" i="11" s="1"/>
  <c r="J357" i="11"/>
  <c r="C357" i="11"/>
  <c r="K356" i="11"/>
  <c r="L356" i="11" s="1"/>
  <c r="J356" i="11"/>
  <c r="C356" i="11"/>
  <c r="K355" i="11"/>
  <c r="L355" i="11" s="1"/>
  <c r="J355" i="11"/>
  <c r="C355" i="11"/>
  <c r="K354" i="11"/>
  <c r="L354" i="11" s="1"/>
  <c r="J354" i="11"/>
  <c r="C354" i="11"/>
  <c r="K353" i="11"/>
  <c r="L353" i="11" s="1"/>
  <c r="J353" i="11"/>
  <c r="C353" i="11"/>
  <c r="K352" i="11"/>
  <c r="L352" i="11" s="1"/>
  <c r="J352" i="11"/>
  <c r="C352" i="11"/>
  <c r="K351" i="11"/>
  <c r="L351" i="11" s="1"/>
  <c r="J351" i="11"/>
  <c r="C351" i="11"/>
  <c r="K350" i="11"/>
  <c r="L350" i="11" s="1"/>
  <c r="J350" i="11"/>
  <c r="C350" i="11"/>
  <c r="K349" i="11"/>
  <c r="L349" i="11" s="1"/>
  <c r="J349" i="11"/>
  <c r="C349" i="11"/>
  <c r="K348" i="11"/>
  <c r="L348" i="11" s="1"/>
  <c r="J348" i="11"/>
  <c r="C348" i="11"/>
  <c r="K347" i="11"/>
  <c r="L347" i="11" s="1"/>
  <c r="J347" i="11"/>
  <c r="C347" i="11"/>
  <c r="K346" i="11"/>
  <c r="L346" i="11" s="1"/>
  <c r="J346" i="11"/>
  <c r="C346" i="11"/>
  <c r="K345" i="11"/>
  <c r="L345" i="11" s="1"/>
  <c r="J345" i="11"/>
  <c r="C345" i="11"/>
  <c r="K344" i="11"/>
  <c r="L344" i="11" s="1"/>
  <c r="J344" i="11"/>
  <c r="C344" i="11"/>
  <c r="K343" i="11"/>
  <c r="L343" i="11" s="1"/>
  <c r="J343" i="11"/>
  <c r="C343" i="11"/>
  <c r="K342" i="11"/>
  <c r="L342" i="11" s="1"/>
  <c r="J342" i="11"/>
  <c r="C342" i="11"/>
  <c r="K341" i="11"/>
  <c r="L341" i="11" s="1"/>
  <c r="J341" i="11"/>
  <c r="C341" i="11"/>
  <c r="K340" i="11"/>
  <c r="L340" i="11" s="1"/>
  <c r="J340" i="11"/>
  <c r="C340" i="11"/>
  <c r="K339" i="11"/>
  <c r="L339" i="11" s="1"/>
  <c r="J339" i="11"/>
  <c r="C339" i="11"/>
  <c r="K338" i="11"/>
  <c r="L338" i="11" s="1"/>
  <c r="J338" i="11"/>
  <c r="C338" i="11"/>
  <c r="K337" i="11"/>
  <c r="L337" i="11" s="1"/>
  <c r="J337" i="11"/>
  <c r="C337" i="11"/>
  <c r="K336" i="11"/>
  <c r="L336" i="11" s="1"/>
  <c r="J336" i="11"/>
  <c r="C336" i="11"/>
  <c r="K335" i="11"/>
  <c r="L335" i="11" s="1"/>
  <c r="J335" i="11"/>
  <c r="C335" i="11"/>
  <c r="K334" i="11"/>
  <c r="L334" i="11" s="1"/>
  <c r="J334" i="11"/>
  <c r="C334" i="11"/>
  <c r="K333" i="11"/>
  <c r="L333" i="11" s="1"/>
  <c r="J333" i="11"/>
  <c r="C333" i="11"/>
  <c r="K332" i="11"/>
  <c r="L332" i="11" s="1"/>
  <c r="J332" i="11"/>
  <c r="C332" i="11"/>
  <c r="K331" i="11"/>
  <c r="L331" i="11" s="1"/>
  <c r="J331" i="11"/>
  <c r="C331" i="11"/>
  <c r="K330" i="11"/>
  <c r="L330" i="11" s="1"/>
  <c r="J330" i="11"/>
  <c r="C330" i="11"/>
  <c r="K329" i="11"/>
  <c r="L329" i="11" s="1"/>
  <c r="J329" i="11"/>
  <c r="C329" i="11"/>
  <c r="K328" i="11" l="1"/>
  <c r="L328" i="11" s="1"/>
  <c r="J328" i="11"/>
  <c r="C328" i="11"/>
  <c r="K327" i="11"/>
  <c r="L327" i="11" s="1"/>
  <c r="J327" i="11"/>
  <c r="C327" i="11"/>
  <c r="K326" i="11"/>
  <c r="L326" i="11" s="1"/>
  <c r="J326" i="11"/>
  <c r="C326" i="11"/>
  <c r="K325" i="11"/>
  <c r="L325" i="11" s="1"/>
  <c r="J325" i="11"/>
  <c r="C325" i="11"/>
  <c r="K324" i="11"/>
  <c r="L324" i="11" s="1"/>
  <c r="J324" i="11"/>
  <c r="C324" i="11"/>
  <c r="K323" i="11"/>
  <c r="L323" i="11" s="1"/>
  <c r="J323" i="11"/>
  <c r="C323" i="11"/>
  <c r="K322" i="11"/>
  <c r="L322" i="11" s="1"/>
  <c r="J322" i="11"/>
  <c r="C322" i="11"/>
  <c r="K321" i="11"/>
  <c r="L321" i="11" s="1"/>
  <c r="J321" i="11"/>
  <c r="C321" i="11"/>
  <c r="K320" i="11"/>
  <c r="L320" i="11" s="1"/>
  <c r="J320" i="11"/>
  <c r="C320" i="11"/>
  <c r="K319" i="11"/>
  <c r="L319" i="11" s="1"/>
  <c r="J319" i="11"/>
  <c r="C319" i="11"/>
  <c r="K318" i="11"/>
  <c r="L318" i="11" s="1"/>
  <c r="J318" i="11"/>
  <c r="C318" i="11"/>
  <c r="K317" i="11"/>
  <c r="L317" i="11" s="1"/>
  <c r="J317" i="11"/>
  <c r="C317" i="11"/>
  <c r="K316" i="11"/>
  <c r="L316" i="11" s="1"/>
  <c r="J316" i="11"/>
  <c r="C316" i="11"/>
  <c r="K315" i="11"/>
  <c r="L315" i="11" s="1"/>
  <c r="J315" i="11"/>
  <c r="C315" i="11"/>
  <c r="K314" i="11"/>
  <c r="L314" i="11" s="1"/>
  <c r="J314" i="11"/>
  <c r="C314" i="11"/>
  <c r="K313" i="11"/>
  <c r="L313" i="11" s="1"/>
  <c r="J313" i="11"/>
  <c r="C313" i="11"/>
  <c r="K312" i="11"/>
  <c r="L312" i="11" s="1"/>
  <c r="J312" i="11"/>
  <c r="C312" i="11"/>
  <c r="K311" i="11"/>
  <c r="L311" i="11" s="1"/>
  <c r="J311" i="11"/>
  <c r="C311" i="11"/>
  <c r="K310" i="11"/>
  <c r="L310" i="11" s="1"/>
  <c r="J310" i="11"/>
  <c r="C310" i="11"/>
  <c r="K309" i="11"/>
  <c r="L309" i="11" s="1"/>
  <c r="J309" i="11"/>
  <c r="C309" i="11"/>
  <c r="K308" i="11"/>
  <c r="L308" i="11" s="1"/>
  <c r="J308" i="11"/>
  <c r="C308" i="11"/>
  <c r="K307" i="11"/>
  <c r="L307" i="11" s="1"/>
  <c r="J307" i="11"/>
  <c r="C307" i="11"/>
  <c r="K306" i="11"/>
  <c r="L306" i="11" s="1"/>
  <c r="J306" i="11"/>
  <c r="C306" i="11"/>
  <c r="K305" i="11"/>
  <c r="L305" i="11" s="1"/>
  <c r="J305" i="11"/>
  <c r="C305" i="11"/>
  <c r="K304" i="11"/>
  <c r="L304" i="11" s="1"/>
  <c r="J304" i="11"/>
  <c r="C304" i="11"/>
  <c r="K303" i="11"/>
  <c r="L303" i="11" s="1"/>
  <c r="J303" i="11"/>
  <c r="C303" i="11"/>
  <c r="K302" i="11"/>
  <c r="L302" i="11" s="1"/>
  <c r="J302" i="11"/>
  <c r="C302" i="11"/>
  <c r="K301" i="11"/>
  <c r="L301" i="11" s="1"/>
  <c r="J301" i="11"/>
  <c r="C301" i="11"/>
  <c r="K300" i="11"/>
  <c r="L300" i="11" s="1"/>
  <c r="J300" i="11"/>
  <c r="C300" i="11"/>
  <c r="K299" i="11"/>
  <c r="L299" i="11" s="1"/>
  <c r="J299" i="11"/>
  <c r="C299" i="11"/>
  <c r="K6" i="9" l="1"/>
  <c r="L6" i="9" s="1"/>
  <c r="J6" i="9"/>
  <c r="K298" i="11" l="1"/>
  <c r="L298" i="11" s="1"/>
  <c r="J298" i="11"/>
  <c r="C298" i="11"/>
  <c r="K297" i="11"/>
  <c r="L297" i="11" s="1"/>
  <c r="J297" i="11"/>
  <c r="C297" i="11"/>
  <c r="K296" i="11"/>
  <c r="L296" i="11" s="1"/>
  <c r="J296" i="11"/>
  <c r="C296" i="11"/>
  <c r="K295" i="11"/>
  <c r="L295" i="11" s="1"/>
  <c r="J295" i="11"/>
  <c r="C295" i="11"/>
  <c r="K294" i="11"/>
  <c r="L294" i="11" s="1"/>
  <c r="J294" i="11"/>
  <c r="C294" i="11"/>
  <c r="K293" i="11"/>
  <c r="L293" i="11" s="1"/>
  <c r="J293" i="11"/>
  <c r="C293" i="11"/>
  <c r="K292" i="11"/>
  <c r="L292" i="11" s="1"/>
  <c r="J292" i="11"/>
  <c r="C292" i="11"/>
  <c r="K291" i="11"/>
  <c r="L291" i="11" s="1"/>
  <c r="J291" i="11"/>
  <c r="C291" i="11"/>
  <c r="K290" i="11"/>
  <c r="L290" i="11" s="1"/>
  <c r="J290" i="11"/>
  <c r="C290" i="11"/>
  <c r="K289" i="11"/>
  <c r="L289" i="11" s="1"/>
  <c r="J289" i="11"/>
  <c r="C289" i="11"/>
  <c r="K288" i="11"/>
  <c r="L288" i="11" s="1"/>
  <c r="J288" i="11"/>
  <c r="C288" i="11"/>
  <c r="K287" i="11"/>
  <c r="L287" i="11" s="1"/>
  <c r="J287" i="11"/>
  <c r="C287" i="11"/>
  <c r="K286" i="11"/>
  <c r="L286" i="11" s="1"/>
  <c r="J286" i="11"/>
  <c r="C286" i="11"/>
  <c r="K285" i="11"/>
  <c r="L285" i="11" s="1"/>
  <c r="J285" i="11"/>
  <c r="C285" i="11"/>
  <c r="K284" i="11"/>
  <c r="L284" i="11" s="1"/>
  <c r="J284" i="11"/>
  <c r="C284" i="11"/>
  <c r="K283" i="11"/>
  <c r="L283" i="11" s="1"/>
  <c r="J283" i="11"/>
  <c r="C283" i="11"/>
  <c r="K282" i="11"/>
  <c r="L282" i="11" s="1"/>
  <c r="J282" i="11"/>
  <c r="C282" i="11"/>
  <c r="K281" i="11"/>
  <c r="L281" i="11" s="1"/>
  <c r="J281" i="11"/>
  <c r="C281" i="11"/>
  <c r="K280" i="11"/>
  <c r="L280" i="11" s="1"/>
  <c r="J280" i="11"/>
  <c r="C280" i="11"/>
  <c r="K279" i="11"/>
  <c r="L279" i="11" s="1"/>
  <c r="J279" i="11"/>
  <c r="C279" i="11"/>
  <c r="K278" i="11"/>
  <c r="L278" i="11" s="1"/>
  <c r="J278" i="11"/>
  <c r="C278" i="11"/>
  <c r="K277" i="11"/>
  <c r="L277" i="11" s="1"/>
  <c r="J277" i="11"/>
  <c r="C277" i="11"/>
  <c r="K276" i="11"/>
  <c r="L276" i="11" s="1"/>
  <c r="J276" i="11"/>
  <c r="C276" i="11"/>
  <c r="K275" i="11"/>
  <c r="L275" i="11" s="1"/>
  <c r="J275" i="11"/>
  <c r="C275" i="11"/>
  <c r="K274" i="11"/>
  <c r="L274" i="11" s="1"/>
  <c r="J274" i="11"/>
  <c r="C274" i="11"/>
  <c r="K273" i="11"/>
  <c r="L273" i="11" s="1"/>
  <c r="J273" i="11"/>
  <c r="C273" i="11"/>
  <c r="K272" i="11"/>
  <c r="L272" i="11" s="1"/>
  <c r="J272" i="11"/>
  <c r="C272" i="11"/>
  <c r="K271" i="11"/>
  <c r="L271" i="11" s="1"/>
  <c r="J271" i="11"/>
  <c r="C271" i="11"/>
  <c r="K270" i="11"/>
  <c r="L270" i="11" s="1"/>
  <c r="J270" i="11"/>
  <c r="C270" i="11"/>
  <c r="K269" i="11"/>
  <c r="L269" i="11" s="1"/>
  <c r="J269" i="11"/>
  <c r="C269" i="11"/>
  <c r="K268" i="11" l="1"/>
  <c r="L268" i="11" s="1"/>
  <c r="J268" i="11"/>
  <c r="C268" i="11"/>
  <c r="K267" i="11"/>
  <c r="L267" i="11" s="1"/>
  <c r="J267" i="11"/>
  <c r="C267" i="11"/>
  <c r="K266" i="11"/>
  <c r="L266" i="11" s="1"/>
  <c r="J266" i="11"/>
  <c r="C266" i="11"/>
  <c r="K265" i="11"/>
  <c r="L265" i="11" s="1"/>
  <c r="J265" i="11"/>
  <c r="C265" i="11"/>
  <c r="K264" i="11"/>
  <c r="L264" i="11" s="1"/>
  <c r="J264" i="11"/>
  <c r="C264" i="11"/>
  <c r="K263" i="11"/>
  <c r="L263" i="11" s="1"/>
  <c r="J263" i="11"/>
  <c r="C263" i="11"/>
  <c r="K262" i="11"/>
  <c r="L262" i="11" s="1"/>
  <c r="J262" i="11"/>
  <c r="C262" i="11"/>
  <c r="K261" i="11"/>
  <c r="L261" i="11" s="1"/>
  <c r="J261" i="11"/>
  <c r="C261" i="11"/>
  <c r="K260" i="11"/>
  <c r="L260" i="11" s="1"/>
  <c r="C260" i="11"/>
  <c r="K259" i="11"/>
  <c r="L259" i="11" s="1"/>
  <c r="J259" i="11"/>
  <c r="C259" i="11"/>
  <c r="K258" i="11"/>
  <c r="L258" i="11" s="1"/>
  <c r="J258" i="11"/>
  <c r="C258" i="11"/>
  <c r="K257" i="11"/>
  <c r="L257" i="11" s="1"/>
  <c r="J257" i="11"/>
  <c r="C257" i="11"/>
  <c r="K256" i="11"/>
  <c r="L256" i="11" s="1"/>
  <c r="J256" i="11"/>
  <c r="C256" i="11"/>
  <c r="K255" i="11"/>
  <c r="L255" i="11" s="1"/>
  <c r="J255" i="11"/>
  <c r="C255" i="11"/>
  <c r="K254" i="11"/>
  <c r="L254" i="11" s="1"/>
  <c r="J254" i="11"/>
  <c r="C254" i="11"/>
  <c r="K253" i="11"/>
  <c r="L253" i="11" s="1"/>
  <c r="J253" i="11"/>
  <c r="C253" i="11"/>
  <c r="K252" i="11"/>
  <c r="L252" i="11" s="1"/>
  <c r="J252" i="11"/>
  <c r="C252" i="11"/>
  <c r="K251" i="11"/>
  <c r="L251" i="11" s="1"/>
  <c r="J251" i="11"/>
  <c r="C251" i="11"/>
  <c r="K250" i="11"/>
  <c r="L250" i="11" s="1"/>
  <c r="J250" i="11"/>
  <c r="C250" i="11"/>
  <c r="K249" i="11"/>
  <c r="L249" i="11" s="1"/>
  <c r="J249" i="11"/>
  <c r="C249" i="11"/>
  <c r="K248" i="11"/>
  <c r="L248" i="11" s="1"/>
  <c r="J248" i="11"/>
  <c r="C248" i="11"/>
  <c r="K247" i="11"/>
  <c r="L247" i="11" s="1"/>
  <c r="J247" i="11"/>
  <c r="C247" i="11"/>
  <c r="K246" i="11"/>
  <c r="L246" i="11" s="1"/>
  <c r="J246" i="11"/>
  <c r="C246" i="11"/>
  <c r="K245" i="11"/>
  <c r="L245" i="11" s="1"/>
  <c r="J245" i="11"/>
  <c r="C245" i="11"/>
  <c r="K244" i="11"/>
  <c r="L244" i="11" s="1"/>
  <c r="J244" i="11"/>
  <c r="C244" i="11"/>
  <c r="K243" i="11"/>
  <c r="L243" i="11" s="1"/>
  <c r="J243" i="11"/>
  <c r="C243" i="11"/>
  <c r="K242" i="11"/>
  <c r="L242" i="11" s="1"/>
  <c r="J242" i="11"/>
  <c r="C242" i="11"/>
  <c r="K241" i="11"/>
  <c r="L241" i="11" s="1"/>
  <c r="J241" i="11"/>
  <c r="C241" i="11"/>
  <c r="K240" i="11"/>
  <c r="L240" i="11" s="1"/>
  <c r="J240" i="11"/>
  <c r="C240" i="11"/>
  <c r="K239" i="11"/>
  <c r="L239" i="11" s="1"/>
  <c r="J239" i="11"/>
  <c r="C239" i="11"/>
  <c r="K238" i="11" l="1"/>
  <c r="L238" i="11" s="1"/>
  <c r="J238" i="11"/>
  <c r="C238" i="11"/>
  <c r="K237" i="11"/>
  <c r="L237" i="11" s="1"/>
  <c r="J237" i="11"/>
  <c r="C237" i="11"/>
  <c r="K236" i="11"/>
  <c r="L236" i="11" s="1"/>
  <c r="J236" i="11"/>
  <c r="C236" i="11"/>
  <c r="K235" i="11"/>
  <c r="L235" i="11" s="1"/>
  <c r="J235" i="11"/>
  <c r="C235" i="11"/>
  <c r="K234" i="11"/>
  <c r="L234" i="11" s="1"/>
  <c r="J234" i="11"/>
  <c r="C234" i="11"/>
  <c r="K233" i="11"/>
  <c r="L233" i="11" s="1"/>
  <c r="J233" i="11"/>
  <c r="C233" i="11"/>
  <c r="K232" i="11"/>
  <c r="L232" i="11" s="1"/>
  <c r="J232" i="11"/>
  <c r="C232" i="11"/>
  <c r="K231" i="11"/>
  <c r="L231" i="11" s="1"/>
  <c r="J231" i="11"/>
  <c r="C231" i="11"/>
  <c r="K230" i="11"/>
  <c r="L230" i="11" s="1"/>
  <c r="J230" i="11"/>
  <c r="C230" i="11"/>
  <c r="K229" i="11"/>
  <c r="L229" i="11" s="1"/>
  <c r="J229" i="11"/>
  <c r="C229" i="11"/>
  <c r="K228" i="11"/>
  <c r="L228" i="11" s="1"/>
  <c r="J228" i="11"/>
  <c r="C228" i="11"/>
  <c r="K227" i="11"/>
  <c r="L227" i="11" s="1"/>
  <c r="J227" i="11"/>
  <c r="C227" i="11"/>
  <c r="K226" i="11"/>
  <c r="L226" i="11" s="1"/>
  <c r="J226" i="11"/>
  <c r="C226" i="11"/>
  <c r="K225" i="11"/>
  <c r="L225" i="11" s="1"/>
  <c r="J225" i="11"/>
  <c r="C225" i="11"/>
  <c r="K224" i="11"/>
  <c r="L224" i="11" s="1"/>
  <c r="J224" i="11"/>
  <c r="C224" i="11"/>
  <c r="K223" i="11"/>
  <c r="L223" i="11" s="1"/>
  <c r="J223" i="11"/>
  <c r="C223" i="11"/>
  <c r="K222" i="11"/>
  <c r="L222" i="11" s="1"/>
  <c r="J222" i="11"/>
  <c r="C222" i="11"/>
  <c r="K221" i="11"/>
  <c r="L221" i="11" s="1"/>
  <c r="J221" i="11"/>
  <c r="C221" i="11"/>
  <c r="K220" i="11"/>
  <c r="L220" i="11" s="1"/>
  <c r="J220" i="11"/>
  <c r="C220" i="11"/>
  <c r="K219" i="11"/>
  <c r="L219" i="11" s="1"/>
  <c r="J219" i="11"/>
  <c r="C219" i="11"/>
  <c r="K218" i="11"/>
  <c r="L218" i="11" s="1"/>
  <c r="J218" i="11"/>
  <c r="C218" i="11"/>
  <c r="K217" i="11"/>
  <c r="L217" i="11" s="1"/>
  <c r="J217" i="11"/>
  <c r="C217" i="11"/>
  <c r="K216" i="11"/>
  <c r="L216" i="11" s="1"/>
  <c r="J216" i="11"/>
  <c r="C216" i="11"/>
  <c r="K215" i="11"/>
  <c r="L215" i="11" s="1"/>
  <c r="J215" i="11"/>
  <c r="C215" i="11"/>
  <c r="K214" i="11"/>
  <c r="L214" i="11" s="1"/>
  <c r="J214" i="11"/>
  <c r="C214" i="11"/>
  <c r="K213" i="11"/>
  <c r="L213" i="11" s="1"/>
  <c r="J213" i="11"/>
  <c r="C213" i="11"/>
  <c r="K212" i="11"/>
  <c r="L212" i="11" s="1"/>
  <c r="J212" i="11"/>
  <c r="C212" i="11"/>
  <c r="K211" i="11"/>
  <c r="L211" i="11" s="1"/>
  <c r="J211" i="11"/>
  <c r="C211" i="11"/>
  <c r="K210" i="11"/>
  <c r="L210" i="11" s="1"/>
  <c r="J210" i="11"/>
  <c r="C210" i="11"/>
  <c r="K209" i="11"/>
  <c r="L209" i="11" s="1"/>
  <c r="J209" i="11"/>
  <c r="C209" i="11"/>
  <c r="K208" i="11" l="1"/>
  <c r="L208" i="11" s="1"/>
  <c r="J208" i="11"/>
  <c r="C208" i="11"/>
  <c r="K207" i="11"/>
  <c r="L207" i="11" s="1"/>
  <c r="J207" i="11"/>
  <c r="C207" i="11"/>
  <c r="K206" i="11"/>
  <c r="L206" i="11" s="1"/>
  <c r="J206" i="11"/>
  <c r="C206" i="11"/>
  <c r="K205" i="11"/>
  <c r="L205" i="11" s="1"/>
  <c r="J205" i="11"/>
  <c r="C205" i="11"/>
  <c r="K204" i="11"/>
  <c r="L204" i="11" s="1"/>
  <c r="J204" i="11"/>
  <c r="C204" i="11"/>
  <c r="K203" i="11"/>
  <c r="L203" i="11" s="1"/>
  <c r="J203" i="11"/>
  <c r="C203" i="11"/>
  <c r="K202" i="11"/>
  <c r="L202" i="11" s="1"/>
  <c r="J202" i="11"/>
  <c r="C202" i="11"/>
  <c r="K201" i="11"/>
  <c r="L201" i="11" s="1"/>
  <c r="J201" i="11"/>
  <c r="C201" i="11"/>
  <c r="K200" i="11"/>
  <c r="L200" i="11" s="1"/>
  <c r="J200" i="11"/>
  <c r="C200" i="11"/>
  <c r="K199" i="11"/>
  <c r="L199" i="11" s="1"/>
  <c r="J199" i="11"/>
  <c r="C199" i="11"/>
  <c r="K198" i="11"/>
  <c r="L198" i="11" s="1"/>
  <c r="J198" i="11"/>
  <c r="C198" i="11"/>
  <c r="K197" i="11"/>
  <c r="L197" i="11" s="1"/>
  <c r="J197" i="11"/>
  <c r="C197" i="11"/>
  <c r="K196" i="11"/>
  <c r="L196" i="11" s="1"/>
  <c r="J196" i="11"/>
  <c r="C196" i="11"/>
  <c r="K195" i="11"/>
  <c r="L195" i="11" s="1"/>
  <c r="J195" i="11"/>
  <c r="C195" i="11"/>
  <c r="K194" i="11"/>
  <c r="L194" i="11" s="1"/>
  <c r="J194" i="11"/>
  <c r="C194" i="11"/>
  <c r="K193" i="11"/>
  <c r="L193" i="11" s="1"/>
  <c r="J193" i="11"/>
  <c r="C193" i="11"/>
  <c r="K192" i="11"/>
  <c r="L192" i="11" s="1"/>
  <c r="J192" i="11"/>
  <c r="C192" i="11"/>
  <c r="K191" i="11"/>
  <c r="L191" i="11" s="1"/>
  <c r="J191" i="11"/>
  <c r="C191" i="11"/>
  <c r="K190" i="11"/>
  <c r="L190" i="11" s="1"/>
  <c r="J190" i="11"/>
  <c r="C190" i="11"/>
  <c r="K189" i="11"/>
  <c r="L189" i="11" s="1"/>
  <c r="J189" i="11"/>
  <c r="C189" i="11"/>
  <c r="K188" i="11"/>
  <c r="L188" i="11" s="1"/>
  <c r="J188" i="11"/>
  <c r="C188" i="11"/>
  <c r="K187" i="11"/>
  <c r="L187" i="11" s="1"/>
  <c r="J187" i="11"/>
  <c r="C187" i="11"/>
  <c r="K186" i="11"/>
  <c r="L186" i="11" s="1"/>
  <c r="J186" i="11"/>
  <c r="C186" i="11"/>
  <c r="K185" i="11"/>
  <c r="L185" i="11" s="1"/>
  <c r="J185" i="11"/>
  <c r="C185" i="11"/>
  <c r="K184" i="11"/>
  <c r="L184" i="11" s="1"/>
  <c r="J184" i="11"/>
  <c r="C184" i="11"/>
  <c r="K183" i="11"/>
  <c r="L183" i="11" s="1"/>
  <c r="J183" i="11"/>
  <c r="C183" i="11"/>
  <c r="K182" i="11"/>
  <c r="L182" i="11" s="1"/>
  <c r="J182" i="11"/>
  <c r="C182" i="11"/>
  <c r="K181" i="11"/>
  <c r="L181" i="11" s="1"/>
  <c r="J181" i="11"/>
  <c r="C181" i="11"/>
  <c r="K180" i="11"/>
  <c r="L180" i="11" s="1"/>
  <c r="J180" i="11"/>
  <c r="C180" i="11"/>
  <c r="K179" i="11"/>
  <c r="L179" i="11" s="1"/>
  <c r="J179" i="11"/>
  <c r="C179" i="11"/>
  <c r="K178" i="11" l="1"/>
  <c r="L178" i="11" s="1"/>
  <c r="J178" i="11"/>
  <c r="C178" i="11"/>
  <c r="K177" i="11"/>
  <c r="L177" i="11" s="1"/>
  <c r="J177" i="11"/>
  <c r="C177" i="11"/>
  <c r="K176" i="11"/>
  <c r="L176" i="11" s="1"/>
  <c r="J176" i="11"/>
  <c r="C176" i="11"/>
  <c r="K175" i="11"/>
  <c r="L175" i="11" s="1"/>
  <c r="J175" i="11"/>
  <c r="C175" i="11"/>
  <c r="K174" i="11"/>
  <c r="L174" i="11" s="1"/>
  <c r="J174" i="11"/>
  <c r="C174" i="11"/>
  <c r="K173" i="11"/>
  <c r="L173" i="11" s="1"/>
  <c r="J173" i="11"/>
  <c r="C173" i="11"/>
  <c r="K172" i="11"/>
  <c r="L172" i="11" s="1"/>
  <c r="J172" i="11"/>
  <c r="C172" i="11"/>
  <c r="K171" i="11"/>
  <c r="L171" i="11" s="1"/>
  <c r="J171" i="11"/>
  <c r="C171" i="11"/>
  <c r="K170" i="11"/>
  <c r="L170" i="11" s="1"/>
  <c r="J170" i="11"/>
  <c r="C170" i="11"/>
  <c r="K169" i="11"/>
  <c r="L169" i="11" s="1"/>
  <c r="J169" i="11"/>
  <c r="C169" i="11"/>
  <c r="K168" i="11"/>
  <c r="L168" i="11" s="1"/>
  <c r="J168" i="11"/>
  <c r="C168" i="11"/>
  <c r="K167" i="11"/>
  <c r="L167" i="11" s="1"/>
  <c r="J167" i="11"/>
  <c r="C167" i="11"/>
  <c r="K166" i="11"/>
  <c r="L166" i="11" s="1"/>
  <c r="J166" i="11"/>
  <c r="C166" i="11"/>
  <c r="K165" i="11"/>
  <c r="L165" i="11" s="1"/>
  <c r="J165" i="11"/>
  <c r="C165" i="11"/>
  <c r="K164" i="11"/>
  <c r="L164" i="11" s="1"/>
  <c r="J164" i="11"/>
  <c r="C164" i="11"/>
  <c r="K163" i="11"/>
  <c r="L163" i="11" s="1"/>
  <c r="J163" i="11"/>
  <c r="C163" i="11"/>
  <c r="K162" i="11"/>
  <c r="L162" i="11" s="1"/>
  <c r="J162" i="11"/>
  <c r="C162" i="11"/>
  <c r="K161" i="11"/>
  <c r="L161" i="11" s="1"/>
  <c r="J161" i="11"/>
  <c r="C161" i="11"/>
  <c r="K160" i="11"/>
  <c r="L160" i="11" s="1"/>
  <c r="J160" i="11"/>
  <c r="C160" i="11"/>
  <c r="K159" i="11"/>
  <c r="L159" i="11" s="1"/>
  <c r="J159" i="11"/>
  <c r="C159" i="11"/>
  <c r="K158" i="11"/>
  <c r="L158" i="11" s="1"/>
  <c r="J158" i="11"/>
  <c r="C158" i="11"/>
  <c r="K157" i="11"/>
  <c r="L157" i="11" s="1"/>
  <c r="J157" i="11"/>
  <c r="C157" i="11"/>
  <c r="K156" i="11"/>
  <c r="L156" i="11" s="1"/>
  <c r="J156" i="11"/>
  <c r="C156" i="11"/>
  <c r="K155" i="11"/>
  <c r="L155" i="11" s="1"/>
  <c r="J155" i="11"/>
  <c r="C155" i="11"/>
  <c r="K154" i="11"/>
  <c r="L154" i="11" s="1"/>
  <c r="J154" i="11"/>
  <c r="C154" i="11"/>
  <c r="K153" i="11"/>
  <c r="L153" i="11" s="1"/>
  <c r="J153" i="11"/>
  <c r="C153" i="11"/>
  <c r="K152" i="11"/>
  <c r="L152" i="11" s="1"/>
  <c r="J152" i="11"/>
  <c r="C152" i="11"/>
  <c r="K151" i="11"/>
  <c r="L151" i="11" s="1"/>
  <c r="J151" i="11"/>
  <c r="C151" i="11"/>
  <c r="K150" i="11"/>
  <c r="L150" i="11" s="1"/>
  <c r="J150" i="11"/>
  <c r="C150" i="11"/>
  <c r="K149" i="11"/>
  <c r="L149" i="11" s="1"/>
  <c r="J149" i="11"/>
  <c r="C149" i="11"/>
  <c r="C367" i="7" l="1"/>
  <c r="C366" i="7"/>
  <c r="K148" i="11" l="1"/>
  <c r="L148" i="11" s="1"/>
  <c r="J148" i="11"/>
  <c r="C148" i="11"/>
  <c r="K147" i="11"/>
  <c r="L147" i="11" s="1"/>
  <c r="J147" i="11"/>
  <c r="C147" i="11"/>
  <c r="K146" i="11"/>
  <c r="L146" i="11" s="1"/>
  <c r="J146" i="11"/>
  <c r="C146" i="11"/>
  <c r="K145" i="11"/>
  <c r="L145" i="11" s="1"/>
  <c r="J145" i="11"/>
  <c r="C145" i="11"/>
  <c r="K144" i="11"/>
  <c r="L144" i="11" s="1"/>
  <c r="J144" i="11"/>
  <c r="C144" i="11"/>
  <c r="K143" i="11"/>
  <c r="L143" i="11" s="1"/>
  <c r="J143" i="11"/>
  <c r="C143" i="11"/>
  <c r="K142" i="11"/>
  <c r="L142" i="11" s="1"/>
  <c r="J142" i="11"/>
  <c r="C142" i="11"/>
  <c r="K141" i="11"/>
  <c r="L141" i="11" s="1"/>
  <c r="J141" i="11"/>
  <c r="C141" i="11"/>
  <c r="K140" i="11"/>
  <c r="L140" i="11" s="1"/>
  <c r="J140" i="11"/>
  <c r="C140" i="11"/>
  <c r="K139" i="11"/>
  <c r="L139" i="11" s="1"/>
  <c r="J139" i="11"/>
  <c r="C139" i="11"/>
  <c r="K138" i="11"/>
  <c r="L138" i="11" s="1"/>
  <c r="J138" i="11"/>
  <c r="C138" i="11"/>
  <c r="K137" i="11"/>
  <c r="L137" i="11" s="1"/>
  <c r="J137" i="11"/>
  <c r="C137" i="11"/>
  <c r="K136" i="11"/>
  <c r="L136" i="11" s="1"/>
  <c r="J136" i="11"/>
  <c r="C136" i="11"/>
  <c r="K135" i="11"/>
  <c r="L135" i="11" s="1"/>
  <c r="J135" i="11"/>
  <c r="C135" i="11"/>
  <c r="K134" i="11"/>
  <c r="L134" i="11" s="1"/>
  <c r="J134" i="11"/>
  <c r="C134" i="11"/>
  <c r="K133" i="11"/>
  <c r="L133" i="11" s="1"/>
  <c r="J133" i="11"/>
  <c r="C133" i="11"/>
  <c r="K132" i="11"/>
  <c r="L132" i="11" s="1"/>
  <c r="J132" i="11"/>
  <c r="C132" i="11"/>
  <c r="K131" i="11"/>
  <c r="L131" i="11" s="1"/>
  <c r="J131" i="11"/>
  <c r="C131" i="11"/>
  <c r="K130" i="11"/>
  <c r="L130" i="11" s="1"/>
  <c r="J130" i="11"/>
  <c r="C130" i="11"/>
  <c r="K129" i="11"/>
  <c r="L129" i="11" s="1"/>
  <c r="J129" i="11"/>
  <c r="C129" i="11"/>
  <c r="K128" i="11"/>
  <c r="L128" i="11" s="1"/>
  <c r="J128" i="11"/>
  <c r="C128" i="11"/>
  <c r="K127" i="11"/>
  <c r="L127" i="11" s="1"/>
  <c r="J127" i="11"/>
  <c r="C127" i="11"/>
  <c r="K126" i="11"/>
  <c r="L126" i="11" s="1"/>
  <c r="J126" i="11"/>
  <c r="C126" i="11"/>
  <c r="K125" i="11"/>
  <c r="L125" i="11" s="1"/>
  <c r="J125" i="11"/>
  <c r="C125" i="11"/>
  <c r="K124" i="11"/>
  <c r="L124" i="11" s="1"/>
  <c r="J124" i="11"/>
  <c r="C124" i="11"/>
  <c r="K123" i="11"/>
  <c r="L123" i="11" s="1"/>
  <c r="J123" i="11"/>
  <c r="C123" i="11"/>
  <c r="K122" i="11"/>
  <c r="L122" i="11" s="1"/>
  <c r="J122" i="11"/>
  <c r="C122" i="11"/>
  <c r="K121" i="11"/>
  <c r="L121" i="11" s="1"/>
  <c r="J121" i="11"/>
  <c r="C121" i="11"/>
  <c r="K120" i="11"/>
  <c r="L120" i="11" s="1"/>
  <c r="J120" i="11"/>
  <c r="C120" i="11"/>
  <c r="K119" i="11"/>
  <c r="L119" i="11" s="1"/>
  <c r="J119" i="11"/>
  <c r="C119" i="11"/>
  <c r="K118" i="11" l="1"/>
  <c r="L118" i="11" s="1"/>
  <c r="J118" i="11"/>
  <c r="C118" i="11"/>
  <c r="K117" i="11"/>
  <c r="L117" i="11" s="1"/>
  <c r="J117" i="11"/>
  <c r="C117" i="11"/>
  <c r="K116" i="11"/>
  <c r="L116" i="11" s="1"/>
  <c r="J116" i="11"/>
  <c r="C116" i="11"/>
  <c r="K115" i="11"/>
  <c r="L115" i="11" s="1"/>
  <c r="J115" i="11"/>
  <c r="C115" i="11"/>
  <c r="L114" i="11"/>
  <c r="J114" i="11"/>
  <c r="C114" i="11"/>
  <c r="K113" i="11"/>
  <c r="L113" i="11" s="1"/>
  <c r="J113" i="11"/>
  <c r="C113" i="11"/>
  <c r="K112" i="11"/>
  <c r="L112" i="11" s="1"/>
  <c r="J112" i="11"/>
  <c r="C112" i="11"/>
  <c r="K111" i="11"/>
  <c r="L111" i="11" s="1"/>
  <c r="J111" i="11"/>
  <c r="C111" i="11"/>
  <c r="K110" i="11"/>
  <c r="L110" i="11" s="1"/>
  <c r="J110" i="11"/>
  <c r="C110" i="11"/>
  <c r="K109" i="11"/>
  <c r="L109" i="11" s="1"/>
  <c r="J109" i="11"/>
  <c r="C109" i="11"/>
  <c r="K108" i="11"/>
  <c r="L108" i="11" s="1"/>
  <c r="J108" i="11"/>
  <c r="C108" i="11"/>
  <c r="K107" i="11"/>
  <c r="L107" i="11" s="1"/>
  <c r="J107" i="11"/>
  <c r="C107" i="11"/>
  <c r="K106" i="11"/>
  <c r="L106" i="11" s="1"/>
  <c r="J106" i="11"/>
  <c r="C106" i="11"/>
  <c r="K105" i="11"/>
  <c r="L105" i="11" s="1"/>
  <c r="J105" i="11"/>
  <c r="C105" i="11"/>
  <c r="K104" i="11"/>
  <c r="L104" i="11" s="1"/>
  <c r="J104" i="11"/>
  <c r="C104" i="11"/>
  <c r="K103" i="11"/>
  <c r="L103" i="11" s="1"/>
  <c r="J103" i="11"/>
  <c r="C103" i="11"/>
  <c r="K102" i="11"/>
  <c r="L102" i="11" s="1"/>
  <c r="J102" i="11"/>
  <c r="C102" i="11"/>
  <c r="K101" i="11"/>
  <c r="L101" i="11" s="1"/>
  <c r="J101" i="11"/>
  <c r="C101" i="11"/>
  <c r="K100" i="11"/>
  <c r="L100" i="11" s="1"/>
  <c r="J100" i="11"/>
  <c r="C100" i="11"/>
  <c r="K99" i="11"/>
  <c r="L99" i="11" s="1"/>
  <c r="J99" i="11"/>
  <c r="C99" i="11"/>
  <c r="K98" i="11"/>
  <c r="L98" i="11" s="1"/>
  <c r="J98" i="11"/>
  <c r="C98" i="11"/>
  <c r="K97" i="11"/>
  <c r="L97" i="11" s="1"/>
  <c r="J97" i="11"/>
  <c r="C97" i="11"/>
  <c r="K96" i="11"/>
  <c r="L96" i="11" s="1"/>
  <c r="J96" i="11"/>
  <c r="C96" i="11"/>
  <c r="K95" i="11"/>
  <c r="L95" i="11" s="1"/>
  <c r="J95" i="11"/>
  <c r="C95" i="11"/>
  <c r="K94" i="11"/>
  <c r="L94" i="11" s="1"/>
  <c r="J94" i="11"/>
  <c r="C94" i="11"/>
  <c r="K93" i="11"/>
  <c r="L93" i="11" s="1"/>
  <c r="J93" i="11"/>
  <c r="C93" i="11"/>
  <c r="K92" i="11"/>
  <c r="L92" i="11" s="1"/>
  <c r="J92" i="11"/>
  <c r="C92" i="11"/>
  <c r="K91" i="11"/>
  <c r="L91" i="11" s="1"/>
  <c r="J91" i="11"/>
  <c r="C91" i="11"/>
  <c r="K90" i="11"/>
  <c r="L90" i="11" s="1"/>
  <c r="J90" i="11"/>
  <c r="C90" i="11"/>
  <c r="K89" i="11"/>
  <c r="L89" i="11" s="1"/>
  <c r="J89" i="11"/>
  <c r="C89" i="11"/>
  <c r="K61" i="11" l="1"/>
  <c r="L61" i="11" s="1"/>
  <c r="J61" i="11"/>
  <c r="C61" i="11"/>
  <c r="K60" i="11"/>
  <c r="L60" i="11" s="1"/>
  <c r="J60" i="11"/>
  <c r="C60" i="11"/>
  <c r="K88" i="11" l="1"/>
  <c r="L88" i="11" s="1"/>
  <c r="J88" i="11"/>
  <c r="C88" i="11"/>
  <c r="K87" i="11"/>
  <c r="L87" i="11" s="1"/>
  <c r="J87" i="11"/>
  <c r="C87" i="11"/>
  <c r="K86" i="11"/>
  <c r="L86" i="11" s="1"/>
  <c r="J86" i="11"/>
  <c r="C86" i="11"/>
  <c r="K85" i="11"/>
  <c r="L85" i="11" s="1"/>
  <c r="J85" i="11"/>
  <c r="C85" i="11"/>
  <c r="K84" i="11"/>
  <c r="L84" i="11" s="1"/>
  <c r="J84" i="11"/>
  <c r="C84" i="11"/>
  <c r="K83" i="11"/>
  <c r="L83" i="11" s="1"/>
  <c r="J83" i="11"/>
  <c r="C83" i="11"/>
  <c r="K82" i="11"/>
  <c r="L82" i="11" s="1"/>
  <c r="J82" i="11"/>
  <c r="C82" i="11"/>
  <c r="K81" i="11"/>
  <c r="L81" i="11" s="1"/>
  <c r="J81" i="11"/>
  <c r="C81" i="11"/>
  <c r="K80" i="11"/>
  <c r="L80" i="11" s="1"/>
  <c r="J80" i="11"/>
  <c r="C80" i="11"/>
  <c r="K79" i="11"/>
  <c r="L79" i="11" s="1"/>
  <c r="J79" i="11"/>
  <c r="C79" i="11"/>
  <c r="K78" i="11"/>
  <c r="L78" i="11" s="1"/>
  <c r="J78" i="11"/>
  <c r="C78" i="11"/>
  <c r="K77" i="11"/>
  <c r="L77" i="11" s="1"/>
  <c r="J77" i="11"/>
  <c r="C77" i="11"/>
  <c r="K76" i="11"/>
  <c r="L76" i="11" s="1"/>
  <c r="J76" i="11"/>
  <c r="C76" i="11"/>
  <c r="K75" i="11"/>
  <c r="L75" i="11" s="1"/>
  <c r="J75" i="11"/>
  <c r="C75" i="11"/>
  <c r="K74" i="11"/>
  <c r="L74" i="11" s="1"/>
  <c r="J74" i="11"/>
  <c r="C74" i="11"/>
  <c r="K73" i="11"/>
  <c r="L73" i="11" s="1"/>
  <c r="J73" i="11"/>
  <c r="C73" i="11"/>
  <c r="K72" i="11"/>
  <c r="L72" i="11" s="1"/>
  <c r="J72" i="11"/>
  <c r="C72" i="11"/>
  <c r="K71" i="11"/>
  <c r="L71" i="11" s="1"/>
  <c r="J71" i="11"/>
  <c r="C71" i="11"/>
  <c r="K70" i="11"/>
  <c r="L70" i="11" s="1"/>
  <c r="J70" i="11"/>
  <c r="C70" i="11"/>
  <c r="K69" i="11"/>
  <c r="L69" i="11" s="1"/>
  <c r="J69" i="11"/>
  <c r="C69" i="11"/>
  <c r="K68" i="11"/>
  <c r="L68" i="11" s="1"/>
  <c r="J68" i="11"/>
  <c r="C68" i="11"/>
  <c r="K67" i="11"/>
  <c r="L67" i="11" s="1"/>
  <c r="J67" i="11"/>
  <c r="C67" i="11"/>
  <c r="K66" i="11"/>
  <c r="L66" i="11" s="1"/>
  <c r="J66" i="11"/>
  <c r="C66" i="11"/>
  <c r="K65" i="11"/>
  <c r="L65" i="11" s="1"/>
  <c r="J65" i="11"/>
  <c r="C65" i="11"/>
  <c r="K64" i="11"/>
  <c r="L64" i="11" s="1"/>
  <c r="J64" i="11"/>
  <c r="C64" i="11"/>
  <c r="K63" i="11"/>
  <c r="L63" i="11" s="1"/>
  <c r="J63" i="11"/>
  <c r="C63" i="11"/>
  <c r="K62" i="11"/>
  <c r="L62" i="11" s="1"/>
  <c r="J62" i="11"/>
  <c r="C62" i="11"/>
  <c r="K59" i="11"/>
  <c r="L59" i="11" s="1"/>
  <c r="J59" i="11"/>
  <c r="C59" i="11"/>
  <c r="K58" i="11" l="1"/>
  <c r="L58" i="11" s="1"/>
  <c r="J58" i="11"/>
  <c r="C58" i="11"/>
  <c r="K57" i="11"/>
  <c r="L57" i="11" s="1"/>
  <c r="J57" i="11"/>
  <c r="C57" i="11"/>
  <c r="K56" i="11"/>
  <c r="L56" i="11" s="1"/>
  <c r="J56" i="11"/>
  <c r="C56" i="11"/>
  <c r="K55" i="11"/>
  <c r="L55" i="11" s="1"/>
  <c r="J55" i="11"/>
  <c r="C55" i="11"/>
  <c r="K54" i="11"/>
  <c r="L54" i="11" s="1"/>
  <c r="J54" i="11"/>
  <c r="C54" i="11"/>
  <c r="K53" i="11"/>
  <c r="L53" i="11" s="1"/>
  <c r="J53" i="11"/>
  <c r="C53" i="11"/>
  <c r="K52" i="11"/>
  <c r="L52" i="11" s="1"/>
  <c r="J52" i="11"/>
  <c r="C52" i="11"/>
  <c r="K51" i="11"/>
  <c r="L51" i="11" s="1"/>
  <c r="J51" i="11"/>
  <c r="C51" i="11"/>
  <c r="K50" i="11"/>
  <c r="L50" i="11" s="1"/>
  <c r="J50" i="11"/>
  <c r="C50" i="11"/>
  <c r="K49" i="11"/>
  <c r="L49" i="11" s="1"/>
  <c r="J49" i="11"/>
  <c r="C49" i="11"/>
  <c r="K48" i="11"/>
  <c r="L48" i="11" s="1"/>
  <c r="J48" i="11"/>
  <c r="C48" i="11"/>
  <c r="K47" i="11"/>
  <c r="L47" i="11" s="1"/>
  <c r="J47" i="11"/>
  <c r="C47" i="11"/>
  <c r="K46" i="11"/>
  <c r="L46" i="11" s="1"/>
  <c r="J46" i="11"/>
  <c r="C46" i="11"/>
  <c r="K45" i="11"/>
  <c r="L45" i="11" s="1"/>
  <c r="J45" i="11"/>
  <c r="C45" i="11"/>
  <c r="K44" i="11"/>
  <c r="L44" i="11" s="1"/>
  <c r="J44" i="11"/>
  <c r="C44" i="11"/>
  <c r="K43" i="11"/>
  <c r="L43" i="11" s="1"/>
  <c r="J43" i="11"/>
  <c r="C43" i="11"/>
  <c r="K42" i="11"/>
  <c r="L42" i="11" s="1"/>
  <c r="J42" i="11"/>
  <c r="C42" i="11"/>
  <c r="K41" i="11"/>
  <c r="L41" i="11" s="1"/>
  <c r="J41" i="11"/>
  <c r="C41" i="11"/>
  <c r="K40" i="11"/>
  <c r="L40" i="11" s="1"/>
  <c r="J40" i="11"/>
  <c r="C40" i="11"/>
  <c r="K39" i="11"/>
  <c r="L39" i="11" s="1"/>
  <c r="J39" i="11"/>
  <c r="C39" i="11"/>
  <c r="K38" i="11"/>
  <c r="L38" i="11" s="1"/>
  <c r="J38" i="11"/>
  <c r="C38" i="11"/>
  <c r="K37" i="11"/>
  <c r="L37" i="11" s="1"/>
  <c r="J37" i="11"/>
  <c r="C37" i="11"/>
  <c r="K36" i="11"/>
  <c r="L36" i="11" s="1"/>
  <c r="J36" i="11"/>
  <c r="C36" i="11"/>
  <c r="K35" i="11"/>
  <c r="L35" i="11" s="1"/>
  <c r="J35" i="11"/>
  <c r="C35" i="11"/>
  <c r="K34" i="11"/>
  <c r="L34" i="11" s="1"/>
  <c r="J34" i="11"/>
  <c r="C34" i="11"/>
  <c r="K33" i="11"/>
  <c r="L33" i="11" s="1"/>
  <c r="J33" i="11"/>
  <c r="C33" i="11"/>
  <c r="K32" i="11"/>
  <c r="L32" i="11" s="1"/>
  <c r="J32" i="11"/>
  <c r="C32" i="11"/>
  <c r="K31" i="11"/>
  <c r="L31" i="11" s="1"/>
  <c r="J31" i="11"/>
  <c r="C31" i="11"/>
  <c r="K30" i="11"/>
  <c r="L30" i="11" s="1"/>
  <c r="J30" i="11"/>
  <c r="C30" i="11"/>
  <c r="K29" i="11"/>
  <c r="L29" i="11" s="1"/>
  <c r="J29" i="11"/>
  <c r="C29" i="11"/>
  <c r="K20" i="8" l="1"/>
  <c r="L20" i="8" s="1"/>
  <c r="J20" i="8"/>
  <c r="C20" i="8"/>
  <c r="K19" i="8"/>
  <c r="L19" i="8" s="1"/>
  <c r="J19" i="8"/>
  <c r="C19" i="8"/>
  <c r="K18" i="8"/>
  <c r="L18" i="8" s="1"/>
  <c r="J18" i="8"/>
  <c r="C18" i="8"/>
  <c r="K17" i="8"/>
  <c r="L17" i="8" s="1"/>
  <c r="J17" i="8"/>
  <c r="C17" i="8"/>
  <c r="K16" i="8"/>
  <c r="L16" i="8" s="1"/>
  <c r="J16" i="8"/>
  <c r="C16" i="8"/>
  <c r="K15" i="8"/>
  <c r="L15" i="8" s="1"/>
  <c r="J15" i="8"/>
  <c r="C15" i="8"/>
  <c r="K14" i="8"/>
  <c r="L14" i="8" s="1"/>
  <c r="J14" i="8"/>
  <c r="C14" i="8"/>
  <c r="K13" i="8"/>
  <c r="L13" i="8" s="1"/>
  <c r="J13" i="8"/>
  <c r="C13" i="8"/>
  <c r="K12" i="8"/>
  <c r="L12" i="8" s="1"/>
  <c r="J12" i="8"/>
  <c r="C12" i="8"/>
  <c r="K11" i="8"/>
  <c r="L11" i="8" s="1"/>
  <c r="J11" i="8"/>
  <c r="C11" i="8"/>
  <c r="K10" i="8"/>
  <c r="L10" i="8" s="1"/>
  <c r="J10" i="8"/>
  <c r="C10" i="8"/>
  <c r="K9" i="8"/>
  <c r="L9" i="8" s="1"/>
  <c r="J9" i="8"/>
  <c r="C9" i="8"/>
  <c r="L8" i="8"/>
  <c r="J8" i="8"/>
  <c r="C8" i="8"/>
  <c r="K7" i="8"/>
  <c r="L7" i="8" s="1"/>
  <c r="J7" i="8"/>
  <c r="C7" i="8"/>
  <c r="K6" i="8"/>
  <c r="L6" i="8" s="1"/>
  <c r="J6" i="8"/>
  <c r="C6" i="8"/>
  <c r="K28" i="11"/>
  <c r="L28" i="11" s="1"/>
  <c r="J28" i="11"/>
  <c r="C28" i="11"/>
  <c r="K27" i="11"/>
  <c r="L27" i="11" s="1"/>
  <c r="J27" i="11"/>
  <c r="K26" i="11"/>
  <c r="L26" i="11" s="1"/>
  <c r="J26" i="11"/>
  <c r="C26" i="11"/>
  <c r="K25" i="11"/>
  <c r="L25" i="11" s="1"/>
  <c r="J25" i="11"/>
  <c r="C25" i="11"/>
  <c r="K24" i="11"/>
  <c r="L24" i="11" s="1"/>
  <c r="J24" i="11"/>
  <c r="C24" i="11"/>
  <c r="K23" i="11"/>
  <c r="L23" i="11" s="1"/>
  <c r="J23" i="11"/>
  <c r="C23" i="11"/>
  <c r="K22" i="11"/>
  <c r="L22" i="11" s="1"/>
  <c r="J22" i="11"/>
  <c r="C22" i="11"/>
  <c r="K21" i="11"/>
  <c r="L21" i="11" s="1"/>
  <c r="J21" i="11"/>
  <c r="C21" i="11"/>
  <c r="K20" i="11"/>
  <c r="L20" i="11" s="1"/>
  <c r="J20" i="11"/>
  <c r="C20" i="11"/>
  <c r="K19" i="11"/>
  <c r="L19" i="11" s="1"/>
  <c r="J19" i="11"/>
  <c r="C19" i="11"/>
  <c r="K18" i="11"/>
  <c r="L18" i="11" s="1"/>
  <c r="J18" i="11"/>
  <c r="C18" i="11"/>
  <c r="K17" i="11"/>
  <c r="L17" i="11" s="1"/>
  <c r="J17" i="11"/>
  <c r="C17" i="11"/>
  <c r="K16" i="11"/>
  <c r="L16" i="11" s="1"/>
  <c r="J16" i="11"/>
  <c r="C16" i="11"/>
  <c r="K15" i="11"/>
  <c r="L15" i="11" s="1"/>
  <c r="J15" i="11"/>
  <c r="C15" i="11"/>
  <c r="K14" i="11"/>
  <c r="L14" i="11" s="1"/>
  <c r="J14" i="11"/>
  <c r="C14" i="11"/>
  <c r="K13" i="11"/>
  <c r="L13" i="11" s="1"/>
  <c r="J13" i="11"/>
  <c r="C13" i="11"/>
  <c r="K12" i="11"/>
  <c r="L12" i="11" s="1"/>
  <c r="J12" i="11"/>
  <c r="C12" i="11"/>
  <c r="K11" i="11"/>
  <c r="L11" i="11" s="1"/>
  <c r="J11" i="11"/>
  <c r="C11" i="11"/>
  <c r="K10" i="11"/>
  <c r="L10" i="11" s="1"/>
  <c r="J10" i="11"/>
  <c r="C10" i="11"/>
  <c r="K9" i="11"/>
  <c r="L9" i="11" s="1"/>
  <c r="J9" i="11"/>
  <c r="C9" i="11"/>
  <c r="K8" i="11"/>
  <c r="L8" i="11" s="1"/>
  <c r="J8" i="11"/>
  <c r="C8" i="11"/>
  <c r="K7" i="11"/>
  <c r="L7" i="11" s="1"/>
  <c r="J7" i="11"/>
  <c r="C7" i="11"/>
  <c r="K6" i="11"/>
  <c r="L6" i="11" s="1"/>
  <c r="C6" i="11"/>
  <c r="C3" i="11" l="1"/>
  <c r="B10" i="13" s="1"/>
  <c r="L3" i="11"/>
  <c r="C10" i="13" s="1"/>
  <c r="K485" i="9"/>
  <c r="L485" i="9" s="1"/>
  <c r="J485" i="9"/>
  <c r="C485" i="9"/>
  <c r="K484" i="9"/>
  <c r="L484" i="9" s="1"/>
  <c r="J484" i="9"/>
  <c r="C484" i="9"/>
  <c r="K483" i="9"/>
  <c r="L483" i="9" s="1"/>
  <c r="J483" i="9"/>
  <c r="C483" i="9"/>
  <c r="K482" i="9"/>
  <c r="L482" i="9" s="1"/>
  <c r="J482" i="9"/>
  <c r="C482" i="9"/>
  <c r="K481" i="9"/>
  <c r="L481" i="9" s="1"/>
  <c r="J481" i="9"/>
  <c r="C481" i="9"/>
  <c r="K480" i="9"/>
  <c r="L480" i="9" s="1"/>
  <c r="J480" i="9"/>
  <c r="C480" i="9"/>
  <c r="K479" i="9"/>
  <c r="L479" i="9" s="1"/>
  <c r="J479" i="9"/>
  <c r="C479" i="9"/>
  <c r="E10" i="13" l="1"/>
  <c r="N3" i="11"/>
  <c r="K478" i="9" l="1"/>
  <c r="L478" i="9" s="1"/>
  <c r="J478" i="9"/>
  <c r="C478" i="9"/>
  <c r="K477" i="9"/>
  <c r="L477" i="9" s="1"/>
  <c r="J477" i="9"/>
  <c r="C477" i="9"/>
  <c r="K476" i="9"/>
  <c r="L476" i="9" s="1"/>
  <c r="J476" i="9"/>
  <c r="C476" i="9"/>
  <c r="K475" i="9"/>
  <c r="L475" i="9" s="1"/>
  <c r="J475" i="9"/>
  <c r="C475" i="9"/>
  <c r="K474" i="9"/>
  <c r="L474" i="9" s="1"/>
  <c r="J474" i="9"/>
  <c r="C474" i="9"/>
  <c r="K473" i="9"/>
  <c r="L473" i="9" s="1"/>
  <c r="J473" i="9"/>
  <c r="K472" i="9"/>
  <c r="L472" i="9" s="1"/>
  <c r="J472" i="9"/>
  <c r="C472" i="9"/>
  <c r="K471" i="9"/>
  <c r="L471" i="9" s="1"/>
  <c r="J471" i="9"/>
  <c r="C471" i="9"/>
  <c r="L470" i="9"/>
  <c r="K470" i="9"/>
  <c r="J470" i="9"/>
  <c r="C470" i="9"/>
  <c r="K469" i="9"/>
  <c r="L469" i="9" s="1"/>
  <c r="J469" i="9"/>
  <c r="C469" i="9"/>
  <c r="K468" i="9"/>
  <c r="L468" i="9" s="1"/>
  <c r="J468" i="9"/>
  <c r="C468" i="9"/>
  <c r="K467" i="9"/>
  <c r="L467" i="9" s="1"/>
  <c r="J467" i="9"/>
  <c r="C467" i="9"/>
  <c r="K466" i="9"/>
  <c r="L466" i="9" s="1"/>
  <c r="J466" i="9"/>
  <c r="C466" i="9"/>
  <c r="K465" i="9"/>
  <c r="L465" i="9" s="1"/>
  <c r="J465" i="9"/>
  <c r="C465" i="9"/>
  <c r="K464" i="9"/>
  <c r="L464" i="9" s="1"/>
  <c r="J464" i="9"/>
  <c r="C464" i="9"/>
  <c r="K463" i="9"/>
  <c r="L463" i="9" s="1"/>
  <c r="J463" i="9"/>
  <c r="C463" i="9"/>
  <c r="K462" i="9"/>
  <c r="L462" i="9" s="1"/>
  <c r="J462" i="9"/>
  <c r="C462" i="9"/>
  <c r="K461" i="9"/>
  <c r="L461" i="9" s="1"/>
  <c r="J461" i="9"/>
  <c r="C461" i="9"/>
  <c r="K460" i="9"/>
  <c r="L460" i="9" s="1"/>
  <c r="J460" i="9"/>
  <c r="C460" i="9"/>
  <c r="K459" i="9"/>
  <c r="L459" i="9" s="1"/>
  <c r="J459" i="9"/>
  <c r="C459" i="9"/>
  <c r="K458" i="9"/>
  <c r="L458" i="9" s="1"/>
  <c r="J458" i="9"/>
  <c r="C458" i="9"/>
  <c r="K457" i="9"/>
  <c r="L457" i="9" s="1"/>
  <c r="J457" i="9"/>
  <c r="C457" i="9"/>
  <c r="K456" i="9"/>
  <c r="L456" i="9" s="1"/>
  <c r="J456" i="9"/>
  <c r="C456" i="9"/>
  <c r="K455" i="9"/>
  <c r="L455" i="9" s="1"/>
  <c r="J455" i="9"/>
  <c r="C455" i="9"/>
  <c r="K454" i="9"/>
  <c r="L454" i="9" s="1"/>
  <c r="J454" i="9"/>
  <c r="C454" i="9"/>
  <c r="K453" i="9"/>
  <c r="L453" i="9" s="1"/>
  <c r="J453" i="9"/>
  <c r="C453" i="9"/>
  <c r="K452" i="9"/>
  <c r="L452" i="9" s="1"/>
  <c r="J452" i="9"/>
  <c r="C452" i="9"/>
  <c r="K451" i="9"/>
  <c r="L451" i="9" s="1"/>
  <c r="J451" i="9"/>
  <c r="C451" i="9"/>
  <c r="K450" i="9"/>
  <c r="L450" i="9" s="1"/>
  <c r="J450" i="9"/>
  <c r="C450" i="9"/>
  <c r="K449" i="9"/>
  <c r="L449" i="9" s="1"/>
  <c r="J449" i="9"/>
  <c r="C449" i="9"/>
  <c r="C322" i="9" l="1"/>
  <c r="C188" i="9" l="1"/>
  <c r="C401" i="9" l="1"/>
  <c r="K448" i="9" l="1"/>
  <c r="L448" i="9" s="1"/>
  <c r="J448" i="9"/>
  <c r="C448" i="9"/>
  <c r="K447" i="9"/>
  <c r="L447" i="9" s="1"/>
  <c r="J447" i="9"/>
  <c r="C447" i="9"/>
  <c r="K446" i="9"/>
  <c r="L446" i="9" s="1"/>
  <c r="J446" i="9"/>
  <c r="C446" i="9"/>
  <c r="K445" i="9"/>
  <c r="L445" i="9" s="1"/>
  <c r="J445" i="9"/>
  <c r="C445" i="9"/>
  <c r="K444" i="9"/>
  <c r="L444" i="9" s="1"/>
  <c r="J444" i="9"/>
  <c r="C444" i="9"/>
  <c r="K443" i="9"/>
  <c r="L443" i="9" s="1"/>
  <c r="J443" i="9"/>
  <c r="C443" i="9"/>
  <c r="K442" i="9"/>
  <c r="L442" i="9" s="1"/>
  <c r="J442" i="9"/>
  <c r="C442" i="9"/>
  <c r="K441" i="9"/>
  <c r="L441" i="9" s="1"/>
  <c r="J441" i="9"/>
  <c r="C441" i="9"/>
  <c r="K440" i="9"/>
  <c r="L440" i="9" s="1"/>
  <c r="J440" i="9"/>
  <c r="C440" i="9"/>
  <c r="K439" i="9"/>
  <c r="L439" i="9" s="1"/>
  <c r="J439" i="9"/>
  <c r="C439" i="9"/>
  <c r="K438" i="9"/>
  <c r="L438" i="9" s="1"/>
  <c r="J438" i="9"/>
  <c r="C438" i="9"/>
  <c r="K437" i="9"/>
  <c r="L437" i="9" s="1"/>
  <c r="J437" i="9"/>
  <c r="C437" i="9"/>
  <c r="K436" i="9"/>
  <c r="L436" i="9" s="1"/>
  <c r="J436" i="9"/>
  <c r="C436" i="9"/>
  <c r="K435" i="9"/>
  <c r="L435" i="9" s="1"/>
  <c r="J435" i="9"/>
  <c r="C435" i="9"/>
  <c r="K434" i="9"/>
  <c r="L434" i="9" s="1"/>
  <c r="J434" i="9"/>
  <c r="C434" i="9"/>
  <c r="K433" i="9"/>
  <c r="L433" i="9" s="1"/>
  <c r="J433" i="9"/>
  <c r="C433" i="9"/>
  <c r="K432" i="9"/>
  <c r="L432" i="9" s="1"/>
  <c r="J432" i="9"/>
  <c r="C432" i="9"/>
  <c r="K431" i="9"/>
  <c r="L431" i="9" s="1"/>
  <c r="J431" i="9"/>
  <c r="C431" i="9"/>
  <c r="K430" i="9"/>
  <c r="L430" i="9" s="1"/>
  <c r="J430" i="9"/>
  <c r="C430" i="9"/>
  <c r="K429" i="9"/>
  <c r="L429" i="9" s="1"/>
  <c r="J429" i="9"/>
  <c r="C429" i="9"/>
  <c r="K428" i="9"/>
  <c r="L428" i="9" s="1"/>
  <c r="J428" i="9"/>
  <c r="C428" i="9"/>
  <c r="K427" i="9"/>
  <c r="L427" i="9" s="1"/>
  <c r="J427" i="9"/>
  <c r="C427" i="9"/>
  <c r="K426" i="9"/>
  <c r="L426" i="9" s="1"/>
  <c r="J426" i="9"/>
  <c r="C426" i="9"/>
  <c r="K425" i="9"/>
  <c r="L425" i="9" s="1"/>
  <c r="J425" i="9"/>
  <c r="C425" i="9"/>
  <c r="K424" i="9"/>
  <c r="L424" i="9" s="1"/>
  <c r="J424" i="9"/>
  <c r="C424" i="9"/>
  <c r="K423" i="9"/>
  <c r="L423" i="9" s="1"/>
  <c r="J423" i="9"/>
  <c r="C423" i="9"/>
  <c r="K422" i="9"/>
  <c r="L422" i="9" s="1"/>
  <c r="J422" i="9"/>
  <c r="C422" i="9"/>
  <c r="K421" i="9"/>
  <c r="L421" i="9" s="1"/>
  <c r="J421" i="9"/>
  <c r="C421" i="9"/>
  <c r="K420" i="9"/>
  <c r="L420" i="9" s="1"/>
  <c r="J420" i="9"/>
  <c r="C420" i="9"/>
  <c r="K419" i="9"/>
  <c r="L419" i="9" s="1"/>
  <c r="J419" i="9"/>
  <c r="C419" i="9"/>
  <c r="K418" i="9"/>
  <c r="L418" i="9" s="1"/>
  <c r="J418" i="9"/>
  <c r="C418" i="9"/>
  <c r="K417" i="9"/>
  <c r="L417" i="9" s="1"/>
  <c r="J417" i="9"/>
  <c r="C417" i="9"/>
  <c r="K416" i="9"/>
  <c r="L416" i="9" s="1"/>
  <c r="J416" i="9"/>
  <c r="C416" i="9"/>
  <c r="K415" i="9"/>
  <c r="L415" i="9" s="1"/>
  <c r="J415" i="9"/>
  <c r="C415" i="9"/>
  <c r="K414" i="9" l="1"/>
  <c r="L414" i="9" s="1"/>
  <c r="J414" i="9"/>
  <c r="C414" i="9"/>
  <c r="K413" i="9"/>
  <c r="L413" i="9" s="1"/>
  <c r="J413" i="9"/>
  <c r="C413" i="9"/>
  <c r="K412" i="9"/>
  <c r="L412" i="9" s="1"/>
  <c r="J412" i="9"/>
  <c r="C412" i="9"/>
  <c r="K411" i="9"/>
  <c r="L411" i="9" s="1"/>
  <c r="J411" i="9"/>
  <c r="C411" i="9"/>
  <c r="K410" i="9"/>
  <c r="L410" i="9" s="1"/>
  <c r="J410" i="9"/>
  <c r="C410" i="9"/>
  <c r="K409" i="9"/>
  <c r="L409" i="9" s="1"/>
  <c r="J409" i="9"/>
  <c r="C409" i="9"/>
  <c r="K408" i="9"/>
  <c r="L408" i="9" s="1"/>
  <c r="J408" i="9"/>
  <c r="C408" i="9"/>
  <c r="K407" i="9"/>
  <c r="L407" i="9" s="1"/>
  <c r="J407" i="9"/>
  <c r="C407" i="9"/>
  <c r="K406" i="9"/>
  <c r="L406" i="9" s="1"/>
  <c r="J406" i="9"/>
  <c r="C406" i="9"/>
  <c r="K405" i="9"/>
  <c r="L405" i="9" s="1"/>
  <c r="J405" i="9"/>
  <c r="C405" i="9"/>
  <c r="K404" i="9"/>
  <c r="L404" i="9" s="1"/>
  <c r="J404" i="9"/>
  <c r="C404" i="9"/>
  <c r="K403" i="9"/>
  <c r="L403" i="9" s="1"/>
  <c r="J403" i="9"/>
  <c r="K402" i="9"/>
  <c r="L402" i="9" s="1"/>
  <c r="J402" i="9"/>
  <c r="K401" i="9"/>
  <c r="L401" i="9" s="1"/>
  <c r="J401" i="9"/>
  <c r="K400" i="9"/>
  <c r="L400" i="9" s="1"/>
  <c r="J400" i="9"/>
  <c r="K399" i="9"/>
  <c r="L399" i="9" s="1"/>
  <c r="J399" i="9"/>
  <c r="K398" i="9"/>
  <c r="L398" i="9" s="1"/>
  <c r="J398" i="9"/>
  <c r="C398" i="9"/>
  <c r="K397" i="9"/>
  <c r="L397" i="9" s="1"/>
  <c r="J397" i="9"/>
  <c r="C397" i="9"/>
  <c r="K396" i="9"/>
  <c r="L396" i="9" s="1"/>
  <c r="J396" i="9"/>
  <c r="C396" i="9"/>
  <c r="K395" i="9"/>
  <c r="L395" i="9" s="1"/>
  <c r="J395" i="9"/>
  <c r="C395" i="9"/>
  <c r="K394" i="9"/>
  <c r="L394" i="9" s="1"/>
  <c r="J394" i="9"/>
  <c r="C394" i="9"/>
  <c r="K393" i="9"/>
  <c r="L393" i="9" s="1"/>
  <c r="J393" i="9"/>
  <c r="C393" i="9"/>
  <c r="K392" i="9"/>
  <c r="L392" i="9" s="1"/>
  <c r="J392" i="9"/>
  <c r="C392" i="9"/>
  <c r="K391" i="9"/>
  <c r="L391" i="9" s="1"/>
  <c r="J391" i="9"/>
  <c r="C391" i="9"/>
  <c r="K390" i="9"/>
  <c r="L390" i="9" s="1"/>
  <c r="J390" i="9"/>
  <c r="C390" i="9"/>
  <c r="K389" i="9"/>
  <c r="L389" i="9" s="1"/>
  <c r="J389" i="9"/>
  <c r="C389" i="9"/>
  <c r="K388" i="9" l="1"/>
  <c r="L388" i="9" s="1"/>
  <c r="J388" i="9"/>
  <c r="C388" i="9"/>
  <c r="K387" i="9"/>
  <c r="L387" i="9" s="1"/>
  <c r="J387" i="9"/>
  <c r="C387" i="9"/>
  <c r="K386" i="9"/>
  <c r="L386" i="9" s="1"/>
  <c r="J386" i="9"/>
  <c r="C386" i="9"/>
  <c r="K385" i="9"/>
  <c r="L385" i="9" s="1"/>
  <c r="J385" i="9"/>
  <c r="C385" i="9"/>
  <c r="K384" i="9"/>
  <c r="L384" i="9" s="1"/>
  <c r="J384" i="9"/>
  <c r="C384" i="9"/>
  <c r="K383" i="9"/>
  <c r="L383" i="9" s="1"/>
  <c r="J383" i="9"/>
  <c r="C383" i="9"/>
  <c r="K382" i="9"/>
  <c r="L382" i="9" s="1"/>
  <c r="J382" i="9"/>
  <c r="C382" i="9"/>
  <c r="K381" i="9"/>
  <c r="L381" i="9" s="1"/>
  <c r="J381" i="9"/>
  <c r="C381" i="9"/>
  <c r="K380" i="9"/>
  <c r="L380" i="9" s="1"/>
  <c r="J380" i="9"/>
  <c r="C380" i="9"/>
  <c r="K379" i="9"/>
  <c r="L379" i="9" s="1"/>
  <c r="J379" i="9"/>
  <c r="C379" i="9"/>
  <c r="K378" i="9"/>
  <c r="L378" i="9" s="1"/>
  <c r="J378" i="9"/>
  <c r="C378" i="9"/>
  <c r="K377" i="9"/>
  <c r="L377" i="9" s="1"/>
  <c r="J377" i="9"/>
  <c r="C377" i="9"/>
  <c r="K376" i="9"/>
  <c r="L376" i="9" s="1"/>
  <c r="J376" i="9"/>
  <c r="C376" i="9"/>
  <c r="K375" i="9"/>
  <c r="L375" i="9" s="1"/>
  <c r="J375" i="9"/>
  <c r="C375" i="9"/>
  <c r="K374" i="9"/>
  <c r="L374" i="9" s="1"/>
  <c r="J374" i="9"/>
  <c r="C374" i="9"/>
  <c r="K373" i="9"/>
  <c r="L373" i="9" s="1"/>
  <c r="J373" i="9"/>
  <c r="C373" i="9"/>
  <c r="K372" i="9"/>
  <c r="L372" i="9" s="1"/>
  <c r="J372" i="9"/>
  <c r="C372" i="9"/>
  <c r="K371" i="9"/>
  <c r="L371" i="9" s="1"/>
  <c r="J371" i="9"/>
  <c r="C371" i="9"/>
  <c r="K370" i="9"/>
  <c r="L370" i="9" s="1"/>
  <c r="J370" i="9"/>
  <c r="C370" i="9"/>
  <c r="K369" i="9"/>
  <c r="L369" i="9" s="1"/>
  <c r="J369" i="9"/>
  <c r="C369" i="9"/>
  <c r="K368" i="9"/>
  <c r="L368" i="9" s="1"/>
  <c r="J368" i="9"/>
  <c r="C368" i="9"/>
  <c r="K367" i="9"/>
  <c r="L367" i="9" s="1"/>
  <c r="J367" i="9"/>
  <c r="C367" i="9"/>
  <c r="K366" i="9"/>
  <c r="L366" i="9" s="1"/>
  <c r="J366" i="9"/>
  <c r="C366" i="9"/>
  <c r="K365" i="9"/>
  <c r="L365" i="9" s="1"/>
  <c r="J365" i="9"/>
  <c r="C365" i="9"/>
  <c r="K364" i="9"/>
  <c r="L364" i="9" s="1"/>
  <c r="J364" i="9"/>
  <c r="C364" i="9"/>
  <c r="K363" i="9"/>
  <c r="L363" i="9" s="1"/>
  <c r="J363" i="9"/>
  <c r="C363" i="9"/>
  <c r="K362" i="9"/>
  <c r="L362" i="9" s="1"/>
  <c r="J362" i="9"/>
  <c r="C362" i="9"/>
  <c r="K361" i="9"/>
  <c r="L361" i="9" s="1"/>
  <c r="J361" i="9"/>
  <c r="C361" i="9"/>
  <c r="K360" i="9"/>
  <c r="L360" i="9" s="1"/>
  <c r="J360" i="9"/>
  <c r="C360" i="9"/>
  <c r="K359" i="9"/>
  <c r="L359" i="9" s="1"/>
  <c r="J359" i="9"/>
  <c r="C323" i="9" l="1"/>
  <c r="K358" i="9" l="1"/>
  <c r="L358" i="9" s="1"/>
  <c r="J358" i="9"/>
  <c r="C358" i="9"/>
  <c r="K357" i="9"/>
  <c r="L357" i="9" s="1"/>
  <c r="J357" i="9"/>
  <c r="C357" i="9"/>
  <c r="K356" i="9"/>
  <c r="L356" i="9" s="1"/>
  <c r="J356" i="9"/>
  <c r="C356" i="9"/>
  <c r="K355" i="9"/>
  <c r="L355" i="9" s="1"/>
  <c r="J355" i="9"/>
  <c r="C355" i="9"/>
  <c r="K354" i="9"/>
  <c r="L354" i="9" s="1"/>
  <c r="J354" i="9"/>
  <c r="C354" i="9"/>
  <c r="K353" i="9"/>
  <c r="L353" i="9" s="1"/>
  <c r="J353" i="9"/>
  <c r="K352" i="9"/>
  <c r="L352" i="9" s="1"/>
  <c r="J352" i="9"/>
  <c r="C352" i="9"/>
  <c r="K351" i="9"/>
  <c r="L351" i="9" s="1"/>
  <c r="J351" i="9"/>
  <c r="C351" i="9"/>
  <c r="K350" i="9"/>
  <c r="L350" i="9" s="1"/>
  <c r="J350" i="9"/>
  <c r="C350" i="9"/>
  <c r="K349" i="9"/>
  <c r="L349" i="9" s="1"/>
  <c r="J349" i="9"/>
  <c r="C349" i="9"/>
  <c r="K348" i="9"/>
  <c r="L348" i="9" s="1"/>
  <c r="J348" i="9"/>
  <c r="C348" i="9"/>
  <c r="K347" i="9"/>
  <c r="L347" i="9" s="1"/>
  <c r="J347" i="9"/>
  <c r="C347" i="9"/>
  <c r="K346" i="9"/>
  <c r="L346" i="9" s="1"/>
  <c r="J346" i="9"/>
  <c r="C346" i="9"/>
  <c r="K345" i="9"/>
  <c r="L345" i="9" s="1"/>
  <c r="J345" i="9"/>
  <c r="C345" i="9"/>
  <c r="K344" i="9"/>
  <c r="L344" i="9" s="1"/>
  <c r="J344" i="9"/>
  <c r="C344" i="9"/>
  <c r="K343" i="9"/>
  <c r="L343" i="9" s="1"/>
  <c r="J343" i="9"/>
  <c r="C343" i="9"/>
  <c r="K342" i="9"/>
  <c r="L342" i="9" s="1"/>
  <c r="J342" i="9"/>
  <c r="C342" i="9"/>
  <c r="K341" i="9"/>
  <c r="L341" i="9" s="1"/>
  <c r="J341" i="9"/>
  <c r="C341" i="9"/>
  <c r="K340" i="9"/>
  <c r="L340" i="9" s="1"/>
  <c r="J340" i="9"/>
  <c r="C340" i="9"/>
  <c r="K339" i="9"/>
  <c r="L339" i="9" s="1"/>
  <c r="J339" i="9"/>
  <c r="C339" i="9"/>
  <c r="K338" i="9"/>
  <c r="L338" i="9" s="1"/>
  <c r="J338" i="9"/>
  <c r="C338" i="9"/>
  <c r="K337" i="9"/>
  <c r="L337" i="9" s="1"/>
  <c r="J337" i="9"/>
  <c r="C337" i="9"/>
  <c r="K336" i="9"/>
  <c r="L336" i="9" s="1"/>
  <c r="J336" i="9"/>
  <c r="C336" i="9"/>
  <c r="K335" i="9"/>
  <c r="L335" i="9" s="1"/>
  <c r="J335" i="9"/>
  <c r="C335" i="9"/>
  <c r="K334" i="9"/>
  <c r="L334" i="9" s="1"/>
  <c r="J334" i="9"/>
  <c r="C334" i="9"/>
  <c r="K333" i="9"/>
  <c r="L333" i="9" s="1"/>
  <c r="J333" i="9"/>
  <c r="C333" i="9"/>
  <c r="K332" i="9"/>
  <c r="L332" i="9" s="1"/>
  <c r="J332" i="9"/>
  <c r="C332" i="9"/>
  <c r="K331" i="9"/>
  <c r="L331" i="9" s="1"/>
  <c r="J331" i="9"/>
  <c r="C331" i="9"/>
  <c r="K330" i="9"/>
  <c r="L330" i="9" s="1"/>
  <c r="J330" i="9"/>
  <c r="C330" i="9"/>
  <c r="K329" i="9"/>
  <c r="L329" i="9" s="1"/>
  <c r="J329" i="9"/>
  <c r="C329" i="9"/>
  <c r="K328" i="9" l="1"/>
  <c r="L328" i="9" s="1"/>
  <c r="J328" i="9"/>
  <c r="C328" i="9"/>
  <c r="K327" i="9"/>
  <c r="L327" i="9" s="1"/>
  <c r="J327" i="9"/>
  <c r="C327" i="9"/>
  <c r="K326" i="9"/>
  <c r="L326" i="9" s="1"/>
  <c r="J326" i="9"/>
  <c r="C326" i="9"/>
  <c r="K325" i="9"/>
  <c r="L325" i="9" s="1"/>
  <c r="J325" i="9"/>
  <c r="C325" i="9"/>
  <c r="K324" i="9"/>
  <c r="L324" i="9" s="1"/>
  <c r="J324" i="9"/>
  <c r="C324" i="9"/>
  <c r="K323" i="9"/>
  <c r="L323" i="9" s="1"/>
  <c r="J323" i="9"/>
  <c r="K322" i="9"/>
  <c r="L322" i="9" s="1"/>
  <c r="J322" i="9"/>
  <c r="K321" i="9"/>
  <c r="L321" i="9" s="1"/>
  <c r="J321" i="9"/>
  <c r="C321" i="9"/>
  <c r="K320" i="9"/>
  <c r="L320" i="9" s="1"/>
  <c r="J320" i="9"/>
  <c r="C320" i="9"/>
  <c r="K319" i="9"/>
  <c r="L319" i="9" s="1"/>
  <c r="J319" i="9"/>
  <c r="C319" i="9"/>
  <c r="K296" i="9" l="1"/>
  <c r="L296" i="9" s="1"/>
  <c r="J296" i="9"/>
  <c r="C296" i="9"/>
  <c r="K318" i="9" l="1"/>
  <c r="L318" i="9" s="1"/>
  <c r="J318" i="9"/>
  <c r="C318" i="9"/>
  <c r="L317" i="9"/>
  <c r="K317" i="9"/>
  <c r="J317" i="9"/>
  <c r="C317" i="9"/>
  <c r="K316" i="9"/>
  <c r="L316" i="9" s="1"/>
  <c r="J316" i="9"/>
  <c r="C316" i="9"/>
  <c r="K315" i="9"/>
  <c r="L315" i="9" s="1"/>
  <c r="J315" i="9"/>
  <c r="C315" i="9"/>
  <c r="K314" i="9"/>
  <c r="L314" i="9" s="1"/>
  <c r="J314" i="9"/>
  <c r="C314" i="9"/>
  <c r="K313" i="9"/>
  <c r="L313" i="9" s="1"/>
  <c r="J313" i="9"/>
  <c r="C313" i="9"/>
  <c r="K312" i="9"/>
  <c r="L312" i="9" s="1"/>
  <c r="J312" i="9"/>
  <c r="C312" i="9"/>
  <c r="K311" i="9"/>
  <c r="L311" i="9" s="1"/>
  <c r="J311" i="9"/>
  <c r="C311" i="9"/>
  <c r="K310" i="9"/>
  <c r="L310" i="9" s="1"/>
  <c r="J310" i="9"/>
  <c r="C310" i="9"/>
  <c r="K309" i="9"/>
  <c r="L309" i="9" s="1"/>
  <c r="J309" i="9"/>
  <c r="C309" i="9"/>
  <c r="K308" i="9"/>
  <c r="L308" i="9" s="1"/>
  <c r="J308" i="9"/>
  <c r="C308" i="9"/>
  <c r="K307" i="9"/>
  <c r="L307" i="9" s="1"/>
  <c r="J307" i="9"/>
  <c r="C307" i="9"/>
  <c r="K306" i="9"/>
  <c r="L306" i="9" s="1"/>
  <c r="J306" i="9"/>
  <c r="C306" i="9"/>
  <c r="K305" i="9"/>
  <c r="L305" i="9" s="1"/>
  <c r="J305" i="9"/>
  <c r="C305" i="9"/>
  <c r="K304" i="9"/>
  <c r="L304" i="9" s="1"/>
  <c r="J304" i="9"/>
  <c r="C304" i="9"/>
  <c r="K303" i="9"/>
  <c r="L303" i="9" s="1"/>
  <c r="J303" i="9"/>
  <c r="C303" i="9"/>
  <c r="K302" i="9"/>
  <c r="L302" i="9" s="1"/>
  <c r="J302" i="9"/>
  <c r="C302" i="9"/>
  <c r="K301" i="9"/>
  <c r="L301" i="9" s="1"/>
  <c r="J301" i="9"/>
  <c r="C301" i="9"/>
  <c r="K300" i="9"/>
  <c r="L300" i="9" s="1"/>
  <c r="J300" i="9"/>
  <c r="C300" i="9"/>
  <c r="K299" i="9"/>
  <c r="L299" i="9" s="1"/>
  <c r="J299" i="9"/>
  <c r="C299" i="9"/>
  <c r="K284" i="9" l="1"/>
  <c r="L284" i="9" s="1"/>
  <c r="C284" i="9"/>
  <c r="K298" i="9" l="1"/>
  <c r="L298" i="9" s="1"/>
  <c r="J298" i="9"/>
  <c r="C298" i="9"/>
  <c r="K297" i="9"/>
  <c r="L297" i="9" s="1"/>
  <c r="J297" i="9"/>
  <c r="C297" i="9"/>
  <c r="K295" i="9"/>
  <c r="L295" i="9" s="1"/>
  <c r="J295" i="9"/>
  <c r="C295" i="9"/>
  <c r="K294" i="9"/>
  <c r="L294" i="9" s="1"/>
  <c r="J294" i="9"/>
  <c r="C294" i="9"/>
  <c r="K293" i="9"/>
  <c r="L293" i="9" s="1"/>
  <c r="J293" i="9"/>
  <c r="C293" i="9"/>
  <c r="K292" i="9"/>
  <c r="L292" i="9" s="1"/>
  <c r="J292" i="9"/>
  <c r="C292" i="9"/>
  <c r="K291" i="9"/>
  <c r="L291" i="9" s="1"/>
  <c r="J291" i="9"/>
  <c r="C291" i="9"/>
  <c r="K290" i="9"/>
  <c r="L290" i="9" s="1"/>
  <c r="J290" i="9"/>
  <c r="C290" i="9"/>
  <c r="K289" i="9"/>
  <c r="L289" i="9" s="1"/>
  <c r="J289" i="9"/>
  <c r="C289" i="9"/>
  <c r="K288" i="9"/>
  <c r="L288" i="9" s="1"/>
  <c r="J288" i="9"/>
  <c r="C288" i="9"/>
  <c r="K287" i="9"/>
  <c r="L287" i="9" s="1"/>
  <c r="J287" i="9"/>
  <c r="C287" i="9"/>
  <c r="K286" i="9"/>
  <c r="L286" i="9" s="1"/>
  <c r="J286" i="9"/>
  <c r="C286" i="9"/>
  <c r="K283" i="9"/>
  <c r="L283" i="9" s="1"/>
  <c r="J283" i="9"/>
  <c r="C283" i="9"/>
  <c r="K282" i="9"/>
  <c r="L282" i="9" s="1"/>
  <c r="J282" i="9"/>
  <c r="C282" i="9"/>
  <c r="K281" i="9"/>
  <c r="L281" i="9" s="1"/>
  <c r="J281" i="9"/>
  <c r="C281" i="9"/>
  <c r="K280" i="9"/>
  <c r="L280" i="9" s="1"/>
  <c r="J280" i="9"/>
  <c r="C280" i="9"/>
  <c r="K279" i="9"/>
  <c r="L279" i="9" s="1"/>
  <c r="J279" i="9"/>
  <c r="C279" i="9"/>
  <c r="K278" i="9"/>
  <c r="L278" i="9" s="1"/>
  <c r="J278" i="9"/>
  <c r="C278" i="9"/>
  <c r="K277" i="9"/>
  <c r="L277" i="9" s="1"/>
  <c r="J277" i="9"/>
  <c r="C277" i="9"/>
  <c r="K276" i="9"/>
  <c r="L276" i="9" s="1"/>
  <c r="J276" i="9"/>
  <c r="C276" i="9"/>
  <c r="K275" i="9"/>
  <c r="L275" i="9" s="1"/>
  <c r="J275" i="9"/>
  <c r="C275" i="9"/>
  <c r="K274" i="9"/>
  <c r="L274" i="9" s="1"/>
  <c r="J274" i="9"/>
  <c r="C274" i="9"/>
  <c r="K273" i="9"/>
  <c r="L273" i="9" s="1"/>
  <c r="J273" i="9"/>
  <c r="C273" i="9"/>
  <c r="K272" i="9"/>
  <c r="L272" i="9" s="1"/>
  <c r="J272" i="9"/>
  <c r="C272" i="9"/>
  <c r="K271" i="9"/>
  <c r="L271" i="9" s="1"/>
  <c r="J271" i="9"/>
  <c r="C271" i="9"/>
  <c r="K270" i="9"/>
  <c r="L270" i="9" s="1"/>
  <c r="J270" i="9"/>
  <c r="C270" i="9"/>
  <c r="K269" i="9"/>
  <c r="L269" i="9" s="1"/>
  <c r="J269" i="9"/>
  <c r="C269" i="9"/>
  <c r="K268" i="9"/>
  <c r="L268" i="9" s="1"/>
  <c r="J268" i="9"/>
  <c r="C268" i="9"/>
  <c r="K251" i="9" l="1"/>
  <c r="L251" i="9" s="1"/>
  <c r="J251" i="9"/>
  <c r="K247" i="9" l="1"/>
  <c r="L247" i="9" s="1"/>
  <c r="J247" i="9"/>
  <c r="C247" i="9"/>
  <c r="K267" i="9" l="1"/>
  <c r="L267" i="9" s="1"/>
  <c r="J267" i="9"/>
  <c r="C267" i="9"/>
  <c r="K266" i="9"/>
  <c r="L266" i="9" s="1"/>
  <c r="J266" i="9"/>
  <c r="C266" i="9"/>
  <c r="K265" i="9"/>
  <c r="L265" i="9" s="1"/>
  <c r="J265" i="9"/>
  <c r="C265" i="9"/>
  <c r="K264" i="9"/>
  <c r="L264" i="9" s="1"/>
  <c r="J264" i="9"/>
  <c r="C264" i="9"/>
  <c r="K263" i="9"/>
  <c r="L263" i="9" s="1"/>
  <c r="J263" i="9"/>
  <c r="C263" i="9"/>
  <c r="K262" i="9"/>
  <c r="L262" i="9" s="1"/>
  <c r="J262" i="9"/>
  <c r="C262" i="9"/>
  <c r="K261" i="9"/>
  <c r="L261" i="9" s="1"/>
  <c r="J261" i="9"/>
  <c r="C261" i="9"/>
  <c r="K260" i="9"/>
  <c r="L260" i="9" s="1"/>
  <c r="J260" i="9"/>
  <c r="K259" i="9"/>
  <c r="L259" i="9" s="1"/>
  <c r="J259" i="9"/>
  <c r="K258" i="9"/>
  <c r="L258" i="9" s="1"/>
  <c r="J258" i="9"/>
  <c r="L257" i="9"/>
  <c r="K257" i="9"/>
  <c r="J257" i="9"/>
  <c r="C257" i="9"/>
  <c r="K256" i="9"/>
  <c r="L256" i="9" s="1"/>
  <c r="J256" i="9"/>
  <c r="K255" i="9"/>
  <c r="L255" i="9" s="1"/>
  <c r="J255" i="9"/>
  <c r="C255" i="9"/>
  <c r="K254" i="9"/>
  <c r="L254" i="9" s="1"/>
  <c r="J254" i="9"/>
  <c r="C254" i="9"/>
  <c r="K253" i="9"/>
  <c r="L253" i="9" s="1"/>
  <c r="J253" i="9"/>
  <c r="K252" i="9"/>
  <c r="L252" i="9" s="1"/>
  <c r="J252" i="9"/>
  <c r="K250" i="9"/>
  <c r="L250" i="9" s="1"/>
  <c r="J250" i="9"/>
  <c r="K249" i="9"/>
  <c r="L249" i="9" s="1"/>
  <c r="J249" i="9"/>
  <c r="K248" i="9"/>
  <c r="L248" i="9" s="1"/>
  <c r="J248" i="9"/>
  <c r="C248" i="9"/>
  <c r="K246" i="9"/>
  <c r="L246" i="9" s="1"/>
  <c r="J246" i="9"/>
  <c r="K245" i="9"/>
  <c r="L245" i="9" s="1"/>
  <c r="J245" i="9"/>
  <c r="K244" i="9"/>
  <c r="L244" i="9" s="1"/>
  <c r="J244" i="9"/>
  <c r="K243" i="9"/>
  <c r="L243" i="9" s="1"/>
  <c r="J243" i="9"/>
  <c r="K242" i="9"/>
  <c r="L242" i="9" s="1"/>
  <c r="J242" i="9"/>
  <c r="K241" i="9"/>
  <c r="L241" i="9" s="1"/>
  <c r="J241" i="9"/>
  <c r="C241" i="9"/>
  <c r="K240" i="9"/>
  <c r="L240" i="9" s="1"/>
  <c r="J240" i="9"/>
  <c r="K239" i="9"/>
  <c r="L239" i="9" s="1"/>
  <c r="J239" i="9"/>
  <c r="C239" i="9"/>
  <c r="K238" i="9"/>
  <c r="L238" i="9" s="1"/>
  <c r="J238" i="9"/>
  <c r="C238" i="9"/>
  <c r="K237" i="9"/>
  <c r="L237" i="9" s="1"/>
  <c r="J237" i="9"/>
  <c r="C237" i="9"/>
  <c r="K236" i="9" l="1"/>
  <c r="L236" i="9" s="1"/>
  <c r="J236" i="9"/>
  <c r="C236" i="9"/>
  <c r="K235" i="9"/>
  <c r="L235" i="9" s="1"/>
  <c r="J235" i="9"/>
  <c r="C235" i="9"/>
  <c r="K234" i="9"/>
  <c r="L234" i="9" s="1"/>
  <c r="J234" i="9"/>
  <c r="C234" i="9"/>
  <c r="K233" i="9"/>
  <c r="L233" i="9" s="1"/>
  <c r="J233" i="9"/>
  <c r="C233" i="9"/>
  <c r="K232" i="9"/>
  <c r="L232" i="9" s="1"/>
  <c r="J232" i="9"/>
  <c r="C232" i="9"/>
  <c r="K231" i="9"/>
  <c r="L231" i="9" s="1"/>
  <c r="J231" i="9"/>
  <c r="C231" i="9"/>
  <c r="K230" i="9"/>
  <c r="L230" i="9" s="1"/>
  <c r="J230" i="9"/>
  <c r="C230" i="9"/>
  <c r="K229" i="9"/>
  <c r="L229" i="9" s="1"/>
  <c r="J229" i="9"/>
  <c r="C229" i="9"/>
  <c r="K228" i="9"/>
  <c r="L228" i="9" s="1"/>
  <c r="J228" i="9"/>
  <c r="C228" i="9"/>
  <c r="K227" i="9"/>
  <c r="L227" i="9" s="1"/>
  <c r="J227" i="9"/>
  <c r="C227" i="9"/>
  <c r="K226" i="9"/>
  <c r="L226" i="9" s="1"/>
  <c r="J226" i="9"/>
  <c r="C226" i="9"/>
  <c r="K225" i="9"/>
  <c r="L225" i="9" s="1"/>
  <c r="J225" i="9"/>
  <c r="C225" i="9"/>
  <c r="K224" i="9"/>
  <c r="L224" i="9" s="1"/>
  <c r="J224" i="9"/>
  <c r="C224" i="9"/>
  <c r="K223" i="9"/>
  <c r="L223" i="9" s="1"/>
  <c r="J223" i="9"/>
  <c r="C223" i="9"/>
  <c r="K222" i="9"/>
  <c r="L222" i="9" s="1"/>
  <c r="J222" i="9"/>
  <c r="C222" i="9"/>
  <c r="K221" i="9"/>
  <c r="L221" i="9" s="1"/>
  <c r="J221" i="9"/>
  <c r="C221" i="9"/>
  <c r="K220" i="9"/>
  <c r="L220" i="9" s="1"/>
  <c r="J220" i="9"/>
  <c r="C220" i="9"/>
  <c r="K219" i="9"/>
  <c r="L219" i="9" s="1"/>
  <c r="J219" i="9"/>
  <c r="C219" i="9"/>
  <c r="K218" i="9"/>
  <c r="L218" i="9" s="1"/>
  <c r="J218" i="9"/>
  <c r="C218" i="9"/>
  <c r="K217" i="9"/>
  <c r="L217" i="9" s="1"/>
  <c r="J217" i="9"/>
  <c r="C217" i="9"/>
  <c r="K216" i="9"/>
  <c r="L216" i="9" s="1"/>
  <c r="J216" i="9"/>
  <c r="C216" i="9"/>
  <c r="K215" i="9"/>
  <c r="L215" i="9" s="1"/>
  <c r="J215" i="9"/>
  <c r="C215" i="9"/>
  <c r="K214" i="9"/>
  <c r="L214" i="9" s="1"/>
  <c r="J214" i="9"/>
  <c r="C214" i="9"/>
  <c r="K213" i="9"/>
  <c r="L213" i="9" s="1"/>
  <c r="J213" i="9"/>
  <c r="C213" i="9"/>
  <c r="K212" i="9"/>
  <c r="L212" i="9" s="1"/>
  <c r="J212" i="9"/>
  <c r="C212" i="9"/>
  <c r="K211" i="9"/>
  <c r="L211" i="9" s="1"/>
  <c r="J211" i="9"/>
  <c r="C211" i="9"/>
  <c r="K210" i="9"/>
  <c r="L210" i="9" s="1"/>
  <c r="J210" i="9"/>
  <c r="C210" i="9"/>
  <c r="K209" i="9"/>
  <c r="L209" i="9" s="1"/>
  <c r="J209" i="9"/>
  <c r="C209" i="9"/>
  <c r="K208" i="9"/>
  <c r="L208" i="9" s="1"/>
  <c r="J208" i="9"/>
  <c r="C208" i="9"/>
  <c r="K207" i="9"/>
  <c r="L207" i="9" s="1"/>
  <c r="J207" i="9"/>
  <c r="C207" i="9"/>
  <c r="K206" i="9"/>
  <c r="L206" i="9" s="1"/>
  <c r="J206" i="9"/>
  <c r="C206" i="9"/>
  <c r="K205" i="9"/>
  <c r="L205" i="9" s="1"/>
  <c r="J205" i="9"/>
  <c r="C205" i="9"/>
  <c r="K204" i="9"/>
  <c r="L204" i="9" s="1"/>
  <c r="J204" i="9"/>
  <c r="C204" i="9"/>
  <c r="K203" i="9"/>
  <c r="L203" i="9" s="1"/>
  <c r="J203" i="9"/>
  <c r="C203" i="9"/>
  <c r="K202" i="9"/>
  <c r="L202" i="9" s="1"/>
  <c r="J202" i="9"/>
  <c r="C202" i="9"/>
  <c r="K201" i="9"/>
  <c r="L201" i="9" s="1"/>
  <c r="J201" i="9"/>
  <c r="C201" i="9"/>
  <c r="K200" i="9"/>
  <c r="L200" i="9" s="1"/>
  <c r="J200" i="9"/>
  <c r="C200" i="9"/>
  <c r="K199" i="9"/>
  <c r="L199" i="9" s="1"/>
  <c r="J199" i="9"/>
  <c r="C199" i="9"/>
  <c r="K198" i="9"/>
  <c r="L198" i="9" s="1"/>
  <c r="J198" i="9"/>
  <c r="C198" i="9"/>
  <c r="K197" i="9"/>
  <c r="L197" i="9" s="1"/>
  <c r="J197" i="9"/>
  <c r="C197" i="9"/>
  <c r="K196" i="9"/>
  <c r="L196" i="9" s="1"/>
  <c r="J196" i="9"/>
  <c r="C196" i="9"/>
  <c r="K195" i="9"/>
  <c r="L195" i="9" s="1"/>
  <c r="J195" i="9"/>
  <c r="C195" i="9"/>
  <c r="K194" i="9"/>
  <c r="L194" i="9" s="1"/>
  <c r="J194" i="9"/>
  <c r="C194" i="9"/>
  <c r="K193" i="9"/>
  <c r="L193" i="9" s="1"/>
  <c r="J193" i="9"/>
  <c r="C193" i="9"/>
  <c r="K192" i="9"/>
  <c r="L192" i="9" s="1"/>
  <c r="J192" i="9"/>
  <c r="C192" i="9"/>
  <c r="K191" i="9"/>
  <c r="L191" i="9" s="1"/>
  <c r="J191" i="9"/>
  <c r="C191" i="9"/>
  <c r="K190" i="9"/>
  <c r="L190" i="9" s="1"/>
  <c r="J190" i="9"/>
  <c r="C190" i="9"/>
  <c r="K189" i="9"/>
  <c r="L189" i="9" s="1"/>
  <c r="J189" i="9"/>
  <c r="C189" i="9"/>
  <c r="K188" i="9"/>
  <c r="L188" i="9" s="1"/>
  <c r="J188" i="9"/>
  <c r="K187" i="9"/>
  <c r="L187" i="9" s="1"/>
  <c r="J187" i="9"/>
  <c r="C187" i="9"/>
  <c r="K186" i="9"/>
  <c r="L186" i="9" s="1"/>
  <c r="J186" i="9"/>
  <c r="C186" i="9"/>
  <c r="K185" i="9"/>
  <c r="L185" i="9" s="1"/>
  <c r="J185" i="9"/>
  <c r="C185" i="9"/>
  <c r="K184" i="9"/>
  <c r="L184" i="9" s="1"/>
  <c r="J184" i="9"/>
  <c r="C184" i="9"/>
  <c r="K183" i="9"/>
  <c r="L183" i="9" s="1"/>
  <c r="J183" i="9"/>
  <c r="C183" i="9"/>
  <c r="K182" i="9"/>
  <c r="L182" i="9" s="1"/>
  <c r="J182" i="9"/>
  <c r="C182" i="9"/>
  <c r="K181" i="9"/>
  <c r="L181" i="9" s="1"/>
  <c r="J181" i="9"/>
  <c r="C181" i="9"/>
  <c r="K180" i="9"/>
  <c r="L180" i="9" s="1"/>
  <c r="J180" i="9"/>
  <c r="C180" i="9"/>
  <c r="K179" i="9"/>
  <c r="L179" i="9" s="1"/>
  <c r="J179" i="9"/>
  <c r="C179" i="9"/>
  <c r="K178" i="9"/>
  <c r="L178" i="9" s="1"/>
  <c r="J178" i="9"/>
  <c r="C178" i="9"/>
  <c r="K177" i="9" l="1"/>
  <c r="L177" i="9" s="1"/>
  <c r="J177" i="9"/>
  <c r="C177" i="9"/>
  <c r="K176" i="9"/>
  <c r="L176" i="9" s="1"/>
  <c r="J176" i="9"/>
  <c r="C176" i="9"/>
  <c r="K175" i="9"/>
  <c r="L175" i="9" s="1"/>
  <c r="J175" i="9"/>
  <c r="C175" i="9"/>
  <c r="K174" i="9"/>
  <c r="L174" i="9" s="1"/>
  <c r="J174" i="9"/>
  <c r="C174" i="9"/>
  <c r="K173" i="9"/>
  <c r="L173" i="9" s="1"/>
  <c r="J173" i="9"/>
  <c r="C173" i="9"/>
  <c r="K172" i="9"/>
  <c r="L172" i="9" s="1"/>
  <c r="J172" i="9"/>
  <c r="C172" i="9"/>
  <c r="K171" i="9"/>
  <c r="L171" i="9" s="1"/>
  <c r="J171" i="9"/>
  <c r="C171" i="9"/>
  <c r="K170" i="9"/>
  <c r="L170" i="9" s="1"/>
  <c r="J170" i="9"/>
  <c r="C170" i="9"/>
  <c r="K169" i="9"/>
  <c r="L169" i="9" s="1"/>
  <c r="J169" i="9"/>
  <c r="C169" i="9"/>
  <c r="K168" i="9"/>
  <c r="L168" i="9" s="1"/>
  <c r="J168" i="9"/>
  <c r="C168" i="9"/>
  <c r="K167" i="9"/>
  <c r="L167" i="9" s="1"/>
  <c r="J167" i="9"/>
  <c r="C167" i="9"/>
  <c r="K166" i="9"/>
  <c r="L166" i="9" s="1"/>
  <c r="J166" i="9"/>
  <c r="K165" i="9"/>
  <c r="L165" i="9" s="1"/>
  <c r="J165" i="9"/>
  <c r="C165" i="9"/>
  <c r="K164" i="9"/>
  <c r="L164" i="9" s="1"/>
  <c r="J164" i="9"/>
  <c r="C164" i="9"/>
  <c r="K163" i="9"/>
  <c r="L163" i="9" s="1"/>
  <c r="J163" i="9"/>
  <c r="C163" i="9"/>
  <c r="K162" i="9"/>
  <c r="L162" i="9" s="1"/>
  <c r="J162" i="9"/>
  <c r="C162" i="9"/>
  <c r="K161" i="9"/>
  <c r="L161" i="9" s="1"/>
  <c r="J161" i="9"/>
  <c r="C161" i="9"/>
  <c r="K160" i="9"/>
  <c r="L160" i="9" s="1"/>
  <c r="J160" i="9"/>
  <c r="C160" i="9"/>
  <c r="K159" i="9"/>
  <c r="L159" i="9" s="1"/>
  <c r="J159" i="9"/>
  <c r="C159" i="9"/>
  <c r="K158" i="9"/>
  <c r="L158" i="9" s="1"/>
  <c r="J158" i="9"/>
  <c r="C158" i="9"/>
  <c r="K157" i="9"/>
  <c r="L157" i="9" s="1"/>
  <c r="J157" i="9"/>
  <c r="C157" i="9"/>
  <c r="K156" i="9"/>
  <c r="L156" i="9" s="1"/>
  <c r="J156" i="9"/>
  <c r="C156" i="9"/>
  <c r="K155" i="9"/>
  <c r="L155" i="9" s="1"/>
  <c r="J155" i="9"/>
  <c r="C155" i="9"/>
  <c r="K154" i="9"/>
  <c r="J154" i="9"/>
  <c r="C154" i="9"/>
  <c r="K153" i="9"/>
  <c r="L153" i="9" s="1"/>
  <c r="J153" i="9"/>
  <c r="C153" i="9"/>
  <c r="K152" i="9"/>
  <c r="L152" i="9" s="1"/>
  <c r="J152" i="9"/>
  <c r="C152" i="9"/>
  <c r="K151" i="9"/>
  <c r="L151" i="9" s="1"/>
  <c r="J151" i="9"/>
  <c r="C151" i="9"/>
  <c r="K150" i="9"/>
  <c r="L150" i="9" s="1"/>
  <c r="J150" i="9"/>
  <c r="C150" i="9"/>
  <c r="K149" i="9"/>
  <c r="L149" i="9" s="1"/>
  <c r="J149" i="9"/>
  <c r="C149" i="9"/>
  <c r="K148" i="9"/>
  <c r="L148" i="9" s="1"/>
  <c r="J148" i="9"/>
  <c r="C148" i="9"/>
  <c r="K147" i="9" l="1"/>
  <c r="L147" i="9" s="1"/>
  <c r="J147" i="9"/>
  <c r="C147" i="9"/>
  <c r="K146" i="9"/>
  <c r="L146" i="9" s="1"/>
  <c r="J146" i="9"/>
  <c r="C146" i="9"/>
  <c r="K145" i="9"/>
  <c r="L145" i="9" s="1"/>
  <c r="J145" i="9"/>
  <c r="C145" i="9"/>
  <c r="K144" i="9"/>
  <c r="L144" i="9" s="1"/>
  <c r="J144" i="9"/>
  <c r="C144" i="9"/>
  <c r="K143" i="9"/>
  <c r="L143" i="9" s="1"/>
  <c r="J143" i="9"/>
  <c r="C143" i="9"/>
  <c r="K142" i="9"/>
  <c r="L142" i="9" s="1"/>
  <c r="J142" i="9"/>
  <c r="C142" i="9"/>
  <c r="K141" i="9"/>
  <c r="L141" i="9" s="1"/>
  <c r="J141" i="9"/>
  <c r="C141" i="9"/>
  <c r="K140" i="9"/>
  <c r="L140" i="9" s="1"/>
  <c r="J140" i="9"/>
  <c r="C140" i="9"/>
  <c r="K139" i="9"/>
  <c r="L139" i="9" s="1"/>
  <c r="J139" i="9"/>
  <c r="C139" i="9"/>
  <c r="K138" i="9"/>
  <c r="L138" i="9" s="1"/>
  <c r="J138" i="9"/>
  <c r="C138" i="9"/>
  <c r="K137" i="9"/>
  <c r="L137" i="9" s="1"/>
  <c r="J137" i="9"/>
  <c r="C137" i="9"/>
  <c r="K136" i="9"/>
  <c r="L136" i="9" s="1"/>
  <c r="J136" i="9"/>
  <c r="C136" i="9"/>
  <c r="K135" i="9"/>
  <c r="L135" i="9" s="1"/>
  <c r="J135" i="9"/>
  <c r="C135" i="9"/>
  <c r="K134" i="9"/>
  <c r="L134" i="9" s="1"/>
  <c r="J134" i="9"/>
  <c r="C134" i="9"/>
  <c r="K133" i="9"/>
  <c r="L133" i="9" s="1"/>
  <c r="J133" i="9"/>
  <c r="C133" i="9"/>
  <c r="K132" i="9"/>
  <c r="L132" i="9" s="1"/>
  <c r="J132" i="9"/>
  <c r="C132" i="9"/>
  <c r="K131" i="9"/>
  <c r="L131" i="9" s="1"/>
  <c r="J131" i="9"/>
  <c r="C131" i="9"/>
  <c r="K130" i="9"/>
  <c r="L130" i="9" s="1"/>
  <c r="J130" i="9"/>
  <c r="C130" i="9"/>
  <c r="K129" i="9"/>
  <c r="L129" i="9" s="1"/>
  <c r="J129" i="9"/>
  <c r="C129" i="9"/>
  <c r="K128" i="9"/>
  <c r="L128" i="9" s="1"/>
  <c r="J128" i="9"/>
  <c r="C128" i="9"/>
  <c r="K127" i="9"/>
  <c r="L127" i="9" s="1"/>
  <c r="J127" i="9"/>
  <c r="C127" i="9"/>
  <c r="K126" i="9"/>
  <c r="L126" i="9" s="1"/>
  <c r="J126" i="9"/>
  <c r="C126" i="9"/>
  <c r="K125" i="9"/>
  <c r="L125" i="9" s="1"/>
  <c r="J125" i="9"/>
  <c r="C125" i="9"/>
  <c r="K124" i="9"/>
  <c r="L124" i="9" s="1"/>
  <c r="J124" i="9"/>
  <c r="C124" i="9"/>
  <c r="K123" i="9"/>
  <c r="L123" i="9" s="1"/>
  <c r="J123" i="9"/>
  <c r="C123" i="9"/>
  <c r="K122" i="9"/>
  <c r="L122" i="9" s="1"/>
  <c r="J122" i="9"/>
  <c r="C122" i="9"/>
  <c r="K121" i="9"/>
  <c r="L121" i="9" s="1"/>
  <c r="J121" i="9"/>
  <c r="C121" i="9"/>
  <c r="K120" i="9"/>
  <c r="L120" i="9" s="1"/>
  <c r="J120" i="9"/>
  <c r="C120" i="9"/>
  <c r="K119" i="9"/>
  <c r="L119" i="9" s="1"/>
  <c r="J119" i="9"/>
  <c r="C119" i="9"/>
  <c r="K118" i="9"/>
  <c r="L118" i="9" s="1"/>
  <c r="J118" i="9"/>
  <c r="C118" i="9"/>
  <c r="K117" i="9" l="1"/>
  <c r="L117" i="9" s="1"/>
  <c r="J117" i="9"/>
  <c r="C117" i="9"/>
  <c r="K116" i="9"/>
  <c r="L116" i="9" s="1"/>
  <c r="J116" i="9"/>
  <c r="C116" i="9"/>
  <c r="K115" i="9"/>
  <c r="L115" i="9" s="1"/>
  <c r="J115" i="9"/>
  <c r="C115" i="9"/>
  <c r="K114" i="9"/>
  <c r="L114" i="9" s="1"/>
  <c r="J114" i="9"/>
  <c r="C114" i="9"/>
  <c r="K113" i="9"/>
  <c r="L113" i="9" s="1"/>
  <c r="J113" i="9"/>
  <c r="C113" i="9"/>
  <c r="K112" i="9"/>
  <c r="L112" i="9" s="1"/>
  <c r="J112" i="9"/>
  <c r="C112" i="9"/>
  <c r="K111" i="9"/>
  <c r="L111" i="9" s="1"/>
  <c r="J111" i="9"/>
  <c r="C111" i="9"/>
  <c r="K110" i="9"/>
  <c r="L110" i="9" s="1"/>
  <c r="J110" i="9"/>
  <c r="C110" i="9"/>
  <c r="K109" i="9"/>
  <c r="L109" i="9" s="1"/>
  <c r="J109" i="9"/>
  <c r="C109" i="9"/>
  <c r="K108" i="9"/>
  <c r="L108" i="9" s="1"/>
  <c r="J108" i="9"/>
  <c r="C108" i="9"/>
  <c r="K107" i="9"/>
  <c r="L107" i="9" s="1"/>
  <c r="J107" i="9"/>
  <c r="C107" i="9"/>
  <c r="K106" i="9"/>
  <c r="L106" i="9" s="1"/>
  <c r="J106" i="9"/>
  <c r="C106" i="9"/>
  <c r="K105" i="9"/>
  <c r="L105" i="9" s="1"/>
  <c r="J105" i="9"/>
  <c r="C105" i="9"/>
  <c r="K104" i="9"/>
  <c r="L104" i="9" s="1"/>
  <c r="J104" i="9"/>
  <c r="C104" i="9"/>
  <c r="K103" i="9"/>
  <c r="L103" i="9" s="1"/>
  <c r="J103" i="9"/>
  <c r="C103" i="9"/>
  <c r="K102" i="9"/>
  <c r="L102" i="9" s="1"/>
  <c r="J102" i="9"/>
  <c r="C102" i="9"/>
  <c r="K101" i="9"/>
  <c r="L101" i="9" s="1"/>
  <c r="J101" i="9"/>
  <c r="C101" i="9"/>
  <c r="K100" i="9"/>
  <c r="L100" i="9" s="1"/>
  <c r="J100" i="9"/>
  <c r="C100" i="9"/>
  <c r="K99" i="9"/>
  <c r="L99" i="9" s="1"/>
  <c r="J99" i="9"/>
  <c r="C99" i="9"/>
  <c r="K98" i="9"/>
  <c r="L98" i="9" s="1"/>
  <c r="J98" i="9"/>
  <c r="C98" i="9"/>
  <c r="K97" i="9"/>
  <c r="L97" i="9" s="1"/>
  <c r="J97" i="9"/>
  <c r="C97" i="9"/>
  <c r="K96" i="9"/>
  <c r="L96" i="9" s="1"/>
  <c r="J96" i="9"/>
  <c r="C96" i="9"/>
  <c r="K95" i="9"/>
  <c r="L95" i="9" s="1"/>
  <c r="J95" i="9"/>
  <c r="C95" i="9"/>
  <c r="K94" i="9"/>
  <c r="L94" i="9" s="1"/>
  <c r="J94" i="9"/>
  <c r="C94" i="9"/>
  <c r="K93" i="9"/>
  <c r="L93" i="9" s="1"/>
  <c r="J93" i="9"/>
  <c r="C93" i="9"/>
  <c r="K92" i="9"/>
  <c r="L92" i="9" s="1"/>
  <c r="J92" i="9"/>
  <c r="C92" i="9"/>
  <c r="K91" i="9"/>
  <c r="L91" i="9" s="1"/>
  <c r="J91" i="9"/>
  <c r="C91" i="9"/>
  <c r="K90" i="9"/>
  <c r="L90" i="9" s="1"/>
  <c r="J90" i="9"/>
  <c r="C90" i="9"/>
  <c r="K89" i="9"/>
  <c r="L89" i="9" s="1"/>
  <c r="J89" i="9"/>
  <c r="C89" i="9"/>
  <c r="K88" i="9"/>
  <c r="L88" i="9" s="1"/>
  <c r="J88" i="9"/>
  <c r="C88" i="9"/>
  <c r="K87" i="9"/>
  <c r="L87" i="9" s="1"/>
  <c r="J87" i="9"/>
  <c r="C87" i="9"/>
  <c r="K86" i="9"/>
  <c r="L86" i="9" s="1"/>
  <c r="J86" i="9"/>
  <c r="C86" i="9"/>
  <c r="K85" i="9" l="1"/>
  <c r="L85" i="9" s="1"/>
  <c r="J85" i="9"/>
  <c r="C85" i="9"/>
  <c r="K84" i="9"/>
  <c r="L84" i="9" s="1"/>
  <c r="J84" i="9"/>
  <c r="C84" i="9"/>
  <c r="K83" i="9"/>
  <c r="L83" i="9" s="1"/>
  <c r="J83" i="9"/>
  <c r="C83" i="9"/>
  <c r="K82" i="9"/>
  <c r="L82" i="9" s="1"/>
  <c r="J82" i="9"/>
  <c r="C82" i="9"/>
  <c r="K81" i="9"/>
  <c r="L81" i="9" s="1"/>
  <c r="J81" i="9"/>
  <c r="C81" i="9"/>
  <c r="K80" i="9"/>
  <c r="L80" i="9" s="1"/>
  <c r="J80" i="9"/>
  <c r="C80" i="9"/>
  <c r="K79" i="9"/>
  <c r="L79" i="9" s="1"/>
  <c r="J79" i="9"/>
  <c r="C79" i="9"/>
  <c r="K78" i="9"/>
  <c r="L78" i="9" s="1"/>
  <c r="J78" i="9"/>
  <c r="C78" i="9"/>
  <c r="K77" i="9"/>
  <c r="L77" i="9" s="1"/>
  <c r="J77" i="9"/>
  <c r="C77" i="9"/>
  <c r="K76" i="9"/>
  <c r="L76" i="9" s="1"/>
  <c r="J76" i="9"/>
  <c r="C76" i="9"/>
  <c r="K75" i="9"/>
  <c r="L75" i="9" s="1"/>
  <c r="J75" i="9"/>
  <c r="C75" i="9"/>
  <c r="K74" i="9"/>
  <c r="L74" i="9" s="1"/>
  <c r="J74" i="9"/>
  <c r="C74" i="9"/>
  <c r="K73" i="9"/>
  <c r="L73" i="9" s="1"/>
  <c r="J73" i="9"/>
  <c r="C73" i="9"/>
  <c r="K72" i="9"/>
  <c r="L72" i="9" s="1"/>
  <c r="J72" i="9"/>
  <c r="C72" i="9"/>
  <c r="K71" i="9"/>
  <c r="L71" i="9" s="1"/>
  <c r="J71" i="9"/>
  <c r="C71" i="9"/>
  <c r="K70" i="9"/>
  <c r="L70" i="9" s="1"/>
  <c r="J70" i="9"/>
  <c r="C70" i="9"/>
  <c r="K69" i="9"/>
  <c r="L69" i="9" s="1"/>
  <c r="J69" i="9"/>
  <c r="C69" i="9"/>
  <c r="K68" i="9"/>
  <c r="L68" i="9" s="1"/>
  <c r="J68" i="9"/>
  <c r="C68" i="9"/>
  <c r="K67" i="9"/>
  <c r="L67" i="9" s="1"/>
  <c r="J67" i="9"/>
  <c r="C67" i="9"/>
  <c r="K66" i="9"/>
  <c r="L66" i="9" s="1"/>
  <c r="J66" i="9"/>
  <c r="C66" i="9"/>
  <c r="K65" i="9"/>
  <c r="L65" i="9" s="1"/>
  <c r="J65" i="9"/>
  <c r="C65" i="9"/>
  <c r="K64" i="9"/>
  <c r="L64" i="9" s="1"/>
  <c r="J64" i="9"/>
  <c r="C64" i="9"/>
  <c r="K63" i="9"/>
  <c r="L63" i="9" s="1"/>
  <c r="J63" i="9"/>
  <c r="C63" i="9"/>
  <c r="K62" i="9"/>
  <c r="L62" i="9" s="1"/>
  <c r="J62" i="9"/>
  <c r="C62" i="9"/>
  <c r="K61" i="9"/>
  <c r="L61" i="9" s="1"/>
  <c r="J61" i="9"/>
  <c r="C61" i="9"/>
  <c r="K60" i="9"/>
  <c r="L60" i="9" s="1"/>
  <c r="J60" i="9"/>
  <c r="C60" i="9"/>
  <c r="K59" i="9"/>
  <c r="L59" i="9" s="1"/>
  <c r="J59" i="9"/>
  <c r="C59" i="9"/>
  <c r="K58" i="9"/>
  <c r="L58" i="9" s="1"/>
  <c r="J58" i="9"/>
  <c r="C58" i="9"/>
  <c r="K57" i="9" l="1"/>
  <c r="L57" i="9" s="1"/>
  <c r="J57" i="9"/>
  <c r="C57" i="9"/>
  <c r="K56" i="9"/>
  <c r="L56" i="9" s="1"/>
  <c r="J56" i="9"/>
  <c r="C56" i="9"/>
  <c r="K55" i="9"/>
  <c r="L55" i="9" s="1"/>
  <c r="J55" i="9"/>
  <c r="C55" i="9"/>
  <c r="K54" i="9"/>
  <c r="L54" i="9" s="1"/>
  <c r="J54" i="9"/>
  <c r="C54" i="9"/>
  <c r="K53" i="9"/>
  <c r="L53" i="9" s="1"/>
  <c r="J53" i="9"/>
  <c r="C53" i="9"/>
  <c r="K52" i="9"/>
  <c r="L52" i="9" s="1"/>
  <c r="J52" i="9"/>
  <c r="C52" i="9"/>
  <c r="K51" i="9"/>
  <c r="L51" i="9" s="1"/>
  <c r="J51" i="9"/>
  <c r="C51" i="9"/>
  <c r="K50" i="9"/>
  <c r="L50" i="9" s="1"/>
  <c r="J50" i="9"/>
  <c r="C50" i="9"/>
  <c r="K49" i="9"/>
  <c r="L49" i="9" s="1"/>
  <c r="J49" i="9"/>
  <c r="C49" i="9"/>
  <c r="K48" i="9"/>
  <c r="L48" i="9" s="1"/>
  <c r="J48" i="9"/>
  <c r="C48" i="9"/>
  <c r="K47" i="9"/>
  <c r="L47" i="9" s="1"/>
  <c r="J47" i="9"/>
  <c r="C47" i="9"/>
  <c r="K46" i="9"/>
  <c r="L46" i="9" s="1"/>
  <c r="J46" i="9"/>
  <c r="C46" i="9"/>
  <c r="K45" i="9"/>
  <c r="L45" i="9" s="1"/>
  <c r="J45" i="9"/>
  <c r="C45" i="9"/>
  <c r="K44" i="9"/>
  <c r="L44" i="9" s="1"/>
  <c r="J44" i="9"/>
  <c r="C44" i="9"/>
  <c r="K43" i="9"/>
  <c r="L43" i="9" s="1"/>
  <c r="J43" i="9"/>
  <c r="C43" i="9"/>
  <c r="K42" i="9"/>
  <c r="L42" i="9" s="1"/>
  <c r="J42" i="9"/>
  <c r="C42" i="9"/>
  <c r="K41" i="9"/>
  <c r="L41" i="9" s="1"/>
  <c r="J41" i="9"/>
  <c r="C41" i="9"/>
  <c r="K40" i="9"/>
  <c r="L40" i="9" s="1"/>
  <c r="J40" i="9"/>
  <c r="C40" i="9"/>
  <c r="K39" i="9"/>
  <c r="L39" i="9" s="1"/>
  <c r="J39" i="9"/>
  <c r="C39" i="9"/>
  <c r="K38" i="9"/>
  <c r="L38" i="9" s="1"/>
  <c r="J38" i="9"/>
  <c r="C38" i="9"/>
  <c r="K37" i="9"/>
  <c r="L37" i="9" s="1"/>
  <c r="J37" i="9"/>
  <c r="C37" i="9"/>
  <c r="K36" i="9"/>
  <c r="L36" i="9" s="1"/>
  <c r="J36" i="9"/>
  <c r="C36" i="9"/>
  <c r="K35" i="9"/>
  <c r="L35" i="9" s="1"/>
  <c r="J35" i="9"/>
  <c r="C35" i="9"/>
  <c r="K34" i="9"/>
  <c r="L34" i="9" s="1"/>
  <c r="J34" i="9"/>
  <c r="C34" i="9"/>
  <c r="K33" i="9"/>
  <c r="L33" i="9" s="1"/>
  <c r="J33" i="9"/>
  <c r="C33" i="9"/>
  <c r="K32" i="9"/>
  <c r="L32" i="9" s="1"/>
  <c r="J32" i="9"/>
  <c r="C32" i="9"/>
  <c r="K31" i="9"/>
  <c r="L31" i="9" s="1"/>
  <c r="J31" i="9"/>
  <c r="C31" i="9"/>
  <c r="K30" i="9"/>
  <c r="L30" i="9" s="1"/>
  <c r="J30" i="9"/>
  <c r="C30" i="9"/>
  <c r="K29" i="9"/>
  <c r="L29" i="9" s="1"/>
  <c r="J29" i="9"/>
  <c r="C29" i="9"/>
  <c r="K28" i="9"/>
  <c r="L28" i="9" s="1"/>
  <c r="J28" i="9"/>
  <c r="C28" i="9"/>
  <c r="C21" i="8" l="1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K27" i="9"/>
  <c r="L27" i="9" s="1"/>
  <c r="J27" i="9"/>
  <c r="C27" i="9"/>
  <c r="K26" i="9"/>
  <c r="L26" i="9" s="1"/>
  <c r="J26" i="9"/>
  <c r="C26" i="9"/>
  <c r="K25" i="9"/>
  <c r="L25" i="9" s="1"/>
  <c r="J25" i="9"/>
  <c r="C25" i="9"/>
  <c r="K24" i="9"/>
  <c r="L24" i="9" s="1"/>
  <c r="J24" i="9"/>
  <c r="C24" i="9"/>
  <c r="K23" i="9"/>
  <c r="L23" i="9" s="1"/>
  <c r="J23" i="9"/>
  <c r="C23" i="9"/>
  <c r="K22" i="9"/>
  <c r="L22" i="9" s="1"/>
  <c r="J22" i="9"/>
  <c r="C22" i="9"/>
  <c r="K21" i="9"/>
  <c r="L21" i="9" s="1"/>
  <c r="J21" i="9"/>
  <c r="C21" i="9"/>
  <c r="K20" i="9"/>
  <c r="L20" i="9" s="1"/>
  <c r="J20" i="9"/>
  <c r="C20" i="9"/>
  <c r="K19" i="9"/>
  <c r="L19" i="9" s="1"/>
  <c r="J19" i="9"/>
  <c r="C19" i="9"/>
  <c r="K18" i="9"/>
  <c r="L18" i="9" s="1"/>
  <c r="J18" i="9"/>
  <c r="C18" i="9"/>
  <c r="K16" i="9"/>
  <c r="L16" i="9" s="1"/>
  <c r="J16" i="9"/>
  <c r="C16" i="9"/>
  <c r="K15" i="9"/>
  <c r="L15" i="9" s="1"/>
  <c r="J15" i="9"/>
  <c r="C15" i="9"/>
  <c r="K14" i="9"/>
  <c r="L14" i="9" s="1"/>
  <c r="J14" i="9"/>
  <c r="C14" i="9"/>
  <c r="K13" i="9"/>
  <c r="L13" i="9" s="1"/>
  <c r="J13" i="9"/>
  <c r="C13" i="9"/>
  <c r="K12" i="9"/>
  <c r="L12" i="9" s="1"/>
  <c r="J12" i="9"/>
  <c r="C12" i="9"/>
  <c r="K11" i="9"/>
  <c r="L11" i="9" s="1"/>
  <c r="J11" i="9"/>
  <c r="C11" i="9"/>
  <c r="K10" i="9"/>
  <c r="L10" i="9" s="1"/>
  <c r="J10" i="9"/>
  <c r="C10" i="9"/>
  <c r="K9" i="9"/>
  <c r="L9" i="9" s="1"/>
  <c r="J9" i="9"/>
  <c r="C9" i="9"/>
  <c r="K8" i="9"/>
  <c r="L8" i="9" s="1"/>
  <c r="J8" i="9"/>
  <c r="C8" i="9"/>
  <c r="K7" i="9"/>
  <c r="L7" i="9" s="1"/>
  <c r="J7" i="9"/>
  <c r="C7" i="9"/>
  <c r="C6" i="9"/>
  <c r="C3" i="9" s="1"/>
  <c r="B9" i="13" s="1"/>
  <c r="B21" i="13" s="1"/>
  <c r="K3" i="9" l="1"/>
  <c r="L3" i="9"/>
  <c r="C3" i="8"/>
  <c r="K420" i="8"/>
  <c r="L420" i="8" s="1"/>
  <c r="J420" i="8"/>
  <c r="K419" i="8"/>
  <c r="L419" i="8" s="1"/>
  <c r="J419" i="8"/>
  <c r="K418" i="8"/>
  <c r="L418" i="8" s="1"/>
  <c r="J418" i="8"/>
  <c r="K417" i="8"/>
  <c r="L417" i="8" s="1"/>
  <c r="J417" i="8"/>
  <c r="K416" i="8"/>
  <c r="L416" i="8" s="1"/>
  <c r="J416" i="8"/>
  <c r="K415" i="8"/>
  <c r="L415" i="8" s="1"/>
  <c r="J415" i="8"/>
  <c r="K414" i="8"/>
  <c r="L414" i="8" s="1"/>
  <c r="J414" i="8"/>
  <c r="K413" i="8"/>
  <c r="L413" i="8" s="1"/>
  <c r="J413" i="8"/>
  <c r="K412" i="8"/>
  <c r="L412" i="8" s="1"/>
  <c r="J412" i="8"/>
  <c r="D9" i="13" l="1"/>
  <c r="C17" i="13" s="1"/>
  <c r="C18" i="13" s="1"/>
  <c r="N3" i="9"/>
  <c r="C9" i="13"/>
  <c r="C14" i="13" s="1"/>
  <c r="K411" i="8"/>
  <c r="L411" i="8" s="1"/>
  <c r="J411" i="8"/>
  <c r="K410" i="8"/>
  <c r="L410" i="8" s="1"/>
  <c r="J410" i="8"/>
  <c r="K409" i="8"/>
  <c r="L409" i="8" s="1"/>
  <c r="J409" i="8"/>
  <c r="K408" i="8"/>
  <c r="L408" i="8" s="1"/>
  <c r="J408" i="8"/>
  <c r="K407" i="8"/>
  <c r="L407" i="8" s="1"/>
  <c r="J407" i="8"/>
  <c r="K406" i="8"/>
  <c r="L406" i="8" s="1"/>
  <c r="J406" i="8"/>
  <c r="K405" i="8"/>
  <c r="L405" i="8" s="1"/>
  <c r="J405" i="8"/>
  <c r="K404" i="8"/>
  <c r="L404" i="8" s="1"/>
  <c r="J404" i="8"/>
  <c r="K403" i="8"/>
  <c r="L403" i="8" s="1"/>
  <c r="J403" i="8"/>
  <c r="K402" i="8"/>
  <c r="L402" i="8" s="1"/>
  <c r="J402" i="8"/>
  <c r="K401" i="8"/>
  <c r="L401" i="8" s="1"/>
  <c r="J401" i="8"/>
  <c r="K400" i="8"/>
  <c r="L400" i="8" s="1"/>
  <c r="J400" i="8"/>
  <c r="K399" i="8"/>
  <c r="L399" i="8" s="1"/>
  <c r="J399" i="8"/>
  <c r="K398" i="8"/>
  <c r="L398" i="8" s="1"/>
  <c r="J398" i="8"/>
  <c r="K397" i="8"/>
  <c r="L397" i="8" s="1"/>
  <c r="J397" i="8"/>
  <c r="K396" i="8"/>
  <c r="L396" i="8" s="1"/>
  <c r="J396" i="8"/>
  <c r="K395" i="8"/>
  <c r="L395" i="8" s="1"/>
  <c r="J395" i="8"/>
  <c r="K394" i="8"/>
  <c r="L394" i="8" s="1"/>
  <c r="J394" i="8"/>
  <c r="K393" i="8"/>
  <c r="L393" i="8" s="1"/>
  <c r="J393" i="8"/>
  <c r="K392" i="8"/>
  <c r="L392" i="8" s="1"/>
  <c r="J392" i="8"/>
  <c r="K391" i="8"/>
  <c r="L391" i="8" s="1"/>
  <c r="J391" i="8"/>
  <c r="K390" i="8"/>
  <c r="L390" i="8" s="1"/>
  <c r="J390" i="8"/>
  <c r="K389" i="8"/>
  <c r="L389" i="8" s="1"/>
  <c r="J389" i="8"/>
  <c r="K388" i="8"/>
  <c r="L388" i="8" s="1"/>
  <c r="J388" i="8"/>
  <c r="K387" i="8"/>
  <c r="L387" i="8" s="1"/>
  <c r="J387" i="8"/>
  <c r="K386" i="8"/>
  <c r="L386" i="8" s="1"/>
  <c r="J386" i="8"/>
  <c r="K385" i="8"/>
  <c r="L385" i="8" s="1"/>
  <c r="J385" i="8"/>
  <c r="K384" i="8"/>
  <c r="L384" i="8" s="1"/>
  <c r="J384" i="8"/>
  <c r="K383" i="8"/>
  <c r="L383" i="8" s="1"/>
  <c r="J383" i="8"/>
  <c r="K382" i="8"/>
  <c r="L382" i="8" s="1"/>
  <c r="J382" i="8"/>
  <c r="C21" i="13" l="1"/>
  <c r="E9" i="13"/>
  <c r="K381" i="8"/>
  <c r="L381" i="8" s="1"/>
  <c r="J381" i="8"/>
  <c r="K380" i="8"/>
  <c r="L380" i="8" s="1"/>
  <c r="J380" i="8"/>
  <c r="K379" i="8"/>
  <c r="L379" i="8" s="1"/>
  <c r="J379" i="8"/>
  <c r="K378" i="8"/>
  <c r="L378" i="8" s="1"/>
  <c r="J378" i="8"/>
  <c r="K377" i="8"/>
  <c r="L377" i="8" s="1"/>
  <c r="J377" i="8"/>
  <c r="K376" i="8"/>
  <c r="L376" i="8" s="1"/>
  <c r="J376" i="8"/>
  <c r="K375" i="8"/>
  <c r="L375" i="8" s="1"/>
  <c r="J375" i="8"/>
  <c r="K374" i="8"/>
  <c r="L374" i="8" s="1"/>
  <c r="J374" i="8"/>
  <c r="K373" i="8"/>
  <c r="L373" i="8" s="1"/>
  <c r="J373" i="8"/>
  <c r="K372" i="8"/>
  <c r="L372" i="8" s="1"/>
  <c r="J372" i="8"/>
  <c r="K371" i="8"/>
  <c r="L371" i="8" s="1"/>
  <c r="J371" i="8"/>
  <c r="K370" i="8"/>
  <c r="L370" i="8" s="1"/>
  <c r="J370" i="8"/>
  <c r="K369" i="8"/>
  <c r="L369" i="8" s="1"/>
  <c r="J369" i="8"/>
  <c r="K368" i="8"/>
  <c r="L368" i="8" s="1"/>
  <c r="J368" i="8"/>
  <c r="K367" i="8"/>
  <c r="L367" i="8" s="1"/>
  <c r="J367" i="8"/>
  <c r="K366" i="8"/>
  <c r="L366" i="8" s="1"/>
  <c r="J366" i="8"/>
  <c r="K365" i="8"/>
  <c r="L365" i="8" s="1"/>
  <c r="J365" i="8"/>
  <c r="K364" i="8"/>
  <c r="L364" i="8" s="1"/>
  <c r="J364" i="8"/>
  <c r="K363" i="8"/>
  <c r="L363" i="8" s="1"/>
  <c r="J363" i="8"/>
  <c r="K362" i="8"/>
  <c r="L362" i="8" s="1"/>
  <c r="J362" i="8"/>
  <c r="K361" i="8"/>
  <c r="L361" i="8" s="1"/>
  <c r="J361" i="8"/>
  <c r="K360" i="8"/>
  <c r="L360" i="8" s="1"/>
  <c r="J360" i="8"/>
  <c r="K359" i="8"/>
  <c r="L359" i="8" s="1"/>
  <c r="J359" i="8"/>
  <c r="K358" i="8"/>
  <c r="L358" i="8" s="1"/>
  <c r="J358" i="8"/>
  <c r="K357" i="8"/>
  <c r="L357" i="8" s="1"/>
  <c r="J357" i="8"/>
  <c r="K356" i="8"/>
  <c r="L356" i="8" s="1"/>
  <c r="J356" i="8"/>
  <c r="K355" i="8"/>
  <c r="L355" i="8" s="1"/>
  <c r="J355" i="8"/>
  <c r="K354" i="8"/>
  <c r="L354" i="8" s="1"/>
  <c r="J354" i="8"/>
  <c r="K353" i="8"/>
  <c r="L353" i="8" s="1"/>
  <c r="J353" i="8"/>
  <c r="K352" i="8"/>
  <c r="L352" i="8" s="1"/>
  <c r="J352" i="8"/>
  <c r="K351" i="8" l="1"/>
  <c r="L351" i="8" s="1"/>
  <c r="J351" i="8"/>
  <c r="K350" i="8"/>
  <c r="L350" i="8" s="1"/>
  <c r="J350" i="8"/>
  <c r="K349" i="8"/>
  <c r="L349" i="8" s="1"/>
  <c r="J349" i="8"/>
  <c r="K348" i="8"/>
  <c r="L348" i="8" s="1"/>
  <c r="J348" i="8"/>
  <c r="K347" i="8"/>
  <c r="L347" i="8" s="1"/>
  <c r="J347" i="8"/>
  <c r="K346" i="8"/>
  <c r="J346" i="8"/>
  <c r="K345" i="8"/>
  <c r="L345" i="8" s="1"/>
  <c r="J345" i="8"/>
  <c r="K344" i="8"/>
  <c r="L344" i="8" s="1"/>
  <c r="J344" i="8"/>
  <c r="K343" i="8"/>
  <c r="L343" i="8" s="1"/>
  <c r="J343" i="8"/>
  <c r="K342" i="8"/>
  <c r="L342" i="8" s="1"/>
  <c r="J342" i="8"/>
  <c r="K341" i="8"/>
  <c r="L341" i="8" s="1"/>
  <c r="J341" i="8"/>
  <c r="K340" i="8"/>
  <c r="L340" i="8" s="1"/>
  <c r="J340" i="8"/>
  <c r="K339" i="8"/>
  <c r="L339" i="8" s="1"/>
  <c r="J339" i="8"/>
  <c r="K338" i="8"/>
  <c r="L338" i="8" s="1"/>
  <c r="J338" i="8"/>
  <c r="K337" i="8"/>
  <c r="L337" i="8" s="1"/>
  <c r="J337" i="8"/>
  <c r="K336" i="8"/>
  <c r="L336" i="8" s="1"/>
  <c r="J336" i="8"/>
  <c r="K335" i="8"/>
  <c r="L335" i="8" s="1"/>
  <c r="J335" i="8"/>
  <c r="K334" i="8"/>
  <c r="L334" i="8" s="1"/>
  <c r="J334" i="8"/>
  <c r="K333" i="8"/>
  <c r="L333" i="8" s="1"/>
  <c r="J333" i="8"/>
  <c r="K332" i="8"/>
  <c r="L332" i="8" s="1"/>
  <c r="J332" i="8"/>
  <c r="K331" i="8"/>
  <c r="L331" i="8" s="1"/>
  <c r="J331" i="8"/>
  <c r="K330" i="8"/>
  <c r="L330" i="8" s="1"/>
  <c r="J330" i="8"/>
  <c r="K329" i="8"/>
  <c r="L329" i="8" s="1"/>
  <c r="J329" i="8"/>
  <c r="K328" i="8"/>
  <c r="L328" i="8" s="1"/>
  <c r="J328" i="8"/>
  <c r="K327" i="8"/>
  <c r="L327" i="8" s="1"/>
  <c r="J327" i="8"/>
  <c r="K326" i="8"/>
  <c r="L326" i="8" s="1"/>
  <c r="J326" i="8"/>
  <c r="K325" i="8"/>
  <c r="L325" i="8" s="1"/>
  <c r="J325" i="8"/>
  <c r="K324" i="8"/>
  <c r="L324" i="8" s="1"/>
  <c r="J324" i="8"/>
  <c r="K323" i="8"/>
  <c r="L323" i="8" s="1"/>
  <c r="J323" i="8"/>
  <c r="K322" i="8"/>
  <c r="L322" i="8" s="1"/>
  <c r="J322" i="8"/>
  <c r="K275" i="7" l="1"/>
  <c r="K321" i="8" l="1"/>
  <c r="L321" i="8" s="1"/>
  <c r="J321" i="8"/>
  <c r="K320" i="8"/>
  <c r="L320" i="8" s="1"/>
  <c r="J320" i="8"/>
  <c r="K319" i="8"/>
  <c r="L319" i="8" s="1"/>
  <c r="J319" i="8"/>
  <c r="K318" i="8"/>
  <c r="L318" i="8" s="1"/>
  <c r="J318" i="8"/>
  <c r="K317" i="8"/>
  <c r="L317" i="8" s="1"/>
  <c r="J317" i="8"/>
  <c r="K316" i="8"/>
  <c r="L316" i="8" s="1"/>
  <c r="J316" i="8"/>
  <c r="K315" i="8"/>
  <c r="L315" i="8" s="1"/>
  <c r="J315" i="8"/>
  <c r="K314" i="8"/>
  <c r="L314" i="8" s="1"/>
  <c r="J314" i="8"/>
  <c r="K313" i="8"/>
  <c r="L313" i="8" s="1"/>
  <c r="J313" i="8"/>
  <c r="K312" i="8"/>
  <c r="L312" i="8" s="1"/>
  <c r="J312" i="8"/>
  <c r="K311" i="8"/>
  <c r="L311" i="8" s="1"/>
  <c r="J311" i="8"/>
  <c r="K310" i="8"/>
  <c r="L310" i="8" s="1"/>
  <c r="J310" i="8"/>
  <c r="K309" i="8"/>
  <c r="L309" i="8" s="1"/>
  <c r="J309" i="8"/>
  <c r="K308" i="8"/>
  <c r="L308" i="8" s="1"/>
  <c r="J308" i="8"/>
  <c r="K307" i="8"/>
  <c r="L307" i="8" s="1"/>
  <c r="J307" i="8"/>
  <c r="K306" i="8"/>
  <c r="L306" i="8" s="1"/>
  <c r="J306" i="8"/>
  <c r="K305" i="8"/>
  <c r="L305" i="8" s="1"/>
  <c r="J305" i="8"/>
  <c r="K304" i="8"/>
  <c r="L304" i="8" s="1"/>
  <c r="J304" i="8"/>
  <c r="K303" i="8"/>
  <c r="L303" i="8" s="1"/>
  <c r="J303" i="8"/>
  <c r="K302" i="8"/>
  <c r="L302" i="8" s="1"/>
  <c r="J302" i="8"/>
  <c r="K301" i="8"/>
  <c r="L301" i="8" s="1"/>
  <c r="J301" i="8"/>
  <c r="K300" i="8"/>
  <c r="L300" i="8" s="1"/>
  <c r="J300" i="8"/>
  <c r="K299" i="8"/>
  <c r="L299" i="8" s="1"/>
  <c r="J299" i="8"/>
  <c r="K298" i="8"/>
  <c r="L298" i="8" s="1"/>
  <c r="J298" i="8"/>
  <c r="K297" i="8"/>
  <c r="L297" i="8" s="1"/>
  <c r="J297" i="8"/>
  <c r="K296" i="8"/>
  <c r="L296" i="8" s="1"/>
  <c r="J296" i="8"/>
  <c r="K295" i="8"/>
  <c r="L295" i="8" s="1"/>
  <c r="J295" i="8"/>
  <c r="K294" i="8"/>
  <c r="L294" i="8" s="1"/>
  <c r="J294" i="8"/>
  <c r="K293" i="8"/>
  <c r="L293" i="8" s="1"/>
  <c r="J293" i="8"/>
  <c r="K292" i="8"/>
  <c r="L292" i="8" s="1"/>
  <c r="J292" i="8"/>
  <c r="K291" i="8" l="1"/>
  <c r="L291" i="8" s="1"/>
  <c r="J291" i="8"/>
  <c r="K290" i="8"/>
  <c r="L290" i="8" s="1"/>
  <c r="J290" i="8"/>
  <c r="K289" i="8"/>
  <c r="L289" i="8" s="1"/>
  <c r="J289" i="8"/>
  <c r="K288" i="8"/>
  <c r="L288" i="8" s="1"/>
  <c r="J288" i="8"/>
  <c r="K287" i="8"/>
  <c r="L287" i="8" s="1"/>
  <c r="J287" i="8"/>
  <c r="K286" i="8"/>
  <c r="L286" i="8" s="1"/>
  <c r="J286" i="8"/>
  <c r="K285" i="8"/>
  <c r="L285" i="8" s="1"/>
  <c r="J285" i="8"/>
  <c r="K284" i="8"/>
  <c r="L284" i="8" s="1"/>
  <c r="J284" i="8"/>
  <c r="K283" i="8"/>
  <c r="L283" i="8" s="1"/>
  <c r="J283" i="8"/>
  <c r="K282" i="8"/>
  <c r="L282" i="8" s="1"/>
  <c r="J282" i="8"/>
  <c r="K281" i="8"/>
  <c r="L281" i="8" s="1"/>
  <c r="J281" i="8"/>
  <c r="K280" i="8"/>
  <c r="L280" i="8" s="1"/>
  <c r="J280" i="8"/>
  <c r="K279" i="8"/>
  <c r="L279" i="8" s="1"/>
  <c r="J279" i="8"/>
  <c r="K278" i="8"/>
  <c r="L278" i="8" s="1"/>
  <c r="J278" i="8"/>
  <c r="K277" i="8"/>
  <c r="L277" i="8" s="1"/>
  <c r="J277" i="8"/>
  <c r="K276" i="8"/>
  <c r="L276" i="8" s="1"/>
  <c r="J276" i="8"/>
  <c r="K275" i="8"/>
  <c r="L275" i="8" s="1"/>
  <c r="J275" i="8"/>
  <c r="K274" i="8"/>
  <c r="L274" i="8" s="1"/>
  <c r="J274" i="8"/>
  <c r="K273" i="8"/>
  <c r="L273" i="8" s="1"/>
  <c r="J273" i="8"/>
  <c r="K272" i="8"/>
  <c r="L272" i="8" s="1"/>
  <c r="J272" i="8"/>
  <c r="K271" i="8"/>
  <c r="L271" i="8" s="1"/>
  <c r="J271" i="8"/>
  <c r="K270" i="8"/>
  <c r="L270" i="8" s="1"/>
  <c r="J270" i="8"/>
  <c r="K269" i="8"/>
  <c r="L269" i="8" s="1"/>
  <c r="J269" i="8"/>
  <c r="K268" i="8"/>
  <c r="L268" i="8" s="1"/>
  <c r="J268" i="8"/>
  <c r="K267" i="8"/>
  <c r="L267" i="8" s="1"/>
  <c r="J267" i="8"/>
  <c r="K266" i="8"/>
  <c r="L266" i="8" s="1"/>
  <c r="J266" i="8"/>
  <c r="K265" i="8"/>
  <c r="L265" i="8" s="1"/>
  <c r="J265" i="8"/>
  <c r="K264" i="8"/>
  <c r="L264" i="8" s="1"/>
  <c r="J264" i="8"/>
  <c r="K263" i="8"/>
  <c r="L263" i="8" s="1"/>
  <c r="J263" i="8"/>
  <c r="K262" i="8"/>
  <c r="L262" i="8" s="1"/>
  <c r="J262" i="8"/>
  <c r="K261" i="8" l="1"/>
  <c r="L261" i="8" s="1"/>
  <c r="J261" i="8"/>
  <c r="K260" i="8"/>
  <c r="L260" i="8" s="1"/>
  <c r="J260" i="8"/>
  <c r="K259" i="8"/>
  <c r="L259" i="8" s="1"/>
  <c r="J259" i="8"/>
  <c r="K258" i="8"/>
  <c r="L258" i="8" s="1"/>
  <c r="J258" i="8"/>
  <c r="K257" i="8"/>
  <c r="L257" i="8" s="1"/>
  <c r="J257" i="8"/>
  <c r="K256" i="8"/>
  <c r="L256" i="8" s="1"/>
  <c r="J256" i="8"/>
  <c r="K255" i="8"/>
  <c r="L255" i="8" s="1"/>
  <c r="J255" i="8"/>
  <c r="K254" i="8"/>
  <c r="L254" i="8" s="1"/>
  <c r="J254" i="8"/>
  <c r="K253" i="8"/>
  <c r="L253" i="8" s="1"/>
  <c r="J253" i="8"/>
  <c r="K252" i="8"/>
  <c r="L252" i="8" s="1"/>
  <c r="J252" i="8"/>
  <c r="K251" i="8"/>
  <c r="L251" i="8" s="1"/>
  <c r="J251" i="8"/>
  <c r="K250" i="8"/>
  <c r="L250" i="8" s="1"/>
  <c r="J250" i="8"/>
  <c r="K249" i="8"/>
  <c r="L249" i="8" s="1"/>
  <c r="J249" i="8"/>
  <c r="K248" i="8"/>
  <c r="L248" i="8" s="1"/>
  <c r="J248" i="8"/>
  <c r="K247" i="8"/>
  <c r="L247" i="8" s="1"/>
  <c r="J247" i="8"/>
  <c r="K246" i="8"/>
  <c r="L246" i="8" s="1"/>
  <c r="J246" i="8"/>
  <c r="K245" i="8"/>
  <c r="L245" i="8" s="1"/>
  <c r="J245" i="8"/>
  <c r="K244" i="8"/>
  <c r="L244" i="8" s="1"/>
  <c r="J244" i="8"/>
  <c r="K243" i="8"/>
  <c r="L243" i="8" s="1"/>
  <c r="J243" i="8"/>
  <c r="K242" i="8"/>
  <c r="L242" i="8" s="1"/>
  <c r="J242" i="8"/>
  <c r="K241" i="8"/>
  <c r="L241" i="8" s="1"/>
  <c r="J241" i="8"/>
  <c r="K240" i="8"/>
  <c r="L240" i="8" s="1"/>
  <c r="J240" i="8"/>
  <c r="K239" i="8"/>
  <c r="L239" i="8" s="1"/>
  <c r="J239" i="8"/>
  <c r="K238" i="8"/>
  <c r="L238" i="8" s="1"/>
  <c r="J238" i="8"/>
  <c r="K237" i="8"/>
  <c r="L237" i="8" s="1"/>
  <c r="J237" i="8"/>
  <c r="K236" i="8"/>
  <c r="L236" i="8" s="1"/>
  <c r="J236" i="8"/>
  <c r="K235" i="8"/>
  <c r="L235" i="8" s="1"/>
  <c r="J235" i="8"/>
  <c r="K234" i="8"/>
  <c r="L234" i="8" s="1"/>
  <c r="J234" i="8"/>
  <c r="K233" i="8"/>
  <c r="L233" i="8" s="1"/>
  <c r="J233" i="8"/>
  <c r="K232" i="8"/>
  <c r="L232" i="8" s="1"/>
  <c r="J232" i="8"/>
  <c r="K231" i="8" l="1"/>
  <c r="L231" i="8" s="1"/>
  <c r="J231" i="8"/>
  <c r="K230" i="8"/>
  <c r="L230" i="8" s="1"/>
  <c r="J230" i="8"/>
  <c r="K229" i="8"/>
  <c r="L229" i="8" s="1"/>
  <c r="J229" i="8"/>
  <c r="K228" i="8"/>
  <c r="L228" i="8" s="1"/>
  <c r="J228" i="8"/>
  <c r="K227" i="8"/>
  <c r="L227" i="8" s="1"/>
  <c r="J227" i="8"/>
  <c r="K226" i="8"/>
  <c r="L226" i="8" s="1"/>
  <c r="J226" i="8"/>
  <c r="K225" i="8"/>
  <c r="L225" i="8" s="1"/>
  <c r="J225" i="8"/>
  <c r="K224" i="8"/>
  <c r="L224" i="8" s="1"/>
  <c r="J224" i="8"/>
  <c r="K223" i="8"/>
  <c r="L223" i="8" s="1"/>
  <c r="J223" i="8"/>
  <c r="K222" i="8"/>
  <c r="L222" i="8" s="1"/>
  <c r="J222" i="8"/>
  <c r="K221" i="8"/>
  <c r="L221" i="8" s="1"/>
  <c r="J221" i="8"/>
  <c r="K220" i="8"/>
  <c r="L220" i="8" s="1"/>
  <c r="J220" i="8"/>
  <c r="K219" i="8"/>
  <c r="L219" i="8" s="1"/>
  <c r="J219" i="8"/>
  <c r="K218" i="8"/>
  <c r="L218" i="8" s="1"/>
  <c r="J218" i="8"/>
  <c r="K217" i="8"/>
  <c r="L217" i="8" s="1"/>
  <c r="J217" i="8"/>
  <c r="K216" i="8"/>
  <c r="L216" i="8" s="1"/>
  <c r="J216" i="8"/>
  <c r="K215" i="8"/>
  <c r="L215" i="8" s="1"/>
  <c r="J215" i="8"/>
  <c r="K214" i="8"/>
  <c r="L214" i="8" s="1"/>
  <c r="J214" i="8"/>
  <c r="K213" i="8"/>
  <c r="L213" i="8" s="1"/>
  <c r="J213" i="8"/>
  <c r="K212" i="8"/>
  <c r="L212" i="8" s="1"/>
  <c r="J212" i="8"/>
  <c r="K211" i="8"/>
  <c r="L211" i="8" s="1"/>
  <c r="J211" i="8"/>
  <c r="K210" i="8"/>
  <c r="L210" i="8" s="1"/>
  <c r="J210" i="8"/>
  <c r="K209" i="8"/>
  <c r="L209" i="8" s="1"/>
  <c r="J209" i="8"/>
  <c r="K208" i="8"/>
  <c r="L208" i="8" s="1"/>
  <c r="J208" i="8"/>
  <c r="K207" i="8"/>
  <c r="L207" i="8" s="1"/>
  <c r="J207" i="8"/>
  <c r="K206" i="8"/>
  <c r="L206" i="8" s="1"/>
  <c r="J206" i="8"/>
  <c r="K205" i="8"/>
  <c r="L205" i="8" s="1"/>
  <c r="J205" i="8"/>
  <c r="K203" i="8"/>
  <c r="L203" i="8" s="1"/>
  <c r="J203" i="8"/>
  <c r="K202" i="8"/>
  <c r="L202" i="8" s="1"/>
  <c r="J202" i="8"/>
  <c r="K201" i="8"/>
  <c r="L201" i="8" s="1"/>
  <c r="J201" i="8"/>
  <c r="K200" i="8" l="1"/>
  <c r="L200" i="8" s="1"/>
  <c r="J200" i="8"/>
  <c r="K199" i="8"/>
  <c r="L199" i="8" s="1"/>
  <c r="J199" i="8"/>
  <c r="K198" i="8"/>
  <c r="L198" i="8" s="1"/>
  <c r="J198" i="8"/>
  <c r="K197" i="8"/>
  <c r="L197" i="8" s="1"/>
  <c r="J197" i="8"/>
  <c r="K196" i="8"/>
  <c r="L196" i="8" s="1"/>
  <c r="J196" i="8"/>
  <c r="K195" i="8"/>
  <c r="L195" i="8" s="1"/>
  <c r="J195" i="8"/>
  <c r="K194" i="8"/>
  <c r="L194" i="8" s="1"/>
  <c r="J194" i="8"/>
  <c r="K193" i="8"/>
  <c r="L193" i="8" s="1"/>
  <c r="J193" i="8"/>
  <c r="K192" i="8"/>
  <c r="L192" i="8" s="1"/>
  <c r="J192" i="8"/>
  <c r="K191" i="8"/>
  <c r="L191" i="8" s="1"/>
  <c r="J191" i="8"/>
  <c r="K190" i="8"/>
  <c r="L190" i="8" s="1"/>
  <c r="J190" i="8"/>
  <c r="K189" i="8"/>
  <c r="L189" i="8" s="1"/>
  <c r="J189" i="8"/>
  <c r="K188" i="8"/>
  <c r="L188" i="8" s="1"/>
  <c r="J188" i="8"/>
  <c r="K187" i="8"/>
  <c r="L187" i="8" s="1"/>
  <c r="J187" i="8"/>
  <c r="K186" i="8"/>
  <c r="L186" i="8" s="1"/>
  <c r="J186" i="8"/>
  <c r="K185" i="8"/>
  <c r="L185" i="8" s="1"/>
  <c r="J185" i="8"/>
  <c r="K184" i="8"/>
  <c r="L184" i="8" s="1"/>
  <c r="J184" i="8"/>
  <c r="K183" i="8"/>
  <c r="L183" i="8" s="1"/>
  <c r="J183" i="8"/>
  <c r="K182" i="8"/>
  <c r="L182" i="8" s="1"/>
  <c r="J182" i="8"/>
  <c r="K181" i="8"/>
  <c r="L181" i="8" s="1"/>
  <c r="J181" i="8"/>
  <c r="K180" i="8"/>
  <c r="L180" i="8" s="1"/>
  <c r="J180" i="8"/>
  <c r="K179" i="8"/>
  <c r="L179" i="8" s="1"/>
  <c r="J179" i="8"/>
  <c r="K178" i="8"/>
  <c r="L178" i="8" s="1"/>
  <c r="J178" i="8"/>
  <c r="K177" i="8"/>
  <c r="L177" i="8" s="1"/>
  <c r="J177" i="8"/>
  <c r="K176" i="8"/>
  <c r="L176" i="8" s="1"/>
  <c r="J176" i="8"/>
  <c r="K175" i="8"/>
  <c r="L175" i="8" s="1"/>
  <c r="J175" i="8"/>
  <c r="K174" i="8"/>
  <c r="L174" i="8" s="1"/>
  <c r="J174" i="8"/>
  <c r="K173" i="8"/>
  <c r="L173" i="8" s="1"/>
  <c r="J173" i="8"/>
  <c r="K172" i="8"/>
  <c r="L172" i="8" s="1"/>
  <c r="J172" i="8"/>
  <c r="K171" i="8"/>
  <c r="L171" i="8" s="1"/>
  <c r="J171" i="8"/>
  <c r="K170" i="8" l="1"/>
  <c r="L170" i="8" s="1"/>
  <c r="J170" i="8"/>
  <c r="K169" i="8"/>
  <c r="L169" i="8" s="1"/>
  <c r="J169" i="8"/>
  <c r="K168" i="8"/>
  <c r="L168" i="8" s="1"/>
  <c r="J168" i="8"/>
  <c r="K167" i="8"/>
  <c r="L167" i="8" s="1"/>
  <c r="J167" i="8"/>
  <c r="K166" i="8"/>
  <c r="L166" i="8" s="1"/>
  <c r="J166" i="8"/>
  <c r="K165" i="8"/>
  <c r="L165" i="8" s="1"/>
  <c r="J165" i="8"/>
  <c r="K164" i="8"/>
  <c r="L164" i="8" s="1"/>
  <c r="J164" i="8"/>
  <c r="K163" i="8"/>
  <c r="L163" i="8" s="1"/>
  <c r="J163" i="8"/>
  <c r="K162" i="8"/>
  <c r="L162" i="8" s="1"/>
  <c r="J162" i="8"/>
  <c r="K161" i="8"/>
  <c r="L161" i="8" s="1"/>
  <c r="J161" i="8"/>
  <c r="K160" i="8"/>
  <c r="L160" i="8" s="1"/>
  <c r="J160" i="8"/>
  <c r="K159" i="8"/>
  <c r="L159" i="8" s="1"/>
  <c r="J159" i="8"/>
  <c r="K158" i="8"/>
  <c r="L158" i="8" s="1"/>
  <c r="J158" i="8"/>
  <c r="K157" i="8"/>
  <c r="L157" i="8" s="1"/>
  <c r="J157" i="8"/>
  <c r="K156" i="8"/>
  <c r="L156" i="8" s="1"/>
  <c r="J156" i="8"/>
  <c r="K155" i="8"/>
  <c r="L155" i="8" s="1"/>
  <c r="J155" i="8"/>
  <c r="K154" i="8"/>
  <c r="L154" i="8" s="1"/>
  <c r="J154" i="8"/>
  <c r="K153" i="8"/>
  <c r="L153" i="8" s="1"/>
  <c r="J153" i="8"/>
  <c r="K152" i="8"/>
  <c r="L152" i="8" s="1"/>
  <c r="J152" i="8"/>
  <c r="K151" i="8"/>
  <c r="L151" i="8" s="1"/>
  <c r="J151" i="8"/>
  <c r="K150" i="8"/>
  <c r="L150" i="8" s="1"/>
  <c r="J150" i="8"/>
  <c r="K149" i="8"/>
  <c r="L149" i="8" s="1"/>
  <c r="J149" i="8"/>
  <c r="K148" i="8"/>
  <c r="L148" i="8" s="1"/>
  <c r="J148" i="8"/>
  <c r="K147" i="8"/>
  <c r="L147" i="8" s="1"/>
  <c r="J147" i="8"/>
  <c r="K146" i="8"/>
  <c r="L146" i="8" s="1"/>
  <c r="J146" i="8"/>
  <c r="K145" i="8"/>
  <c r="L145" i="8" s="1"/>
  <c r="J145" i="8"/>
  <c r="K144" i="8"/>
  <c r="L144" i="8" s="1"/>
  <c r="J144" i="8"/>
  <c r="K143" i="8"/>
  <c r="L143" i="8" s="1"/>
  <c r="J143" i="8"/>
  <c r="K142" i="8"/>
  <c r="L142" i="8" s="1"/>
  <c r="J142" i="8"/>
  <c r="K141" i="8"/>
  <c r="L141" i="8" s="1"/>
  <c r="J141" i="8"/>
  <c r="K140" i="8" l="1"/>
  <c r="L140" i="8" s="1"/>
  <c r="J140" i="8"/>
  <c r="K139" i="8"/>
  <c r="L139" i="8" s="1"/>
  <c r="J139" i="8"/>
  <c r="K138" i="8"/>
  <c r="L138" i="8" s="1"/>
  <c r="J138" i="8"/>
  <c r="K137" i="8"/>
  <c r="L137" i="8" s="1"/>
  <c r="J137" i="8"/>
  <c r="K136" i="8"/>
  <c r="L136" i="8" s="1"/>
  <c r="J136" i="8"/>
  <c r="K135" i="8" l="1"/>
  <c r="L135" i="8" s="1"/>
  <c r="J135" i="8"/>
  <c r="K134" i="8"/>
  <c r="L134" i="8" s="1"/>
  <c r="J134" i="8"/>
  <c r="K133" i="8"/>
  <c r="L133" i="8" s="1"/>
  <c r="J133" i="8"/>
  <c r="K132" i="8"/>
  <c r="L132" i="8" s="1"/>
  <c r="J132" i="8"/>
  <c r="K131" i="8"/>
  <c r="L131" i="8" s="1"/>
  <c r="J131" i="8"/>
  <c r="K130" i="8"/>
  <c r="L130" i="8" s="1"/>
  <c r="J130" i="8"/>
  <c r="K129" i="8"/>
  <c r="L129" i="8" s="1"/>
  <c r="J129" i="8"/>
  <c r="K128" i="8"/>
  <c r="L128" i="8" s="1"/>
  <c r="J128" i="8"/>
  <c r="K127" i="8"/>
  <c r="L127" i="8" s="1"/>
  <c r="J127" i="8"/>
  <c r="K126" i="8"/>
  <c r="L126" i="8" s="1"/>
  <c r="J126" i="8"/>
  <c r="K125" i="8"/>
  <c r="L125" i="8" s="1"/>
  <c r="J125" i="8"/>
  <c r="K124" i="8"/>
  <c r="L124" i="8" s="1"/>
  <c r="J124" i="8"/>
  <c r="K123" i="8"/>
  <c r="L123" i="8" s="1"/>
  <c r="J123" i="8"/>
  <c r="K122" i="8"/>
  <c r="L122" i="8" s="1"/>
  <c r="J122" i="8"/>
  <c r="K121" i="8"/>
  <c r="L121" i="8" s="1"/>
  <c r="J121" i="8"/>
  <c r="K120" i="8"/>
  <c r="L120" i="8" s="1"/>
  <c r="J120" i="8"/>
  <c r="K119" i="8"/>
  <c r="L119" i="8" s="1"/>
  <c r="J119" i="8"/>
  <c r="K118" i="8"/>
  <c r="L118" i="8" s="1"/>
  <c r="J118" i="8"/>
  <c r="K117" i="8"/>
  <c r="L117" i="8" s="1"/>
  <c r="J117" i="8"/>
  <c r="K116" i="8"/>
  <c r="L116" i="8" s="1"/>
  <c r="J116" i="8"/>
  <c r="K115" i="8"/>
  <c r="L115" i="8" s="1"/>
  <c r="J115" i="8"/>
  <c r="K114" i="8"/>
  <c r="L114" i="8" s="1"/>
  <c r="J114" i="8"/>
  <c r="K113" i="8"/>
  <c r="L113" i="8" s="1"/>
  <c r="J113" i="8"/>
  <c r="K112" i="8"/>
  <c r="L112" i="8" s="1"/>
  <c r="J112" i="8"/>
  <c r="K111" i="8"/>
  <c r="L111" i="8" s="1"/>
  <c r="J111" i="8"/>
  <c r="K103" i="8" l="1"/>
  <c r="L103" i="8" s="1"/>
  <c r="J103" i="8"/>
  <c r="K110" i="8" l="1"/>
  <c r="L110" i="8" s="1"/>
  <c r="J110" i="8"/>
  <c r="K109" i="8"/>
  <c r="L109" i="8" s="1"/>
  <c r="J109" i="8"/>
  <c r="K108" i="8"/>
  <c r="L108" i="8" s="1"/>
  <c r="J108" i="8"/>
  <c r="K107" i="8"/>
  <c r="L107" i="8" s="1"/>
  <c r="J107" i="8"/>
  <c r="K106" i="8"/>
  <c r="L106" i="8" s="1"/>
  <c r="J106" i="8"/>
  <c r="K105" i="8"/>
  <c r="L105" i="8" s="1"/>
  <c r="J105" i="8"/>
  <c r="K104" i="8"/>
  <c r="L104" i="8" s="1"/>
  <c r="J104" i="8"/>
  <c r="K102" i="8"/>
  <c r="L102" i="8" s="1"/>
  <c r="J102" i="8"/>
  <c r="K101" i="8"/>
  <c r="L101" i="8" s="1"/>
  <c r="J101" i="8"/>
  <c r="K100" i="8"/>
  <c r="L100" i="8" s="1"/>
  <c r="J100" i="8"/>
  <c r="K99" i="8"/>
  <c r="L99" i="8" s="1"/>
  <c r="J99" i="8"/>
  <c r="K98" i="8"/>
  <c r="L98" i="8" s="1"/>
  <c r="J98" i="8"/>
  <c r="K97" i="8"/>
  <c r="L97" i="8" s="1"/>
  <c r="J97" i="8"/>
  <c r="K96" i="8"/>
  <c r="L96" i="8" s="1"/>
  <c r="J96" i="8"/>
  <c r="K95" i="8"/>
  <c r="L95" i="8" s="1"/>
  <c r="J95" i="8"/>
  <c r="K94" i="8"/>
  <c r="L94" i="8" s="1"/>
  <c r="J94" i="8"/>
  <c r="K93" i="8"/>
  <c r="L93" i="8" s="1"/>
  <c r="J93" i="8"/>
  <c r="K92" i="8"/>
  <c r="L92" i="8" s="1"/>
  <c r="J92" i="8"/>
  <c r="K91" i="8"/>
  <c r="L91" i="8" s="1"/>
  <c r="J91" i="8"/>
  <c r="K90" i="8"/>
  <c r="L90" i="8" s="1"/>
  <c r="J90" i="8"/>
  <c r="K89" i="8"/>
  <c r="L89" i="8" s="1"/>
  <c r="J89" i="8"/>
  <c r="K88" i="8"/>
  <c r="L88" i="8" s="1"/>
  <c r="J88" i="8"/>
  <c r="K87" i="8"/>
  <c r="L87" i="8" s="1"/>
  <c r="J87" i="8"/>
  <c r="K86" i="8"/>
  <c r="L86" i="8" s="1"/>
  <c r="J86" i="8"/>
  <c r="K85" i="8"/>
  <c r="L85" i="8" s="1"/>
  <c r="J85" i="8"/>
  <c r="K84" i="8"/>
  <c r="L84" i="8" s="1"/>
  <c r="J84" i="8"/>
  <c r="K83" i="8"/>
  <c r="L83" i="8" s="1"/>
  <c r="J83" i="8"/>
  <c r="K82" i="8"/>
  <c r="L82" i="8" s="1"/>
  <c r="J82" i="8"/>
  <c r="K81" i="8"/>
  <c r="L81" i="8" s="1"/>
  <c r="J81" i="8"/>
  <c r="K80" i="8" l="1"/>
  <c r="L80" i="8" s="1"/>
  <c r="J80" i="8"/>
  <c r="K79" i="8"/>
  <c r="L79" i="8" s="1"/>
  <c r="J79" i="8"/>
  <c r="K78" i="8"/>
  <c r="L78" i="8" s="1"/>
  <c r="J78" i="8"/>
  <c r="K77" i="8"/>
  <c r="L77" i="8" s="1"/>
  <c r="J77" i="8"/>
  <c r="K76" i="8"/>
  <c r="L76" i="8" s="1"/>
  <c r="J76" i="8"/>
  <c r="K75" i="8"/>
  <c r="L75" i="8" s="1"/>
  <c r="J75" i="8"/>
  <c r="K74" i="8"/>
  <c r="L74" i="8" s="1"/>
  <c r="J74" i="8"/>
  <c r="K73" i="8"/>
  <c r="L73" i="8" s="1"/>
  <c r="J73" i="8"/>
  <c r="K72" i="8"/>
  <c r="L72" i="8" s="1"/>
  <c r="J72" i="8"/>
  <c r="K71" i="8"/>
  <c r="L71" i="8" s="1"/>
  <c r="J71" i="8"/>
  <c r="K70" i="8"/>
  <c r="L70" i="8" s="1"/>
  <c r="J70" i="8"/>
  <c r="K69" i="8"/>
  <c r="L69" i="8" s="1"/>
  <c r="J69" i="8"/>
  <c r="K68" i="8"/>
  <c r="L68" i="8" s="1"/>
  <c r="J68" i="8"/>
  <c r="K67" i="8"/>
  <c r="L67" i="8" s="1"/>
  <c r="J67" i="8"/>
  <c r="K66" i="8"/>
  <c r="L66" i="8" s="1"/>
  <c r="J66" i="8"/>
  <c r="K65" i="8"/>
  <c r="L65" i="8" s="1"/>
  <c r="J65" i="8"/>
  <c r="K64" i="8"/>
  <c r="L64" i="8" s="1"/>
  <c r="J64" i="8"/>
  <c r="K63" i="8"/>
  <c r="L63" i="8" s="1"/>
  <c r="J63" i="8"/>
  <c r="K62" i="8"/>
  <c r="L62" i="8" s="1"/>
  <c r="J62" i="8"/>
  <c r="K61" i="8"/>
  <c r="L61" i="8" s="1"/>
  <c r="J61" i="8"/>
  <c r="K60" i="8"/>
  <c r="L60" i="8" s="1"/>
  <c r="J60" i="8"/>
  <c r="K59" i="8"/>
  <c r="L59" i="8" s="1"/>
  <c r="J59" i="8"/>
  <c r="K58" i="8"/>
  <c r="L58" i="8" s="1"/>
  <c r="J58" i="8"/>
  <c r="K57" i="8"/>
  <c r="L57" i="8" s="1"/>
  <c r="J57" i="8"/>
  <c r="K56" i="8"/>
  <c r="L56" i="8" s="1"/>
  <c r="J56" i="8"/>
  <c r="K55" i="8"/>
  <c r="L55" i="8" s="1"/>
  <c r="J55" i="8"/>
  <c r="K54" i="8"/>
  <c r="L54" i="8" s="1"/>
  <c r="J54" i="8"/>
  <c r="K53" i="8"/>
  <c r="L53" i="8" s="1"/>
  <c r="J53" i="8"/>
  <c r="K52" i="8"/>
  <c r="L52" i="8" s="1"/>
  <c r="J52" i="8"/>
  <c r="K51" i="8"/>
  <c r="L51" i="8" s="1"/>
  <c r="J51" i="8"/>
  <c r="K50" i="8" l="1"/>
  <c r="L50" i="8" s="1"/>
  <c r="J50" i="8"/>
  <c r="K49" i="8"/>
  <c r="L49" i="8" s="1"/>
  <c r="J49" i="8"/>
  <c r="K48" i="8"/>
  <c r="L48" i="8" s="1"/>
  <c r="J48" i="8"/>
  <c r="K47" i="8"/>
  <c r="L47" i="8" s="1"/>
  <c r="J47" i="8"/>
  <c r="K46" i="8"/>
  <c r="L46" i="8" s="1"/>
  <c r="J46" i="8"/>
  <c r="K45" i="8"/>
  <c r="L45" i="8" s="1"/>
  <c r="J45" i="8"/>
  <c r="K44" i="8"/>
  <c r="L44" i="8" s="1"/>
  <c r="J44" i="8"/>
  <c r="K43" i="8"/>
  <c r="L43" i="8" s="1"/>
  <c r="J43" i="8"/>
  <c r="K42" i="8"/>
  <c r="L42" i="8" s="1"/>
  <c r="J42" i="8"/>
  <c r="K41" i="8"/>
  <c r="L41" i="8" s="1"/>
  <c r="J41" i="8"/>
  <c r="K40" i="8"/>
  <c r="L40" i="8" s="1"/>
  <c r="J40" i="8"/>
  <c r="K39" i="8"/>
  <c r="L39" i="8" s="1"/>
  <c r="J39" i="8"/>
  <c r="K38" i="8"/>
  <c r="L38" i="8" s="1"/>
  <c r="J38" i="8"/>
  <c r="K37" i="8"/>
  <c r="L37" i="8" s="1"/>
  <c r="J37" i="8"/>
  <c r="K36" i="8"/>
  <c r="L36" i="8" s="1"/>
  <c r="J36" i="8"/>
  <c r="K35" i="8"/>
  <c r="L35" i="8" s="1"/>
  <c r="J35" i="8"/>
  <c r="K34" i="8"/>
  <c r="L34" i="8" s="1"/>
  <c r="J34" i="8"/>
  <c r="K33" i="8"/>
  <c r="L33" i="8" s="1"/>
  <c r="J33" i="8"/>
  <c r="K32" i="8"/>
  <c r="L32" i="8" s="1"/>
  <c r="J32" i="8"/>
  <c r="K31" i="8"/>
  <c r="L31" i="8" s="1"/>
  <c r="J31" i="8"/>
  <c r="K30" i="8"/>
  <c r="L30" i="8" s="1"/>
  <c r="J30" i="8"/>
  <c r="K29" i="8"/>
  <c r="L29" i="8" s="1"/>
  <c r="J29" i="8"/>
  <c r="K28" i="8"/>
  <c r="L28" i="8" s="1"/>
  <c r="J28" i="8"/>
  <c r="K27" i="8"/>
  <c r="L27" i="8" s="1"/>
  <c r="J27" i="8"/>
  <c r="K26" i="8"/>
  <c r="L26" i="8" s="1"/>
  <c r="J26" i="8"/>
  <c r="K25" i="8"/>
  <c r="L25" i="8" s="1"/>
  <c r="J25" i="8"/>
  <c r="K24" i="8"/>
  <c r="L24" i="8" s="1"/>
  <c r="J24" i="8"/>
  <c r="K23" i="8"/>
  <c r="L23" i="8" s="1"/>
  <c r="J23" i="8"/>
  <c r="K22" i="8"/>
  <c r="L22" i="8" s="1"/>
  <c r="J22" i="8"/>
  <c r="K21" i="8"/>
  <c r="L21" i="8" s="1"/>
  <c r="J21" i="8"/>
  <c r="L3" i="8" l="1"/>
  <c r="D8" i="13" s="1"/>
  <c r="K194" i="7"/>
  <c r="L194" i="7" s="1"/>
  <c r="J194" i="7"/>
  <c r="C194" i="7"/>
  <c r="N3" i="8" l="1"/>
  <c r="K371" i="7"/>
  <c r="L371" i="7" s="1"/>
  <c r="J371" i="7"/>
  <c r="C371" i="7"/>
  <c r="K370" i="7"/>
  <c r="L370" i="7" s="1"/>
  <c r="J370" i="7"/>
  <c r="C370" i="7"/>
  <c r="K369" i="7"/>
  <c r="L369" i="7" s="1"/>
  <c r="J369" i="7"/>
  <c r="C369" i="7"/>
  <c r="K368" i="7"/>
  <c r="L368" i="7" s="1"/>
  <c r="J368" i="7"/>
  <c r="C368" i="7"/>
  <c r="K367" i="7"/>
  <c r="L367" i="7" s="1"/>
  <c r="K366" i="7"/>
  <c r="L366" i="7" s="1"/>
  <c r="J366" i="7"/>
  <c r="K365" i="7"/>
  <c r="L365" i="7" s="1"/>
  <c r="J365" i="7"/>
  <c r="C365" i="7"/>
  <c r="K364" i="7"/>
  <c r="L364" i="7" s="1"/>
  <c r="J364" i="7"/>
  <c r="C364" i="7"/>
  <c r="K363" i="7"/>
  <c r="L363" i="7" s="1"/>
  <c r="J363" i="7"/>
  <c r="C363" i="7"/>
  <c r="K362" i="7"/>
  <c r="L362" i="7" s="1"/>
  <c r="J362" i="7"/>
  <c r="C362" i="7"/>
  <c r="K361" i="7"/>
  <c r="L361" i="7" s="1"/>
  <c r="J361" i="7"/>
  <c r="C361" i="7"/>
  <c r="K360" i="7"/>
  <c r="L360" i="7" s="1"/>
  <c r="J360" i="7"/>
  <c r="C360" i="7"/>
  <c r="K359" i="7"/>
  <c r="L359" i="7" s="1"/>
  <c r="J359" i="7"/>
  <c r="C359" i="7"/>
  <c r="K358" i="7"/>
  <c r="L358" i="7" s="1"/>
  <c r="J358" i="7"/>
  <c r="C358" i="7"/>
  <c r="K357" i="7"/>
  <c r="L357" i="7" s="1"/>
  <c r="J357" i="7"/>
  <c r="C357" i="7"/>
  <c r="K356" i="7" l="1"/>
  <c r="L356" i="7" s="1"/>
  <c r="J356" i="7"/>
  <c r="C356" i="7"/>
  <c r="K355" i="7"/>
  <c r="L355" i="7" s="1"/>
  <c r="J355" i="7"/>
  <c r="C355" i="7"/>
  <c r="K354" i="7"/>
  <c r="L354" i="7" s="1"/>
  <c r="J354" i="7"/>
  <c r="C354" i="7"/>
  <c r="K353" i="7"/>
  <c r="L353" i="7" s="1"/>
  <c r="J353" i="7"/>
  <c r="C353" i="7"/>
  <c r="K352" i="7"/>
  <c r="L352" i="7" s="1"/>
  <c r="J352" i="7"/>
  <c r="C352" i="7"/>
  <c r="K351" i="7"/>
  <c r="L351" i="7" s="1"/>
  <c r="J351" i="7"/>
  <c r="C351" i="7"/>
  <c r="K350" i="7"/>
  <c r="L350" i="7" s="1"/>
  <c r="J350" i="7"/>
  <c r="C350" i="7"/>
  <c r="K349" i="7"/>
  <c r="L349" i="7" s="1"/>
  <c r="J349" i="7"/>
  <c r="C349" i="7"/>
  <c r="K348" i="7"/>
  <c r="L348" i="7" s="1"/>
  <c r="J348" i="7"/>
  <c r="C348" i="7"/>
  <c r="K347" i="7"/>
  <c r="L347" i="7" s="1"/>
  <c r="J347" i="7"/>
  <c r="C347" i="7"/>
  <c r="K346" i="7"/>
  <c r="L346" i="7" s="1"/>
  <c r="J346" i="7"/>
  <c r="C346" i="7"/>
  <c r="K345" i="7"/>
  <c r="L345" i="7" s="1"/>
  <c r="J345" i="7"/>
  <c r="C345" i="7"/>
  <c r="K344" i="7"/>
  <c r="L344" i="7" s="1"/>
  <c r="J344" i="7"/>
  <c r="C344" i="7"/>
  <c r="K343" i="7"/>
  <c r="L343" i="7" s="1"/>
  <c r="J343" i="7"/>
  <c r="C343" i="7"/>
  <c r="K342" i="7"/>
  <c r="L342" i="7" s="1"/>
  <c r="J342" i="7"/>
  <c r="C342" i="7"/>
  <c r="K341" i="7"/>
  <c r="L341" i="7" s="1"/>
  <c r="J341" i="7"/>
  <c r="C341" i="7"/>
  <c r="K340" i="7"/>
  <c r="L340" i="7" s="1"/>
  <c r="J340" i="7"/>
  <c r="C340" i="7"/>
  <c r="K339" i="7"/>
  <c r="L339" i="7" s="1"/>
  <c r="J339" i="7"/>
  <c r="C339" i="7"/>
  <c r="K338" i="7"/>
  <c r="L338" i="7" s="1"/>
  <c r="J338" i="7"/>
  <c r="C338" i="7"/>
  <c r="K337" i="7"/>
  <c r="L337" i="7" s="1"/>
  <c r="J337" i="7"/>
  <c r="C337" i="7"/>
  <c r="K336" i="7"/>
  <c r="L336" i="7" s="1"/>
  <c r="J336" i="7"/>
  <c r="C336" i="7"/>
  <c r="K335" i="7"/>
  <c r="L335" i="7" s="1"/>
  <c r="J335" i="7"/>
  <c r="C335" i="7"/>
  <c r="K334" i="7"/>
  <c r="L334" i="7" s="1"/>
  <c r="J334" i="7"/>
  <c r="C334" i="7"/>
  <c r="K333" i="7"/>
  <c r="L333" i="7" s="1"/>
  <c r="J333" i="7"/>
  <c r="C333" i="7"/>
  <c r="K332" i="7"/>
  <c r="L332" i="7" s="1"/>
  <c r="J332" i="7"/>
  <c r="C332" i="7"/>
  <c r="K331" i="7"/>
  <c r="L331" i="7" s="1"/>
  <c r="J331" i="7"/>
  <c r="C331" i="7"/>
  <c r="K330" i="7"/>
  <c r="L330" i="7" s="1"/>
  <c r="J330" i="7"/>
  <c r="C330" i="7"/>
  <c r="K329" i="7"/>
  <c r="L329" i="7" s="1"/>
  <c r="J329" i="7"/>
  <c r="C329" i="7"/>
  <c r="K328" i="7"/>
  <c r="L328" i="7" s="1"/>
  <c r="J328" i="7"/>
  <c r="C328" i="7"/>
  <c r="K327" i="7"/>
  <c r="L327" i="7" s="1"/>
  <c r="J327" i="7"/>
  <c r="C327" i="7"/>
  <c r="K326" i="7" l="1"/>
  <c r="L326" i="7" s="1"/>
  <c r="J326" i="7"/>
  <c r="C326" i="7"/>
  <c r="K325" i="7"/>
  <c r="L325" i="7" s="1"/>
  <c r="J325" i="7"/>
  <c r="C325" i="7"/>
  <c r="K324" i="7"/>
  <c r="L324" i="7" s="1"/>
  <c r="J324" i="7"/>
  <c r="C324" i="7"/>
  <c r="K323" i="7"/>
  <c r="L323" i="7" s="1"/>
  <c r="J323" i="7"/>
  <c r="C323" i="7"/>
  <c r="K322" i="7"/>
  <c r="L322" i="7" s="1"/>
  <c r="J322" i="7"/>
  <c r="C322" i="7"/>
  <c r="K321" i="7"/>
  <c r="L321" i="7" s="1"/>
  <c r="J321" i="7"/>
  <c r="C321" i="7"/>
  <c r="K320" i="7"/>
  <c r="L320" i="7" s="1"/>
  <c r="J320" i="7"/>
  <c r="C320" i="7"/>
  <c r="K319" i="7"/>
  <c r="L319" i="7" s="1"/>
  <c r="J319" i="7"/>
  <c r="C319" i="7"/>
  <c r="K318" i="7"/>
  <c r="L318" i="7" s="1"/>
  <c r="J318" i="7"/>
  <c r="C318" i="7"/>
  <c r="K317" i="7"/>
  <c r="L317" i="7" s="1"/>
  <c r="J317" i="7"/>
  <c r="C317" i="7"/>
  <c r="K316" i="7"/>
  <c r="L316" i="7" s="1"/>
  <c r="J316" i="7"/>
  <c r="C316" i="7"/>
  <c r="K315" i="7"/>
  <c r="L315" i="7" s="1"/>
  <c r="J315" i="7"/>
  <c r="C315" i="7"/>
  <c r="K314" i="7"/>
  <c r="L314" i="7" s="1"/>
  <c r="J314" i="7"/>
  <c r="C314" i="7"/>
  <c r="K313" i="7"/>
  <c r="L313" i="7" s="1"/>
  <c r="J313" i="7"/>
  <c r="C313" i="7"/>
  <c r="K312" i="7"/>
  <c r="L312" i="7" s="1"/>
  <c r="J312" i="7"/>
  <c r="C312" i="7"/>
  <c r="K311" i="7"/>
  <c r="L311" i="7" s="1"/>
  <c r="J311" i="7"/>
  <c r="C311" i="7"/>
  <c r="K310" i="7"/>
  <c r="L310" i="7" s="1"/>
  <c r="J310" i="7"/>
  <c r="C310" i="7"/>
  <c r="K309" i="7"/>
  <c r="L309" i="7" s="1"/>
  <c r="J309" i="7"/>
  <c r="C309" i="7"/>
  <c r="K308" i="7"/>
  <c r="L308" i="7" s="1"/>
  <c r="J308" i="7"/>
  <c r="C308" i="7"/>
  <c r="K307" i="7"/>
  <c r="L307" i="7" s="1"/>
  <c r="J307" i="7"/>
  <c r="C307" i="7"/>
  <c r="K306" i="7"/>
  <c r="L306" i="7" s="1"/>
  <c r="J306" i="7"/>
  <c r="C306" i="7"/>
  <c r="K305" i="7"/>
  <c r="L305" i="7" s="1"/>
  <c r="J305" i="7"/>
  <c r="C305" i="7"/>
  <c r="K304" i="7"/>
  <c r="L304" i="7" s="1"/>
  <c r="J304" i="7"/>
  <c r="C304" i="7"/>
  <c r="K303" i="7"/>
  <c r="L303" i="7" s="1"/>
  <c r="J303" i="7"/>
  <c r="C303" i="7"/>
  <c r="K302" i="7"/>
  <c r="L302" i="7" s="1"/>
  <c r="J302" i="7"/>
  <c r="C302" i="7"/>
  <c r="K301" i="7"/>
  <c r="L301" i="7" s="1"/>
  <c r="J301" i="7"/>
  <c r="C301" i="7"/>
  <c r="K300" i="7"/>
  <c r="L300" i="7" s="1"/>
  <c r="J300" i="7"/>
  <c r="C300" i="7"/>
  <c r="K299" i="7"/>
  <c r="L299" i="7" s="1"/>
  <c r="J299" i="7"/>
  <c r="C299" i="7"/>
  <c r="K298" i="7"/>
  <c r="L298" i="7" s="1"/>
  <c r="J298" i="7"/>
  <c r="C298" i="7"/>
  <c r="K297" i="7"/>
  <c r="L297" i="7" s="1"/>
  <c r="J297" i="7"/>
  <c r="C297" i="7"/>
  <c r="C277" i="7" l="1"/>
  <c r="K296" i="7" l="1"/>
  <c r="L296" i="7" s="1"/>
  <c r="J296" i="7"/>
  <c r="C296" i="7"/>
  <c r="K295" i="7"/>
  <c r="L295" i="7" s="1"/>
  <c r="J295" i="7"/>
  <c r="C295" i="7"/>
  <c r="K294" i="7"/>
  <c r="L294" i="7" s="1"/>
  <c r="J294" i="7"/>
  <c r="C294" i="7"/>
  <c r="K293" i="7"/>
  <c r="L293" i="7" s="1"/>
  <c r="J293" i="7"/>
  <c r="C293" i="7"/>
  <c r="K292" i="7"/>
  <c r="L292" i="7" s="1"/>
  <c r="J292" i="7"/>
  <c r="C292" i="7"/>
  <c r="K291" i="7"/>
  <c r="L291" i="7" s="1"/>
  <c r="J291" i="7"/>
  <c r="C291" i="7"/>
  <c r="K290" i="7"/>
  <c r="L290" i="7" s="1"/>
  <c r="J290" i="7"/>
  <c r="C290" i="7"/>
  <c r="K289" i="7"/>
  <c r="L289" i="7" s="1"/>
  <c r="J289" i="7"/>
  <c r="C289" i="7"/>
  <c r="K288" i="7"/>
  <c r="L288" i="7" s="1"/>
  <c r="J288" i="7"/>
  <c r="C288" i="7"/>
  <c r="K287" i="7"/>
  <c r="L287" i="7" s="1"/>
  <c r="J287" i="7"/>
  <c r="C287" i="7"/>
  <c r="K286" i="7"/>
  <c r="L286" i="7" s="1"/>
  <c r="J286" i="7"/>
  <c r="C286" i="7"/>
  <c r="K285" i="7"/>
  <c r="L285" i="7" s="1"/>
  <c r="J285" i="7"/>
  <c r="C285" i="7"/>
  <c r="K284" i="7"/>
  <c r="L284" i="7" s="1"/>
  <c r="J284" i="7"/>
  <c r="C284" i="7"/>
  <c r="K283" i="7"/>
  <c r="L283" i="7" s="1"/>
  <c r="J283" i="7"/>
  <c r="C283" i="7"/>
  <c r="K282" i="7"/>
  <c r="L282" i="7" s="1"/>
  <c r="J282" i="7"/>
  <c r="C282" i="7"/>
  <c r="K281" i="7"/>
  <c r="L281" i="7" s="1"/>
  <c r="J281" i="7"/>
  <c r="C281" i="7"/>
  <c r="K280" i="7"/>
  <c r="L280" i="7" s="1"/>
  <c r="J280" i="7"/>
  <c r="C280" i="7"/>
  <c r="K279" i="7"/>
  <c r="L279" i="7" s="1"/>
  <c r="J279" i="7"/>
  <c r="C279" i="7"/>
  <c r="K278" i="7"/>
  <c r="L278" i="7" s="1"/>
  <c r="J278" i="7"/>
  <c r="C278" i="7"/>
  <c r="K277" i="7"/>
  <c r="L277" i="7" s="1"/>
  <c r="J277" i="7"/>
  <c r="K276" i="7"/>
  <c r="L276" i="7" s="1"/>
  <c r="J276" i="7"/>
  <c r="C276" i="7"/>
  <c r="L275" i="7"/>
  <c r="J275" i="7"/>
  <c r="C275" i="7"/>
  <c r="K274" i="7"/>
  <c r="L274" i="7" s="1"/>
  <c r="J274" i="7"/>
  <c r="C274" i="7"/>
  <c r="K273" i="7"/>
  <c r="L273" i="7" s="1"/>
  <c r="J273" i="7"/>
  <c r="C273" i="7"/>
  <c r="K272" i="7"/>
  <c r="L272" i="7" s="1"/>
  <c r="J272" i="7"/>
  <c r="C272" i="7"/>
  <c r="K271" i="7"/>
  <c r="L271" i="7" s="1"/>
  <c r="J271" i="7"/>
  <c r="C271" i="7"/>
  <c r="K270" i="7"/>
  <c r="L270" i="7" s="1"/>
  <c r="J270" i="7"/>
  <c r="C270" i="7"/>
  <c r="K269" i="7"/>
  <c r="L269" i="7" s="1"/>
  <c r="J269" i="7"/>
  <c r="C269" i="7"/>
  <c r="K268" i="7"/>
  <c r="L268" i="7" s="1"/>
  <c r="J268" i="7"/>
  <c r="C268" i="7"/>
  <c r="K267" i="7"/>
  <c r="L267" i="7" s="1"/>
  <c r="J267" i="7"/>
  <c r="C267" i="7"/>
  <c r="K253" i="7" l="1"/>
  <c r="L253" i="7" s="1"/>
  <c r="J253" i="7"/>
  <c r="C253" i="7"/>
  <c r="Y193" i="7" l="1"/>
  <c r="K266" i="7" l="1"/>
  <c r="L266" i="7" s="1"/>
  <c r="J266" i="7"/>
  <c r="C266" i="7"/>
  <c r="K265" i="7"/>
  <c r="L265" i="7" s="1"/>
  <c r="J265" i="7"/>
  <c r="C265" i="7"/>
  <c r="K264" i="7"/>
  <c r="L264" i="7" s="1"/>
  <c r="J264" i="7"/>
  <c r="C264" i="7"/>
  <c r="K263" i="7"/>
  <c r="L263" i="7" s="1"/>
  <c r="J263" i="7"/>
  <c r="C263" i="7"/>
  <c r="K262" i="7"/>
  <c r="L262" i="7" s="1"/>
  <c r="J262" i="7"/>
  <c r="C262" i="7"/>
  <c r="K261" i="7"/>
  <c r="L261" i="7" s="1"/>
  <c r="J261" i="7"/>
  <c r="C261" i="7"/>
  <c r="K260" i="7"/>
  <c r="L260" i="7" s="1"/>
  <c r="J260" i="7"/>
  <c r="C260" i="7"/>
  <c r="K259" i="7"/>
  <c r="L259" i="7" s="1"/>
  <c r="J259" i="7"/>
  <c r="C259" i="7"/>
  <c r="K258" i="7"/>
  <c r="L258" i="7" s="1"/>
  <c r="J258" i="7"/>
  <c r="C258" i="7"/>
  <c r="K257" i="7"/>
  <c r="L257" i="7" s="1"/>
  <c r="J257" i="7"/>
  <c r="C257" i="7"/>
  <c r="K256" i="7"/>
  <c r="L256" i="7" s="1"/>
  <c r="J256" i="7"/>
  <c r="C256" i="7"/>
  <c r="K255" i="7"/>
  <c r="L255" i="7" s="1"/>
  <c r="J255" i="7"/>
  <c r="C255" i="7"/>
  <c r="K254" i="7"/>
  <c r="L254" i="7" s="1"/>
  <c r="J254" i="7"/>
  <c r="C254" i="7"/>
  <c r="K252" i="7"/>
  <c r="L252" i="7" s="1"/>
  <c r="J252" i="7"/>
  <c r="C252" i="7"/>
  <c r="K251" i="7"/>
  <c r="L251" i="7" s="1"/>
  <c r="J251" i="7"/>
  <c r="C251" i="7"/>
  <c r="K250" i="7"/>
  <c r="L250" i="7" s="1"/>
  <c r="J250" i="7"/>
  <c r="C250" i="7"/>
  <c r="K249" i="7"/>
  <c r="L249" i="7" s="1"/>
  <c r="J249" i="7"/>
  <c r="C249" i="7"/>
  <c r="K248" i="7"/>
  <c r="L248" i="7" s="1"/>
  <c r="J248" i="7"/>
  <c r="C248" i="7"/>
  <c r="K247" i="7"/>
  <c r="L247" i="7" s="1"/>
  <c r="J247" i="7"/>
  <c r="C247" i="7"/>
  <c r="K246" i="7"/>
  <c r="L246" i="7" s="1"/>
  <c r="J246" i="7"/>
  <c r="C246" i="7"/>
  <c r="K245" i="7"/>
  <c r="L245" i="7" s="1"/>
  <c r="J245" i="7"/>
  <c r="C245" i="7"/>
  <c r="K244" i="7"/>
  <c r="L244" i="7" s="1"/>
  <c r="J244" i="7"/>
  <c r="C244" i="7"/>
  <c r="K243" i="7"/>
  <c r="L243" i="7" s="1"/>
  <c r="J243" i="7"/>
  <c r="C243" i="7"/>
  <c r="K242" i="7"/>
  <c r="L242" i="7" s="1"/>
  <c r="J242" i="7"/>
  <c r="C242" i="7"/>
  <c r="K241" i="7"/>
  <c r="L241" i="7" s="1"/>
  <c r="J241" i="7"/>
  <c r="C241" i="7"/>
  <c r="K240" i="7"/>
  <c r="L240" i="7" s="1"/>
  <c r="J240" i="7"/>
  <c r="C240" i="7"/>
  <c r="K239" i="7"/>
  <c r="L239" i="7" s="1"/>
  <c r="J239" i="7"/>
  <c r="K238" i="7"/>
  <c r="L238" i="7" s="1"/>
  <c r="J238" i="7"/>
  <c r="C238" i="7"/>
  <c r="K237" i="7"/>
  <c r="L237" i="7" s="1"/>
  <c r="J237" i="7"/>
  <c r="J228" i="7" l="1"/>
  <c r="C228" i="7"/>
  <c r="C255" i="4" l="1"/>
  <c r="K236" i="7" l="1"/>
  <c r="L236" i="7" s="1"/>
  <c r="J236" i="7"/>
  <c r="K235" i="7"/>
  <c r="L235" i="7" s="1"/>
  <c r="J235" i="7"/>
  <c r="C235" i="7"/>
  <c r="K234" i="7"/>
  <c r="L234" i="7" s="1"/>
  <c r="J234" i="7"/>
  <c r="C234" i="7"/>
  <c r="K233" i="7"/>
  <c r="L233" i="7" s="1"/>
  <c r="J233" i="7"/>
  <c r="C233" i="7"/>
  <c r="K232" i="7"/>
  <c r="L232" i="7" s="1"/>
  <c r="J232" i="7"/>
  <c r="C232" i="7"/>
  <c r="K231" i="7"/>
  <c r="L231" i="7" s="1"/>
  <c r="J231" i="7"/>
  <c r="C231" i="7"/>
  <c r="K230" i="7"/>
  <c r="L230" i="7" s="1"/>
  <c r="J230" i="7"/>
  <c r="C230" i="7"/>
  <c r="K227" i="7"/>
  <c r="L227" i="7" s="1"/>
  <c r="J227" i="7"/>
  <c r="C227" i="7"/>
  <c r="K226" i="7"/>
  <c r="L226" i="7" s="1"/>
  <c r="J226" i="7"/>
  <c r="C226" i="7"/>
  <c r="K225" i="7"/>
  <c r="L225" i="7" s="1"/>
  <c r="J225" i="7"/>
  <c r="C225" i="7"/>
  <c r="K224" i="7"/>
  <c r="L224" i="7" s="1"/>
  <c r="J224" i="7"/>
  <c r="C224" i="7"/>
  <c r="K223" i="7"/>
  <c r="L223" i="7" s="1"/>
  <c r="J223" i="7"/>
  <c r="C223" i="7"/>
  <c r="K222" i="7"/>
  <c r="L222" i="7" s="1"/>
  <c r="J222" i="7"/>
  <c r="C222" i="7"/>
  <c r="K221" i="7"/>
  <c r="L221" i="7" s="1"/>
  <c r="J221" i="7"/>
  <c r="C221" i="7"/>
  <c r="K220" i="7"/>
  <c r="L220" i="7" s="1"/>
  <c r="J220" i="7"/>
  <c r="C220" i="7"/>
  <c r="K219" i="7"/>
  <c r="L219" i="7" s="1"/>
  <c r="J219" i="7"/>
  <c r="C219" i="7"/>
  <c r="K218" i="7"/>
  <c r="L218" i="7" s="1"/>
  <c r="J218" i="7"/>
  <c r="C218" i="7"/>
  <c r="K217" i="7"/>
  <c r="L217" i="7" s="1"/>
  <c r="J217" i="7"/>
  <c r="C217" i="7"/>
  <c r="K216" i="7"/>
  <c r="L216" i="7" s="1"/>
  <c r="J216" i="7"/>
  <c r="C216" i="7"/>
  <c r="K215" i="7"/>
  <c r="L215" i="7" s="1"/>
  <c r="J215" i="7"/>
  <c r="C215" i="7"/>
  <c r="K214" i="7"/>
  <c r="L214" i="7" s="1"/>
  <c r="J214" i="7"/>
  <c r="C214" i="7"/>
  <c r="K213" i="7"/>
  <c r="L213" i="7" s="1"/>
  <c r="J213" i="7"/>
  <c r="C213" i="7"/>
  <c r="K212" i="7"/>
  <c r="L212" i="7" s="1"/>
  <c r="J212" i="7"/>
  <c r="C212" i="7"/>
  <c r="K211" i="7"/>
  <c r="L211" i="7" s="1"/>
  <c r="J211" i="7"/>
  <c r="C211" i="7"/>
  <c r="K210" i="7"/>
  <c r="L210" i="7" s="1"/>
  <c r="J210" i="7"/>
  <c r="C210" i="7"/>
  <c r="K209" i="7"/>
  <c r="L209" i="7" s="1"/>
  <c r="J209" i="7"/>
  <c r="C209" i="7"/>
  <c r="K208" i="7"/>
  <c r="L208" i="7" s="1"/>
  <c r="J208" i="7"/>
  <c r="C208" i="7"/>
  <c r="K207" i="7"/>
  <c r="L207" i="7" s="1"/>
  <c r="J207" i="7"/>
  <c r="C207" i="7"/>
  <c r="K206" i="7"/>
  <c r="L206" i="7" s="1"/>
  <c r="J206" i="7"/>
  <c r="C206" i="7"/>
  <c r="C215" i="4" l="1"/>
  <c r="K205" i="7" l="1"/>
  <c r="L205" i="7" s="1"/>
  <c r="J205" i="7"/>
  <c r="C205" i="7"/>
  <c r="K204" i="7"/>
  <c r="L204" i="7" s="1"/>
  <c r="J204" i="7"/>
  <c r="C204" i="7"/>
  <c r="K203" i="7"/>
  <c r="L203" i="7" s="1"/>
  <c r="J203" i="7"/>
  <c r="C203" i="7"/>
  <c r="K202" i="7"/>
  <c r="L202" i="7" s="1"/>
  <c r="J202" i="7"/>
  <c r="C202" i="7"/>
  <c r="K201" i="7"/>
  <c r="L201" i="7" s="1"/>
  <c r="J201" i="7"/>
  <c r="C201" i="7"/>
  <c r="K200" i="7"/>
  <c r="L200" i="7" s="1"/>
  <c r="J200" i="7"/>
  <c r="C200" i="7"/>
  <c r="K199" i="7"/>
  <c r="L199" i="7" s="1"/>
  <c r="J199" i="7"/>
  <c r="C199" i="7"/>
  <c r="K198" i="7"/>
  <c r="L198" i="7" s="1"/>
  <c r="J198" i="7"/>
  <c r="C198" i="7"/>
  <c r="K197" i="7"/>
  <c r="L197" i="7" s="1"/>
  <c r="J197" i="7"/>
  <c r="C197" i="7"/>
  <c r="K196" i="7"/>
  <c r="L196" i="7" s="1"/>
  <c r="J196" i="7"/>
  <c r="C196" i="7"/>
  <c r="K195" i="7"/>
  <c r="L195" i="7" s="1"/>
  <c r="J195" i="7"/>
  <c r="C195" i="7"/>
  <c r="K193" i="7"/>
  <c r="L193" i="7" s="1"/>
  <c r="J193" i="7"/>
  <c r="C193" i="7"/>
  <c r="K192" i="7"/>
  <c r="L192" i="7" s="1"/>
  <c r="J192" i="7"/>
  <c r="C192" i="7"/>
  <c r="K191" i="7"/>
  <c r="L191" i="7" s="1"/>
  <c r="J191" i="7"/>
  <c r="C191" i="7"/>
  <c r="K190" i="7"/>
  <c r="L190" i="7" s="1"/>
  <c r="J190" i="7"/>
  <c r="C190" i="7"/>
  <c r="K189" i="7"/>
  <c r="L189" i="7" s="1"/>
  <c r="J189" i="7"/>
  <c r="C189" i="7"/>
  <c r="K188" i="7"/>
  <c r="L188" i="7" s="1"/>
  <c r="J188" i="7"/>
  <c r="C188" i="7"/>
  <c r="K187" i="7"/>
  <c r="L187" i="7" s="1"/>
  <c r="J187" i="7"/>
  <c r="C187" i="7"/>
  <c r="K186" i="7"/>
  <c r="L186" i="7" s="1"/>
  <c r="J186" i="7"/>
  <c r="C186" i="7"/>
  <c r="K185" i="7"/>
  <c r="L185" i="7" s="1"/>
  <c r="J185" i="7"/>
  <c r="C185" i="7"/>
  <c r="K184" i="7"/>
  <c r="L184" i="7" s="1"/>
  <c r="J184" i="7"/>
  <c r="C184" i="7"/>
  <c r="K183" i="7"/>
  <c r="L183" i="7" s="1"/>
  <c r="J183" i="7"/>
  <c r="C183" i="7"/>
  <c r="K182" i="7"/>
  <c r="L182" i="7" s="1"/>
  <c r="J182" i="7"/>
  <c r="C182" i="7"/>
  <c r="K181" i="7"/>
  <c r="L181" i="7" s="1"/>
  <c r="J181" i="7"/>
  <c r="C181" i="7"/>
  <c r="K180" i="7"/>
  <c r="L180" i="7" s="1"/>
  <c r="J180" i="7"/>
  <c r="C180" i="7"/>
  <c r="K179" i="7"/>
  <c r="L179" i="7" s="1"/>
  <c r="J179" i="7"/>
  <c r="C179" i="7"/>
  <c r="K178" i="7"/>
  <c r="L178" i="7" s="1"/>
  <c r="J178" i="7"/>
  <c r="C178" i="7"/>
  <c r="K177" i="7"/>
  <c r="L177" i="7" s="1"/>
  <c r="J177" i="7"/>
  <c r="C177" i="7"/>
  <c r="K176" i="7"/>
  <c r="L176" i="7" s="1"/>
  <c r="J176" i="7"/>
  <c r="C176" i="7"/>
  <c r="K175" i="7" l="1"/>
  <c r="L175" i="7" s="1"/>
  <c r="J175" i="7"/>
  <c r="C175" i="7"/>
  <c r="K174" i="7"/>
  <c r="L174" i="7" s="1"/>
  <c r="J174" i="7"/>
  <c r="C174" i="7"/>
  <c r="K173" i="7"/>
  <c r="L173" i="7" s="1"/>
  <c r="J173" i="7"/>
  <c r="C173" i="7"/>
  <c r="K172" i="7"/>
  <c r="L172" i="7" s="1"/>
  <c r="J172" i="7"/>
  <c r="C172" i="7"/>
  <c r="K171" i="7"/>
  <c r="L171" i="7" s="1"/>
  <c r="J171" i="7"/>
  <c r="C171" i="7"/>
  <c r="K170" i="7"/>
  <c r="L170" i="7" s="1"/>
  <c r="J170" i="7"/>
  <c r="C170" i="7"/>
  <c r="K169" i="7"/>
  <c r="L169" i="7" s="1"/>
  <c r="J169" i="7"/>
  <c r="C169" i="7"/>
  <c r="K168" i="7"/>
  <c r="L168" i="7" s="1"/>
  <c r="J168" i="7"/>
  <c r="C168" i="7"/>
  <c r="K167" i="7"/>
  <c r="L167" i="7" s="1"/>
  <c r="J167" i="7"/>
  <c r="C167" i="7"/>
  <c r="K166" i="7"/>
  <c r="L166" i="7" s="1"/>
  <c r="J166" i="7"/>
  <c r="C166" i="7"/>
  <c r="K165" i="7"/>
  <c r="L165" i="7" s="1"/>
  <c r="J165" i="7"/>
  <c r="C165" i="7"/>
  <c r="K164" i="7"/>
  <c r="L164" i="7" s="1"/>
  <c r="J164" i="7"/>
  <c r="C164" i="7"/>
  <c r="K163" i="7"/>
  <c r="L163" i="7" s="1"/>
  <c r="J163" i="7"/>
  <c r="C163" i="7"/>
  <c r="K162" i="7"/>
  <c r="L162" i="7" s="1"/>
  <c r="J162" i="7"/>
  <c r="C162" i="7"/>
  <c r="K161" i="7"/>
  <c r="L161" i="7" s="1"/>
  <c r="J161" i="7"/>
  <c r="C161" i="7"/>
  <c r="K160" i="7"/>
  <c r="L160" i="7" s="1"/>
  <c r="J160" i="7"/>
  <c r="C160" i="7"/>
  <c r="K159" i="7"/>
  <c r="L159" i="7" s="1"/>
  <c r="J159" i="7"/>
  <c r="C159" i="7"/>
  <c r="K158" i="7"/>
  <c r="L158" i="7" s="1"/>
  <c r="J158" i="7"/>
  <c r="C158" i="7"/>
  <c r="K157" i="7"/>
  <c r="L157" i="7" s="1"/>
  <c r="J157" i="7"/>
  <c r="C157" i="7"/>
  <c r="K156" i="7"/>
  <c r="L156" i="7" s="1"/>
  <c r="J156" i="7"/>
  <c r="C156" i="7"/>
  <c r="K155" i="7"/>
  <c r="L155" i="7" s="1"/>
  <c r="J155" i="7"/>
  <c r="C155" i="7"/>
  <c r="K154" i="7"/>
  <c r="L154" i="7" s="1"/>
  <c r="J154" i="7"/>
  <c r="C154" i="7"/>
  <c r="K153" i="7"/>
  <c r="L153" i="7" s="1"/>
  <c r="J153" i="7"/>
  <c r="C153" i="7"/>
  <c r="K152" i="7"/>
  <c r="L152" i="7" s="1"/>
  <c r="J152" i="7"/>
  <c r="C152" i="7"/>
  <c r="K151" i="7"/>
  <c r="L151" i="7" s="1"/>
  <c r="J151" i="7"/>
  <c r="C151" i="7"/>
  <c r="K150" i="7"/>
  <c r="L150" i="7" s="1"/>
  <c r="J150" i="7"/>
  <c r="C150" i="7"/>
  <c r="K149" i="7"/>
  <c r="L149" i="7" s="1"/>
  <c r="J149" i="7"/>
  <c r="C149" i="7"/>
  <c r="K148" i="7"/>
  <c r="L148" i="7" s="1"/>
  <c r="J148" i="7"/>
  <c r="C148" i="7"/>
  <c r="K147" i="7"/>
  <c r="L147" i="7" s="1"/>
  <c r="J147" i="7"/>
  <c r="C147" i="7"/>
  <c r="K146" i="7"/>
  <c r="L146" i="7" s="1"/>
  <c r="J146" i="7"/>
  <c r="C146" i="7"/>
  <c r="C120" i="7" l="1"/>
  <c r="Q205" i="7" l="1"/>
  <c r="Q204" i="7"/>
  <c r="Q203" i="7"/>
  <c r="Q202" i="7"/>
  <c r="Q201" i="7"/>
  <c r="Q200" i="7"/>
  <c r="Q199" i="7"/>
  <c r="Q198" i="7"/>
  <c r="Q197" i="7"/>
  <c r="Q196" i="7"/>
  <c r="Q195" i="7"/>
  <c r="Q194" i="7"/>
  <c r="Q193" i="7"/>
  <c r="Q192" i="7"/>
  <c r="Q191" i="7"/>
  <c r="Q190" i="7"/>
  <c r="Q189" i="7"/>
  <c r="Q188" i="7"/>
  <c r="Q187" i="7"/>
  <c r="Q186" i="7"/>
  <c r="Q185" i="7"/>
  <c r="Q184" i="7"/>
  <c r="Q183" i="7"/>
  <c r="Q182" i="7"/>
  <c r="Q181" i="7"/>
  <c r="Q180" i="7"/>
  <c r="Q179" i="7"/>
  <c r="Q178" i="7"/>
  <c r="Q177" i="7"/>
  <c r="Q176" i="7"/>
  <c r="Q175" i="7"/>
  <c r="Q174" i="7"/>
  <c r="Q173" i="7"/>
  <c r="Q172" i="7"/>
  <c r="Q171" i="7"/>
  <c r="Q170" i="7"/>
  <c r="Q169" i="7"/>
  <c r="Q168" i="7"/>
  <c r="Q167" i="7"/>
  <c r="Q166" i="7"/>
  <c r="Q165" i="7"/>
  <c r="Q164" i="7"/>
  <c r="Q163" i="7"/>
  <c r="Q162" i="7"/>
  <c r="Q161" i="7"/>
  <c r="Q160" i="7"/>
  <c r="Q159" i="7"/>
  <c r="Q158" i="7"/>
  <c r="Q157" i="7"/>
  <c r="Q156" i="7"/>
  <c r="Q155" i="7"/>
  <c r="Q154" i="7"/>
  <c r="Q153" i="7"/>
  <c r="Q152" i="7"/>
  <c r="Q151" i="7"/>
  <c r="Q150" i="7"/>
  <c r="Q149" i="7"/>
  <c r="Q148" i="7"/>
  <c r="Q147" i="7"/>
  <c r="Q146" i="7"/>
  <c r="Y205" i="7"/>
  <c r="Z205" i="7" s="1"/>
  <c r="X205" i="7"/>
  <c r="Y204" i="7"/>
  <c r="Z204" i="7" s="1"/>
  <c r="X204" i="7"/>
  <c r="Y203" i="7"/>
  <c r="Z203" i="7" s="1"/>
  <c r="X203" i="7"/>
  <c r="Y202" i="7"/>
  <c r="Z202" i="7" s="1"/>
  <c r="X202" i="7"/>
  <c r="Y201" i="7"/>
  <c r="Z201" i="7" s="1"/>
  <c r="X201" i="7"/>
  <c r="Y200" i="7"/>
  <c r="Z200" i="7" s="1"/>
  <c r="X200" i="7"/>
  <c r="Y199" i="7"/>
  <c r="Z199" i="7" s="1"/>
  <c r="X199" i="7"/>
  <c r="Y198" i="7"/>
  <c r="Z198" i="7" s="1"/>
  <c r="X198" i="7"/>
  <c r="Y197" i="7"/>
  <c r="Z197" i="7" s="1"/>
  <c r="X197" i="7"/>
  <c r="Y196" i="7"/>
  <c r="Z196" i="7" s="1"/>
  <c r="X196" i="7"/>
  <c r="Y195" i="7"/>
  <c r="Z195" i="7" s="1"/>
  <c r="X195" i="7"/>
  <c r="Y194" i="7"/>
  <c r="Z194" i="7" s="1"/>
  <c r="X194" i="7"/>
  <c r="Z193" i="7"/>
  <c r="X193" i="7"/>
  <c r="Y192" i="7"/>
  <c r="Z192" i="7" s="1"/>
  <c r="X192" i="7"/>
  <c r="Y191" i="7"/>
  <c r="Z191" i="7" s="1"/>
  <c r="X191" i="7"/>
  <c r="Y190" i="7"/>
  <c r="Z190" i="7" s="1"/>
  <c r="X190" i="7"/>
  <c r="Y189" i="7"/>
  <c r="Z189" i="7" s="1"/>
  <c r="X189" i="7"/>
  <c r="Y188" i="7"/>
  <c r="Z188" i="7" s="1"/>
  <c r="X188" i="7"/>
  <c r="Y187" i="7"/>
  <c r="Z187" i="7" s="1"/>
  <c r="X187" i="7"/>
  <c r="Y186" i="7"/>
  <c r="Z186" i="7" s="1"/>
  <c r="X186" i="7"/>
  <c r="Y185" i="7"/>
  <c r="Z185" i="7" s="1"/>
  <c r="X185" i="7"/>
  <c r="Y184" i="7"/>
  <c r="Z184" i="7" s="1"/>
  <c r="X184" i="7"/>
  <c r="Y183" i="7"/>
  <c r="Z183" i="7" s="1"/>
  <c r="X183" i="7"/>
  <c r="Y182" i="7"/>
  <c r="Z182" i="7" s="1"/>
  <c r="X182" i="7"/>
  <c r="Y181" i="7"/>
  <c r="Z181" i="7" s="1"/>
  <c r="X181" i="7"/>
  <c r="Y180" i="7"/>
  <c r="Z180" i="7" s="1"/>
  <c r="X180" i="7"/>
  <c r="Y179" i="7"/>
  <c r="Z179" i="7" s="1"/>
  <c r="X179" i="7"/>
  <c r="Y178" i="7"/>
  <c r="Z178" i="7" s="1"/>
  <c r="X178" i="7"/>
  <c r="Y177" i="7"/>
  <c r="Z177" i="7" s="1"/>
  <c r="X177" i="7"/>
  <c r="Y176" i="7"/>
  <c r="Z176" i="7" s="1"/>
  <c r="X176" i="7"/>
  <c r="Y175" i="7"/>
  <c r="Z175" i="7" s="1"/>
  <c r="X175" i="7"/>
  <c r="Y174" i="7"/>
  <c r="Z174" i="7" s="1"/>
  <c r="X174" i="7"/>
  <c r="Y173" i="7"/>
  <c r="Z173" i="7" s="1"/>
  <c r="X173" i="7"/>
  <c r="Y172" i="7"/>
  <c r="Z172" i="7" s="1"/>
  <c r="X172" i="7"/>
  <c r="Y171" i="7"/>
  <c r="Z171" i="7" s="1"/>
  <c r="X171" i="7"/>
  <c r="Y170" i="7"/>
  <c r="Z170" i="7" s="1"/>
  <c r="X170" i="7"/>
  <c r="Y169" i="7"/>
  <c r="Z169" i="7" s="1"/>
  <c r="X169" i="7"/>
  <c r="Y168" i="7"/>
  <c r="Z168" i="7" s="1"/>
  <c r="X168" i="7"/>
  <c r="Y167" i="7"/>
  <c r="Z167" i="7" s="1"/>
  <c r="X167" i="7"/>
  <c r="Y166" i="7"/>
  <c r="Z166" i="7" s="1"/>
  <c r="X166" i="7"/>
  <c r="Y165" i="7"/>
  <c r="Z165" i="7" s="1"/>
  <c r="X165" i="7"/>
  <c r="Y164" i="7"/>
  <c r="Z164" i="7" s="1"/>
  <c r="X164" i="7"/>
  <c r="Y163" i="7"/>
  <c r="Z163" i="7" s="1"/>
  <c r="X163" i="7"/>
  <c r="Y162" i="7"/>
  <c r="Z162" i="7" s="1"/>
  <c r="X162" i="7"/>
  <c r="Y161" i="7"/>
  <c r="Z161" i="7" s="1"/>
  <c r="X161" i="7"/>
  <c r="Y160" i="7"/>
  <c r="Z160" i="7" s="1"/>
  <c r="X160" i="7"/>
  <c r="Y159" i="7"/>
  <c r="Z159" i="7" s="1"/>
  <c r="X159" i="7"/>
  <c r="Y158" i="7"/>
  <c r="Z158" i="7" s="1"/>
  <c r="X158" i="7"/>
  <c r="Y157" i="7"/>
  <c r="Z157" i="7" s="1"/>
  <c r="X157" i="7"/>
  <c r="Y156" i="7"/>
  <c r="Z156" i="7" s="1"/>
  <c r="X156" i="7"/>
  <c r="Y155" i="7"/>
  <c r="Z155" i="7" s="1"/>
  <c r="X155" i="7"/>
  <c r="Y154" i="7"/>
  <c r="Z154" i="7" s="1"/>
  <c r="X154" i="7"/>
  <c r="Y153" i="7"/>
  <c r="Z153" i="7" s="1"/>
  <c r="X153" i="7"/>
  <c r="Y152" i="7"/>
  <c r="Z152" i="7" s="1"/>
  <c r="X152" i="7"/>
  <c r="Y151" i="7"/>
  <c r="Z151" i="7" s="1"/>
  <c r="X151" i="7"/>
  <c r="Y150" i="7"/>
  <c r="Z150" i="7" s="1"/>
  <c r="X150" i="7"/>
  <c r="Y149" i="7"/>
  <c r="Z149" i="7" s="1"/>
  <c r="X149" i="7"/>
  <c r="Y148" i="7"/>
  <c r="Z148" i="7" s="1"/>
  <c r="X148" i="7"/>
  <c r="Y147" i="7"/>
  <c r="Z147" i="7" s="1"/>
  <c r="X147" i="7"/>
  <c r="Y146" i="7"/>
  <c r="Z146" i="7" s="1"/>
  <c r="X146" i="7"/>
  <c r="K145" i="7" l="1"/>
  <c r="L145" i="7" s="1"/>
  <c r="J145" i="7"/>
  <c r="C145" i="7"/>
  <c r="K144" i="7"/>
  <c r="L144" i="7" s="1"/>
  <c r="J144" i="7"/>
  <c r="K143" i="7"/>
  <c r="L143" i="7" s="1"/>
  <c r="J143" i="7"/>
  <c r="C143" i="7"/>
  <c r="K142" i="7"/>
  <c r="L142" i="7" s="1"/>
  <c r="J142" i="7"/>
  <c r="C142" i="7"/>
  <c r="K141" i="7"/>
  <c r="L141" i="7" s="1"/>
  <c r="J141" i="7"/>
  <c r="C141" i="7"/>
  <c r="K140" i="7"/>
  <c r="L140" i="7" s="1"/>
  <c r="J140" i="7"/>
  <c r="C140" i="7"/>
  <c r="K139" i="7"/>
  <c r="L139" i="7" s="1"/>
  <c r="J139" i="7"/>
  <c r="C139" i="7"/>
  <c r="K138" i="7"/>
  <c r="L138" i="7" s="1"/>
  <c r="J138" i="7"/>
  <c r="C138" i="7"/>
  <c r="K137" i="7"/>
  <c r="L137" i="7" s="1"/>
  <c r="J137" i="7"/>
  <c r="C137" i="7"/>
  <c r="K136" i="7"/>
  <c r="L136" i="7" s="1"/>
  <c r="J136" i="7"/>
  <c r="C136" i="7"/>
  <c r="K135" i="7"/>
  <c r="L135" i="7" s="1"/>
  <c r="J135" i="7"/>
  <c r="C135" i="7"/>
  <c r="K134" i="7"/>
  <c r="L134" i="7" s="1"/>
  <c r="J134" i="7"/>
  <c r="C134" i="7"/>
  <c r="K133" i="7"/>
  <c r="L133" i="7" s="1"/>
  <c r="J133" i="7"/>
  <c r="C133" i="7"/>
  <c r="K132" i="7"/>
  <c r="L132" i="7" s="1"/>
  <c r="J132" i="7"/>
  <c r="C132" i="7"/>
  <c r="K131" i="7"/>
  <c r="L131" i="7" s="1"/>
  <c r="J131" i="7"/>
  <c r="C131" i="7"/>
  <c r="K130" i="7"/>
  <c r="L130" i="7" s="1"/>
  <c r="J130" i="7"/>
  <c r="C130" i="7"/>
  <c r="K129" i="7"/>
  <c r="L129" i="7" s="1"/>
  <c r="J129" i="7"/>
  <c r="C129" i="7"/>
  <c r="K128" i="7"/>
  <c r="L128" i="7" s="1"/>
  <c r="J128" i="7"/>
  <c r="C128" i="7"/>
  <c r="K127" i="7"/>
  <c r="L127" i="7" s="1"/>
  <c r="J127" i="7"/>
  <c r="C127" i="7"/>
  <c r="K126" i="7"/>
  <c r="L126" i="7" s="1"/>
  <c r="J126" i="7"/>
  <c r="C126" i="7"/>
  <c r="K125" i="7"/>
  <c r="L125" i="7" s="1"/>
  <c r="J125" i="7"/>
  <c r="C125" i="7"/>
  <c r="K124" i="7"/>
  <c r="L124" i="7" s="1"/>
  <c r="J124" i="7"/>
  <c r="K123" i="7"/>
  <c r="L123" i="7" s="1"/>
  <c r="J123" i="7"/>
  <c r="C123" i="7"/>
  <c r="K122" i="7"/>
  <c r="L122" i="7" s="1"/>
  <c r="J122" i="7"/>
  <c r="C122" i="7"/>
  <c r="K121" i="7"/>
  <c r="L121" i="7" s="1"/>
  <c r="J121" i="7"/>
  <c r="C121" i="7"/>
  <c r="K120" i="7"/>
  <c r="L120" i="7" s="1"/>
  <c r="J120" i="7"/>
  <c r="K119" i="7"/>
  <c r="L119" i="7" s="1"/>
  <c r="J119" i="7"/>
  <c r="C119" i="7"/>
  <c r="K118" i="7"/>
  <c r="L118" i="7" s="1"/>
  <c r="J118" i="7"/>
  <c r="C118" i="7"/>
  <c r="K117" i="7"/>
  <c r="L117" i="7" s="1"/>
  <c r="J117" i="7"/>
  <c r="C117" i="7"/>
  <c r="K116" i="7"/>
  <c r="L116" i="7" s="1"/>
  <c r="J116" i="7"/>
  <c r="C116" i="7"/>
  <c r="C83" i="7" l="1"/>
  <c r="K115" i="7" l="1"/>
  <c r="L115" i="7" s="1"/>
  <c r="J115" i="7"/>
  <c r="C115" i="7"/>
  <c r="K114" i="7"/>
  <c r="L114" i="7" s="1"/>
  <c r="J114" i="7"/>
  <c r="C114" i="7"/>
  <c r="K113" i="7"/>
  <c r="L113" i="7" s="1"/>
  <c r="J113" i="7"/>
  <c r="C113" i="7"/>
  <c r="K112" i="7"/>
  <c r="L112" i="7" s="1"/>
  <c r="J112" i="7"/>
  <c r="C112" i="7"/>
  <c r="K111" i="7"/>
  <c r="L111" i="7" s="1"/>
  <c r="J111" i="7"/>
  <c r="C111" i="7"/>
  <c r="K110" i="7"/>
  <c r="L110" i="7" s="1"/>
  <c r="J110" i="7"/>
  <c r="C110" i="7"/>
  <c r="K109" i="7"/>
  <c r="L109" i="7" s="1"/>
  <c r="J109" i="7"/>
  <c r="C109" i="7"/>
  <c r="K108" i="7"/>
  <c r="L108" i="7" s="1"/>
  <c r="J108" i="7"/>
  <c r="C108" i="7"/>
  <c r="K107" i="7"/>
  <c r="L107" i="7" s="1"/>
  <c r="J107" i="7"/>
  <c r="C107" i="7"/>
  <c r="K106" i="7"/>
  <c r="L106" i="7" s="1"/>
  <c r="J106" i="7"/>
  <c r="C106" i="7"/>
  <c r="K105" i="7"/>
  <c r="L105" i="7" s="1"/>
  <c r="J105" i="7"/>
  <c r="C105" i="7"/>
  <c r="K104" i="7"/>
  <c r="L104" i="7" s="1"/>
  <c r="J104" i="7"/>
  <c r="K103" i="7"/>
  <c r="L103" i="7" s="1"/>
  <c r="J103" i="7"/>
  <c r="C103" i="7"/>
  <c r="K102" i="7"/>
  <c r="L102" i="7" s="1"/>
  <c r="J102" i="7"/>
  <c r="C102" i="7"/>
  <c r="K101" i="7"/>
  <c r="L101" i="7" s="1"/>
  <c r="J101" i="7"/>
  <c r="C101" i="7"/>
  <c r="K100" i="7"/>
  <c r="L100" i="7" s="1"/>
  <c r="J100" i="7"/>
  <c r="C100" i="7"/>
  <c r="K99" i="7"/>
  <c r="L99" i="7" s="1"/>
  <c r="J99" i="7"/>
  <c r="C99" i="7"/>
  <c r="K98" i="7"/>
  <c r="L98" i="7" s="1"/>
  <c r="J98" i="7"/>
  <c r="C98" i="7"/>
  <c r="K97" i="7"/>
  <c r="L97" i="7" s="1"/>
  <c r="J97" i="7"/>
  <c r="C97" i="7"/>
  <c r="K96" i="7"/>
  <c r="L96" i="7" s="1"/>
  <c r="J96" i="7"/>
  <c r="C96" i="7"/>
  <c r="K95" i="7"/>
  <c r="L95" i="7" s="1"/>
  <c r="J95" i="7"/>
  <c r="C95" i="7"/>
  <c r="K94" i="7"/>
  <c r="L94" i="7" s="1"/>
  <c r="J94" i="7"/>
  <c r="C94" i="7"/>
  <c r="K93" i="7"/>
  <c r="L93" i="7" s="1"/>
  <c r="J93" i="7"/>
  <c r="C93" i="7"/>
  <c r="K92" i="7"/>
  <c r="L92" i="7" s="1"/>
  <c r="J92" i="7"/>
  <c r="C92" i="7"/>
  <c r="K91" i="7"/>
  <c r="L91" i="7" s="1"/>
  <c r="J91" i="7"/>
  <c r="C91" i="7"/>
  <c r="K90" i="7"/>
  <c r="L90" i="7" s="1"/>
  <c r="J90" i="7"/>
  <c r="C90" i="7"/>
  <c r="K89" i="7"/>
  <c r="L89" i="7" s="1"/>
  <c r="J89" i="7"/>
  <c r="C89" i="7"/>
  <c r="K88" i="7"/>
  <c r="L88" i="7" s="1"/>
  <c r="J88" i="7"/>
  <c r="C88" i="7"/>
  <c r="K87" i="7"/>
  <c r="L87" i="7" s="1"/>
  <c r="J87" i="7"/>
  <c r="C87" i="7"/>
  <c r="K86" i="7"/>
  <c r="L86" i="7" s="1"/>
  <c r="J86" i="7"/>
  <c r="C86" i="7"/>
  <c r="J53" i="7" l="1"/>
  <c r="K53" i="7" s="1"/>
  <c r="C53" i="7"/>
  <c r="K55" i="7"/>
  <c r="L55" i="7" s="1"/>
  <c r="J55" i="7"/>
  <c r="C55" i="7"/>
  <c r="K85" i="7" l="1"/>
  <c r="L85" i="7" s="1"/>
  <c r="J85" i="7"/>
  <c r="C85" i="7"/>
  <c r="K84" i="7"/>
  <c r="L84" i="7" s="1"/>
  <c r="J84" i="7"/>
  <c r="C84" i="7"/>
  <c r="K83" i="7"/>
  <c r="L83" i="7" s="1"/>
  <c r="J83" i="7"/>
  <c r="K82" i="7"/>
  <c r="L82" i="7" s="1"/>
  <c r="J82" i="7"/>
  <c r="C82" i="7"/>
  <c r="K81" i="7"/>
  <c r="L81" i="7" s="1"/>
  <c r="J81" i="7"/>
  <c r="C81" i="7"/>
  <c r="K80" i="7"/>
  <c r="L80" i="7" s="1"/>
  <c r="J80" i="7"/>
  <c r="C80" i="7"/>
  <c r="K79" i="7"/>
  <c r="L79" i="7" s="1"/>
  <c r="J79" i="7"/>
  <c r="C79" i="7"/>
  <c r="K78" i="7"/>
  <c r="L78" i="7" s="1"/>
  <c r="J78" i="7"/>
  <c r="C78" i="7"/>
  <c r="K77" i="7"/>
  <c r="L77" i="7" s="1"/>
  <c r="J77" i="7"/>
  <c r="C77" i="7"/>
  <c r="K76" i="7"/>
  <c r="L76" i="7" s="1"/>
  <c r="J76" i="7"/>
  <c r="C76" i="7"/>
  <c r="K75" i="7"/>
  <c r="L75" i="7" s="1"/>
  <c r="J75" i="7"/>
  <c r="C75" i="7"/>
  <c r="K74" i="7"/>
  <c r="L74" i="7" s="1"/>
  <c r="J74" i="7"/>
  <c r="C74" i="7"/>
  <c r="K73" i="7"/>
  <c r="L73" i="7" s="1"/>
  <c r="J73" i="7"/>
  <c r="C73" i="7"/>
  <c r="K72" i="7"/>
  <c r="L72" i="7" s="1"/>
  <c r="J72" i="7"/>
  <c r="C72" i="7"/>
  <c r="K71" i="7"/>
  <c r="L71" i="7" s="1"/>
  <c r="J71" i="7"/>
  <c r="C71" i="7"/>
  <c r="K70" i="7"/>
  <c r="L70" i="7" s="1"/>
  <c r="J70" i="7"/>
  <c r="C70" i="7"/>
  <c r="K69" i="7"/>
  <c r="L69" i="7" s="1"/>
  <c r="J69" i="7"/>
  <c r="C69" i="7"/>
  <c r="K68" i="7"/>
  <c r="L68" i="7" s="1"/>
  <c r="J68" i="7"/>
  <c r="C68" i="7"/>
  <c r="K67" i="7"/>
  <c r="L67" i="7" s="1"/>
  <c r="J67" i="7"/>
  <c r="C67" i="7"/>
  <c r="K66" i="7"/>
  <c r="L66" i="7" s="1"/>
  <c r="J66" i="7"/>
  <c r="C66" i="7"/>
  <c r="K65" i="7"/>
  <c r="L65" i="7" s="1"/>
  <c r="J65" i="7"/>
  <c r="C65" i="7"/>
  <c r="K64" i="7"/>
  <c r="L64" i="7" s="1"/>
  <c r="J64" i="7"/>
  <c r="C64" i="7"/>
  <c r="K63" i="7"/>
  <c r="L63" i="7" s="1"/>
  <c r="J63" i="7"/>
  <c r="C63" i="7"/>
  <c r="K62" i="7"/>
  <c r="L62" i="7" s="1"/>
  <c r="J62" i="7"/>
  <c r="C62" i="7"/>
  <c r="K61" i="7"/>
  <c r="L61" i="7" s="1"/>
  <c r="J61" i="7"/>
  <c r="C61" i="7"/>
  <c r="K60" i="7"/>
  <c r="L60" i="7" s="1"/>
  <c r="J60" i="7"/>
  <c r="C60" i="7"/>
  <c r="K59" i="7"/>
  <c r="L59" i="7" s="1"/>
  <c r="J59" i="7"/>
  <c r="C59" i="7"/>
  <c r="K58" i="7"/>
  <c r="L58" i="7" s="1"/>
  <c r="J58" i="7"/>
  <c r="C58" i="7"/>
  <c r="K57" i="7"/>
  <c r="L57" i="7" s="1"/>
  <c r="J57" i="7"/>
  <c r="C57" i="7"/>
  <c r="K56" i="7"/>
  <c r="L56" i="7" s="1"/>
  <c r="J56" i="7"/>
  <c r="C56" i="7"/>
  <c r="L53" i="7" l="1"/>
  <c r="K52" i="7"/>
  <c r="L52" i="7" s="1"/>
  <c r="J52" i="7"/>
  <c r="C52" i="7"/>
  <c r="K51" i="7"/>
  <c r="L51" i="7" s="1"/>
  <c r="J51" i="7"/>
  <c r="C51" i="7"/>
  <c r="K50" i="7"/>
  <c r="L50" i="7" s="1"/>
  <c r="J50" i="7"/>
  <c r="C50" i="7"/>
  <c r="K49" i="7"/>
  <c r="L49" i="7" s="1"/>
  <c r="J49" i="7"/>
  <c r="C49" i="7"/>
  <c r="K48" i="7"/>
  <c r="L48" i="7" s="1"/>
  <c r="J48" i="7"/>
  <c r="C48" i="7"/>
  <c r="K47" i="7"/>
  <c r="L47" i="7" s="1"/>
  <c r="J47" i="7"/>
  <c r="C47" i="7"/>
  <c r="K46" i="7"/>
  <c r="L46" i="7" s="1"/>
  <c r="J46" i="7"/>
  <c r="C46" i="7"/>
  <c r="K45" i="7"/>
  <c r="L45" i="7" s="1"/>
  <c r="J45" i="7"/>
  <c r="C45" i="7"/>
  <c r="K44" i="7"/>
  <c r="L44" i="7" s="1"/>
  <c r="J44" i="7"/>
  <c r="C44" i="7"/>
  <c r="K43" i="7"/>
  <c r="L43" i="7" s="1"/>
  <c r="J43" i="7"/>
  <c r="C43" i="7"/>
  <c r="K42" i="7"/>
  <c r="L42" i="7" s="1"/>
  <c r="J42" i="7"/>
  <c r="C42" i="7"/>
  <c r="K41" i="7"/>
  <c r="L41" i="7" s="1"/>
  <c r="J41" i="7"/>
  <c r="C41" i="7"/>
  <c r="K40" i="7"/>
  <c r="L40" i="7" s="1"/>
  <c r="J40" i="7"/>
  <c r="C40" i="7"/>
  <c r="K39" i="7"/>
  <c r="L39" i="7" s="1"/>
  <c r="J39" i="7"/>
  <c r="C39" i="7"/>
  <c r="K38" i="7"/>
  <c r="L38" i="7" s="1"/>
  <c r="J38" i="7"/>
  <c r="C38" i="7"/>
  <c r="K37" i="7"/>
  <c r="L37" i="7" s="1"/>
  <c r="J37" i="7"/>
  <c r="C37" i="7"/>
  <c r="K36" i="7"/>
  <c r="L36" i="7" s="1"/>
  <c r="J36" i="7"/>
  <c r="C36" i="7"/>
  <c r="K35" i="7"/>
  <c r="L35" i="7" s="1"/>
  <c r="J35" i="7"/>
  <c r="C35" i="7"/>
  <c r="K34" i="7"/>
  <c r="L34" i="7" s="1"/>
  <c r="J34" i="7"/>
  <c r="C34" i="7"/>
  <c r="K33" i="7"/>
  <c r="L33" i="7" s="1"/>
  <c r="J33" i="7"/>
  <c r="C33" i="7"/>
  <c r="K32" i="7"/>
  <c r="L32" i="7" s="1"/>
  <c r="J32" i="7"/>
  <c r="C32" i="7"/>
  <c r="K31" i="7"/>
  <c r="L31" i="7" s="1"/>
  <c r="J31" i="7"/>
  <c r="C31" i="7"/>
  <c r="K30" i="7"/>
  <c r="L30" i="7" s="1"/>
  <c r="J30" i="7"/>
  <c r="K29" i="7"/>
  <c r="L29" i="7" s="1"/>
  <c r="J29" i="7"/>
  <c r="C29" i="7"/>
  <c r="K28" i="7"/>
  <c r="L28" i="7" s="1"/>
  <c r="J28" i="7"/>
  <c r="C28" i="7"/>
  <c r="K27" i="7"/>
  <c r="L27" i="7" s="1"/>
  <c r="J27" i="7"/>
  <c r="C27" i="7"/>
  <c r="K26" i="7"/>
  <c r="L26" i="7" s="1"/>
  <c r="J26" i="7"/>
  <c r="C26" i="7"/>
  <c r="K25" i="7"/>
  <c r="L25" i="7" s="1"/>
  <c r="J25" i="7"/>
  <c r="C25" i="7"/>
  <c r="L245" i="2" l="1"/>
  <c r="J245" i="2"/>
  <c r="C245" i="2"/>
  <c r="L244" i="2"/>
  <c r="J244" i="2"/>
  <c r="C244" i="2"/>
  <c r="J243" i="2"/>
  <c r="K243" i="2" s="1"/>
  <c r="L243" i="2" s="1"/>
  <c r="C243" i="2"/>
  <c r="L242" i="2"/>
  <c r="J242" i="2"/>
  <c r="C242" i="2"/>
  <c r="J241" i="2"/>
  <c r="K241" i="2" s="1"/>
  <c r="L241" i="2" s="1"/>
  <c r="C241" i="2"/>
  <c r="J239" i="2"/>
  <c r="K239" i="2" s="1"/>
  <c r="L239" i="2" s="1"/>
  <c r="L238" i="2"/>
  <c r="J238" i="2"/>
  <c r="C238" i="2"/>
  <c r="L237" i="2"/>
  <c r="J237" i="2"/>
  <c r="C237" i="2"/>
  <c r="L236" i="2"/>
  <c r="J236" i="2"/>
  <c r="C236" i="2"/>
  <c r="L235" i="2"/>
  <c r="J235" i="2"/>
  <c r="C235" i="2"/>
  <c r="L234" i="2"/>
  <c r="J234" i="2"/>
  <c r="L233" i="2"/>
  <c r="J233" i="2"/>
  <c r="L232" i="2"/>
  <c r="J232" i="2"/>
  <c r="C232" i="2"/>
  <c r="L231" i="2"/>
  <c r="J231" i="2"/>
  <c r="C231" i="2"/>
  <c r="J230" i="2"/>
  <c r="K230" i="2" s="1"/>
  <c r="L230" i="2" s="1"/>
  <c r="C230" i="2"/>
  <c r="J229" i="2"/>
  <c r="K229" i="2" s="1"/>
  <c r="L229" i="2" s="1"/>
  <c r="C229" i="2"/>
  <c r="L228" i="2"/>
  <c r="J228" i="2"/>
  <c r="C228" i="2"/>
  <c r="L227" i="2"/>
  <c r="J227" i="2"/>
  <c r="C227" i="2"/>
  <c r="L226" i="2"/>
  <c r="J226" i="2"/>
  <c r="C226" i="2"/>
  <c r="J225" i="2"/>
  <c r="K225" i="2" s="1"/>
  <c r="L225" i="2" s="1"/>
  <c r="C225" i="2"/>
  <c r="L224" i="2"/>
  <c r="J224" i="2"/>
  <c r="C224" i="2"/>
  <c r="J223" i="2"/>
  <c r="K223" i="2" s="1"/>
  <c r="L223" i="2" s="1"/>
  <c r="C223" i="2"/>
  <c r="L222" i="2"/>
  <c r="J222" i="2"/>
  <c r="C222" i="2"/>
  <c r="L220" i="2"/>
  <c r="J220" i="2"/>
  <c r="C220" i="2"/>
  <c r="J219" i="2"/>
  <c r="K219" i="2" s="1"/>
  <c r="L219" i="2" s="1"/>
  <c r="C219" i="2"/>
  <c r="J218" i="2"/>
  <c r="K218" i="2" s="1"/>
  <c r="L218" i="2" s="1"/>
  <c r="C218" i="2"/>
  <c r="J217" i="2"/>
  <c r="K217" i="2" s="1"/>
  <c r="L217" i="2" s="1"/>
  <c r="C217" i="2"/>
  <c r="J216" i="2"/>
  <c r="K216" i="2" s="1"/>
  <c r="L216" i="2" s="1"/>
  <c r="C216" i="2"/>
  <c r="J215" i="2"/>
  <c r="K215" i="2" s="1"/>
  <c r="L215" i="2" s="1"/>
  <c r="C215" i="2"/>
  <c r="J214" i="2"/>
  <c r="K214" i="2" s="1"/>
  <c r="L214" i="2" s="1"/>
  <c r="C214" i="2"/>
  <c r="L213" i="2"/>
  <c r="J213" i="2"/>
  <c r="C213" i="2"/>
  <c r="L212" i="2"/>
  <c r="J212" i="2"/>
  <c r="C212" i="2"/>
  <c r="L211" i="2"/>
  <c r="J211" i="2"/>
  <c r="C211" i="2"/>
  <c r="L210" i="2"/>
  <c r="J210" i="2"/>
  <c r="C210" i="2"/>
  <c r="J209" i="2"/>
  <c r="K209" i="2" s="1"/>
  <c r="L209" i="2" s="1"/>
  <c r="C209" i="2"/>
  <c r="L208" i="2"/>
  <c r="J208" i="2"/>
  <c r="C208" i="2"/>
  <c r="L207" i="2"/>
  <c r="J207" i="2"/>
  <c r="C207" i="2"/>
  <c r="L206" i="2"/>
  <c r="J206" i="2"/>
  <c r="C206" i="2"/>
  <c r="L203" i="2"/>
  <c r="J203" i="2"/>
  <c r="C203" i="2"/>
  <c r="L202" i="2"/>
  <c r="J202" i="2"/>
  <c r="L201" i="2"/>
  <c r="J201" i="2"/>
  <c r="L200" i="2"/>
  <c r="J200" i="2"/>
  <c r="C200" i="2"/>
  <c r="J199" i="2"/>
  <c r="K199" i="2" s="1"/>
  <c r="L199" i="2" s="1"/>
  <c r="L198" i="2"/>
  <c r="J198" i="2"/>
  <c r="J197" i="2"/>
  <c r="L197" i="2" s="1"/>
  <c r="C197" i="2"/>
  <c r="L196" i="2"/>
  <c r="J196" i="2"/>
  <c r="J195" i="2"/>
  <c r="L194" i="2"/>
  <c r="J194" i="2"/>
  <c r="C194" i="2"/>
  <c r="J193" i="2"/>
  <c r="K193" i="2" s="1"/>
  <c r="L193" i="2" s="1"/>
  <c r="C193" i="2"/>
  <c r="J192" i="2"/>
  <c r="K192" i="2" s="1"/>
  <c r="L192" i="2" s="1"/>
  <c r="C192" i="2"/>
  <c r="L190" i="2"/>
  <c r="J190" i="2"/>
  <c r="L189" i="2"/>
  <c r="J189" i="2"/>
  <c r="L188" i="2"/>
  <c r="J188" i="2"/>
  <c r="C188" i="2"/>
  <c r="J187" i="2"/>
  <c r="C187" i="2"/>
  <c r="L186" i="2"/>
  <c r="J186" i="2"/>
  <c r="C186" i="2"/>
  <c r="J185" i="2"/>
  <c r="K185" i="2" s="1"/>
  <c r="L185" i="2" s="1"/>
  <c r="C185" i="2"/>
  <c r="L184" i="2"/>
  <c r="J184" i="2"/>
  <c r="J183" i="2"/>
  <c r="K183" i="2" s="1"/>
  <c r="L183" i="2" s="1"/>
  <c r="C183" i="2"/>
  <c r="J182" i="2"/>
  <c r="K182" i="2" s="1"/>
  <c r="L182" i="2" s="1"/>
  <c r="C182" i="2"/>
  <c r="L181" i="2"/>
  <c r="J181" i="2"/>
  <c r="C181" i="2"/>
  <c r="L180" i="2"/>
  <c r="J180" i="2"/>
  <c r="J179" i="2"/>
  <c r="K179" i="2" s="1"/>
  <c r="L179" i="2" s="1"/>
  <c r="L178" i="2"/>
  <c r="J178" i="2"/>
  <c r="L177" i="2"/>
  <c r="J177" i="2"/>
  <c r="J176" i="2"/>
  <c r="K176" i="2" s="1"/>
  <c r="L176" i="2" s="1"/>
  <c r="C176" i="2"/>
  <c r="L174" i="2"/>
  <c r="J174" i="2"/>
  <c r="C174" i="2"/>
  <c r="L173" i="2"/>
  <c r="J173" i="2"/>
  <c r="C173" i="2"/>
  <c r="J172" i="2"/>
  <c r="K172" i="2" s="1"/>
  <c r="L172" i="2" s="1"/>
  <c r="L171" i="2"/>
  <c r="J171" i="2"/>
  <c r="C171" i="2"/>
  <c r="L170" i="2"/>
  <c r="C170" i="2"/>
  <c r="L169" i="2"/>
  <c r="J169" i="2"/>
  <c r="C169" i="2"/>
  <c r="L168" i="2"/>
  <c r="J168" i="2"/>
  <c r="C168" i="2"/>
  <c r="J167" i="2"/>
  <c r="K167" i="2" s="1"/>
  <c r="L167" i="2" s="1"/>
  <c r="C167" i="2"/>
  <c r="L166" i="2"/>
  <c r="J166" i="2"/>
  <c r="C166" i="2"/>
  <c r="L165" i="2"/>
  <c r="J165" i="2"/>
  <c r="L163" i="2"/>
  <c r="J163" i="2"/>
  <c r="C163" i="2"/>
  <c r="L162" i="2"/>
  <c r="J162" i="2"/>
  <c r="L161" i="2"/>
  <c r="J161" i="2"/>
  <c r="C161" i="2"/>
  <c r="J158" i="2"/>
  <c r="K158" i="2" s="1"/>
  <c r="L158" i="2" s="1"/>
  <c r="C158" i="2"/>
  <c r="L155" i="2"/>
  <c r="J155" i="2"/>
  <c r="C155" i="2"/>
  <c r="L154" i="2"/>
  <c r="J154" i="2"/>
  <c r="J153" i="2"/>
  <c r="K153" i="2" s="1"/>
  <c r="L153" i="2" s="1"/>
  <c r="C153" i="2"/>
  <c r="L152" i="2"/>
  <c r="J152" i="2"/>
  <c r="C152" i="2"/>
  <c r="L151" i="2"/>
  <c r="J151" i="2"/>
  <c r="C151" i="2"/>
  <c r="L150" i="2"/>
  <c r="J150" i="2"/>
  <c r="C150" i="2"/>
  <c r="L149" i="2"/>
  <c r="J149" i="2"/>
  <c r="C149" i="2"/>
  <c r="J147" i="2"/>
  <c r="K147" i="2" s="1"/>
  <c r="L147" i="2" s="1"/>
  <c r="C147" i="2"/>
  <c r="L146" i="2"/>
  <c r="J146" i="2"/>
  <c r="C146" i="2"/>
  <c r="J145" i="2"/>
  <c r="K145" i="2" s="1"/>
  <c r="L145" i="2" s="1"/>
  <c r="C145" i="2"/>
  <c r="L142" i="2"/>
  <c r="J142" i="2"/>
  <c r="C142" i="2"/>
  <c r="J141" i="2"/>
  <c r="K141" i="2" s="1"/>
  <c r="L141" i="2" s="1"/>
  <c r="C141" i="2"/>
  <c r="L140" i="2"/>
  <c r="J140" i="2"/>
  <c r="C140" i="2"/>
  <c r="J139" i="2"/>
  <c r="K139" i="2" s="1"/>
  <c r="L139" i="2" s="1"/>
  <c r="C139" i="2"/>
  <c r="J138" i="2"/>
  <c r="K138" i="2" s="1"/>
  <c r="L138" i="2" s="1"/>
  <c r="C138" i="2"/>
  <c r="L137" i="2"/>
  <c r="J137" i="2"/>
  <c r="C137" i="2"/>
  <c r="L136" i="2"/>
  <c r="J136" i="2"/>
  <c r="C136" i="2"/>
  <c r="J135" i="2"/>
  <c r="K135" i="2" s="1"/>
  <c r="L135" i="2" s="1"/>
  <c r="C135" i="2"/>
  <c r="L133" i="2"/>
  <c r="C133" i="2"/>
  <c r="L132" i="2"/>
  <c r="J132" i="2"/>
  <c r="C132" i="2"/>
  <c r="L131" i="2"/>
  <c r="J131" i="2"/>
  <c r="C131" i="2"/>
  <c r="J130" i="2"/>
  <c r="K130" i="2" s="1"/>
  <c r="L130" i="2" s="1"/>
  <c r="C130" i="2"/>
  <c r="L129" i="2"/>
  <c r="J129" i="2"/>
  <c r="C129" i="2"/>
  <c r="L128" i="2"/>
  <c r="J128" i="2"/>
  <c r="J127" i="2"/>
  <c r="K127" i="2" s="1"/>
  <c r="L127" i="2" s="1"/>
  <c r="C127" i="2"/>
  <c r="L126" i="2"/>
  <c r="J126" i="2"/>
  <c r="L125" i="2"/>
  <c r="J125" i="2"/>
  <c r="J124" i="2"/>
  <c r="K124" i="2" s="1"/>
  <c r="L124" i="2" s="1"/>
  <c r="K24" i="7"/>
  <c r="L24" i="7" s="1"/>
  <c r="J24" i="7"/>
  <c r="C24" i="7"/>
  <c r="K23" i="7"/>
  <c r="L23" i="7" s="1"/>
  <c r="J23" i="7"/>
  <c r="C23" i="7"/>
  <c r="K22" i="7"/>
  <c r="L22" i="7" s="1"/>
  <c r="J22" i="7"/>
  <c r="C22" i="7"/>
  <c r="K21" i="7"/>
  <c r="L21" i="7" s="1"/>
  <c r="J21" i="7"/>
  <c r="C21" i="7"/>
  <c r="K20" i="7"/>
  <c r="L20" i="7" s="1"/>
  <c r="J20" i="7"/>
  <c r="C20" i="7"/>
  <c r="K19" i="7"/>
  <c r="L19" i="7" s="1"/>
  <c r="J19" i="7"/>
  <c r="C19" i="7"/>
  <c r="K18" i="7"/>
  <c r="L18" i="7" s="1"/>
  <c r="J18" i="7"/>
  <c r="C18" i="7"/>
  <c r="K17" i="7"/>
  <c r="L17" i="7" s="1"/>
  <c r="J17" i="7"/>
  <c r="C17" i="7"/>
  <c r="K16" i="7"/>
  <c r="L16" i="7" s="1"/>
  <c r="J16" i="7"/>
  <c r="C16" i="7"/>
  <c r="K15" i="7"/>
  <c r="L15" i="7" s="1"/>
  <c r="J15" i="7"/>
  <c r="C15" i="7"/>
  <c r="K14" i="7"/>
  <c r="L14" i="7" s="1"/>
  <c r="J14" i="7"/>
  <c r="C14" i="7"/>
  <c r="K13" i="7"/>
  <c r="L13" i="7" s="1"/>
  <c r="J13" i="7"/>
  <c r="C13" i="7"/>
  <c r="K12" i="7"/>
  <c r="L12" i="7" s="1"/>
  <c r="J12" i="7"/>
  <c r="C12" i="7"/>
  <c r="K11" i="7"/>
  <c r="L11" i="7" s="1"/>
  <c r="J11" i="7"/>
  <c r="C11" i="7"/>
  <c r="K10" i="7"/>
  <c r="L10" i="7" s="1"/>
  <c r="J10" i="7"/>
  <c r="C10" i="7"/>
  <c r="K9" i="7"/>
  <c r="L9" i="7" s="1"/>
  <c r="J9" i="7"/>
  <c r="C9" i="7"/>
  <c r="K8" i="7"/>
  <c r="L8" i="7" s="1"/>
  <c r="J8" i="7"/>
  <c r="C8" i="7"/>
  <c r="K7" i="7"/>
  <c r="L7" i="7" s="1"/>
  <c r="J7" i="7"/>
  <c r="C7" i="7"/>
  <c r="K6" i="7"/>
  <c r="L6" i="7" s="1"/>
  <c r="J6" i="7"/>
  <c r="C6" i="7"/>
  <c r="C3" i="7" l="1"/>
  <c r="L3" i="7"/>
  <c r="K321" i="5"/>
  <c r="L321" i="5" s="1"/>
  <c r="J321" i="5"/>
  <c r="C321" i="5"/>
  <c r="N3" i="7" l="1"/>
  <c r="D7" i="13"/>
  <c r="K332" i="5"/>
  <c r="L332" i="5" s="1"/>
  <c r="J332" i="5"/>
  <c r="C332" i="5"/>
  <c r="K331" i="5"/>
  <c r="L331" i="5" s="1"/>
  <c r="J331" i="5"/>
  <c r="C331" i="5"/>
  <c r="K330" i="5"/>
  <c r="L330" i="5" s="1"/>
  <c r="J330" i="5"/>
  <c r="C330" i="5"/>
  <c r="K329" i="5"/>
  <c r="L329" i="5" s="1"/>
  <c r="J329" i="5"/>
  <c r="C329" i="5"/>
  <c r="K328" i="5"/>
  <c r="L328" i="5" s="1"/>
  <c r="J328" i="5"/>
  <c r="C328" i="5"/>
  <c r="K327" i="5"/>
  <c r="L327" i="5" s="1"/>
  <c r="J327" i="5"/>
  <c r="C327" i="5"/>
  <c r="K326" i="5"/>
  <c r="L326" i="5" s="1"/>
  <c r="J326" i="5"/>
  <c r="C326" i="5"/>
  <c r="K325" i="5"/>
  <c r="L325" i="5" s="1"/>
  <c r="J325" i="5"/>
  <c r="C325" i="5"/>
  <c r="K323" i="5"/>
  <c r="L323" i="5" s="1"/>
  <c r="J323" i="5"/>
  <c r="C323" i="5"/>
  <c r="K322" i="5"/>
  <c r="L322" i="5" s="1"/>
  <c r="J322" i="5"/>
  <c r="C322" i="5"/>
  <c r="C311" i="5" l="1"/>
  <c r="C310" i="5"/>
  <c r="K324" i="5" l="1"/>
  <c r="L324" i="5" s="1"/>
  <c r="J324" i="5"/>
  <c r="C324" i="5"/>
  <c r="K320" i="5"/>
  <c r="L320" i="5" s="1"/>
  <c r="J320" i="5"/>
  <c r="C320" i="5"/>
  <c r="K319" i="5"/>
  <c r="L319" i="5" s="1"/>
  <c r="J319" i="5"/>
  <c r="C319" i="5"/>
  <c r="K318" i="5"/>
  <c r="L318" i="5" s="1"/>
  <c r="J318" i="5"/>
  <c r="C318" i="5"/>
  <c r="K317" i="5"/>
  <c r="L317" i="5" s="1"/>
  <c r="J317" i="5"/>
  <c r="C317" i="5"/>
  <c r="K316" i="5"/>
  <c r="L316" i="5" s="1"/>
  <c r="J316" i="5"/>
  <c r="C316" i="5"/>
  <c r="K315" i="5"/>
  <c r="L315" i="5" s="1"/>
  <c r="J315" i="5"/>
  <c r="C315" i="5"/>
  <c r="K314" i="5"/>
  <c r="L314" i="5" s="1"/>
  <c r="J314" i="5"/>
  <c r="C314" i="5"/>
  <c r="K313" i="5"/>
  <c r="L313" i="5" s="1"/>
  <c r="J313" i="5"/>
  <c r="C313" i="5"/>
  <c r="K312" i="5"/>
  <c r="L312" i="5" s="1"/>
  <c r="J312" i="5"/>
  <c r="C312" i="5"/>
  <c r="J311" i="5"/>
  <c r="K310" i="5"/>
  <c r="L310" i="5" s="1"/>
  <c r="J310" i="5"/>
  <c r="K309" i="5"/>
  <c r="L309" i="5" s="1"/>
  <c r="J309" i="5"/>
  <c r="C309" i="5"/>
  <c r="K308" i="5"/>
  <c r="L308" i="5" s="1"/>
  <c r="J308" i="5"/>
  <c r="C308" i="5"/>
  <c r="K307" i="5"/>
  <c r="L307" i="5" s="1"/>
  <c r="J307" i="5"/>
  <c r="C275" i="5" l="1"/>
  <c r="C267" i="5" l="1"/>
  <c r="J46" i="6" l="1"/>
  <c r="K46" i="6" s="1"/>
  <c r="J45" i="6"/>
  <c r="K45" i="6" s="1"/>
  <c r="J44" i="6"/>
  <c r="K44" i="6" s="1"/>
  <c r="J43" i="6"/>
  <c r="K43" i="6" s="1"/>
  <c r="J42" i="6"/>
  <c r="K42" i="6" s="1"/>
  <c r="J41" i="6"/>
  <c r="K41" i="6" s="1"/>
  <c r="J40" i="6"/>
  <c r="K40" i="6" s="1"/>
  <c r="J39" i="6"/>
  <c r="K39" i="6" s="1"/>
  <c r="J38" i="6"/>
  <c r="K38" i="6" s="1"/>
  <c r="J37" i="6"/>
  <c r="K37" i="6" s="1"/>
  <c r="J36" i="6"/>
  <c r="K36" i="6" s="1"/>
  <c r="J35" i="6"/>
  <c r="K35" i="6" s="1"/>
  <c r="J34" i="6"/>
  <c r="K34" i="6" s="1"/>
  <c r="J33" i="6"/>
  <c r="K33" i="6" s="1"/>
  <c r="J32" i="6"/>
  <c r="K32" i="6" s="1"/>
  <c r="J31" i="6"/>
  <c r="K31" i="6" s="1"/>
  <c r="J30" i="6"/>
  <c r="K30" i="6" s="1"/>
  <c r="J29" i="6"/>
  <c r="K29" i="6" s="1"/>
  <c r="J28" i="6"/>
  <c r="K28" i="6" s="1"/>
  <c r="J27" i="6"/>
  <c r="K27" i="6" s="1"/>
  <c r="J26" i="6"/>
  <c r="K26" i="6" s="1"/>
  <c r="J25" i="6"/>
  <c r="K25" i="6" s="1"/>
  <c r="J24" i="6"/>
  <c r="K24" i="6" s="1"/>
  <c r="J23" i="6"/>
  <c r="K23" i="6" s="1"/>
  <c r="J22" i="6"/>
  <c r="K22" i="6" s="1"/>
  <c r="J21" i="6"/>
  <c r="K21" i="6" s="1"/>
  <c r="J20" i="6"/>
  <c r="K20" i="6" s="1"/>
  <c r="J19" i="6"/>
  <c r="K19" i="6" s="1"/>
  <c r="J18" i="6"/>
  <c r="K18" i="6" s="1"/>
  <c r="J17" i="6"/>
  <c r="K17" i="6" s="1"/>
  <c r="J16" i="6"/>
  <c r="K16" i="6" s="1"/>
  <c r="J15" i="6"/>
  <c r="K15" i="6" s="1"/>
  <c r="J14" i="6"/>
  <c r="K14" i="6" s="1"/>
  <c r="J13" i="6"/>
  <c r="K13" i="6" s="1"/>
  <c r="J12" i="6"/>
  <c r="K12" i="6" s="1"/>
  <c r="J11" i="6"/>
  <c r="K11" i="6" s="1"/>
  <c r="J10" i="6"/>
  <c r="K10" i="6" s="1"/>
  <c r="J9" i="6"/>
  <c r="K9" i="6" s="1"/>
  <c r="J8" i="6"/>
  <c r="K8" i="6" s="1"/>
  <c r="J7" i="6"/>
  <c r="K7" i="6" s="1"/>
  <c r="J6" i="6"/>
  <c r="K6" i="6" s="1"/>
  <c r="L3" i="6"/>
  <c r="C3" i="6"/>
  <c r="K306" i="5"/>
  <c r="L306" i="5" s="1"/>
  <c r="J306" i="5"/>
  <c r="C306" i="5"/>
  <c r="K305" i="5"/>
  <c r="L305" i="5" s="1"/>
  <c r="J305" i="5"/>
  <c r="C305" i="5"/>
  <c r="K304" i="5"/>
  <c r="L304" i="5" s="1"/>
  <c r="J304" i="5"/>
  <c r="C304" i="5"/>
  <c r="K303" i="5"/>
  <c r="L303" i="5" s="1"/>
  <c r="J303" i="5"/>
  <c r="C303" i="5"/>
  <c r="K302" i="5"/>
  <c r="L302" i="5" s="1"/>
  <c r="J302" i="5"/>
  <c r="C302" i="5"/>
  <c r="K301" i="5"/>
  <c r="L301" i="5" s="1"/>
  <c r="J301" i="5"/>
  <c r="C301" i="5"/>
  <c r="K300" i="5"/>
  <c r="L300" i="5" s="1"/>
  <c r="J300" i="5"/>
  <c r="C300" i="5"/>
  <c r="K299" i="5"/>
  <c r="L299" i="5" s="1"/>
  <c r="J299" i="5"/>
  <c r="C299" i="5"/>
  <c r="K298" i="5"/>
  <c r="L298" i="5" s="1"/>
  <c r="J298" i="5"/>
  <c r="C298" i="5"/>
  <c r="K297" i="5"/>
  <c r="L297" i="5" s="1"/>
  <c r="J297" i="5"/>
  <c r="C297" i="5"/>
  <c r="K296" i="5"/>
  <c r="L296" i="5" s="1"/>
  <c r="J296" i="5"/>
  <c r="C296" i="5"/>
  <c r="K295" i="5"/>
  <c r="L295" i="5" s="1"/>
  <c r="J295" i="5"/>
  <c r="C295" i="5"/>
  <c r="K294" i="5"/>
  <c r="L294" i="5" s="1"/>
  <c r="J294" i="5"/>
  <c r="C294" i="5"/>
  <c r="K293" i="5"/>
  <c r="L293" i="5" s="1"/>
  <c r="J293" i="5"/>
  <c r="C293" i="5"/>
  <c r="K292" i="5"/>
  <c r="L292" i="5" s="1"/>
  <c r="J292" i="5"/>
  <c r="C292" i="5"/>
  <c r="K291" i="5"/>
  <c r="L291" i="5" s="1"/>
  <c r="J291" i="5"/>
  <c r="C291" i="5"/>
  <c r="K290" i="5"/>
  <c r="L290" i="5" s="1"/>
  <c r="J290" i="5"/>
  <c r="C290" i="5"/>
  <c r="K289" i="5"/>
  <c r="L289" i="5" s="1"/>
  <c r="J289" i="5"/>
  <c r="C289" i="5"/>
  <c r="K288" i="5"/>
  <c r="L288" i="5" s="1"/>
  <c r="J288" i="5"/>
  <c r="C288" i="5"/>
  <c r="K287" i="5"/>
  <c r="L287" i="5" s="1"/>
  <c r="J287" i="5"/>
  <c r="C287" i="5"/>
  <c r="K286" i="5"/>
  <c r="L286" i="5" s="1"/>
  <c r="J286" i="5"/>
  <c r="C286" i="5"/>
  <c r="K285" i="5"/>
  <c r="L285" i="5" s="1"/>
  <c r="J285" i="5"/>
  <c r="C285" i="5"/>
  <c r="K284" i="5"/>
  <c r="L284" i="5" s="1"/>
  <c r="J284" i="5"/>
  <c r="C284" i="5"/>
  <c r="K283" i="5"/>
  <c r="L283" i="5" s="1"/>
  <c r="J283" i="5"/>
  <c r="C283" i="5"/>
  <c r="K282" i="5"/>
  <c r="L282" i="5" s="1"/>
  <c r="J282" i="5"/>
  <c r="C282" i="5"/>
  <c r="K281" i="5"/>
  <c r="L281" i="5" s="1"/>
  <c r="J281" i="5"/>
  <c r="C281" i="5"/>
  <c r="K280" i="5"/>
  <c r="L280" i="5" s="1"/>
  <c r="J280" i="5"/>
  <c r="C280" i="5"/>
  <c r="K279" i="5"/>
  <c r="L279" i="5" s="1"/>
  <c r="J279" i="5"/>
  <c r="C279" i="5"/>
  <c r="K278" i="5"/>
  <c r="L278" i="5" s="1"/>
  <c r="J278" i="5"/>
  <c r="C278" i="5"/>
  <c r="K277" i="5"/>
  <c r="L277" i="5" s="1"/>
  <c r="J277" i="5"/>
  <c r="C277" i="5"/>
  <c r="K276" i="5"/>
  <c r="L276" i="5" s="1"/>
  <c r="J276" i="5"/>
  <c r="C276" i="5"/>
  <c r="K275" i="5"/>
  <c r="L275" i="5" s="1"/>
  <c r="J275" i="5"/>
  <c r="K274" i="5"/>
  <c r="L274" i="5" s="1"/>
  <c r="J274" i="5"/>
  <c r="C274" i="5"/>
  <c r="K273" i="5"/>
  <c r="L273" i="5" s="1"/>
  <c r="J273" i="5"/>
  <c r="C273" i="5"/>
  <c r="K272" i="5"/>
  <c r="L272" i="5" s="1"/>
  <c r="J272" i="5"/>
  <c r="C272" i="5"/>
  <c r="K271" i="5"/>
  <c r="L271" i="5" s="1"/>
  <c r="J271" i="5"/>
  <c r="C271" i="5"/>
  <c r="K270" i="5"/>
  <c r="L270" i="5" s="1"/>
  <c r="J270" i="5"/>
  <c r="C270" i="5"/>
  <c r="K269" i="5"/>
  <c r="L269" i="5" s="1"/>
  <c r="J269" i="5"/>
  <c r="C269" i="5"/>
  <c r="K268" i="5"/>
  <c r="L268" i="5" s="1"/>
  <c r="J268" i="5"/>
  <c r="C268" i="5"/>
  <c r="K267" i="5"/>
  <c r="L267" i="5" s="1"/>
  <c r="J267" i="5"/>
  <c r="K266" i="5"/>
  <c r="L266" i="5" s="1"/>
  <c r="J266" i="5"/>
  <c r="C266" i="5"/>
  <c r="K265" i="5"/>
  <c r="L265" i="5" s="1"/>
  <c r="J265" i="5"/>
  <c r="C265" i="5"/>
  <c r="K264" i="5"/>
  <c r="L264" i="5" s="1"/>
  <c r="J264" i="5"/>
  <c r="C264" i="5"/>
  <c r="K263" i="5"/>
  <c r="L263" i="5" s="1"/>
  <c r="J263" i="5"/>
  <c r="C263" i="5"/>
  <c r="K262" i="5"/>
  <c r="L262" i="5" s="1"/>
  <c r="J262" i="5"/>
  <c r="C262" i="5"/>
  <c r="K261" i="5"/>
  <c r="L261" i="5" s="1"/>
  <c r="J261" i="5"/>
  <c r="C261" i="5"/>
  <c r="K260" i="5"/>
  <c r="L260" i="5" s="1"/>
  <c r="J260" i="5"/>
  <c r="C260" i="5"/>
  <c r="K259" i="5"/>
  <c r="L259" i="5" s="1"/>
  <c r="J259" i="5"/>
  <c r="C259" i="5"/>
  <c r="K258" i="5"/>
  <c r="L258" i="5" s="1"/>
  <c r="J258" i="5"/>
  <c r="C258" i="5"/>
  <c r="K257" i="5"/>
  <c r="L257" i="5" s="1"/>
  <c r="J257" i="5"/>
  <c r="C257" i="5"/>
  <c r="K256" i="5"/>
  <c r="L256" i="5" s="1"/>
  <c r="J256" i="5"/>
  <c r="C256" i="5"/>
  <c r="K255" i="5"/>
  <c r="L255" i="5" s="1"/>
  <c r="J255" i="5"/>
  <c r="C255" i="5"/>
  <c r="K254" i="5"/>
  <c r="L254" i="5" s="1"/>
  <c r="J254" i="5"/>
  <c r="C254" i="5"/>
  <c r="K253" i="5"/>
  <c r="L253" i="5" s="1"/>
  <c r="J253" i="5"/>
  <c r="C253" i="5"/>
  <c r="K252" i="5"/>
  <c r="L252" i="5" s="1"/>
  <c r="J252" i="5"/>
  <c r="C252" i="5"/>
  <c r="K251" i="5"/>
  <c r="L251" i="5" s="1"/>
  <c r="J251" i="5"/>
  <c r="C251" i="5"/>
  <c r="K250" i="5"/>
  <c r="L250" i="5" s="1"/>
  <c r="J250" i="5"/>
  <c r="C250" i="5"/>
  <c r="K249" i="5"/>
  <c r="L249" i="5" s="1"/>
  <c r="J249" i="5"/>
  <c r="C249" i="5"/>
  <c r="K248" i="5"/>
  <c r="L248" i="5" s="1"/>
  <c r="J248" i="5"/>
  <c r="C248" i="5"/>
  <c r="K247" i="5"/>
  <c r="L247" i="5" s="1"/>
  <c r="J247" i="5"/>
  <c r="C247" i="5"/>
  <c r="K246" i="5"/>
  <c r="L246" i="5" s="1"/>
  <c r="J246" i="5"/>
  <c r="C246" i="5"/>
  <c r="K245" i="5"/>
  <c r="L245" i="5" s="1"/>
  <c r="J245" i="5"/>
  <c r="C245" i="5"/>
  <c r="K244" i="5"/>
  <c r="L244" i="5" s="1"/>
  <c r="J244" i="5"/>
  <c r="C244" i="5"/>
  <c r="K243" i="5"/>
  <c r="L243" i="5" s="1"/>
  <c r="J243" i="5"/>
  <c r="C243" i="5"/>
  <c r="K242" i="5"/>
  <c r="L242" i="5" s="1"/>
  <c r="J242" i="5"/>
  <c r="C242" i="5"/>
  <c r="K241" i="5"/>
  <c r="L241" i="5" s="1"/>
  <c r="J241" i="5"/>
  <c r="C241" i="5"/>
  <c r="K240" i="5"/>
  <c r="L240" i="5" s="1"/>
  <c r="J240" i="5"/>
  <c r="C240" i="5"/>
  <c r="K239" i="5"/>
  <c r="L239" i="5" s="1"/>
  <c r="J239" i="5"/>
  <c r="C239" i="5"/>
  <c r="K238" i="5"/>
  <c r="L238" i="5" s="1"/>
  <c r="J238" i="5"/>
  <c r="C238" i="5"/>
  <c r="K237" i="5"/>
  <c r="L237" i="5" s="1"/>
  <c r="J237" i="5"/>
  <c r="C237" i="5"/>
  <c r="K236" i="5"/>
  <c r="L236" i="5" s="1"/>
  <c r="J236" i="5"/>
  <c r="C236" i="5"/>
  <c r="K235" i="5"/>
  <c r="L235" i="5" s="1"/>
  <c r="J235" i="5"/>
  <c r="C235" i="5"/>
  <c r="K234" i="5"/>
  <c r="L234" i="5" s="1"/>
  <c r="J234" i="5"/>
  <c r="C234" i="5"/>
  <c r="K233" i="5"/>
  <c r="L233" i="5" s="1"/>
  <c r="J233" i="5"/>
  <c r="C233" i="5"/>
  <c r="K232" i="5"/>
  <c r="L232" i="5" s="1"/>
  <c r="J232" i="5"/>
  <c r="C232" i="5"/>
  <c r="K231" i="5"/>
  <c r="L231" i="5" s="1"/>
  <c r="J231" i="5"/>
  <c r="C231" i="5"/>
  <c r="K230" i="5"/>
  <c r="L230" i="5" s="1"/>
  <c r="J230" i="5"/>
  <c r="C230" i="5"/>
  <c r="K229" i="5"/>
  <c r="L229" i="5" s="1"/>
  <c r="J229" i="5"/>
  <c r="C229" i="5"/>
  <c r="K228" i="5"/>
  <c r="L228" i="5" s="1"/>
  <c r="J228" i="5"/>
  <c r="C228" i="5"/>
  <c r="K227" i="5"/>
  <c r="L227" i="5" s="1"/>
  <c r="J227" i="5"/>
  <c r="C227" i="5"/>
  <c r="K226" i="5"/>
  <c r="L226" i="5" s="1"/>
  <c r="J226" i="5"/>
  <c r="C226" i="5"/>
  <c r="K225" i="5"/>
  <c r="L225" i="5" s="1"/>
  <c r="J225" i="5"/>
  <c r="C225" i="5"/>
  <c r="K224" i="5"/>
  <c r="L224" i="5" s="1"/>
  <c r="J224" i="5"/>
  <c r="C224" i="5"/>
  <c r="K223" i="5"/>
  <c r="L223" i="5" s="1"/>
  <c r="J223" i="5"/>
  <c r="C223" i="5"/>
  <c r="K222" i="5"/>
  <c r="L222" i="5" s="1"/>
  <c r="J222" i="5"/>
  <c r="C222" i="5"/>
  <c r="K221" i="5"/>
  <c r="L221" i="5" s="1"/>
  <c r="J221" i="5"/>
  <c r="C221" i="5"/>
  <c r="K220" i="5"/>
  <c r="L220" i="5" s="1"/>
  <c r="J220" i="5"/>
  <c r="C220" i="5"/>
  <c r="K219" i="5"/>
  <c r="L219" i="5" s="1"/>
  <c r="J219" i="5"/>
  <c r="C219" i="5"/>
  <c r="K218" i="5"/>
  <c r="L218" i="5" s="1"/>
  <c r="J218" i="5"/>
  <c r="C218" i="5"/>
  <c r="K217" i="5"/>
  <c r="L217" i="5" s="1"/>
  <c r="J217" i="5"/>
  <c r="C217" i="5"/>
  <c r="K216" i="5"/>
  <c r="L216" i="5" s="1"/>
  <c r="J216" i="5"/>
  <c r="C216" i="5"/>
  <c r="K215" i="5"/>
  <c r="L215" i="5" s="1"/>
  <c r="J215" i="5"/>
  <c r="C215" i="5"/>
  <c r="K214" i="5"/>
  <c r="L214" i="5" s="1"/>
  <c r="J214" i="5"/>
  <c r="C214" i="5"/>
  <c r="K213" i="5"/>
  <c r="L213" i="5" s="1"/>
  <c r="J213" i="5"/>
  <c r="C213" i="5"/>
  <c r="K212" i="5"/>
  <c r="L212" i="5" s="1"/>
  <c r="J212" i="5"/>
  <c r="C212" i="5"/>
  <c r="K211" i="5"/>
  <c r="L211" i="5" s="1"/>
  <c r="J211" i="5"/>
  <c r="C211" i="5"/>
  <c r="K210" i="5"/>
  <c r="L210" i="5" s="1"/>
  <c r="J210" i="5"/>
  <c r="C210" i="5"/>
  <c r="K209" i="5"/>
  <c r="L209" i="5" s="1"/>
  <c r="J209" i="5"/>
  <c r="C209" i="5"/>
  <c r="K208" i="5"/>
  <c r="L208" i="5" s="1"/>
  <c r="J208" i="5"/>
  <c r="C208" i="5"/>
  <c r="K207" i="5"/>
  <c r="L207" i="5" s="1"/>
  <c r="J207" i="5"/>
  <c r="C207" i="5"/>
  <c r="K206" i="5"/>
  <c r="L206" i="5" s="1"/>
  <c r="J206" i="5"/>
  <c r="C206" i="5"/>
  <c r="K205" i="5"/>
  <c r="L205" i="5" s="1"/>
  <c r="J205" i="5"/>
  <c r="C205" i="5"/>
  <c r="K204" i="5"/>
  <c r="L204" i="5" s="1"/>
  <c r="J204" i="5"/>
  <c r="C204" i="5"/>
  <c r="K203" i="5"/>
  <c r="L203" i="5" s="1"/>
  <c r="J203" i="5"/>
  <c r="C203" i="5"/>
  <c r="K202" i="5"/>
  <c r="L202" i="5" s="1"/>
  <c r="J202" i="5"/>
  <c r="C202" i="5"/>
  <c r="K201" i="5"/>
  <c r="L201" i="5" s="1"/>
  <c r="J201" i="5"/>
  <c r="C201" i="5"/>
  <c r="K200" i="5"/>
  <c r="L200" i="5" s="1"/>
  <c r="J200" i="5"/>
  <c r="C200" i="5"/>
  <c r="K199" i="5"/>
  <c r="L199" i="5" s="1"/>
  <c r="J199" i="5"/>
  <c r="C199" i="5"/>
  <c r="K198" i="5"/>
  <c r="L198" i="5" s="1"/>
  <c r="J198" i="5"/>
  <c r="C198" i="5"/>
  <c r="K197" i="5"/>
  <c r="L197" i="5" s="1"/>
  <c r="J197" i="5"/>
  <c r="C197" i="5"/>
  <c r="K196" i="5"/>
  <c r="L196" i="5" s="1"/>
  <c r="J196" i="5"/>
  <c r="K195" i="5"/>
  <c r="L195" i="5" s="1"/>
  <c r="J195" i="5"/>
  <c r="C195" i="5"/>
  <c r="K194" i="5"/>
  <c r="L194" i="5" s="1"/>
  <c r="J194" i="5"/>
  <c r="C194" i="5"/>
  <c r="K193" i="5"/>
  <c r="L193" i="5" s="1"/>
  <c r="J193" i="5"/>
  <c r="C193" i="5"/>
  <c r="K192" i="5"/>
  <c r="L192" i="5" s="1"/>
  <c r="J192" i="5"/>
  <c r="C192" i="5"/>
  <c r="K191" i="5"/>
  <c r="L191" i="5" s="1"/>
  <c r="J191" i="5"/>
  <c r="C191" i="5"/>
  <c r="K190" i="5"/>
  <c r="L190" i="5" s="1"/>
  <c r="J190" i="5"/>
  <c r="C190" i="5"/>
  <c r="K189" i="5"/>
  <c r="L189" i="5" s="1"/>
  <c r="J189" i="5"/>
  <c r="C189" i="5"/>
  <c r="K188" i="5"/>
  <c r="L188" i="5" s="1"/>
  <c r="J188" i="5"/>
  <c r="C188" i="5"/>
  <c r="K187" i="5"/>
  <c r="L187" i="5" s="1"/>
  <c r="J187" i="5"/>
  <c r="C187" i="5"/>
  <c r="K186" i="5"/>
  <c r="L186" i="5" s="1"/>
  <c r="J186" i="5"/>
  <c r="C186" i="5"/>
  <c r="K185" i="5"/>
  <c r="L185" i="5" s="1"/>
  <c r="J185" i="5"/>
  <c r="C185" i="5"/>
  <c r="K184" i="5"/>
  <c r="L184" i="5" s="1"/>
  <c r="J184" i="5"/>
  <c r="C184" i="5"/>
  <c r="K183" i="5"/>
  <c r="L183" i="5" s="1"/>
  <c r="J183" i="5"/>
  <c r="C183" i="5"/>
  <c r="K182" i="5"/>
  <c r="L182" i="5" s="1"/>
  <c r="J182" i="5"/>
  <c r="C182" i="5"/>
  <c r="K181" i="5"/>
  <c r="L181" i="5" s="1"/>
  <c r="J181" i="5"/>
  <c r="C181" i="5"/>
  <c r="K180" i="5"/>
  <c r="L180" i="5" s="1"/>
  <c r="J180" i="5"/>
  <c r="C180" i="5"/>
  <c r="K179" i="5"/>
  <c r="L179" i="5" s="1"/>
  <c r="J179" i="5"/>
  <c r="C179" i="5"/>
  <c r="K178" i="5"/>
  <c r="L178" i="5" s="1"/>
  <c r="J178" i="5"/>
  <c r="C178" i="5"/>
  <c r="K177" i="5"/>
  <c r="L177" i="5" s="1"/>
  <c r="J177" i="5"/>
  <c r="C177" i="5"/>
  <c r="K176" i="5"/>
  <c r="L176" i="5" s="1"/>
  <c r="J176" i="5"/>
  <c r="C176" i="5"/>
  <c r="K175" i="5"/>
  <c r="L175" i="5" s="1"/>
  <c r="J175" i="5"/>
  <c r="C175" i="5"/>
  <c r="K174" i="5"/>
  <c r="L174" i="5" s="1"/>
  <c r="J174" i="5"/>
  <c r="C174" i="5"/>
  <c r="K173" i="5"/>
  <c r="L173" i="5" s="1"/>
  <c r="J173" i="5"/>
  <c r="C173" i="5"/>
  <c r="K172" i="5"/>
  <c r="L172" i="5" s="1"/>
  <c r="J172" i="5"/>
  <c r="C172" i="5"/>
  <c r="K171" i="5"/>
  <c r="L171" i="5" s="1"/>
  <c r="J171" i="5"/>
  <c r="C171" i="5"/>
  <c r="K170" i="5"/>
  <c r="L170" i="5" s="1"/>
  <c r="J170" i="5"/>
  <c r="C170" i="5"/>
  <c r="K169" i="5"/>
  <c r="L169" i="5" s="1"/>
  <c r="J169" i="5"/>
  <c r="C169" i="5"/>
  <c r="K168" i="5"/>
  <c r="L168" i="5" s="1"/>
  <c r="J168" i="5"/>
  <c r="C168" i="5"/>
  <c r="K167" i="5"/>
  <c r="L167" i="5" s="1"/>
  <c r="J167" i="5"/>
  <c r="C167" i="5"/>
  <c r="K166" i="5"/>
  <c r="L166" i="5" s="1"/>
  <c r="J166" i="5"/>
  <c r="C166" i="5"/>
  <c r="K165" i="5"/>
  <c r="L165" i="5" s="1"/>
  <c r="J165" i="5"/>
  <c r="C165" i="5"/>
  <c r="K164" i="5"/>
  <c r="L164" i="5" s="1"/>
  <c r="J164" i="5"/>
  <c r="C164" i="5"/>
  <c r="K163" i="5"/>
  <c r="L163" i="5" s="1"/>
  <c r="J163" i="5"/>
  <c r="C163" i="5"/>
  <c r="K162" i="5"/>
  <c r="L162" i="5" s="1"/>
  <c r="J162" i="5"/>
  <c r="C162" i="5"/>
  <c r="K161" i="5"/>
  <c r="L161" i="5" s="1"/>
  <c r="J161" i="5"/>
  <c r="C161" i="5"/>
  <c r="K160" i="5"/>
  <c r="L160" i="5" s="1"/>
  <c r="J160" i="5"/>
  <c r="C160" i="5"/>
  <c r="K159" i="5"/>
  <c r="L159" i="5" s="1"/>
  <c r="J159" i="5"/>
  <c r="C159" i="5"/>
  <c r="K158" i="5"/>
  <c r="L158" i="5" s="1"/>
  <c r="J158" i="5"/>
  <c r="C158" i="5"/>
  <c r="K157" i="5"/>
  <c r="L157" i="5" s="1"/>
  <c r="J157" i="5"/>
  <c r="C157" i="5"/>
  <c r="K156" i="5"/>
  <c r="L156" i="5" s="1"/>
  <c r="J156" i="5"/>
  <c r="C156" i="5"/>
  <c r="K155" i="5"/>
  <c r="L155" i="5" s="1"/>
  <c r="J155" i="5"/>
  <c r="C155" i="5"/>
  <c r="K154" i="5"/>
  <c r="L154" i="5" s="1"/>
  <c r="J154" i="5"/>
  <c r="C154" i="5"/>
  <c r="K153" i="5"/>
  <c r="L153" i="5" s="1"/>
  <c r="J153" i="5"/>
  <c r="C153" i="5"/>
  <c r="K152" i="5"/>
  <c r="L152" i="5" s="1"/>
  <c r="J152" i="5"/>
  <c r="C152" i="5"/>
  <c r="K151" i="5"/>
  <c r="L151" i="5" s="1"/>
  <c r="J151" i="5"/>
  <c r="C151" i="5"/>
  <c r="K150" i="5"/>
  <c r="L150" i="5" s="1"/>
  <c r="J150" i="5"/>
  <c r="C150" i="5"/>
  <c r="K149" i="5"/>
  <c r="L149" i="5" s="1"/>
  <c r="J149" i="5"/>
  <c r="C149" i="5"/>
  <c r="K148" i="5"/>
  <c r="L148" i="5" s="1"/>
  <c r="J148" i="5"/>
  <c r="C148" i="5"/>
  <c r="K147" i="5"/>
  <c r="L147" i="5" s="1"/>
  <c r="J147" i="5"/>
  <c r="C147" i="5"/>
  <c r="K146" i="5"/>
  <c r="L146" i="5" s="1"/>
  <c r="J146" i="5"/>
  <c r="C146" i="5"/>
  <c r="K145" i="5"/>
  <c r="L145" i="5" s="1"/>
  <c r="J145" i="5"/>
  <c r="C145" i="5"/>
  <c r="K144" i="5"/>
  <c r="L144" i="5" s="1"/>
  <c r="J144" i="5"/>
  <c r="C144" i="5"/>
  <c r="K143" i="5"/>
  <c r="L143" i="5" s="1"/>
  <c r="J143" i="5"/>
  <c r="C143" i="5"/>
  <c r="K142" i="5"/>
  <c r="L142" i="5" s="1"/>
  <c r="J142" i="5"/>
  <c r="C142" i="5"/>
  <c r="K141" i="5"/>
  <c r="L141" i="5" s="1"/>
  <c r="J141" i="5"/>
  <c r="C141" i="5"/>
  <c r="K140" i="5"/>
  <c r="L140" i="5" s="1"/>
  <c r="J140" i="5"/>
  <c r="C140" i="5"/>
  <c r="K139" i="5"/>
  <c r="L139" i="5" s="1"/>
  <c r="J139" i="5"/>
  <c r="C139" i="5"/>
  <c r="K138" i="5"/>
  <c r="L138" i="5" s="1"/>
  <c r="J138" i="5"/>
  <c r="C138" i="5"/>
  <c r="K137" i="5"/>
  <c r="L137" i="5" s="1"/>
  <c r="J137" i="5"/>
  <c r="C137" i="5"/>
  <c r="K136" i="5"/>
  <c r="L136" i="5" s="1"/>
  <c r="J136" i="5"/>
  <c r="C136" i="5"/>
  <c r="K135" i="5"/>
  <c r="L135" i="5" s="1"/>
  <c r="J135" i="5"/>
  <c r="C135" i="5"/>
  <c r="K134" i="5"/>
  <c r="L134" i="5" s="1"/>
  <c r="J134" i="5"/>
  <c r="C134" i="5"/>
  <c r="K133" i="5"/>
  <c r="L133" i="5" s="1"/>
  <c r="J133" i="5"/>
  <c r="C133" i="5"/>
  <c r="K132" i="5"/>
  <c r="L132" i="5" s="1"/>
  <c r="J132" i="5"/>
  <c r="C132" i="5"/>
  <c r="K131" i="5"/>
  <c r="L131" i="5" s="1"/>
  <c r="J131" i="5"/>
  <c r="C131" i="5"/>
  <c r="K130" i="5"/>
  <c r="L130" i="5" s="1"/>
  <c r="J130" i="5"/>
  <c r="C130" i="5"/>
  <c r="K129" i="5"/>
  <c r="L129" i="5" s="1"/>
  <c r="J129" i="5"/>
  <c r="C129" i="5"/>
  <c r="K128" i="5"/>
  <c r="L128" i="5" s="1"/>
  <c r="J128" i="5"/>
  <c r="C128" i="5"/>
  <c r="K127" i="5"/>
  <c r="L127" i="5" s="1"/>
  <c r="J127" i="5"/>
  <c r="C127" i="5"/>
  <c r="K126" i="5"/>
  <c r="L126" i="5" s="1"/>
  <c r="J126" i="5"/>
  <c r="C126" i="5"/>
  <c r="K125" i="5"/>
  <c r="L125" i="5" s="1"/>
  <c r="J125" i="5"/>
  <c r="C125" i="5"/>
  <c r="K124" i="5"/>
  <c r="L124" i="5" s="1"/>
  <c r="J124" i="5"/>
  <c r="C124" i="5"/>
  <c r="K123" i="5"/>
  <c r="L123" i="5" s="1"/>
  <c r="J123" i="5"/>
  <c r="C123" i="5"/>
  <c r="K122" i="5"/>
  <c r="L122" i="5" s="1"/>
  <c r="J122" i="5"/>
  <c r="C122" i="5"/>
  <c r="K121" i="5"/>
  <c r="L121" i="5" s="1"/>
  <c r="J121" i="5"/>
  <c r="C121" i="5"/>
  <c r="K120" i="5"/>
  <c r="L120" i="5" s="1"/>
  <c r="J120" i="5"/>
  <c r="C120" i="5"/>
  <c r="K119" i="5"/>
  <c r="L119" i="5" s="1"/>
  <c r="J119" i="5"/>
  <c r="C119" i="5"/>
  <c r="K118" i="5"/>
  <c r="L118" i="5" s="1"/>
  <c r="J118" i="5"/>
  <c r="C118" i="5"/>
  <c r="K117" i="5"/>
  <c r="L117" i="5" s="1"/>
  <c r="J117" i="5"/>
  <c r="C117" i="5"/>
  <c r="K116" i="5"/>
  <c r="L116" i="5" s="1"/>
  <c r="J116" i="5"/>
  <c r="C116" i="5"/>
  <c r="K115" i="5"/>
  <c r="L115" i="5" s="1"/>
  <c r="J115" i="5"/>
  <c r="C115" i="5"/>
  <c r="K114" i="5"/>
  <c r="L114" i="5" s="1"/>
  <c r="J114" i="5"/>
  <c r="C114" i="5"/>
  <c r="K113" i="5"/>
  <c r="L113" i="5" s="1"/>
  <c r="J113" i="5"/>
  <c r="C113" i="5"/>
  <c r="K112" i="5"/>
  <c r="L112" i="5" s="1"/>
  <c r="J112" i="5"/>
  <c r="C112" i="5"/>
  <c r="K111" i="5"/>
  <c r="L111" i="5" s="1"/>
  <c r="J111" i="5"/>
  <c r="C111" i="5"/>
  <c r="K110" i="5"/>
  <c r="L110" i="5" s="1"/>
  <c r="J110" i="5"/>
  <c r="C110" i="5"/>
  <c r="K109" i="5"/>
  <c r="L109" i="5" s="1"/>
  <c r="J109" i="5"/>
  <c r="C109" i="5"/>
  <c r="K108" i="5"/>
  <c r="L108" i="5" s="1"/>
  <c r="J108" i="5"/>
  <c r="C108" i="5"/>
  <c r="K107" i="5"/>
  <c r="L107" i="5" s="1"/>
  <c r="J107" i="5"/>
  <c r="C107" i="5"/>
  <c r="K106" i="5"/>
  <c r="L106" i="5" s="1"/>
  <c r="J106" i="5"/>
  <c r="C106" i="5"/>
  <c r="K105" i="5"/>
  <c r="L105" i="5" s="1"/>
  <c r="J105" i="5"/>
  <c r="C105" i="5"/>
  <c r="K104" i="5"/>
  <c r="L104" i="5" s="1"/>
  <c r="J104" i="5"/>
  <c r="C104" i="5"/>
  <c r="K103" i="5"/>
  <c r="L103" i="5" s="1"/>
  <c r="J103" i="5"/>
  <c r="C103" i="5"/>
  <c r="K102" i="5"/>
  <c r="L102" i="5" s="1"/>
  <c r="J102" i="5"/>
  <c r="C102" i="5"/>
  <c r="K101" i="5"/>
  <c r="L101" i="5" s="1"/>
  <c r="J101" i="5"/>
  <c r="C101" i="5"/>
  <c r="K100" i="5"/>
  <c r="L100" i="5" s="1"/>
  <c r="J100" i="5"/>
  <c r="C100" i="5"/>
  <c r="K99" i="5"/>
  <c r="L99" i="5" s="1"/>
  <c r="J99" i="5"/>
  <c r="C99" i="5"/>
  <c r="K98" i="5"/>
  <c r="L98" i="5" s="1"/>
  <c r="J98" i="5"/>
  <c r="C98" i="5"/>
  <c r="K97" i="5"/>
  <c r="L97" i="5" s="1"/>
  <c r="J97" i="5"/>
  <c r="C97" i="5"/>
  <c r="K96" i="5"/>
  <c r="L96" i="5" s="1"/>
  <c r="J96" i="5"/>
  <c r="C96" i="5"/>
  <c r="K95" i="5"/>
  <c r="L95" i="5" s="1"/>
  <c r="J95" i="5"/>
  <c r="C95" i="5"/>
  <c r="K94" i="5"/>
  <c r="L94" i="5" s="1"/>
  <c r="J94" i="5"/>
  <c r="C94" i="5"/>
  <c r="K93" i="5"/>
  <c r="L93" i="5" s="1"/>
  <c r="J93" i="5"/>
  <c r="C93" i="5"/>
  <c r="K92" i="5"/>
  <c r="L92" i="5" s="1"/>
  <c r="J92" i="5"/>
  <c r="C92" i="5"/>
  <c r="K91" i="5"/>
  <c r="L91" i="5" s="1"/>
  <c r="J91" i="5"/>
  <c r="C91" i="5"/>
  <c r="K90" i="5"/>
  <c r="L90" i="5" s="1"/>
  <c r="J90" i="5"/>
  <c r="C90" i="5"/>
  <c r="K89" i="5"/>
  <c r="L89" i="5" s="1"/>
  <c r="J89" i="5"/>
  <c r="C89" i="5"/>
  <c r="K88" i="5"/>
  <c r="L88" i="5" s="1"/>
  <c r="J88" i="5"/>
  <c r="C88" i="5"/>
  <c r="K87" i="5"/>
  <c r="L87" i="5" s="1"/>
  <c r="J87" i="5"/>
  <c r="C87" i="5"/>
  <c r="K86" i="5"/>
  <c r="L86" i="5" s="1"/>
  <c r="J86" i="5"/>
  <c r="C86" i="5"/>
  <c r="K85" i="5"/>
  <c r="L85" i="5" s="1"/>
  <c r="J85" i="5"/>
  <c r="C85" i="5"/>
  <c r="K84" i="5"/>
  <c r="L84" i="5" s="1"/>
  <c r="J84" i="5"/>
  <c r="C84" i="5"/>
  <c r="K83" i="5"/>
  <c r="L83" i="5" s="1"/>
  <c r="J83" i="5"/>
  <c r="C83" i="5"/>
  <c r="K82" i="5"/>
  <c r="L82" i="5" s="1"/>
  <c r="J82" i="5"/>
  <c r="C82" i="5"/>
  <c r="K81" i="5"/>
  <c r="L81" i="5" s="1"/>
  <c r="J81" i="5"/>
  <c r="C81" i="5"/>
  <c r="K80" i="5"/>
  <c r="L80" i="5" s="1"/>
  <c r="J80" i="5"/>
  <c r="C80" i="5"/>
  <c r="K79" i="5"/>
  <c r="L79" i="5" s="1"/>
  <c r="J79" i="5"/>
  <c r="C79" i="5"/>
  <c r="K78" i="5"/>
  <c r="L78" i="5" s="1"/>
  <c r="J78" i="5"/>
  <c r="C78" i="5"/>
  <c r="K77" i="5"/>
  <c r="L77" i="5" s="1"/>
  <c r="J77" i="5"/>
  <c r="C77" i="5"/>
  <c r="K76" i="5"/>
  <c r="L76" i="5" s="1"/>
  <c r="J76" i="5"/>
  <c r="C76" i="5"/>
  <c r="K75" i="5"/>
  <c r="L75" i="5" s="1"/>
  <c r="J75" i="5"/>
  <c r="C75" i="5"/>
  <c r="K74" i="5"/>
  <c r="L74" i="5" s="1"/>
  <c r="J74" i="5"/>
  <c r="C74" i="5"/>
  <c r="K73" i="5"/>
  <c r="L73" i="5" s="1"/>
  <c r="J73" i="5"/>
  <c r="C73" i="5"/>
  <c r="K72" i="5"/>
  <c r="L72" i="5" s="1"/>
  <c r="J72" i="5"/>
  <c r="C72" i="5"/>
  <c r="K71" i="5"/>
  <c r="L71" i="5" s="1"/>
  <c r="J71" i="5"/>
  <c r="C71" i="5"/>
  <c r="K70" i="5"/>
  <c r="L70" i="5" s="1"/>
  <c r="J70" i="5"/>
  <c r="C70" i="5"/>
  <c r="K69" i="5"/>
  <c r="L69" i="5" s="1"/>
  <c r="J69" i="5"/>
  <c r="C69" i="5"/>
  <c r="K68" i="5"/>
  <c r="L68" i="5" s="1"/>
  <c r="J68" i="5"/>
  <c r="C68" i="5"/>
  <c r="K67" i="5"/>
  <c r="L67" i="5" s="1"/>
  <c r="J67" i="5"/>
  <c r="C67" i="5"/>
  <c r="K66" i="5"/>
  <c r="L66" i="5" s="1"/>
  <c r="J66" i="5"/>
  <c r="C66" i="5"/>
  <c r="K65" i="5"/>
  <c r="L65" i="5" s="1"/>
  <c r="J65" i="5"/>
  <c r="C65" i="5"/>
  <c r="K64" i="5"/>
  <c r="L64" i="5" s="1"/>
  <c r="J64" i="5"/>
  <c r="C64" i="5"/>
  <c r="K63" i="5"/>
  <c r="L63" i="5" s="1"/>
  <c r="J63" i="5"/>
  <c r="C63" i="5"/>
  <c r="K62" i="5"/>
  <c r="L62" i="5" s="1"/>
  <c r="J62" i="5"/>
  <c r="C62" i="5"/>
  <c r="K61" i="5"/>
  <c r="L61" i="5" s="1"/>
  <c r="J61" i="5"/>
  <c r="C61" i="5"/>
  <c r="K60" i="5"/>
  <c r="L60" i="5" s="1"/>
  <c r="J60" i="5"/>
  <c r="C60" i="5"/>
  <c r="K59" i="5"/>
  <c r="L59" i="5" s="1"/>
  <c r="J59" i="5"/>
  <c r="C59" i="5"/>
  <c r="K58" i="5"/>
  <c r="L58" i="5" s="1"/>
  <c r="J58" i="5"/>
  <c r="C58" i="5"/>
  <c r="K57" i="5"/>
  <c r="L57" i="5" s="1"/>
  <c r="J57" i="5"/>
  <c r="C57" i="5"/>
  <c r="K56" i="5"/>
  <c r="L56" i="5" s="1"/>
  <c r="J56" i="5"/>
  <c r="C56" i="5"/>
  <c r="K55" i="5"/>
  <c r="L55" i="5" s="1"/>
  <c r="J55" i="5"/>
  <c r="C55" i="5"/>
  <c r="K54" i="5"/>
  <c r="L54" i="5" s="1"/>
  <c r="J54" i="5"/>
  <c r="C54" i="5"/>
  <c r="K53" i="5"/>
  <c r="L53" i="5" s="1"/>
  <c r="J53" i="5"/>
  <c r="C53" i="5"/>
  <c r="L51" i="5"/>
  <c r="K51" i="5"/>
  <c r="J51" i="5"/>
  <c r="C51" i="5"/>
  <c r="K50" i="5"/>
  <c r="L50" i="5" s="1"/>
  <c r="J50" i="5"/>
  <c r="C50" i="5"/>
  <c r="K49" i="5"/>
  <c r="L49" i="5" s="1"/>
  <c r="J49" i="5"/>
  <c r="C49" i="5"/>
  <c r="K48" i="5"/>
  <c r="L48" i="5" s="1"/>
  <c r="J48" i="5"/>
  <c r="C48" i="5"/>
  <c r="K47" i="5"/>
  <c r="L47" i="5" s="1"/>
  <c r="J47" i="5"/>
  <c r="C47" i="5"/>
  <c r="K46" i="5"/>
  <c r="L46" i="5" s="1"/>
  <c r="J46" i="5"/>
  <c r="C46" i="5"/>
  <c r="K45" i="5"/>
  <c r="L45" i="5" s="1"/>
  <c r="J45" i="5"/>
  <c r="C45" i="5"/>
  <c r="K44" i="5"/>
  <c r="L44" i="5" s="1"/>
  <c r="J44" i="5"/>
  <c r="C44" i="5"/>
  <c r="K43" i="5"/>
  <c r="L43" i="5" s="1"/>
  <c r="J43" i="5"/>
  <c r="C43" i="5"/>
  <c r="K42" i="5"/>
  <c r="L42" i="5" s="1"/>
  <c r="J42" i="5"/>
  <c r="C42" i="5"/>
  <c r="K41" i="5"/>
  <c r="L41" i="5" s="1"/>
  <c r="J41" i="5"/>
  <c r="C41" i="5"/>
  <c r="K40" i="5"/>
  <c r="L40" i="5" s="1"/>
  <c r="J40" i="5"/>
  <c r="C40" i="5"/>
  <c r="K39" i="5"/>
  <c r="L39" i="5" s="1"/>
  <c r="J39" i="5"/>
  <c r="C39" i="5"/>
  <c r="K38" i="5"/>
  <c r="L38" i="5" s="1"/>
  <c r="J38" i="5"/>
  <c r="C38" i="5"/>
  <c r="K37" i="5"/>
  <c r="L37" i="5" s="1"/>
  <c r="J37" i="5"/>
  <c r="C37" i="5"/>
  <c r="K36" i="5"/>
  <c r="L36" i="5" s="1"/>
  <c r="J36" i="5"/>
  <c r="C36" i="5"/>
  <c r="K35" i="5"/>
  <c r="L35" i="5" s="1"/>
  <c r="J35" i="5"/>
  <c r="C35" i="5"/>
  <c r="K34" i="5"/>
  <c r="L34" i="5" s="1"/>
  <c r="J34" i="5"/>
  <c r="C34" i="5"/>
  <c r="K33" i="5"/>
  <c r="L33" i="5" s="1"/>
  <c r="J33" i="5"/>
  <c r="C33" i="5"/>
  <c r="K32" i="5"/>
  <c r="L32" i="5" s="1"/>
  <c r="J32" i="5"/>
  <c r="C32" i="5"/>
  <c r="K31" i="5"/>
  <c r="L31" i="5" s="1"/>
  <c r="J31" i="5"/>
  <c r="C31" i="5"/>
  <c r="K30" i="5"/>
  <c r="L30" i="5" s="1"/>
  <c r="J30" i="5"/>
  <c r="C30" i="5"/>
  <c r="K29" i="5"/>
  <c r="L29" i="5" s="1"/>
  <c r="J29" i="5"/>
  <c r="C29" i="5"/>
  <c r="K28" i="5"/>
  <c r="L28" i="5" s="1"/>
  <c r="J28" i="5"/>
  <c r="C28" i="5"/>
  <c r="K27" i="5"/>
  <c r="L27" i="5" s="1"/>
  <c r="J27" i="5"/>
  <c r="C27" i="5"/>
  <c r="K26" i="5"/>
  <c r="L26" i="5" s="1"/>
  <c r="J26" i="5"/>
  <c r="C26" i="5"/>
  <c r="K25" i="5"/>
  <c r="L25" i="5" s="1"/>
  <c r="J25" i="5"/>
  <c r="C25" i="5"/>
  <c r="K24" i="5"/>
  <c r="L24" i="5" s="1"/>
  <c r="J24" i="5"/>
  <c r="C24" i="5"/>
  <c r="K23" i="5"/>
  <c r="L23" i="5" s="1"/>
  <c r="J23" i="5"/>
  <c r="C23" i="5"/>
  <c r="K22" i="5"/>
  <c r="L22" i="5" s="1"/>
  <c r="J22" i="5"/>
  <c r="C22" i="5"/>
  <c r="K21" i="5"/>
  <c r="L21" i="5" s="1"/>
  <c r="J21" i="5"/>
  <c r="C21" i="5"/>
  <c r="K20" i="5"/>
  <c r="L20" i="5" s="1"/>
  <c r="J20" i="5"/>
  <c r="C20" i="5"/>
  <c r="K19" i="5"/>
  <c r="L19" i="5" s="1"/>
  <c r="J19" i="5"/>
  <c r="C19" i="5"/>
  <c r="K18" i="5"/>
  <c r="L18" i="5" s="1"/>
  <c r="J18" i="5"/>
  <c r="C18" i="5"/>
  <c r="K17" i="5"/>
  <c r="L17" i="5" s="1"/>
  <c r="J17" i="5"/>
  <c r="C17" i="5"/>
  <c r="K16" i="5"/>
  <c r="L16" i="5" s="1"/>
  <c r="J16" i="5"/>
  <c r="C16" i="5"/>
  <c r="K15" i="5"/>
  <c r="L15" i="5" s="1"/>
  <c r="J15" i="5"/>
  <c r="C15" i="5"/>
  <c r="K14" i="5"/>
  <c r="L14" i="5" s="1"/>
  <c r="J14" i="5"/>
  <c r="C14" i="5"/>
  <c r="K13" i="5"/>
  <c r="L13" i="5" s="1"/>
  <c r="J13" i="5"/>
  <c r="C13" i="5"/>
  <c r="K12" i="5"/>
  <c r="L12" i="5" s="1"/>
  <c r="J12" i="5"/>
  <c r="C12" i="5"/>
  <c r="K11" i="5"/>
  <c r="L11" i="5" s="1"/>
  <c r="J11" i="5"/>
  <c r="C11" i="5"/>
  <c r="K10" i="5"/>
  <c r="L10" i="5" s="1"/>
  <c r="J10" i="5"/>
  <c r="C10" i="5"/>
  <c r="K9" i="5"/>
  <c r="L9" i="5" s="1"/>
  <c r="J9" i="5"/>
  <c r="C9" i="5"/>
  <c r="K8" i="5"/>
  <c r="L8" i="5" s="1"/>
  <c r="J8" i="5"/>
  <c r="C8" i="5"/>
  <c r="K7" i="5"/>
  <c r="L7" i="5" s="1"/>
  <c r="J7" i="5"/>
  <c r="C7" i="5"/>
  <c r="K305" i="4"/>
  <c r="L305" i="4" s="1"/>
  <c r="J305" i="4"/>
  <c r="C305" i="4"/>
  <c r="K304" i="4"/>
  <c r="L304" i="4" s="1"/>
  <c r="J304" i="4"/>
  <c r="C304" i="4"/>
  <c r="K303" i="4"/>
  <c r="L303" i="4" s="1"/>
  <c r="J303" i="4"/>
  <c r="C303" i="4"/>
  <c r="K302" i="4"/>
  <c r="L302" i="4" s="1"/>
  <c r="J302" i="4"/>
  <c r="C302" i="4"/>
  <c r="K300" i="4"/>
  <c r="L300" i="4" s="1"/>
  <c r="J300" i="4"/>
  <c r="C300" i="4"/>
  <c r="K299" i="4"/>
  <c r="L299" i="4" s="1"/>
  <c r="J299" i="4"/>
  <c r="C299" i="4"/>
  <c r="K298" i="4"/>
  <c r="L298" i="4" s="1"/>
  <c r="J298" i="4"/>
  <c r="C298" i="4"/>
  <c r="K297" i="4"/>
  <c r="L297" i="4" s="1"/>
  <c r="J297" i="4"/>
  <c r="C297" i="4"/>
  <c r="K296" i="4"/>
  <c r="L296" i="4" s="1"/>
  <c r="J296" i="4"/>
  <c r="C296" i="4"/>
  <c r="K295" i="4"/>
  <c r="L295" i="4" s="1"/>
  <c r="J295" i="4"/>
  <c r="C295" i="4"/>
  <c r="K294" i="4"/>
  <c r="L294" i="4" s="1"/>
  <c r="J294" i="4"/>
  <c r="C294" i="4"/>
  <c r="K293" i="4"/>
  <c r="L293" i="4" s="1"/>
  <c r="J293" i="4"/>
  <c r="C293" i="4"/>
  <c r="K292" i="4"/>
  <c r="L292" i="4" s="1"/>
  <c r="J292" i="4"/>
  <c r="K291" i="4"/>
  <c r="L291" i="4" s="1"/>
  <c r="J291" i="4"/>
  <c r="C291" i="4"/>
  <c r="K290" i="4"/>
  <c r="L290" i="4" s="1"/>
  <c r="J290" i="4"/>
  <c r="C290" i="4"/>
  <c r="K289" i="4"/>
  <c r="L289" i="4" s="1"/>
  <c r="J289" i="4"/>
  <c r="C289" i="4"/>
  <c r="K288" i="4"/>
  <c r="L288" i="4" s="1"/>
  <c r="J288" i="4"/>
  <c r="C288" i="4"/>
  <c r="K287" i="4"/>
  <c r="L287" i="4" s="1"/>
  <c r="J287" i="4"/>
  <c r="C287" i="4"/>
  <c r="K286" i="4"/>
  <c r="L286" i="4" s="1"/>
  <c r="J286" i="4"/>
  <c r="C286" i="4"/>
  <c r="K285" i="4"/>
  <c r="L285" i="4" s="1"/>
  <c r="J285" i="4"/>
  <c r="C285" i="4"/>
  <c r="K284" i="4"/>
  <c r="L284" i="4" s="1"/>
  <c r="J284" i="4"/>
  <c r="C284" i="4"/>
  <c r="K283" i="4"/>
  <c r="L283" i="4" s="1"/>
  <c r="J283" i="4"/>
  <c r="C283" i="4"/>
  <c r="K282" i="4"/>
  <c r="L282" i="4" s="1"/>
  <c r="J282" i="4"/>
  <c r="C282" i="4"/>
  <c r="K281" i="4"/>
  <c r="L281" i="4" s="1"/>
  <c r="J281" i="4"/>
  <c r="C281" i="4"/>
  <c r="K280" i="4"/>
  <c r="L280" i="4" s="1"/>
  <c r="J280" i="4"/>
  <c r="C280" i="4"/>
  <c r="K279" i="4"/>
  <c r="L279" i="4" s="1"/>
  <c r="J279" i="4"/>
  <c r="C279" i="4"/>
  <c r="K278" i="4"/>
  <c r="L278" i="4" s="1"/>
  <c r="J278" i="4"/>
  <c r="C278" i="4"/>
  <c r="K277" i="4"/>
  <c r="L277" i="4" s="1"/>
  <c r="J277" i="4"/>
  <c r="C277" i="4"/>
  <c r="K276" i="4"/>
  <c r="L276" i="4" s="1"/>
  <c r="J276" i="4"/>
  <c r="C276" i="4"/>
  <c r="K275" i="4"/>
  <c r="L275" i="4" s="1"/>
  <c r="J275" i="4"/>
  <c r="C275" i="4"/>
  <c r="K274" i="4"/>
  <c r="L274" i="4" s="1"/>
  <c r="J274" i="4"/>
  <c r="C274" i="4"/>
  <c r="K273" i="4"/>
  <c r="L273" i="4" s="1"/>
  <c r="J273" i="4"/>
  <c r="C273" i="4"/>
  <c r="K272" i="4"/>
  <c r="L272" i="4" s="1"/>
  <c r="J272" i="4"/>
  <c r="C272" i="4"/>
  <c r="K271" i="4"/>
  <c r="L271" i="4" s="1"/>
  <c r="J271" i="4"/>
  <c r="C271" i="4"/>
  <c r="K270" i="4"/>
  <c r="L270" i="4" s="1"/>
  <c r="J270" i="4"/>
  <c r="C270" i="4"/>
  <c r="K269" i="4"/>
  <c r="L269" i="4" s="1"/>
  <c r="J269" i="4"/>
  <c r="C269" i="4"/>
  <c r="K268" i="4"/>
  <c r="L268" i="4" s="1"/>
  <c r="J268" i="4"/>
  <c r="C268" i="4"/>
  <c r="K267" i="4"/>
  <c r="L267" i="4" s="1"/>
  <c r="J267" i="4"/>
  <c r="C267" i="4"/>
  <c r="K266" i="4"/>
  <c r="L266" i="4" s="1"/>
  <c r="J266" i="4"/>
  <c r="C266" i="4"/>
  <c r="K265" i="4"/>
  <c r="L265" i="4" s="1"/>
  <c r="J265" i="4"/>
  <c r="C265" i="4"/>
  <c r="K264" i="4"/>
  <c r="L264" i="4" s="1"/>
  <c r="J264" i="4"/>
  <c r="C264" i="4"/>
  <c r="K263" i="4"/>
  <c r="L263" i="4" s="1"/>
  <c r="J263" i="4"/>
  <c r="C263" i="4"/>
  <c r="K262" i="4"/>
  <c r="L262" i="4" s="1"/>
  <c r="J262" i="4"/>
  <c r="C262" i="4"/>
  <c r="K261" i="4"/>
  <c r="L261" i="4" s="1"/>
  <c r="J261" i="4"/>
  <c r="C261" i="4"/>
  <c r="K260" i="4"/>
  <c r="L260" i="4" s="1"/>
  <c r="J260" i="4"/>
  <c r="C260" i="4"/>
  <c r="K259" i="4"/>
  <c r="L259" i="4" s="1"/>
  <c r="J259" i="4"/>
  <c r="C259" i="4"/>
  <c r="K258" i="4"/>
  <c r="L258" i="4" s="1"/>
  <c r="J258" i="4"/>
  <c r="C258" i="4"/>
  <c r="K257" i="4"/>
  <c r="L257" i="4" s="1"/>
  <c r="J257" i="4"/>
  <c r="C257" i="4"/>
  <c r="K256" i="4"/>
  <c r="L256" i="4" s="1"/>
  <c r="J256" i="4"/>
  <c r="C256" i="4"/>
  <c r="K255" i="4"/>
  <c r="L255" i="4" s="1"/>
  <c r="J255" i="4"/>
  <c r="K254" i="4"/>
  <c r="L254" i="4" s="1"/>
  <c r="J254" i="4"/>
  <c r="C254" i="4"/>
  <c r="K253" i="4"/>
  <c r="L253" i="4" s="1"/>
  <c r="J253" i="4"/>
  <c r="C253" i="4"/>
  <c r="K252" i="4"/>
  <c r="L252" i="4" s="1"/>
  <c r="J252" i="4"/>
  <c r="C252" i="4"/>
  <c r="K251" i="4"/>
  <c r="L251" i="4" s="1"/>
  <c r="J251" i="4"/>
  <c r="C251" i="4"/>
  <c r="K250" i="4"/>
  <c r="L250" i="4" s="1"/>
  <c r="J250" i="4"/>
  <c r="C250" i="4"/>
  <c r="K249" i="4"/>
  <c r="L249" i="4" s="1"/>
  <c r="J249" i="4"/>
  <c r="C249" i="4"/>
  <c r="K248" i="4"/>
  <c r="L248" i="4" s="1"/>
  <c r="J248" i="4"/>
  <c r="C248" i="4"/>
  <c r="K247" i="4"/>
  <c r="L247" i="4" s="1"/>
  <c r="J247" i="4"/>
  <c r="C247" i="4"/>
  <c r="K246" i="4"/>
  <c r="L246" i="4" s="1"/>
  <c r="J246" i="4"/>
  <c r="C246" i="4"/>
  <c r="K245" i="4"/>
  <c r="L245" i="4" s="1"/>
  <c r="J245" i="4"/>
  <c r="C245" i="4"/>
  <c r="K244" i="4"/>
  <c r="L244" i="4" s="1"/>
  <c r="J244" i="4"/>
  <c r="C244" i="4"/>
  <c r="K243" i="4"/>
  <c r="L243" i="4" s="1"/>
  <c r="J243" i="4"/>
  <c r="C243" i="4"/>
  <c r="K242" i="4"/>
  <c r="L242" i="4" s="1"/>
  <c r="J242" i="4"/>
  <c r="C242" i="4"/>
  <c r="K241" i="4"/>
  <c r="L241" i="4" s="1"/>
  <c r="J241" i="4"/>
  <c r="C241" i="4"/>
  <c r="K240" i="4"/>
  <c r="L240" i="4" s="1"/>
  <c r="J240" i="4"/>
  <c r="C240" i="4"/>
  <c r="K239" i="4"/>
  <c r="L239" i="4" s="1"/>
  <c r="J239" i="4"/>
  <c r="K238" i="4"/>
  <c r="L238" i="4" s="1"/>
  <c r="J238" i="4"/>
  <c r="C238" i="4"/>
  <c r="K237" i="4"/>
  <c r="L237" i="4" s="1"/>
  <c r="J237" i="4"/>
  <c r="C237" i="4"/>
  <c r="K236" i="4"/>
  <c r="L236" i="4" s="1"/>
  <c r="J236" i="4"/>
  <c r="C236" i="4"/>
  <c r="K235" i="4"/>
  <c r="L235" i="4" s="1"/>
  <c r="J235" i="4"/>
  <c r="C235" i="4"/>
  <c r="K234" i="4"/>
  <c r="L234" i="4" s="1"/>
  <c r="J234" i="4"/>
  <c r="C234" i="4"/>
  <c r="K233" i="4"/>
  <c r="L233" i="4" s="1"/>
  <c r="J233" i="4"/>
  <c r="C233" i="4"/>
  <c r="K232" i="4"/>
  <c r="L232" i="4" s="1"/>
  <c r="J232" i="4"/>
  <c r="C232" i="4"/>
  <c r="K231" i="4"/>
  <c r="L231" i="4" s="1"/>
  <c r="J231" i="4"/>
  <c r="C231" i="4"/>
  <c r="K230" i="4"/>
  <c r="L230" i="4" s="1"/>
  <c r="J230" i="4"/>
  <c r="C230" i="4"/>
  <c r="K229" i="4"/>
  <c r="L229" i="4" s="1"/>
  <c r="J229" i="4"/>
  <c r="C229" i="4"/>
  <c r="K228" i="4"/>
  <c r="L228" i="4" s="1"/>
  <c r="J228" i="4"/>
  <c r="C228" i="4"/>
  <c r="K227" i="4"/>
  <c r="L227" i="4" s="1"/>
  <c r="J227" i="4"/>
  <c r="C227" i="4"/>
  <c r="K226" i="4"/>
  <c r="L226" i="4" s="1"/>
  <c r="J226" i="4"/>
  <c r="C226" i="4"/>
  <c r="K225" i="4"/>
  <c r="L225" i="4" s="1"/>
  <c r="J225" i="4"/>
  <c r="C225" i="4"/>
  <c r="K224" i="4"/>
  <c r="L224" i="4" s="1"/>
  <c r="J224" i="4"/>
  <c r="C224" i="4"/>
  <c r="K223" i="4"/>
  <c r="L223" i="4" s="1"/>
  <c r="J223" i="4"/>
  <c r="C223" i="4"/>
  <c r="K222" i="4"/>
  <c r="L222" i="4" s="1"/>
  <c r="J222" i="4"/>
  <c r="C222" i="4"/>
  <c r="K221" i="4"/>
  <c r="L221" i="4" s="1"/>
  <c r="J221" i="4"/>
  <c r="C221" i="4"/>
  <c r="K220" i="4"/>
  <c r="L220" i="4" s="1"/>
  <c r="J220" i="4"/>
  <c r="C220" i="4"/>
  <c r="K219" i="4"/>
  <c r="L219" i="4" s="1"/>
  <c r="J219" i="4"/>
  <c r="C219" i="4"/>
  <c r="K218" i="4"/>
  <c r="L218" i="4" s="1"/>
  <c r="J218" i="4"/>
  <c r="C218" i="4"/>
  <c r="K217" i="4"/>
  <c r="L217" i="4" s="1"/>
  <c r="J217" i="4"/>
  <c r="C217" i="4"/>
  <c r="K216" i="4"/>
  <c r="L216" i="4" s="1"/>
  <c r="J216" i="4"/>
  <c r="C216" i="4"/>
  <c r="K214" i="4"/>
  <c r="L214" i="4" s="1"/>
  <c r="J214" i="4"/>
  <c r="C214" i="4"/>
  <c r="K213" i="4"/>
  <c r="L213" i="4" s="1"/>
  <c r="J213" i="4"/>
  <c r="C213" i="4"/>
  <c r="K212" i="4"/>
  <c r="L212" i="4" s="1"/>
  <c r="J212" i="4"/>
  <c r="C212" i="4"/>
  <c r="K211" i="4"/>
  <c r="L211" i="4" s="1"/>
  <c r="J211" i="4"/>
  <c r="C211" i="4"/>
  <c r="K210" i="4"/>
  <c r="L210" i="4" s="1"/>
  <c r="J210" i="4"/>
  <c r="C210" i="4"/>
  <c r="K209" i="4"/>
  <c r="L209" i="4" s="1"/>
  <c r="J209" i="4"/>
  <c r="C209" i="4"/>
  <c r="K208" i="4"/>
  <c r="L208" i="4" s="1"/>
  <c r="J208" i="4"/>
  <c r="C208" i="4"/>
  <c r="K207" i="4"/>
  <c r="L207" i="4" s="1"/>
  <c r="J207" i="4"/>
  <c r="C207" i="4"/>
  <c r="K206" i="4"/>
  <c r="L206" i="4" s="1"/>
  <c r="J206" i="4"/>
  <c r="C206" i="4"/>
  <c r="K205" i="4"/>
  <c r="L205" i="4" s="1"/>
  <c r="J205" i="4"/>
  <c r="C205" i="4"/>
  <c r="K204" i="4"/>
  <c r="L204" i="4" s="1"/>
  <c r="J204" i="4"/>
  <c r="C204" i="4"/>
  <c r="K203" i="4"/>
  <c r="L203" i="4" s="1"/>
  <c r="J203" i="4"/>
  <c r="C203" i="4"/>
  <c r="K202" i="4"/>
  <c r="L202" i="4" s="1"/>
  <c r="J202" i="4"/>
  <c r="C202" i="4"/>
  <c r="K201" i="4"/>
  <c r="L201" i="4" s="1"/>
  <c r="J201" i="4"/>
  <c r="C201" i="4"/>
  <c r="K200" i="4"/>
  <c r="L200" i="4" s="1"/>
  <c r="J200" i="4"/>
  <c r="C200" i="4"/>
  <c r="K199" i="4"/>
  <c r="L199" i="4" s="1"/>
  <c r="J199" i="4"/>
  <c r="C199" i="4"/>
  <c r="K198" i="4"/>
  <c r="L198" i="4" s="1"/>
  <c r="J198" i="4"/>
  <c r="C198" i="4"/>
  <c r="K197" i="4"/>
  <c r="L197" i="4" s="1"/>
  <c r="J197" i="4"/>
  <c r="C197" i="4"/>
  <c r="K196" i="4"/>
  <c r="L196" i="4" s="1"/>
  <c r="J196" i="4"/>
  <c r="C196" i="4"/>
  <c r="K195" i="4"/>
  <c r="L195" i="4" s="1"/>
  <c r="J195" i="4"/>
  <c r="C195" i="4"/>
  <c r="K194" i="4"/>
  <c r="L194" i="4" s="1"/>
  <c r="J194" i="4"/>
  <c r="C194" i="4"/>
  <c r="K193" i="4"/>
  <c r="L193" i="4" s="1"/>
  <c r="J193" i="4"/>
  <c r="C193" i="4"/>
  <c r="K192" i="4"/>
  <c r="L192" i="4" s="1"/>
  <c r="J192" i="4"/>
  <c r="C192" i="4"/>
  <c r="K191" i="4"/>
  <c r="L191" i="4" s="1"/>
  <c r="J191" i="4"/>
  <c r="C191" i="4"/>
  <c r="K190" i="4"/>
  <c r="L190" i="4" s="1"/>
  <c r="J190" i="4"/>
  <c r="C190" i="4"/>
  <c r="K189" i="4"/>
  <c r="L189" i="4" s="1"/>
  <c r="J189" i="4"/>
  <c r="C189" i="4"/>
  <c r="K188" i="4"/>
  <c r="L188" i="4" s="1"/>
  <c r="J188" i="4"/>
  <c r="C188" i="4"/>
  <c r="K187" i="4"/>
  <c r="L187" i="4" s="1"/>
  <c r="J187" i="4"/>
  <c r="C187" i="4"/>
  <c r="K186" i="4"/>
  <c r="L186" i="4" s="1"/>
  <c r="J186" i="4"/>
  <c r="C186" i="4"/>
  <c r="K185" i="4"/>
  <c r="L185" i="4" s="1"/>
  <c r="J185" i="4"/>
  <c r="C185" i="4"/>
  <c r="K184" i="4"/>
  <c r="L184" i="4" s="1"/>
  <c r="J184" i="4"/>
  <c r="C184" i="4"/>
  <c r="K183" i="4"/>
  <c r="L183" i="4" s="1"/>
  <c r="J183" i="4"/>
  <c r="C183" i="4"/>
  <c r="K182" i="4"/>
  <c r="L182" i="4" s="1"/>
  <c r="J182" i="4"/>
  <c r="C182" i="4"/>
  <c r="K181" i="4"/>
  <c r="L181" i="4" s="1"/>
  <c r="J181" i="4"/>
  <c r="C181" i="4"/>
  <c r="K180" i="4"/>
  <c r="L180" i="4" s="1"/>
  <c r="J180" i="4"/>
  <c r="C180" i="4"/>
  <c r="K179" i="4"/>
  <c r="L179" i="4" s="1"/>
  <c r="J179" i="4"/>
  <c r="C179" i="4"/>
  <c r="K178" i="4"/>
  <c r="L178" i="4" s="1"/>
  <c r="J178" i="4"/>
  <c r="C178" i="4"/>
  <c r="K177" i="4"/>
  <c r="L177" i="4" s="1"/>
  <c r="J177" i="4"/>
  <c r="C177" i="4"/>
  <c r="K176" i="4"/>
  <c r="L176" i="4" s="1"/>
  <c r="J176" i="4"/>
  <c r="C176" i="4"/>
  <c r="K175" i="4"/>
  <c r="L175" i="4" s="1"/>
  <c r="J175" i="4"/>
  <c r="C175" i="4"/>
  <c r="K174" i="4"/>
  <c r="L174" i="4" s="1"/>
  <c r="J174" i="4"/>
  <c r="C174" i="4"/>
  <c r="K173" i="4"/>
  <c r="L173" i="4" s="1"/>
  <c r="J173" i="4"/>
  <c r="C173" i="4"/>
  <c r="K172" i="4"/>
  <c r="L172" i="4" s="1"/>
  <c r="J172" i="4"/>
  <c r="C172" i="4"/>
  <c r="K171" i="4"/>
  <c r="L171" i="4" s="1"/>
  <c r="J171" i="4"/>
  <c r="C171" i="4"/>
  <c r="K170" i="4"/>
  <c r="L170" i="4" s="1"/>
  <c r="J170" i="4"/>
  <c r="C170" i="4"/>
  <c r="K169" i="4"/>
  <c r="L169" i="4" s="1"/>
  <c r="J169" i="4"/>
  <c r="C169" i="4"/>
  <c r="K168" i="4"/>
  <c r="L168" i="4" s="1"/>
  <c r="J168" i="4"/>
  <c r="C168" i="4"/>
  <c r="K167" i="4"/>
  <c r="L167" i="4" s="1"/>
  <c r="J167" i="4"/>
  <c r="C167" i="4"/>
  <c r="K166" i="4"/>
  <c r="L166" i="4" s="1"/>
  <c r="J166" i="4"/>
  <c r="C166" i="4"/>
  <c r="K165" i="4"/>
  <c r="L165" i="4" s="1"/>
  <c r="J165" i="4"/>
  <c r="C165" i="4"/>
  <c r="K164" i="4"/>
  <c r="L164" i="4" s="1"/>
  <c r="J164" i="4"/>
  <c r="C164" i="4"/>
  <c r="K163" i="4"/>
  <c r="L163" i="4" s="1"/>
  <c r="J163" i="4"/>
  <c r="C163" i="4"/>
  <c r="K162" i="4"/>
  <c r="L162" i="4" s="1"/>
  <c r="J162" i="4"/>
  <c r="C162" i="4"/>
  <c r="K161" i="4"/>
  <c r="L161" i="4" s="1"/>
  <c r="J161" i="4"/>
  <c r="C161" i="4"/>
  <c r="K160" i="4"/>
  <c r="L160" i="4" s="1"/>
  <c r="J160" i="4"/>
  <c r="C160" i="4"/>
  <c r="K159" i="4"/>
  <c r="L159" i="4" s="1"/>
  <c r="J159" i="4"/>
  <c r="C159" i="4"/>
  <c r="K158" i="4"/>
  <c r="L158" i="4" s="1"/>
  <c r="J158" i="4"/>
  <c r="C158" i="4"/>
  <c r="K157" i="4"/>
  <c r="L157" i="4" s="1"/>
  <c r="J157" i="4"/>
  <c r="C157" i="4"/>
  <c r="K156" i="4"/>
  <c r="L156" i="4" s="1"/>
  <c r="J156" i="4"/>
  <c r="C156" i="4"/>
  <c r="K155" i="4"/>
  <c r="L155" i="4" s="1"/>
  <c r="J155" i="4"/>
  <c r="C155" i="4"/>
  <c r="K154" i="4"/>
  <c r="L154" i="4" s="1"/>
  <c r="J154" i="4"/>
  <c r="C154" i="4"/>
  <c r="K153" i="4"/>
  <c r="L153" i="4" s="1"/>
  <c r="J153" i="4"/>
  <c r="C153" i="4"/>
  <c r="K152" i="4"/>
  <c r="L152" i="4" s="1"/>
  <c r="J152" i="4"/>
  <c r="C152" i="4"/>
  <c r="K151" i="4"/>
  <c r="L151" i="4" s="1"/>
  <c r="J151" i="4"/>
  <c r="C151" i="4"/>
  <c r="K150" i="4"/>
  <c r="L150" i="4" s="1"/>
  <c r="J150" i="4"/>
  <c r="C150" i="4"/>
  <c r="K149" i="4"/>
  <c r="L149" i="4" s="1"/>
  <c r="J149" i="4"/>
  <c r="K148" i="4"/>
  <c r="L148" i="4" s="1"/>
  <c r="J148" i="4"/>
  <c r="C148" i="4"/>
  <c r="K147" i="4"/>
  <c r="L147" i="4" s="1"/>
  <c r="J147" i="4"/>
  <c r="C147" i="4"/>
  <c r="K146" i="4"/>
  <c r="L146" i="4" s="1"/>
  <c r="J146" i="4"/>
  <c r="C146" i="4"/>
  <c r="K145" i="4"/>
  <c r="L145" i="4" s="1"/>
  <c r="J145" i="4"/>
  <c r="C145" i="4"/>
  <c r="K144" i="4"/>
  <c r="L144" i="4" s="1"/>
  <c r="J144" i="4"/>
  <c r="C144" i="4"/>
  <c r="K143" i="4"/>
  <c r="L143" i="4" s="1"/>
  <c r="J143" i="4"/>
  <c r="C143" i="4"/>
  <c r="K142" i="4"/>
  <c r="L142" i="4" s="1"/>
  <c r="J142" i="4"/>
  <c r="C142" i="4"/>
  <c r="C141" i="4"/>
  <c r="D141" i="4" s="1"/>
  <c r="K140" i="4"/>
  <c r="L140" i="4" s="1"/>
  <c r="J140" i="4"/>
  <c r="C140" i="4"/>
  <c r="K139" i="4"/>
  <c r="L139" i="4" s="1"/>
  <c r="J139" i="4"/>
  <c r="C139" i="4"/>
  <c r="K138" i="4"/>
  <c r="L138" i="4" s="1"/>
  <c r="J138" i="4"/>
  <c r="C138" i="4"/>
  <c r="K137" i="4"/>
  <c r="L137" i="4" s="1"/>
  <c r="J137" i="4"/>
  <c r="C137" i="4"/>
  <c r="K136" i="4"/>
  <c r="L136" i="4" s="1"/>
  <c r="J136" i="4"/>
  <c r="C136" i="4"/>
  <c r="K135" i="4"/>
  <c r="L135" i="4" s="1"/>
  <c r="J135" i="4"/>
  <c r="C135" i="4"/>
  <c r="K134" i="4"/>
  <c r="L134" i="4" s="1"/>
  <c r="J134" i="4"/>
  <c r="C134" i="4"/>
  <c r="K133" i="4"/>
  <c r="L133" i="4" s="1"/>
  <c r="J133" i="4"/>
  <c r="C133" i="4"/>
  <c r="K132" i="4"/>
  <c r="L132" i="4" s="1"/>
  <c r="J132" i="4"/>
  <c r="C132" i="4"/>
  <c r="K131" i="4"/>
  <c r="L131" i="4" s="1"/>
  <c r="J131" i="4"/>
  <c r="C131" i="4"/>
  <c r="K130" i="4"/>
  <c r="L130" i="4" s="1"/>
  <c r="J130" i="4"/>
  <c r="C130" i="4"/>
  <c r="K129" i="4"/>
  <c r="L129" i="4" s="1"/>
  <c r="J129" i="4"/>
  <c r="C129" i="4"/>
  <c r="K128" i="4"/>
  <c r="L128" i="4" s="1"/>
  <c r="J128" i="4"/>
  <c r="C128" i="4"/>
  <c r="K127" i="4"/>
  <c r="L127" i="4" s="1"/>
  <c r="J127" i="4"/>
  <c r="K126" i="4"/>
  <c r="L126" i="4" s="1"/>
  <c r="J126" i="4"/>
  <c r="C126" i="4"/>
  <c r="K125" i="4"/>
  <c r="L125" i="4" s="1"/>
  <c r="J125" i="4"/>
  <c r="C125" i="4"/>
  <c r="K124" i="4"/>
  <c r="L124" i="4" s="1"/>
  <c r="J124" i="4"/>
  <c r="C124" i="4"/>
  <c r="K123" i="4"/>
  <c r="L123" i="4" s="1"/>
  <c r="J123" i="4"/>
  <c r="C123" i="4"/>
  <c r="K122" i="4"/>
  <c r="L122" i="4" s="1"/>
  <c r="J122" i="4"/>
  <c r="C122" i="4"/>
  <c r="K121" i="4"/>
  <c r="L121" i="4" s="1"/>
  <c r="J121" i="4"/>
  <c r="C121" i="4"/>
  <c r="K120" i="4"/>
  <c r="L120" i="4" s="1"/>
  <c r="J120" i="4"/>
  <c r="C120" i="4"/>
  <c r="K119" i="4"/>
  <c r="L119" i="4" s="1"/>
  <c r="J119" i="4"/>
  <c r="C119" i="4"/>
  <c r="K118" i="4"/>
  <c r="L118" i="4" s="1"/>
  <c r="J118" i="4"/>
  <c r="C118" i="4"/>
  <c r="K117" i="4"/>
  <c r="L117" i="4" s="1"/>
  <c r="J117" i="4"/>
  <c r="C117" i="4"/>
  <c r="K116" i="4"/>
  <c r="L116" i="4" s="1"/>
  <c r="J116" i="4"/>
  <c r="C116" i="4"/>
  <c r="K115" i="4"/>
  <c r="L115" i="4" s="1"/>
  <c r="J115" i="4"/>
  <c r="C115" i="4"/>
  <c r="K114" i="4"/>
  <c r="L114" i="4" s="1"/>
  <c r="J114" i="4"/>
  <c r="C114" i="4"/>
  <c r="K113" i="4"/>
  <c r="L113" i="4" s="1"/>
  <c r="J113" i="4"/>
  <c r="C113" i="4"/>
  <c r="K112" i="4"/>
  <c r="L112" i="4" s="1"/>
  <c r="J112" i="4"/>
  <c r="C112" i="4"/>
  <c r="K111" i="4"/>
  <c r="L111" i="4" s="1"/>
  <c r="J111" i="4"/>
  <c r="C111" i="4"/>
  <c r="K110" i="4"/>
  <c r="L110" i="4" s="1"/>
  <c r="J110" i="4"/>
  <c r="C110" i="4"/>
  <c r="K109" i="4"/>
  <c r="L109" i="4" s="1"/>
  <c r="J109" i="4"/>
  <c r="C109" i="4"/>
  <c r="K108" i="4"/>
  <c r="L108" i="4" s="1"/>
  <c r="J108" i="4"/>
  <c r="C108" i="4"/>
  <c r="K107" i="4"/>
  <c r="L107" i="4" s="1"/>
  <c r="J107" i="4"/>
  <c r="C107" i="4"/>
  <c r="K106" i="4"/>
  <c r="L106" i="4" s="1"/>
  <c r="J106" i="4"/>
  <c r="C106" i="4"/>
  <c r="K105" i="4"/>
  <c r="L105" i="4" s="1"/>
  <c r="J105" i="4"/>
  <c r="C105" i="4"/>
  <c r="K104" i="4"/>
  <c r="L104" i="4" s="1"/>
  <c r="J104" i="4"/>
  <c r="C104" i="4"/>
  <c r="K103" i="4"/>
  <c r="L103" i="4" s="1"/>
  <c r="J103" i="4"/>
  <c r="C103" i="4"/>
  <c r="K102" i="4"/>
  <c r="L102" i="4" s="1"/>
  <c r="J102" i="4"/>
  <c r="C102" i="4"/>
  <c r="K101" i="4"/>
  <c r="L101" i="4" s="1"/>
  <c r="J101" i="4"/>
  <c r="C101" i="4"/>
  <c r="K100" i="4"/>
  <c r="L100" i="4" s="1"/>
  <c r="J100" i="4"/>
  <c r="C100" i="4"/>
  <c r="K99" i="4"/>
  <c r="L99" i="4" s="1"/>
  <c r="J99" i="4"/>
  <c r="C99" i="4"/>
  <c r="K98" i="4"/>
  <c r="L98" i="4" s="1"/>
  <c r="J98" i="4"/>
  <c r="C98" i="4"/>
  <c r="K97" i="4"/>
  <c r="L97" i="4" s="1"/>
  <c r="J97" i="4"/>
  <c r="C97" i="4"/>
  <c r="K96" i="4"/>
  <c r="L96" i="4" s="1"/>
  <c r="J96" i="4"/>
  <c r="C96" i="4"/>
  <c r="K95" i="4"/>
  <c r="L95" i="4" s="1"/>
  <c r="J95" i="4"/>
  <c r="C95" i="4"/>
  <c r="K92" i="4"/>
  <c r="L92" i="4" s="1"/>
  <c r="J92" i="4"/>
  <c r="C92" i="4"/>
  <c r="K91" i="4"/>
  <c r="L91" i="4" s="1"/>
  <c r="J91" i="4"/>
  <c r="C91" i="4"/>
  <c r="K90" i="4"/>
  <c r="L90" i="4" s="1"/>
  <c r="J90" i="4"/>
  <c r="C90" i="4"/>
  <c r="K89" i="4"/>
  <c r="L89" i="4" s="1"/>
  <c r="J89" i="4"/>
  <c r="C89" i="4"/>
  <c r="K88" i="4"/>
  <c r="L88" i="4" s="1"/>
  <c r="J88" i="4"/>
  <c r="C88" i="4"/>
  <c r="K87" i="4"/>
  <c r="L87" i="4" s="1"/>
  <c r="J87" i="4"/>
  <c r="C87" i="4"/>
  <c r="K86" i="4"/>
  <c r="L86" i="4" s="1"/>
  <c r="J86" i="4"/>
  <c r="C86" i="4"/>
  <c r="K85" i="4"/>
  <c r="L85" i="4" s="1"/>
  <c r="J85" i="4"/>
  <c r="C85" i="4"/>
  <c r="K84" i="4"/>
  <c r="L84" i="4" s="1"/>
  <c r="J84" i="4"/>
  <c r="C84" i="4"/>
  <c r="K83" i="4"/>
  <c r="L83" i="4" s="1"/>
  <c r="J83" i="4"/>
  <c r="K82" i="4"/>
  <c r="L82" i="4" s="1"/>
  <c r="J82" i="4"/>
  <c r="C82" i="4"/>
  <c r="K81" i="4"/>
  <c r="L81" i="4" s="1"/>
  <c r="J81" i="4"/>
  <c r="C81" i="4"/>
  <c r="K80" i="4"/>
  <c r="L80" i="4" s="1"/>
  <c r="J80" i="4"/>
  <c r="K79" i="4"/>
  <c r="L79" i="4" s="1"/>
  <c r="J79" i="4"/>
  <c r="C79" i="4"/>
  <c r="K78" i="4"/>
  <c r="L78" i="4" s="1"/>
  <c r="J78" i="4"/>
  <c r="C78" i="4"/>
  <c r="K77" i="4"/>
  <c r="L77" i="4" s="1"/>
  <c r="J77" i="4"/>
  <c r="C77" i="4"/>
  <c r="K76" i="4"/>
  <c r="L76" i="4" s="1"/>
  <c r="J76" i="4"/>
  <c r="C76" i="4"/>
  <c r="K74" i="4"/>
  <c r="J74" i="4"/>
  <c r="C74" i="4"/>
  <c r="K73" i="4"/>
  <c r="L73" i="4" s="1"/>
  <c r="J73" i="4"/>
  <c r="C73" i="4"/>
  <c r="K71" i="4"/>
  <c r="L71" i="4" s="1"/>
  <c r="J71" i="4"/>
  <c r="C71" i="4"/>
  <c r="K70" i="4"/>
  <c r="L70" i="4" s="1"/>
  <c r="J70" i="4"/>
  <c r="C70" i="4"/>
  <c r="K69" i="4"/>
  <c r="L69" i="4" s="1"/>
  <c r="J69" i="4"/>
  <c r="C69" i="4"/>
  <c r="K68" i="4"/>
  <c r="L68" i="4" s="1"/>
  <c r="J68" i="4"/>
  <c r="C68" i="4"/>
  <c r="K67" i="4"/>
  <c r="L67" i="4" s="1"/>
  <c r="J67" i="4"/>
  <c r="C67" i="4"/>
  <c r="K66" i="4"/>
  <c r="L66" i="4" s="1"/>
  <c r="J66" i="4"/>
  <c r="C66" i="4"/>
  <c r="K65" i="4"/>
  <c r="L65" i="4" s="1"/>
  <c r="J65" i="4"/>
  <c r="C65" i="4"/>
  <c r="K64" i="4"/>
  <c r="L64" i="4" s="1"/>
  <c r="J64" i="4"/>
  <c r="C64" i="4"/>
  <c r="K63" i="4"/>
  <c r="L63" i="4" s="1"/>
  <c r="J63" i="4"/>
  <c r="C63" i="4"/>
  <c r="K62" i="4"/>
  <c r="L62" i="4" s="1"/>
  <c r="J62" i="4"/>
  <c r="C62" i="4"/>
  <c r="K61" i="4"/>
  <c r="L61" i="4" s="1"/>
  <c r="J61" i="4"/>
  <c r="C61" i="4"/>
  <c r="K60" i="4"/>
  <c r="L60" i="4" s="1"/>
  <c r="J60" i="4"/>
  <c r="C60" i="4"/>
  <c r="K59" i="4"/>
  <c r="L59" i="4" s="1"/>
  <c r="J59" i="4"/>
  <c r="C59" i="4"/>
  <c r="K58" i="4"/>
  <c r="L58" i="4" s="1"/>
  <c r="J58" i="4"/>
  <c r="C58" i="4"/>
  <c r="K57" i="4"/>
  <c r="L57" i="4" s="1"/>
  <c r="J57" i="4"/>
  <c r="C57" i="4"/>
  <c r="K56" i="4"/>
  <c r="L56" i="4" s="1"/>
  <c r="J56" i="4"/>
  <c r="C56" i="4"/>
  <c r="K55" i="4"/>
  <c r="L55" i="4" s="1"/>
  <c r="J55" i="4"/>
  <c r="C55" i="4"/>
  <c r="K54" i="4"/>
  <c r="L54" i="4" s="1"/>
  <c r="J54" i="4"/>
  <c r="C54" i="4"/>
  <c r="K53" i="4"/>
  <c r="L53" i="4" s="1"/>
  <c r="J53" i="4"/>
  <c r="C53" i="4"/>
  <c r="K52" i="4"/>
  <c r="L52" i="4" s="1"/>
  <c r="J52" i="4"/>
  <c r="C52" i="4"/>
  <c r="K51" i="4"/>
  <c r="L51" i="4" s="1"/>
  <c r="J51" i="4"/>
  <c r="C51" i="4"/>
  <c r="K50" i="4"/>
  <c r="L50" i="4" s="1"/>
  <c r="J50" i="4"/>
  <c r="C50" i="4"/>
  <c r="K49" i="4"/>
  <c r="L49" i="4" s="1"/>
  <c r="J49" i="4"/>
  <c r="C49" i="4"/>
  <c r="K48" i="4"/>
  <c r="L48" i="4" s="1"/>
  <c r="J48" i="4"/>
  <c r="C48" i="4"/>
  <c r="K47" i="4"/>
  <c r="L47" i="4" s="1"/>
  <c r="J47" i="4"/>
  <c r="C47" i="4"/>
  <c r="K46" i="4"/>
  <c r="L46" i="4" s="1"/>
  <c r="J46" i="4"/>
  <c r="C46" i="4"/>
  <c r="K45" i="4"/>
  <c r="L45" i="4" s="1"/>
  <c r="J45" i="4"/>
  <c r="C45" i="4"/>
  <c r="K44" i="4"/>
  <c r="L44" i="4" s="1"/>
  <c r="J44" i="4"/>
  <c r="C44" i="4"/>
  <c r="K43" i="4"/>
  <c r="L43" i="4" s="1"/>
  <c r="J43" i="4"/>
  <c r="C43" i="4"/>
  <c r="K42" i="4"/>
  <c r="L42" i="4" s="1"/>
  <c r="J42" i="4"/>
  <c r="C42" i="4"/>
  <c r="K41" i="4"/>
  <c r="L41" i="4" s="1"/>
  <c r="J41" i="4"/>
  <c r="C41" i="4"/>
  <c r="K40" i="4"/>
  <c r="L40" i="4" s="1"/>
  <c r="J40" i="4"/>
  <c r="C40" i="4"/>
  <c r="K38" i="4"/>
  <c r="L38" i="4" s="1"/>
  <c r="J38" i="4"/>
  <c r="C38" i="4"/>
  <c r="K37" i="4"/>
  <c r="L37" i="4" s="1"/>
  <c r="J37" i="4"/>
  <c r="C37" i="4"/>
  <c r="K36" i="4"/>
  <c r="L36" i="4" s="1"/>
  <c r="J36" i="4"/>
  <c r="C36" i="4"/>
  <c r="K35" i="4"/>
  <c r="L35" i="4" s="1"/>
  <c r="J35" i="4"/>
  <c r="C35" i="4"/>
  <c r="K34" i="4"/>
  <c r="L34" i="4" s="1"/>
  <c r="J34" i="4"/>
  <c r="C34" i="4"/>
  <c r="K33" i="4"/>
  <c r="L33" i="4" s="1"/>
  <c r="J33" i="4"/>
  <c r="C33" i="4"/>
  <c r="K32" i="4"/>
  <c r="L32" i="4" s="1"/>
  <c r="J32" i="4"/>
  <c r="C32" i="4"/>
  <c r="K31" i="4"/>
  <c r="L31" i="4" s="1"/>
  <c r="J31" i="4"/>
  <c r="C31" i="4"/>
  <c r="K30" i="4"/>
  <c r="L30" i="4" s="1"/>
  <c r="J30" i="4"/>
  <c r="C30" i="4"/>
  <c r="K29" i="4"/>
  <c r="L29" i="4" s="1"/>
  <c r="J29" i="4"/>
  <c r="C29" i="4"/>
  <c r="K28" i="4"/>
  <c r="L28" i="4" s="1"/>
  <c r="J28" i="4"/>
  <c r="C28" i="4"/>
  <c r="K27" i="4"/>
  <c r="L27" i="4" s="1"/>
  <c r="J27" i="4"/>
  <c r="C27" i="4"/>
  <c r="K26" i="4"/>
  <c r="L26" i="4" s="1"/>
  <c r="J26" i="4"/>
  <c r="C26" i="4"/>
  <c r="K25" i="4"/>
  <c r="L25" i="4" s="1"/>
  <c r="J25" i="4"/>
  <c r="C25" i="4"/>
  <c r="K24" i="4"/>
  <c r="L24" i="4" s="1"/>
  <c r="J24" i="4"/>
  <c r="C24" i="4"/>
  <c r="K23" i="4"/>
  <c r="L23" i="4" s="1"/>
  <c r="J23" i="4"/>
  <c r="C23" i="4"/>
  <c r="K22" i="4"/>
  <c r="L22" i="4" s="1"/>
  <c r="J22" i="4"/>
  <c r="C22" i="4"/>
  <c r="K21" i="4"/>
  <c r="L21" i="4" s="1"/>
  <c r="J21" i="4"/>
  <c r="C21" i="4"/>
  <c r="K20" i="4"/>
  <c r="L20" i="4" s="1"/>
  <c r="J20" i="4"/>
  <c r="C20" i="4"/>
  <c r="K19" i="4"/>
  <c r="L19" i="4" s="1"/>
  <c r="J19" i="4"/>
  <c r="C19" i="4"/>
  <c r="K18" i="4"/>
  <c r="L18" i="4" s="1"/>
  <c r="J18" i="4"/>
  <c r="C18" i="4"/>
  <c r="K17" i="4"/>
  <c r="L17" i="4" s="1"/>
  <c r="J17" i="4"/>
  <c r="C17" i="4"/>
  <c r="K16" i="4"/>
  <c r="L16" i="4" s="1"/>
  <c r="J16" i="4"/>
  <c r="C16" i="4"/>
  <c r="K15" i="4"/>
  <c r="L15" i="4" s="1"/>
  <c r="J15" i="4"/>
  <c r="C15" i="4"/>
  <c r="K14" i="4"/>
  <c r="L14" i="4" s="1"/>
  <c r="J14" i="4"/>
  <c r="C14" i="4"/>
  <c r="K13" i="4"/>
  <c r="L13" i="4" s="1"/>
  <c r="J13" i="4"/>
  <c r="C13" i="4"/>
  <c r="K12" i="4"/>
  <c r="L12" i="4" s="1"/>
  <c r="J12" i="4"/>
  <c r="K11" i="4"/>
  <c r="L11" i="4" s="1"/>
  <c r="J11" i="4"/>
  <c r="C11" i="4"/>
  <c r="K10" i="4"/>
  <c r="L10" i="4" s="1"/>
  <c r="J10" i="4"/>
  <c r="C10" i="4"/>
  <c r="K9" i="4"/>
  <c r="L9" i="4" s="1"/>
  <c r="J9" i="4"/>
  <c r="C9" i="4"/>
  <c r="K8" i="4"/>
  <c r="L8" i="4" s="1"/>
  <c r="J8" i="4"/>
  <c r="C8" i="4"/>
  <c r="K7" i="4"/>
  <c r="L7" i="4" s="1"/>
  <c r="J7" i="4"/>
  <c r="C7" i="4"/>
  <c r="L121" i="2"/>
  <c r="J121" i="2"/>
  <c r="C121" i="2"/>
  <c r="L120" i="2"/>
  <c r="J120" i="2"/>
  <c r="C120" i="2"/>
  <c r="L119" i="2"/>
  <c r="J119" i="2"/>
  <c r="C119" i="2"/>
  <c r="L118" i="2"/>
  <c r="J118" i="2"/>
  <c r="C118" i="2"/>
  <c r="J117" i="2"/>
  <c r="K117" i="2" s="1"/>
  <c r="L117" i="2" s="1"/>
  <c r="C117" i="2"/>
  <c r="L116" i="2"/>
  <c r="J116" i="2"/>
  <c r="L115" i="2"/>
  <c r="J115" i="2"/>
  <c r="L114" i="2"/>
  <c r="J114" i="2"/>
  <c r="C114" i="2"/>
  <c r="L113" i="2"/>
  <c r="J113" i="2"/>
  <c r="J112" i="2"/>
  <c r="K112" i="2" s="1"/>
  <c r="L112" i="2" s="1"/>
  <c r="C112" i="2"/>
  <c r="L111" i="2"/>
  <c r="J111" i="2"/>
  <c r="C111" i="2"/>
  <c r="L110" i="2"/>
  <c r="J110" i="2"/>
  <c r="C110" i="2"/>
  <c r="J109" i="2"/>
  <c r="K109" i="2" s="1"/>
  <c r="L109" i="2" s="1"/>
  <c r="C109" i="2"/>
  <c r="L108" i="2"/>
  <c r="J108" i="2"/>
  <c r="C108" i="2"/>
  <c r="L107" i="2"/>
  <c r="J107" i="2"/>
  <c r="C107" i="2"/>
  <c r="L106" i="2"/>
  <c r="J106" i="2"/>
  <c r="C106" i="2"/>
  <c r="L105" i="2"/>
  <c r="J105" i="2"/>
  <c r="C105" i="2"/>
  <c r="J104" i="2"/>
  <c r="K104" i="2" s="1"/>
  <c r="L104" i="2" s="1"/>
  <c r="C104" i="2"/>
  <c r="L103" i="2"/>
  <c r="J103" i="2"/>
  <c r="C103" i="2"/>
  <c r="L102" i="2"/>
  <c r="J102" i="2"/>
  <c r="C102" i="2"/>
  <c r="L101" i="2"/>
  <c r="J101" i="2"/>
  <c r="C101" i="2"/>
  <c r="L98" i="2"/>
  <c r="J98" i="2"/>
  <c r="C98" i="2"/>
  <c r="L96" i="2"/>
  <c r="J96" i="2"/>
  <c r="C96" i="2"/>
  <c r="L95" i="2"/>
  <c r="J95" i="2"/>
  <c r="C95" i="2"/>
  <c r="L94" i="2"/>
  <c r="J94" i="2"/>
  <c r="C94" i="2"/>
  <c r="J93" i="2"/>
  <c r="K93" i="2" s="1"/>
  <c r="L93" i="2" s="1"/>
  <c r="C93" i="2"/>
  <c r="L92" i="2"/>
  <c r="J92" i="2"/>
  <c r="C92" i="2"/>
  <c r="J91" i="2"/>
  <c r="K91" i="2" s="1"/>
  <c r="L91" i="2" s="1"/>
  <c r="C91" i="2"/>
  <c r="L90" i="2"/>
  <c r="J90" i="2"/>
  <c r="C90" i="2"/>
  <c r="L89" i="2"/>
  <c r="J89" i="2"/>
  <c r="C89" i="2"/>
  <c r="L88" i="2"/>
  <c r="J88" i="2"/>
  <c r="C88" i="2"/>
  <c r="L87" i="2"/>
  <c r="J87" i="2"/>
  <c r="C87" i="2"/>
  <c r="L86" i="2"/>
  <c r="J86" i="2"/>
  <c r="C86" i="2"/>
  <c r="L85" i="2"/>
  <c r="J85" i="2"/>
  <c r="C85" i="2"/>
  <c r="J84" i="2"/>
  <c r="K84" i="2" s="1"/>
  <c r="L84" i="2" s="1"/>
  <c r="C84" i="2"/>
  <c r="J83" i="2"/>
  <c r="K83" i="2" s="1"/>
  <c r="L83" i="2" s="1"/>
  <c r="C83" i="2"/>
  <c r="L82" i="2"/>
  <c r="J82" i="2"/>
  <c r="C82" i="2"/>
  <c r="L81" i="2"/>
  <c r="J81" i="2"/>
  <c r="L80" i="2"/>
  <c r="J80" i="2"/>
  <c r="L79" i="2"/>
  <c r="J79" i="2"/>
  <c r="C79" i="2"/>
  <c r="J78" i="2"/>
  <c r="K78" i="2" s="1"/>
  <c r="L78" i="2" s="1"/>
  <c r="C78" i="2"/>
  <c r="L77" i="2"/>
  <c r="J77" i="2"/>
  <c r="C77" i="2"/>
  <c r="L76" i="2"/>
  <c r="J76" i="2"/>
  <c r="C76" i="2"/>
  <c r="L75" i="2"/>
  <c r="J75" i="2"/>
  <c r="C75" i="2"/>
  <c r="C74" i="2"/>
  <c r="L73" i="2"/>
  <c r="J73" i="2"/>
  <c r="L72" i="2"/>
  <c r="J72" i="2"/>
  <c r="L69" i="2"/>
  <c r="J69" i="2"/>
  <c r="C69" i="2"/>
  <c r="L67" i="2"/>
  <c r="J67" i="2"/>
  <c r="C67" i="2"/>
  <c r="L66" i="2"/>
  <c r="J66" i="2"/>
  <c r="C66" i="2"/>
  <c r="L65" i="2"/>
  <c r="J65" i="2"/>
  <c r="C65" i="2"/>
  <c r="L63" i="2"/>
  <c r="J63" i="2"/>
  <c r="C63" i="2"/>
  <c r="L62" i="2"/>
  <c r="J62" i="2"/>
  <c r="C62" i="2"/>
  <c r="L61" i="2"/>
  <c r="C61" i="2"/>
  <c r="L60" i="2"/>
  <c r="J60" i="2"/>
  <c r="C60" i="2"/>
  <c r="J59" i="2"/>
  <c r="K59" i="2" s="1"/>
  <c r="L59" i="2" s="1"/>
  <c r="C59" i="2"/>
  <c r="J58" i="2"/>
  <c r="L57" i="2"/>
  <c r="J57" i="2"/>
  <c r="C57" i="2"/>
  <c r="L56" i="2"/>
  <c r="J56" i="2"/>
  <c r="C56" i="2"/>
  <c r="L55" i="2"/>
  <c r="J55" i="2"/>
  <c r="J54" i="2"/>
  <c r="K54" i="2" s="1"/>
  <c r="L54" i="2" s="1"/>
  <c r="L53" i="2"/>
  <c r="J53" i="2"/>
  <c r="J52" i="2"/>
  <c r="L51" i="2"/>
  <c r="J51" i="2"/>
  <c r="J50" i="2"/>
  <c r="K50" i="2" s="1"/>
  <c r="L50" i="2" s="1"/>
  <c r="L49" i="2"/>
  <c r="J49" i="2"/>
  <c r="C49" i="2"/>
  <c r="L48" i="2"/>
  <c r="J48" i="2"/>
  <c r="C48" i="2"/>
  <c r="L47" i="2"/>
  <c r="J47" i="2"/>
  <c r="J46" i="2"/>
  <c r="K46" i="2" s="1"/>
  <c r="L46" i="2" s="1"/>
  <c r="C46" i="2"/>
  <c r="L45" i="2"/>
  <c r="J45" i="2"/>
  <c r="J44" i="2"/>
  <c r="K44" i="2" s="1"/>
  <c r="L44" i="2" s="1"/>
  <c r="C44" i="2"/>
  <c r="L43" i="2"/>
  <c r="J43" i="2"/>
  <c r="C43" i="2"/>
  <c r="J42" i="2"/>
  <c r="K42" i="2" s="1"/>
  <c r="L42" i="2" s="1"/>
  <c r="C42" i="2"/>
  <c r="L41" i="2"/>
  <c r="J41" i="2"/>
  <c r="C41" i="2"/>
  <c r="J40" i="2"/>
  <c r="K40" i="2" s="1"/>
  <c r="L40" i="2" s="1"/>
  <c r="C40" i="2"/>
  <c r="L39" i="2"/>
  <c r="J39" i="2"/>
  <c r="C39" i="2"/>
  <c r="J38" i="2"/>
  <c r="K38" i="2" s="1"/>
  <c r="L38" i="2" s="1"/>
  <c r="C38" i="2"/>
  <c r="L37" i="2"/>
  <c r="J37" i="2"/>
  <c r="C37" i="2"/>
  <c r="L36" i="2"/>
  <c r="J36" i="2"/>
  <c r="C36" i="2"/>
  <c r="L35" i="2"/>
  <c r="J35" i="2"/>
  <c r="C35" i="2"/>
  <c r="L34" i="2"/>
  <c r="J34" i="2"/>
  <c r="C34" i="2"/>
  <c r="L33" i="2"/>
  <c r="J33" i="2"/>
  <c r="C33" i="2"/>
  <c r="L32" i="2"/>
  <c r="J32" i="2"/>
  <c r="C32" i="2"/>
  <c r="L31" i="2"/>
  <c r="J31" i="2"/>
  <c r="C31" i="2"/>
  <c r="L30" i="2"/>
  <c r="J30" i="2"/>
  <c r="C30" i="2"/>
  <c r="L29" i="2"/>
  <c r="J29" i="2"/>
  <c r="C29" i="2"/>
  <c r="J28" i="2"/>
  <c r="C28" i="2"/>
  <c r="L27" i="2"/>
  <c r="J27" i="2"/>
  <c r="C27" i="2"/>
  <c r="J26" i="2"/>
  <c r="J25" i="2"/>
  <c r="J24" i="2"/>
  <c r="J23" i="2"/>
  <c r="J22" i="2"/>
  <c r="J21" i="2"/>
  <c r="L20" i="2"/>
  <c r="J20" i="2"/>
  <c r="C20" i="2"/>
  <c r="J19" i="2"/>
  <c r="L18" i="2"/>
  <c r="J18" i="2"/>
  <c r="C18" i="2"/>
  <c r="L17" i="2"/>
  <c r="J17" i="2"/>
  <c r="C17" i="2"/>
  <c r="J16" i="2"/>
  <c r="C16" i="2"/>
  <c r="L15" i="2"/>
  <c r="J15" i="2"/>
  <c r="C15" i="2"/>
  <c r="J14" i="2"/>
  <c r="L13" i="2"/>
  <c r="J13" i="2"/>
  <c r="C13" i="2"/>
  <c r="L12" i="2"/>
  <c r="J12" i="2"/>
  <c r="C12" i="2"/>
  <c r="J11" i="2"/>
  <c r="K11" i="2" s="1"/>
  <c r="L11" i="2" s="1"/>
  <c r="C11" i="2"/>
  <c r="J10" i="2"/>
  <c r="K10" i="2" s="1"/>
  <c r="L10" i="2" s="1"/>
  <c r="C10" i="2"/>
  <c r="J9" i="2"/>
  <c r="K9" i="2" s="1"/>
  <c r="L9" i="2" s="1"/>
  <c r="C9" i="2"/>
  <c r="L8" i="2"/>
  <c r="J8" i="2"/>
  <c r="C8" i="2"/>
  <c r="L7" i="2"/>
  <c r="J7" i="2"/>
  <c r="C7" i="2"/>
  <c r="Q80" i="1"/>
  <c r="J80" i="1"/>
  <c r="K80" i="1" s="1"/>
  <c r="L80" i="1" s="1"/>
  <c r="L79" i="1"/>
  <c r="J79" i="1"/>
  <c r="J78" i="1"/>
  <c r="L77" i="1"/>
  <c r="J77" i="1"/>
  <c r="J76" i="1"/>
  <c r="K76" i="1" s="1"/>
  <c r="L76" i="1" s="1"/>
  <c r="L75" i="1"/>
  <c r="J75" i="1"/>
  <c r="J74" i="1"/>
  <c r="K74" i="1" s="1"/>
  <c r="L74" i="1" s="1"/>
  <c r="J73" i="1"/>
  <c r="K73" i="1" s="1"/>
  <c r="L73" i="1" s="1"/>
  <c r="L72" i="1"/>
  <c r="J72" i="1"/>
  <c r="L71" i="1"/>
  <c r="J71" i="1"/>
  <c r="L70" i="1"/>
  <c r="J70" i="1"/>
  <c r="L69" i="1"/>
  <c r="Q68" i="1"/>
  <c r="L68" i="1"/>
  <c r="J68" i="1"/>
  <c r="L67" i="1"/>
  <c r="J67" i="1"/>
  <c r="L66" i="1"/>
  <c r="J66" i="1"/>
  <c r="L65" i="1"/>
  <c r="J65" i="1"/>
  <c r="L64" i="1"/>
  <c r="J64" i="1"/>
  <c r="L63" i="1"/>
  <c r="J63" i="1"/>
  <c r="L62" i="1"/>
  <c r="J62" i="1"/>
  <c r="L61" i="1"/>
  <c r="J61" i="1"/>
  <c r="L60" i="1"/>
  <c r="J60" i="1"/>
  <c r="L59" i="1"/>
  <c r="J59" i="1"/>
  <c r="L58" i="1"/>
  <c r="J58" i="1"/>
  <c r="J57" i="1"/>
  <c r="L56" i="1"/>
  <c r="J56" i="1"/>
  <c r="L55" i="1"/>
  <c r="J55" i="1"/>
  <c r="L54" i="1"/>
  <c r="J54" i="1"/>
  <c r="L53" i="1"/>
  <c r="J53" i="1"/>
  <c r="L52" i="1"/>
  <c r="J52" i="1"/>
  <c r="J51" i="1"/>
  <c r="K51" i="1" s="1"/>
  <c r="L51" i="1" s="1"/>
  <c r="L50" i="1"/>
  <c r="J50" i="1"/>
  <c r="L49" i="1"/>
  <c r="J49" i="1"/>
  <c r="L48" i="1"/>
  <c r="J48" i="1"/>
  <c r="L47" i="1"/>
  <c r="J47" i="1"/>
  <c r="J46" i="1"/>
  <c r="K46" i="1" s="1"/>
  <c r="L46" i="1" s="1"/>
  <c r="L45" i="1"/>
  <c r="J45" i="1"/>
  <c r="L44" i="1"/>
  <c r="J44" i="1"/>
  <c r="J43" i="1"/>
  <c r="K43" i="1" s="1"/>
  <c r="L43" i="1" s="1"/>
  <c r="L42" i="1"/>
  <c r="J42" i="1"/>
  <c r="L41" i="1"/>
  <c r="J41" i="1"/>
  <c r="A41" i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L40" i="1"/>
  <c r="J40" i="1"/>
  <c r="J39" i="1"/>
  <c r="K39" i="1" s="1"/>
  <c r="L39" i="1" s="1"/>
  <c r="L38" i="1"/>
  <c r="J38" i="1"/>
  <c r="L37" i="1"/>
  <c r="J37" i="1"/>
  <c r="L36" i="1"/>
  <c r="J36" i="1"/>
  <c r="L35" i="1"/>
  <c r="J35" i="1"/>
  <c r="L34" i="1"/>
  <c r="J34" i="1"/>
  <c r="L33" i="1"/>
  <c r="J33" i="1"/>
  <c r="J32" i="1"/>
  <c r="K32" i="1" s="1"/>
  <c r="L32" i="1" s="1"/>
  <c r="L31" i="1"/>
  <c r="J31" i="1"/>
  <c r="J30" i="1"/>
  <c r="K30" i="1" s="1"/>
  <c r="L30" i="1" s="1"/>
  <c r="L29" i="1"/>
  <c r="J29" i="1"/>
  <c r="J28" i="1"/>
  <c r="L27" i="1"/>
  <c r="J27" i="1"/>
  <c r="J26" i="1"/>
  <c r="K26" i="1" s="1"/>
  <c r="L26" i="1" s="1"/>
  <c r="L25" i="1"/>
  <c r="J25" i="1"/>
  <c r="J24" i="1"/>
  <c r="K24" i="1" s="1"/>
  <c r="L24" i="1" s="1"/>
  <c r="C24" i="1"/>
  <c r="L23" i="1"/>
  <c r="J23" i="1"/>
  <c r="C23" i="1"/>
  <c r="L22" i="1"/>
  <c r="J21" i="1"/>
  <c r="L20" i="1"/>
  <c r="J20" i="1"/>
  <c r="Q19" i="1"/>
  <c r="J19" i="1"/>
  <c r="K19" i="1" s="1"/>
  <c r="L19" i="1" s="1"/>
  <c r="L18" i="1"/>
  <c r="J18" i="1"/>
  <c r="L17" i="1"/>
  <c r="J17" i="1"/>
  <c r="L16" i="1"/>
  <c r="J16" i="1"/>
  <c r="L15" i="1"/>
  <c r="J15" i="1"/>
  <c r="L14" i="1"/>
  <c r="J14" i="1"/>
  <c r="L13" i="1"/>
  <c r="L12" i="1"/>
  <c r="J12" i="1"/>
  <c r="L11" i="1"/>
  <c r="J11" i="1"/>
  <c r="J10" i="1"/>
  <c r="K10" i="1" s="1"/>
  <c r="L10" i="1" s="1"/>
  <c r="L9" i="1"/>
  <c r="J9" i="1"/>
  <c r="J8" i="1"/>
  <c r="K8" i="1" s="1"/>
  <c r="L8" i="1" s="1"/>
  <c r="L7" i="1"/>
  <c r="J7" i="1"/>
  <c r="J6" i="1"/>
  <c r="K6" i="1" s="1"/>
  <c r="L6" i="1" s="1"/>
  <c r="L3" i="5" l="1"/>
  <c r="D6" i="13" s="1"/>
  <c r="L3" i="1"/>
  <c r="L3" i="2"/>
  <c r="D4" i="13" s="1"/>
  <c r="C3" i="2"/>
  <c r="C3" i="4"/>
  <c r="C3" i="5"/>
  <c r="M2" i="1"/>
  <c r="D3" i="13" s="1"/>
  <c r="E141" i="4"/>
  <c r="F141" i="4" s="1"/>
  <c r="G141" i="4" s="1"/>
  <c r="H141" i="4" s="1"/>
  <c r="I141" i="4" s="1"/>
  <c r="C3" i="1"/>
  <c r="Q55" i="1"/>
  <c r="N3" i="5" l="1"/>
  <c r="M3" i="2"/>
  <c r="J141" i="4"/>
  <c r="K141" i="4"/>
  <c r="L141" i="4" s="1"/>
  <c r="L3" i="4" s="1"/>
  <c r="M3" i="1"/>
  <c r="N3" i="4" l="1"/>
  <c r="D5" i="13"/>
</calcChain>
</file>

<file path=xl/sharedStrings.xml><?xml version="1.0" encoding="utf-8"?>
<sst xmlns="http://schemas.openxmlformats.org/spreadsheetml/2006/main" count="7200" uniqueCount="3902">
  <si>
    <t>No</t>
    <phoneticPr fontId="1" type="noConversion"/>
  </si>
  <si>
    <t>Value amount left</t>
    <phoneticPr fontId="1" type="noConversion"/>
  </si>
  <si>
    <t>Oct 20/12</t>
    <phoneticPr fontId="1" type="noConversion"/>
  </si>
  <si>
    <t>issued on</t>
    <phoneticPr fontId="1" type="noConversion"/>
  </si>
  <si>
    <t>expires at</t>
    <phoneticPr fontId="1" type="noConversion"/>
  </si>
  <si>
    <t>(USED)</t>
    <phoneticPr fontId="1" type="noConversion"/>
  </si>
  <si>
    <t>Oct 20/14</t>
    <phoneticPr fontId="1" type="noConversion"/>
  </si>
  <si>
    <t>Oct 25/12</t>
    <phoneticPr fontId="1" type="noConversion"/>
  </si>
  <si>
    <t>Oct 25/14</t>
    <phoneticPr fontId="1" type="noConversion"/>
  </si>
  <si>
    <t>Oct 26/12</t>
  </si>
  <si>
    <t>Oct 26/14</t>
    <phoneticPr fontId="1" type="noConversion"/>
  </si>
  <si>
    <t>Oct 26/12</t>
    <phoneticPr fontId="1" type="noConversion"/>
  </si>
  <si>
    <t>Oct 26/14</t>
    <phoneticPr fontId="1" type="noConversion"/>
  </si>
  <si>
    <t>Oct 28/12</t>
    <phoneticPr fontId="1" type="noConversion"/>
  </si>
  <si>
    <t>Oct 28/14</t>
    <phoneticPr fontId="1" type="noConversion"/>
  </si>
  <si>
    <t>S</t>
    <phoneticPr fontId="1" type="noConversion"/>
  </si>
  <si>
    <t>A</t>
    <phoneticPr fontId="1" type="noConversion"/>
  </si>
  <si>
    <t>M</t>
    <phoneticPr fontId="1" type="noConversion"/>
  </si>
  <si>
    <t>P</t>
    <phoneticPr fontId="1" type="noConversion"/>
  </si>
  <si>
    <t>L</t>
    <phoneticPr fontId="1" type="noConversion"/>
  </si>
  <si>
    <t>E</t>
    <phoneticPr fontId="1" type="noConversion"/>
  </si>
  <si>
    <t>709(120002)</t>
    <phoneticPr fontId="1" type="noConversion"/>
  </si>
  <si>
    <t>Oct 29/12</t>
    <phoneticPr fontId="1" type="noConversion"/>
  </si>
  <si>
    <t>Oct 29/14</t>
    <phoneticPr fontId="1" type="noConversion"/>
  </si>
  <si>
    <t>Oct 30/12</t>
    <phoneticPr fontId="1" type="noConversion"/>
  </si>
  <si>
    <t>Oct 30/14</t>
    <phoneticPr fontId="1" type="noConversion"/>
  </si>
  <si>
    <t>Nov 01/14</t>
    <phoneticPr fontId="1" type="noConversion"/>
  </si>
  <si>
    <t>Nov 01/12</t>
    <phoneticPr fontId="1" type="noConversion"/>
  </si>
  <si>
    <t>COMP</t>
    <phoneticPr fontId="1" type="noConversion"/>
  </si>
  <si>
    <t>Nov 02/12</t>
    <phoneticPr fontId="1" type="noConversion"/>
  </si>
  <si>
    <t>Nov 02/14</t>
    <phoneticPr fontId="1" type="noConversion"/>
  </si>
  <si>
    <t>Nov 04/12</t>
    <phoneticPr fontId="1" type="noConversion"/>
  </si>
  <si>
    <t>Nov 04/14</t>
    <phoneticPr fontId="1" type="noConversion"/>
  </si>
  <si>
    <t>Nov 05/12</t>
    <phoneticPr fontId="1" type="noConversion"/>
  </si>
  <si>
    <t>Nov 05/14</t>
    <phoneticPr fontId="1" type="noConversion"/>
  </si>
  <si>
    <t>e-mail</t>
    <phoneticPr fontId="1" type="noConversion"/>
  </si>
  <si>
    <t>Nov 05/12</t>
    <phoneticPr fontId="1" type="noConversion"/>
  </si>
  <si>
    <t xml:space="preserve"> </t>
    <phoneticPr fontId="1" type="noConversion"/>
  </si>
  <si>
    <t>Nov. 08/12</t>
    <phoneticPr fontId="1" type="noConversion"/>
  </si>
  <si>
    <t>Feb 08/13</t>
    <phoneticPr fontId="1" type="noConversion"/>
  </si>
  <si>
    <t>Chris MULTI-DLX, 1 BUFF</t>
    <phoneticPr fontId="1" type="noConversion"/>
  </si>
  <si>
    <t>Nov 08/12</t>
    <phoneticPr fontId="1" type="noConversion"/>
  </si>
  <si>
    <t>Nov 08/14</t>
    <phoneticPr fontId="1" type="noConversion"/>
  </si>
  <si>
    <t>Sales</t>
    <phoneticPr fontId="1" type="noConversion"/>
  </si>
  <si>
    <t>Price</t>
    <phoneticPr fontId="1" type="noConversion"/>
  </si>
  <si>
    <t>Amount</t>
    <phoneticPr fontId="1" type="noConversion"/>
  </si>
  <si>
    <t xml:space="preserve"> sold</t>
    <phoneticPr fontId="1" type="noConversion"/>
  </si>
  <si>
    <t>Unit</t>
    <phoneticPr fontId="1" type="noConversion"/>
  </si>
  <si>
    <t>Service(s)</t>
    <phoneticPr fontId="1" type="noConversion"/>
  </si>
  <si>
    <t>left</t>
    <phoneticPr fontId="1" type="noConversion"/>
  </si>
  <si>
    <t xml:space="preserve">Value </t>
    <phoneticPr fontId="1" type="noConversion"/>
  </si>
  <si>
    <t xml:space="preserve"> left</t>
    <phoneticPr fontId="1" type="noConversion"/>
  </si>
  <si>
    <t>Customer</t>
    <phoneticPr fontId="1" type="noConversion"/>
  </si>
  <si>
    <t xml:space="preserve"> Name</t>
    <phoneticPr fontId="1" type="noConversion"/>
  </si>
  <si>
    <t xml:space="preserve">Phone </t>
    <phoneticPr fontId="1" type="noConversion"/>
  </si>
  <si>
    <t>Numbers</t>
    <phoneticPr fontId="1" type="noConversion"/>
  </si>
  <si>
    <t>Nov 09/12</t>
    <phoneticPr fontId="1" type="noConversion"/>
  </si>
  <si>
    <t>Nov 09/14</t>
    <phoneticPr fontId="1" type="noConversion"/>
  </si>
  <si>
    <t>Nov 10/12</t>
    <phoneticPr fontId="1" type="noConversion"/>
  </si>
  <si>
    <t>MICHELLE</t>
    <phoneticPr fontId="1" type="noConversion"/>
  </si>
  <si>
    <t>8078 6047</t>
    <phoneticPr fontId="1" type="noConversion"/>
  </si>
  <si>
    <t>michelleb@eapro.com.au</t>
    <phoneticPr fontId="1" type="noConversion"/>
  </si>
  <si>
    <t>HELEN</t>
    <phoneticPr fontId="1" type="noConversion"/>
  </si>
  <si>
    <t>한국부부</t>
    <phoneticPr fontId="1" type="noConversion"/>
  </si>
  <si>
    <t>Nov 11/12</t>
    <phoneticPr fontId="1" type="noConversion"/>
  </si>
  <si>
    <t>Nov 10/14</t>
    <phoneticPr fontId="1" type="noConversion"/>
  </si>
  <si>
    <t>Nov 11/14</t>
    <phoneticPr fontId="1" type="noConversion"/>
  </si>
  <si>
    <t>JAPANESE</t>
    <phoneticPr fontId="1" type="noConversion"/>
  </si>
  <si>
    <t>AUS LAIDY</t>
    <phoneticPr fontId="1" type="noConversion"/>
  </si>
  <si>
    <t>Richard</t>
    <phoneticPr fontId="1" type="noConversion"/>
  </si>
  <si>
    <t>Nov 13/12</t>
    <phoneticPr fontId="1" type="noConversion"/>
  </si>
  <si>
    <t>Nov 12/12</t>
    <phoneticPr fontId="1" type="noConversion"/>
  </si>
  <si>
    <t>Nov 12/14</t>
    <phoneticPr fontId="1" type="noConversion"/>
  </si>
  <si>
    <t>Nov 13/14</t>
    <phoneticPr fontId="1" type="noConversion"/>
  </si>
  <si>
    <t>Asian girl</t>
    <phoneticPr fontId="1" type="noConversion"/>
  </si>
  <si>
    <t>Nov 15/12</t>
    <phoneticPr fontId="1" type="noConversion"/>
  </si>
  <si>
    <t>Nov 15/14</t>
    <phoneticPr fontId="1" type="noConversion"/>
  </si>
  <si>
    <t xml:space="preserve">Kor Lady </t>
    <phoneticPr fontId="1" type="noConversion"/>
  </si>
  <si>
    <t>Landrover</t>
    <phoneticPr fontId="1" type="noConversion"/>
  </si>
  <si>
    <t>White LXS</t>
    <phoneticPr fontId="1" type="noConversion"/>
  </si>
  <si>
    <t>AUS LADY</t>
    <phoneticPr fontId="1" type="noConversion"/>
  </si>
  <si>
    <t>West Asian</t>
    <phoneticPr fontId="1" type="noConversion"/>
  </si>
  <si>
    <t>golf</t>
    <phoneticPr fontId="1" type="noConversion"/>
  </si>
  <si>
    <t>Nov 17/12</t>
    <phoneticPr fontId="1" type="noConversion"/>
  </si>
  <si>
    <t>Nov 19/12</t>
    <phoneticPr fontId="1" type="noConversion"/>
  </si>
  <si>
    <t>Nov 17/14</t>
    <phoneticPr fontId="1" type="noConversion"/>
  </si>
  <si>
    <t>Aussie</t>
    <phoneticPr fontId="1" type="noConversion"/>
  </si>
  <si>
    <t>Nov 24/12</t>
    <phoneticPr fontId="1" type="noConversion"/>
  </si>
  <si>
    <t>Nov 25/12</t>
    <phoneticPr fontId="1" type="noConversion"/>
  </si>
  <si>
    <t>Nov 25/14</t>
    <phoneticPr fontId="1" type="noConversion"/>
  </si>
  <si>
    <t>Nov 24/14</t>
    <phoneticPr fontId="1" type="noConversion"/>
  </si>
  <si>
    <t>ASIAN/BLUE BMW</t>
    <phoneticPr fontId="1" type="noConversion"/>
  </si>
  <si>
    <t>Nov 26/12</t>
    <phoneticPr fontId="1" type="noConversion"/>
  </si>
  <si>
    <t>Nov 26/14</t>
    <phoneticPr fontId="1" type="noConversion"/>
  </si>
  <si>
    <t>CHE GIRL</t>
    <phoneticPr fontId="1" type="noConversion"/>
  </si>
  <si>
    <t>Nov 27/12</t>
    <phoneticPr fontId="1" type="noConversion"/>
  </si>
  <si>
    <t>Nov 27/14</t>
    <phoneticPr fontId="1" type="noConversion"/>
  </si>
  <si>
    <t>Red Mec</t>
    <phoneticPr fontId="1" type="noConversion"/>
  </si>
  <si>
    <t>c class</t>
    <phoneticPr fontId="1" type="noConversion"/>
  </si>
  <si>
    <t>Trisha</t>
    <phoneticPr fontId="1" type="noConversion"/>
  </si>
  <si>
    <t>Indonesian</t>
    <phoneticPr fontId="1" type="noConversion"/>
  </si>
  <si>
    <t>Nov 29/12</t>
    <phoneticPr fontId="1" type="noConversion"/>
  </si>
  <si>
    <t>Nov 29/14</t>
    <phoneticPr fontId="1" type="noConversion"/>
  </si>
  <si>
    <t>R8</t>
    <phoneticPr fontId="1" type="noConversion"/>
  </si>
  <si>
    <t>C68</t>
    <phoneticPr fontId="1" type="noConversion"/>
  </si>
  <si>
    <t>Dec 01/12</t>
    <phoneticPr fontId="1" type="noConversion"/>
  </si>
  <si>
    <t>Dec 01/14</t>
    <phoneticPr fontId="1" type="noConversion"/>
  </si>
  <si>
    <t>Dec 03/12</t>
    <phoneticPr fontId="1" type="noConversion"/>
  </si>
  <si>
    <t>Dec 03/14</t>
    <phoneticPr fontId="1" type="noConversion"/>
  </si>
  <si>
    <t>Dec 04/12</t>
    <phoneticPr fontId="1" type="noConversion"/>
  </si>
  <si>
    <t>Dec 04/14</t>
    <phoneticPr fontId="1" type="noConversion"/>
  </si>
  <si>
    <t>Dec 06/12</t>
    <phoneticPr fontId="1" type="noConversion"/>
  </si>
  <si>
    <t>Dec 06/14</t>
    <phoneticPr fontId="1" type="noConversion"/>
  </si>
  <si>
    <t>Dec 07/12</t>
    <phoneticPr fontId="1" type="noConversion"/>
  </si>
  <si>
    <t>Dec 07/14</t>
    <phoneticPr fontId="1" type="noConversion"/>
  </si>
  <si>
    <t>Dec 08/12</t>
    <phoneticPr fontId="1" type="noConversion"/>
  </si>
  <si>
    <t>Dec 08/14</t>
    <phoneticPr fontId="1" type="noConversion"/>
  </si>
  <si>
    <t>Dec 09/12</t>
    <phoneticPr fontId="1" type="noConversion"/>
  </si>
  <si>
    <t>Dec 09/14</t>
    <phoneticPr fontId="1" type="noConversion"/>
  </si>
  <si>
    <t>CHE GIRL</t>
    <phoneticPr fontId="1" type="noConversion"/>
  </si>
  <si>
    <t>hyundai</t>
    <phoneticPr fontId="1" type="noConversion"/>
  </si>
  <si>
    <t>10월 합계</t>
    <phoneticPr fontId="1" type="noConversion"/>
  </si>
  <si>
    <t>13장+Sample 1장</t>
    <phoneticPr fontId="1" type="noConversion"/>
  </si>
  <si>
    <t>11월합계</t>
    <phoneticPr fontId="1" type="noConversion"/>
  </si>
  <si>
    <t>335번 새 GV로대체.</t>
    <phoneticPr fontId="1" type="noConversion"/>
  </si>
  <si>
    <t>GV 첫 구매 한국 고객</t>
    <phoneticPr fontId="1" type="noConversion"/>
  </si>
  <si>
    <t>Dec 14/12</t>
    <phoneticPr fontId="1" type="noConversion"/>
  </si>
  <si>
    <t>Dec 14/14</t>
    <phoneticPr fontId="1" type="noConversion"/>
  </si>
  <si>
    <t>중국여성</t>
    <phoneticPr fontId="1" type="noConversion"/>
  </si>
  <si>
    <t>Dec 16/12</t>
    <phoneticPr fontId="1" type="noConversion"/>
  </si>
  <si>
    <t>Dec 16/14</t>
    <phoneticPr fontId="1" type="noConversion"/>
  </si>
  <si>
    <t>Alex</t>
    <phoneticPr fontId="1" type="noConversion"/>
  </si>
  <si>
    <t xml:space="preserve">   </t>
    <phoneticPr fontId="1" type="noConversion"/>
  </si>
  <si>
    <t>Dec 19/12</t>
    <phoneticPr fontId="1" type="noConversion"/>
  </si>
  <si>
    <t>Dec 19/14</t>
    <phoneticPr fontId="1" type="noConversion"/>
  </si>
  <si>
    <t>Dec 20/12</t>
    <phoneticPr fontId="1" type="noConversion"/>
  </si>
  <si>
    <t>Dec 20/14</t>
    <phoneticPr fontId="1" type="noConversion"/>
  </si>
  <si>
    <t xml:space="preserve"> Asian lady</t>
    <phoneticPr fontId="1" type="noConversion"/>
  </si>
  <si>
    <t>Dec 22/12</t>
    <phoneticPr fontId="1" type="noConversion"/>
  </si>
  <si>
    <t>Dec 22/14</t>
    <phoneticPr fontId="1" type="noConversion"/>
  </si>
  <si>
    <t>Dec 23/12</t>
    <phoneticPr fontId="1" type="noConversion"/>
  </si>
  <si>
    <t>Dec 23/14</t>
    <phoneticPr fontId="1" type="noConversion"/>
  </si>
  <si>
    <t>Daniel</t>
    <phoneticPr fontId="1" type="noConversion"/>
  </si>
  <si>
    <t>회색 푸죠</t>
    <phoneticPr fontId="1" type="noConversion"/>
  </si>
  <si>
    <t>Dec 28/12</t>
    <phoneticPr fontId="1" type="noConversion"/>
  </si>
  <si>
    <t>Dec 28/14</t>
    <phoneticPr fontId="1" type="noConversion"/>
  </si>
  <si>
    <t>한국여성</t>
    <phoneticPr fontId="1" type="noConversion"/>
  </si>
  <si>
    <t>White Jaguar</t>
    <phoneticPr fontId="1" type="noConversion"/>
  </si>
  <si>
    <t>Dec 29/12</t>
    <phoneticPr fontId="1" type="noConversion"/>
  </si>
  <si>
    <t>Dec 29/14</t>
    <phoneticPr fontId="1" type="noConversion"/>
  </si>
  <si>
    <t>Chn guy</t>
    <phoneticPr fontId="1" type="noConversion"/>
  </si>
  <si>
    <t>Audi</t>
    <phoneticPr fontId="1" type="noConversion"/>
  </si>
  <si>
    <t>25장 + CV 교체 1 장</t>
    <phoneticPr fontId="1" type="noConversion"/>
  </si>
  <si>
    <t>12월 합계</t>
    <phoneticPr fontId="1" type="noConversion"/>
  </si>
  <si>
    <t xml:space="preserve"> </t>
    <phoneticPr fontId="1" type="noConversion"/>
  </si>
  <si>
    <t>2012년 마감</t>
    <phoneticPr fontId="1" type="noConversion"/>
  </si>
  <si>
    <t>45장 +Compliment 1장</t>
    <phoneticPr fontId="1" type="noConversion"/>
  </si>
  <si>
    <t xml:space="preserve"> </t>
    <phoneticPr fontId="1" type="noConversion"/>
  </si>
  <si>
    <t>분실/회수</t>
    <phoneticPr fontId="1" type="noConversion"/>
  </si>
  <si>
    <t>우편물로 GV만 배달 11/02/13</t>
    <phoneticPr fontId="1" type="noConversion"/>
  </si>
  <si>
    <t xml:space="preserve"> </t>
    <phoneticPr fontId="1" type="noConversion"/>
  </si>
  <si>
    <t>정희승</t>
    <phoneticPr fontId="1" type="noConversion"/>
  </si>
  <si>
    <t>Finished</t>
    <phoneticPr fontId="1" type="noConversion"/>
  </si>
  <si>
    <t>lost</t>
    <phoneticPr fontId="1" type="noConversion"/>
  </si>
  <si>
    <t xml:space="preserve">Dent damage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</si>
  <si>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</si>
  <si>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</si>
  <si>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   </t>
    <phoneticPr fontId="1" type="noConversion"/>
  </si>
  <si>
    <t>권부장</t>
    <phoneticPr fontId="1" type="noConversion"/>
  </si>
  <si>
    <t>BLK PORCHE</t>
    <phoneticPr fontId="1" type="noConversion"/>
  </si>
  <si>
    <t>John</t>
    <phoneticPr fontId="1" type="noConversion"/>
  </si>
  <si>
    <t>Amount</t>
  </si>
  <si>
    <t>Numbers</t>
  </si>
  <si>
    <t xml:space="preserve"> sold</t>
  </si>
  <si>
    <t xml:space="preserve"> </t>
  </si>
  <si>
    <t xml:space="preserve"> left</t>
  </si>
  <si>
    <t>Unit</t>
  </si>
  <si>
    <t>Sales</t>
  </si>
  <si>
    <t>Service(s)</t>
  </si>
  <si>
    <t xml:space="preserve">Value </t>
  </si>
  <si>
    <t>Customer</t>
  </si>
  <si>
    <t xml:space="preserve">Phone </t>
  </si>
  <si>
    <t>No</t>
  </si>
  <si>
    <t>Price</t>
  </si>
  <si>
    <t>(USED)</t>
  </si>
  <si>
    <t>left</t>
  </si>
  <si>
    <t>Value amount left</t>
  </si>
  <si>
    <t>issued on</t>
  </si>
  <si>
    <t>expires at</t>
  </si>
  <si>
    <t xml:space="preserve"> Name</t>
  </si>
  <si>
    <t>e-mail</t>
  </si>
  <si>
    <t>2013년</t>
  </si>
  <si>
    <t>JAN 09/13</t>
  </si>
  <si>
    <t>JAN 09/15</t>
  </si>
  <si>
    <t>JAN 12/13</t>
  </si>
  <si>
    <t>JAN 12/15</t>
  </si>
  <si>
    <t>JAN 15/13</t>
    <phoneticPr fontId="1" type="noConversion"/>
  </si>
  <si>
    <t>JAN 15/15</t>
    <phoneticPr fontId="1" type="noConversion"/>
  </si>
  <si>
    <t>JAN 24/13</t>
    <phoneticPr fontId="1" type="noConversion"/>
  </si>
  <si>
    <t>JAN 24/15</t>
    <phoneticPr fontId="1" type="noConversion"/>
  </si>
  <si>
    <t>Diana</t>
    <phoneticPr fontId="1" type="noConversion"/>
  </si>
  <si>
    <t>JAN 17/13</t>
    <phoneticPr fontId="1" type="noConversion"/>
  </si>
  <si>
    <t>JAN 17/15</t>
    <phoneticPr fontId="1" type="noConversion"/>
  </si>
  <si>
    <t>JAN 19/13</t>
    <phoneticPr fontId="1" type="noConversion"/>
  </si>
  <si>
    <t>JUL 19/13</t>
    <phoneticPr fontId="1" type="noConversion"/>
  </si>
  <si>
    <t>Bob</t>
    <phoneticPr fontId="1" type="noConversion"/>
  </si>
  <si>
    <t>JAN 19/15</t>
    <phoneticPr fontId="1" type="noConversion"/>
  </si>
  <si>
    <t>JAN 20/13</t>
    <phoneticPr fontId="1" type="noConversion"/>
  </si>
  <si>
    <t>JAN 20/15</t>
    <phoneticPr fontId="1" type="noConversion"/>
  </si>
  <si>
    <t>JAN 22/13</t>
    <phoneticPr fontId="1" type="noConversion"/>
  </si>
  <si>
    <t>JAN 22/15</t>
    <phoneticPr fontId="1" type="noConversion"/>
  </si>
  <si>
    <t>May</t>
    <phoneticPr fontId="1" type="noConversion"/>
  </si>
  <si>
    <t>COMP.</t>
    <phoneticPr fontId="1" type="noConversion"/>
  </si>
  <si>
    <t xml:space="preserve">Mark </t>
    <phoneticPr fontId="1" type="noConversion"/>
  </si>
  <si>
    <t>JAN 29/13</t>
    <phoneticPr fontId="1" type="noConversion"/>
  </si>
  <si>
    <t>JAN 29/15</t>
    <phoneticPr fontId="1" type="noConversion"/>
  </si>
  <si>
    <t>1월 합계</t>
    <phoneticPr fontId="1" type="noConversion"/>
  </si>
  <si>
    <t xml:space="preserve">14장 </t>
    <phoneticPr fontId="1" type="noConversion"/>
  </si>
  <si>
    <t>GA 불출</t>
    <phoneticPr fontId="1" type="noConversion"/>
  </si>
  <si>
    <t>FEB 04/13</t>
    <phoneticPr fontId="1" type="noConversion"/>
  </si>
  <si>
    <t>FEB 04/15</t>
    <phoneticPr fontId="1" type="noConversion"/>
  </si>
  <si>
    <t>LEX 1SERI</t>
    <phoneticPr fontId="1" type="noConversion"/>
  </si>
  <si>
    <t>FEB 07/13</t>
    <phoneticPr fontId="1" type="noConversion"/>
  </si>
  <si>
    <t>FEB 07/15</t>
    <phoneticPr fontId="1" type="noConversion"/>
  </si>
  <si>
    <t>beatle yellow</t>
    <phoneticPr fontId="1" type="noConversion"/>
  </si>
  <si>
    <t>korean girl</t>
    <phoneticPr fontId="1" type="noConversion"/>
  </si>
  <si>
    <t>FEB 09/13</t>
    <phoneticPr fontId="1" type="noConversion"/>
  </si>
  <si>
    <t>FEB 09/15</t>
    <phoneticPr fontId="1" type="noConversion"/>
  </si>
  <si>
    <t>FEB 11/13</t>
    <phoneticPr fontId="1" type="noConversion"/>
  </si>
  <si>
    <t>FEB 11/15</t>
    <phoneticPr fontId="1" type="noConversion"/>
  </si>
  <si>
    <t>Mits red</t>
    <phoneticPr fontId="1" type="noConversion"/>
  </si>
  <si>
    <t>Indian lady</t>
    <phoneticPr fontId="1" type="noConversion"/>
  </si>
  <si>
    <t>FEB 15/13</t>
    <phoneticPr fontId="1" type="noConversion"/>
  </si>
  <si>
    <t>FEB 15/15</t>
    <phoneticPr fontId="1" type="noConversion"/>
  </si>
  <si>
    <t>Merc silver</t>
    <phoneticPr fontId="1" type="noConversion"/>
  </si>
  <si>
    <t>Aus lady</t>
    <phoneticPr fontId="1" type="noConversion"/>
  </si>
  <si>
    <t>FEB 19/13</t>
    <phoneticPr fontId="1" type="noConversion"/>
  </si>
  <si>
    <t>FEB 19/15</t>
    <phoneticPr fontId="1" type="noConversion"/>
  </si>
  <si>
    <t>R8</t>
    <phoneticPr fontId="1" type="noConversion"/>
  </si>
  <si>
    <t>Alex</t>
    <phoneticPr fontId="1" type="noConversion"/>
  </si>
  <si>
    <t>FEB 24/13</t>
    <phoneticPr fontId="1" type="noConversion"/>
  </si>
  <si>
    <t>FEB 24/15</t>
    <phoneticPr fontId="1" type="noConversion"/>
  </si>
  <si>
    <t>FEB 25/13</t>
    <phoneticPr fontId="1" type="noConversion"/>
  </si>
  <si>
    <t>FEB 25/15</t>
    <phoneticPr fontId="1" type="noConversion"/>
  </si>
  <si>
    <t>White MZD</t>
    <phoneticPr fontId="1" type="noConversion"/>
  </si>
  <si>
    <t>FEB 27/13</t>
    <phoneticPr fontId="1" type="noConversion"/>
  </si>
  <si>
    <t>FEB 27/15</t>
    <phoneticPr fontId="1" type="noConversion"/>
  </si>
  <si>
    <t>Gray Merc.</t>
    <phoneticPr fontId="1" type="noConversion"/>
  </si>
  <si>
    <t>Janus Wong</t>
    <phoneticPr fontId="1" type="noConversion"/>
  </si>
  <si>
    <t>2월 합계</t>
    <phoneticPr fontId="1" type="noConversion"/>
  </si>
  <si>
    <t xml:space="preserve">16장 </t>
    <phoneticPr fontId="1" type="noConversion"/>
  </si>
  <si>
    <t>MAR01/13</t>
    <phoneticPr fontId="1" type="noConversion"/>
  </si>
  <si>
    <t>MAR01/15</t>
    <phoneticPr fontId="1" type="noConversion"/>
  </si>
  <si>
    <t>MAR03/13</t>
    <phoneticPr fontId="1" type="noConversion"/>
  </si>
  <si>
    <t>MAR03/15</t>
    <phoneticPr fontId="1" type="noConversion"/>
  </si>
  <si>
    <t>MAR04/13</t>
    <phoneticPr fontId="1" type="noConversion"/>
  </si>
  <si>
    <t>MAR04/15</t>
    <phoneticPr fontId="1" type="noConversion"/>
  </si>
  <si>
    <t>blue bmw</t>
    <phoneticPr fontId="1" type="noConversion"/>
  </si>
  <si>
    <t>john</t>
    <phoneticPr fontId="1" type="noConversion"/>
  </si>
  <si>
    <t>blk bmw</t>
    <phoneticPr fontId="1" type="noConversion"/>
  </si>
  <si>
    <t>korean</t>
    <phoneticPr fontId="1" type="noConversion"/>
  </si>
  <si>
    <t>MAR07/13</t>
    <phoneticPr fontId="1" type="noConversion"/>
  </si>
  <si>
    <t>MAR07/15</t>
    <phoneticPr fontId="1" type="noConversion"/>
  </si>
  <si>
    <t>gray audi</t>
    <phoneticPr fontId="1" type="noConversion"/>
  </si>
  <si>
    <t>chn</t>
    <phoneticPr fontId="1" type="noConversion"/>
  </si>
  <si>
    <t>blk merc</t>
    <phoneticPr fontId="1" type="noConversion"/>
  </si>
  <si>
    <t>Vanessa</t>
    <phoneticPr fontId="1" type="noConversion"/>
  </si>
  <si>
    <t>MAR08/13</t>
    <phoneticPr fontId="1" type="noConversion"/>
  </si>
  <si>
    <t>MAR08/15</t>
    <phoneticPr fontId="1" type="noConversion"/>
  </si>
  <si>
    <t>MAR09/13</t>
    <phoneticPr fontId="1" type="noConversion"/>
  </si>
  <si>
    <t>MAR09/15</t>
    <phoneticPr fontId="1" type="noConversion"/>
  </si>
  <si>
    <t>chn girl</t>
    <phoneticPr fontId="1" type="noConversion"/>
  </si>
  <si>
    <t>MAR10/13</t>
    <phoneticPr fontId="1" type="noConversion"/>
  </si>
  <si>
    <t>MAR10/15</t>
    <phoneticPr fontId="1" type="noConversion"/>
  </si>
  <si>
    <t>MAR15/13</t>
    <phoneticPr fontId="1" type="noConversion"/>
  </si>
  <si>
    <t>MAR15/15</t>
    <phoneticPr fontId="1" type="noConversion"/>
  </si>
  <si>
    <t>MAR16/13</t>
    <phoneticPr fontId="1" type="noConversion"/>
  </si>
  <si>
    <t>MAR17/13</t>
    <phoneticPr fontId="1" type="noConversion"/>
  </si>
  <si>
    <t>Mrs Morgan mat damage issue (Danny) GA</t>
    <phoneticPr fontId="1" type="noConversion"/>
  </si>
  <si>
    <t>MAR17/15</t>
    <phoneticPr fontId="1" type="noConversion"/>
  </si>
  <si>
    <t>MAR18/13</t>
    <phoneticPr fontId="1" type="noConversion"/>
  </si>
  <si>
    <t>MAR18/15</t>
    <phoneticPr fontId="1" type="noConversion"/>
  </si>
  <si>
    <t>MAR19/13</t>
    <phoneticPr fontId="1" type="noConversion"/>
  </si>
  <si>
    <t>MAR19/15</t>
    <phoneticPr fontId="1" type="noConversion"/>
  </si>
  <si>
    <t>AUS GIRL ISSUED BY TARLO FOR COMPLAINT</t>
    <phoneticPr fontId="1" type="noConversion"/>
  </si>
  <si>
    <t>MAR20/13</t>
    <phoneticPr fontId="1" type="noConversion"/>
  </si>
  <si>
    <t>MAR20/15</t>
    <phoneticPr fontId="1" type="noConversion"/>
  </si>
  <si>
    <t>CHN GIRL</t>
    <phoneticPr fontId="1" type="noConversion"/>
  </si>
  <si>
    <t xml:space="preserve"> BLUE BMW SUV</t>
    <phoneticPr fontId="1" type="noConversion"/>
  </si>
  <si>
    <t>MISSED</t>
    <phoneticPr fontId="1" type="noConversion"/>
  </si>
  <si>
    <t>MAR22/13</t>
    <phoneticPr fontId="1" type="noConversion"/>
  </si>
  <si>
    <t>MAR22/15</t>
    <phoneticPr fontId="1" type="noConversion"/>
  </si>
  <si>
    <t>MAR24/13</t>
    <phoneticPr fontId="1" type="noConversion"/>
  </si>
  <si>
    <t>MAR24/15</t>
    <phoneticPr fontId="1" type="noConversion"/>
  </si>
  <si>
    <t>MAR25/13</t>
    <phoneticPr fontId="1" type="noConversion"/>
  </si>
  <si>
    <t>MAR25/15</t>
    <phoneticPr fontId="1" type="noConversion"/>
  </si>
  <si>
    <t>white lxs</t>
    <phoneticPr fontId="1" type="noConversion"/>
  </si>
  <si>
    <t xml:space="preserve">chn girl </t>
    <phoneticPr fontId="1" type="noConversion"/>
  </si>
  <si>
    <t>1300346으로 PRINT 되있음.</t>
    <phoneticPr fontId="1" type="noConversion"/>
  </si>
  <si>
    <t>MAR26/13</t>
    <phoneticPr fontId="1" type="noConversion"/>
  </si>
  <si>
    <t>MAR26/15</t>
    <phoneticPr fontId="1" type="noConversion"/>
  </si>
  <si>
    <t>MZD</t>
    <phoneticPr fontId="1" type="noConversion"/>
  </si>
  <si>
    <t>DLX TWICE</t>
    <phoneticPr fontId="1" type="noConversion"/>
  </si>
  <si>
    <t>Tarlo miss order</t>
    <phoneticPr fontId="1" type="noConversion"/>
  </si>
  <si>
    <t>MAR27/13</t>
    <phoneticPr fontId="1" type="noConversion"/>
  </si>
  <si>
    <t>MAR27/15</t>
    <phoneticPr fontId="1" type="noConversion"/>
  </si>
  <si>
    <t>gray golf</t>
    <phoneticPr fontId="1" type="noConversion"/>
  </si>
  <si>
    <t>3월 합계</t>
    <phoneticPr fontId="1" type="noConversion"/>
  </si>
  <si>
    <t>30장</t>
    <phoneticPr fontId="1" type="noConversion"/>
  </si>
  <si>
    <t>APR02/13</t>
    <phoneticPr fontId="1" type="noConversion"/>
  </si>
  <si>
    <t>APR02/15</t>
    <phoneticPr fontId="1" type="noConversion"/>
  </si>
  <si>
    <t>GRAY AUDI SUV</t>
    <phoneticPr fontId="1" type="noConversion"/>
  </si>
  <si>
    <t>APR04/13</t>
    <phoneticPr fontId="1" type="noConversion"/>
  </si>
  <si>
    <t>JUL 04/13</t>
    <phoneticPr fontId="1" type="noConversion"/>
  </si>
  <si>
    <t>Chris MULTI-DLX, 1 BUFF</t>
  </si>
  <si>
    <t>APR06/13</t>
    <phoneticPr fontId="1" type="noConversion"/>
  </si>
  <si>
    <t>APR05/15</t>
    <phoneticPr fontId="1" type="noConversion"/>
  </si>
  <si>
    <t>A</t>
    <phoneticPr fontId="1" type="noConversion"/>
  </si>
  <si>
    <t>M</t>
    <phoneticPr fontId="1" type="noConversion"/>
  </si>
  <si>
    <t>P</t>
    <phoneticPr fontId="1" type="noConversion"/>
  </si>
  <si>
    <t>L</t>
    <phoneticPr fontId="1" type="noConversion"/>
  </si>
  <si>
    <t>E</t>
    <phoneticPr fontId="1" type="noConversion"/>
  </si>
  <si>
    <t>APR09/13</t>
    <phoneticPr fontId="1" type="noConversion"/>
  </si>
  <si>
    <t>Counter door</t>
    <phoneticPr fontId="1" type="noConversion"/>
  </si>
  <si>
    <t>사장님 회수 20/11/13</t>
    <phoneticPr fontId="1" type="noConversion"/>
  </si>
  <si>
    <t>Counter stand</t>
    <phoneticPr fontId="1" type="noConversion"/>
  </si>
  <si>
    <t>APR13/13</t>
    <phoneticPr fontId="1" type="noConversion"/>
  </si>
  <si>
    <t>APR13/15</t>
    <phoneticPr fontId="1" type="noConversion"/>
  </si>
  <si>
    <t>APR14/13</t>
    <phoneticPr fontId="1" type="noConversion"/>
  </si>
  <si>
    <t>APR14/15</t>
    <phoneticPr fontId="1" type="noConversion"/>
  </si>
  <si>
    <t>APR23/13</t>
    <phoneticPr fontId="1" type="noConversion"/>
  </si>
  <si>
    <t>APR23/15</t>
    <phoneticPr fontId="1" type="noConversion"/>
  </si>
  <si>
    <t>APR27/13</t>
    <phoneticPr fontId="1" type="noConversion"/>
  </si>
  <si>
    <t>APR27/15</t>
    <phoneticPr fontId="1" type="noConversion"/>
  </si>
  <si>
    <t>Brown BMW</t>
    <phoneticPr fontId="1" type="noConversion"/>
  </si>
  <si>
    <t>APR28/13</t>
    <phoneticPr fontId="1" type="noConversion"/>
  </si>
  <si>
    <t>APR28/15</t>
    <phoneticPr fontId="1" type="noConversion"/>
  </si>
  <si>
    <t>3*45+2*50</t>
    <phoneticPr fontId="1" type="noConversion"/>
  </si>
  <si>
    <t>APR29/13</t>
    <phoneticPr fontId="1" type="noConversion"/>
  </si>
  <si>
    <t>APR29/15</t>
    <phoneticPr fontId="1" type="noConversion"/>
  </si>
  <si>
    <t>4월 합계</t>
    <phoneticPr fontId="1" type="noConversion"/>
  </si>
  <si>
    <t>15장</t>
    <phoneticPr fontId="1" type="noConversion"/>
  </si>
  <si>
    <t>MAY02/13</t>
    <phoneticPr fontId="1" type="noConversion"/>
  </si>
  <si>
    <t>MAY02/15</t>
    <phoneticPr fontId="1" type="noConversion"/>
  </si>
  <si>
    <t>MAY03/13</t>
    <phoneticPr fontId="1" type="noConversion"/>
  </si>
  <si>
    <t>MAY03/15</t>
    <phoneticPr fontId="1" type="noConversion"/>
  </si>
  <si>
    <t>RED MERC</t>
    <phoneticPr fontId="1" type="noConversion"/>
  </si>
  <si>
    <t>RED MINI</t>
    <phoneticPr fontId="1" type="noConversion"/>
  </si>
  <si>
    <t>MAY04/13</t>
    <phoneticPr fontId="1" type="noConversion"/>
  </si>
  <si>
    <t>MAY04/15</t>
    <phoneticPr fontId="1" type="noConversion"/>
  </si>
  <si>
    <t>BLK SUBARU</t>
    <phoneticPr fontId="1" type="noConversion"/>
  </si>
  <si>
    <t>MAY09/13</t>
    <phoneticPr fontId="1" type="noConversion"/>
  </si>
  <si>
    <t>MAY11/13</t>
    <phoneticPr fontId="1" type="noConversion"/>
  </si>
  <si>
    <t>MAY11/15</t>
    <phoneticPr fontId="1" type="noConversion"/>
  </si>
  <si>
    <t>MAY12/13</t>
    <phoneticPr fontId="1" type="noConversion"/>
  </si>
  <si>
    <t>MAY12/15</t>
    <phoneticPr fontId="1" type="noConversion"/>
  </si>
  <si>
    <t>MAY18/13</t>
    <phoneticPr fontId="1" type="noConversion"/>
  </si>
  <si>
    <t>MAY18/15</t>
    <phoneticPr fontId="1" type="noConversion"/>
  </si>
  <si>
    <t>DLX ONCE</t>
    <phoneticPr fontId="1" type="noConversion"/>
  </si>
  <si>
    <t>done at 01/07</t>
    <phoneticPr fontId="1" type="noConversion"/>
  </si>
  <si>
    <t>White Merc dent complaint</t>
    <phoneticPr fontId="1" type="noConversion"/>
  </si>
  <si>
    <t>MAY19/13</t>
    <phoneticPr fontId="1" type="noConversion"/>
  </si>
  <si>
    <t>MAY19/15</t>
    <phoneticPr fontId="1" type="noConversion"/>
  </si>
  <si>
    <t>SILVER SUV DENT COMPLAINT</t>
    <phoneticPr fontId="1" type="noConversion"/>
  </si>
  <si>
    <t>WASH ONLY ONCE</t>
    <phoneticPr fontId="1" type="noConversion"/>
  </si>
  <si>
    <t>DLX COMPLAINT</t>
    <phoneticPr fontId="1" type="noConversion"/>
  </si>
  <si>
    <t>DONE 27/08/13</t>
    <phoneticPr fontId="1" type="noConversion"/>
  </si>
  <si>
    <t>MAY25/13</t>
    <phoneticPr fontId="1" type="noConversion"/>
  </si>
  <si>
    <t>MAY25/15</t>
    <phoneticPr fontId="1" type="noConversion"/>
  </si>
  <si>
    <t>MAY26/13</t>
    <phoneticPr fontId="1" type="noConversion"/>
  </si>
  <si>
    <t>MAY26/15</t>
    <phoneticPr fontId="1" type="noConversion"/>
  </si>
  <si>
    <t>MAY28/13</t>
    <phoneticPr fontId="1" type="noConversion"/>
  </si>
  <si>
    <t>MAY28/15</t>
    <phoneticPr fontId="1" type="noConversion"/>
  </si>
  <si>
    <t>MAY30/13</t>
    <phoneticPr fontId="1" type="noConversion"/>
  </si>
  <si>
    <t>MAY30/15</t>
    <phoneticPr fontId="1" type="noConversion"/>
  </si>
  <si>
    <t>5월 합계</t>
    <phoneticPr fontId="1" type="noConversion"/>
  </si>
  <si>
    <t>26장</t>
    <phoneticPr fontId="1" type="noConversion"/>
  </si>
  <si>
    <t>JUN06/13</t>
    <phoneticPr fontId="1" type="noConversion"/>
  </si>
  <si>
    <t>JUN06/15</t>
    <phoneticPr fontId="1" type="noConversion"/>
  </si>
  <si>
    <t>JUN08/13</t>
    <phoneticPr fontId="1" type="noConversion"/>
  </si>
  <si>
    <t>JUN08/15</t>
    <phoneticPr fontId="1" type="noConversion"/>
  </si>
  <si>
    <t>JUN09/13</t>
    <phoneticPr fontId="1" type="noConversion"/>
  </si>
  <si>
    <t>JUN09/15</t>
    <phoneticPr fontId="1" type="noConversion"/>
  </si>
  <si>
    <t>JUN10/13</t>
    <phoneticPr fontId="1" type="noConversion"/>
  </si>
  <si>
    <t>JUN10/15</t>
    <phoneticPr fontId="1" type="noConversion"/>
  </si>
  <si>
    <t>JUN11/13</t>
    <phoneticPr fontId="1" type="noConversion"/>
  </si>
  <si>
    <t>JUN11/15</t>
    <phoneticPr fontId="1" type="noConversion"/>
  </si>
  <si>
    <t>JUN14/13</t>
    <phoneticPr fontId="1" type="noConversion"/>
  </si>
  <si>
    <t>JUN14/15</t>
    <phoneticPr fontId="1" type="noConversion"/>
  </si>
  <si>
    <t>EDITE</t>
    <phoneticPr fontId="1" type="noConversion"/>
  </si>
  <si>
    <t>JANE</t>
    <phoneticPr fontId="1" type="noConversion"/>
  </si>
  <si>
    <t>CHN LADY</t>
    <phoneticPr fontId="1" type="noConversion"/>
  </si>
  <si>
    <t>JUN16/13</t>
    <phoneticPr fontId="1" type="noConversion"/>
  </si>
  <si>
    <t>JUN16/15</t>
    <phoneticPr fontId="1" type="noConversion"/>
  </si>
  <si>
    <t>JUN23/13</t>
    <phoneticPr fontId="1" type="noConversion"/>
  </si>
  <si>
    <t>JUN23/15</t>
    <phoneticPr fontId="1" type="noConversion"/>
  </si>
  <si>
    <t>훼손/미사용</t>
    <phoneticPr fontId="1" type="noConversion"/>
  </si>
  <si>
    <t>사장님 회수</t>
    <phoneticPr fontId="1" type="noConversion"/>
  </si>
  <si>
    <t>DLX</t>
    <phoneticPr fontId="1" type="noConversion"/>
  </si>
  <si>
    <t>Tarlo Damage $500 Detail on Honda Prelude</t>
    <phoneticPr fontId="1" type="noConversion"/>
  </si>
  <si>
    <t>JUN25/13</t>
    <phoneticPr fontId="1" type="noConversion"/>
  </si>
  <si>
    <t>JUN25/15</t>
    <phoneticPr fontId="1" type="noConversion"/>
  </si>
  <si>
    <t>120070//120079까지 10장을 13xxxx로 수기 수정했으나 120070//120079로 간주</t>
    <phoneticPr fontId="1" type="noConversion"/>
  </si>
  <si>
    <t>#1300347 오타는 #130049임</t>
    <phoneticPr fontId="1" type="noConversion"/>
  </si>
  <si>
    <t>#1300344 오타는 #130044임</t>
    <phoneticPr fontId="1" type="noConversion"/>
  </si>
  <si>
    <t>#1300346 오타는 #130046임</t>
    <phoneticPr fontId="1" type="noConversion"/>
  </si>
  <si>
    <t>#1300349 오타는 #130049임</t>
    <phoneticPr fontId="1" type="noConversion"/>
  </si>
  <si>
    <t>left</t>
    <phoneticPr fontId="1" type="noConversion"/>
  </si>
  <si>
    <t>JUL01/13</t>
  </si>
  <si>
    <t>JUL01/15</t>
  </si>
  <si>
    <t>JUL02/13</t>
  </si>
  <si>
    <t>JUL02/15</t>
  </si>
  <si>
    <t>JUL04/13</t>
  </si>
  <si>
    <t>JUL04/15</t>
  </si>
  <si>
    <t>JUL06/13</t>
  </si>
  <si>
    <t>JUL06/15</t>
  </si>
  <si>
    <t>JUL07/13</t>
  </si>
  <si>
    <t>JUL07/15</t>
  </si>
  <si>
    <t>JUL11/15</t>
  </si>
  <si>
    <t>JUL20/13</t>
    <phoneticPr fontId="1" type="noConversion"/>
  </si>
  <si>
    <t>JUL20/15</t>
    <phoneticPr fontId="1" type="noConversion"/>
  </si>
  <si>
    <t>$10 OVER CHARGE VOUCHER</t>
  </si>
  <si>
    <t>JUL13/13</t>
  </si>
  <si>
    <t>JUL13/14</t>
  </si>
  <si>
    <t>V.O $20을 $30 Charge 했음</t>
  </si>
  <si>
    <t>JUL17/13</t>
    <phoneticPr fontId="1" type="noConversion"/>
  </si>
  <si>
    <t>JUL17/15</t>
    <phoneticPr fontId="1" type="noConversion"/>
  </si>
  <si>
    <t>JUL21/13</t>
    <phoneticPr fontId="1" type="noConversion"/>
  </si>
  <si>
    <t>JUL21/15</t>
    <phoneticPr fontId="1" type="noConversion"/>
  </si>
  <si>
    <t>JUL27/13</t>
    <phoneticPr fontId="1" type="noConversion"/>
  </si>
  <si>
    <t>JUL27/15</t>
    <phoneticPr fontId="1" type="noConversion"/>
  </si>
  <si>
    <t>JUL28/13</t>
    <phoneticPr fontId="1" type="noConversion"/>
  </si>
  <si>
    <t>JUL28/15</t>
    <phoneticPr fontId="1" type="noConversion"/>
  </si>
  <si>
    <t>HP comp for coin misssing</t>
    <phoneticPr fontId="1" type="noConversion"/>
  </si>
  <si>
    <t>AUG06/13</t>
    <phoneticPr fontId="1" type="noConversion"/>
  </si>
  <si>
    <t>DONE</t>
    <phoneticPr fontId="1" type="noConversion"/>
  </si>
  <si>
    <t xml:space="preserve">JASON </t>
    <phoneticPr fontId="1" type="noConversion"/>
  </si>
  <si>
    <t>0428 736 003</t>
    <phoneticPr fontId="1" type="noConversion"/>
  </si>
  <si>
    <t>BLK LANDROVER</t>
    <phoneticPr fontId="1" type="noConversion"/>
  </si>
  <si>
    <t>DLX COMP for not clean</t>
    <phoneticPr fontId="1" type="noConversion"/>
  </si>
  <si>
    <t>AUG11/13</t>
    <phoneticPr fontId="1" type="noConversion"/>
  </si>
  <si>
    <t>AUG11/15</t>
    <phoneticPr fontId="1" type="noConversion"/>
  </si>
  <si>
    <t>AUG12/13</t>
    <phoneticPr fontId="1" type="noConversion"/>
  </si>
  <si>
    <t>AUG12/15</t>
    <phoneticPr fontId="1" type="noConversion"/>
  </si>
  <si>
    <t>AUG15/13</t>
    <phoneticPr fontId="1" type="noConversion"/>
  </si>
  <si>
    <t>AUG15/15</t>
    <phoneticPr fontId="1" type="noConversion"/>
  </si>
  <si>
    <t>HP COMP for scratch argument</t>
    <phoneticPr fontId="1" type="noConversion"/>
  </si>
  <si>
    <t>BLACK AUDI</t>
    <phoneticPr fontId="1" type="noConversion"/>
  </si>
  <si>
    <t>AUG20/13</t>
    <phoneticPr fontId="1" type="noConversion"/>
  </si>
  <si>
    <t>AUG20/15</t>
    <phoneticPr fontId="1" type="noConversion"/>
  </si>
  <si>
    <t>AUG27/13</t>
    <phoneticPr fontId="1" type="noConversion"/>
  </si>
  <si>
    <t>AUG27/15</t>
    <phoneticPr fontId="1" type="noConversion"/>
  </si>
  <si>
    <t>AUG31/13</t>
    <phoneticPr fontId="1" type="noConversion"/>
  </si>
  <si>
    <t>AUG31/15</t>
    <phoneticPr fontId="1" type="noConversion"/>
  </si>
  <si>
    <t>SEP01/13</t>
    <phoneticPr fontId="1" type="noConversion"/>
  </si>
  <si>
    <t>SEP01/15</t>
    <phoneticPr fontId="1" type="noConversion"/>
  </si>
  <si>
    <t>SEP 06/13</t>
    <phoneticPr fontId="1" type="noConversion"/>
  </si>
  <si>
    <t>SEP06/15</t>
    <phoneticPr fontId="1" type="noConversion"/>
  </si>
  <si>
    <t>SEP06/13</t>
    <phoneticPr fontId="1" type="noConversion"/>
  </si>
  <si>
    <t>GA 긴급 불출 5장 Kate 전달, 윤석 수령 08/09/2013</t>
    <phoneticPr fontId="1" type="noConversion"/>
  </si>
  <si>
    <t>SEP09/13</t>
    <phoneticPr fontId="1" type="noConversion"/>
  </si>
  <si>
    <t>SEP09/15</t>
    <phoneticPr fontId="1" type="noConversion"/>
  </si>
  <si>
    <t>SEP 12/13</t>
    <phoneticPr fontId="1" type="noConversion"/>
  </si>
  <si>
    <t>SEP12/15</t>
    <phoneticPr fontId="1" type="noConversion"/>
  </si>
  <si>
    <t>SEP15/13</t>
    <phoneticPr fontId="1" type="noConversion"/>
  </si>
  <si>
    <t>SEP15/15</t>
    <phoneticPr fontId="1" type="noConversion"/>
  </si>
  <si>
    <t>Comp</t>
    <phoneticPr fontId="1" type="noConversion"/>
  </si>
  <si>
    <t>SEP19/13</t>
    <phoneticPr fontId="1" type="noConversion"/>
  </si>
  <si>
    <t>SEP19/15</t>
    <phoneticPr fontId="1" type="noConversion"/>
  </si>
  <si>
    <t>Paint damage complaint (not proved) Ms May</t>
    <phoneticPr fontId="1" type="noConversion"/>
  </si>
  <si>
    <t>SEP20/13</t>
    <phoneticPr fontId="1" type="noConversion"/>
  </si>
  <si>
    <t>SEP20/15</t>
    <phoneticPr fontId="1" type="noConversion"/>
  </si>
  <si>
    <t>SEP22/13</t>
    <phoneticPr fontId="1" type="noConversion"/>
  </si>
  <si>
    <t>SEP22/15</t>
    <phoneticPr fontId="1" type="noConversion"/>
  </si>
  <si>
    <t>SEP24/13</t>
    <phoneticPr fontId="1" type="noConversion"/>
  </si>
  <si>
    <t>SEP24/15</t>
    <phoneticPr fontId="1" type="noConversion"/>
  </si>
  <si>
    <t>SEP14/13</t>
    <phoneticPr fontId="1" type="noConversion"/>
  </si>
  <si>
    <t>SEP14/15</t>
    <phoneticPr fontId="1" type="noConversion"/>
  </si>
  <si>
    <t>SEP26/13</t>
    <phoneticPr fontId="1" type="noConversion"/>
  </si>
  <si>
    <t>SEP26/15</t>
    <phoneticPr fontId="1" type="noConversion"/>
  </si>
  <si>
    <t>SEP27/13</t>
    <phoneticPr fontId="1" type="noConversion"/>
  </si>
  <si>
    <t>SEP27/15</t>
    <phoneticPr fontId="1" type="noConversion"/>
  </si>
  <si>
    <t xml:space="preserve">동전 도난 </t>
    <phoneticPr fontId="1" type="noConversion"/>
  </si>
  <si>
    <t>SEP28/13</t>
    <phoneticPr fontId="1" type="noConversion"/>
  </si>
  <si>
    <t>SEP28/15</t>
    <phoneticPr fontId="1" type="noConversion"/>
  </si>
  <si>
    <t>OCT02/13</t>
    <phoneticPr fontId="1" type="noConversion"/>
  </si>
  <si>
    <t>OCT02/15</t>
    <phoneticPr fontId="1" type="noConversion"/>
  </si>
  <si>
    <t>ATG AUDI R8</t>
    <phoneticPr fontId="1" type="noConversion"/>
  </si>
  <si>
    <t>OCT 04/13</t>
    <phoneticPr fontId="1" type="noConversion"/>
  </si>
  <si>
    <t>OCT04/15</t>
    <phoneticPr fontId="1" type="noConversion"/>
  </si>
  <si>
    <t>OCT 06/13</t>
    <phoneticPr fontId="1" type="noConversion"/>
  </si>
  <si>
    <t>OCT06/15</t>
    <phoneticPr fontId="1" type="noConversion"/>
  </si>
  <si>
    <t>OCT 09/13</t>
    <phoneticPr fontId="1" type="noConversion"/>
  </si>
  <si>
    <t>OCT09/15</t>
    <phoneticPr fontId="1" type="noConversion"/>
  </si>
  <si>
    <t>OCT 12/13</t>
    <phoneticPr fontId="1" type="noConversion"/>
  </si>
  <si>
    <t>OCT12/15</t>
    <phoneticPr fontId="1" type="noConversion"/>
  </si>
  <si>
    <t>OCT 15/13</t>
    <phoneticPr fontId="1" type="noConversion"/>
  </si>
  <si>
    <t>OCT13/15</t>
    <phoneticPr fontId="1" type="noConversion"/>
  </si>
  <si>
    <t>OCT 13/13</t>
    <phoneticPr fontId="1" type="noConversion"/>
  </si>
  <si>
    <t>OCT 14/13</t>
    <phoneticPr fontId="1" type="noConversion"/>
  </si>
  <si>
    <t>OCT14/15</t>
    <phoneticPr fontId="1" type="noConversion"/>
  </si>
  <si>
    <t>OCT 19/13</t>
    <phoneticPr fontId="1" type="noConversion"/>
  </si>
  <si>
    <t>OCT19/15</t>
    <phoneticPr fontId="1" type="noConversion"/>
  </si>
  <si>
    <t>OCT 21/13</t>
    <phoneticPr fontId="1" type="noConversion"/>
  </si>
  <si>
    <t>OCT21/15</t>
    <phoneticPr fontId="1" type="noConversion"/>
  </si>
  <si>
    <t>OCT 23/13</t>
    <phoneticPr fontId="1" type="noConversion"/>
  </si>
  <si>
    <t>OCT 23/15</t>
    <phoneticPr fontId="1" type="noConversion"/>
  </si>
  <si>
    <t>MRS CHEN HP GV</t>
    <phoneticPr fontId="1" type="noConversion"/>
  </si>
  <si>
    <t>C</t>
    <phoneticPr fontId="1" type="noConversion"/>
  </si>
  <si>
    <t>O</t>
    <phoneticPr fontId="1" type="noConversion"/>
  </si>
  <si>
    <t xml:space="preserve"> 사장님</t>
    <phoneticPr fontId="1" type="noConversion"/>
  </si>
  <si>
    <t>OCT 26/13</t>
    <phoneticPr fontId="1" type="noConversion"/>
  </si>
  <si>
    <t>OCT 26/15</t>
    <phoneticPr fontId="1" type="noConversion"/>
  </si>
  <si>
    <t>OCT 28/13</t>
    <phoneticPr fontId="1" type="noConversion"/>
  </si>
  <si>
    <t>OCT 28/15</t>
    <phoneticPr fontId="1" type="noConversion"/>
  </si>
  <si>
    <t>NOV 01/13</t>
    <phoneticPr fontId="1" type="noConversion"/>
  </si>
  <si>
    <t>NOV01/15</t>
    <phoneticPr fontId="1" type="noConversion"/>
  </si>
  <si>
    <t>WINDSHIELD IS250</t>
    <phoneticPr fontId="1" type="noConversion"/>
  </si>
  <si>
    <t>NOV 07/13</t>
    <phoneticPr fontId="1" type="noConversion"/>
  </si>
  <si>
    <t>NOV06/15</t>
    <phoneticPr fontId="1" type="noConversion"/>
  </si>
  <si>
    <t>NOV 08/13</t>
    <phoneticPr fontId="1" type="noConversion"/>
  </si>
  <si>
    <t>NOV08/15</t>
    <phoneticPr fontId="1" type="noConversion"/>
  </si>
  <si>
    <t>NOV 09/13</t>
    <phoneticPr fontId="1" type="noConversion"/>
  </si>
  <si>
    <t>NOV09/15</t>
    <phoneticPr fontId="1" type="noConversion"/>
  </si>
  <si>
    <t>NOV 12/13</t>
    <phoneticPr fontId="1" type="noConversion"/>
  </si>
  <si>
    <t>NOV12/15</t>
    <phoneticPr fontId="1" type="noConversion"/>
  </si>
  <si>
    <t>NOV 14/13</t>
    <phoneticPr fontId="1" type="noConversion"/>
  </si>
  <si>
    <t>NOV14/15</t>
    <phoneticPr fontId="1" type="noConversion"/>
  </si>
  <si>
    <t>NOV 16/13</t>
    <phoneticPr fontId="1" type="noConversion"/>
  </si>
  <si>
    <t>NOV16/15</t>
    <phoneticPr fontId="1" type="noConversion"/>
  </si>
  <si>
    <t>NOV 20/13</t>
    <phoneticPr fontId="1" type="noConversion"/>
  </si>
  <si>
    <t>B2 COUNTER</t>
    <phoneticPr fontId="1" type="noConversion"/>
  </si>
  <si>
    <t>B2 OFFICE DOOR</t>
    <phoneticPr fontId="1" type="noConversion"/>
  </si>
  <si>
    <t>NOV 21/13</t>
    <phoneticPr fontId="1" type="noConversion"/>
  </si>
  <si>
    <t>NOV 21/15</t>
    <phoneticPr fontId="1" type="noConversion"/>
  </si>
  <si>
    <t>NOV 27/13</t>
    <phoneticPr fontId="1" type="noConversion"/>
  </si>
  <si>
    <t>NOV 27/15</t>
    <phoneticPr fontId="1" type="noConversion"/>
  </si>
  <si>
    <t>DEC 01/13</t>
    <phoneticPr fontId="1" type="noConversion"/>
  </si>
  <si>
    <t>DEC 01/15</t>
    <phoneticPr fontId="1" type="noConversion"/>
  </si>
  <si>
    <t>DEC 03/13</t>
    <phoneticPr fontId="1" type="noConversion"/>
  </si>
  <si>
    <t>DEC 03/15</t>
    <phoneticPr fontId="1" type="noConversion"/>
  </si>
  <si>
    <t>DEC 05/13</t>
    <phoneticPr fontId="1" type="noConversion"/>
  </si>
  <si>
    <t>DEC 05/15</t>
    <phoneticPr fontId="1" type="noConversion"/>
  </si>
  <si>
    <t>DEC 06/13</t>
    <phoneticPr fontId="1" type="noConversion"/>
  </si>
  <si>
    <t>DEC 06/15</t>
    <phoneticPr fontId="1" type="noConversion"/>
  </si>
  <si>
    <t>DEC 07/13</t>
    <phoneticPr fontId="1" type="noConversion"/>
  </si>
  <si>
    <t>DEC 07/15</t>
    <phoneticPr fontId="1" type="noConversion"/>
  </si>
  <si>
    <t>DEC 08/13</t>
    <phoneticPr fontId="1" type="noConversion"/>
  </si>
  <si>
    <t>DEC 08/15</t>
    <phoneticPr fontId="1" type="noConversion"/>
  </si>
  <si>
    <t>DEC 10/13</t>
    <phoneticPr fontId="1" type="noConversion"/>
  </si>
  <si>
    <t>DEC 10/15</t>
    <phoneticPr fontId="1" type="noConversion"/>
  </si>
  <si>
    <t>DEC 12/13</t>
    <phoneticPr fontId="1" type="noConversion"/>
  </si>
  <si>
    <t>DEC 12/15</t>
    <phoneticPr fontId="1" type="noConversion"/>
  </si>
  <si>
    <t>comp DLX once</t>
    <phoneticPr fontId="1" type="noConversion"/>
  </si>
  <si>
    <t>DEC 14/13</t>
    <phoneticPr fontId="1" type="noConversion"/>
  </si>
  <si>
    <t>DEC 14/15</t>
    <phoneticPr fontId="1" type="noConversion"/>
  </si>
  <si>
    <t>DEC 15/13</t>
    <phoneticPr fontId="1" type="noConversion"/>
  </si>
  <si>
    <t>DEC 15/15</t>
    <phoneticPr fontId="1" type="noConversion"/>
  </si>
  <si>
    <t>DEC 16/13</t>
    <phoneticPr fontId="1" type="noConversion"/>
  </si>
  <si>
    <t>DEC 16/15</t>
    <phoneticPr fontId="1" type="noConversion"/>
  </si>
  <si>
    <t>DEC 17/13</t>
    <phoneticPr fontId="1" type="noConversion"/>
  </si>
  <si>
    <t>DEC 17/15</t>
    <phoneticPr fontId="1" type="noConversion"/>
  </si>
  <si>
    <t>DEC 19/13</t>
    <phoneticPr fontId="1" type="noConversion"/>
  </si>
  <si>
    <t>DEC 19/15</t>
    <phoneticPr fontId="1" type="noConversion"/>
  </si>
  <si>
    <t>DEC 21/13</t>
    <phoneticPr fontId="1" type="noConversion"/>
  </si>
  <si>
    <t>DEC 21/15</t>
    <phoneticPr fontId="1" type="noConversion"/>
  </si>
  <si>
    <t>DEC 22/13</t>
    <phoneticPr fontId="1" type="noConversion"/>
  </si>
  <si>
    <t>DEC 22/15</t>
    <phoneticPr fontId="1" type="noConversion"/>
  </si>
  <si>
    <t>DEC 23/13</t>
    <phoneticPr fontId="1" type="noConversion"/>
  </si>
  <si>
    <t>DEC 23/15</t>
    <phoneticPr fontId="1" type="noConversion"/>
  </si>
  <si>
    <t>Ruwan</t>
    <phoneticPr fontId="1" type="noConversion"/>
  </si>
  <si>
    <t>0405 223 245</t>
    <phoneticPr fontId="1" type="noConversion"/>
  </si>
  <si>
    <t>ruwan w@me.com</t>
    <phoneticPr fontId="1" type="noConversion"/>
  </si>
  <si>
    <t>DEC 29/13</t>
    <phoneticPr fontId="1" type="noConversion"/>
  </si>
  <si>
    <t>DEC 30/13</t>
    <phoneticPr fontId="1" type="noConversion"/>
  </si>
  <si>
    <t>DEC 30/15</t>
    <phoneticPr fontId="1" type="noConversion"/>
  </si>
  <si>
    <t>DEC 31/13</t>
    <phoneticPr fontId="1" type="noConversion"/>
  </si>
  <si>
    <t>DEC 31/15</t>
    <phoneticPr fontId="1" type="noConversion"/>
  </si>
  <si>
    <t>B2 special voucher B2 001-009 9장 HB 불출</t>
  </si>
  <si>
    <t>HB 긴급 오픈 지원</t>
  </si>
  <si>
    <t>GA special voucher GA 001-009 9장 GA 불출</t>
  </si>
  <si>
    <t>2013 FATHER'S DAY 준비용</t>
  </si>
  <si>
    <t>JAN 02/14</t>
    <phoneticPr fontId="1" type="noConversion"/>
  </si>
  <si>
    <t>JAN 02/16</t>
    <phoneticPr fontId="1" type="noConversion"/>
  </si>
  <si>
    <t>Done 03/01/2014</t>
    <phoneticPr fontId="1" type="noConversion"/>
  </si>
  <si>
    <t>JAN 05/14</t>
    <phoneticPr fontId="1" type="noConversion"/>
  </si>
  <si>
    <t>JAN 05/16</t>
    <phoneticPr fontId="1" type="noConversion"/>
  </si>
  <si>
    <t>JAN 12/14</t>
    <phoneticPr fontId="1" type="noConversion"/>
  </si>
  <si>
    <t>JAN 12/16</t>
    <phoneticPr fontId="1" type="noConversion"/>
  </si>
  <si>
    <t>JAN 15/14</t>
    <phoneticPr fontId="1" type="noConversion"/>
  </si>
  <si>
    <t>JAN 15/16</t>
    <phoneticPr fontId="1" type="noConversion"/>
  </si>
  <si>
    <t>HP FOR 1</t>
    <phoneticPr fontId="1" type="noConversion"/>
  </si>
  <si>
    <t>EXTRA 1 DLX</t>
    <phoneticPr fontId="1" type="noConversion"/>
  </si>
  <si>
    <t>JAN 23/14</t>
    <phoneticPr fontId="1" type="noConversion"/>
  </si>
  <si>
    <t>JAN 23/16</t>
    <phoneticPr fontId="1" type="noConversion"/>
  </si>
  <si>
    <t>0/7</t>
    <phoneticPr fontId="1" type="noConversion"/>
  </si>
  <si>
    <t>JAN 25/14</t>
    <phoneticPr fontId="1" type="noConversion"/>
  </si>
  <si>
    <t>JAN 25/16</t>
    <phoneticPr fontId="1" type="noConversion"/>
  </si>
  <si>
    <t>JAN 27/14</t>
    <phoneticPr fontId="1" type="noConversion"/>
  </si>
  <si>
    <t>JAN 27/16</t>
    <phoneticPr fontId="1" type="noConversion"/>
  </si>
  <si>
    <t>JAN 28/14</t>
    <phoneticPr fontId="1" type="noConversion"/>
  </si>
  <si>
    <t>JAN 28/16</t>
    <phoneticPr fontId="1" type="noConversion"/>
  </si>
  <si>
    <t>`</t>
    <phoneticPr fontId="1" type="noConversion"/>
  </si>
  <si>
    <t>FEB 01/14</t>
    <phoneticPr fontId="1" type="noConversion"/>
  </si>
  <si>
    <t>FEB01/16</t>
    <phoneticPr fontId="1" type="noConversion"/>
  </si>
  <si>
    <t>FEB 03/14</t>
    <phoneticPr fontId="1" type="noConversion"/>
  </si>
  <si>
    <t>FEB 03/16</t>
    <phoneticPr fontId="1" type="noConversion"/>
  </si>
  <si>
    <t>FEB 07/14</t>
    <phoneticPr fontId="1" type="noConversion"/>
  </si>
  <si>
    <t>FEB 07/16</t>
    <phoneticPr fontId="1" type="noConversion"/>
  </si>
  <si>
    <t>FEB 07/14</t>
    <phoneticPr fontId="1" type="noConversion"/>
  </si>
  <si>
    <t>FEB 09/14</t>
    <phoneticPr fontId="1" type="noConversion"/>
  </si>
  <si>
    <t>FEB 09/16</t>
    <phoneticPr fontId="1" type="noConversion"/>
  </si>
  <si>
    <t>FEB 10/14</t>
    <phoneticPr fontId="1" type="noConversion"/>
  </si>
  <si>
    <t>FEB 10/16</t>
    <phoneticPr fontId="1" type="noConversion"/>
  </si>
  <si>
    <t>FEB 12/14</t>
    <phoneticPr fontId="1" type="noConversion"/>
  </si>
  <si>
    <t>FEB 12/16</t>
    <phoneticPr fontId="1" type="noConversion"/>
  </si>
  <si>
    <t>FEB 20/14</t>
    <phoneticPr fontId="1" type="noConversion"/>
  </si>
  <si>
    <t>FEB 20/16</t>
    <phoneticPr fontId="1" type="noConversion"/>
  </si>
  <si>
    <t>FEB 22/14</t>
    <phoneticPr fontId="1" type="noConversion"/>
  </si>
  <si>
    <t>FEB 23/14</t>
    <phoneticPr fontId="1" type="noConversion"/>
  </si>
  <si>
    <t>FEB 23/16</t>
    <phoneticPr fontId="1" type="noConversion"/>
  </si>
  <si>
    <t>FEB 22/16</t>
    <phoneticPr fontId="1" type="noConversion"/>
  </si>
  <si>
    <t>12//12</t>
    <phoneticPr fontId="1" type="noConversion"/>
  </si>
  <si>
    <t>24/02현재</t>
    <phoneticPr fontId="1" type="noConversion"/>
  </si>
  <si>
    <t>FEB 24/14</t>
    <phoneticPr fontId="1" type="noConversion"/>
  </si>
  <si>
    <t>FEB 27/14</t>
    <phoneticPr fontId="1" type="noConversion"/>
  </si>
  <si>
    <t>FEB 27/16</t>
    <phoneticPr fontId="1" type="noConversion"/>
  </si>
  <si>
    <t>Comp. DLX once for complaint</t>
    <phoneticPr fontId="1" type="noConversion"/>
  </si>
  <si>
    <t>MAR 05/14</t>
    <phoneticPr fontId="1" type="noConversion"/>
  </si>
  <si>
    <t>MAR 05/16</t>
    <phoneticPr fontId="1" type="noConversion"/>
  </si>
  <si>
    <t>MAR 04/14</t>
    <phoneticPr fontId="1" type="noConversion"/>
  </si>
  <si>
    <t>MAR 04/16</t>
    <phoneticPr fontId="1" type="noConversion"/>
  </si>
  <si>
    <t>MAR 07/14</t>
    <phoneticPr fontId="1" type="noConversion"/>
  </si>
  <si>
    <t>MAR 07/16</t>
    <phoneticPr fontId="1" type="noConversion"/>
  </si>
  <si>
    <t>MAR 08/14</t>
    <phoneticPr fontId="1" type="noConversion"/>
  </si>
  <si>
    <t>MAR 08/16</t>
    <phoneticPr fontId="1" type="noConversion"/>
  </si>
  <si>
    <t>MAR 11/14</t>
    <phoneticPr fontId="1" type="noConversion"/>
  </si>
  <si>
    <t>MAR 11/16</t>
    <phoneticPr fontId="1" type="noConversion"/>
  </si>
  <si>
    <t>MAR 12/14</t>
    <phoneticPr fontId="1" type="noConversion"/>
  </si>
  <si>
    <t>MAR 12/16</t>
    <phoneticPr fontId="1" type="noConversion"/>
  </si>
  <si>
    <t>MAR 13/14</t>
    <phoneticPr fontId="1" type="noConversion"/>
  </si>
  <si>
    <t>MAR 13/16</t>
    <phoneticPr fontId="1" type="noConversion"/>
  </si>
  <si>
    <t>MAR 14/14</t>
    <phoneticPr fontId="1" type="noConversion"/>
  </si>
  <si>
    <t>MAR 14/16</t>
    <phoneticPr fontId="1" type="noConversion"/>
  </si>
  <si>
    <t>MAR 15/14</t>
    <phoneticPr fontId="1" type="noConversion"/>
  </si>
  <si>
    <t>MAR 15/16</t>
    <phoneticPr fontId="1" type="noConversion"/>
  </si>
  <si>
    <t>MAR 16/14</t>
    <phoneticPr fontId="1" type="noConversion"/>
  </si>
  <si>
    <t>MAR 16/16</t>
    <phoneticPr fontId="1" type="noConversion"/>
  </si>
  <si>
    <t>MAR 17/14</t>
    <phoneticPr fontId="1" type="noConversion"/>
  </si>
  <si>
    <t>MAR 17/16</t>
    <phoneticPr fontId="1" type="noConversion"/>
  </si>
  <si>
    <t>MAR 22/14</t>
    <phoneticPr fontId="1" type="noConversion"/>
  </si>
  <si>
    <t>MAR 22/16</t>
    <phoneticPr fontId="1" type="noConversion"/>
  </si>
  <si>
    <t xml:space="preserve">DONE </t>
    <phoneticPr fontId="1" type="noConversion"/>
  </si>
  <si>
    <t>JAN 18/14</t>
    <phoneticPr fontId="1" type="noConversion"/>
  </si>
  <si>
    <t>JAN 18/16</t>
    <phoneticPr fontId="1" type="noConversion"/>
  </si>
  <si>
    <t>JAN 19/14</t>
    <phoneticPr fontId="1" type="noConversion"/>
  </si>
  <si>
    <t>JAN 19/16</t>
    <phoneticPr fontId="1" type="noConversion"/>
  </si>
  <si>
    <t>MAR 29/14</t>
    <phoneticPr fontId="1" type="noConversion"/>
  </si>
  <si>
    <t>MAR 29/16</t>
    <phoneticPr fontId="1" type="noConversion"/>
  </si>
  <si>
    <t>MAR 31/14</t>
    <phoneticPr fontId="1" type="noConversion"/>
  </si>
  <si>
    <t>MAR 31/16</t>
    <phoneticPr fontId="1" type="noConversion"/>
  </si>
  <si>
    <t>DANIEL</t>
    <phoneticPr fontId="1" type="noConversion"/>
  </si>
  <si>
    <t>APR 04/14</t>
    <phoneticPr fontId="1" type="noConversion"/>
  </si>
  <si>
    <t>APR 04/16</t>
    <phoneticPr fontId="1" type="noConversion"/>
  </si>
  <si>
    <t>APR 08/14</t>
    <phoneticPr fontId="1" type="noConversion"/>
  </si>
  <si>
    <t>APR 08/16</t>
    <phoneticPr fontId="1" type="noConversion"/>
  </si>
  <si>
    <t>APR 13/14</t>
    <phoneticPr fontId="1" type="noConversion"/>
  </si>
  <si>
    <t>APR 17/14</t>
    <phoneticPr fontId="1" type="noConversion"/>
  </si>
  <si>
    <t>APR 17/16</t>
    <phoneticPr fontId="1" type="noConversion"/>
  </si>
  <si>
    <t>APR 14/14</t>
    <phoneticPr fontId="1" type="noConversion"/>
  </si>
  <si>
    <t>APR 14/16</t>
    <phoneticPr fontId="1" type="noConversion"/>
  </si>
  <si>
    <t>APR 19/14</t>
    <phoneticPr fontId="1" type="noConversion"/>
  </si>
  <si>
    <t>APR 19/16</t>
    <phoneticPr fontId="1" type="noConversion"/>
  </si>
  <si>
    <t>APR 21/14</t>
    <phoneticPr fontId="1" type="noConversion"/>
  </si>
  <si>
    <t>APR 21/16</t>
    <phoneticPr fontId="1" type="noConversion"/>
  </si>
  <si>
    <t>APR 22/14</t>
    <phoneticPr fontId="1" type="noConversion"/>
  </si>
  <si>
    <t>APR 22/16</t>
    <phoneticPr fontId="1" type="noConversion"/>
  </si>
  <si>
    <t>APR 23/14</t>
    <phoneticPr fontId="1" type="noConversion"/>
  </si>
  <si>
    <t>APR 23/16</t>
    <phoneticPr fontId="1" type="noConversion"/>
  </si>
  <si>
    <t>APR 24/14</t>
    <phoneticPr fontId="1" type="noConversion"/>
  </si>
  <si>
    <t>APR 24/16</t>
    <phoneticPr fontId="1" type="noConversion"/>
  </si>
  <si>
    <t>APR 26/14</t>
    <phoneticPr fontId="1" type="noConversion"/>
  </si>
  <si>
    <t>APR 26/16</t>
    <phoneticPr fontId="1" type="noConversion"/>
  </si>
  <si>
    <t>APR 27/14</t>
    <phoneticPr fontId="1" type="noConversion"/>
  </si>
  <si>
    <t>B2 COUNTER SAMPLE</t>
    <phoneticPr fontId="1" type="noConversion"/>
  </si>
  <si>
    <t>APR 27/16</t>
    <phoneticPr fontId="1" type="noConversion"/>
  </si>
  <si>
    <t>APR 28/14</t>
    <phoneticPr fontId="1" type="noConversion"/>
  </si>
  <si>
    <t>APR 28/16</t>
    <phoneticPr fontId="1" type="noConversion"/>
  </si>
  <si>
    <t>APR 29/14</t>
    <phoneticPr fontId="1" type="noConversion"/>
  </si>
  <si>
    <t>APR 29/16</t>
    <phoneticPr fontId="1" type="noConversion"/>
  </si>
  <si>
    <t>MAY01/14</t>
    <phoneticPr fontId="1" type="noConversion"/>
  </si>
  <si>
    <t>MAY01/15</t>
    <phoneticPr fontId="1" type="noConversion"/>
  </si>
  <si>
    <t>KEY DAMAGE 30/04/14</t>
    <phoneticPr fontId="1" type="noConversion"/>
  </si>
  <si>
    <t>LEE</t>
    <phoneticPr fontId="1" type="noConversion"/>
  </si>
  <si>
    <t>0411 406 808</t>
    <phoneticPr fontId="1" type="noConversion"/>
  </si>
  <si>
    <t>S</t>
    <phoneticPr fontId="1" type="noConversion"/>
  </si>
  <si>
    <t>A</t>
    <phoneticPr fontId="1" type="noConversion"/>
  </si>
  <si>
    <t>M</t>
    <phoneticPr fontId="1" type="noConversion"/>
  </si>
  <si>
    <t>P</t>
    <phoneticPr fontId="1" type="noConversion"/>
  </si>
  <si>
    <t>L</t>
    <phoneticPr fontId="1" type="noConversion"/>
  </si>
  <si>
    <t>E</t>
    <phoneticPr fontId="1" type="noConversion"/>
  </si>
  <si>
    <t>MAY01/16</t>
    <phoneticPr fontId="1" type="noConversion"/>
  </si>
  <si>
    <t>MAY04/14</t>
    <phoneticPr fontId="1" type="noConversion"/>
  </si>
  <si>
    <t>MAY04/16</t>
    <phoneticPr fontId="1" type="noConversion"/>
  </si>
  <si>
    <t>MAY03/14</t>
    <phoneticPr fontId="1" type="noConversion"/>
  </si>
  <si>
    <t>MAY03/16</t>
    <phoneticPr fontId="1" type="noConversion"/>
  </si>
  <si>
    <t>COMP</t>
    <phoneticPr fontId="1" type="noConversion"/>
  </si>
  <si>
    <t>MAY06/14</t>
    <phoneticPr fontId="1" type="noConversion"/>
  </si>
  <si>
    <t>MAY06/16</t>
    <phoneticPr fontId="1" type="noConversion"/>
  </si>
  <si>
    <t>Accord cup holder HB damage cover</t>
    <phoneticPr fontId="1" type="noConversion"/>
  </si>
  <si>
    <t>MAY 05/14</t>
    <phoneticPr fontId="1" type="noConversion"/>
  </si>
  <si>
    <t>MAY 05/16</t>
    <phoneticPr fontId="1" type="noConversion"/>
  </si>
  <si>
    <t>MAY 08/14</t>
    <phoneticPr fontId="1" type="noConversion"/>
  </si>
  <si>
    <t>MAY 08/16</t>
    <phoneticPr fontId="1" type="noConversion"/>
  </si>
  <si>
    <t>MAY 09/14</t>
    <phoneticPr fontId="1" type="noConversion"/>
  </si>
  <si>
    <t>MAY 09/16</t>
    <phoneticPr fontId="1" type="noConversion"/>
  </si>
  <si>
    <t>MAY10/14</t>
    <phoneticPr fontId="1" type="noConversion"/>
  </si>
  <si>
    <t>MAY10/16</t>
    <phoneticPr fontId="1" type="noConversion"/>
  </si>
  <si>
    <t>MAY18/14</t>
    <phoneticPr fontId="1" type="noConversion"/>
  </si>
  <si>
    <t>MAY18/16</t>
    <phoneticPr fontId="1" type="noConversion"/>
  </si>
  <si>
    <t>MAY 15/14</t>
    <phoneticPr fontId="1" type="noConversion"/>
  </si>
  <si>
    <t>MAY 15/16</t>
    <phoneticPr fontId="1" type="noConversion"/>
  </si>
  <si>
    <t>MAY 13/14</t>
    <phoneticPr fontId="1" type="noConversion"/>
  </si>
  <si>
    <t>MAY 13/16</t>
    <phoneticPr fontId="1" type="noConversion"/>
  </si>
  <si>
    <t>MAY22/14</t>
    <phoneticPr fontId="1" type="noConversion"/>
  </si>
  <si>
    <t>MAY22/16</t>
    <phoneticPr fontId="1" type="noConversion"/>
  </si>
  <si>
    <t>Chris</t>
    <phoneticPr fontId="1" type="noConversion"/>
  </si>
  <si>
    <t>화병 깨트림</t>
    <phoneticPr fontId="1" type="noConversion"/>
  </si>
  <si>
    <t>MEHRAN</t>
    <phoneticPr fontId="1" type="noConversion"/>
  </si>
  <si>
    <t>COMP</t>
    <phoneticPr fontId="1" type="noConversion"/>
  </si>
  <si>
    <t>MAY27/14</t>
    <phoneticPr fontId="1" type="noConversion"/>
  </si>
  <si>
    <t>MAY27/16</t>
    <phoneticPr fontId="1" type="noConversion"/>
  </si>
  <si>
    <t>MAY 29/14</t>
    <phoneticPr fontId="1" type="noConversion"/>
  </si>
  <si>
    <t>MAY 29/16</t>
    <phoneticPr fontId="1" type="noConversion"/>
  </si>
  <si>
    <t>MAY29/14</t>
    <phoneticPr fontId="1" type="noConversion"/>
  </si>
  <si>
    <t>MAY29/16</t>
    <phoneticPr fontId="1" type="noConversion"/>
  </si>
  <si>
    <t>CHASE TELUS</t>
    <phoneticPr fontId="1" type="noConversion"/>
  </si>
  <si>
    <t>CHRIS</t>
    <phoneticPr fontId="1" type="noConversion"/>
  </si>
  <si>
    <t>MAY31/14</t>
    <phoneticPr fontId="1" type="noConversion"/>
  </si>
  <si>
    <t>MAY31/16</t>
    <phoneticPr fontId="1" type="noConversion"/>
  </si>
  <si>
    <t>JUN01/14</t>
    <phoneticPr fontId="1" type="noConversion"/>
  </si>
  <si>
    <t>JUN01/16</t>
    <phoneticPr fontId="1" type="noConversion"/>
  </si>
  <si>
    <t>분실</t>
    <phoneticPr fontId="1" type="noConversion"/>
  </si>
  <si>
    <t>JUN03/16</t>
    <phoneticPr fontId="1" type="noConversion"/>
  </si>
  <si>
    <t>JUN03/14</t>
    <phoneticPr fontId="1" type="noConversion"/>
  </si>
  <si>
    <t>JUN07/14</t>
    <phoneticPr fontId="1" type="noConversion"/>
  </si>
  <si>
    <t>JUN07/16</t>
    <phoneticPr fontId="1" type="noConversion"/>
  </si>
  <si>
    <t>JUN08/14</t>
    <phoneticPr fontId="1" type="noConversion"/>
  </si>
  <si>
    <t>JUN08/16</t>
    <phoneticPr fontId="1" type="noConversion"/>
  </si>
  <si>
    <t>JUN14/14</t>
    <phoneticPr fontId="1" type="noConversion"/>
  </si>
  <si>
    <t>JUN14/16</t>
    <phoneticPr fontId="1" type="noConversion"/>
  </si>
  <si>
    <t>JUN18/14</t>
    <phoneticPr fontId="1" type="noConversion"/>
  </si>
  <si>
    <t>JUN18/16</t>
    <phoneticPr fontId="1" type="noConversion"/>
  </si>
  <si>
    <t>JUN20/14</t>
    <phoneticPr fontId="1" type="noConversion"/>
  </si>
  <si>
    <t>JUN20/16</t>
    <phoneticPr fontId="1" type="noConversion"/>
  </si>
  <si>
    <t>JUN21/14</t>
    <phoneticPr fontId="1" type="noConversion"/>
  </si>
  <si>
    <t>JUN21/16</t>
    <phoneticPr fontId="1" type="noConversion"/>
  </si>
  <si>
    <t>JUN22/14</t>
    <phoneticPr fontId="1" type="noConversion"/>
  </si>
  <si>
    <t>JUN22/16</t>
    <phoneticPr fontId="1" type="noConversion"/>
  </si>
  <si>
    <t>KEY DAMAGE BY BOBBY PAY BACK</t>
    <phoneticPr fontId="1" type="noConversion"/>
  </si>
  <si>
    <t>VANESSA SEAH 0413 186 060</t>
    <phoneticPr fontId="1" type="noConversion"/>
  </si>
  <si>
    <t>JUN25/14</t>
    <phoneticPr fontId="1" type="noConversion"/>
  </si>
  <si>
    <t>JUN25/16</t>
    <phoneticPr fontId="1" type="noConversion"/>
  </si>
  <si>
    <t>JUN24/14</t>
    <phoneticPr fontId="1" type="noConversion"/>
  </si>
  <si>
    <t>JUN24/16</t>
    <phoneticPr fontId="1" type="noConversion"/>
  </si>
  <si>
    <t>HB 009</t>
    <phoneticPr fontId="1" type="noConversion"/>
  </si>
  <si>
    <t>HB 008</t>
    <phoneticPr fontId="1" type="noConversion"/>
  </si>
  <si>
    <t>JUN27/14</t>
    <phoneticPr fontId="1" type="noConversion"/>
  </si>
  <si>
    <t>JUN27/16</t>
    <phoneticPr fontId="1" type="noConversion"/>
  </si>
  <si>
    <t>JUN28/14</t>
    <phoneticPr fontId="1" type="noConversion"/>
  </si>
  <si>
    <t>JUN28/16</t>
    <phoneticPr fontId="1" type="noConversion"/>
  </si>
  <si>
    <t>JUL05/14</t>
    <phoneticPr fontId="1" type="noConversion"/>
  </si>
  <si>
    <t>JUL05/16</t>
    <phoneticPr fontId="1" type="noConversion"/>
  </si>
  <si>
    <t>JUL06/14</t>
    <phoneticPr fontId="1" type="noConversion"/>
  </si>
  <si>
    <t>JUL06/16</t>
    <phoneticPr fontId="1" type="noConversion"/>
  </si>
  <si>
    <t>JUL07/14</t>
    <phoneticPr fontId="1" type="noConversion"/>
  </si>
  <si>
    <t>JUL07/16</t>
    <phoneticPr fontId="1" type="noConversion"/>
  </si>
  <si>
    <t>JUL08/14</t>
    <phoneticPr fontId="1" type="noConversion"/>
  </si>
  <si>
    <t>JUL08/16</t>
    <phoneticPr fontId="1" type="noConversion"/>
  </si>
  <si>
    <t>JUL11/14</t>
    <phoneticPr fontId="1" type="noConversion"/>
  </si>
  <si>
    <t>JUL11/16</t>
    <phoneticPr fontId="1" type="noConversion"/>
  </si>
  <si>
    <t>JUL13/14</t>
    <phoneticPr fontId="1" type="noConversion"/>
  </si>
  <si>
    <t>JUL13/16</t>
    <phoneticPr fontId="1" type="noConversion"/>
  </si>
  <si>
    <t>JUL12/14</t>
    <phoneticPr fontId="1" type="noConversion"/>
  </si>
  <si>
    <t>JUL12/16</t>
    <phoneticPr fontId="1" type="noConversion"/>
  </si>
  <si>
    <t>Done 15/07/14</t>
    <phoneticPr fontId="1" type="noConversion"/>
  </si>
  <si>
    <t>JUL17/14</t>
    <phoneticPr fontId="1" type="noConversion"/>
  </si>
  <si>
    <t>JUL17/16</t>
    <phoneticPr fontId="1" type="noConversion"/>
  </si>
  <si>
    <t>JUL18/14</t>
    <phoneticPr fontId="1" type="noConversion"/>
  </si>
  <si>
    <t>JUL18/16</t>
    <phoneticPr fontId="1" type="noConversion"/>
  </si>
  <si>
    <t xml:space="preserve"> </t>
    <phoneticPr fontId="1" type="noConversion"/>
  </si>
  <si>
    <t>JUL19/14</t>
    <phoneticPr fontId="1" type="noConversion"/>
  </si>
  <si>
    <t>JUL19/17</t>
    <phoneticPr fontId="1" type="noConversion"/>
  </si>
  <si>
    <t>C</t>
    <phoneticPr fontId="1" type="noConversion"/>
  </si>
  <si>
    <t>A</t>
    <phoneticPr fontId="1" type="noConversion"/>
  </si>
  <si>
    <t>N</t>
    <phoneticPr fontId="1" type="noConversion"/>
  </si>
  <si>
    <t>C</t>
    <phoneticPr fontId="1" type="noConversion"/>
  </si>
  <si>
    <t>E</t>
    <phoneticPr fontId="1" type="noConversion"/>
  </si>
  <si>
    <t>L</t>
    <phoneticPr fontId="1" type="noConversion"/>
  </si>
  <si>
    <t>JUL25/14</t>
    <phoneticPr fontId="1" type="noConversion"/>
  </si>
  <si>
    <t>JUL19/16</t>
    <phoneticPr fontId="1" type="noConversion"/>
  </si>
  <si>
    <t>JUL25/16</t>
    <phoneticPr fontId="1" type="noConversion"/>
  </si>
  <si>
    <t>JUL26/14</t>
    <phoneticPr fontId="1" type="noConversion"/>
  </si>
  <si>
    <t>JUL26/16</t>
    <phoneticPr fontId="1" type="noConversion"/>
  </si>
  <si>
    <t>JUL27/14</t>
    <phoneticPr fontId="1" type="noConversion"/>
  </si>
  <si>
    <t>JUL27/16</t>
    <phoneticPr fontId="1" type="noConversion"/>
  </si>
  <si>
    <t>refund</t>
    <phoneticPr fontId="1" type="noConversion"/>
  </si>
  <si>
    <t>JUL30/14</t>
    <phoneticPr fontId="1" type="noConversion"/>
  </si>
  <si>
    <t>JUL30/16</t>
    <phoneticPr fontId="1" type="noConversion"/>
  </si>
  <si>
    <t>JUL31/14</t>
    <phoneticPr fontId="1" type="noConversion"/>
  </si>
  <si>
    <t>JUL31/16</t>
    <phoneticPr fontId="1" type="noConversion"/>
  </si>
  <si>
    <t>AUG01/16</t>
    <phoneticPr fontId="1" type="noConversion"/>
  </si>
  <si>
    <t>AUG01/14</t>
    <phoneticPr fontId="1" type="noConversion"/>
  </si>
  <si>
    <t>AUG02/14</t>
    <phoneticPr fontId="1" type="noConversion"/>
  </si>
  <si>
    <t>AUG02/16</t>
    <phoneticPr fontId="1" type="noConversion"/>
  </si>
  <si>
    <t>AUG03/14</t>
    <phoneticPr fontId="1" type="noConversion"/>
  </si>
  <si>
    <t>AUG03/16</t>
    <phoneticPr fontId="1" type="noConversion"/>
  </si>
  <si>
    <t>AUG04/14</t>
    <phoneticPr fontId="1" type="noConversion"/>
  </si>
  <si>
    <t>AUG04/16</t>
    <phoneticPr fontId="1" type="noConversion"/>
  </si>
  <si>
    <t>AUG05/14</t>
    <phoneticPr fontId="1" type="noConversion"/>
  </si>
  <si>
    <t>AUG05/16</t>
    <phoneticPr fontId="1" type="noConversion"/>
  </si>
  <si>
    <t>AUG05/14</t>
    <phoneticPr fontId="1" type="noConversion"/>
  </si>
  <si>
    <t>AUG06/14</t>
    <phoneticPr fontId="1" type="noConversion"/>
  </si>
  <si>
    <t>AUG06/16</t>
    <phoneticPr fontId="1" type="noConversion"/>
  </si>
  <si>
    <t>AUG08/14</t>
    <phoneticPr fontId="1" type="noConversion"/>
  </si>
  <si>
    <t>AUG08/16</t>
    <phoneticPr fontId="1" type="noConversion"/>
  </si>
  <si>
    <t>AUG09/14</t>
    <phoneticPr fontId="1" type="noConversion"/>
  </si>
  <si>
    <t>AUG09/16</t>
    <phoneticPr fontId="1" type="noConversion"/>
  </si>
  <si>
    <t>AUG10/14</t>
    <phoneticPr fontId="1" type="noConversion"/>
  </si>
  <si>
    <t>AUG10/16</t>
    <phoneticPr fontId="1" type="noConversion"/>
  </si>
  <si>
    <t>AUG11/14</t>
    <phoneticPr fontId="1" type="noConversion"/>
  </si>
  <si>
    <t>AUG11/16</t>
    <phoneticPr fontId="1" type="noConversion"/>
  </si>
  <si>
    <t>AUG21/14</t>
    <phoneticPr fontId="1" type="noConversion"/>
  </si>
  <si>
    <t>AUG21/16</t>
    <phoneticPr fontId="1" type="noConversion"/>
  </si>
  <si>
    <t>AUG24/14</t>
    <phoneticPr fontId="1" type="noConversion"/>
  </si>
  <si>
    <t>AUG24/16</t>
    <phoneticPr fontId="1" type="noConversion"/>
  </si>
  <si>
    <t>AUG26/14</t>
    <phoneticPr fontId="1" type="noConversion"/>
  </si>
  <si>
    <t>AUG26/16</t>
    <phoneticPr fontId="1" type="noConversion"/>
  </si>
  <si>
    <t>AUG27/14</t>
    <phoneticPr fontId="1" type="noConversion"/>
  </si>
  <si>
    <t>AUG27/16</t>
    <phoneticPr fontId="1" type="noConversion"/>
  </si>
  <si>
    <t>AUG31/14</t>
    <phoneticPr fontId="1" type="noConversion"/>
  </si>
  <si>
    <t>AUG31/16</t>
    <phoneticPr fontId="1" type="noConversion"/>
  </si>
  <si>
    <t>AUG29/14</t>
    <phoneticPr fontId="1" type="noConversion"/>
  </si>
  <si>
    <t>AUG29/16</t>
    <phoneticPr fontId="1" type="noConversion"/>
  </si>
  <si>
    <t>SEP01/14</t>
    <phoneticPr fontId="1" type="noConversion"/>
  </si>
  <si>
    <t>SEP01/16</t>
    <phoneticPr fontId="1" type="noConversion"/>
  </si>
  <si>
    <t>SEP03/14</t>
    <phoneticPr fontId="1" type="noConversion"/>
  </si>
  <si>
    <t>SEP03/16</t>
    <phoneticPr fontId="1" type="noConversion"/>
  </si>
  <si>
    <t>SEP06/14</t>
    <phoneticPr fontId="1" type="noConversion"/>
  </si>
  <si>
    <t>SEP06/16</t>
    <phoneticPr fontId="1" type="noConversion"/>
  </si>
  <si>
    <t>SEP07/14</t>
    <phoneticPr fontId="1" type="noConversion"/>
  </si>
  <si>
    <t>SEP07/16</t>
    <phoneticPr fontId="1" type="noConversion"/>
  </si>
  <si>
    <t>SEP08/14</t>
    <phoneticPr fontId="1" type="noConversion"/>
  </si>
  <si>
    <t>SEP08/16</t>
    <phoneticPr fontId="1" type="noConversion"/>
  </si>
  <si>
    <t>SEP09/14</t>
    <phoneticPr fontId="1" type="noConversion"/>
  </si>
  <si>
    <t>SEP09/16</t>
    <phoneticPr fontId="1" type="noConversion"/>
  </si>
  <si>
    <t>SEP10/14</t>
    <phoneticPr fontId="1" type="noConversion"/>
  </si>
  <si>
    <t>SEP10/16</t>
    <phoneticPr fontId="1" type="noConversion"/>
  </si>
  <si>
    <t>SEP12/14</t>
    <phoneticPr fontId="1" type="noConversion"/>
  </si>
  <si>
    <t>SEP12/16</t>
    <phoneticPr fontId="1" type="noConversion"/>
  </si>
  <si>
    <t>SEP13/14</t>
    <phoneticPr fontId="1" type="noConversion"/>
  </si>
  <si>
    <t>SEP13/16</t>
    <phoneticPr fontId="1" type="noConversion"/>
  </si>
  <si>
    <t>SEP14/14</t>
    <phoneticPr fontId="1" type="noConversion"/>
  </si>
  <si>
    <t>SEP14/16</t>
    <phoneticPr fontId="1" type="noConversion"/>
  </si>
  <si>
    <t>7TH</t>
    <phoneticPr fontId="1" type="noConversion"/>
  </si>
  <si>
    <t>SEP15/14</t>
    <phoneticPr fontId="1" type="noConversion"/>
  </si>
  <si>
    <t>SEP15/16</t>
    <phoneticPr fontId="1" type="noConversion"/>
  </si>
  <si>
    <t>SEP16/14</t>
    <phoneticPr fontId="1" type="noConversion"/>
  </si>
  <si>
    <t>SEP16/16</t>
    <phoneticPr fontId="1" type="noConversion"/>
  </si>
  <si>
    <t>SEP17/14</t>
    <phoneticPr fontId="1" type="noConversion"/>
  </si>
  <si>
    <t>SEP17/16</t>
    <phoneticPr fontId="1" type="noConversion"/>
  </si>
  <si>
    <t>SEP18/14</t>
    <phoneticPr fontId="1" type="noConversion"/>
  </si>
  <si>
    <t>SEP18/16</t>
    <phoneticPr fontId="1" type="noConversion"/>
  </si>
  <si>
    <t>GA SALE</t>
    <phoneticPr fontId="1" type="noConversion"/>
  </si>
  <si>
    <t>SEP19/14</t>
    <phoneticPr fontId="1" type="noConversion"/>
  </si>
  <si>
    <t>SEP19/16</t>
    <phoneticPr fontId="1" type="noConversion"/>
  </si>
  <si>
    <t>SEP20/14</t>
    <phoneticPr fontId="1" type="noConversion"/>
  </si>
  <si>
    <t>SEP20/16</t>
    <phoneticPr fontId="1" type="noConversion"/>
  </si>
  <si>
    <t>SEP21/14</t>
    <phoneticPr fontId="1" type="noConversion"/>
  </si>
  <si>
    <t>SEP21/16</t>
    <phoneticPr fontId="1" type="noConversion"/>
  </si>
  <si>
    <t>SEP22/14</t>
    <phoneticPr fontId="1" type="noConversion"/>
  </si>
  <si>
    <t>SEP22/16</t>
    <phoneticPr fontId="1" type="noConversion"/>
  </si>
  <si>
    <t>SEP23/14</t>
    <phoneticPr fontId="1" type="noConversion"/>
  </si>
  <si>
    <t>SEP23/16</t>
    <phoneticPr fontId="1" type="noConversion"/>
  </si>
  <si>
    <t>SEP24/14</t>
    <phoneticPr fontId="1" type="noConversion"/>
  </si>
  <si>
    <t>SEP24/16</t>
    <phoneticPr fontId="1" type="noConversion"/>
  </si>
  <si>
    <t>SEP25/14</t>
    <phoneticPr fontId="1" type="noConversion"/>
  </si>
  <si>
    <t>SEP25/16</t>
    <phoneticPr fontId="1" type="noConversion"/>
  </si>
  <si>
    <t>SEP27/14</t>
    <phoneticPr fontId="1" type="noConversion"/>
  </si>
  <si>
    <t>SEP27/16</t>
    <phoneticPr fontId="1" type="noConversion"/>
  </si>
  <si>
    <t>SEP28/14</t>
    <phoneticPr fontId="1" type="noConversion"/>
  </si>
  <si>
    <t>SEP28/16</t>
    <phoneticPr fontId="1" type="noConversion"/>
  </si>
  <si>
    <t>SEP30/14</t>
    <phoneticPr fontId="1" type="noConversion"/>
  </si>
  <si>
    <t>SEP30/16</t>
    <phoneticPr fontId="1" type="noConversion"/>
  </si>
  <si>
    <t>OCT01/14</t>
    <phoneticPr fontId="1" type="noConversion"/>
  </si>
  <si>
    <t>OCT01/16</t>
    <phoneticPr fontId="1" type="noConversion"/>
  </si>
  <si>
    <t>$</t>
    <phoneticPr fontId="1" type="noConversion"/>
  </si>
  <si>
    <t>OCT02/14</t>
    <phoneticPr fontId="1" type="noConversion"/>
  </si>
  <si>
    <t>OCT02/16</t>
    <phoneticPr fontId="1" type="noConversion"/>
  </si>
  <si>
    <t>D/C BY MK</t>
    <phoneticPr fontId="1" type="noConversion"/>
  </si>
  <si>
    <t>OCT04/14</t>
    <phoneticPr fontId="1" type="noConversion"/>
  </si>
  <si>
    <t>OCT04/16</t>
    <phoneticPr fontId="1" type="noConversion"/>
  </si>
  <si>
    <t>OCT05/14</t>
    <phoneticPr fontId="1" type="noConversion"/>
  </si>
  <si>
    <t>OCT05/16</t>
    <phoneticPr fontId="1" type="noConversion"/>
  </si>
  <si>
    <t>OCT07/14</t>
    <phoneticPr fontId="1" type="noConversion"/>
  </si>
  <si>
    <t>OCT07/16</t>
    <phoneticPr fontId="1" type="noConversion"/>
  </si>
  <si>
    <t>OCT08/14</t>
    <phoneticPr fontId="1" type="noConversion"/>
  </si>
  <si>
    <t>OCT08/16</t>
    <phoneticPr fontId="1" type="noConversion"/>
  </si>
  <si>
    <t>OCT10/14</t>
    <phoneticPr fontId="1" type="noConversion"/>
  </si>
  <si>
    <t>OCT10/16</t>
    <phoneticPr fontId="1" type="noConversion"/>
  </si>
  <si>
    <t>OCT11/14</t>
    <phoneticPr fontId="1" type="noConversion"/>
  </si>
  <si>
    <t>OCT11/16</t>
    <phoneticPr fontId="1" type="noConversion"/>
  </si>
  <si>
    <t>OCT13/14</t>
    <phoneticPr fontId="1" type="noConversion"/>
  </si>
  <si>
    <t>OCT13/16</t>
    <phoneticPr fontId="1" type="noConversion"/>
  </si>
  <si>
    <t>OCT14/14</t>
    <phoneticPr fontId="1" type="noConversion"/>
  </si>
  <si>
    <t>OCT14/16</t>
    <phoneticPr fontId="1" type="noConversion"/>
  </si>
  <si>
    <t>OCT16/14</t>
    <phoneticPr fontId="1" type="noConversion"/>
  </si>
  <si>
    <t>OCT16/16</t>
    <phoneticPr fontId="1" type="noConversion"/>
  </si>
  <si>
    <t>OCT18/14</t>
    <phoneticPr fontId="1" type="noConversion"/>
  </si>
  <si>
    <t>OCT18/16</t>
    <phoneticPr fontId="1" type="noConversion"/>
  </si>
  <si>
    <t>OCT19/14</t>
    <phoneticPr fontId="1" type="noConversion"/>
  </si>
  <si>
    <t>OCT19/16</t>
    <phoneticPr fontId="1" type="noConversion"/>
  </si>
  <si>
    <t>OCT21/14</t>
    <phoneticPr fontId="1" type="noConversion"/>
  </si>
  <si>
    <t>OCT21/16</t>
    <phoneticPr fontId="1" type="noConversion"/>
  </si>
  <si>
    <t>OCT25/14</t>
    <phoneticPr fontId="1" type="noConversion"/>
  </si>
  <si>
    <t>OCT25/16</t>
    <phoneticPr fontId="1" type="noConversion"/>
  </si>
  <si>
    <t>OCT27/14</t>
    <phoneticPr fontId="1" type="noConversion"/>
  </si>
  <si>
    <t>OCT27/16</t>
    <phoneticPr fontId="1" type="noConversion"/>
  </si>
  <si>
    <t>C</t>
    <phoneticPr fontId="1" type="noConversion"/>
  </si>
  <si>
    <t>O</t>
    <phoneticPr fontId="1" type="noConversion"/>
  </si>
  <si>
    <t>M</t>
    <phoneticPr fontId="1" type="noConversion"/>
  </si>
  <si>
    <t>P</t>
    <phoneticPr fontId="1" type="noConversion"/>
  </si>
  <si>
    <t>GARAGE KEY 분실/돌려줌 mr Stednan 0404 818 914</t>
    <phoneticPr fontId="1" type="noConversion"/>
  </si>
  <si>
    <t>NICHOL FRIEND</t>
    <phoneticPr fontId="1" type="noConversion"/>
  </si>
  <si>
    <t>OCT28/14</t>
    <phoneticPr fontId="1" type="noConversion"/>
  </si>
  <si>
    <t>OCT28/16</t>
    <phoneticPr fontId="1" type="noConversion"/>
  </si>
  <si>
    <t>OCT30/14</t>
    <phoneticPr fontId="1" type="noConversion"/>
  </si>
  <si>
    <t>OCT30/16</t>
    <phoneticPr fontId="1" type="noConversion"/>
  </si>
  <si>
    <t>NOV01/14</t>
    <phoneticPr fontId="1" type="noConversion"/>
  </si>
  <si>
    <t>NOV01/16</t>
    <phoneticPr fontId="1" type="noConversion"/>
  </si>
  <si>
    <t>NOV02/14</t>
    <phoneticPr fontId="1" type="noConversion"/>
  </si>
  <si>
    <t>NOV02/16</t>
    <phoneticPr fontId="1" type="noConversion"/>
  </si>
  <si>
    <t>NOV06/14</t>
    <phoneticPr fontId="1" type="noConversion"/>
  </si>
  <si>
    <t>NOV06/16</t>
    <phoneticPr fontId="1" type="noConversion"/>
  </si>
  <si>
    <t>NOV03/14</t>
    <phoneticPr fontId="1" type="noConversion"/>
  </si>
  <si>
    <t>NOV03/16</t>
    <phoneticPr fontId="1" type="noConversion"/>
  </si>
  <si>
    <t>NOV04/14</t>
    <phoneticPr fontId="1" type="noConversion"/>
  </si>
  <si>
    <t>NOV04/16</t>
    <phoneticPr fontId="1" type="noConversion"/>
  </si>
  <si>
    <t>NOV07/14</t>
    <phoneticPr fontId="1" type="noConversion"/>
  </si>
  <si>
    <t>NOV07/16</t>
    <phoneticPr fontId="1" type="noConversion"/>
  </si>
  <si>
    <t>NOV08/14</t>
    <phoneticPr fontId="1" type="noConversion"/>
  </si>
  <si>
    <t>NOV08/16</t>
    <phoneticPr fontId="1" type="noConversion"/>
  </si>
  <si>
    <t>NOV09/14</t>
    <phoneticPr fontId="1" type="noConversion"/>
  </si>
  <si>
    <t>NOV09/16</t>
    <phoneticPr fontId="1" type="noConversion"/>
  </si>
  <si>
    <t>NOV10/14</t>
    <phoneticPr fontId="1" type="noConversion"/>
  </si>
  <si>
    <t>NOV10/16</t>
    <phoneticPr fontId="1" type="noConversion"/>
  </si>
  <si>
    <t>NOV11/14</t>
    <phoneticPr fontId="1" type="noConversion"/>
  </si>
  <si>
    <t>NOV11/16</t>
    <phoneticPr fontId="1" type="noConversion"/>
  </si>
  <si>
    <t>NOV13/14</t>
    <phoneticPr fontId="1" type="noConversion"/>
  </si>
  <si>
    <t>NOV13/16</t>
    <phoneticPr fontId="1" type="noConversion"/>
  </si>
  <si>
    <t>NOV14/14</t>
    <phoneticPr fontId="1" type="noConversion"/>
  </si>
  <si>
    <t>NOV14/16</t>
    <phoneticPr fontId="1" type="noConversion"/>
  </si>
  <si>
    <t>NOV17/14</t>
    <phoneticPr fontId="1" type="noConversion"/>
  </si>
  <si>
    <t>NOV17/16</t>
    <phoneticPr fontId="1" type="noConversion"/>
  </si>
  <si>
    <t>NOV18/14</t>
    <phoneticPr fontId="1" type="noConversion"/>
  </si>
  <si>
    <t>NOV18/16</t>
    <phoneticPr fontId="1" type="noConversion"/>
  </si>
  <si>
    <t>NOV22/14</t>
    <phoneticPr fontId="1" type="noConversion"/>
  </si>
  <si>
    <t>NOV22/16</t>
    <phoneticPr fontId="1" type="noConversion"/>
  </si>
  <si>
    <t>NOV23/14</t>
    <phoneticPr fontId="1" type="noConversion"/>
  </si>
  <si>
    <t>NOV23/16</t>
    <phoneticPr fontId="1" type="noConversion"/>
  </si>
  <si>
    <t>NOV24/14</t>
    <phoneticPr fontId="1" type="noConversion"/>
  </si>
  <si>
    <t>NOV24/16</t>
    <phoneticPr fontId="1" type="noConversion"/>
  </si>
  <si>
    <t>NOV28/14</t>
    <phoneticPr fontId="1" type="noConversion"/>
  </si>
  <si>
    <t>NOV28/16</t>
    <phoneticPr fontId="1" type="noConversion"/>
  </si>
  <si>
    <t>NOV30/14</t>
    <phoneticPr fontId="1" type="noConversion"/>
  </si>
  <si>
    <t>NOV30/16</t>
    <phoneticPr fontId="1" type="noConversion"/>
  </si>
  <si>
    <t>c</t>
    <phoneticPr fontId="1" type="noConversion"/>
  </si>
  <si>
    <t>o</t>
    <phoneticPr fontId="1" type="noConversion"/>
  </si>
  <si>
    <t>m</t>
    <phoneticPr fontId="1" type="noConversion"/>
  </si>
  <si>
    <t>p</t>
    <phoneticPr fontId="1" type="noConversion"/>
  </si>
  <si>
    <t>damage code Majella 0438 787 091 deluxe once</t>
    <phoneticPr fontId="1" type="noConversion"/>
  </si>
  <si>
    <t>DEC01/14</t>
    <phoneticPr fontId="1" type="noConversion"/>
  </si>
  <si>
    <t>DEC01/16</t>
    <phoneticPr fontId="1" type="noConversion"/>
  </si>
  <si>
    <t>DEC03/14</t>
    <phoneticPr fontId="1" type="noConversion"/>
  </si>
  <si>
    <t>DEC03/16</t>
    <phoneticPr fontId="1" type="noConversion"/>
  </si>
  <si>
    <t>S</t>
    <phoneticPr fontId="1" type="noConversion"/>
  </si>
  <si>
    <t>A</t>
    <phoneticPr fontId="1" type="noConversion"/>
  </si>
  <si>
    <t>M</t>
    <phoneticPr fontId="1" type="noConversion"/>
  </si>
  <si>
    <t>P</t>
    <phoneticPr fontId="1" type="noConversion"/>
  </si>
  <si>
    <t>L</t>
    <phoneticPr fontId="1" type="noConversion"/>
  </si>
  <si>
    <t>E</t>
    <phoneticPr fontId="1" type="noConversion"/>
  </si>
  <si>
    <t>RETURN TO CEO</t>
    <phoneticPr fontId="1" type="noConversion"/>
  </si>
  <si>
    <t>DEC06/14</t>
    <phoneticPr fontId="1" type="noConversion"/>
  </si>
  <si>
    <t>DEC06/16</t>
    <phoneticPr fontId="1" type="noConversion"/>
  </si>
  <si>
    <t>DEC10/14</t>
    <phoneticPr fontId="1" type="noConversion"/>
  </si>
  <si>
    <t>DEC10/16</t>
    <phoneticPr fontId="1" type="noConversion"/>
  </si>
  <si>
    <t>Xtream Wash for Sedan (1time)</t>
    <phoneticPr fontId="1" type="noConversion"/>
  </si>
  <si>
    <t>DEC17/14</t>
    <phoneticPr fontId="1" type="noConversion"/>
  </si>
  <si>
    <t>DEC17/16</t>
    <phoneticPr fontId="1" type="noConversion"/>
  </si>
  <si>
    <t>DEC18/14</t>
    <phoneticPr fontId="1" type="noConversion"/>
  </si>
  <si>
    <t>DEC18/16</t>
    <phoneticPr fontId="1" type="noConversion"/>
  </si>
  <si>
    <t>DEC19/14</t>
    <phoneticPr fontId="1" type="noConversion"/>
  </si>
  <si>
    <t>DEC19/16</t>
    <phoneticPr fontId="1" type="noConversion"/>
  </si>
  <si>
    <t>DEC24/14</t>
    <phoneticPr fontId="1" type="noConversion"/>
  </si>
  <si>
    <t>DEC24/16</t>
    <phoneticPr fontId="1" type="noConversion"/>
  </si>
  <si>
    <t>Deluxe Wash for Sedan (2times)</t>
    <phoneticPr fontId="1" type="noConversion"/>
  </si>
  <si>
    <t>DEC27/14</t>
    <phoneticPr fontId="1" type="noConversion"/>
  </si>
  <si>
    <t>DEC27/16</t>
    <phoneticPr fontId="1" type="noConversion"/>
  </si>
  <si>
    <t>DEC 30/14</t>
    <phoneticPr fontId="1" type="noConversion"/>
  </si>
  <si>
    <t>DEC 30/16</t>
    <phoneticPr fontId="1" type="noConversion"/>
  </si>
  <si>
    <t>DEC 31/14</t>
    <phoneticPr fontId="1" type="noConversion"/>
  </si>
  <si>
    <t>DEC 31/16</t>
    <phoneticPr fontId="1" type="noConversion"/>
  </si>
  <si>
    <t>JAN02/2015</t>
    <phoneticPr fontId="1" type="noConversion"/>
  </si>
  <si>
    <t>JAN02/2017</t>
    <phoneticPr fontId="1" type="noConversion"/>
  </si>
  <si>
    <t>JAN03/2015</t>
    <phoneticPr fontId="1" type="noConversion"/>
  </si>
  <si>
    <t>JAN03/2017</t>
    <phoneticPr fontId="1" type="noConversion"/>
  </si>
  <si>
    <t>JAN08/2015</t>
    <phoneticPr fontId="1" type="noConversion"/>
  </si>
  <si>
    <t>JAN08/2017</t>
    <phoneticPr fontId="1" type="noConversion"/>
  </si>
  <si>
    <t>JAN10/2015</t>
    <phoneticPr fontId="1" type="noConversion"/>
  </si>
  <si>
    <t>JAN10/2017</t>
    <phoneticPr fontId="1" type="noConversion"/>
  </si>
  <si>
    <t>JAN15/2015</t>
    <phoneticPr fontId="1" type="noConversion"/>
  </si>
  <si>
    <t>JAN15/2017</t>
    <phoneticPr fontId="1" type="noConversion"/>
  </si>
  <si>
    <t>JAN16/2015</t>
    <phoneticPr fontId="1" type="noConversion"/>
  </si>
  <si>
    <t>JAN16/2017</t>
    <phoneticPr fontId="1" type="noConversion"/>
  </si>
  <si>
    <t>JAN17/2015</t>
    <phoneticPr fontId="1" type="noConversion"/>
  </si>
  <si>
    <t>JAN17/2017</t>
    <phoneticPr fontId="1" type="noConversion"/>
  </si>
  <si>
    <t>JAN18/2015</t>
    <phoneticPr fontId="1" type="noConversion"/>
  </si>
  <si>
    <t>JAN18/2017</t>
    <phoneticPr fontId="1" type="noConversion"/>
  </si>
  <si>
    <t>JAN20/2015</t>
    <phoneticPr fontId="1" type="noConversion"/>
  </si>
  <si>
    <t>JAN20/2017</t>
    <phoneticPr fontId="1" type="noConversion"/>
  </si>
  <si>
    <t>JAN21/2015</t>
    <phoneticPr fontId="1" type="noConversion"/>
  </si>
  <si>
    <t>JAN21/2017</t>
    <phoneticPr fontId="1" type="noConversion"/>
  </si>
  <si>
    <t>JAN25/2015</t>
    <phoneticPr fontId="1" type="noConversion"/>
  </si>
  <si>
    <t>JAN25/2017</t>
    <phoneticPr fontId="1" type="noConversion"/>
  </si>
  <si>
    <t>JAN29/2015</t>
    <phoneticPr fontId="1" type="noConversion"/>
  </si>
  <si>
    <t>JAN29/2017</t>
    <phoneticPr fontId="1" type="noConversion"/>
  </si>
  <si>
    <t>JAN31/2015</t>
    <phoneticPr fontId="1" type="noConversion"/>
  </si>
  <si>
    <t>JAN31/2017</t>
    <phoneticPr fontId="1" type="noConversion"/>
  </si>
  <si>
    <t>FEB02/2015</t>
    <phoneticPr fontId="1" type="noConversion"/>
  </si>
  <si>
    <t>FEB02/2017</t>
    <phoneticPr fontId="1" type="noConversion"/>
  </si>
  <si>
    <t>FEB08/2015</t>
    <phoneticPr fontId="1" type="noConversion"/>
  </si>
  <si>
    <t>FEB08/2017</t>
    <phoneticPr fontId="1" type="noConversion"/>
  </si>
  <si>
    <t>FEB10/2015</t>
    <phoneticPr fontId="1" type="noConversion"/>
  </si>
  <si>
    <t>FEB10/2017</t>
    <phoneticPr fontId="1" type="noConversion"/>
  </si>
  <si>
    <t>FEB13/2015</t>
    <phoneticPr fontId="1" type="noConversion"/>
  </si>
  <si>
    <t>FEB13/2017</t>
    <phoneticPr fontId="1" type="noConversion"/>
  </si>
  <si>
    <t>FEB14/2015</t>
    <phoneticPr fontId="1" type="noConversion"/>
  </si>
  <si>
    <t>FEB14/2017</t>
    <phoneticPr fontId="1" type="noConversion"/>
  </si>
  <si>
    <t>FEB15/2015</t>
    <phoneticPr fontId="1" type="noConversion"/>
  </si>
  <si>
    <t>FEB15/2017</t>
    <phoneticPr fontId="1" type="noConversion"/>
  </si>
  <si>
    <t>FEB18/2015</t>
    <phoneticPr fontId="1" type="noConversion"/>
  </si>
  <si>
    <t>FEB18/2017</t>
    <phoneticPr fontId="1" type="noConversion"/>
  </si>
  <si>
    <t>FEB19/2015</t>
    <phoneticPr fontId="1" type="noConversion"/>
  </si>
  <si>
    <t>FEB19/2017</t>
    <phoneticPr fontId="1" type="noConversion"/>
  </si>
  <si>
    <t>FEB20/2015</t>
    <phoneticPr fontId="1" type="noConversion"/>
  </si>
  <si>
    <t>FEB20/2017</t>
    <phoneticPr fontId="1" type="noConversion"/>
  </si>
  <si>
    <t>FEB21/2015</t>
    <phoneticPr fontId="1" type="noConversion"/>
  </si>
  <si>
    <t>FEB21/2017</t>
    <phoneticPr fontId="1" type="noConversion"/>
  </si>
  <si>
    <t>FEB23/2015</t>
    <phoneticPr fontId="1" type="noConversion"/>
  </si>
  <si>
    <t>FEB23/2017</t>
    <phoneticPr fontId="1" type="noConversion"/>
  </si>
  <si>
    <t>FEB24/2015</t>
    <phoneticPr fontId="1" type="noConversion"/>
  </si>
  <si>
    <t>FEB24/2017</t>
    <phoneticPr fontId="1" type="noConversion"/>
  </si>
  <si>
    <t>FEB26/2015</t>
    <phoneticPr fontId="1" type="noConversion"/>
  </si>
  <si>
    <t>FEB26/2017</t>
    <phoneticPr fontId="1" type="noConversion"/>
  </si>
  <si>
    <t>COMP $30 VOUCHER</t>
    <phoneticPr fontId="1" type="noConversion"/>
  </si>
  <si>
    <t>MAR01/2015</t>
    <phoneticPr fontId="1" type="noConversion"/>
  </si>
  <si>
    <t>MAR01/2017</t>
    <phoneticPr fontId="1" type="noConversion"/>
  </si>
  <si>
    <t>한 고객</t>
    <phoneticPr fontId="1" type="noConversion"/>
  </si>
  <si>
    <t>2장 구매</t>
    <phoneticPr fontId="1" type="noConversion"/>
  </si>
  <si>
    <t>DEC15/14</t>
    <phoneticPr fontId="1" type="noConversion"/>
  </si>
  <si>
    <t>DEC15/16</t>
    <phoneticPr fontId="1" type="noConversion"/>
  </si>
  <si>
    <t>MAR05/2015</t>
    <phoneticPr fontId="1" type="noConversion"/>
  </si>
  <si>
    <t>MAR05/2017</t>
    <phoneticPr fontId="1" type="noConversion"/>
  </si>
  <si>
    <t>MAR07/2015</t>
    <phoneticPr fontId="1" type="noConversion"/>
  </si>
  <si>
    <t>MAR07/2017</t>
    <phoneticPr fontId="1" type="noConversion"/>
  </si>
  <si>
    <t>MAR10/2015</t>
    <phoneticPr fontId="1" type="noConversion"/>
  </si>
  <si>
    <t>MAR10/2017</t>
    <phoneticPr fontId="1" type="noConversion"/>
  </si>
  <si>
    <t>MAR11/2015</t>
    <phoneticPr fontId="1" type="noConversion"/>
  </si>
  <si>
    <t>MAR11/2017</t>
    <phoneticPr fontId="1" type="noConversion"/>
  </si>
  <si>
    <t>MAR14/2015</t>
    <phoneticPr fontId="1" type="noConversion"/>
  </si>
  <si>
    <t>MAR14/2017</t>
    <phoneticPr fontId="1" type="noConversion"/>
  </si>
  <si>
    <t>MAR17/2015</t>
    <phoneticPr fontId="1" type="noConversion"/>
  </si>
  <si>
    <t>MAR17/2017</t>
    <phoneticPr fontId="1" type="noConversion"/>
  </si>
  <si>
    <t>MAR19/2015</t>
    <phoneticPr fontId="1" type="noConversion"/>
  </si>
  <si>
    <t>MAR19/2017</t>
    <phoneticPr fontId="1" type="noConversion"/>
  </si>
  <si>
    <t>MAR28/2015</t>
    <phoneticPr fontId="1" type="noConversion"/>
  </si>
  <si>
    <t>MAR28/2017</t>
    <phoneticPr fontId="1" type="noConversion"/>
  </si>
  <si>
    <t>MAR29/2015</t>
    <phoneticPr fontId="1" type="noConversion"/>
  </si>
  <si>
    <t>MAR29/2017</t>
    <phoneticPr fontId="1" type="noConversion"/>
  </si>
  <si>
    <t>COMP</t>
    <phoneticPr fontId="1" type="noConversion"/>
  </si>
  <si>
    <t>MAR29/2016</t>
    <phoneticPr fontId="1" type="noConversion"/>
  </si>
  <si>
    <t>APR01/2015</t>
    <phoneticPr fontId="1" type="noConversion"/>
  </si>
  <si>
    <t>APR01/2017</t>
    <phoneticPr fontId="1" type="noConversion"/>
  </si>
  <si>
    <t>APR04/2015</t>
    <phoneticPr fontId="1" type="noConversion"/>
  </si>
  <si>
    <t>APR04/2017</t>
    <phoneticPr fontId="1" type="noConversion"/>
  </si>
  <si>
    <t>APR02/2015</t>
    <phoneticPr fontId="1" type="noConversion"/>
  </si>
  <si>
    <t>APR02/2017</t>
    <phoneticPr fontId="1" type="noConversion"/>
  </si>
  <si>
    <t>APR06/2015</t>
    <phoneticPr fontId="1" type="noConversion"/>
  </si>
  <si>
    <t>APR06/2017</t>
    <phoneticPr fontId="1" type="noConversion"/>
  </si>
  <si>
    <t>APR06/2016</t>
    <phoneticPr fontId="1" type="noConversion"/>
  </si>
  <si>
    <t>APR07/2015</t>
    <phoneticPr fontId="1" type="noConversion"/>
  </si>
  <si>
    <t>APR07/2017</t>
    <phoneticPr fontId="1" type="noConversion"/>
  </si>
  <si>
    <t>APR10/2015</t>
    <phoneticPr fontId="1" type="noConversion"/>
  </si>
  <si>
    <t>APR10/2017</t>
    <phoneticPr fontId="1" type="noConversion"/>
  </si>
  <si>
    <t>APR12/2015</t>
    <phoneticPr fontId="1" type="noConversion"/>
  </si>
  <si>
    <t>APR12/2017</t>
    <phoneticPr fontId="1" type="noConversion"/>
  </si>
  <si>
    <t>APR14/2015</t>
    <phoneticPr fontId="1" type="noConversion"/>
  </si>
  <si>
    <t>APR14/2017</t>
    <phoneticPr fontId="1" type="noConversion"/>
  </si>
  <si>
    <t>$40 D/C VOUCHER</t>
    <phoneticPr fontId="1" type="noConversion"/>
  </si>
  <si>
    <t>APR10/2016</t>
    <phoneticPr fontId="1" type="noConversion"/>
  </si>
  <si>
    <t>OVER CHARGE</t>
    <phoneticPr fontId="1" type="noConversion"/>
  </si>
  <si>
    <t>APR18/2015</t>
    <phoneticPr fontId="1" type="noConversion"/>
  </si>
  <si>
    <t>APR18/2017</t>
    <phoneticPr fontId="1" type="noConversion"/>
  </si>
  <si>
    <t>APR23/2015</t>
    <phoneticPr fontId="1" type="noConversion"/>
  </si>
  <si>
    <t>APR23/2017</t>
    <phoneticPr fontId="1" type="noConversion"/>
  </si>
  <si>
    <t>APR27/2015</t>
    <phoneticPr fontId="1" type="noConversion"/>
  </si>
  <si>
    <t>APR27/2017</t>
    <phoneticPr fontId="1" type="noConversion"/>
  </si>
  <si>
    <t>APR25/2015</t>
    <phoneticPr fontId="1" type="noConversion"/>
  </si>
  <si>
    <t>APR25/2017</t>
    <phoneticPr fontId="1" type="noConversion"/>
  </si>
  <si>
    <t>APR28/2015</t>
    <phoneticPr fontId="1" type="noConversion"/>
  </si>
  <si>
    <t>APR28/2017</t>
    <phoneticPr fontId="1" type="noConversion"/>
  </si>
  <si>
    <t>MAY02/2015</t>
    <phoneticPr fontId="1" type="noConversion"/>
  </si>
  <si>
    <t>MAY02/2017</t>
    <phoneticPr fontId="1" type="noConversion"/>
  </si>
  <si>
    <t>MAY04/2015</t>
    <phoneticPr fontId="1" type="noConversion"/>
  </si>
  <si>
    <t>MAY04/2017</t>
    <phoneticPr fontId="1" type="noConversion"/>
  </si>
  <si>
    <t>MAY05/2015</t>
    <phoneticPr fontId="1" type="noConversion"/>
  </si>
  <si>
    <t>MAY05/2017</t>
    <phoneticPr fontId="1" type="noConversion"/>
  </si>
  <si>
    <t>MAY06/2015</t>
    <phoneticPr fontId="1" type="noConversion"/>
  </si>
  <si>
    <t>MAY06/2017</t>
    <phoneticPr fontId="1" type="noConversion"/>
  </si>
  <si>
    <t>MAY09/2015</t>
    <phoneticPr fontId="1" type="noConversion"/>
  </si>
  <si>
    <t>MAY09/2017</t>
    <phoneticPr fontId="1" type="noConversion"/>
  </si>
  <si>
    <t>MAY10/2015</t>
    <phoneticPr fontId="1" type="noConversion"/>
  </si>
  <si>
    <t>MAY10/2017</t>
    <phoneticPr fontId="1" type="noConversion"/>
  </si>
  <si>
    <t>MAY16/2015</t>
    <phoneticPr fontId="1" type="noConversion"/>
  </si>
  <si>
    <t>MAY16/2017</t>
    <phoneticPr fontId="1" type="noConversion"/>
  </si>
  <si>
    <t>MAY17/2015</t>
    <phoneticPr fontId="1" type="noConversion"/>
  </si>
  <si>
    <t>MAY17/2017</t>
    <phoneticPr fontId="1" type="noConversion"/>
  </si>
  <si>
    <t>MAY15/2015</t>
    <phoneticPr fontId="1" type="noConversion"/>
  </si>
  <si>
    <t>MAY15/2017</t>
    <phoneticPr fontId="1" type="noConversion"/>
  </si>
  <si>
    <t>MAY18/2015</t>
    <phoneticPr fontId="1" type="noConversion"/>
  </si>
  <si>
    <t>MAY18/2017</t>
    <phoneticPr fontId="1" type="noConversion"/>
  </si>
  <si>
    <t>MAY19/2015</t>
    <phoneticPr fontId="1" type="noConversion"/>
  </si>
  <si>
    <t>MAY19/2017</t>
    <phoneticPr fontId="1" type="noConversion"/>
  </si>
  <si>
    <t>MAY24/2015</t>
    <phoneticPr fontId="1" type="noConversion"/>
  </si>
  <si>
    <t>MAY24/2017</t>
    <phoneticPr fontId="1" type="noConversion"/>
  </si>
  <si>
    <t>JUN05/2015</t>
    <phoneticPr fontId="1" type="noConversion"/>
  </si>
  <si>
    <t>JUN05/2017</t>
    <phoneticPr fontId="1" type="noConversion"/>
  </si>
  <si>
    <t>MAY20/2015</t>
    <phoneticPr fontId="1" type="noConversion"/>
  </si>
  <si>
    <t>MAY20/2017</t>
    <phoneticPr fontId="1" type="noConversion"/>
  </si>
  <si>
    <t>O</t>
    <phoneticPr fontId="1" type="noConversion"/>
  </si>
  <si>
    <t>M</t>
    <phoneticPr fontId="1" type="noConversion"/>
  </si>
  <si>
    <t>P</t>
    <phoneticPr fontId="1" type="noConversion"/>
  </si>
  <si>
    <t>JUN07/2015</t>
    <phoneticPr fontId="1" type="noConversion"/>
  </si>
  <si>
    <t>JUN07/2016</t>
    <phoneticPr fontId="1" type="noConversion"/>
  </si>
  <si>
    <t>짐 섞인것 사과</t>
    <phoneticPr fontId="1" type="noConversion"/>
  </si>
  <si>
    <t>JUN08/2015</t>
    <phoneticPr fontId="1" type="noConversion"/>
  </si>
  <si>
    <t>JUN08/2016</t>
    <phoneticPr fontId="1" type="noConversion"/>
  </si>
  <si>
    <t>JUN10/2015</t>
    <phoneticPr fontId="1" type="noConversion"/>
  </si>
  <si>
    <t>JUN10/2017</t>
    <phoneticPr fontId="1" type="noConversion"/>
  </si>
  <si>
    <t>JUN14/2015</t>
    <phoneticPr fontId="1" type="noConversion"/>
  </si>
  <si>
    <t>JUN14/2017</t>
    <phoneticPr fontId="1" type="noConversion"/>
  </si>
  <si>
    <t>JUN12/2015</t>
    <phoneticPr fontId="1" type="noConversion"/>
  </si>
  <si>
    <t>JUN12/2017</t>
    <phoneticPr fontId="1" type="noConversion"/>
  </si>
  <si>
    <t>JUN21/2015</t>
    <phoneticPr fontId="1" type="noConversion"/>
  </si>
  <si>
    <t>JUN21/2017</t>
    <phoneticPr fontId="1" type="noConversion"/>
  </si>
  <si>
    <t>JUN23/2015</t>
    <phoneticPr fontId="1" type="noConversion"/>
  </si>
  <si>
    <t>JUN23/2017</t>
    <phoneticPr fontId="1" type="noConversion"/>
  </si>
  <si>
    <t>JUN30/2015</t>
    <phoneticPr fontId="1" type="noConversion"/>
  </si>
  <si>
    <t>JUN30/2017</t>
    <phoneticPr fontId="1" type="noConversion"/>
  </si>
  <si>
    <t>JUL01/2015</t>
    <phoneticPr fontId="1" type="noConversion"/>
  </si>
  <si>
    <t>JUL01/2017</t>
    <phoneticPr fontId="1" type="noConversion"/>
  </si>
  <si>
    <t>JUN28/2015</t>
    <phoneticPr fontId="1" type="noConversion"/>
  </si>
  <si>
    <t>JUN28/2017</t>
    <phoneticPr fontId="1" type="noConversion"/>
  </si>
  <si>
    <t>JUL02/2015</t>
    <phoneticPr fontId="1" type="noConversion"/>
  </si>
  <si>
    <t>JUL02/2017</t>
    <phoneticPr fontId="1" type="noConversion"/>
  </si>
  <si>
    <t>JUL03/2015</t>
    <phoneticPr fontId="1" type="noConversion"/>
  </si>
  <si>
    <t>JUL03/2017</t>
    <phoneticPr fontId="1" type="noConversion"/>
  </si>
  <si>
    <t>JUL04/2015</t>
    <phoneticPr fontId="1" type="noConversion"/>
  </si>
  <si>
    <t>JUL04/2017</t>
    <phoneticPr fontId="1" type="noConversion"/>
  </si>
  <si>
    <t>JUL05/2015</t>
    <phoneticPr fontId="1" type="noConversion"/>
  </si>
  <si>
    <t>JUL05/2017</t>
    <phoneticPr fontId="1" type="noConversion"/>
  </si>
  <si>
    <t>JUL09/2015</t>
    <phoneticPr fontId="1" type="noConversion"/>
  </si>
  <si>
    <t>JUL09/2017</t>
    <phoneticPr fontId="1" type="noConversion"/>
  </si>
  <si>
    <t>JUL11/2015</t>
    <phoneticPr fontId="1" type="noConversion"/>
  </si>
  <si>
    <t>JUL11/2017</t>
    <phoneticPr fontId="1" type="noConversion"/>
  </si>
  <si>
    <t>EXPIRED PAID 120</t>
    <phoneticPr fontId="1" type="noConversion"/>
  </si>
  <si>
    <t>JUL12/2015</t>
    <phoneticPr fontId="1" type="noConversion"/>
  </si>
  <si>
    <t>JUL12/2017</t>
    <phoneticPr fontId="1" type="noConversion"/>
  </si>
  <si>
    <t>JUL13/2015</t>
    <phoneticPr fontId="1" type="noConversion"/>
  </si>
  <si>
    <t>JUL13/2017</t>
    <phoneticPr fontId="1" type="noConversion"/>
  </si>
  <si>
    <t>JUL17/2015</t>
    <phoneticPr fontId="1" type="noConversion"/>
  </si>
  <si>
    <t>JUL17/2017</t>
    <phoneticPr fontId="1" type="noConversion"/>
  </si>
  <si>
    <t>JUL18/2015</t>
    <phoneticPr fontId="1" type="noConversion"/>
  </si>
  <si>
    <t>JUL18/2017</t>
    <phoneticPr fontId="1" type="noConversion"/>
  </si>
  <si>
    <t>BMW INDIAN HOR</t>
    <phoneticPr fontId="1" type="noConversion"/>
  </si>
  <si>
    <t>JUL22/2015</t>
    <phoneticPr fontId="1" type="noConversion"/>
  </si>
  <si>
    <t>JUL22/2017</t>
    <phoneticPr fontId="1" type="noConversion"/>
  </si>
  <si>
    <t>JUL23/2015</t>
    <phoneticPr fontId="1" type="noConversion"/>
  </si>
  <si>
    <t>JUL23/2017</t>
    <phoneticPr fontId="1" type="noConversion"/>
  </si>
  <si>
    <t>JUL24/2015</t>
    <phoneticPr fontId="1" type="noConversion"/>
  </si>
  <si>
    <t>JUL24/2017</t>
    <phoneticPr fontId="1" type="noConversion"/>
  </si>
  <si>
    <t>JUL26/2015</t>
    <phoneticPr fontId="1" type="noConversion"/>
  </si>
  <si>
    <t>JUL26/2017</t>
    <phoneticPr fontId="1" type="noConversion"/>
  </si>
  <si>
    <t>JUL28/2015</t>
    <phoneticPr fontId="1" type="noConversion"/>
  </si>
  <si>
    <t>JUL28/2017</t>
    <phoneticPr fontId="1" type="noConversion"/>
  </si>
  <si>
    <t>JUL29/2015</t>
    <phoneticPr fontId="1" type="noConversion"/>
  </si>
  <si>
    <t>JUL29/2017</t>
    <phoneticPr fontId="1" type="noConversion"/>
  </si>
  <si>
    <t>JUL30/2015</t>
    <phoneticPr fontId="1" type="noConversion"/>
  </si>
  <si>
    <t>JUL30/2017</t>
    <phoneticPr fontId="1" type="noConversion"/>
  </si>
  <si>
    <t>JUL31/2015</t>
    <phoneticPr fontId="1" type="noConversion"/>
  </si>
  <si>
    <t>JUL31/2017</t>
    <phoneticPr fontId="1" type="noConversion"/>
  </si>
  <si>
    <t>AUG01/2015</t>
    <phoneticPr fontId="1" type="noConversion"/>
  </si>
  <si>
    <t>AUG01/2017</t>
    <phoneticPr fontId="1" type="noConversion"/>
  </si>
  <si>
    <t>AUG02/2015</t>
    <phoneticPr fontId="1" type="noConversion"/>
  </si>
  <si>
    <t>AUG02/2017</t>
    <phoneticPr fontId="1" type="noConversion"/>
  </si>
  <si>
    <t>AUG03/2015</t>
    <phoneticPr fontId="1" type="noConversion"/>
  </si>
  <si>
    <t>AUG03/2017</t>
    <phoneticPr fontId="1" type="noConversion"/>
  </si>
  <si>
    <t>AUG04/2015</t>
    <phoneticPr fontId="1" type="noConversion"/>
  </si>
  <si>
    <t>AUG04/2017</t>
    <phoneticPr fontId="1" type="noConversion"/>
  </si>
  <si>
    <t>AUG07/2015</t>
    <phoneticPr fontId="1" type="noConversion"/>
  </si>
  <si>
    <t>AUG07/2017</t>
    <phoneticPr fontId="1" type="noConversion"/>
  </si>
  <si>
    <t>AUG08/2015</t>
    <phoneticPr fontId="1" type="noConversion"/>
  </si>
  <si>
    <t>AUG08/2017</t>
    <phoneticPr fontId="1" type="noConversion"/>
  </si>
  <si>
    <t>AUG11/2015</t>
    <phoneticPr fontId="1" type="noConversion"/>
  </si>
  <si>
    <t>AUG12/2015</t>
    <phoneticPr fontId="1" type="noConversion"/>
  </si>
  <si>
    <t>AUG12/2017</t>
    <phoneticPr fontId="1" type="noConversion"/>
  </si>
  <si>
    <t>AUG11/2017</t>
    <phoneticPr fontId="1" type="noConversion"/>
  </si>
  <si>
    <t>AUG13/2015</t>
    <phoneticPr fontId="1" type="noConversion"/>
  </si>
  <si>
    <t>AUG13/2017</t>
    <phoneticPr fontId="1" type="noConversion"/>
  </si>
  <si>
    <t>AUG14/2015</t>
    <phoneticPr fontId="1" type="noConversion"/>
  </si>
  <si>
    <t>AUG14/2017</t>
    <phoneticPr fontId="1" type="noConversion"/>
  </si>
  <si>
    <t>AUG15/2015</t>
    <phoneticPr fontId="1" type="noConversion"/>
  </si>
  <si>
    <t>AUG15/2017</t>
    <phoneticPr fontId="1" type="noConversion"/>
  </si>
  <si>
    <t>AUG16/2015</t>
    <phoneticPr fontId="1" type="noConversion"/>
  </si>
  <si>
    <t>AUG16/2017</t>
    <phoneticPr fontId="1" type="noConversion"/>
  </si>
  <si>
    <t xml:space="preserve">7TH </t>
    <phoneticPr fontId="1" type="noConversion"/>
  </si>
  <si>
    <t>AUG17/2015</t>
    <phoneticPr fontId="1" type="noConversion"/>
  </si>
  <si>
    <t>AUG17/2017</t>
    <phoneticPr fontId="1" type="noConversion"/>
  </si>
  <si>
    <t>DONATION</t>
    <phoneticPr fontId="1" type="noConversion"/>
  </si>
  <si>
    <t>Roseville Public School</t>
    <phoneticPr fontId="1" type="noConversion"/>
  </si>
  <si>
    <t>at18/08/15, valid till 17/12/15</t>
    <phoneticPr fontId="1" type="noConversion"/>
  </si>
  <si>
    <t>AUG18/2015</t>
    <phoneticPr fontId="1" type="noConversion"/>
  </si>
  <si>
    <t>SUV</t>
    <phoneticPr fontId="1" type="noConversion"/>
  </si>
  <si>
    <t>DLX</t>
    <phoneticPr fontId="1" type="noConversion"/>
  </si>
  <si>
    <t>AUG18/2017</t>
    <phoneticPr fontId="1" type="noConversion"/>
  </si>
  <si>
    <t>Dec 18/2015</t>
    <phoneticPr fontId="1" type="noConversion"/>
  </si>
  <si>
    <t>AUG20/2015</t>
    <phoneticPr fontId="1" type="noConversion"/>
  </si>
  <si>
    <t>AUG20/2017</t>
    <phoneticPr fontId="1" type="noConversion"/>
  </si>
  <si>
    <t>AUG21/2015</t>
    <phoneticPr fontId="1" type="noConversion"/>
  </si>
  <si>
    <t>AUG21/2017</t>
    <phoneticPr fontId="1" type="noConversion"/>
  </si>
  <si>
    <t>AUG23/2015</t>
    <phoneticPr fontId="1" type="noConversion"/>
  </si>
  <si>
    <t>AUG23/2017</t>
    <phoneticPr fontId="1" type="noConversion"/>
  </si>
  <si>
    <t>SEP02/2015</t>
    <phoneticPr fontId="1" type="noConversion"/>
  </si>
  <si>
    <t>SEP02/2017</t>
    <phoneticPr fontId="1" type="noConversion"/>
  </si>
  <si>
    <t>AUG29/2015</t>
    <phoneticPr fontId="1" type="noConversion"/>
  </si>
  <si>
    <t>AUG29/2017</t>
    <phoneticPr fontId="1" type="noConversion"/>
  </si>
  <si>
    <t>SEP29/2015</t>
    <phoneticPr fontId="1" type="noConversion"/>
  </si>
  <si>
    <t>DONE on 04/09/15</t>
    <phoneticPr fontId="1" type="noConversion"/>
  </si>
  <si>
    <t>SEP05/2015</t>
    <phoneticPr fontId="1" type="noConversion"/>
  </si>
  <si>
    <t>SEP05/2017</t>
    <phoneticPr fontId="1" type="noConversion"/>
  </si>
  <si>
    <t>SEP09/2015</t>
    <phoneticPr fontId="1" type="noConversion"/>
  </si>
  <si>
    <t>SEP09/2015</t>
    <phoneticPr fontId="1" type="noConversion"/>
  </si>
  <si>
    <t>SEP09/2017</t>
    <phoneticPr fontId="1" type="noConversion"/>
  </si>
  <si>
    <t>SEP10/2015</t>
    <phoneticPr fontId="1" type="noConversion"/>
  </si>
  <si>
    <t>SEP10/2017</t>
    <phoneticPr fontId="1" type="noConversion"/>
  </si>
  <si>
    <t>SEP04/2015</t>
    <phoneticPr fontId="1" type="noConversion"/>
  </si>
  <si>
    <t>SEP04/2017</t>
    <phoneticPr fontId="1" type="noConversion"/>
  </si>
  <si>
    <t>SEP12/2015</t>
    <phoneticPr fontId="1" type="noConversion"/>
  </si>
  <si>
    <t>SEP12/2017</t>
    <phoneticPr fontId="1" type="noConversion"/>
  </si>
  <si>
    <t>SEP13/2015</t>
    <phoneticPr fontId="1" type="noConversion"/>
  </si>
  <si>
    <t>SEP13/2017</t>
    <phoneticPr fontId="1" type="noConversion"/>
  </si>
  <si>
    <t>SEP14/2015</t>
    <phoneticPr fontId="1" type="noConversion"/>
  </si>
  <si>
    <t>SEP14/2017</t>
    <phoneticPr fontId="1" type="noConversion"/>
  </si>
  <si>
    <t>SEP15/2015</t>
    <phoneticPr fontId="1" type="noConversion"/>
  </si>
  <si>
    <t>SEP15/2017</t>
    <phoneticPr fontId="1" type="noConversion"/>
  </si>
  <si>
    <t>SEP16/2015</t>
    <phoneticPr fontId="1" type="noConversion"/>
  </si>
  <si>
    <t>SEP16/2017</t>
    <phoneticPr fontId="1" type="noConversion"/>
  </si>
  <si>
    <t>SEP18/2015</t>
    <phoneticPr fontId="1" type="noConversion"/>
  </si>
  <si>
    <t>SEP18/2017</t>
    <phoneticPr fontId="1" type="noConversion"/>
  </si>
  <si>
    <t>FOR CEO to my life</t>
    <phoneticPr fontId="1" type="noConversion"/>
  </si>
  <si>
    <t>Merc SUVswitch damage HP2 DLX 4</t>
    <phoneticPr fontId="1" type="noConversion"/>
  </si>
  <si>
    <t>SEP19/2015</t>
    <phoneticPr fontId="1" type="noConversion"/>
  </si>
  <si>
    <t>SEP19/2017</t>
    <phoneticPr fontId="1" type="noConversion"/>
  </si>
  <si>
    <t>SEP20/2015</t>
    <phoneticPr fontId="1" type="noConversion"/>
  </si>
  <si>
    <t>SEP20/2017</t>
    <phoneticPr fontId="1" type="noConversion"/>
  </si>
  <si>
    <t>SEP22/2015</t>
    <phoneticPr fontId="1" type="noConversion"/>
  </si>
  <si>
    <t>SEP22/2017</t>
    <phoneticPr fontId="1" type="noConversion"/>
  </si>
  <si>
    <t>SEP23/2015</t>
    <phoneticPr fontId="1" type="noConversion"/>
  </si>
  <si>
    <t>SEP23/2017</t>
    <phoneticPr fontId="1" type="noConversion"/>
  </si>
  <si>
    <t>SEP27/2015</t>
    <phoneticPr fontId="1" type="noConversion"/>
  </si>
  <si>
    <t>SEP27/2017</t>
    <phoneticPr fontId="1" type="noConversion"/>
  </si>
  <si>
    <t>OCT01/2015</t>
    <phoneticPr fontId="1" type="noConversion"/>
  </si>
  <si>
    <t>OCT01/2017</t>
    <phoneticPr fontId="1" type="noConversion"/>
  </si>
  <si>
    <t>OCT03/2015</t>
    <phoneticPr fontId="1" type="noConversion"/>
  </si>
  <si>
    <t>OCT03/2017</t>
    <phoneticPr fontId="1" type="noConversion"/>
  </si>
  <si>
    <t>OCT05/2015</t>
    <phoneticPr fontId="1" type="noConversion"/>
  </si>
  <si>
    <t>OCT05/2017</t>
    <phoneticPr fontId="1" type="noConversion"/>
  </si>
  <si>
    <t>OCT04/2015</t>
    <phoneticPr fontId="1" type="noConversion"/>
  </si>
  <si>
    <t>OCT04/2017</t>
    <phoneticPr fontId="1" type="noConversion"/>
  </si>
  <si>
    <t>OCT09/2015</t>
    <phoneticPr fontId="1" type="noConversion"/>
  </si>
  <si>
    <t>OCT09/2017</t>
    <phoneticPr fontId="1" type="noConversion"/>
  </si>
  <si>
    <t>OCT10/2015</t>
    <phoneticPr fontId="1" type="noConversion"/>
  </si>
  <si>
    <t>OCT10/2017</t>
    <phoneticPr fontId="1" type="noConversion"/>
  </si>
  <si>
    <t>COMPLAINT</t>
    <phoneticPr fontId="1" type="noConversion"/>
  </si>
  <si>
    <t>OCT11/2015</t>
    <phoneticPr fontId="1" type="noConversion"/>
  </si>
  <si>
    <t>OCT11/2017</t>
    <phoneticPr fontId="1" type="noConversion"/>
  </si>
  <si>
    <t>OCT12/2015</t>
    <phoneticPr fontId="1" type="noConversion"/>
  </si>
  <si>
    <t>OCT12/2017</t>
    <phoneticPr fontId="1" type="noConversion"/>
  </si>
  <si>
    <t>Compliment by CEO</t>
    <phoneticPr fontId="1" type="noConversion"/>
  </si>
  <si>
    <t>OCT15/2015</t>
    <phoneticPr fontId="1" type="noConversion"/>
  </si>
  <si>
    <t>OCT16/2015</t>
    <phoneticPr fontId="1" type="noConversion"/>
  </si>
  <si>
    <t>OCT15/2017</t>
    <phoneticPr fontId="1" type="noConversion"/>
  </si>
  <si>
    <t>OCT16/2017</t>
    <phoneticPr fontId="1" type="noConversion"/>
  </si>
  <si>
    <t>OCT17/2015</t>
    <phoneticPr fontId="1" type="noConversion"/>
  </si>
  <si>
    <t>OCT17/2017</t>
    <phoneticPr fontId="1" type="noConversion"/>
  </si>
  <si>
    <t>OCT19/2015</t>
    <phoneticPr fontId="1" type="noConversion"/>
  </si>
  <si>
    <t>OCT19/2017</t>
    <phoneticPr fontId="1" type="noConversion"/>
  </si>
  <si>
    <t xml:space="preserve">` </t>
    <phoneticPr fontId="1" type="noConversion"/>
  </si>
  <si>
    <t>OCT24/2015</t>
    <phoneticPr fontId="1" type="noConversion"/>
  </si>
  <si>
    <t>OCT24/2018</t>
    <phoneticPr fontId="1" type="noConversion"/>
  </si>
  <si>
    <t>OCT29/2015</t>
    <phoneticPr fontId="1" type="noConversion"/>
  </si>
  <si>
    <t>OCT29/2017</t>
    <phoneticPr fontId="1" type="noConversion"/>
  </si>
  <si>
    <t>OCT30/2015</t>
    <phoneticPr fontId="1" type="noConversion"/>
  </si>
  <si>
    <t>OCT30/2017</t>
    <phoneticPr fontId="1" type="noConversion"/>
  </si>
  <si>
    <t>OCT31/2015</t>
    <phoneticPr fontId="1" type="noConversion"/>
  </si>
  <si>
    <t>OCT31/2017</t>
    <phoneticPr fontId="1" type="noConversion"/>
  </si>
  <si>
    <t>NOV08/2015</t>
    <phoneticPr fontId="1" type="noConversion"/>
  </si>
  <si>
    <t>NOV08/2016</t>
    <phoneticPr fontId="1" type="noConversion"/>
  </si>
  <si>
    <t>WASH ONLY COMP</t>
    <phoneticPr fontId="1" type="noConversion"/>
  </si>
  <si>
    <t>$45 VALUE</t>
    <phoneticPr fontId="1" type="noConversion"/>
  </si>
  <si>
    <t>$90 VALUE</t>
    <phoneticPr fontId="1" type="noConversion"/>
  </si>
  <si>
    <t>HP COMP</t>
    <phoneticPr fontId="1" type="noConversion"/>
  </si>
  <si>
    <t>NOV09/2015</t>
    <phoneticPr fontId="1" type="noConversion"/>
  </si>
  <si>
    <t>NOV09/2016</t>
    <phoneticPr fontId="1" type="noConversion"/>
  </si>
  <si>
    <t>ONCE</t>
    <phoneticPr fontId="1" type="noConversion"/>
  </si>
  <si>
    <t>NOV09/2017</t>
    <phoneticPr fontId="1" type="noConversion"/>
  </si>
  <si>
    <t>NOV10/2015</t>
    <phoneticPr fontId="1" type="noConversion"/>
  </si>
  <si>
    <t>NOV10/2017</t>
    <phoneticPr fontId="1" type="noConversion"/>
  </si>
  <si>
    <t xml:space="preserve"> JAN - JUN 2014</t>
    <phoneticPr fontId="1" type="noConversion"/>
  </si>
  <si>
    <t>NOV16/2015</t>
    <phoneticPr fontId="1" type="noConversion"/>
  </si>
  <si>
    <t>NOV16/2017</t>
    <phoneticPr fontId="1" type="noConversion"/>
  </si>
  <si>
    <t>NOV12/2015</t>
    <phoneticPr fontId="1" type="noConversion"/>
  </si>
  <si>
    <t>NOV12/2017</t>
    <phoneticPr fontId="1" type="noConversion"/>
  </si>
  <si>
    <t>NOV19/2015</t>
    <phoneticPr fontId="1" type="noConversion"/>
  </si>
  <si>
    <t>NOV19/2017</t>
    <phoneticPr fontId="1" type="noConversion"/>
  </si>
  <si>
    <t>NOV17/2015</t>
    <phoneticPr fontId="1" type="noConversion"/>
  </si>
  <si>
    <t>NOV17/2017</t>
    <phoneticPr fontId="1" type="noConversion"/>
  </si>
  <si>
    <t>NOV20/2015</t>
    <phoneticPr fontId="1" type="noConversion"/>
  </si>
  <si>
    <t>NOV20/2017</t>
    <phoneticPr fontId="1" type="noConversion"/>
  </si>
  <si>
    <t>NOV21/2015</t>
    <phoneticPr fontId="1" type="noConversion"/>
  </si>
  <si>
    <t>NOV21/2017</t>
    <phoneticPr fontId="1" type="noConversion"/>
  </si>
  <si>
    <t>NOV22/2015</t>
    <phoneticPr fontId="1" type="noConversion"/>
  </si>
  <si>
    <t>NOV22/2017</t>
    <phoneticPr fontId="1" type="noConversion"/>
  </si>
  <si>
    <t>NOV23/2015</t>
    <phoneticPr fontId="1" type="noConversion"/>
  </si>
  <si>
    <t>NOV23/2017</t>
    <phoneticPr fontId="1" type="noConversion"/>
  </si>
  <si>
    <t>NOV25/2015</t>
    <phoneticPr fontId="1" type="noConversion"/>
  </si>
  <si>
    <t>NOV25/2017</t>
    <phoneticPr fontId="1" type="noConversion"/>
  </si>
  <si>
    <t>NOV26/2015</t>
    <phoneticPr fontId="1" type="noConversion"/>
  </si>
  <si>
    <t>NOV26/2017</t>
    <phoneticPr fontId="1" type="noConversion"/>
  </si>
  <si>
    <t>NOV28/2015</t>
    <phoneticPr fontId="1" type="noConversion"/>
  </si>
  <si>
    <t>NOV28/2017</t>
    <phoneticPr fontId="1" type="noConversion"/>
  </si>
  <si>
    <t>NOV27/2015</t>
    <phoneticPr fontId="1" type="noConversion"/>
  </si>
  <si>
    <t>NOV27/2017</t>
    <phoneticPr fontId="1" type="noConversion"/>
  </si>
  <si>
    <t>NOV29/2015</t>
    <phoneticPr fontId="1" type="noConversion"/>
  </si>
  <si>
    <t>NOV29/2017</t>
    <phoneticPr fontId="1" type="noConversion"/>
  </si>
  <si>
    <t>NOV30/2015</t>
    <phoneticPr fontId="1" type="noConversion"/>
  </si>
  <si>
    <t>NOV30/2017</t>
    <phoneticPr fontId="1" type="noConversion"/>
  </si>
  <si>
    <t>DEC01/2015</t>
    <phoneticPr fontId="1" type="noConversion"/>
  </si>
  <si>
    <t>DEC01/2017</t>
    <phoneticPr fontId="1" type="noConversion"/>
  </si>
  <si>
    <t>e-mail</t>
    <phoneticPr fontId="1" type="noConversion"/>
  </si>
  <si>
    <t>DEC04/2015</t>
    <phoneticPr fontId="1" type="noConversion"/>
  </si>
  <si>
    <t>DEC04/2017</t>
    <phoneticPr fontId="1" type="noConversion"/>
  </si>
  <si>
    <t>John  전화기 습득 감사</t>
    <phoneticPr fontId="1" type="noConversion"/>
  </si>
  <si>
    <t>comp</t>
    <phoneticPr fontId="1" type="noConversion"/>
  </si>
  <si>
    <t>DEC05/2015</t>
    <phoneticPr fontId="1" type="noConversion"/>
  </si>
  <si>
    <t>DEC05/2017</t>
    <phoneticPr fontId="1" type="noConversion"/>
  </si>
  <si>
    <t>DEC06/2015</t>
    <phoneticPr fontId="1" type="noConversion"/>
  </si>
  <si>
    <t>DEC06/2017</t>
    <phoneticPr fontId="1" type="noConversion"/>
  </si>
  <si>
    <t>DEC09/2015</t>
    <phoneticPr fontId="1" type="noConversion"/>
  </si>
  <si>
    <t>DEC09/2017</t>
    <phoneticPr fontId="1" type="noConversion"/>
  </si>
  <si>
    <t>SAEID GUARD DAMAGE DLX 3 COMP</t>
    <phoneticPr fontId="1" type="noConversion"/>
  </si>
  <si>
    <t>DEC07/2015</t>
    <phoneticPr fontId="1" type="noConversion"/>
  </si>
  <si>
    <t>DEC07/2017</t>
    <phoneticPr fontId="1" type="noConversion"/>
  </si>
  <si>
    <t>DEC09/2016</t>
    <phoneticPr fontId="1" type="noConversion"/>
  </si>
  <si>
    <t>DEC10/2015</t>
    <phoneticPr fontId="1" type="noConversion"/>
  </si>
  <si>
    <t>NO</t>
    <phoneticPr fontId="1" type="noConversion"/>
  </si>
  <si>
    <t>DEC14/2015</t>
    <phoneticPr fontId="1" type="noConversion"/>
  </si>
  <si>
    <t>DEC14/2017</t>
    <phoneticPr fontId="1" type="noConversion"/>
  </si>
  <si>
    <t>DEC14/2015</t>
    <phoneticPr fontId="1" type="noConversion"/>
  </si>
  <si>
    <t>DEC15/2015</t>
    <phoneticPr fontId="1" type="noConversion"/>
  </si>
  <si>
    <t>DEC15/2017</t>
    <phoneticPr fontId="1" type="noConversion"/>
  </si>
  <si>
    <t>DEC13/2015</t>
    <phoneticPr fontId="1" type="noConversion"/>
  </si>
  <si>
    <t>DEC13/2017</t>
    <phoneticPr fontId="1" type="noConversion"/>
  </si>
  <si>
    <t>DEC12/2015</t>
    <phoneticPr fontId="1" type="noConversion"/>
  </si>
  <si>
    <t>DEC12/2017</t>
    <phoneticPr fontId="1" type="noConversion"/>
  </si>
  <si>
    <t>DEC11/2015</t>
    <phoneticPr fontId="1" type="noConversion"/>
  </si>
  <si>
    <t>DEC11/2017</t>
    <phoneticPr fontId="1" type="noConversion"/>
  </si>
  <si>
    <t>DEC11/2015</t>
    <phoneticPr fontId="1" type="noConversion"/>
  </si>
  <si>
    <t>NO DOCKET GV PURCHASE</t>
    <phoneticPr fontId="1" type="noConversion"/>
  </si>
  <si>
    <t>DEC17/2015</t>
    <phoneticPr fontId="1" type="noConversion"/>
  </si>
  <si>
    <t>DEC17/2017</t>
    <phoneticPr fontId="1" type="noConversion"/>
  </si>
  <si>
    <t>DEC18/2015</t>
    <phoneticPr fontId="1" type="noConversion"/>
  </si>
  <si>
    <t>DEC18/2017</t>
    <phoneticPr fontId="1" type="noConversion"/>
  </si>
  <si>
    <t>DEC20/2015</t>
    <phoneticPr fontId="1" type="noConversion"/>
  </si>
  <si>
    <t>DEC20/2017</t>
    <phoneticPr fontId="1" type="noConversion"/>
  </si>
  <si>
    <t>DEC20/2015</t>
    <phoneticPr fontId="1" type="noConversion"/>
  </si>
  <si>
    <t>DEC20/2017</t>
    <phoneticPr fontId="1" type="noConversion"/>
  </si>
  <si>
    <t>DEC20/2015</t>
    <phoneticPr fontId="1" type="noConversion"/>
  </si>
  <si>
    <t>DEC20/2017</t>
    <phoneticPr fontId="1" type="noConversion"/>
  </si>
  <si>
    <t>DEC21/2015</t>
    <phoneticPr fontId="1" type="noConversion"/>
  </si>
  <si>
    <t>DEC21/2017</t>
    <phoneticPr fontId="1" type="noConversion"/>
  </si>
  <si>
    <t>DEC19/2015</t>
    <phoneticPr fontId="1" type="noConversion"/>
  </si>
  <si>
    <t>DEC19/2017</t>
    <phoneticPr fontId="1" type="noConversion"/>
  </si>
  <si>
    <t>DEC30/2015</t>
    <phoneticPr fontId="1" type="noConversion"/>
  </si>
  <si>
    <t>DEC30/2017</t>
    <phoneticPr fontId="1" type="noConversion"/>
  </si>
  <si>
    <t>DEC30/2015</t>
    <phoneticPr fontId="1" type="noConversion"/>
  </si>
  <si>
    <t>DEC30/2017</t>
    <phoneticPr fontId="1" type="noConversion"/>
  </si>
  <si>
    <t>DEC29/2015</t>
    <phoneticPr fontId="1" type="noConversion"/>
  </si>
  <si>
    <t>DEC29/2017</t>
    <phoneticPr fontId="1" type="noConversion"/>
  </si>
  <si>
    <t>DEC29/2015</t>
    <phoneticPr fontId="1" type="noConversion"/>
  </si>
  <si>
    <t>DEC29/2017</t>
    <phoneticPr fontId="1" type="noConversion"/>
  </si>
  <si>
    <t>JAN08/2016</t>
    <phoneticPr fontId="1" type="noConversion"/>
  </si>
  <si>
    <t>JAN08/2018</t>
    <phoneticPr fontId="1" type="noConversion"/>
  </si>
  <si>
    <t>DEC23/2015</t>
    <phoneticPr fontId="1" type="noConversion"/>
  </si>
  <si>
    <t>DEC23/2017</t>
    <phoneticPr fontId="1" type="noConversion"/>
  </si>
  <si>
    <t>JAN 11/2016</t>
    <phoneticPr fontId="1" type="noConversion"/>
  </si>
  <si>
    <t>JAN 11/2018</t>
    <phoneticPr fontId="1" type="noConversion"/>
  </si>
  <si>
    <t>Done on 11/01/2016</t>
    <phoneticPr fontId="1" type="noConversion"/>
  </si>
  <si>
    <t>7th</t>
    <phoneticPr fontId="1" type="noConversion"/>
  </si>
  <si>
    <t>JAN 14/2016</t>
    <phoneticPr fontId="1" type="noConversion"/>
  </si>
  <si>
    <t>JAN 14/2018</t>
    <phoneticPr fontId="1" type="noConversion"/>
  </si>
  <si>
    <t>GA 지원</t>
    <phoneticPr fontId="1" type="noConversion"/>
  </si>
  <si>
    <t>GA 지원</t>
    <phoneticPr fontId="1" type="noConversion"/>
  </si>
  <si>
    <t>JAN 16/2016</t>
    <phoneticPr fontId="1" type="noConversion"/>
  </si>
  <si>
    <t>JAN 16/2018</t>
    <phoneticPr fontId="1" type="noConversion"/>
  </si>
  <si>
    <t>JAN 18/2016</t>
    <phoneticPr fontId="1" type="noConversion"/>
  </si>
  <si>
    <t>JAN 18/2018</t>
    <phoneticPr fontId="1" type="noConversion"/>
  </si>
  <si>
    <t>JAN 20/2016</t>
    <phoneticPr fontId="1" type="noConversion"/>
  </si>
  <si>
    <t>JAN 20/2018</t>
    <phoneticPr fontId="1" type="noConversion"/>
  </si>
  <si>
    <t>JAN 23/2016</t>
    <phoneticPr fontId="1" type="noConversion"/>
  </si>
  <si>
    <t>JAN 23/2018</t>
    <phoneticPr fontId="1" type="noConversion"/>
  </si>
  <si>
    <t>JAN 27/2016</t>
    <phoneticPr fontId="1" type="noConversion"/>
  </si>
  <si>
    <t>JAN 27/2018</t>
    <phoneticPr fontId="1" type="noConversion"/>
  </si>
  <si>
    <t>JAN 30/2016</t>
    <phoneticPr fontId="1" type="noConversion"/>
  </si>
  <si>
    <t>JAN 30/2018</t>
    <phoneticPr fontId="1" type="noConversion"/>
  </si>
  <si>
    <t>JAN 29/2018</t>
    <phoneticPr fontId="1" type="noConversion"/>
  </si>
  <si>
    <t>JAN 25/2016</t>
    <phoneticPr fontId="1" type="noConversion"/>
  </si>
  <si>
    <t>JAN 25/2018</t>
    <phoneticPr fontId="1" type="noConversion"/>
  </si>
  <si>
    <t>JAN 31/2016</t>
    <phoneticPr fontId="1" type="noConversion"/>
  </si>
  <si>
    <t>JAN 31/2018</t>
    <phoneticPr fontId="1" type="noConversion"/>
  </si>
  <si>
    <t>JAN 29/2016</t>
    <phoneticPr fontId="1" type="noConversion"/>
  </si>
  <si>
    <t>FEB 03/2018</t>
    <phoneticPr fontId="1" type="noConversion"/>
  </si>
  <si>
    <t>FEB 03/2016</t>
    <phoneticPr fontId="1" type="noConversion"/>
  </si>
  <si>
    <t>KEVIN</t>
    <phoneticPr fontId="1" type="noConversion"/>
  </si>
  <si>
    <t>3 times Transferred to # 160884</t>
    <phoneticPr fontId="1" type="noConversion"/>
  </si>
  <si>
    <t>FEB 06/2016</t>
    <phoneticPr fontId="1" type="noConversion"/>
  </si>
  <si>
    <t>FEB 06/2018</t>
    <phoneticPr fontId="1" type="noConversion"/>
  </si>
  <si>
    <t>detail complaint compliment</t>
    <phoneticPr fontId="1" type="noConversion"/>
  </si>
  <si>
    <t>FEB 07/2016</t>
    <phoneticPr fontId="1" type="noConversion"/>
  </si>
  <si>
    <t>FEB 07/2018</t>
    <phoneticPr fontId="1" type="noConversion"/>
  </si>
  <si>
    <t>FEB 08/2016</t>
    <phoneticPr fontId="1" type="noConversion"/>
  </si>
  <si>
    <t>FEB 08/2018</t>
    <phoneticPr fontId="1" type="noConversion"/>
  </si>
  <si>
    <t>FEB 09/2016</t>
    <phoneticPr fontId="1" type="noConversion"/>
  </si>
  <si>
    <t>FEB 09/2018</t>
    <phoneticPr fontId="1" type="noConversion"/>
  </si>
  <si>
    <t>FEB 11/2016</t>
    <phoneticPr fontId="1" type="noConversion"/>
  </si>
  <si>
    <t>FEB 11/2018</t>
    <phoneticPr fontId="1" type="noConversion"/>
  </si>
  <si>
    <t>FEB 11/2016</t>
    <phoneticPr fontId="1" type="noConversion"/>
  </si>
  <si>
    <t>FEB 11/2018</t>
    <phoneticPr fontId="1" type="noConversion"/>
  </si>
  <si>
    <t xml:space="preserve">Phone </t>
    <phoneticPr fontId="1" type="noConversion"/>
  </si>
  <si>
    <t>FEB 12/2016</t>
    <phoneticPr fontId="1" type="noConversion"/>
  </si>
  <si>
    <t>FEB 12/2018</t>
    <phoneticPr fontId="1" type="noConversion"/>
  </si>
  <si>
    <t>FEB 13/2016</t>
    <phoneticPr fontId="1" type="noConversion"/>
  </si>
  <si>
    <t>FEB 13/2018</t>
    <phoneticPr fontId="1" type="noConversion"/>
  </si>
  <si>
    <t>FEB 14/2016</t>
    <phoneticPr fontId="1" type="noConversion"/>
  </si>
  <si>
    <t>FEB 14/2018</t>
    <phoneticPr fontId="1" type="noConversion"/>
  </si>
  <si>
    <t>FEB 17/2018</t>
    <phoneticPr fontId="1" type="noConversion"/>
  </si>
  <si>
    <t>FEB 20/2016</t>
    <phoneticPr fontId="1" type="noConversion"/>
  </si>
  <si>
    <t>FEB 20/2018</t>
    <phoneticPr fontId="1" type="noConversion"/>
  </si>
  <si>
    <t>FEB 17/2016</t>
    <phoneticPr fontId="1" type="noConversion"/>
  </si>
  <si>
    <t>FEB 15/2016</t>
    <phoneticPr fontId="1" type="noConversion"/>
  </si>
  <si>
    <t>FEB 15/2018</t>
    <phoneticPr fontId="1" type="noConversion"/>
  </si>
  <si>
    <t>FEB 21/2016</t>
    <phoneticPr fontId="1" type="noConversion"/>
  </si>
  <si>
    <t>FEB 21/2018</t>
    <phoneticPr fontId="1" type="noConversion"/>
  </si>
  <si>
    <t>FEB 22/2016</t>
    <phoneticPr fontId="1" type="noConversion"/>
  </si>
  <si>
    <t>FEB 22/2018</t>
    <phoneticPr fontId="1" type="noConversion"/>
  </si>
  <si>
    <t>FEB 24/2016</t>
    <phoneticPr fontId="1" type="noConversion"/>
  </si>
  <si>
    <t>FEB 27/2016</t>
    <phoneticPr fontId="1" type="noConversion"/>
  </si>
  <si>
    <t>UNCLAIMED</t>
    <phoneticPr fontId="1" type="noConversion"/>
  </si>
  <si>
    <t>UNCLAIMED</t>
    <phoneticPr fontId="1" type="noConversion"/>
  </si>
  <si>
    <t>MAR 01/2016</t>
    <phoneticPr fontId="1" type="noConversion"/>
  </si>
  <si>
    <t>MAR 01/2018</t>
    <phoneticPr fontId="1" type="noConversion"/>
  </si>
  <si>
    <t>MAR 01/2018</t>
    <phoneticPr fontId="1" type="noConversion"/>
  </si>
  <si>
    <t>FEB 27/2018</t>
    <phoneticPr fontId="1" type="noConversion"/>
  </si>
  <si>
    <t>FEB 29/2016</t>
    <phoneticPr fontId="1" type="noConversion"/>
  </si>
  <si>
    <t>FEB 29/2018</t>
    <phoneticPr fontId="1" type="noConversion"/>
  </si>
  <si>
    <t>MAR 05/2016</t>
    <phoneticPr fontId="1" type="noConversion"/>
  </si>
  <si>
    <t>MAR 05/2018</t>
    <phoneticPr fontId="1" type="noConversion"/>
  </si>
  <si>
    <t>MAR 05/2016</t>
    <phoneticPr fontId="1" type="noConversion"/>
  </si>
  <si>
    <t>MAR 04/2016</t>
    <phoneticPr fontId="1" type="noConversion"/>
  </si>
  <si>
    <t>MAR 03/2016</t>
    <phoneticPr fontId="1" type="noConversion"/>
  </si>
  <si>
    <t>MAR 03/2018</t>
    <phoneticPr fontId="1" type="noConversion"/>
  </si>
  <si>
    <t>MAR 06/2016</t>
    <phoneticPr fontId="1" type="noConversion"/>
  </si>
  <si>
    <t>MAR 06/2018</t>
    <phoneticPr fontId="1" type="noConversion"/>
  </si>
  <si>
    <t>MAR 08/2016</t>
    <phoneticPr fontId="1" type="noConversion"/>
  </si>
  <si>
    <t>MAR 09/2016</t>
    <phoneticPr fontId="1" type="noConversion"/>
  </si>
  <si>
    <t>MAR 07/2016</t>
    <phoneticPr fontId="1" type="noConversion"/>
  </si>
  <si>
    <t>MAR 07/2018</t>
    <phoneticPr fontId="1" type="noConversion"/>
  </si>
  <si>
    <t>MAR 08/2018</t>
    <phoneticPr fontId="1" type="noConversion"/>
  </si>
  <si>
    <t>MAR 09/2018</t>
    <phoneticPr fontId="1" type="noConversion"/>
  </si>
  <si>
    <t>MAR 11/2016</t>
    <phoneticPr fontId="1" type="noConversion"/>
  </si>
  <si>
    <t>MAR 11/2018</t>
    <phoneticPr fontId="1" type="noConversion"/>
  </si>
  <si>
    <t>EXTRA ONE MORE</t>
    <phoneticPr fontId="1" type="noConversion"/>
  </si>
  <si>
    <t xml:space="preserve">WASH </t>
    <phoneticPr fontId="1" type="noConversion"/>
  </si>
  <si>
    <t>UPDATE FROM #150851 BY SELLING suv</t>
    <phoneticPr fontId="1" type="noConversion"/>
  </si>
  <si>
    <t xml:space="preserve">CANCELLED BY SELLING SUV, RE-ISSUED #160926 WASH ONLY </t>
    <phoneticPr fontId="1" type="noConversion"/>
  </si>
  <si>
    <t>MAR 12/2016</t>
    <phoneticPr fontId="1" type="noConversion"/>
  </si>
  <si>
    <t>MAR 12/2018</t>
    <phoneticPr fontId="1" type="noConversion"/>
  </si>
  <si>
    <t>PHONE AUTH ONE TIME</t>
    <phoneticPr fontId="1" type="noConversion"/>
  </si>
  <si>
    <t>MAR 13/2016</t>
    <phoneticPr fontId="1" type="noConversion"/>
  </si>
  <si>
    <t>MAR 13/2018</t>
    <phoneticPr fontId="1" type="noConversion"/>
  </si>
  <si>
    <t>MAR 14/2016</t>
    <phoneticPr fontId="1" type="noConversion"/>
  </si>
  <si>
    <t>MAR 14/2018</t>
    <phoneticPr fontId="1" type="noConversion"/>
  </si>
  <si>
    <t>MAR 15/2016</t>
    <phoneticPr fontId="1" type="noConversion"/>
  </si>
  <si>
    <t>MAR 15/2018</t>
    <phoneticPr fontId="1" type="noConversion"/>
  </si>
  <si>
    <t>MAR 20/2016</t>
    <phoneticPr fontId="1" type="noConversion"/>
  </si>
  <si>
    <t>MAR 20/2018</t>
    <phoneticPr fontId="1" type="noConversion"/>
  </si>
  <si>
    <t>미판매, 한국인 니콜 언니</t>
    <phoneticPr fontId="1" type="noConversion"/>
  </si>
  <si>
    <t>MAR 24/2016</t>
    <phoneticPr fontId="1" type="noConversion"/>
  </si>
  <si>
    <t>MAR 24/2018</t>
    <phoneticPr fontId="1" type="noConversion"/>
  </si>
  <si>
    <t>MAR 24/2016</t>
    <phoneticPr fontId="1" type="noConversion"/>
  </si>
  <si>
    <t>MAR 24/2018</t>
    <phoneticPr fontId="1" type="noConversion"/>
  </si>
  <si>
    <t>MAR 30/2016</t>
    <phoneticPr fontId="1" type="noConversion"/>
  </si>
  <si>
    <t>MAR 30/2018</t>
    <phoneticPr fontId="1" type="noConversion"/>
  </si>
  <si>
    <t>MAR 30/2016</t>
    <phoneticPr fontId="1" type="noConversion"/>
  </si>
  <si>
    <t>MAR 30/2018</t>
    <phoneticPr fontId="1" type="noConversion"/>
  </si>
  <si>
    <t>MAR 31/2016</t>
    <phoneticPr fontId="1" type="noConversion"/>
  </si>
  <si>
    <t>MAR 31/2018</t>
    <phoneticPr fontId="1" type="noConversion"/>
  </si>
  <si>
    <t>MAR 31/2016</t>
    <phoneticPr fontId="1" type="noConversion"/>
  </si>
  <si>
    <t>MAR 31/2018</t>
    <phoneticPr fontId="1" type="noConversion"/>
  </si>
  <si>
    <t>MAR 31/2016</t>
    <phoneticPr fontId="1" type="noConversion"/>
  </si>
  <si>
    <t>MAR 31/2018</t>
    <phoneticPr fontId="1" type="noConversion"/>
  </si>
  <si>
    <t>APR 01/2016</t>
    <phoneticPr fontId="1" type="noConversion"/>
  </si>
  <si>
    <t>APR 01/2018</t>
    <phoneticPr fontId="1" type="noConversion"/>
  </si>
  <si>
    <t>APR 01/2016</t>
    <phoneticPr fontId="1" type="noConversion"/>
  </si>
  <si>
    <t>APR 03/2016</t>
    <phoneticPr fontId="1" type="noConversion"/>
  </si>
  <si>
    <t>APR 03/2018</t>
    <phoneticPr fontId="1" type="noConversion"/>
  </si>
  <si>
    <t>APR 02/2016</t>
    <phoneticPr fontId="1" type="noConversion"/>
  </si>
  <si>
    <t>APR 02/2018</t>
    <phoneticPr fontId="1" type="noConversion"/>
  </si>
  <si>
    <t>APR 05/2016</t>
    <phoneticPr fontId="1" type="noConversion"/>
  </si>
  <si>
    <t>APR 05/2018</t>
    <phoneticPr fontId="1" type="noConversion"/>
  </si>
  <si>
    <t>MS PENNY</t>
    <phoneticPr fontId="1" type="noConversion"/>
  </si>
  <si>
    <t>MAR 31/2016</t>
    <phoneticPr fontId="1" type="noConversion"/>
  </si>
  <si>
    <t>MAR 31/2021</t>
    <phoneticPr fontId="1" type="noConversion"/>
  </si>
  <si>
    <t>APR 09/2016</t>
    <phoneticPr fontId="1" type="noConversion"/>
  </si>
  <si>
    <t>APR 09/2018</t>
    <phoneticPr fontId="1" type="noConversion"/>
  </si>
  <si>
    <t>APR 11/2016</t>
    <phoneticPr fontId="1" type="noConversion"/>
  </si>
  <si>
    <t>APR 11/2018</t>
    <phoneticPr fontId="1" type="noConversion"/>
  </si>
  <si>
    <t>APR 13/2016</t>
    <phoneticPr fontId="1" type="noConversion"/>
  </si>
  <si>
    <t>APR 13/2018</t>
    <phoneticPr fontId="1" type="noConversion"/>
  </si>
  <si>
    <t>APR 14/2016</t>
    <phoneticPr fontId="1" type="noConversion"/>
  </si>
  <si>
    <t>APR 14/2018</t>
    <phoneticPr fontId="1" type="noConversion"/>
  </si>
  <si>
    <t>APR 10/2016</t>
    <phoneticPr fontId="1" type="noConversion"/>
  </si>
  <si>
    <t>APR 10/2018</t>
    <phoneticPr fontId="1" type="noConversion"/>
  </si>
  <si>
    <t>JAMES COMPLAINT</t>
    <phoneticPr fontId="1" type="noConversion"/>
  </si>
  <si>
    <t>APR 16/2016</t>
    <phoneticPr fontId="1" type="noConversion"/>
  </si>
  <si>
    <t>APR 16/2018</t>
    <phoneticPr fontId="1" type="noConversion"/>
  </si>
  <si>
    <t>APR 17/2016</t>
    <phoneticPr fontId="1" type="noConversion"/>
  </si>
  <si>
    <t>APR 17/2018</t>
    <phoneticPr fontId="1" type="noConversion"/>
  </si>
  <si>
    <t>APR 18/2016</t>
    <phoneticPr fontId="1" type="noConversion"/>
  </si>
  <si>
    <t>APR 18/2018</t>
    <phoneticPr fontId="1" type="noConversion"/>
  </si>
  <si>
    <t>APR 19/2016</t>
    <phoneticPr fontId="1" type="noConversion"/>
  </si>
  <si>
    <t>APR 19/2018</t>
    <phoneticPr fontId="1" type="noConversion"/>
  </si>
  <si>
    <t>APR 20/2016</t>
    <phoneticPr fontId="1" type="noConversion"/>
  </si>
  <si>
    <t>APR 20/2018</t>
    <phoneticPr fontId="1" type="noConversion"/>
  </si>
  <si>
    <t>APR 25/2016</t>
  </si>
  <si>
    <t>APR 25/2016</t>
    <phoneticPr fontId="1" type="noConversion"/>
  </si>
  <si>
    <t>APR 25/2018</t>
  </si>
  <si>
    <t>APR 25/2018</t>
    <phoneticPr fontId="1" type="noConversion"/>
  </si>
  <si>
    <t>APR 27/2016</t>
    <phoneticPr fontId="1" type="noConversion"/>
  </si>
  <si>
    <t>APR 27/2018</t>
    <phoneticPr fontId="1" type="noConversion"/>
  </si>
  <si>
    <t>APR 28/2016</t>
    <phoneticPr fontId="1" type="noConversion"/>
  </si>
  <si>
    <t>APR 28/2018</t>
    <phoneticPr fontId="1" type="noConversion"/>
  </si>
  <si>
    <t xml:space="preserve">KEVIN 지인 </t>
    <phoneticPr fontId="1" type="noConversion"/>
  </si>
  <si>
    <t>APR 29/2016</t>
    <phoneticPr fontId="1" type="noConversion"/>
  </si>
  <si>
    <t>APR 29/2018</t>
    <phoneticPr fontId="1" type="noConversion"/>
  </si>
  <si>
    <t>MAY01/2016</t>
    <phoneticPr fontId="1" type="noConversion"/>
  </si>
  <si>
    <t>MAY01/2018</t>
    <phoneticPr fontId="1" type="noConversion"/>
  </si>
  <si>
    <t>APR 30/2016</t>
    <phoneticPr fontId="1" type="noConversion"/>
  </si>
  <si>
    <t>APR 30/2018</t>
    <phoneticPr fontId="1" type="noConversion"/>
  </si>
  <si>
    <t>MAY02/2016</t>
    <phoneticPr fontId="1" type="noConversion"/>
  </si>
  <si>
    <t>MAY02/2018</t>
    <phoneticPr fontId="1" type="noConversion"/>
  </si>
  <si>
    <t>MAY03/2016</t>
    <phoneticPr fontId="1" type="noConversion"/>
  </si>
  <si>
    <t>MAY03/2018</t>
    <phoneticPr fontId="1" type="noConversion"/>
  </si>
  <si>
    <t>??</t>
    <phoneticPr fontId="1" type="noConversion"/>
  </si>
  <si>
    <t>MAY06/2016</t>
    <phoneticPr fontId="1" type="noConversion"/>
  </si>
  <si>
    <t>MAY06/2018</t>
    <phoneticPr fontId="1" type="noConversion"/>
  </si>
  <si>
    <t>MAY07/2016</t>
    <phoneticPr fontId="1" type="noConversion"/>
  </si>
  <si>
    <t>MAY07/2018</t>
    <phoneticPr fontId="1" type="noConversion"/>
  </si>
  <si>
    <t>MAY08/2016</t>
    <phoneticPr fontId="1" type="noConversion"/>
  </si>
  <si>
    <t>MAY08/2018</t>
    <phoneticPr fontId="1" type="noConversion"/>
  </si>
  <si>
    <t>MAY11/2016</t>
    <phoneticPr fontId="1" type="noConversion"/>
  </si>
  <si>
    <t>MAY11/2018</t>
    <phoneticPr fontId="1" type="noConversion"/>
  </si>
  <si>
    <t>MAY12/2016</t>
    <phoneticPr fontId="1" type="noConversion"/>
  </si>
  <si>
    <t>MAY12/2018</t>
    <phoneticPr fontId="1" type="noConversion"/>
  </si>
  <si>
    <t>MAY13/2016</t>
    <phoneticPr fontId="1" type="noConversion"/>
  </si>
  <si>
    <t>MAY13/2018</t>
    <phoneticPr fontId="1" type="noConversion"/>
  </si>
  <si>
    <t>MAY14/2016</t>
    <phoneticPr fontId="1" type="noConversion"/>
  </si>
  <si>
    <t>MAY14/2018</t>
    <phoneticPr fontId="1" type="noConversion"/>
  </si>
  <si>
    <t>MAY15/2016</t>
    <phoneticPr fontId="1" type="noConversion"/>
  </si>
  <si>
    <t>MAY15/2018</t>
    <phoneticPr fontId="1" type="noConversion"/>
  </si>
  <si>
    <t>MAY16/2016</t>
    <phoneticPr fontId="1" type="noConversion"/>
  </si>
  <si>
    <t>MAY16/2018</t>
    <phoneticPr fontId="1" type="noConversion"/>
  </si>
  <si>
    <t>MAY18/2016</t>
    <phoneticPr fontId="1" type="noConversion"/>
  </si>
  <si>
    <t>MAY18/2018</t>
    <phoneticPr fontId="1" type="noConversion"/>
  </si>
  <si>
    <t>MAY20/2016</t>
    <phoneticPr fontId="1" type="noConversion"/>
  </si>
  <si>
    <t>MAY20/2018</t>
    <phoneticPr fontId="1" type="noConversion"/>
  </si>
  <si>
    <t>MAY21/2016</t>
    <phoneticPr fontId="1" type="noConversion"/>
  </si>
  <si>
    <t>MAY21/2018</t>
    <phoneticPr fontId="1" type="noConversion"/>
  </si>
  <si>
    <t>MAY22/2016</t>
    <phoneticPr fontId="1" type="noConversion"/>
  </si>
  <si>
    <t>MAY22/2018</t>
    <phoneticPr fontId="1" type="noConversion"/>
  </si>
  <si>
    <t>MAY24/2016</t>
    <phoneticPr fontId="1" type="noConversion"/>
  </si>
  <si>
    <t>MAY24/2018</t>
    <phoneticPr fontId="1" type="noConversion"/>
  </si>
  <si>
    <t>MAY29/2016</t>
    <phoneticPr fontId="1" type="noConversion"/>
  </si>
  <si>
    <t>MAY29/2018</t>
    <phoneticPr fontId="1" type="noConversion"/>
  </si>
  <si>
    <t>MAY31/2016</t>
    <phoneticPr fontId="1" type="noConversion"/>
  </si>
  <si>
    <t>MAY31/2018</t>
    <phoneticPr fontId="1" type="noConversion"/>
  </si>
  <si>
    <t>JUNE02/2016</t>
    <phoneticPr fontId="1" type="noConversion"/>
  </si>
  <si>
    <t>JUNE02/2018</t>
    <phoneticPr fontId="1" type="noConversion"/>
  </si>
  <si>
    <t>JUNE07/2016</t>
    <phoneticPr fontId="1" type="noConversion"/>
  </si>
  <si>
    <t>JUNE07/2018</t>
    <phoneticPr fontId="1" type="noConversion"/>
  </si>
  <si>
    <t>JUNE10/2016</t>
    <phoneticPr fontId="1" type="noConversion"/>
  </si>
  <si>
    <t>JUNE10/2018</t>
    <phoneticPr fontId="1" type="noConversion"/>
  </si>
  <si>
    <t>JUNE11/2016</t>
    <phoneticPr fontId="1" type="noConversion"/>
  </si>
  <si>
    <t>JUNE11/2018</t>
    <phoneticPr fontId="1" type="noConversion"/>
  </si>
  <si>
    <t>JUNE12/2016</t>
    <phoneticPr fontId="1" type="noConversion"/>
  </si>
  <si>
    <t>JUNE12/2018</t>
    <phoneticPr fontId="1" type="noConversion"/>
  </si>
  <si>
    <t>JUNE15/2016</t>
    <phoneticPr fontId="1" type="noConversion"/>
  </si>
  <si>
    <t>JUNE15/2018</t>
    <phoneticPr fontId="1" type="noConversion"/>
  </si>
  <si>
    <t>sample to Chatswood RSL</t>
    <phoneticPr fontId="1" type="noConversion"/>
  </si>
  <si>
    <t>JUNE17/2016</t>
    <phoneticPr fontId="1" type="noConversion"/>
  </si>
  <si>
    <t>JUNE17/2018</t>
    <phoneticPr fontId="1" type="noConversion"/>
  </si>
  <si>
    <t>JUNE18/2016</t>
    <phoneticPr fontId="1" type="noConversion"/>
  </si>
  <si>
    <t>JUNE18/2018</t>
    <phoneticPr fontId="1" type="noConversion"/>
  </si>
  <si>
    <t>JUNE23/2016</t>
    <phoneticPr fontId="1" type="noConversion"/>
  </si>
  <si>
    <t>JUNE23/2018</t>
    <phoneticPr fontId="1" type="noConversion"/>
  </si>
  <si>
    <t>JUNE25/2016</t>
    <phoneticPr fontId="1" type="noConversion"/>
  </si>
  <si>
    <t>JUNE25/2018</t>
    <phoneticPr fontId="1" type="noConversion"/>
  </si>
  <si>
    <t>JUNE20/2016</t>
    <phoneticPr fontId="1" type="noConversion"/>
  </si>
  <si>
    <t>JUNE20/2018</t>
    <phoneticPr fontId="1" type="noConversion"/>
  </si>
  <si>
    <t>JUNE26/2016</t>
    <phoneticPr fontId="1" type="noConversion"/>
  </si>
  <si>
    <t>JUNE26/2018</t>
    <phoneticPr fontId="1" type="noConversion"/>
  </si>
  <si>
    <t>SEP26/14</t>
    <phoneticPr fontId="1" type="noConversion"/>
  </si>
  <si>
    <t>SEP26/16</t>
    <phoneticPr fontId="1" type="noConversion"/>
  </si>
  <si>
    <t>JUL 02/2016</t>
    <phoneticPr fontId="1" type="noConversion"/>
  </si>
  <si>
    <t>JUL 02/2018</t>
    <phoneticPr fontId="1" type="noConversion"/>
  </si>
  <si>
    <t>JUL 04/2016</t>
    <phoneticPr fontId="1" type="noConversion"/>
  </si>
  <si>
    <t>JUL 04/2018</t>
    <phoneticPr fontId="1" type="noConversion"/>
  </si>
  <si>
    <t>JUL 11/2016</t>
    <phoneticPr fontId="1" type="noConversion"/>
  </si>
  <si>
    <t>JUL 11/2018</t>
    <phoneticPr fontId="1" type="noConversion"/>
  </si>
  <si>
    <t>JUL 12/2016</t>
    <phoneticPr fontId="1" type="noConversion"/>
  </si>
  <si>
    <t>JUL 12/2018</t>
    <phoneticPr fontId="1" type="noConversion"/>
  </si>
  <si>
    <t>JUL 16/2016</t>
    <phoneticPr fontId="1" type="noConversion"/>
  </si>
  <si>
    <t>JUL 16/2018</t>
    <phoneticPr fontId="1" type="noConversion"/>
  </si>
  <si>
    <t>MS PENNY</t>
    <phoneticPr fontId="1" type="noConversion"/>
  </si>
  <si>
    <t>MS PENNY</t>
    <phoneticPr fontId="1" type="noConversion"/>
  </si>
  <si>
    <t>JUL 17/2016</t>
    <phoneticPr fontId="1" type="noConversion"/>
  </si>
  <si>
    <t>JUL 17/2018</t>
    <phoneticPr fontId="1" type="noConversion"/>
  </si>
  <si>
    <t>JUL 23/2016</t>
    <phoneticPr fontId="1" type="noConversion"/>
  </si>
  <si>
    <t>JUL 23/2018</t>
    <phoneticPr fontId="1" type="noConversion"/>
  </si>
  <si>
    <t>JUL 18/2016</t>
    <phoneticPr fontId="1" type="noConversion"/>
  </si>
  <si>
    <t>JUL 18/2018</t>
    <phoneticPr fontId="1" type="noConversion"/>
  </si>
  <si>
    <t>JUL 24/2016</t>
    <phoneticPr fontId="1" type="noConversion"/>
  </si>
  <si>
    <t>JUL 24/2018</t>
    <phoneticPr fontId="1" type="noConversion"/>
  </si>
  <si>
    <t>JUL 27/2016</t>
    <phoneticPr fontId="1" type="noConversion"/>
  </si>
  <si>
    <t>JUL 27/2018</t>
    <phoneticPr fontId="1" type="noConversion"/>
  </si>
  <si>
    <t>JUL 28/2016</t>
    <phoneticPr fontId="1" type="noConversion"/>
  </si>
  <si>
    <t>JUL 28/2018</t>
    <phoneticPr fontId="1" type="noConversion"/>
  </si>
  <si>
    <t>JUL 29/2016</t>
    <phoneticPr fontId="1" type="noConversion"/>
  </si>
  <si>
    <t>JUL 29/2018</t>
    <phoneticPr fontId="1" type="noConversion"/>
  </si>
  <si>
    <t>JUL 30/2016</t>
    <phoneticPr fontId="1" type="noConversion"/>
  </si>
  <si>
    <t>JUL 30/2018</t>
    <phoneticPr fontId="1" type="noConversion"/>
  </si>
  <si>
    <t>JUL 30/2016</t>
    <phoneticPr fontId="1" type="noConversion"/>
  </si>
  <si>
    <t>JUL 30/2018</t>
    <phoneticPr fontId="1" type="noConversion"/>
  </si>
  <si>
    <t>JUL 31/2016</t>
    <phoneticPr fontId="1" type="noConversion"/>
  </si>
  <si>
    <t>JUL 31/2018</t>
    <phoneticPr fontId="1" type="noConversion"/>
  </si>
  <si>
    <t>AUG 02/2016</t>
    <phoneticPr fontId="1" type="noConversion"/>
  </si>
  <si>
    <t>AUG 02/2018</t>
    <phoneticPr fontId="1" type="noConversion"/>
  </si>
  <si>
    <t>AUG 02/2016</t>
    <phoneticPr fontId="1" type="noConversion"/>
  </si>
  <si>
    <t>AUG 02/2018</t>
    <phoneticPr fontId="1" type="noConversion"/>
  </si>
  <si>
    <t>AUG 07/2016</t>
    <phoneticPr fontId="1" type="noConversion"/>
  </si>
  <si>
    <t>AUG 07/2018</t>
    <phoneticPr fontId="1" type="noConversion"/>
  </si>
  <si>
    <t>AUG 08/2016</t>
    <phoneticPr fontId="1" type="noConversion"/>
  </si>
  <si>
    <t>AUG 08/2018</t>
    <phoneticPr fontId="1" type="noConversion"/>
  </si>
  <si>
    <t xml:space="preserve"> </t>
    <phoneticPr fontId="1" type="noConversion"/>
  </si>
  <si>
    <t>AUG 09/2016</t>
    <phoneticPr fontId="1" type="noConversion"/>
  </si>
  <si>
    <t>AUG 09/2018</t>
    <phoneticPr fontId="1" type="noConversion"/>
  </si>
  <si>
    <t>AUG 10/2016</t>
    <phoneticPr fontId="1" type="noConversion"/>
  </si>
  <si>
    <t>AUG 10/2018</t>
    <phoneticPr fontId="1" type="noConversion"/>
  </si>
  <si>
    <t>AUG 13/2016</t>
    <phoneticPr fontId="1" type="noConversion"/>
  </si>
  <si>
    <t>AUG 13/2018</t>
    <phoneticPr fontId="1" type="noConversion"/>
  </si>
  <si>
    <t>AUG 14/2016</t>
    <phoneticPr fontId="1" type="noConversion"/>
  </si>
  <si>
    <t>AUG 14/2018</t>
    <phoneticPr fontId="1" type="noConversion"/>
  </si>
  <si>
    <t>AUG 19/2016</t>
    <phoneticPr fontId="1" type="noConversion"/>
  </si>
  <si>
    <t>AUG 19/2018</t>
    <phoneticPr fontId="1" type="noConversion"/>
  </si>
  <si>
    <t>AUG 15/2016</t>
    <phoneticPr fontId="1" type="noConversion"/>
  </si>
  <si>
    <t>AUG 15/2018</t>
    <phoneticPr fontId="1" type="noConversion"/>
  </si>
  <si>
    <t>COMP FOR COMPLAINT</t>
    <phoneticPr fontId="1" type="noConversion"/>
  </si>
  <si>
    <t>AUG 20/2016</t>
    <phoneticPr fontId="1" type="noConversion"/>
  </si>
  <si>
    <t>AUG 20/2018</t>
    <phoneticPr fontId="1" type="noConversion"/>
  </si>
  <si>
    <t>AUG 30/2016</t>
    <phoneticPr fontId="1" type="noConversion"/>
  </si>
  <si>
    <t>AUG 30/2018</t>
    <phoneticPr fontId="1" type="noConversion"/>
  </si>
  <si>
    <t>AUG 30/2018</t>
    <phoneticPr fontId="1" type="noConversion"/>
  </si>
  <si>
    <t>SEP 02/2016</t>
    <phoneticPr fontId="1" type="noConversion"/>
  </si>
  <si>
    <t>SEP 02/2018</t>
    <phoneticPr fontId="1" type="noConversion"/>
  </si>
  <si>
    <t>SEP 03/2016</t>
    <phoneticPr fontId="1" type="noConversion"/>
  </si>
  <si>
    <t>SEP 03/2018</t>
    <phoneticPr fontId="1" type="noConversion"/>
  </si>
  <si>
    <t>Father's day</t>
    <phoneticPr fontId="1" type="noConversion"/>
  </si>
  <si>
    <t>SEP 04/2016</t>
    <phoneticPr fontId="1" type="noConversion"/>
  </si>
  <si>
    <t>SEP 04/2018</t>
    <phoneticPr fontId="1" type="noConversion"/>
  </si>
  <si>
    <t>SEP 05/2016</t>
    <phoneticPr fontId="1" type="noConversion"/>
  </si>
  <si>
    <t>SEP 05/2018</t>
    <phoneticPr fontId="1" type="noConversion"/>
  </si>
  <si>
    <t>SEP 06/2016</t>
    <phoneticPr fontId="1" type="noConversion"/>
  </si>
  <si>
    <t>SEP 06/2018</t>
    <phoneticPr fontId="1" type="noConversion"/>
  </si>
  <si>
    <t>SEP 10/2016</t>
    <phoneticPr fontId="1" type="noConversion"/>
  </si>
  <si>
    <t>SEP 10/2018</t>
    <phoneticPr fontId="1" type="noConversion"/>
  </si>
  <si>
    <t>SEP 07/2016</t>
    <phoneticPr fontId="1" type="noConversion"/>
  </si>
  <si>
    <t>SEP 07/2018</t>
    <phoneticPr fontId="1" type="noConversion"/>
  </si>
  <si>
    <t>SEP 09/2016</t>
    <phoneticPr fontId="1" type="noConversion"/>
  </si>
  <si>
    <t>SEP 9/2017</t>
    <phoneticPr fontId="1" type="noConversion"/>
  </si>
  <si>
    <t>Compliment 3 DLX for Mz Gayle Meredith for lost GV</t>
    <phoneticPr fontId="1" type="noConversion"/>
  </si>
  <si>
    <t>SEP 11/2016</t>
    <phoneticPr fontId="1" type="noConversion"/>
  </si>
  <si>
    <t>SEP 11/2018</t>
    <phoneticPr fontId="1" type="noConversion"/>
  </si>
  <si>
    <t>SEP 12/2016</t>
    <phoneticPr fontId="1" type="noConversion"/>
  </si>
  <si>
    <t>SEP 12/2018</t>
    <phoneticPr fontId="1" type="noConversion"/>
  </si>
  <si>
    <t>SEP 14/2016</t>
    <phoneticPr fontId="1" type="noConversion"/>
  </si>
  <si>
    <t>SEP 14/2018</t>
    <phoneticPr fontId="1" type="noConversion"/>
  </si>
  <si>
    <t>SEP 15/2016</t>
    <phoneticPr fontId="1" type="noConversion"/>
  </si>
  <si>
    <t>SEP 15/2018</t>
    <phoneticPr fontId="1" type="noConversion"/>
  </si>
  <si>
    <t>SEP 15/2018</t>
    <phoneticPr fontId="1" type="noConversion"/>
  </si>
  <si>
    <t>SEP 16/2016</t>
    <phoneticPr fontId="1" type="noConversion"/>
  </si>
  <si>
    <t>SEP 16/2018</t>
    <phoneticPr fontId="1" type="noConversion"/>
  </si>
  <si>
    <t>SEP 23/2016</t>
    <phoneticPr fontId="1" type="noConversion"/>
  </si>
  <si>
    <t>SEP 23/2018</t>
    <phoneticPr fontId="1" type="noConversion"/>
  </si>
  <si>
    <t>SEP 24/2016</t>
    <phoneticPr fontId="1" type="noConversion"/>
  </si>
  <si>
    <t>SEP 24/2018</t>
    <phoneticPr fontId="1" type="noConversion"/>
  </si>
  <si>
    <t>SEP 25/2016</t>
    <phoneticPr fontId="1" type="noConversion"/>
  </si>
  <si>
    <t>SEP 25/2018</t>
    <phoneticPr fontId="1" type="noConversion"/>
  </si>
  <si>
    <t>SEP 26/2016</t>
    <phoneticPr fontId="1" type="noConversion"/>
  </si>
  <si>
    <t>SEP 26/2018</t>
    <phoneticPr fontId="1" type="noConversion"/>
  </si>
  <si>
    <t>SEP 30/2016</t>
    <phoneticPr fontId="1" type="noConversion"/>
  </si>
  <si>
    <t>SEP 30/2018</t>
    <phoneticPr fontId="1" type="noConversion"/>
  </si>
  <si>
    <t>SEP 30/2016</t>
    <phoneticPr fontId="1" type="noConversion"/>
  </si>
  <si>
    <t>SEP 30/2018</t>
    <phoneticPr fontId="1" type="noConversion"/>
  </si>
  <si>
    <t>Oct 02/2016</t>
    <phoneticPr fontId="1" type="noConversion"/>
  </si>
  <si>
    <t>Oct 02/2018</t>
    <phoneticPr fontId="1" type="noConversion"/>
  </si>
  <si>
    <t>Oct 03/2016</t>
    <phoneticPr fontId="1" type="noConversion"/>
  </si>
  <si>
    <t>Oct 03/2018</t>
    <phoneticPr fontId="1" type="noConversion"/>
  </si>
  <si>
    <t>Oct 04/2016</t>
    <phoneticPr fontId="1" type="noConversion"/>
  </si>
  <si>
    <t>Oct 04/2018</t>
    <phoneticPr fontId="1" type="noConversion"/>
  </si>
  <si>
    <t>Oct 04/2016</t>
    <phoneticPr fontId="1" type="noConversion"/>
  </si>
  <si>
    <t>Oct 04/2018</t>
    <phoneticPr fontId="1" type="noConversion"/>
  </si>
  <si>
    <t>Oct 05/2016</t>
    <phoneticPr fontId="1" type="noConversion"/>
  </si>
  <si>
    <t>Oct 05/2018</t>
    <phoneticPr fontId="1" type="noConversion"/>
  </si>
  <si>
    <t>Oct 7/2018</t>
    <phoneticPr fontId="1" type="noConversion"/>
  </si>
  <si>
    <t>Oct 07/2016</t>
    <phoneticPr fontId="1" type="noConversion"/>
  </si>
  <si>
    <t>Oct 08/2016</t>
    <phoneticPr fontId="1" type="noConversion"/>
  </si>
  <si>
    <t>Oct 8/2018</t>
    <phoneticPr fontId="1" type="noConversion"/>
  </si>
  <si>
    <t>Oct 09/2016</t>
    <phoneticPr fontId="1" type="noConversion"/>
  </si>
  <si>
    <t>Oct 9/2018</t>
    <phoneticPr fontId="1" type="noConversion"/>
  </si>
  <si>
    <t>extanded to Mar 2017</t>
    <phoneticPr fontId="1" type="noConversion"/>
  </si>
  <si>
    <t>Oct 11/2016</t>
    <phoneticPr fontId="1" type="noConversion"/>
  </si>
  <si>
    <t>Oct 11/2018</t>
    <phoneticPr fontId="1" type="noConversion"/>
  </si>
  <si>
    <t>Oct 10/2016</t>
    <phoneticPr fontId="1" type="noConversion"/>
  </si>
  <si>
    <t>Oct 10/2018</t>
    <phoneticPr fontId="1" type="noConversion"/>
  </si>
  <si>
    <t>Oct 15/2016</t>
    <phoneticPr fontId="1" type="noConversion"/>
  </si>
  <si>
    <t>Oct 15/2018</t>
    <phoneticPr fontId="1" type="noConversion"/>
  </si>
  <si>
    <t>Oct 17/2016</t>
    <phoneticPr fontId="1" type="noConversion"/>
  </si>
  <si>
    <t>Oct 17/2018</t>
    <phoneticPr fontId="1" type="noConversion"/>
  </si>
  <si>
    <t>Oct 18/2016</t>
    <phoneticPr fontId="1" type="noConversion"/>
  </si>
  <si>
    <t>oct 18/2018</t>
    <phoneticPr fontId="1" type="noConversion"/>
  </si>
  <si>
    <t>Oct 18/2016</t>
    <phoneticPr fontId="1" type="noConversion"/>
  </si>
  <si>
    <t>oct 18/2018</t>
    <phoneticPr fontId="1" type="noConversion"/>
  </si>
  <si>
    <t>Oct 21/2016</t>
    <phoneticPr fontId="1" type="noConversion"/>
  </si>
  <si>
    <t>Oct 20/2016</t>
    <phoneticPr fontId="1" type="noConversion"/>
  </si>
  <si>
    <t>Oct 20/2018</t>
    <phoneticPr fontId="1" type="noConversion"/>
  </si>
  <si>
    <t>Oct 21/2018</t>
    <phoneticPr fontId="1" type="noConversion"/>
  </si>
  <si>
    <t>Oct 22/2016</t>
    <phoneticPr fontId="1" type="noConversion"/>
  </si>
  <si>
    <t>Oct 22/2018</t>
    <phoneticPr fontId="1" type="noConversion"/>
  </si>
  <si>
    <t>Oct 23/2016</t>
    <phoneticPr fontId="1" type="noConversion"/>
  </si>
  <si>
    <t>Oct 23/2018</t>
    <phoneticPr fontId="1" type="noConversion"/>
  </si>
  <si>
    <t>Oct 27/2016</t>
    <phoneticPr fontId="1" type="noConversion"/>
  </si>
  <si>
    <t>Oct 27/2018</t>
    <phoneticPr fontId="1" type="noConversion"/>
  </si>
  <si>
    <t>Oct 29/2016</t>
    <phoneticPr fontId="1" type="noConversion"/>
  </si>
  <si>
    <t>Oct 29/2018</t>
    <phoneticPr fontId="1" type="noConversion"/>
  </si>
  <si>
    <t>Oct 30/2016</t>
    <phoneticPr fontId="1" type="noConversion"/>
  </si>
  <si>
    <t>Oct 30/2018</t>
    <phoneticPr fontId="1" type="noConversion"/>
  </si>
  <si>
    <t>Oct 31/2016</t>
    <phoneticPr fontId="1" type="noConversion"/>
  </si>
  <si>
    <t>Oct 31/2018</t>
    <phoneticPr fontId="1" type="noConversion"/>
  </si>
  <si>
    <t>Nov 01/2016</t>
    <phoneticPr fontId="1" type="noConversion"/>
  </si>
  <si>
    <t>Nov 01/2018</t>
    <phoneticPr fontId="1" type="noConversion"/>
  </si>
  <si>
    <t>Nov 03/2016</t>
    <phoneticPr fontId="1" type="noConversion"/>
  </si>
  <si>
    <t>Nov 03/2018</t>
    <phoneticPr fontId="1" type="noConversion"/>
  </si>
  <si>
    <t>Nov 05/2016</t>
    <phoneticPr fontId="1" type="noConversion"/>
  </si>
  <si>
    <t>Nov 05/2018</t>
    <phoneticPr fontId="1" type="noConversion"/>
  </si>
  <si>
    <t>Nov 04/2016</t>
    <phoneticPr fontId="1" type="noConversion"/>
  </si>
  <si>
    <t>Nov 04/2018</t>
    <phoneticPr fontId="1" type="noConversion"/>
  </si>
  <si>
    <t>Nov 06/2018</t>
    <phoneticPr fontId="1" type="noConversion"/>
  </si>
  <si>
    <t>Nov10/2018</t>
    <phoneticPr fontId="1" type="noConversion"/>
  </si>
  <si>
    <t>Nov10/2018</t>
    <phoneticPr fontId="1" type="noConversion"/>
  </si>
  <si>
    <t>Nov12/2018</t>
    <phoneticPr fontId="1" type="noConversion"/>
  </si>
  <si>
    <t>Nov12/2018</t>
    <phoneticPr fontId="1" type="noConversion"/>
  </si>
  <si>
    <t>Nov13/2018</t>
    <phoneticPr fontId="1" type="noConversion"/>
  </si>
  <si>
    <t xml:space="preserve">COMP FOR KOREAN </t>
    <phoneticPr fontId="1" type="noConversion"/>
  </si>
  <si>
    <t>Nov15/2016</t>
    <phoneticPr fontId="1" type="noConversion"/>
  </si>
  <si>
    <t>Nov15/2018</t>
    <phoneticPr fontId="1" type="noConversion"/>
  </si>
  <si>
    <t>Nov17/2016</t>
    <phoneticPr fontId="1" type="noConversion"/>
  </si>
  <si>
    <t>Nov17/2018</t>
    <phoneticPr fontId="1" type="noConversion"/>
  </si>
  <si>
    <t>COMP FOR IRANIAN</t>
    <phoneticPr fontId="1" type="noConversion"/>
  </si>
  <si>
    <t>Nov19/2016</t>
    <phoneticPr fontId="1" type="noConversion"/>
  </si>
  <si>
    <t>Nov19/2017</t>
    <phoneticPr fontId="1" type="noConversion"/>
  </si>
  <si>
    <t>19//11//2016 XT COMPLAINT</t>
    <phoneticPr fontId="1" type="noConversion"/>
  </si>
  <si>
    <t>Nov19/2016</t>
    <phoneticPr fontId="1" type="noConversion"/>
  </si>
  <si>
    <t>Nov19/2018</t>
    <phoneticPr fontId="1" type="noConversion"/>
  </si>
  <si>
    <t>Nov20/2016</t>
    <phoneticPr fontId="1" type="noConversion"/>
  </si>
  <si>
    <t>Nov20/2018</t>
    <phoneticPr fontId="1" type="noConversion"/>
  </si>
  <si>
    <t>Nov21/2016</t>
    <phoneticPr fontId="1" type="noConversion"/>
  </si>
  <si>
    <t>Nov21/2018</t>
    <phoneticPr fontId="1" type="noConversion"/>
  </si>
  <si>
    <t>Nov25/2016</t>
    <phoneticPr fontId="1" type="noConversion"/>
  </si>
  <si>
    <t>Nov25/2018</t>
    <phoneticPr fontId="1" type="noConversion"/>
  </si>
  <si>
    <t>Nov24/2016</t>
    <phoneticPr fontId="1" type="noConversion"/>
  </si>
  <si>
    <t>Nov24/2018</t>
    <phoneticPr fontId="1" type="noConversion"/>
  </si>
  <si>
    <t>Nov26/2016</t>
    <phoneticPr fontId="1" type="noConversion"/>
  </si>
  <si>
    <t>Nov26/2018</t>
    <phoneticPr fontId="1" type="noConversion"/>
  </si>
  <si>
    <t>Nov27/2016</t>
    <phoneticPr fontId="1" type="noConversion"/>
  </si>
  <si>
    <t>Nov27/2018</t>
    <phoneticPr fontId="1" type="noConversion"/>
  </si>
  <si>
    <t>Nov28/2018</t>
    <phoneticPr fontId="1" type="noConversion"/>
  </si>
  <si>
    <t>Nov29/2016</t>
    <phoneticPr fontId="1" type="noConversion"/>
  </si>
  <si>
    <t>Nov28/2016</t>
    <phoneticPr fontId="1" type="noConversion"/>
  </si>
  <si>
    <t>Nov28/2018</t>
    <phoneticPr fontId="1" type="noConversion"/>
  </si>
  <si>
    <t>Dec01/2016</t>
    <phoneticPr fontId="1" type="noConversion"/>
  </si>
  <si>
    <t>Dec01/2018</t>
    <phoneticPr fontId="1" type="noConversion"/>
  </si>
  <si>
    <t>Dec01/2016</t>
    <phoneticPr fontId="1" type="noConversion"/>
  </si>
  <si>
    <t>Dec03/2016</t>
    <phoneticPr fontId="1" type="noConversion"/>
  </si>
  <si>
    <t>Dec03/2018</t>
    <phoneticPr fontId="1" type="noConversion"/>
  </si>
  <si>
    <t>Dec04/2016</t>
    <phoneticPr fontId="1" type="noConversion"/>
  </si>
  <si>
    <t>Dec04/2018</t>
    <phoneticPr fontId="1" type="noConversion"/>
  </si>
  <si>
    <t>Dec07/2016</t>
    <phoneticPr fontId="1" type="noConversion"/>
  </si>
  <si>
    <t>Dec07/2018</t>
    <phoneticPr fontId="1" type="noConversion"/>
  </si>
  <si>
    <t>brought GA AND BACK TO B2</t>
    <phoneticPr fontId="1" type="noConversion"/>
  </si>
  <si>
    <t>Dec08/2016</t>
    <phoneticPr fontId="1" type="noConversion"/>
  </si>
  <si>
    <t>Dec08/2018</t>
    <phoneticPr fontId="1" type="noConversion"/>
  </si>
  <si>
    <t>Dec02/2016</t>
    <phoneticPr fontId="1" type="noConversion"/>
  </si>
  <si>
    <t>Dec02/2018</t>
    <phoneticPr fontId="1" type="noConversion"/>
  </si>
  <si>
    <t>Dec10/2016</t>
    <phoneticPr fontId="1" type="noConversion"/>
  </si>
  <si>
    <t>Dec10/2018</t>
    <phoneticPr fontId="1" type="noConversion"/>
  </si>
  <si>
    <t>#161137 BACK FROM GA ASSIST</t>
    <phoneticPr fontId="1" type="noConversion"/>
  </si>
  <si>
    <t>Dec11/2016</t>
    <phoneticPr fontId="1" type="noConversion"/>
  </si>
  <si>
    <t>Dec11/2018</t>
    <phoneticPr fontId="1" type="noConversion"/>
  </si>
  <si>
    <t>Dec12/2016</t>
    <phoneticPr fontId="1" type="noConversion"/>
  </si>
  <si>
    <t>Dec12/2018</t>
    <phoneticPr fontId="1" type="noConversion"/>
  </si>
  <si>
    <t>Dec13/2016</t>
    <phoneticPr fontId="1" type="noConversion"/>
  </si>
  <si>
    <t>Dec13/2018</t>
    <phoneticPr fontId="1" type="noConversion"/>
  </si>
  <si>
    <t>Dec17/2016</t>
    <phoneticPr fontId="1" type="noConversion"/>
  </si>
  <si>
    <t>Dec17/2018</t>
    <phoneticPr fontId="1" type="noConversion"/>
  </si>
  <si>
    <t>Dec 19/2016</t>
    <phoneticPr fontId="1" type="noConversion"/>
  </si>
  <si>
    <t>Dec19/2018</t>
    <phoneticPr fontId="1" type="noConversion"/>
  </si>
  <si>
    <t>Dec 21/2016</t>
    <phoneticPr fontId="1" type="noConversion"/>
  </si>
  <si>
    <t>Dec 22/2016</t>
    <phoneticPr fontId="1" type="noConversion"/>
  </si>
  <si>
    <t>Dec 24/2016</t>
    <phoneticPr fontId="1" type="noConversion"/>
  </si>
  <si>
    <t>Dec 23/2016</t>
    <phoneticPr fontId="1" type="noConversion"/>
  </si>
  <si>
    <t>Dec18/2016</t>
    <phoneticPr fontId="1" type="noConversion"/>
  </si>
  <si>
    <t>Dec18/2018</t>
    <phoneticPr fontId="1" type="noConversion"/>
  </si>
  <si>
    <t>Dec 31/2016</t>
    <phoneticPr fontId="1" type="noConversion"/>
  </si>
  <si>
    <t>JAN 02/2017</t>
    <phoneticPr fontId="1" type="noConversion"/>
  </si>
  <si>
    <t>JAN 02/2019</t>
    <phoneticPr fontId="1" type="noConversion"/>
  </si>
  <si>
    <t>Dec 31/2018</t>
    <phoneticPr fontId="1" type="noConversion"/>
  </si>
  <si>
    <t>Dec 24/2018</t>
    <phoneticPr fontId="1" type="noConversion"/>
  </si>
  <si>
    <t>Dec 24/2018</t>
    <phoneticPr fontId="1" type="noConversion"/>
  </si>
  <si>
    <t>Dec 23/2018</t>
    <phoneticPr fontId="1" type="noConversion"/>
  </si>
  <si>
    <t>Dec 22/2018</t>
    <phoneticPr fontId="1" type="noConversion"/>
  </si>
  <si>
    <t>Dec 21/2018</t>
    <phoneticPr fontId="1" type="noConversion"/>
  </si>
  <si>
    <t>Dec 24/2018</t>
    <phoneticPr fontId="1" type="noConversion"/>
  </si>
  <si>
    <t>JAN 04/2017</t>
    <phoneticPr fontId="1" type="noConversion"/>
  </si>
  <si>
    <t>JAN 04/2019</t>
    <phoneticPr fontId="1" type="noConversion"/>
  </si>
  <si>
    <t>JAN 07/2017</t>
    <phoneticPr fontId="1" type="noConversion"/>
  </si>
  <si>
    <t>JAN 07/2019</t>
    <phoneticPr fontId="1" type="noConversion"/>
  </si>
  <si>
    <t>AUG 19/2016</t>
    <phoneticPr fontId="1" type="noConversion"/>
  </si>
  <si>
    <t>AUG 19/2018</t>
    <phoneticPr fontId="1" type="noConversion"/>
  </si>
  <si>
    <t>COMPLAINT</t>
    <phoneticPr fontId="1" type="noConversion"/>
  </si>
  <si>
    <t>JAN 09/2017</t>
    <phoneticPr fontId="1" type="noConversion"/>
  </si>
  <si>
    <t>JAN 09/2019</t>
    <phoneticPr fontId="1" type="noConversion"/>
  </si>
  <si>
    <t>JAN 08/2017</t>
    <phoneticPr fontId="1" type="noConversion"/>
  </si>
  <si>
    <t>JAN 08/2019</t>
    <phoneticPr fontId="1" type="noConversion"/>
  </si>
  <si>
    <t>JAN 10/2017</t>
    <phoneticPr fontId="1" type="noConversion"/>
  </si>
  <si>
    <t>JAN 10/2019</t>
    <phoneticPr fontId="1" type="noConversion"/>
  </si>
  <si>
    <t>JAN 11/2017</t>
    <phoneticPr fontId="1" type="noConversion"/>
  </si>
  <si>
    <t>JAN 11/2019</t>
    <phoneticPr fontId="1" type="noConversion"/>
  </si>
  <si>
    <t>JAN 12/2017</t>
    <phoneticPr fontId="1" type="noConversion"/>
  </si>
  <si>
    <t>JAN 12/2019</t>
    <phoneticPr fontId="1" type="noConversion"/>
  </si>
  <si>
    <t>JAN 13/2017</t>
    <phoneticPr fontId="1" type="noConversion"/>
  </si>
  <si>
    <t>JAN 13/2019</t>
    <phoneticPr fontId="1" type="noConversion"/>
  </si>
  <si>
    <t>JAN 15 2017</t>
    <phoneticPr fontId="1" type="noConversion"/>
  </si>
  <si>
    <t>JUL 15 2017</t>
    <phoneticPr fontId="1" type="noConversion"/>
  </si>
  <si>
    <t>NATHAN</t>
    <phoneticPr fontId="1" type="noConversion"/>
  </si>
  <si>
    <t>0461 360 320</t>
    <phoneticPr fontId="1" type="noConversion"/>
  </si>
  <si>
    <t>COMP DLX ONCE</t>
    <phoneticPr fontId="1" type="noConversion"/>
  </si>
  <si>
    <t>JAN 16/2017</t>
    <phoneticPr fontId="1" type="noConversion"/>
  </si>
  <si>
    <t>JAN 15/2019</t>
    <phoneticPr fontId="1" type="noConversion"/>
  </si>
  <si>
    <t>JAN 16 2017</t>
    <phoneticPr fontId="1" type="noConversion"/>
  </si>
  <si>
    <t>JAN 16 2019</t>
    <phoneticPr fontId="1" type="noConversion"/>
  </si>
  <si>
    <t>JAN 16 2019</t>
    <phoneticPr fontId="1" type="noConversion"/>
  </si>
  <si>
    <t>JAN 18 2017</t>
    <phoneticPr fontId="1" type="noConversion"/>
  </si>
  <si>
    <t>JAN 18 2019</t>
    <phoneticPr fontId="1" type="noConversion"/>
  </si>
  <si>
    <t>JAN 19 2017</t>
    <phoneticPr fontId="1" type="noConversion"/>
  </si>
  <si>
    <t>JAN 19 2019</t>
    <phoneticPr fontId="1" type="noConversion"/>
  </si>
  <si>
    <t>JAN 21 2017</t>
    <phoneticPr fontId="1" type="noConversion"/>
  </si>
  <si>
    <t>JAN 21 2019</t>
    <phoneticPr fontId="1" type="noConversion"/>
  </si>
  <si>
    <t>JAN 22 2017</t>
    <phoneticPr fontId="1" type="noConversion"/>
  </si>
  <si>
    <t>JAN 22 2019</t>
    <phoneticPr fontId="1" type="noConversion"/>
  </si>
  <si>
    <t>JAN 24 2017</t>
    <phoneticPr fontId="1" type="noConversion"/>
  </si>
  <si>
    <t>JAN 24 2019</t>
    <phoneticPr fontId="1" type="noConversion"/>
  </si>
  <si>
    <t>JAN 25 2017</t>
    <phoneticPr fontId="1" type="noConversion"/>
  </si>
  <si>
    <t>JAN 25 2019</t>
    <phoneticPr fontId="1" type="noConversion"/>
  </si>
  <si>
    <t>JAN 27 2017</t>
    <phoneticPr fontId="1" type="noConversion"/>
  </si>
  <si>
    <t>JAN 27 2019</t>
    <phoneticPr fontId="1" type="noConversion"/>
  </si>
  <si>
    <t>Customer will pay $70 issude by Kevin</t>
    <phoneticPr fontId="1" type="noConversion"/>
  </si>
  <si>
    <t>JAN 28 2017</t>
    <phoneticPr fontId="1" type="noConversion"/>
  </si>
  <si>
    <t>JAN 28 2019</t>
    <phoneticPr fontId="1" type="noConversion"/>
  </si>
  <si>
    <t>JAN 29 2017</t>
    <phoneticPr fontId="1" type="noConversion"/>
  </si>
  <si>
    <t>JAN 29 2019</t>
    <phoneticPr fontId="1" type="noConversion"/>
  </si>
  <si>
    <t>FEB 01 2017</t>
    <phoneticPr fontId="1" type="noConversion"/>
  </si>
  <si>
    <t>FEB 01 2019</t>
    <phoneticPr fontId="1" type="noConversion"/>
  </si>
  <si>
    <t>FEB 02 2017</t>
    <phoneticPr fontId="1" type="noConversion"/>
  </si>
  <si>
    <t>FEB 02 2019</t>
    <phoneticPr fontId="1" type="noConversion"/>
  </si>
  <si>
    <t>FEB 04 2017</t>
    <phoneticPr fontId="1" type="noConversion"/>
  </si>
  <si>
    <t>FEB 04 2019</t>
    <phoneticPr fontId="1" type="noConversion"/>
  </si>
  <si>
    <t>FEB 05 2017</t>
    <phoneticPr fontId="1" type="noConversion"/>
  </si>
  <si>
    <t>FEB 05 2019</t>
    <phoneticPr fontId="1" type="noConversion"/>
  </si>
  <si>
    <t>Soft top won't shut HP comp once by Brian</t>
    <phoneticPr fontId="1" type="noConversion"/>
  </si>
  <si>
    <t>FEB 06 2017</t>
    <phoneticPr fontId="1" type="noConversion"/>
  </si>
  <si>
    <t>FEB 06 2019</t>
    <phoneticPr fontId="1" type="noConversion"/>
  </si>
  <si>
    <t>FEB 10 2017</t>
    <phoneticPr fontId="1" type="noConversion"/>
  </si>
  <si>
    <t>FEB 10 2019</t>
    <phoneticPr fontId="1" type="noConversion"/>
  </si>
  <si>
    <t>FEB 11 2017</t>
    <phoneticPr fontId="1" type="noConversion"/>
  </si>
  <si>
    <t>FEB 11 2019</t>
    <phoneticPr fontId="1" type="noConversion"/>
  </si>
  <si>
    <t>FEB 15 2017</t>
    <phoneticPr fontId="1" type="noConversion"/>
  </si>
  <si>
    <t>FEB 15 2019</t>
    <phoneticPr fontId="1" type="noConversion"/>
  </si>
  <si>
    <t>FEB 16 2017</t>
    <phoneticPr fontId="1" type="noConversion"/>
  </si>
  <si>
    <t>FEB 16 2019</t>
    <phoneticPr fontId="1" type="noConversion"/>
  </si>
  <si>
    <t>Nov07/2016</t>
    <phoneticPr fontId="1" type="noConversion"/>
  </si>
  <si>
    <t>Nov 07/2018</t>
    <phoneticPr fontId="1" type="noConversion"/>
  </si>
  <si>
    <t>Nov07/2016</t>
    <phoneticPr fontId="1" type="noConversion"/>
  </si>
  <si>
    <t>FEB 17 2017</t>
    <phoneticPr fontId="1" type="noConversion"/>
  </si>
  <si>
    <t>FEB 17 2019</t>
    <phoneticPr fontId="1" type="noConversion"/>
  </si>
  <si>
    <t>FEB 19 2017</t>
    <phoneticPr fontId="1" type="noConversion"/>
  </si>
  <si>
    <t>FEB 19 2019</t>
    <phoneticPr fontId="1" type="noConversion"/>
  </si>
  <si>
    <t>FEB 20 2017</t>
    <phoneticPr fontId="1" type="noConversion"/>
  </si>
  <si>
    <t>FEB 20 2019</t>
    <phoneticPr fontId="1" type="noConversion"/>
  </si>
  <si>
    <t>FEB 22 2017</t>
    <phoneticPr fontId="1" type="noConversion"/>
  </si>
  <si>
    <t>FEB 22 2019</t>
    <phoneticPr fontId="1" type="noConversion"/>
  </si>
  <si>
    <t>FEB 23 2017</t>
    <phoneticPr fontId="1" type="noConversion"/>
  </si>
  <si>
    <t>FEB 23 2019</t>
    <phoneticPr fontId="1" type="noConversion"/>
  </si>
  <si>
    <t>FEB 28 2017</t>
    <phoneticPr fontId="1" type="noConversion"/>
  </si>
  <si>
    <t>FEB 28 2019</t>
    <phoneticPr fontId="1" type="noConversion"/>
  </si>
  <si>
    <t>MAR 04 2017</t>
    <phoneticPr fontId="1" type="noConversion"/>
  </si>
  <si>
    <t>MAR 04 2019</t>
    <phoneticPr fontId="1" type="noConversion"/>
  </si>
  <si>
    <t>MAR 09 2017</t>
    <phoneticPr fontId="1" type="noConversion"/>
  </si>
  <si>
    <t>MAR 09 2019</t>
    <phoneticPr fontId="1" type="noConversion"/>
  </si>
  <si>
    <t>NON EXPIRY HP ONCE COMP ON 10/03/17 BY TEDD MISTAKE</t>
    <phoneticPr fontId="1" type="noConversion"/>
  </si>
  <si>
    <t>MAR 10 2017</t>
    <phoneticPr fontId="1" type="noConversion"/>
  </si>
  <si>
    <t>MAR 10 2019</t>
    <phoneticPr fontId="1" type="noConversion"/>
  </si>
  <si>
    <t>MAR 11 2017</t>
    <phoneticPr fontId="1" type="noConversion"/>
  </si>
  <si>
    <t>MAR 11 2019</t>
    <phoneticPr fontId="1" type="noConversion"/>
  </si>
  <si>
    <t>MAR 12 2017</t>
    <phoneticPr fontId="1" type="noConversion"/>
  </si>
  <si>
    <t>MAR 12 2019</t>
    <phoneticPr fontId="1" type="noConversion"/>
  </si>
  <si>
    <t>MAR 17 2017</t>
    <phoneticPr fontId="1" type="noConversion"/>
  </si>
  <si>
    <t>MAR 17 2019</t>
    <phoneticPr fontId="1" type="noConversion"/>
  </si>
  <si>
    <t>MAR 20 2017</t>
    <phoneticPr fontId="1" type="noConversion"/>
  </si>
  <si>
    <t>MAR 20 2019</t>
    <phoneticPr fontId="1" type="noConversion"/>
  </si>
  <si>
    <t>MAR 19 2017</t>
    <phoneticPr fontId="1" type="noConversion"/>
  </si>
  <si>
    <t>MAR 19 2019</t>
    <phoneticPr fontId="1" type="noConversion"/>
  </si>
  <si>
    <t>MAR 25 2017</t>
    <phoneticPr fontId="1" type="noConversion"/>
  </si>
  <si>
    <t>MAR 25 2019</t>
    <phoneticPr fontId="1" type="noConversion"/>
  </si>
  <si>
    <t>MAR 26 2017</t>
    <phoneticPr fontId="1" type="noConversion"/>
  </si>
  <si>
    <t>MAR 26 2019</t>
    <phoneticPr fontId="1" type="noConversion"/>
  </si>
  <si>
    <t>MAR 27 2017</t>
    <phoneticPr fontId="1" type="noConversion"/>
  </si>
  <si>
    <t>MAR 27 2019</t>
    <phoneticPr fontId="1" type="noConversion"/>
  </si>
  <si>
    <t>MAR 28 2017</t>
    <phoneticPr fontId="1" type="noConversion"/>
  </si>
  <si>
    <t>MAR 28 2019</t>
    <phoneticPr fontId="1" type="noConversion"/>
  </si>
  <si>
    <t>MAR 29 2017</t>
    <phoneticPr fontId="1" type="noConversion"/>
  </si>
  <si>
    <t>MAR 29 2019</t>
    <phoneticPr fontId="1" type="noConversion"/>
  </si>
  <si>
    <t>APR 02 2017</t>
    <phoneticPr fontId="1" type="noConversion"/>
  </si>
  <si>
    <t>APR 02 2018</t>
    <phoneticPr fontId="1" type="noConversion"/>
  </si>
  <si>
    <t>HAND POLISH COPLIMENT VOUCHER</t>
    <phoneticPr fontId="1" type="noConversion"/>
  </si>
  <si>
    <t>APR 04 2017</t>
    <phoneticPr fontId="1" type="noConversion"/>
  </si>
  <si>
    <t>APR 04 2019</t>
    <phoneticPr fontId="1" type="noConversion"/>
  </si>
  <si>
    <t>APR 08 2017</t>
    <phoneticPr fontId="1" type="noConversion"/>
  </si>
  <si>
    <t>APR 08 2019</t>
    <phoneticPr fontId="1" type="noConversion"/>
  </si>
  <si>
    <t>APR 09 2017</t>
    <phoneticPr fontId="1" type="noConversion"/>
  </si>
  <si>
    <t>APR 09 2018</t>
    <phoneticPr fontId="1" type="noConversion"/>
  </si>
  <si>
    <t>APR 09 2019</t>
    <phoneticPr fontId="1" type="noConversion"/>
  </si>
  <si>
    <t>APR 11 2017</t>
    <phoneticPr fontId="1" type="noConversion"/>
  </si>
  <si>
    <t>APR 11 2019</t>
    <phoneticPr fontId="1" type="noConversion"/>
  </si>
  <si>
    <t>APR 13 2017</t>
    <phoneticPr fontId="1" type="noConversion"/>
  </si>
  <si>
    <t>APR 13 2019</t>
    <phoneticPr fontId="1" type="noConversion"/>
  </si>
  <si>
    <t>APR 15 2017</t>
    <phoneticPr fontId="1" type="noConversion"/>
  </si>
  <si>
    <t>APR 15 2019</t>
    <phoneticPr fontId="1" type="noConversion"/>
  </si>
  <si>
    <t>APR 20 2017</t>
    <phoneticPr fontId="1" type="noConversion"/>
  </si>
  <si>
    <t>APR 20 2019</t>
    <phoneticPr fontId="1" type="noConversion"/>
  </si>
  <si>
    <t>APR 21 2017</t>
    <phoneticPr fontId="1" type="noConversion"/>
  </si>
  <si>
    <t>APR 21 2019</t>
    <phoneticPr fontId="1" type="noConversion"/>
  </si>
  <si>
    <t>APR 22 2017</t>
    <phoneticPr fontId="1" type="noConversion"/>
  </si>
  <si>
    <t>APR 22 2019</t>
    <phoneticPr fontId="1" type="noConversion"/>
  </si>
  <si>
    <t>APR 23 2017</t>
    <phoneticPr fontId="1" type="noConversion"/>
  </si>
  <si>
    <t>APR 23 2019</t>
    <phoneticPr fontId="1" type="noConversion"/>
  </si>
  <si>
    <t>APR 26 2017</t>
    <phoneticPr fontId="1" type="noConversion"/>
  </si>
  <si>
    <t>APR 26 2019</t>
    <phoneticPr fontId="1" type="noConversion"/>
  </si>
  <si>
    <t>APR 27 2017</t>
    <phoneticPr fontId="1" type="noConversion"/>
  </si>
  <si>
    <t>APR 27 2019</t>
    <phoneticPr fontId="1" type="noConversion"/>
  </si>
  <si>
    <t>APR 29 2019</t>
    <phoneticPr fontId="1" type="noConversion"/>
  </si>
  <si>
    <t>APR 29 2017</t>
    <phoneticPr fontId="1" type="noConversion"/>
  </si>
  <si>
    <t>APR 30 2017</t>
    <phoneticPr fontId="1" type="noConversion"/>
  </si>
  <si>
    <t>APR 30 2019</t>
    <phoneticPr fontId="1" type="noConversion"/>
  </si>
  <si>
    <t>MAY 01 2017</t>
    <phoneticPr fontId="1" type="noConversion"/>
  </si>
  <si>
    <t>MAY 01 2019</t>
    <phoneticPr fontId="1" type="noConversion"/>
  </si>
  <si>
    <t>MAY 03 2017</t>
    <phoneticPr fontId="1" type="noConversion"/>
  </si>
  <si>
    <t>MAY 03 2019</t>
    <phoneticPr fontId="1" type="noConversion"/>
  </si>
  <si>
    <t>MAY 04 2017</t>
    <phoneticPr fontId="1" type="noConversion"/>
  </si>
  <si>
    <t>MAY 04 2019</t>
    <phoneticPr fontId="1" type="noConversion"/>
  </si>
  <si>
    <t>GA 긴급 지원</t>
    <phoneticPr fontId="1" type="noConversion"/>
  </si>
  <si>
    <t>MAY 06 2017</t>
    <phoneticPr fontId="1" type="noConversion"/>
  </si>
  <si>
    <t>MAY 06 2019</t>
    <phoneticPr fontId="1" type="noConversion"/>
  </si>
  <si>
    <t>MAY 07 2017</t>
    <phoneticPr fontId="1" type="noConversion"/>
  </si>
  <si>
    <t>MAY 07 2019</t>
    <phoneticPr fontId="1" type="noConversion"/>
  </si>
  <si>
    <t>MAY 08 2017</t>
    <phoneticPr fontId="1" type="noConversion"/>
  </si>
  <si>
    <t>MAY 08 2019</t>
    <phoneticPr fontId="1" type="noConversion"/>
  </si>
  <si>
    <t>MAY 10 2017</t>
    <phoneticPr fontId="1" type="noConversion"/>
  </si>
  <si>
    <t>MAY 10 2019</t>
    <phoneticPr fontId="1" type="noConversion"/>
  </si>
  <si>
    <t>MAY 14 2017</t>
    <phoneticPr fontId="1" type="noConversion"/>
  </si>
  <si>
    <t>MAY 14 2019</t>
    <phoneticPr fontId="1" type="noConversion"/>
  </si>
  <si>
    <t>MAY 13 2017</t>
    <phoneticPr fontId="1" type="noConversion"/>
  </si>
  <si>
    <t>MAY 13 2019</t>
    <phoneticPr fontId="1" type="noConversion"/>
  </si>
  <si>
    <t>MAY 15 2017</t>
    <phoneticPr fontId="1" type="noConversion"/>
  </si>
  <si>
    <t>MAY 15 2019</t>
    <phoneticPr fontId="1" type="noConversion"/>
  </si>
  <si>
    <t>MAY 18 2017</t>
    <phoneticPr fontId="1" type="noConversion"/>
  </si>
  <si>
    <t>MAY 18 2019</t>
    <phoneticPr fontId="1" type="noConversion"/>
  </si>
  <si>
    <t>MAY 20 2017</t>
    <phoneticPr fontId="1" type="noConversion"/>
  </si>
  <si>
    <t>MAY 20 2019</t>
    <phoneticPr fontId="1" type="noConversion"/>
  </si>
  <si>
    <t>MAY 21 2017</t>
    <phoneticPr fontId="1" type="noConversion"/>
  </si>
  <si>
    <t>MAY 21 2019</t>
    <phoneticPr fontId="1" type="noConversion"/>
  </si>
  <si>
    <t>MAY 23 2017</t>
    <phoneticPr fontId="1" type="noConversion"/>
  </si>
  <si>
    <t>MAY 23 2019</t>
    <phoneticPr fontId="1" type="noConversion"/>
  </si>
  <si>
    <t>MAY 23 2017</t>
    <phoneticPr fontId="1" type="noConversion"/>
  </si>
  <si>
    <t>EXTRA 1</t>
    <phoneticPr fontId="1" type="noConversion"/>
  </si>
  <si>
    <t>TOTAL 7</t>
    <phoneticPr fontId="1" type="noConversion"/>
  </si>
  <si>
    <t>MAY 24 2017</t>
    <phoneticPr fontId="1" type="noConversion"/>
  </si>
  <si>
    <t>MAY 24 2019</t>
    <phoneticPr fontId="1" type="noConversion"/>
  </si>
  <si>
    <t>MAY 26 2017</t>
    <phoneticPr fontId="1" type="noConversion"/>
  </si>
  <si>
    <t>MAY 26 2019</t>
    <phoneticPr fontId="1" type="noConversion"/>
  </si>
  <si>
    <t>MAY 28 2017</t>
    <phoneticPr fontId="1" type="noConversion"/>
  </si>
  <si>
    <t>MAY 28 2019</t>
    <phoneticPr fontId="1" type="noConversion"/>
  </si>
  <si>
    <t>MAY 30 2017</t>
    <phoneticPr fontId="1" type="noConversion"/>
  </si>
  <si>
    <t>MAY 30 2019</t>
    <phoneticPr fontId="1" type="noConversion"/>
  </si>
  <si>
    <t>MAY 31 2017</t>
    <phoneticPr fontId="1" type="noConversion"/>
  </si>
  <si>
    <t>MAY 31 2019</t>
    <phoneticPr fontId="1" type="noConversion"/>
  </si>
  <si>
    <t>JUN 02 2017</t>
    <phoneticPr fontId="1" type="noConversion"/>
  </si>
  <si>
    <t>JUN 02 2019</t>
    <phoneticPr fontId="1" type="noConversion"/>
  </si>
  <si>
    <t>JUN 03 2017</t>
    <phoneticPr fontId="1" type="noConversion"/>
  </si>
  <si>
    <t>JUN 03 2019</t>
    <phoneticPr fontId="1" type="noConversion"/>
  </si>
  <si>
    <t>JUN 04 2017</t>
    <phoneticPr fontId="1" type="noConversion"/>
  </si>
  <si>
    <t>JUN 04 2019</t>
    <phoneticPr fontId="1" type="noConversion"/>
  </si>
  <si>
    <t>JUN 05 2017</t>
    <phoneticPr fontId="1" type="noConversion"/>
  </si>
  <si>
    <t>JUN 05 2019</t>
    <phoneticPr fontId="1" type="noConversion"/>
  </si>
  <si>
    <t>JUN 06 2017</t>
    <phoneticPr fontId="1" type="noConversion"/>
  </si>
  <si>
    <t>JUN 06 2019</t>
    <phoneticPr fontId="1" type="noConversion"/>
  </si>
  <si>
    <t>JUN 10 2017</t>
    <phoneticPr fontId="1" type="noConversion"/>
  </si>
  <si>
    <t>JUN 10 2019</t>
    <phoneticPr fontId="1" type="noConversion"/>
  </si>
  <si>
    <t>JUN 11 2017</t>
    <phoneticPr fontId="1" type="noConversion"/>
  </si>
  <si>
    <t>JUN 11 2019</t>
    <phoneticPr fontId="1" type="noConversion"/>
  </si>
  <si>
    <t>JUN 12 2017</t>
    <phoneticPr fontId="1" type="noConversion"/>
  </si>
  <si>
    <t>JUN 12 2019</t>
    <phoneticPr fontId="1" type="noConversion"/>
  </si>
  <si>
    <t>JUN 13 2017</t>
    <phoneticPr fontId="1" type="noConversion"/>
  </si>
  <si>
    <t>JUN 13 2019</t>
    <phoneticPr fontId="1" type="noConversion"/>
  </si>
  <si>
    <t>JUN 16 2017</t>
    <phoneticPr fontId="1" type="noConversion"/>
  </si>
  <si>
    <t>JUN 16 2019</t>
    <phoneticPr fontId="1" type="noConversion"/>
  </si>
  <si>
    <t>Kevin ?</t>
    <phoneticPr fontId="1" type="noConversion"/>
  </si>
  <si>
    <t>JUN 21 2017</t>
    <phoneticPr fontId="1" type="noConversion"/>
  </si>
  <si>
    <t>JUN 21 2019</t>
    <phoneticPr fontId="1" type="noConversion"/>
  </si>
  <si>
    <t>JUN 23 2017</t>
    <phoneticPr fontId="1" type="noConversion"/>
  </si>
  <si>
    <t>JUN 23 2019</t>
    <phoneticPr fontId="1" type="noConversion"/>
  </si>
  <si>
    <t>JUN 24 2017</t>
    <phoneticPr fontId="1" type="noConversion"/>
  </si>
  <si>
    <t>JUN 24 2019</t>
    <phoneticPr fontId="1" type="noConversion"/>
  </si>
  <si>
    <t xml:space="preserve">void, returned </t>
    <phoneticPr fontId="1" type="noConversion"/>
  </si>
  <si>
    <t>JUN 25 2017</t>
    <phoneticPr fontId="1" type="noConversion"/>
  </si>
  <si>
    <t>JUN 25 2019</t>
    <phoneticPr fontId="1" type="noConversion"/>
  </si>
  <si>
    <t>JUN 27 2017</t>
    <phoneticPr fontId="1" type="noConversion"/>
  </si>
  <si>
    <t>JUN 27 2019</t>
    <phoneticPr fontId="1" type="noConversion"/>
  </si>
  <si>
    <t>JUN 29 2017</t>
    <phoneticPr fontId="1" type="noConversion"/>
  </si>
  <si>
    <t>JUN 29 2019</t>
    <phoneticPr fontId="1" type="noConversion"/>
  </si>
  <si>
    <t>JUN 30 2017</t>
    <phoneticPr fontId="1" type="noConversion"/>
  </si>
  <si>
    <t>JUN 30 2019</t>
    <phoneticPr fontId="1" type="noConversion"/>
  </si>
  <si>
    <t>JUL 01 2017</t>
    <phoneticPr fontId="1" type="noConversion"/>
  </si>
  <si>
    <t>JUL 01 2019</t>
    <phoneticPr fontId="1" type="noConversion"/>
  </si>
  <si>
    <t>JUL 02 2017</t>
    <phoneticPr fontId="1" type="noConversion"/>
  </si>
  <si>
    <t>JUL 02 2019</t>
    <phoneticPr fontId="1" type="noConversion"/>
  </si>
  <si>
    <t>JUL 03 2017</t>
    <phoneticPr fontId="1" type="noConversion"/>
  </si>
  <si>
    <t>JUL 03 2019</t>
    <phoneticPr fontId="1" type="noConversion"/>
  </si>
  <si>
    <t>JUL 04 2017</t>
    <phoneticPr fontId="1" type="noConversion"/>
  </si>
  <si>
    <t>JUL 04 2019</t>
    <phoneticPr fontId="1" type="noConversion"/>
  </si>
  <si>
    <t>JUL 05 2017</t>
    <phoneticPr fontId="1" type="noConversion"/>
  </si>
  <si>
    <t>JUL 05 2019</t>
    <phoneticPr fontId="1" type="noConversion"/>
  </si>
  <si>
    <t>JUL 06 2017</t>
    <phoneticPr fontId="1" type="noConversion"/>
  </si>
  <si>
    <t>JUL 06 2019</t>
    <phoneticPr fontId="1" type="noConversion"/>
  </si>
  <si>
    <t>JUL 08 2017</t>
    <phoneticPr fontId="1" type="noConversion"/>
  </si>
  <si>
    <t>JUL 08 2019</t>
    <phoneticPr fontId="1" type="noConversion"/>
  </si>
  <si>
    <t>JUL 09 2017</t>
    <phoneticPr fontId="1" type="noConversion"/>
  </si>
  <si>
    <t>JUL 09 2019</t>
    <phoneticPr fontId="1" type="noConversion"/>
  </si>
  <si>
    <t>JUL 10 2017</t>
    <phoneticPr fontId="1" type="noConversion"/>
  </si>
  <si>
    <t>JUL 10 2019</t>
    <phoneticPr fontId="1" type="noConversion"/>
  </si>
  <si>
    <t>JUL 13 2017</t>
    <phoneticPr fontId="1" type="noConversion"/>
  </si>
  <si>
    <t>JUL 13 2019</t>
    <phoneticPr fontId="1" type="noConversion"/>
  </si>
  <si>
    <t>JUL 13 2019</t>
    <phoneticPr fontId="1" type="noConversion"/>
  </si>
  <si>
    <t>JUL 14 2017</t>
    <phoneticPr fontId="1" type="noConversion"/>
  </si>
  <si>
    <t>JUL 14 2019</t>
    <phoneticPr fontId="1" type="noConversion"/>
  </si>
  <si>
    <t>JUL 15 2017</t>
    <phoneticPr fontId="1" type="noConversion"/>
  </si>
  <si>
    <t>JUL 15 2019</t>
    <phoneticPr fontId="1" type="noConversion"/>
  </si>
  <si>
    <t>JUL 16 2017</t>
    <phoneticPr fontId="1" type="noConversion"/>
  </si>
  <si>
    <t>JUL 16 2019</t>
    <phoneticPr fontId="1" type="noConversion"/>
  </si>
  <si>
    <t>JUL 17 2017</t>
    <phoneticPr fontId="1" type="noConversion"/>
  </si>
  <si>
    <t>JUL 17 2019</t>
    <phoneticPr fontId="1" type="noConversion"/>
  </si>
  <si>
    <t>JUL 18 2017</t>
    <phoneticPr fontId="1" type="noConversion"/>
  </si>
  <si>
    <t>JUL 18 2019</t>
    <phoneticPr fontId="1" type="noConversion"/>
  </si>
  <si>
    <t>JUL 18 2017</t>
    <phoneticPr fontId="1" type="noConversion"/>
  </si>
  <si>
    <t>JUL 18 2019</t>
    <phoneticPr fontId="1" type="noConversion"/>
  </si>
  <si>
    <t>JUL 22 2017</t>
    <phoneticPr fontId="1" type="noConversion"/>
  </si>
  <si>
    <t>JUL 22 2019</t>
    <phoneticPr fontId="1" type="noConversion"/>
  </si>
  <si>
    <t>JUL 23 2017</t>
    <phoneticPr fontId="1" type="noConversion"/>
  </si>
  <si>
    <t>JUL 23 2019</t>
    <phoneticPr fontId="1" type="noConversion"/>
  </si>
  <si>
    <t>JUL 24 2017</t>
    <phoneticPr fontId="1" type="noConversion"/>
  </si>
  <si>
    <t>JUL 24 2019</t>
    <phoneticPr fontId="1" type="noConversion"/>
  </si>
  <si>
    <t>JUL 25 2017</t>
    <phoneticPr fontId="1" type="noConversion"/>
  </si>
  <si>
    <t>JUL 25 2019</t>
    <phoneticPr fontId="1" type="noConversion"/>
  </si>
  <si>
    <t>JUL 26 2017</t>
    <phoneticPr fontId="1" type="noConversion"/>
  </si>
  <si>
    <t>JUL 26 2019</t>
    <phoneticPr fontId="1" type="noConversion"/>
  </si>
  <si>
    <t>JUL 28 2017</t>
    <phoneticPr fontId="1" type="noConversion"/>
  </si>
  <si>
    <t>JUL 28 2019</t>
    <phoneticPr fontId="1" type="noConversion"/>
  </si>
  <si>
    <t>JUL 29 2017</t>
    <phoneticPr fontId="1" type="noConversion"/>
  </si>
  <si>
    <t>JUL 29 2019</t>
    <phoneticPr fontId="1" type="noConversion"/>
  </si>
  <si>
    <t>MS PENNY</t>
    <phoneticPr fontId="1" type="noConversion"/>
  </si>
  <si>
    <t>JUL 30 2017</t>
    <phoneticPr fontId="1" type="noConversion"/>
  </si>
  <si>
    <t>JUL 30 2019</t>
    <phoneticPr fontId="1" type="noConversion"/>
  </si>
  <si>
    <t>AUG 01 2017</t>
    <phoneticPr fontId="1" type="noConversion"/>
  </si>
  <si>
    <t>AUG 01 2019</t>
    <phoneticPr fontId="1" type="noConversion"/>
  </si>
  <si>
    <t>AUG 02 2017</t>
    <phoneticPr fontId="1" type="noConversion"/>
  </si>
  <si>
    <t>AUG 02 2019</t>
    <phoneticPr fontId="1" type="noConversion"/>
  </si>
  <si>
    <t>추가 $50 paid on 03/08/17</t>
    <phoneticPr fontId="1" type="noConversion"/>
  </si>
  <si>
    <t>AUG 04 2017</t>
    <phoneticPr fontId="1" type="noConversion"/>
  </si>
  <si>
    <t>AUG 04 2019</t>
    <phoneticPr fontId="1" type="noConversion"/>
  </si>
  <si>
    <t>AUG 05 2017</t>
    <phoneticPr fontId="1" type="noConversion"/>
  </si>
  <si>
    <t>AUG 05 2019</t>
    <phoneticPr fontId="1" type="noConversion"/>
  </si>
  <si>
    <t>AUG 06 2017</t>
    <phoneticPr fontId="1" type="noConversion"/>
  </si>
  <si>
    <t>AUG 06 2019</t>
    <phoneticPr fontId="1" type="noConversion"/>
  </si>
  <si>
    <t>AUG 07 2017</t>
    <phoneticPr fontId="1" type="noConversion"/>
  </si>
  <si>
    <t>AUG 07 2019</t>
    <phoneticPr fontId="1" type="noConversion"/>
  </si>
  <si>
    <t>AUG 10 2017</t>
    <phoneticPr fontId="1" type="noConversion"/>
  </si>
  <si>
    <t>AUG 10 2019</t>
    <phoneticPr fontId="1" type="noConversion"/>
  </si>
  <si>
    <t>AUG 11 2017</t>
    <phoneticPr fontId="1" type="noConversion"/>
  </si>
  <si>
    <t>AUG 11 2019</t>
    <phoneticPr fontId="1" type="noConversion"/>
  </si>
  <si>
    <t>AUG 14 2017</t>
    <phoneticPr fontId="1" type="noConversion"/>
  </si>
  <si>
    <t>AUG 14 2019</t>
    <phoneticPr fontId="1" type="noConversion"/>
  </si>
  <si>
    <t>AUG 17 2017</t>
    <phoneticPr fontId="1" type="noConversion"/>
  </si>
  <si>
    <t>AUG 17 2019</t>
    <phoneticPr fontId="1" type="noConversion"/>
  </si>
  <si>
    <t>Comp 3 DLX for Henry</t>
    <phoneticPr fontId="1" type="noConversion"/>
  </si>
  <si>
    <t>AUG 18 2017</t>
    <phoneticPr fontId="1" type="noConversion"/>
  </si>
  <si>
    <t>AUG 18 2018</t>
    <phoneticPr fontId="1" type="noConversion"/>
  </si>
  <si>
    <t>AUG 18 2017</t>
    <phoneticPr fontId="1" type="noConversion"/>
  </si>
  <si>
    <t>AUG 18 2019</t>
    <phoneticPr fontId="1" type="noConversion"/>
  </si>
  <si>
    <t>0426 255 458</t>
    <phoneticPr fontId="1" type="noConversion"/>
  </si>
  <si>
    <t>AUG 19 2017</t>
    <phoneticPr fontId="1" type="noConversion"/>
  </si>
  <si>
    <t>AUG 19 2019</t>
    <phoneticPr fontId="1" type="noConversion"/>
  </si>
  <si>
    <t>AUG 20 2017</t>
    <phoneticPr fontId="1" type="noConversion"/>
  </si>
  <si>
    <t>AUG 20 2019</t>
    <phoneticPr fontId="1" type="noConversion"/>
  </si>
  <si>
    <t>AUG 21 2017</t>
    <phoneticPr fontId="1" type="noConversion"/>
  </si>
  <si>
    <t>AUG 21 2019</t>
    <phoneticPr fontId="1" type="noConversion"/>
  </si>
  <si>
    <t>UPGRADE AS SUV PAID $60 ON 25/08/17</t>
    <phoneticPr fontId="1" type="noConversion"/>
  </si>
  <si>
    <t>AUG 26 2017</t>
    <phoneticPr fontId="1" type="noConversion"/>
  </si>
  <si>
    <t>AUG 26 2019</t>
    <phoneticPr fontId="1" type="noConversion"/>
  </si>
  <si>
    <t>AUG 30 2017</t>
    <phoneticPr fontId="1" type="noConversion"/>
  </si>
  <si>
    <t>AUG 30 2019</t>
    <phoneticPr fontId="1" type="noConversion"/>
  </si>
  <si>
    <t>AUG 31 2017</t>
    <phoneticPr fontId="1" type="noConversion"/>
  </si>
  <si>
    <t>AUG 31 2019</t>
    <phoneticPr fontId="1" type="noConversion"/>
  </si>
  <si>
    <t>SEP 02 2019</t>
    <phoneticPr fontId="1" type="noConversion"/>
  </si>
  <si>
    <t>SEP 02 2017</t>
    <phoneticPr fontId="1" type="noConversion"/>
  </si>
  <si>
    <t>C RSL MOVEMBER CHARITY</t>
    <phoneticPr fontId="1" type="noConversion"/>
  </si>
  <si>
    <t>SEP 03 2017</t>
    <phoneticPr fontId="1" type="noConversion"/>
  </si>
  <si>
    <t>SEP 03 2019</t>
    <phoneticPr fontId="1" type="noConversion"/>
  </si>
  <si>
    <t>SEP 04 2017</t>
    <phoneticPr fontId="1" type="noConversion"/>
  </si>
  <si>
    <t>SEP 04 2019</t>
    <phoneticPr fontId="1" type="noConversion"/>
  </si>
  <si>
    <t>SEP 05 2017</t>
    <phoneticPr fontId="1" type="noConversion"/>
  </si>
  <si>
    <t>SEP 05 2019</t>
    <phoneticPr fontId="1" type="noConversion"/>
  </si>
  <si>
    <t>SEP 07 2017</t>
    <phoneticPr fontId="1" type="noConversion"/>
  </si>
  <si>
    <t>SEP 07 2019</t>
    <phoneticPr fontId="1" type="noConversion"/>
  </si>
  <si>
    <t>SEP 09 2017</t>
    <phoneticPr fontId="1" type="noConversion"/>
  </si>
  <si>
    <t>SEP 09 2019</t>
    <phoneticPr fontId="1" type="noConversion"/>
  </si>
  <si>
    <t>SEP 10 2017</t>
    <phoneticPr fontId="1" type="noConversion"/>
  </si>
  <si>
    <t>SEP 10 2019</t>
    <phoneticPr fontId="1" type="noConversion"/>
  </si>
  <si>
    <t>SEP 12 2017</t>
    <phoneticPr fontId="1" type="noConversion"/>
  </si>
  <si>
    <t>SEP 12 2019</t>
    <phoneticPr fontId="1" type="noConversion"/>
  </si>
  <si>
    <t>SEP 13 2017</t>
    <phoneticPr fontId="1" type="noConversion"/>
  </si>
  <si>
    <t>SEP 13 2019</t>
    <phoneticPr fontId="1" type="noConversion"/>
  </si>
  <si>
    <t>SEP 14 2017</t>
    <phoneticPr fontId="1" type="noConversion"/>
  </si>
  <si>
    <t>SEP 14 2019</t>
    <phoneticPr fontId="1" type="noConversion"/>
  </si>
  <si>
    <t>SEP 17 2017</t>
    <phoneticPr fontId="1" type="noConversion"/>
  </si>
  <si>
    <t>SEP 17 2019</t>
    <phoneticPr fontId="1" type="noConversion"/>
  </si>
  <si>
    <t>SEP 18 2017</t>
    <phoneticPr fontId="1" type="noConversion"/>
  </si>
  <si>
    <t>SEP 18 2019</t>
    <phoneticPr fontId="1" type="noConversion"/>
  </si>
  <si>
    <t>SEP 21 2017</t>
    <phoneticPr fontId="1" type="noConversion"/>
  </si>
  <si>
    <t>SEP 21 2019</t>
    <phoneticPr fontId="1" type="noConversion"/>
  </si>
  <si>
    <t>SEP 22 2017</t>
    <phoneticPr fontId="1" type="noConversion"/>
  </si>
  <si>
    <t>SEP 22 2019</t>
    <phoneticPr fontId="1" type="noConversion"/>
  </si>
  <si>
    <t>SEP 23 2017</t>
    <phoneticPr fontId="1" type="noConversion"/>
  </si>
  <si>
    <t>SEP 23 2019</t>
    <phoneticPr fontId="1" type="noConversion"/>
  </si>
  <si>
    <t>SEP 24 2017</t>
    <phoneticPr fontId="1" type="noConversion"/>
  </si>
  <si>
    <t>SEP 24 2019</t>
    <phoneticPr fontId="1" type="noConversion"/>
  </si>
  <si>
    <t>SEP 30 2017</t>
    <phoneticPr fontId="1" type="noConversion"/>
  </si>
  <si>
    <t>SEP 30 2019</t>
    <phoneticPr fontId="1" type="noConversion"/>
  </si>
  <si>
    <t>OCT 01 2017</t>
    <phoneticPr fontId="1" type="noConversion"/>
  </si>
  <si>
    <t>OCT 01 2019</t>
    <phoneticPr fontId="1" type="noConversion"/>
  </si>
  <si>
    <t>OCT 03 2017</t>
    <phoneticPr fontId="1" type="noConversion"/>
  </si>
  <si>
    <t>OCT 03 2019</t>
    <phoneticPr fontId="1" type="noConversion"/>
  </si>
  <si>
    <t>OCT 04 2017</t>
    <phoneticPr fontId="1" type="noConversion"/>
  </si>
  <si>
    <t>OCT 04 2019</t>
    <phoneticPr fontId="1" type="noConversion"/>
  </si>
  <si>
    <t>OCT 05 2017</t>
    <phoneticPr fontId="1" type="noConversion"/>
  </si>
  <si>
    <t>OCT 05 2019</t>
    <phoneticPr fontId="1" type="noConversion"/>
  </si>
  <si>
    <t>OCT 07 2017</t>
    <phoneticPr fontId="1" type="noConversion"/>
  </si>
  <si>
    <t>OCT 07 2019</t>
    <phoneticPr fontId="1" type="noConversion"/>
  </si>
  <si>
    <t>OCT 08 2017</t>
    <phoneticPr fontId="1" type="noConversion"/>
  </si>
  <si>
    <t>OCT 08 2019</t>
    <phoneticPr fontId="1" type="noConversion"/>
  </si>
  <si>
    <t>OCT 10 2017</t>
    <phoneticPr fontId="1" type="noConversion"/>
  </si>
  <si>
    <t>OCT 10 2019</t>
    <phoneticPr fontId="1" type="noConversion"/>
  </si>
  <si>
    <t>OCT 11 2017</t>
    <phoneticPr fontId="1" type="noConversion"/>
  </si>
  <si>
    <t>OCT 11 2019</t>
    <phoneticPr fontId="1" type="noConversion"/>
  </si>
  <si>
    <t>OCT 12 2017</t>
    <phoneticPr fontId="1" type="noConversion"/>
  </si>
  <si>
    <t>OCT 12 2019</t>
    <phoneticPr fontId="1" type="noConversion"/>
  </si>
  <si>
    <t>OCT 13 2017</t>
    <phoneticPr fontId="1" type="noConversion"/>
  </si>
  <si>
    <t>OCT 13 2019</t>
    <phoneticPr fontId="1" type="noConversion"/>
  </si>
  <si>
    <t>OCT 14 2017</t>
    <phoneticPr fontId="1" type="noConversion"/>
  </si>
  <si>
    <t>OCT 14 2019</t>
    <phoneticPr fontId="1" type="noConversion"/>
  </si>
  <si>
    <t>OCT 16 2017</t>
    <phoneticPr fontId="1" type="noConversion"/>
  </si>
  <si>
    <t>OCT 16 2019</t>
    <phoneticPr fontId="1" type="noConversion"/>
  </si>
  <si>
    <t>Expanded</t>
    <phoneticPr fontId="1" type="noConversion"/>
  </si>
  <si>
    <t>OCT 19 2017</t>
    <phoneticPr fontId="1" type="noConversion"/>
  </si>
  <si>
    <t>OCT 19 2019</t>
    <phoneticPr fontId="1" type="noConversion"/>
  </si>
  <si>
    <t>OCT 17 2017</t>
    <phoneticPr fontId="1" type="noConversion"/>
  </si>
  <si>
    <t>OCT 17 2019</t>
    <phoneticPr fontId="1" type="noConversion"/>
  </si>
  <si>
    <t>OCT 21 2017</t>
    <phoneticPr fontId="1" type="noConversion"/>
  </si>
  <si>
    <t>OCT 21 2019</t>
    <phoneticPr fontId="1" type="noConversion"/>
  </si>
  <si>
    <t>OCT 24 2017</t>
    <phoneticPr fontId="1" type="noConversion"/>
  </si>
  <si>
    <t>OCT 24 2019</t>
    <phoneticPr fontId="1" type="noConversion"/>
  </si>
  <si>
    <t>OCT 25 2017</t>
    <phoneticPr fontId="1" type="noConversion"/>
  </si>
  <si>
    <t>OCT 25 2019</t>
    <phoneticPr fontId="1" type="noConversion"/>
  </si>
  <si>
    <t>OCT 23 2017</t>
    <phoneticPr fontId="1" type="noConversion"/>
  </si>
  <si>
    <t>SAMPLE</t>
    <phoneticPr fontId="1" type="noConversion"/>
  </si>
  <si>
    <t>L</t>
    <phoneticPr fontId="1" type="noConversion"/>
  </si>
  <si>
    <t>S</t>
    <phoneticPr fontId="1" type="noConversion"/>
  </si>
  <si>
    <t>A</t>
    <phoneticPr fontId="1" type="noConversion"/>
  </si>
  <si>
    <t>M</t>
    <phoneticPr fontId="1" type="noConversion"/>
  </si>
  <si>
    <t>E</t>
    <phoneticPr fontId="1" type="noConversion"/>
  </si>
  <si>
    <t>P</t>
    <phoneticPr fontId="1" type="noConversion"/>
  </si>
  <si>
    <t>OCT 27 2017</t>
    <phoneticPr fontId="1" type="noConversion"/>
  </si>
  <si>
    <t>OCT 27 2019</t>
    <phoneticPr fontId="1" type="noConversion"/>
  </si>
  <si>
    <t>SAMPLE for display</t>
    <phoneticPr fontId="1" type="noConversion"/>
  </si>
  <si>
    <t>OCT 28 2017</t>
    <phoneticPr fontId="1" type="noConversion"/>
  </si>
  <si>
    <t>OCT 28 2019</t>
    <phoneticPr fontId="1" type="noConversion"/>
  </si>
  <si>
    <t>OCT 29 2017</t>
    <phoneticPr fontId="1" type="noConversion"/>
  </si>
  <si>
    <t>OCT 29 2019</t>
    <phoneticPr fontId="1" type="noConversion"/>
  </si>
  <si>
    <t>OCT 30 2017</t>
    <phoneticPr fontId="1" type="noConversion"/>
  </si>
  <si>
    <t>OCT 30 2019</t>
    <phoneticPr fontId="1" type="noConversion"/>
  </si>
  <si>
    <t>NOV 01 2017</t>
    <phoneticPr fontId="1" type="noConversion"/>
  </si>
  <si>
    <t>NOV 01 2019</t>
    <phoneticPr fontId="1" type="noConversion"/>
  </si>
  <si>
    <t>NOV 05 2017</t>
    <phoneticPr fontId="1" type="noConversion"/>
  </si>
  <si>
    <t>NOV 05 2019</t>
    <phoneticPr fontId="1" type="noConversion"/>
  </si>
  <si>
    <t>NOV 07 2017</t>
    <phoneticPr fontId="1" type="noConversion"/>
  </si>
  <si>
    <t>NOV 07 2019</t>
    <phoneticPr fontId="1" type="noConversion"/>
  </si>
  <si>
    <t>NOV 06 2017</t>
    <phoneticPr fontId="1" type="noConversion"/>
  </si>
  <si>
    <t>NOV 06 2019</t>
    <phoneticPr fontId="1" type="noConversion"/>
  </si>
  <si>
    <t>NOV 08 2017</t>
    <phoneticPr fontId="1" type="noConversion"/>
  </si>
  <si>
    <t>NOV 08 2019</t>
    <phoneticPr fontId="1" type="noConversion"/>
  </si>
  <si>
    <t>NOV 09 2017</t>
    <phoneticPr fontId="1" type="noConversion"/>
  </si>
  <si>
    <t>NOV 09 2019</t>
    <phoneticPr fontId="1" type="noConversion"/>
  </si>
  <si>
    <t>Done by An Contract</t>
    <phoneticPr fontId="1" type="noConversion"/>
  </si>
  <si>
    <t>NOV 11 2017</t>
    <phoneticPr fontId="1" type="noConversion"/>
  </si>
  <si>
    <t>NOV 11 2019</t>
    <phoneticPr fontId="1" type="noConversion"/>
  </si>
  <si>
    <t>NOV 14 2017</t>
    <phoneticPr fontId="1" type="noConversion"/>
  </si>
  <si>
    <t>NOV 14 2019</t>
    <phoneticPr fontId="1" type="noConversion"/>
  </si>
  <si>
    <t>NOV 15 2017</t>
    <phoneticPr fontId="1" type="noConversion"/>
  </si>
  <si>
    <t>NOV 15 2019</t>
    <phoneticPr fontId="1" type="noConversion"/>
  </si>
  <si>
    <t>NOV 17 2017</t>
    <phoneticPr fontId="1" type="noConversion"/>
  </si>
  <si>
    <t>NOV 17 2019</t>
    <phoneticPr fontId="1" type="noConversion"/>
  </si>
  <si>
    <t>NOV 18 2017</t>
    <phoneticPr fontId="1" type="noConversion"/>
  </si>
  <si>
    <t>NOV 18 2019</t>
    <phoneticPr fontId="1" type="noConversion"/>
  </si>
  <si>
    <t>NOV 19 2017</t>
    <phoneticPr fontId="1" type="noConversion"/>
  </si>
  <si>
    <t>NOV 19 2019</t>
    <phoneticPr fontId="1" type="noConversion"/>
  </si>
  <si>
    <t>AB 입고 ?  4/6 21/11/17 ? $75 2회로 판매된것인데 의아.</t>
    <phoneticPr fontId="1" type="noConversion"/>
  </si>
  <si>
    <t>NOV 21 2017</t>
    <phoneticPr fontId="1" type="noConversion"/>
  </si>
  <si>
    <t>NOV 21 2019</t>
    <phoneticPr fontId="1" type="noConversion"/>
  </si>
  <si>
    <t>NOV 20 2017</t>
    <phoneticPr fontId="1" type="noConversion"/>
  </si>
  <si>
    <t>NOV 20 2018</t>
    <phoneticPr fontId="1" type="noConversion"/>
  </si>
  <si>
    <t>AMEX COMPLAINT DLX 1회 $295 고객</t>
    <phoneticPr fontId="1" type="noConversion"/>
  </si>
  <si>
    <t>NOV 22 2017</t>
    <phoneticPr fontId="1" type="noConversion"/>
  </si>
  <si>
    <t>NOV 22 2019</t>
    <phoneticPr fontId="1" type="noConversion"/>
  </si>
  <si>
    <t>NOV 23 2017</t>
    <phoneticPr fontId="1" type="noConversion"/>
  </si>
  <si>
    <t>NOV 23 2019</t>
    <phoneticPr fontId="1" type="noConversion"/>
  </si>
  <si>
    <t>NOV 24 2017</t>
    <phoneticPr fontId="1" type="noConversion"/>
  </si>
  <si>
    <t>NOV 24 2019</t>
    <phoneticPr fontId="1" type="noConversion"/>
  </si>
  <si>
    <t>NOV 25 2017</t>
    <phoneticPr fontId="1" type="noConversion"/>
  </si>
  <si>
    <t>NOV 25 2019</t>
    <phoneticPr fontId="1" type="noConversion"/>
  </si>
  <si>
    <t>NOV 26 2017</t>
    <phoneticPr fontId="1" type="noConversion"/>
  </si>
  <si>
    <t>NOV 26 2019</t>
    <phoneticPr fontId="1" type="noConversion"/>
  </si>
  <si>
    <t>NOV 27 2017</t>
    <phoneticPr fontId="1" type="noConversion"/>
  </si>
  <si>
    <t>NOV 27 2019</t>
    <phoneticPr fontId="1" type="noConversion"/>
  </si>
  <si>
    <t>NOV 30 2017</t>
    <phoneticPr fontId="1" type="noConversion"/>
  </si>
  <si>
    <t>NOV 30 2019</t>
    <phoneticPr fontId="1" type="noConversion"/>
  </si>
  <si>
    <t>DEC 01 2017</t>
    <phoneticPr fontId="1" type="noConversion"/>
  </si>
  <si>
    <t>DEC 01 2019</t>
    <phoneticPr fontId="1" type="noConversion"/>
  </si>
  <si>
    <t>DEC 02 2017</t>
    <phoneticPr fontId="1" type="noConversion"/>
  </si>
  <si>
    <t>DEC 02 2019</t>
    <phoneticPr fontId="1" type="noConversion"/>
  </si>
  <si>
    <t>DEC 03 2017</t>
    <phoneticPr fontId="1" type="noConversion"/>
  </si>
  <si>
    <t>DEC 03 2019</t>
    <phoneticPr fontId="1" type="noConversion"/>
  </si>
  <si>
    <t>DEC 04 2017</t>
    <phoneticPr fontId="1" type="noConversion"/>
  </si>
  <si>
    <t>DEC 04 2019</t>
    <phoneticPr fontId="1" type="noConversion"/>
  </si>
  <si>
    <t>Compliment for Alex's $70 over charge</t>
    <phoneticPr fontId="1" type="noConversion"/>
  </si>
  <si>
    <t>DEC 06 2017</t>
    <phoneticPr fontId="1" type="noConversion"/>
  </si>
  <si>
    <t>DEC 06 2019</t>
    <phoneticPr fontId="1" type="noConversion"/>
  </si>
  <si>
    <t>DEC 08 2017</t>
    <phoneticPr fontId="1" type="noConversion"/>
  </si>
  <si>
    <t>DEC 08 2019</t>
    <phoneticPr fontId="1" type="noConversion"/>
  </si>
  <si>
    <t>DEC 09 2017</t>
    <phoneticPr fontId="1" type="noConversion"/>
  </si>
  <si>
    <t>DEC 09 2019</t>
    <phoneticPr fontId="1" type="noConversion"/>
  </si>
  <si>
    <t>DEC 10 2017</t>
    <phoneticPr fontId="1" type="noConversion"/>
  </si>
  <si>
    <t>DEC 10 2019</t>
    <phoneticPr fontId="1" type="noConversion"/>
  </si>
  <si>
    <t>DEC 11 2017</t>
    <phoneticPr fontId="1" type="noConversion"/>
  </si>
  <si>
    <t>DEC 11 2019</t>
    <phoneticPr fontId="1" type="noConversion"/>
  </si>
  <si>
    <t>GA GV  customer 분실 complaint 2ea 추가제공</t>
    <phoneticPr fontId="1" type="noConversion"/>
  </si>
  <si>
    <t>DEC 18 2017</t>
    <phoneticPr fontId="1" type="noConversion"/>
  </si>
  <si>
    <t>DEC 18 2019</t>
    <phoneticPr fontId="1" type="noConversion"/>
  </si>
  <si>
    <t>DEC 23 2017</t>
    <phoneticPr fontId="1" type="noConversion"/>
  </si>
  <si>
    <t>DEC 23 2019</t>
    <phoneticPr fontId="1" type="noConversion"/>
  </si>
  <si>
    <t>DEC 24 2017</t>
    <phoneticPr fontId="1" type="noConversion"/>
  </si>
  <si>
    <t>DEC 24 2019</t>
    <phoneticPr fontId="1" type="noConversion"/>
  </si>
  <si>
    <t>DEC 27 2017</t>
    <phoneticPr fontId="1" type="noConversion"/>
  </si>
  <si>
    <t>DEC 27 2019</t>
    <phoneticPr fontId="1" type="noConversion"/>
  </si>
  <si>
    <t>DEC 29 2017</t>
    <phoneticPr fontId="1" type="noConversion"/>
  </si>
  <si>
    <t>DEC 29 2019</t>
    <phoneticPr fontId="1" type="noConversion"/>
  </si>
  <si>
    <t>DEC 31 2017</t>
    <phoneticPr fontId="1" type="noConversion"/>
  </si>
  <si>
    <t>DEC 31 2019</t>
    <phoneticPr fontId="1" type="noConversion"/>
  </si>
  <si>
    <t>JAN 04 2018</t>
    <phoneticPr fontId="1" type="noConversion"/>
  </si>
  <si>
    <t>JAN 04 2020</t>
    <phoneticPr fontId="1" type="noConversion"/>
  </si>
  <si>
    <t>JAN 06 2018</t>
    <phoneticPr fontId="1" type="noConversion"/>
  </si>
  <si>
    <t>JAN 06 2020</t>
    <phoneticPr fontId="1" type="noConversion"/>
  </si>
  <si>
    <t>DEC 28 2017</t>
    <phoneticPr fontId="1" type="noConversion"/>
  </si>
  <si>
    <t>DEC 28 2019</t>
    <phoneticPr fontId="1" type="noConversion"/>
  </si>
  <si>
    <t>DEC 14 2017</t>
    <phoneticPr fontId="1" type="noConversion"/>
  </si>
  <si>
    <t>DEC 14 2019</t>
    <phoneticPr fontId="1" type="noConversion"/>
  </si>
  <si>
    <t>DEC 13 2017</t>
    <phoneticPr fontId="1" type="noConversion"/>
  </si>
  <si>
    <t>DEC 13 2019</t>
    <phoneticPr fontId="1" type="noConversion"/>
  </si>
  <si>
    <t>JAN 07 2018</t>
    <phoneticPr fontId="1" type="noConversion"/>
  </si>
  <si>
    <t>JAN 07 2020</t>
    <phoneticPr fontId="1" type="noConversion"/>
  </si>
  <si>
    <t>JAN 08 2018</t>
    <phoneticPr fontId="1" type="noConversion"/>
  </si>
  <si>
    <t>JAN 08 2020</t>
    <phoneticPr fontId="1" type="noConversion"/>
  </si>
  <si>
    <t>JAN 10 2018</t>
    <phoneticPr fontId="1" type="noConversion"/>
  </si>
  <si>
    <t>JAN 10 2020</t>
    <phoneticPr fontId="1" type="noConversion"/>
  </si>
  <si>
    <t>JAN 12 2018</t>
    <phoneticPr fontId="1" type="noConversion"/>
  </si>
  <si>
    <t>JAN 12 2020</t>
    <phoneticPr fontId="1" type="noConversion"/>
  </si>
  <si>
    <t>JAN 14 2018</t>
    <phoneticPr fontId="1" type="noConversion"/>
  </si>
  <si>
    <t>JAN 14 2020</t>
    <phoneticPr fontId="1" type="noConversion"/>
  </si>
  <si>
    <t>JAN 15 2018</t>
    <phoneticPr fontId="1" type="noConversion"/>
  </si>
  <si>
    <t>JAN 15 2020</t>
    <phoneticPr fontId="1" type="noConversion"/>
  </si>
  <si>
    <t>JAN 17 2018</t>
    <phoneticPr fontId="1" type="noConversion"/>
  </si>
  <si>
    <t>JAN 17 2020</t>
    <phoneticPr fontId="1" type="noConversion"/>
  </si>
  <si>
    <t xml:space="preserve">Compliment for Kevin </t>
    <phoneticPr fontId="1" type="noConversion"/>
  </si>
  <si>
    <t>JAN 18 2018</t>
    <phoneticPr fontId="1" type="noConversion"/>
  </si>
  <si>
    <t>JAN 18 2020</t>
    <phoneticPr fontId="1" type="noConversion"/>
  </si>
  <si>
    <t>JAN 19 2018</t>
    <phoneticPr fontId="1" type="noConversion"/>
  </si>
  <si>
    <t>JAN 19 2020</t>
    <phoneticPr fontId="1" type="noConversion"/>
  </si>
  <si>
    <t>JAN 20 2018</t>
    <phoneticPr fontId="1" type="noConversion"/>
  </si>
  <si>
    <t>JAN 20 2020</t>
    <phoneticPr fontId="1" type="noConversion"/>
  </si>
  <si>
    <t>JAN 24 2018</t>
    <phoneticPr fontId="1" type="noConversion"/>
  </si>
  <si>
    <t>JAN 24 2020</t>
    <phoneticPr fontId="1" type="noConversion"/>
  </si>
  <si>
    <t>JAN 26 2018</t>
    <phoneticPr fontId="1" type="noConversion"/>
  </si>
  <si>
    <t>JAN 26 2020</t>
    <phoneticPr fontId="1" type="noConversion"/>
  </si>
  <si>
    <t>JAN 27 2018</t>
    <phoneticPr fontId="1" type="noConversion"/>
  </si>
  <si>
    <t>JAN 27 2020</t>
    <phoneticPr fontId="1" type="noConversion"/>
  </si>
  <si>
    <t>JAN 29 2018</t>
    <phoneticPr fontId="1" type="noConversion"/>
  </si>
  <si>
    <t>JAN 29 2020</t>
    <phoneticPr fontId="1" type="noConversion"/>
  </si>
  <si>
    <t>FEB 01 2018</t>
    <phoneticPr fontId="1" type="noConversion"/>
  </si>
  <si>
    <t>FEB 01 2020</t>
    <phoneticPr fontId="1" type="noConversion"/>
  </si>
  <si>
    <t>FEB 02 2018</t>
    <phoneticPr fontId="1" type="noConversion"/>
  </si>
  <si>
    <t>FEB 02 2020</t>
    <phoneticPr fontId="1" type="noConversion"/>
  </si>
  <si>
    <t>FEB 03 2018</t>
    <phoneticPr fontId="1" type="noConversion"/>
  </si>
  <si>
    <t>FEB 03 2020</t>
    <phoneticPr fontId="1" type="noConversion"/>
  </si>
  <si>
    <t>FEB 04 2018</t>
    <phoneticPr fontId="1" type="noConversion"/>
  </si>
  <si>
    <t>FEB 04 2020</t>
    <phoneticPr fontId="1" type="noConversion"/>
  </si>
  <si>
    <t>FEB 05 2018</t>
    <phoneticPr fontId="1" type="noConversion"/>
  </si>
  <si>
    <t>FEB 05 2020</t>
    <phoneticPr fontId="1" type="noConversion"/>
  </si>
  <si>
    <t>FEB 08 2018</t>
    <phoneticPr fontId="1" type="noConversion"/>
  </si>
  <si>
    <t>FEB 08 2020</t>
    <phoneticPr fontId="1" type="noConversion"/>
  </si>
  <si>
    <t>FEB 10 2018</t>
    <phoneticPr fontId="1" type="noConversion"/>
  </si>
  <si>
    <t>FEB 10 2020</t>
    <phoneticPr fontId="1" type="noConversion"/>
  </si>
  <si>
    <t>FEB 11 2018</t>
    <phoneticPr fontId="1" type="noConversion"/>
  </si>
  <si>
    <t>FEB 11 2020</t>
    <phoneticPr fontId="1" type="noConversion"/>
  </si>
  <si>
    <t>FEB 15 2018</t>
    <phoneticPr fontId="1" type="noConversion"/>
  </si>
  <si>
    <t>FEB 15 2020</t>
    <phoneticPr fontId="1" type="noConversion"/>
  </si>
  <si>
    <t>FEB 16 2018</t>
    <phoneticPr fontId="1" type="noConversion"/>
  </si>
  <si>
    <t>FEB 16 2020</t>
    <phoneticPr fontId="1" type="noConversion"/>
  </si>
  <si>
    <t>FEB 17 2018</t>
    <phoneticPr fontId="1" type="noConversion"/>
  </si>
  <si>
    <t>FEB 17 2020</t>
    <phoneticPr fontId="1" type="noConversion"/>
  </si>
  <si>
    <t>FEB 18 2018</t>
    <phoneticPr fontId="1" type="noConversion"/>
  </si>
  <si>
    <t>FEB 18 2020</t>
    <phoneticPr fontId="1" type="noConversion"/>
  </si>
  <si>
    <t>comp</t>
    <phoneticPr fontId="1" type="noConversion"/>
  </si>
  <si>
    <t>not used</t>
    <phoneticPr fontId="1" type="noConversion"/>
  </si>
  <si>
    <t>FEB 20 2018</t>
    <phoneticPr fontId="1" type="noConversion"/>
  </si>
  <si>
    <t>FEB 20 2020</t>
    <phoneticPr fontId="1" type="noConversion"/>
  </si>
  <si>
    <t>FEB 22 2018</t>
    <phoneticPr fontId="1" type="noConversion"/>
  </si>
  <si>
    <t>FEB 22 2020</t>
    <phoneticPr fontId="1" type="noConversion"/>
  </si>
  <si>
    <t>FEB 23 2018</t>
    <phoneticPr fontId="1" type="noConversion"/>
  </si>
  <si>
    <t>FEB 23 2020</t>
    <phoneticPr fontId="1" type="noConversion"/>
  </si>
  <si>
    <t>FEB 24 2018</t>
    <phoneticPr fontId="1" type="noConversion"/>
  </si>
  <si>
    <t>FEB 24 2020</t>
    <phoneticPr fontId="1" type="noConversion"/>
  </si>
  <si>
    <t>FEB 25 2018</t>
    <phoneticPr fontId="1" type="noConversion"/>
  </si>
  <si>
    <t>FEB 25 2019</t>
    <phoneticPr fontId="1" type="noConversion"/>
  </si>
  <si>
    <t>Compliment fro complaint</t>
    <phoneticPr fontId="1" type="noConversion"/>
  </si>
  <si>
    <t>FEB 27 2018</t>
    <phoneticPr fontId="1" type="noConversion"/>
  </si>
  <si>
    <t>comp</t>
    <phoneticPr fontId="1" type="noConversion"/>
  </si>
  <si>
    <t>MAR 01 2018</t>
    <phoneticPr fontId="1" type="noConversion"/>
  </si>
  <si>
    <t>MAR 01 2020</t>
    <phoneticPr fontId="1" type="noConversion"/>
  </si>
  <si>
    <t>AMEX 지불 희망 $5 D/C</t>
    <phoneticPr fontId="1" type="noConversion"/>
  </si>
  <si>
    <t>FEB 27 2020</t>
    <phoneticPr fontId="1" type="noConversion"/>
  </si>
  <si>
    <t>DLX ONCE Detail complaint</t>
    <phoneticPr fontId="1" type="noConversion"/>
  </si>
  <si>
    <t>MAR 02 2018</t>
    <phoneticPr fontId="1" type="noConversion"/>
  </si>
  <si>
    <t>MAR 02 2020</t>
    <phoneticPr fontId="1" type="noConversion"/>
  </si>
  <si>
    <t>Return to CEO</t>
    <phoneticPr fontId="1" type="noConversion"/>
  </si>
  <si>
    <t>MAR 04 2018</t>
    <phoneticPr fontId="1" type="noConversion"/>
  </si>
  <si>
    <t>MAR 04 2020</t>
    <phoneticPr fontId="1" type="noConversion"/>
  </si>
  <si>
    <t>MAR 05 2018</t>
    <phoneticPr fontId="1" type="noConversion"/>
  </si>
  <si>
    <t>MAR 05 2020</t>
    <phoneticPr fontId="1" type="noConversion"/>
  </si>
  <si>
    <t>MAR 07 2018</t>
    <phoneticPr fontId="1" type="noConversion"/>
  </si>
  <si>
    <t>MAR 07 2020</t>
    <phoneticPr fontId="1" type="noConversion"/>
  </si>
  <si>
    <t>MAR 08 2018</t>
    <phoneticPr fontId="1" type="noConversion"/>
  </si>
  <si>
    <t>MAR 08 2020</t>
    <phoneticPr fontId="1" type="noConversion"/>
  </si>
  <si>
    <t>MAR 10 2018</t>
    <phoneticPr fontId="1" type="noConversion"/>
  </si>
  <si>
    <t>MAR 10 2020</t>
    <phoneticPr fontId="1" type="noConversion"/>
  </si>
  <si>
    <t>BLACK PORCHE RUDE CHINESE</t>
    <phoneticPr fontId="1" type="noConversion"/>
  </si>
  <si>
    <t>MAR 12 2018</t>
    <phoneticPr fontId="1" type="noConversion"/>
  </si>
  <si>
    <t>MAR 12 2020</t>
    <phoneticPr fontId="1" type="noConversion"/>
  </si>
  <si>
    <t>MAR 14 2018</t>
    <phoneticPr fontId="1" type="noConversion"/>
  </si>
  <si>
    <t>MAR 14 2020</t>
    <phoneticPr fontId="1" type="noConversion"/>
  </si>
  <si>
    <t>MAR 15 2018</t>
    <phoneticPr fontId="1" type="noConversion"/>
  </si>
  <si>
    <t>MAR 15 2020</t>
    <phoneticPr fontId="1" type="noConversion"/>
  </si>
  <si>
    <t>MAR 16 2018</t>
    <phoneticPr fontId="1" type="noConversion"/>
  </si>
  <si>
    <t>MAR 16 2020</t>
    <phoneticPr fontId="1" type="noConversion"/>
  </si>
  <si>
    <t>MAR 17 2018</t>
    <phoneticPr fontId="1" type="noConversion"/>
  </si>
  <si>
    <t>MAR 17 2020</t>
    <phoneticPr fontId="1" type="noConversion"/>
  </si>
  <si>
    <t>extended</t>
    <phoneticPr fontId="1" type="noConversion"/>
  </si>
  <si>
    <t>MAR 18 2018</t>
    <phoneticPr fontId="1" type="noConversion"/>
  </si>
  <si>
    <t>MAR 18 2020</t>
    <phoneticPr fontId="1" type="noConversion"/>
  </si>
  <si>
    <t>MAR 20 2018</t>
    <phoneticPr fontId="1" type="noConversion"/>
  </si>
  <si>
    <t>MAR 20 2020</t>
    <phoneticPr fontId="1" type="noConversion"/>
  </si>
  <si>
    <t>MAR 22 2018</t>
    <phoneticPr fontId="1" type="noConversion"/>
  </si>
  <si>
    <t>MAR 22 2020</t>
    <phoneticPr fontId="1" type="noConversion"/>
  </si>
  <si>
    <t>MAR 24 2018</t>
    <phoneticPr fontId="1" type="noConversion"/>
  </si>
  <si>
    <t>MAR 24 2020</t>
    <phoneticPr fontId="1" type="noConversion"/>
  </si>
  <si>
    <t>MAR 25 2018</t>
    <phoneticPr fontId="1" type="noConversion"/>
  </si>
  <si>
    <t>MAR 25 2020</t>
    <phoneticPr fontId="1" type="noConversion"/>
  </si>
  <si>
    <t>MAR 26 2018</t>
    <phoneticPr fontId="1" type="noConversion"/>
  </si>
  <si>
    <t>MAR 26 2020</t>
    <phoneticPr fontId="1" type="noConversion"/>
  </si>
  <si>
    <t>MAR 28 2018</t>
    <phoneticPr fontId="1" type="noConversion"/>
  </si>
  <si>
    <t>MAR 28 2020</t>
    <phoneticPr fontId="1" type="noConversion"/>
  </si>
  <si>
    <t>MAR 29 2018</t>
    <phoneticPr fontId="1" type="noConversion"/>
  </si>
  <si>
    <t>MAR 29 2020</t>
    <phoneticPr fontId="1" type="noConversion"/>
  </si>
  <si>
    <t>DEALER PURCHASE</t>
    <phoneticPr fontId="1" type="noConversion"/>
  </si>
  <si>
    <t>CANCELLED and returned</t>
    <phoneticPr fontId="1" type="noConversion"/>
  </si>
  <si>
    <t>COMP BY KEVIN</t>
    <phoneticPr fontId="1" type="noConversion"/>
  </si>
  <si>
    <t>APRIL 18 2018</t>
    <phoneticPr fontId="1" type="noConversion"/>
  </si>
  <si>
    <t>APRL 18 2020</t>
    <phoneticPr fontId="1" type="noConversion"/>
  </si>
  <si>
    <t>APRIL 19 2018</t>
    <phoneticPr fontId="1" type="noConversion"/>
  </si>
  <si>
    <t>APRL 19 2020</t>
    <phoneticPr fontId="1" type="noConversion"/>
  </si>
  <si>
    <t>APRIL 20 2018</t>
    <phoneticPr fontId="1" type="noConversion"/>
  </si>
  <si>
    <t>APRL 20 2020</t>
    <phoneticPr fontId="1" type="noConversion"/>
  </si>
  <si>
    <t>COMP</t>
    <phoneticPr fontId="1" type="noConversion"/>
  </si>
  <si>
    <t>APRIL 21 2018</t>
    <phoneticPr fontId="1" type="noConversion"/>
  </si>
  <si>
    <t>APRL 21 2020</t>
    <phoneticPr fontId="1" type="noConversion"/>
  </si>
  <si>
    <t>APRIL03 2018    APRIL 03 2020</t>
    <phoneticPr fontId="1" type="noConversion"/>
  </si>
  <si>
    <t>APRIL04 2018</t>
    <phoneticPr fontId="1" type="noConversion"/>
  </si>
  <si>
    <t>APRIL04 2020</t>
    <phoneticPr fontId="1" type="noConversion"/>
  </si>
  <si>
    <t>APRIL06 2018</t>
    <phoneticPr fontId="1" type="noConversion"/>
  </si>
  <si>
    <t>APRIL06 2020</t>
    <phoneticPr fontId="1" type="noConversion"/>
  </si>
  <si>
    <t>APRIL07 2018</t>
    <phoneticPr fontId="1" type="noConversion"/>
  </si>
  <si>
    <t>APRIL07 2020</t>
    <phoneticPr fontId="1" type="noConversion"/>
  </si>
  <si>
    <t>APRIL08 2018</t>
    <phoneticPr fontId="1" type="noConversion"/>
  </si>
  <si>
    <t>APRIL08 2020</t>
    <phoneticPr fontId="1" type="noConversion"/>
  </si>
  <si>
    <t>APRIL11 2018</t>
    <phoneticPr fontId="1" type="noConversion"/>
  </si>
  <si>
    <t>APRIL11 2020</t>
    <phoneticPr fontId="1" type="noConversion"/>
  </si>
  <si>
    <t>APRIL13 2018</t>
    <phoneticPr fontId="1" type="noConversion"/>
  </si>
  <si>
    <t>APRIL13 2020</t>
    <phoneticPr fontId="1" type="noConversion"/>
  </si>
  <si>
    <t>APRIL14 2018</t>
    <phoneticPr fontId="1" type="noConversion"/>
  </si>
  <si>
    <t>APRIL14 2020</t>
    <phoneticPr fontId="1" type="noConversion"/>
  </si>
  <si>
    <t>APRIL15 2018</t>
    <phoneticPr fontId="1" type="noConversion"/>
  </si>
  <si>
    <t>APRIL15 2020</t>
    <phoneticPr fontId="1" type="noConversion"/>
  </si>
  <si>
    <t>APRIL16 2018</t>
    <phoneticPr fontId="1" type="noConversion"/>
  </si>
  <si>
    <t>APRIL16 2020</t>
    <phoneticPr fontId="1" type="noConversion"/>
  </si>
  <si>
    <t>APRIL17 2018</t>
    <phoneticPr fontId="1" type="noConversion"/>
  </si>
  <si>
    <t>APRIL17 2020</t>
    <phoneticPr fontId="1" type="noConversion"/>
  </si>
  <si>
    <t>APRIL 22 2018</t>
    <phoneticPr fontId="1" type="noConversion"/>
  </si>
  <si>
    <t>APRL 22 2020</t>
    <phoneticPr fontId="1" type="noConversion"/>
  </si>
  <si>
    <t>APRIL 25 2018</t>
    <phoneticPr fontId="1" type="noConversion"/>
  </si>
  <si>
    <t>APRL 25 2020</t>
    <phoneticPr fontId="1" type="noConversion"/>
  </si>
  <si>
    <t>Returned</t>
    <phoneticPr fontId="1" type="noConversion"/>
  </si>
  <si>
    <t>APRIL 28 2018</t>
    <phoneticPr fontId="1" type="noConversion"/>
  </si>
  <si>
    <t>APRL 28 2020</t>
    <phoneticPr fontId="1" type="noConversion"/>
  </si>
  <si>
    <t>APRIL 29 2018</t>
    <phoneticPr fontId="1" type="noConversion"/>
  </si>
  <si>
    <t>APRL 29 2020</t>
    <phoneticPr fontId="1" type="noConversion"/>
  </si>
  <si>
    <t>MAY 01 2018</t>
    <phoneticPr fontId="1" type="noConversion"/>
  </si>
  <si>
    <t>MAY 01 2020</t>
    <phoneticPr fontId="1" type="noConversion"/>
  </si>
  <si>
    <t>RETURNED</t>
    <phoneticPr fontId="1" type="noConversion"/>
  </si>
  <si>
    <t>MAY 05 2018</t>
    <phoneticPr fontId="1" type="noConversion"/>
  </si>
  <si>
    <t>MAY 05 2020</t>
    <phoneticPr fontId="1" type="noConversion"/>
  </si>
  <si>
    <t>MAY 06 2018</t>
    <phoneticPr fontId="1" type="noConversion"/>
  </si>
  <si>
    <t>MAY 06 2020</t>
    <phoneticPr fontId="1" type="noConversion"/>
  </si>
  <si>
    <t>MAY 07 2018</t>
    <phoneticPr fontId="1" type="noConversion"/>
  </si>
  <si>
    <t>MAY 07 2020</t>
    <phoneticPr fontId="1" type="noConversion"/>
  </si>
  <si>
    <t>MAY 10 2018</t>
    <phoneticPr fontId="1" type="noConversion"/>
  </si>
  <si>
    <t>MAY 10 2020</t>
    <phoneticPr fontId="1" type="noConversion"/>
  </si>
  <si>
    <t>MAY 11 2018</t>
    <phoneticPr fontId="1" type="noConversion"/>
  </si>
  <si>
    <t>MAY 11 2020</t>
    <phoneticPr fontId="1" type="noConversion"/>
  </si>
  <si>
    <t>MAY 17 2018</t>
    <phoneticPr fontId="1" type="noConversion"/>
  </si>
  <si>
    <t>MAY 17 2020</t>
    <phoneticPr fontId="1" type="noConversion"/>
  </si>
  <si>
    <t>MAY 18 2018</t>
    <phoneticPr fontId="1" type="noConversion"/>
  </si>
  <si>
    <t>MAY 18 2020</t>
    <phoneticPr fontId="1" type="noConversion"/>
  </si>
  <si>
    <t>MAY 19 2018</t>
    <phoneticPr fontId="1" type="noConversion"/>
  </si>
  <si>
    <t>MAY 19 2020</t>
    <phoneticPr fontId="1" type="noConversion"/>
  </si>
  <si>
    <t>MAY 20 2018</t>
    <phoneticPr fontId="1" type="noConversion"/>
  </si>
  <si>
    <t>MAY 20 2020</t>
    <phoneticPr fontId="1" type="noConversion"/>
  </si>
  <si>
    <t>MAY 21 2018</t>
    <phoneticPr fontId="1" type="noConversion"/>
  </si>
  <si>
    <t>MAY 21 2020</t>
    <phoneticPr fontId="1" type="noConversion"/>
  </si>
  <si>
    <t>MAY 22 2018</t>
    <phoneticPr fontId="1" type="noConversion"/>
  </si>
  <si>
    <t>MAY 22 2020</t>
    <phoneticPr fontId="1" type="noConversion"/>
  </si>
  <si>
    <t>MAY 23 2018</t>
    <phoneticPr fontId="1" type="noConversion"/>
  </si>
  <si>
    <t>MAY 23 2020</t>
    <phoneticPr fontId="1" type="noConversion"/>
  </si>
  <si>
    <t>MAY 24 2018</t>
    <phoneticPr fontId="1" type="noConversion"/>
  </si>
  <si>
    <t>MAY 24 2020</t>
    <phoneticPr fontId="1" type="noConversion"/>
  </si>
  <si>
    <t>EXTENDED FOR CARER</t>
    <phoneticPr fontId="1" type="noConversion"/>
  </si>
  <si>
    <t>JUN 01 2018</t>
    <phoneticPr fontId="1" type="noConversion"/>
  </si>
  <si>
    <t>JUN 01 2020</t>
    <phoneticPr fontId="1" type="noConversion"/>
  </si>
  <si>
    <t>MAY 29 2018</t>
    <phoneticPr fontId="1" type="noConversion"/>
  </si>
  <si>
    <t>MAY 29 2020</t>
    <phoneticPr fontId="1" type="noConversion"/>
  </si>
  <si>
    <t>SOLD WHILE BR'S AWAY</t>
    <phoneticPr fontId="1" type="noConversion"/>
  </si>
  <si>
    <t>PRICE'S NOT SURE</t>
    <phoneticPr fontId="1" type="noConversion"/>
  </si>
  <si>
    <t>JUN 14 2018</t>
    <phoneticPr fontId="1" type="noConversion"/>
  </si>
  <si>
    <t>JUN 14 2020</t>
    <phoneticPr fontId="1" type="noConversion"/>
  </si>
  <si>
    <t>7TH</t>
    <phoneticPr fontId="1" type="noConversion"/>
  </si>
  <si>
    <t>B</t>
    <phoneticPr fontId="1" type="noConversion"/>
  </si>
  <si>
    <t>R</t>
    <phoneticPr fontId="1" type="noConversion"/>
  </si>
  <si>
    <t>I</t>
    <phoneticPr fontId="1" type="noConversion"/>
  </si>
  <si>
    <t>A</t>
    <phoneticPr fontId="1" type="noConversion"/>
  </si>
  <si>
    <t>N</t>
    <phoneticPr fontId="1" type="noConversion"/>
  </si>
  <si>
    <t xml:space="preserve"> '</t>
    <phoneticPr fontId="1" type="noConversion"/>
  </si>
  <si>
    <t>S</t>
    <phoneticPr fontId="1" type="noConversion"/>
  </si>
  <si>
    <t>A</t>
    <phoneticPr fontId="1" type="noConversion"/>
  </si>
  <si>
    <t>W</t>
    <phoneticPr fontId="1" type="noConversion"/>
  </si>
  <si>
    <t>Y</t>
    <phoneticPr fontId="1" type="noConversion"/>
  </si>
  <si>
    <t>DFZ71R</t>
    <phoneticPr fontId="1" type="noConversion"/>
  </si>
  <si>
    <t>NO 기록없음</t>
    <phoneticPr fontId="1" type="noConversion"/>
  </si>
  <si>
    <t>BWW58A</t>
    <phoneticPr fontId="1" type="noConversion"/>
  </si>
  <si>
    <t>DSJ29W</t>
    <phoneticPr fontId="1" type="noConversion"/>
  </si>
  <si>
    <t>CDD62Z</t>
    <phoneticPr fontId="1" type="noConversion"/>
  </si>
  <si>
    <t>BTL96T</t>
    <phoneticPr fontId="1" type="noConversion"/>
  </si>
  <si>
    <t>COF18V</t>
    <phoneticPr fontId="1" type="noConversion"/>
  </si>
  <si>
    <t>한명 4장 ?</t>
    <phoneticPr fontId="1" type="noConversion"/>
  </si>
  <si>
    <t>CAC90E</t>
    <phoneticPr fontId="1" type="noConversion"/>
  </si>
  <si>
    <t>DJA97W</t>
    <phoneticPr fontId="1" type="noConversion"/>
  </si>
  <si>
    <t>DLV82U</t>
    <phoneticPr fontId="1" type="noConversion"/>
  </si>
  <si>
    <t>PF888</t>
    <phoneticPr fontId="1" type="noConversion"/>
  </si>
  <si>
    <t>NJY77L</t>
    <phoneticPr fontId="1" type="noConversion"/>
  </si>
  <si>
    <t>CZW79K</t>
    <phoneticPr fontId="1" type="noConversion"/>
  </si>
  <si>
    <t>JUN 03 2018</t>
    <phoneticPr fontId="1" type="noConversion"/>
  </si>
  <si>
    <t>JUN 03 2020</t>
    <phoneticPr fontId="1" type="noConversion"/>
  </si>
  <si>
    <t>향후 내방시 번호 찾아 기록 유지 바람</t>
    <phoneticPr fontId="1" type="noConversion"/>
  </si>
  <si>
    <t>JUN 23 2018</t>
    <phoneticPr fontId="1" type="noConversion"/>
  </si>
  <si>
    <t>JUN 23 2020</t>
    <phoneticPr fontId="1" type="noConversion"/>
  </si>
  <si>
    <t>JUN 24 2018</t>
    <phoneticPr fontId="1" type="noConversion"/>
  </si>
  <si>
    <t>JUN 24 2020</t>
    <phoneticPr fontId="1" type="noConversion"/>
  </si>
  <si>
    <t>JUN 25 2018</t>
    <phoneticPr fontId="1" type="noConversion"/>
  </si>
  <si>
    <t>JUN 25 2020</t>
    <phoneticPr fontId="1" type="noConversion"/>
  </si>
  <si>
    <t>JUN 30 2018</t>
    <phoneticPr fontId="1" type="noConversion"/>
  </si>
  <si>
    <t>JUN 30 2020</t>
    <phoneticPr fontId="1" type="noConversion"/>
  </si>
  <si>
    <t>JUl 01 2018</t>
    <phoneticPr fontId="1" type="noConversion"/>
  </si>
  <si>
    <t>JUl 01 2020</t>
    <phoneticPr fontId="1" type="noConversion"/>
  </si>
  <si>
    <t>EXTENDED TILL 29 07 2018 BY KEVIN</t>
    <phoneticPr fontId="1" type="noConversion"/>
  </si>
  <si>
    <t>CQB62F</t>
    <phoneticPr fontId="1" type="noConversion"/>
  </si>
  <si>
    <t>JUl 07 2018</t>
    <phoneticPr fontId="1" type="noConversion"/>
  </si>
  <si>
    <t>JUl 07 2020</t>
    <phoneticPr fontId="1" type="noConversion"/>
  </si>
  <si>
    <t>JUl 08 2018</t>
    <phoneticPr fontId="1" type="noConversion"/>
  </si>
  <si>
    <t>JUl 08 2020</t>
    <phoneticPr fontId="1" type="noConversion"/>
  </si>
  <si>
    <t>MAINLY SOLD BY</t>
    <phoneticPr fontId="1" type="noConversion"/>
  </si>
  <si>
    <t>JAMES</t>
    <phoneticPr fontId="1" type="noConversion"/>
  </si>
  <si>
    <t>JUl 09 2018</t>
    <phoneticPr fontId="1" type="noConversion"/>
  </si>
  <si>
    <t>JUl 09 2020</t>
    <phoneticPr fontId="1" type="noConversion"/>
  </si>
  <si>
    <t>JUl 11 2018</t>
    <phoneticPr fontId="1" type="noConversion"/>
  </si>
  <si>
    <t>JUl 11 2020</t>
    <phoneticPr fontId="1" type="noConversion"/>
  </si>
  <si>
    <t>LAURA MAO</t>
    <phoneticPr fontId="1" type="noConversion"/>
  </si>
  <si>
    <t>JUl 12 2018</t>
    <phoneticPr fontId="1" type="noConversion"/>
  </si>
  <si>
    <t>JUl 12 2020</t>
    <phoneticPr fontId="1" type="noConversion"/>
  </si>
  <si>
    <t>PB0031   1/6</t>
    <phoneticPr fontId="1" type="noConversion"/>
  </si>
  <si>
    <t>JUl 14 2018</t>
    <phoneticPr fontId="1" type="noConversion"/>
  </si>
  <si>
    <t>JUl 14 2020</t>
    <phoneticPr fontId="1" type="noConversion"/>
  </si>
  <si>
    <t>JUl 16 2018</t>
    <phoneticPr fontId="1" type="noConversion"/>
  </si>
  <si>
    <t>JUl 16 2020</t>
    <phoneticPr fontId="1" type="noConversion"/>
  </si>
  <si>
    <t>JUl 17 2018</t>
    <phoneticPr fontId="1" type="noConversion"/>
  </si>
  <si>
    <t>JUl 17 2020</t>
    <phoneticPr fontId="1" type="noConversion"/>
  </si>
  <si>
    <t>JUl 18 2018</t>
    <phoneticPr fontId="1" type="noConversion"/>
  </si>
  <si>
    <t>JUl 18 2020</t>
    <phoneticPr fontId="1" type="noConversion"/>
  </si>
  <si>
    <t>JUl 19 2018</t>
    <phoneticPr fontId="1" type="noConversion"/>
  </si>
  <si>
    <t>JUl 19 2020</t>
    <phoneticPr fontId="1" type="noConversion"/>
  </si>
  <si>
    <t>JUl 20 2018</t>
    <phoneticPr fontId="1" type="noConversion"/>
  </si>
  <si>
    <t>Jul 20 2020</t>
    <phoneticPr fontId="1" type="noConversion"/>
  </si>
  <si>
    <t>JUl 21 2018</t>
    <phoneticPr fontId="1" type="noConversion"/>
  </si>
  <si>
    <t>Jul 21 2020</t>
    <phoneticPr fontId="1" type="noConversion"/>
  </si>
  <si>
    <t>JUl 24 2018</t>
    <phoneticPr fontId="1" type="noConversion"/>
  </si>
  <si>
    <t>Jul 24 2020</t>
    <phoneticPr fontId="1" type="noConversion"/>
  </si>
  <si>
    <t>JUl 26 2018</t>
    <phoneticPr fontId="1" type="noConversion"/>
  </si>
  <si>
    <t>Jul 26 2020</t>
    <phoneticPr fontId="1" type="noConversion"/>
  </si>
  <si>
    <t>JUl 25 2018</t>
    <phoneticPr fontId="1" type="noConversion"/>
  </si>
  <si>
    <t>Jul 25 2020</t>
    <phoneticPr fontId="1" type="noConversion"/>
  </si>
  <si>
    <t>JUl 27 2018</t>
    <phoneticPr fontId="1" type="noConversion"/>
  </si>
  <si>
    <t>Jul 27 2020</t>
    <phoneticPr fontId="1" type="noConversion"/>
  </si>
  <si>
    <t>JUl 28 2018</t>
    <phoneticPr fontId="1" type="noConversion"/>
  </si>
  <si>
    <t>Jul 28 2020</t>
    <phoneticPr fontId="1" type="noConversion"/>
  </si>
  <si>
    <t>JUl 29 2018</t>
    <phoneticPr fontId="1" type="noConversion"/>
  </si>
  <si>
    <t>Jul 29 2020</t>
    <phoneticPr fontId="1" type="noConversion"/>
  </si>
  <si>
    <t>JUl 30 2018</t>
    <phoneticPr fontId="1" type="noConversion"/>
  </si>
  <si>
    <t>Jul 30 2020</t>
    <phoneticPr fontId="1" type="noConversion"/>
  </si>
  <si>
    <t>AUG 01 2018</t>
    <phoneticPr fontId="1" type="noConversion"/>
  </si>
  <si>
    <t>AUG 01 2020</t>
    <phoneticPr fontId="1" type="noConversion"/>
  </si>
  <si>
    <t>#161013 EXTENDED TO 16 NOV 2018</t>
    <phoneticPr fontId="1" type="noConversion"/>
  </si>
  <si>
    <t>AUG 02 2018</t>
    <phoneticPr fontId="1" type="noConversion"/>
  </si>
  <si>
    <t>AUG 02 2020</t>
    <phoneticPr fontId="1" type="noConversion"/>
  </si>
  <si>
    <t>AUG 04 2018</t>
    <phoneticPr fontId="1" type="noConversion"/>
  </si>
  <si>
    <t>AUG 04 2020</t>
    <phoneticPr fontId="1" type="noConversion"/>
  </si>
  <si>
    <t>AUG 03 2018</t>
    <phoneticPr fontId="1" type="noConversion"/>
  </si>
  <si>
    <t>AUG 05 2018</t>
    <phoneticPr fontId="1" type="noConversion"/>
  </si>
  <si>
    <t>AUG 05 2020</t>
    <phoneticPr fontId="1" type="noConversion"/>
  </si>
  <si>
    <t>AUG 06 2018</t>
    <phoneticPr fontId="1" type="noConversion"/>
  </si>
  <si>
    <t>AUG 07 2018</t>
    <phoneticPr fontId="1" type="noConversion"/>
  </si>
  <si>
    <t>AUG 06 2020</t>
    <phoneticPr fontId="1" type="noConversion"/>
  </si>
  <si>
    <t>AUG 06 2020</t>
    <phoneticPr fontId="1" type="noConversion"/>
  </si>
  <si>
    <t>AUG 07 2020</t>
    <phoneticPr fontId="1" type="noConversion"/>
  </si>
  <si>
    <t>AUG 03 2020</t>
    <phoneticPr fontId="1" type="noConversion"/>
  </si>
  <si>
    <t>AUG 03 2020</t>
    <phoneticPr fontId="1" type="noConversion"/>
  </si>
  <si>
    <t>MAY 28 2018</t>
    <phoneticPr fontId="1" type="noConversion"/>
  </si>
  <si>
    <t>MAY 28 2020</t>
    <phoneticPr fontId="1" type="noConversion"/>
  </si>
  <si>
    <t>MAY 31 2018</t>
    <phoneticPr fontId="1" type="noConversion"/>
  </si>
  <si>
    <t>MAY 31 2020</t>
    <phoneticPr fontId="1" type="noConversion"/>
  </si>
  <si>
    <t>JUN 22 2018</t>
    <phoneticPr fontId="1" type="noConversion"/>
  </si>
  <si>
    <t>JUN 22 2020</t>
    <phoneticPr fontId="1" type="noConversion"/>
  </si>
  <si>
    <t>JUN 20 2018</t>
    <phoneticPr fontId="1" type="noConversion"/>
  </si>
  <si>
    <t>JUN 20 2020</t>
    <phoneticPr fontId="1" type="noConversion"/>
  </si>
  <si>
    <t>JUN 16 2018</t>
    <phoneticPr fontId="1" type="noConversion"/>
  </si>
  <si>
    <t>JUN 16 2020</t>
    <phoneticPr fontId="1" type="noConversion"/>
  </si>
  <si>
    <t>JUN 15 2018</t>
    <phoneticPr fontId="1" type="noConversion"/>
  </si>
  <si>
    <t>JUN 15 2020</t>
    <phoneticPr fontId="1" type="noConversion"/>
  </si>
  <si>
    <t>JUN 13 2018</t>
    <phoneticPr fontId="1" type="noConversion"/>
  </si>
  <si>
    <t>JUN 13 2020</t>
    <phoneticPr fontId="1" type="noConversion"/>
  </si>
  <si>
    <t>AUG 08 2018</t>
    <phoneticPr fontId="1" type="noConversion"/>
  </si>
  <si>
    <t>AUG 08 2020</t>
    <phoneticPr fontId="1" type="noConversion"/>
  </si>
  <si>
    <t>AUG 09 2018</t>
    <phoneticPr fontId="1" type="noConversion"/>
  </si>
  <si>
    <t>AUG 09 2020</t>
    <phoneticPr fontId="1" type="noConversion"/>
  </si>
  <si>
    <t>AUG 10 2018</t>
    <phoneticPr fontId="1" type="noConversion"/>
  </si>
  <si>
    <t>AUG 10 2020</t>
    <phoneticPr fontId="1" type="noConversion"/>
  </si>
  <si>
    <t>AUG 11 2018</t>
    <phoneticPr fontId="1" type="noConversion"/>
  </si>
  <si>
    <t>AUG 11 2020</t>
    <phoneticPr fontId="1" type="noConversion"/>
  </si>
  <si>
    <t>AUG 14 2018</t>
    <phoneticPr fontId="1" type="noConversion"/>
  </si>
  <si>
    <t>AUG 14 2020</t>
    <phoneticPr fontId="1" type="noConversion"/>
  </si>
  <si>
    <t>AUG 15 2018</t>
    <phoneticPr fontId="1" type="noConversion"/>
  </si>
  <si>
    <t>AUG 15 2020</t>
    <phoneticPr fontId="1" type="noConversion"/>
  </si>
  <si>
    <t>AUG 16 2018</t>
    <phoneticPr fontId="1" type="noConversion"/>
  </si>
  <si>
    <t>AUG 16 2020</t>
    <phoneticPr fontId="1" type="noConversion"/>
  </si>
  <si>
    <t>AUG 17 2018</t>
    <phoneticPr fontId="1" type="noConversion"/>
  </si>
  <si>
    <t>AUG 17 2020</t>
    <phoneticPr fontId="1" type="noConversion"/>
  </si>
  <si>
    <t>AUG 18 2020</t>
    <phoneticPr fontId="1" type="noConversion"/>
  </si>
  <si>
    <t>AUG 22 2018</t>
    <phoneticPr fontId="1" type="noConversion"/>
  </si>
  <si>
    <t>AUG 22 2020</t>
    <phoneticPr fontId="1" type="noConversion"/>
  </si>
  <si>
    <t>AUG 26 2018</t>
    <phoneticPr fontId="1" type="noConversion"/>
  </si>
  <si>
    <t>AUG 26 2020</t>
    <phoneticPr fontId="1" type="noConversion"/>
  </si>
  <si>
    <t>AUG 27 2018</t>
    <phoneticPr fontId="1" type="noConversion"/>
  </si>
  <si>
    <t>AUG 27 2020</t>
    <phoneticPr fontId="1" type="noConversion"/>
  </si>
  <si>
    <t>AUG 28 2018</t>
    <phoneticPr fontId="1" type="noConversion"/>
  </si>
  <si>
    <t>AUG 28 2020</t>
    <phoneticPr fontId="1" type="noConversion"/>
  </si>
  <si>
    <t>AUG 31 2018</t>
    <phoneticPr fontId="1" type="noConversion"/>
  </si>
  <si>
    <t>AUG 31 2020</t>
    <phoneticPr fontId="1" type="noConversion"/>
  </si>
  <si>
    <t>SEP 01 2018</t>
    <phoneticPr fontId="1" type="noConversion"/>
  </si>
  <si>
    <t>SEP 01 2020</t>
    <phoneticPr fontId="1" type="noConversion"/>
  </si>
  <si>
    <t>SEP 04 2018</t>
    <phoneticPr fontId="1" type="noConversion"/>
  </si>
  <si>
    <t>SEP 04 2020</t>
    <phoneticPr fontId="1" type="noConversion"/>
  </si>
  <si>
    <t>SEP 06 2018</t>
    <phoneticPr fontId="1" type="noConversion"/>
  </si>
  <si>
    <t>SEP 06 2020</t>
    <phoneticPr fontId="1" type="noConversion"/>
  </si>
  <si>
    <t>Refund $240 on 07/09/18 by Mrs Kim</t>
    <phoneticPr fontId="1" type="noConversion"/>
  </si>
  <si>
    <t>SEP 07 2018</t>
    <phoneticPr fontId="1" type="noConversion"/>
  </si>
  <si>
    <t>SEP 07 2020</t>
    <phoneticPr fontId="1" type="noConversion"/>
  </si>
  <si>
    <t>SEP 10 2018</t>
    <phoneticPr fontId="1" type="noConversion"/>
  </si>
  <si>
    <t>SEP 10 2020</t>
    <phoneticPr fontId="1" type="noConversion"/>
  </si>
  <si>
    <t>SEP 10 2018</t>
    <phoneticPr fontId="1" type="noConversion"/>
  </si>
  <si>
    <t>SEP 10 2020</t>
    <phoneticPr fontId="1" type="noConversion"/>
  </si>
  <si>
    <t>SEP 11 2018</t>
    <phoneticPr fontId="1" type="noConversion"/>
  </si>
  <si>
    <t>SEP 11 2020</t>
    <phoneticPr fontId="1" type="noConversion"/>
  </si>
  <si>
    <t>SEP 12 2020</t>
    <phoneticPr fontId="1" type="noConversion"/>
  </si>
  <si>
    <t>SEP 12 2018</t>
    <phoneticPr fontId="1" type="noConversion"/>
  </si>
  <si>
    <t>SEP 13 2018</t>
    <phoneticPr fontId="1" type="noConversion"/>
  </si>
  <si>
    <t>SEP 13 2020</t>
    <phoneticPr fontId="1" type="noConversion"/>
  </si>
  <si>
    <t>SEP 14 2018</t>
    <phoneticPr fontId="1" type="noConversion"/>
  </si>
  <si>
    <t>SEP 14 2020</t>
    <phoneticPr fontId="1" type="noConversion"/>
  </si>
  <si>
    <t>SEP 16 2018</t>
    <phoneticPr fontId="1" type="noConversion"/>
  </si>
  <si>
    <t>SEP 16 2020</t>
    <phoneticPr fontId="1" type="noConversion"/>
  </si>
  <si>
    <t>SEP 17 2018</t>
    <phoneticPr fontId="1" type="noConversion"/>
  </si>
  <si>
    <t>SEP 17 2020</t>
    <phoneticPr fontId="1" type="noConversion"/>
  </si>
  <si>
    <t>SEP 20 2018</t>
    <phoneticPr fontId="1" type="noConversion"/>
  </si>
  <si>
    <t>SEP 20 2020</t>
    <phoneticPr fontId="1" type="noConversion"/>
  </si>
  <si>
    <t>SEP 21 2018</t>
    <phoneticPr fontId="1" type="noConversion"/>
  </si>
  <si>
    <t>SEP 21 2020</t>
    <phoneticPr fontId="1" type="noConversion"/>
  </si>
  <si>
    <t>SEP 22 2018</t>
    <phoneticPr fontId="1" type="noConversion"/>
  </si>
  <si>
    <t>SEP 22 2020</t>
    <phoneticPr fontId="1" type="noConversion"/>
  </si>
  <si>
    <t>SEP 23 2018</t>
    <phoneticPr fontId="1" type="noConversion"/>
  </si>
  <si>
    <t>SEP 23 2020</t>
    <phoneticPr fontId="1" type="noConversion"/>
  </si>
  <si>
    <t>SEP 24 2018</t>
    <phoneticPr fontId="1" type="noConversion"/>
  </si>
  <si>
    <t>SEP 24 2020</t>
    <phoneticPr fontId="1" type="noConversion"/>
  </si>
  <si>
    <t>SEP 25 2018</t>
    <phoneticPr fontId="1" type="noConversion"/>
  </si>
  <si>
    <t>SEP 25 2020</t>
    <phoneticPr fontId="1" type="noConversion"/>
  </si>
  <si>
    <t>SEP 27 2018</t>
    <phoneticPr fontId="1" type="noConversion"/>
  </si>
  <si>
    <t>SEP 27 2020</t>
    <phoneticPr fontId="1" type="noConversion"/>
  </si>
  <si>
    <t>SEP 28 2018</t>
    <phoneticPr fontId="1" type="noConversion"/>
  </si>
  <si>
    <t>SEP 28 2020</t>
    <phoneticPr fontId="1" type="noConversion"/>
  </si>
  <si>
    <t>SEP 29 2018</t>
    <phoneticPr fontId="1" type="noConversion"/>
  </si>
  <si>
    <t>SEP 29 2020</t>
    <phoneticPr fontId="1" type="noConversion"/>
  </si>
  <si>
    <t>SEP 30 2018</t>
    <phoneticPr fontId="1" type="noConversion"/>
  </si>
  <si>
    <t>SEP 30 2020</t>
    <phoneticPr fontId="1" type="noConversion"/>
  </si>
  <si>
    <t>No Docket GV for present to friends</t>
    <phoneticPr fontId="1" type="noConversion"/>
  </si>
  <si>
    <t>Paid $225</t>
    <phoneticPr fontId="1" type="noConversion"/>
  </si>
  <si>
    <t>OCT 01 2018</t>
    <phoneticPr fontId="1" type="noConversion"/>
  </si>
  <si>
    <t>OCT 01 2020</t>
    <phoneticPr fontId="1" type="noConversion"/>
  </si>
  <si>
    <t>OCT 05 2018</t>
    <phoneticPr fontId="1" type="noConversion"/>
  </si>
  <si>
    <t>OCT 05 2020</t>
    <phoneticPr fontId="1" type="noConversion"/>
  </si>
  <si>
    <t>OCT 09 2018</t>
    <phoneticPr fontId="1" type="noConversion"/>
  </si>
  <si>
    <t>OCT 09 2020</t>
    <phoneticPr fontId="1" type="noConversion"/>
  </si>
  <si>
    <t>OCT 14 2018</t>
    <phoneticPr fontId="1" type="noConversion"/>
  </si>
  <si>
    <t>OCT 14 2020</t>
    <phoneticPr fontId="1" type="noConversion"/>
  </si>
  <si>
    <t>OCT 16 2018</t>
    <phoneticPr fontId="1" type="noConversion"/>
  </si>
  <si>
    <t xml:space="preserve">OCT 16 2020 </t>
    <phoneticPr fontId="1" type="noConversion"/>
  </si>
  <si>
    <t>OCT 18 2018</t>
    <phoneticPr fontId="1" type="noConversion"/>
  </si>
  <si>
    <t xml:space="preserve">OCT 18 2020 </t>
    <phoneticPr fontId="1" type="noConversion"/>
  </si>
  <si>
    <t>OCT 19 2018</t>
    <phoneticPr fontId="1" type="noConversion"/>
  </si>
  <si>
    <t xml:space="preserve">OCT 19 2020 </t>
    <phoneticPr fontId="1" type="noConversion"/>
  </si>
  <si>
    <t>OCT 21 2018</t>
    <phoneticPr fontId="1" type="noConversion"/>
  </si>
  <si>
    <t xml:space="preserve">OCT 21 2020 </t>
    <phoneticPr fontId="1" type="noConversion"/>
  </si>
  <si>
    <t>OCT 22 2018</t>
    <phoneticPr fontId="1" type="noConversion"/>
  </si>
  <si>
    <t xml:space="preserve">OCT 22 2020 </t>
    <phoneticPr fontId="1" type="noConversion"/>
  </si>
  <si>
    <t xml:space="preserve">OCT 23 2018 </t>
    <phoneticPr fontId="1" type="noConversion"/>
  </si>
  <si>
    <t xml:space="preserve">OCT 23 2018 </t>
    <phoneticPr fontId="1" type="noConversion"/>
  </si>
  <si>
    <t xml:space="preserve">OCT 23 2018 </t>
    <phoneticPr fontId="1" type="noConversion"/>
  </si>
  <si>
    <t xml:space="preserve">OCT 23 2020 </t>
    <phoneticPr fontId="1" type="noConversion"/>
  </si>
  <si>
    <t xml:space="preserve">OCT 24 2018 </t>
    <phoneticPr fontId="1" type="noConversion"/>
  </si>
  <si>
    <t xml:space="preserve">OCT 24 2020 </t>
    <phoneticPr fontId="1" type="noConversion"/>
  </si>
  <si>
    <t xml:space="preserve">OCT 26 2018 </t>
    <phoneticPr fontId="1" type="noConversion"/>
  </si>
  <si>
    <t xml:space="preserve">OCT 26 2020 </t>
    <phoneticPr fontId="1" type="noConversion"/>
  </si>
  <si>
    <t>EXTENDED TO 2019</t>
    <phoneticPr fontId="1" type="noConversion"/>
  </si>
  <si>
    <t xml:space="preserve">OCT 27 2018 </t>
    <phoneticPr fontId="1" type="noConversion"/>
  </si>
  <si>
    <t xml:space="preserve">OCT 27 2020 </t>
    <phoneticPr fontId="1" type="noConversion"/>
  </si>
  <si>
    <t xml:space="preserve">OCT 28 2018 </t>
    <phoneticPr fontId="1" type="noConversion"/>
  </si>
  <si>
    <t xml:space="preserve">OCT 28 2020 </t>
    <phoneticPr fontId="1" type="noConversion"/>
  </si>
  <si>
    <t xml:space="preserve">OCT 29 2018 </t>
    <phoneticPr fontId="1" type="noConversion"/>
  </si>
  <si>
    <t xml:space="preserve">OCT 29 2020 </t>
    <phoneticPr fontId="1" type="noConversion"/>
  </si>
  <si>
    <t>OCT 30 2018</t>
    <phoneticPr fontId="1" type="noConversion"/>
  </si>
  <si>
    <t>OCT 30 2020</t>
    <phoneticPr fontId="1" type="noConversion"/>
  </si>
  <si>
    <t>OCT 30 2018</t>
    <phoneticPr fontId="1" type="noConversion"/>
  </si>
  <si>
    <t>OCT 31 2018</t>
    <phoneticPr fontId="1" type="noConversion"/>
  </si>
  <si>
    <t>OCT 31 2020</t>
    <phoneticPr fontId="1" type="noConversion"/>
  </si>
  <si>
    <t>NOV 01 2018</t>
    <phoneticPr fontId="1" type="noConversion"/>
  </si>
  <si>
    <t>NOV 01 2020</t>
    <phoneticPr fontId="1" type="noConversion"/>
  </si>
  <si>
    <t>NOV 02 2018</t>
    <phoneticPr fontId="1" type="noConversion"/>
  </si>
  <si>
    <t>NOV 02 2020</t>
    <phoneticPr fontId="1" type="noConversion"/>
  </si>
  <si>
    <t>NOV 02 2018</t>
    <phoneticPr fontId="1" type="noConversion"/>
  </si>
  <si>
    <t>NOV 02 2020</t>
    <phoneticPr fontId="1" type="noConversion"/>
  </si>
  <si>
    <t>NOV 02 2020</t>
    <phoneticPr fontId="1" type="noConversion"/>
  </si>
  <si>
    <t>NOV 02 2020</t>
    <phoneticPr fontId="1" type="noConversion"/>
  </si>
  <si>
    <t>NOV 02 2018</t>
    <phoneticPr fontId="1" type="noConversion"/>
  </si>
  <si>
    <t>NOV 02 2020</t>
    <phoneticPr fontId="1" type="noConversion"/>
  </si>
  <si>
    <t>NOV 03 2018</t>
    <phoneticPr fontId="1" type="noConversion"/>
  </si>
  <si>
    <t>NOV 03 2020</t>
    <phoneticPr fontId="1" type="noConversion"/>
  </si>
  <si>
    <t>NOV 03 2018</t>
    <phoneticPr fontId="1" type="noConversion"/>
  </si>
  <si>
    <t>NOV 03 2018</t>
    <phoneticPr fontId="1" type="noConversion"/>
  </si>
  <si>
    <t>NOV 03 2018</t>
    <phoneticPr fontId="1" type="noConversion"/>
  </si>
  <si>
    <t>NOV 03 2020</t>
    <phoneticPr fontId="1" type="noConversion"/>
  </si>
  <si>
    <t>NOV 03 2020</t>
    <phoneticPr fontId="1" type="noConversion"/>
  </si>
  <si>
    <t>NOV 04 2018</t>
    <phoneticPr fontId="1" type="noConversion"/>
  </si>
  <si>
    <t>NOV 04 2020</t>
    <phoneticPr fontId="1" type="noConversion"/>
  </si>
  <si>
    <t>NOV 05 2018</t>
    <phoneticPr fontId="1" type="noConversion"/>
  </si>
  <si>
    <t>NOV 05 2020</t>
    <phoneticPr fontId="1" type="noConversion"/>
  </si>
  <si>
    <t>NOV 06 2018</t>
    <phoneticPr fontId="1" type="noConversion"/>
  </si>
  <si>
    <t>NOV 06 2020</t>
    <phoneticPr fontId="1" type="noConversion"/>
  </si>
  <si>
    <t>NOV 08 2018</t>
    <phoneticPr fontId="1" type="noConversion"/>
  </si>
  <si>
    <t>NOV 08 2020</t>
    <phoneticPr fontId="1" type="noConversion"/>
  </si>
  <si>
    <t>NOV 08 2018</t>
    <phoneticPr fontId="1" type="noConversion"/>
  </si>
  <si>
    <t>NOV 08 2020</t>
    <phoneticPr fontId="1" type="noConversion"/>
  </si>
  <si>
    <t>NOV 09 2018</t>
    <phoneticPr fontId="1" type="noConversion"/>
  </si>
  <si>
    <t>NOV 09 2020</t>
    <phoneticPr fontId="1" type="noConversion"/>
  </si>
  <si>
    <t>NOV 10 2018</t>
    <phoneticPr fontId="1" type="noConversion"/>
  </si>
  <si>
    <t>NOV 10 2020</t>
    <phoneticPr fontId="1" type="noConversion"/>
  </si>
  <si>
    <t>NOV 10 2018</t>
    <phoneticPr fontId="1" type="noConversion"/>
  </si>
  <si>
    <t>NOV 10 2018</t>
    <phoneticPr fontId="1" type="noConversion"/>
  </si>
  <si>
    <t>NOV 10 2020</t>
    <phoneticPr fontId="1" type="noConversion"/>
  </si>
  <si>
    <t>NOV 10 2020</t>
    <phoneticPr fontId="1" type="noConversion"/>
  </si>
  <si>
    <t>NOV 11 2018</t>
    <phoneticPr fontId="1" type="noConversion"/>
  </si>
  <si>
    <t>NOV 11 2020</t>
    <phoneticPr fontId="1" type="noConversion"/>
  </si>
  <si>
    <t>NOV 11 2018</t>
    <phoneticPr fontId="1" type="noConversion"/>
  </si>
  <si>
    <t>NOV 11 2020</t>
    <phoneticPr fontId="1" type="noConversion"/>
  </si>
  <si>
    <t>NOV 11 2018</t>
    <phoneticPr fontId="1" type="noConversion"/>
  </si>
  <si>
    <t>NOV 11 2020</t>
    <phoneticPr fontId="1" type="noConversion"/>
  </si>
  <si>
    <t>10/11/2018 UPGRADE</t>
    <phoneticPr fontId="1" type="noConversion"/>
  </si>
  <si>
    <t>NOV 12 2018</t>
    <phoneticPr fontId="1" type="noConversion"/>
  </si>
  <si>
    <t>NOV 12 2020</t>
    <phoneticPr fontId="1" type="noConversion"/>
  </si>
  <si>
    <t>NOV 16 2018</t>
    <phoneticPr fontId="1" type="noConversion"/>
  </si>
  <si>
    <t>NOV 16 2020</t>
    <phoneticPr fontId="1" type="noConversion"/>
  </si>
  <si>
    <t>present for friends</t>
    <phoneticPr fontId="1" type="noConversion"/>
  </si>
  <si>
    <t>NOV 17 2018</t>
    <phoneticPr fontId="1" type="noConversion"/>
  </si>
  <si>
    <t>NOV 17 2020</t>
    <phoneticPr fontId="1" type="noConversion"/>
  </si>
  <si>
    <t>NOV 17 2018</t>
    <phoneticPr fontId="1" type="noConversion"/>
  </si>
  <si>
    <t>NOV 17 2020</t>
    <phoneticPr fontId="1" type="noConversion"/>
  </si>
  <si>
    <t>transfer 6/6 to new #182023</t>
    <phoneticPr fontId="1" type="noConversion"/>
  </si>
  <si>
    <t>NOV 18 2018</t>
    <phoneticPr fontId="1" type="noConversion"/>
  </si>
  <si>
    <t>NOV 18 2020</t>
    <phoneticPr fontId="1" type="noConversion"/>
  </si>
  <si>
    <t>NOV 19 2018</t>
    <phoneticPr fontId="1" type="noConversion"/>
  </si>
  <si>
    <t>NOV 19 2020</t>
    <phoneticPr fontId="1" type="noConversion"/>
  </si>
  <si>
    <t>NOV 20 2018</t>
    <phoneticPr fontId="1" type="noConversion"/>
  </si>
  <si>
    <t>NOV 20 2020</t>
    <phoneticPr fontId="1" type="noConversion"/>
  </si>
  <si>
    <t>NOV 20 2018</t>
    <phoneticPr fontId="1" type="noConversion"/>
  </si>
  <si>
    <t>NOV 21 2018</t>
    <phoneticPr fontId="1" type="noConversion"/>
  </si>
  <si>
    <t>NOV 21 2020</t>
    <phoneticPr fontId="1" type="noConversion"/>
  </si>
  <si>
    <t>NOV 21 2020</t>
    <phoneticPr fontId="1" type="noConversion"/>
  </si>
  <si>
    <t>NOV 22 2018</t>
    <phoneticPr fontId="1" type="noConversion"/>
  </si>
  <si>
    <t>NOV 22 2020</t>
    <phoneticPr fontId="1" type="noConversion"/>
  </si>
  <si>
    <t>NOV 23 2018</t>
    <phoneticPr fontId="1" type="noConversion"/>
  </si>
  <si>
    <t>NOV 23 2020</t>
    <phoneticPr fontId="1" type="noConversion"/>
  </si>
  <si>
    <t>Regualr customer report to lost Kia 0449 077 737 will get re-issue for totally 5/5</t>
    <phoneticPr fontId="1" type="noConversion"/>
  </si>
  <si>
    <t>spent 1 already then give 4 more</t>
    <phoneticPr fontId="1" type="noConversion"/>
  </si>
  <si>
    <t>COMP</t>
    <phoneticPr fontId="1" type="noConversion"/>
  </si>
  <si>
    <t>NOV 24 2018</t>
    <phoneticPr fontId="1" type="noConversion"/>
  </si>
  <si>
    <t>NOV 24 2020</t>
    <phoneticPr fontId="1" type="noConversion"/>
  </si>
  <si>
    <t>NOV 25 2018</t>
    <phoneticPr fontId="1" type="noConversion"/>
  </si>
  <si>
    <t>NOV 25 2020</t>
    <phoneticPr fontId="1" type="noConversion"/>
  </si>
  <si>
    <t>Extended till Feb 2019 bought New GV #182045</t>
    <phoneticPr fontId="1" type="noConversion"/>
  </si>
  <si>
    <t>NOV 26 2018</t>
    <phoneticPr fontId="1" type="noConversion"/>
  </si>
  <si>
    <t>NOV 26 2020</t>
    <phoneticPr fontId="1" type="noConversion"/>
  </si>
  <si>
    <t>NOV 27 2020</t>
    <phoneticPr fontId="1" type="noConversion"/>
  </si>
  <si>
    <t>NOV 27 2018</t>
    <phoneticPr fontId="1" type="noConversion"/>
  </si>
  <si>
    <t>NOV 29 2018</t>
    <phoneticPr fontId="1" type="noConversion"/>
  </si>
  <si>
    <t>NOV 29 2020</t>
    <phoneticPr fontId="1" type="noConversion"/>
  </si>
  <si>
    <t>NOV 30 2018</t>
    <phoneticPr fontId="1" type="noConversion"/>
  </si>
  <si>
    <t>NOV 30 2020</t>
    <phoneticPr fontId="1" type="noConversion"/>
  </si>
  <si>
    <t>DEC 01 2018</t>
    <phoneticPr fontId="1" type="noConversion"/>
  </si>
  <si>
    <t>DEC 01 2020</t>
    <phoneticPr fontId="1" type="noConversion"/>
  </si>
  <si>
    <t>DEC 02 2018</t>
    <phoneticPr fontId="1" type="noConversion"/>
  </si>
  <si>
    <t>DEC 02 2020</t>
    <phoneticPr fontId="1" type="noConversion"/>
  </si>
  <si>
    <t>DEC 03 2018</t>
    <phoneticPr fontId="1" type="noConversion"/>
  </si>
  <si>
    <t>DEC 03 2020</t>
    <phoneticPr fontId="1" type="noConversion"/>
  </si>
  <si>
    <t>Extended 07/11/19 as buying new GV</t>
    <phoneticPr fontId="1" type="noConversion"/>
  </si>
  <si>
    <t>DEC 06 2018</t>
    <phoneticPr fontId="1" type="noConversion"/>
  </si>
  <si>
    <t>DEC 06 2020</t>
    <phoneticPr fontId="1" type="noConversion"/>
  </si>
  <si>
    <t>16000 001</t>
    <phoneticPr fontId="1" type="noConversion"/>
  </si>
  <si>
    <t>16000 002</t>
    <phoneticPr fontId="1" type="noConversion"/>
  </si>
  <si>
    <t>16000 003</t>
    <phoneticPr fontId="1" type="noConversion"/>
  </si>
  <si>
    <t>17000 004</t>
    <phoneticPr fontId="1" type="noConversion"/>
  </si>
  <si>
    <t>17000 005</t>
    <phoneticPr fontId="1" type="noConversion"/>
  </si>
  <si>
    <t>17000 006</t>
    <phoneticPr fontId="1" type="noConversion"/>
  </si>
  <si>
    <t>18000 007</t>
    <phoneticPr fontId="1" type="noConversion"/>
  </si>
  <si>
    <t>18000 008</t>
    <phoneticPr fontId="1" type="noConversion"/>
  </si>
  <si>
    <t>18000 009</t>
    <phoneticPr fontId="1" type="noConversion"/>
  </si>
  <si>
    <t xml:space="preserve">07/12/2018 </t>
    <phoneticPr fontId="1" type="noConversion"/>
  </si>
  <si>
    <t>Issue No</t>
    <phoneticPr fontId="1" type="noConversion"/>
  </si>
  <si>
    <t>Paid</t>
    <phoneticPr fontId="1" type="noConversion"/>
  </si>
  <si>
    <t>Used</t>
    <phoneticPr fontId="1" type="noConversion"/>
  </si>
  <si>
    <t>DEC 07 2018</t>
    <phoneticPr fontId="1" type="noConversion"/>
  </si>
  <si>
    <t>DEC 07 2020</t>
    <phoneticPr fontId="1" type="noConversion"/>
  </si>
  <si>
    <t>DEC 08 2018</t>
    <phoneticPr fontId="1" type="noConversion"/>
  </si>
  <si>
    <t>DEC 08 2020</t>
    <phoneticPr fontId="1" type="noConversion"/>
  </si>
  <si>
    <t>DEC 09 2018</t>
    <phoneticPr fontId="1" type="noConversion"/>
  </si>
  <si>
    <t>DEC 09 2020</t>
    <phoneticPr fontId="1" type="noConversion"/>
  </si>
  <si>
    <t>DEC 10 2018</t>
    <phoneticPr fontId="1" type="noConversion"/>
  </si>
  <si>
    <t>DEC 10 2020</t>
    <phoneticPr fontId="1" type="noConversion"/>
  </si>
  <si>
    <t>DEC 11 2020</t>
    <phoneticPr fontId="1" type="noConversion"/>
  </si>
  <si>
    <t>DEC 11 2018</t>
    <phoneticPr fontId="1" type="noConversion"/>
  </si>
  <si>
    <t>DEC 12 2018</t>
    <phoneticPr fontId="1" type="noConversion"/>
  </si>
  <si>
    <t>DEC 12 2020</t>
    <phoneticPr fontId="1" type="noConversion"/>
  </si>
  <si>
    <t>DEC 16 2018</t>
    <phoneticPr fontId="1" type="noConversion"/>
  </si>
  <si>
    <t>DEC 16 2020</t>
    <phoneticPr fontId="1" type="noConversion"/>
  </si>
  <si>
    <t>DEC 18 2018</t>
    <phoneticPr fontId="1" type="noConversion"/>
  </si>
  <si>
    <t>DEC 18 2020</t>
    <phoneticPr fontId="1" type="noConversion"/>
  </si>
  <si>
    <t>DEC 18 2018</t>
    <phoneticPr fontId="1" type="noConversion"/>
  </si>
  <si>
    <t>DEC 18 2020</t>
    <phoneticPr fontId="1" type="noConversion"/>
  </si>
  <si>
    <t>DEC 21 2018</t>
    <phoneticPr fontId="1" type="noConversion"/>
  </si>
  <si>
    <t>DEC 21 2020</t>
    <phoneticPr fontId="1" type="noConversion"/>
  </si>
  <si>
    <t>DEC 22 2018</t>
    <phoneticPr fontId="1" type="noConversion"/>
  </si>
  <si>
    <t>DEC 22 2020</t>
    <phoneticPr fontId="1" type="noConversion"/>
  </si>
  <si>
    <t>DEC 23 2018</t>
    <phoneticPr fontId="1" type="noConversion"/>
  </si>
  <si>
    <t>DEC 23 2020</t>
    <phoneticPr fontId="1" type="noConversion"/>
  </si>
  <si>
    <t>DEC 24 2018</t>
    <phoneticPr fontId="1" type="noConversion"/>
  </si>
  <si>
    <t>DEC 24 2020</t>
    <phoneticPr fontId="1" type="noConversion"/>
  </si>
  <si>
    <t>DEC 27 2018</t>
    <phoneticPr fontId="1" type="noConversion"/>
  </si>
  <si>
    <t>DEC 27 2020</t>
    <phoneticPr fontId="1" type="noConversion"/>
  </si>
  <si>
    <t>DEC 28 2018</t>
    <phoneticPr fontId="1" type="noConversion"/>
  </si>
  <si>
    <t>DEC 28 2020</t>
    <phoneticPr fontId="1" type="noConversion"/>
  </si>
  <si>
    <t>DEC 29 2018</t>
    <phoneticPr fontId="1" type="noConversion"/>
  </si>
  <si>
    <t>DEC 29 2020</t>
    <phoneticPr fontId="1" type="noConversion"/>
  </si>
  <si>
    <t>DEC 30 2018</t>
    <phoneticPr fontId="1" type="noConversion"/>
  </si>
  <si>
    <t>DEC 30 2020</t>
    <phoneticPr fontId="1" type="noConversion"/>
  </si>
  <si>
    <t>DEC 31 2018</t>
    <phoneticPr fontId="1" type="noConversion"/>
  </si>
  <si>
    <t>DEC 31 2020</t>
    <phoneticPr fontId="1" type="noConversion"/>
  </si>
  <si>
    <t>Unclaimed</t>
    <phoneticPr fontId="1" type="noConversion"/>
  </si>
  <si>
    <t>Percentage</t>
    <phoneticPr fontId="1" type="noConversion"/>
  </si>
  <si>
    <t>JAN 03 2019</t>
    <phoneticPr fontId="1" type="noConversion"/>
  </si>
  <si>
    <t>JAN 03 2021</t>
    <phoneticPr fontId="1" type="noConversion"/>
  </si>
  <si>
    <t>JAN 05 2019</t>
    <phoneticPr fontId="1" type="noConversion"/>
  </si>
  <si>
    <t>JAN 05 2021</t>
    <phoneticPr fontId="1" type="noConversion"/>
  </si>
  <si>
    <t>JAN 06 2019</t>
    <phoneticPr fontId="1" type="noConversion"/>
  </si>
  <si>
    <t>JAN 06 2021</t>
    <phoneticPr fontId="1" type="noConversion"/>
  </si>
  <si>
    <t>JAN 09 2019</t>
    <phoneticPr fontId="1" type="noConversion"/>
  </si>
  <si>
    <t>JAN 09 2021</t>
    <phoneticPr fontId="1" type="noConversion"/>
  </si>
  <si>
    <t>JAN 10 2019</t>
    <phoneticPr fontId="1" type="noConversion"/>
  </si>
  <si>
    <t>JAN 10 2021</t>
    <phoneticPr fontId="1" type="noConversion"/>
  </si>
  <si>
    <t>JAN 11 2019</t>
    <phoneticPr fontId="1" type="noConversion"/>
  </si>
  <si>
    <t>JAN 11 2021</t>
    <phoneticPr fontId="1" type="noConversion"/>
  </si>
  <si>
    <t>JAN 12 2019</t>
    <phoneticPr fontId="1" type="noConversion"/>
  </si>
  <si>
    <t>JAN 12 2021</t>
    <phoneticPr fontId="1" type="noConversion"/>
  </si>
  <si>
    <t>JAN 13 2019</t>
    <phoneticPr fontId="1" type="noConversion"/>
  </si>
  <si>
    <t>JAN 13 2021</t>
    <phoneticPr fontId="1" type="noConversion"/>
  </si>
  <si>
    <t>JAN 14 2019</t>
    <phoneticPr fontId="1" type="noConversion"/>
  </si>
  <si>
    <t>JAN 14 2021</t>
    <phoneticPr fontId="1" type="noConversion"/>
  </si>
  <si>
    <t>JAN 15 2019</t>
    <phoneticPr fontId="1" type="noConversion"/>
  </si>
  <si>
    <t>JAN 15 2021</t>
    <phoneticPr fontId="1" type="noConversion"/>
  </si>
  <si>
    <t>JAN 16 2019</t>
    <phoneticPr fontId="1" type="noConversion"/>
  </si>
  <si>
    <t>JAN 16 2021</t>
    <phoneticPr fontId="1" type="noConversion"/>
  </si>
  <si>
    <t>JAN 17 2019</t>
    <phoneticPr fontId="1" type="noConversion"/>
  </si>
  <si>
    <t>JAN 17 2021</t>
    <phoneticPr fontId="1" type="noConversion"/>
  </si>
  <si>
    <t>JAN 18 2021</t>
    <phoneticPr fontId="1" type="noConversion"/>
  </si>
  <si>
    <t>JAN 19 2021</t>
    <phoneticPr fontId="1" type="noConversion"/>
  </si>
  <si>
    <t>JAN 20 2019</t>
    <phoneticPr fontId="1" type="noConversion"/>
  </si>
  <si>
    <t>JAN 20 2021</t>
    <phoneticPr fontId="1" type="noConversion"/>
  </si>
  <si>
    <t>JAN 23 2019</t>
    <phoneticPr fontId="1" type="noConversion"/>
  </si>
  <si>
    <t>JAN 23 2021</t>
    <phoneticPr fontId="1" type="noConversion"/>
  </si>
  <si>
    <t>EXTENDED 24/03/2019</t>
    <phoneticPr fontId="1" type="noConversion"/>
  </si>
  <si>
    <t>JAN 24 2019</t>
    <phoneticPr fontId="1" type="noConversion"/>
  </si>
  <si>
    <t>JAN 24 2021</t>
    <phoneticPr fontId="1" type="noConversion"/>
  </si>
  <si>
    <t>JAN 25 2019</t>
    <phoneticPr fontId="1" type="noConversion"/>
  </si>
  <si>
    <t>JAN 25 2021</t>
    <phoneticPr fontId="1" type="noConversion"/>
  </si>
  <si>
    <t>JAN 26 2019</t>
    <phoneticPr fontId="1" type="noConversion"/>
  </si>
  <si>
    <t>JAN 26 2021</t>
    <phoneticPr fontId="1" type="noConversion"/>
  </si>
  <si>
    <t>Cancel to buy, returned</t>
    <phoneticPr fontId="1" type="noConversion"/>
  </si>
  <si>
    <t>RETURNED</t>
    <phoneticPr fontId="1" type="noConversion"/>
  </si>
  <si>
    <t>JAN 29 2019</t>
    <phoneticPr fontId="1" type="noConversion"/>
  </si>
  <si>
    <t>JAN 29 2021</t>
    <phoneticPr fontId="1" type="noConversion"/>
  </si>
  <si>
    <t>JAN 28 2021</t>
    <phoneticPr fontId="1" type="noConversion"/>
  </si>
  <si>
    <t>JAN 26 2019</t>
    <phoneticPr fontId="1" type="noConversion"/>
  </si>
  <si>
    <t>JAN 27 2021</t>
    <phoneticPr fontId="1" type="noConversion"/>
  </si>
  <si>
    <t>JAN 30 2019</t>
    <phoneticPr fontId="1" type="noConversion"/>
  </si>
  <si>
    <t>JAN 30 2021</t>
    <phoneticPr fontId="1" type="noConversion"/>
  </si>
  <si>
    <t>JAN 31 2019</t>
    <phoneticPr fontId="1" type="noConversion"/>
  </si>
  <si>
    <t>JAN 31 2021</t>
    <phoneticPr fontId="1" type="noConversion"/>
  </si>
  <si>
    <t>FEB 01 2021</t>
    <phoneticPr fontId="1" type="noConversion"/>
  </si>
  <si>
    <t>FEB 02 2019</t>
    <phoneticPr fontId="1" type="noConversion"/>
  </si>
  <si>
    <t>FEB 02 2021</t>
    <phoneticPr fontId="1" type="noConversion"/>
  </si>
  <si>
    <t>FEB 03 2019</t>
    <phoneticPr fontId="1" type="noConversion"/>
  </si>
  <si>
    <t>FEB 03 2021</t>
    <phoneticPr fontId="1" type="noConversion"/>
  </si>
  <si>
    <t>FEB 04 2019</t>
    <phoneticPr fontId="1" type="noConversion"/>
  </si>
  <si>
    <t>FEB 04 2021</t>
    <phoneticPr fontId="1" type="noConversion"/>
  </si>
  <si>
    <t>FEB 06 2019</t>
    <phoneticPr fontId="1" type="noConversion"/>
  </si>
  <si>
    <t>FEB 06 2021</t>
    <phoneticPr fontId="1" type="noConversion"/>
  </si>
  <si>
    <t>ONE DLX TRANSFERRED TO NEW GV</t>
    <phoneticPr fontId="1" type="noConversion"/>
  </si>
  <si>
    <t>FEB 07 2019</t>
    <phoneticPr fontId="1" type="noConversion"/>
  </si>
  <si>
    <t>FEB 07 2021</t>
    <phoneticPr fontId="1" type="noConversion"/>
  </si>
  <si>
    <t>TRANSFERRED ONE DLX FROM OLD GV</t>
    <phoneticPr fontId="1" type="noConversion"/>
  </si>
  <si>
    <t>FEB 08 2019</t>
    <phoneticPr fontId="1" type="noConversion"/>
  </si>
  <si>
    <t>FEB 08 2021</t>
    <phoneticPr fontId="1" type="noConversion"/>
  </si>
  <si>
    <t>FEB 09 2019</t>
    <phoneticPr fontId="1" type="noConversion"/>
  </si>
  <si>
    <t>FEB 09 2021</t>
    <phoneticPr fontId="1" type="noConversion"/>
  </si>
  <si>
    <t>COMP</t>
    <phoneticPr fontId="1" type="noConversion"/>
  </si>
  <si>
    <t>MAY 09 2019</t>
    <phoneticPr fontId="1" type="noConversion"/>
  </si>
  <si>
    <t xml:space="preserve"> </t>
    <phoneticPr fontId="1" type="noConversion"/>
  </si>
  <si>
    <t>FEB 10 2021</t>
    <phoneticPr fontId="1" type="noConversion"/>
  </si>
  <si>
    <t>FEB 11 2019</t>
    <phoneticPr fontId="1" type="noConversion"/>
  </si>
  <si>
    <t>FEB 11 2021</t>
    <phoneticPr fontId="1" type="noConversion"/>
  </si>
  <si>
    <t>FEB 12 2019</t>
    <phoneticPr fontId="1" type="noConversion"/>
  </si>
  <si>
    <t>FEB 12 2021</t>
    <phoneticPr fontId="1" type="noConversion"/>
  </si>
  <si>
    <t>FEB 13 2019</t>
    <phoneticPr fontId="1" type="noConversion"/>
  </si>
  <si>
    <t>FEB 13 2021</t>
    <phoneticPr fontId="1" type="noConversion"/>
  </si>
  <si>
    <t>FEB 14 2019</t>
    <phoneticPr fontId="1" type="noConversion"/>
  </si>
  <si>
    <t>FEB 14 2021</t>
    <phoneticPr fontId="1" type="noConversion"/>
  </si>
  <si>
    <t>FEB 15 2019</t>
    <phoneticPr fontId="1" type="noConversion"/>
  </si>
  <si>
    <t>FEB 15 2021</t>
    <phoneticPr fontId="1" type="noConversion"/>
  </si>
  <si>
    <t>FEB 16 2019</t>
    <phoneticPr fontId="1" type="noConversion"/>
  </si>
  <si>
    <t>FEB 16 2021</t>
    <phoneticPr fontId="1" type="noConversion"/>
  </si>
  <si>
    <t>FEB 17 2019</t>
    <phoneticPr fontId="1" type="noConversion"/>
  </si>
  <si>
    <t>FEB 17 2021</t>
    <phoneticPr fontId="1" type="noConversion"/>
  </si>
  <si>
    <t>Transferred to new</t>
    <phoneticPr fontId="1" type="noConversion"/>
  </si>
  <si>
    <t>FEB 18 2019</t>
    <phoneticPr fontId="1" type="noConversion"/>
  </si>
  <si>
    <t>FEB 18 2021</t>
    <phoneticPr fontId="1" type="noConversion"/>
  </si>
  <si>
    <t>FEB 19 2019</t>
    <phoneticPr fontId="1" type="noConversion"/>
  </si>
  <si>
    <t>FEB 19 2021</t>
    <phoneticPr fontId="1" type="noConversion"/>
  </si>
  <si>
    <t>FEB 20 2019</t>
    <phoneticPr fontId="1" type="noConversion"/>
  </si>
  <si>
    <t>FEB 20 2021</t>
    <phoneticPr fontId="1" type="noConversion"/>
  </si>
  <si>
    <t>FEB 21 2019</t>
    <phoneticPr fontId="1" type="noConversion"/>
  </si>
  <si>
    <t>FEB 21 2021</t>
    <phoneticPr fontId="1" type="noConversion"/>
  </si>
  <si>
    <t>FEB 22 2019</t>
    <phoneticPr fontId="1" type="noConversion"/>
  </si>
  <si>
    <t>FEB 22 2021</t>
    <phoneticPr fontId="1" type="noConversion"/>
  </si>
  <si>
    <t>FEB 23 2019</t>
    <phoneticPr fontId="1" type="noConversion"/>
  </si>
  <si>
    <t>FEB 23 2021</t>
    <phoneticPr fontId="1" type="noConversion"/>
  </si>
  <si>
    <t>FEB 24 2019</t>
    <phoneticPr fontId="1" type="noConversion"/>
  </si>
  <si>
    <t>FEB 24 2021</t>
    <phoneticPr fontId="1" type="noConversion"/>
  </si>
  <si>
    <t>FEB 26 2019</t>
    <phoneticPr fontId="1" type="noConversion"/>
  </si>
  <si>
    <t>FEB 26 2021</t>
    <phoneticPr fontId="1" type="noConversion"/>
  </si>
  <si>
    <t>FEB 27 2019</t>
    <phoneticPr fontId="1" type="noConversion"/>
  </si>
  <si>
    <t>FEB 27 2021</t>
    <phoneticPr fontId="1" type="noConversion"/>
  </si>
  <si>
    <t>TRANSFER TO NEW</t>
    <phoneticPr fontId="1" type="noConversion"/>
  </si>
  <si>
    <t>MAR 01 2019</t>
    <phoneticPr fontId="1" type="noConversion"/>
  </si>
  <si>
    <t>MAR 01 2021</t>
    <phoneticPr fontId="1" type="noConversion"/>
  </si>
  <si>
    <t>TRANSFERRED 3 DLX FROM OLD GV</t>
    <phoneticPr fontId="1" type="noConversion"/>
  </si>
  <si>
    <t>MAR 02 2019</t>
    <phoneticPr fontId="1" type="noConversion"/>
  </si>
  <si>
    <t>MAR 02 2021</t>
    <phoneticPr fontId="1" type="noConversion"/>
  </si>
  <si>
    <t>MAR 03 2019</t>
    <phoneticPr fontId="1" type="noConversion"/>
  </si>
  <si>
    <t>MAR 03 2021</t>
    <phoneticPr fontId="1" type="noConversion"/>
  </si>
  <si>
    <t>Transfer to new</t>
    <phoneticPr fontId="1" type="noConversion"/>
  </si>
  <si>
    <t>MAR 04 2021</t>
    <phoneticPr fontId="1" type="noConversion"/>
  </si>
  <si>
    <t>TRANSFERRED 2 DLX FROM OLD GV</t>
    <phoneticPr fontId="1" type="noConversion"/>
  </si>
  <si>
    <t>MAR 05 2019</t>
    <phoneticPr fontId="1" type="noConversion"/>
  </si>
  <si>
    <t>MAR 05 2021</t>
    <phoneticPr fontId="1" type="noConversion"/>
  </si>
  <si>
    <t>MAR 06 2019</t>
    <phoneticPr fontId="1" type="noConversion"/>
  </si>
  <si>
    <t>MAR 06 2021</t>
    <phoneticPr fontId="1" type="noConversion"/>
  </si>
  <si>
    <t>MAR 07 2019</t>
    <phoneticPr fontId="1" type="noConversion"/>
  </si>
  <si>
    <t>MAR 07 2021</t>
    <phoneticPr fontId="1" type="noConversion"/>
  </si>
  <si>
    <t>MAR 08 2019</t>
    <phoneticPr fontId="1" type="noConversion"/>
  </si>
  <si>
    <t>MAR 08 2021</t>
    <phoneticPr fontId="1" type="noConversion"/>
  </si>
  <si>
    <t>MAR 09 2019</t>
    <phoneticPr fontId="1" type="noConversion"/>
  </si>
  <si>
    <t>MAR 09 2021</t>
    <phoneticPr fontId="1" type="noConversion"/>
  </si>
  <si>
    <t>MAR 10 2019</t>
    <phoneticPr fontId="1" type="noConversion"/>
  </si>
  <si>
    <t>MAR 10 2021</t>
    <phoneticPr fontId="1" type="noConversion"/>
  </si>
  <si>
    <t>MAR 11 2019</t>
    <phoneticPr fontId="1" type="noConversion"/>
  </si>
  <si>
    <t>MAR 11 2021</t>
    <phoneticPr fontId="1" type="noConversion"/>
  </si>
  <si>
    <t>MAR 15 2019</t>
    <phoneticPr fontId="1" type="noConversion"/>
  </si>
  <si>
    <t>MAR 15 2021</t>
    <phoneticPr fontId="1" type="noConversion"/>
  </si>
  <si>
    <t>MAR 16 2019</t>
    <phoneticPr fontId="1" type="noConversion"/>
  </si>
  <si>
    <t>MAR 16 2021</t>
    <phoneticPr fontId="1" type="noConversion"/>
  </si>
  <si>
    <t>MAR 17 2021</t>
    <phoneticPr fontId="1" type="noConversion"/>
  </si>
  <si>
    <t>MAR 18 2019</t>
    <phoneticPr fontId="1" type="noConversion"/>
  </si>
  <si>
    <t>MAR 18 2021</t>
    <phoneticPr fontId="1" type="noConversion"/>
  </si>
  <si>
    <t>Re-issued #192242  4 more  on 21/03/19</t>
    <phoneticPr fontId="1" type="noConversion"/>
  </si>
  <si>
    <t>OCT 19 2020</t>
    <phoneticPr fontId="1" type="noConversion"/>
  </si>
  <si>
    <t>MAR 21 2019</t>
    <phoneticPr fontId="1" type="noConversion"/>
  </si>
  <si>
    <t>MAR 22 2019</t>
    <phoneticPr fontId="1" type="noConversion"/>
  </si>
  <si>
    <t>MAR 22 2021</t>
    <phoneticPr fontId="1" type="noConversion"/>
  </si>
  <si>
    <t>MAR 22 2020</t>
    <phoneticPr fontId="1" type="noConversion"/>
  </si>
  <si>
    <t xml:space="preserve">HONOURED FOR REGULAR BUY NEW 192246 </t>
    <phoneticPr fontId="1" type="noConversion"/>
  </si>
  <si>
    <t>MAR 23 2019</t>
    <phoneticPr fontId="1" type="noConversion"/>
  </si>
  <si>
    <t>MAR 23 2021</t>
    <phoneticPr fontId="1" type="noConversion"/>
  </si>
  <si>
    <t>MAR 24 2019</t>
    <phoneticPr fontId="1" type="noConversion"/>
  </si>
  <si>
    <t>MAR 24 2021</t>
    <phoneticPr fontId="1" type="noConversion"/>
  </si>
  <si>
    <t>MAR 25 2019</t>
    <phoneticPr fontId="1" type="noConversion"/>
  </si>
  <si>
    <t>MAR 25 2021</t>
    <phoneticPr fontId="1" type="noConversion"/>
  </si>
  <si>
    <t>MAR 27 2019</t>
    <phoneticPr fontId="1" type="noConversion"/>
  </si>
  <si>
    <t>MAR 27 2021</t>
    <phoneticPr fontId="1" type="noConversion"/>
  </si>
  <si>
    <t>MAR 28 2020</t>
    <phoneticPr fontId="1" type="noConversion"/>
  </si>
  <si>
    <t>COMP as complaint MZD SUV Korean regular customer</t>
    <phoneticPr fontId="1" type="noConversion"/>
  </si>
  <si>
    <t>MAR 29 2020</t>
    <phoneticPr fontId="1" type="noConversion"/>
  </si>
  <si>
    <t>MAR 30 2019</t>
    <phoneticPr fontId="1" type="noConversion"/>
  </si>
  <si>
    <t>MAR 30 2021</t>
    <phoneticPr fontId="1" type="noConversion"/>
  </si>
  <si>
    <t>MAR 30 2021</t>
    <phoneticPr fontId="1" type="noConversion"/>
  </si>
  <si>
    <t>COMP as complaint MZD Chinese regular customer</t>
    <phoneticPr fontId="1" type="noConversion"/>
  </si>
  <si>
    <t>MAR 31 2019</t>
    <phoneticPr fontId="1" type="noConversion"/>
  </si>
  <si>
    <t>MAR 31 2021</t>
    <phoneticPr fontId="1" type="noConversion"/>
  </si>
  <si>
    <t>APR 03 2019</t>
    <phoneticPr fontId="1" type="noConversion"/>
  </si>
  <si>
    <t>APR 03 2021</t>
    <phoneticPr fontId="1" type="noConversion"/>
  </si>
  <si>
    <t>APR 05 2019</t>
    <phoneticPr fontId="1" type="noConversion"/>
  </si>
  <si>
    <t>APR 05 2021</t>
    <phoneticPr fontId="1" type="noConversion"/>
  </si>
  <si>
    <t>APR 06 2019</t>
    <phoneticPr fontId="1" type="noConversion"/>
  </si>
  <si>
    <t>APR 06 2021</t>
    <phoneticPr fontId="1" type="noConversion"/>
  </si>
  <si>
    <t>APR 07 2019</t>
    <phoneticPr fontId="1" type="noConversion"/>
  </si>
  <si>
    <t>APR 07 2021</t>
    <phoneticPr fontId="1" type="noConversion"/>
  </si>
  <si>
    <t>APR 08 2019</t>
    <phoneticPr fontId="1" type="noConversion"/>
  </si>
  <si>
    <t>APR 08 2021</t>
    <phoneticPr fontId="1" type="noConversion"/>
  </si>
  <si>
    <t>APR 09 2021</t>
    <phoneticPr fontId="1" type="noConversion"/>
  </si>
  <si>
    <t>last once transrered to new #192278  0/7</t>
    <phoneticPr fontId="1" type="noConversion"/>
  </si>
  <si>
    <t>APR 10 2019</t>
    <phoneticPr fontId="1" type="noConversion"/>
  </si>
  <si>
    <t>APR 10 2021</t>
    <phoneticPr fontId="1" type="noConversion"/>
  </si>
  <si>
    <t>APR 11 2019</t>
    <phoneticPr fontId="1" type="noConversion"/>
  </si>
  <si>
    <t>APR 11 2021</t>
    <phoneticPr fontId="1" type="noConversion"/>
  </si>
  <si>
    <t>APR 12 2019</t>
    <phoneticPr fontId="1" type="noConversion"/>
  </si>
  <si>
    <t>APR 12 2021</t>
    <phoneticPr fontId="1" type="noConversion"/>
  </si>
  <si>
    <t>APR 13 2021</t>
    <phoneticPr fontId="1" type="noConversion"/>
  </si>
  <si>
    <t>APR 14 2019</t>
    <phoneticPr fontId="1" type="noConversion"/>
  </si>
  <si>
    <t>APR 14 2021</t>
    <phoneticPr fontId="1" type="noConversion"/>
  </si>
  <si>
    <t>APR 15 2019</t>
    <phoneticPr fontId="1" type="noConversion"/>
  </si>
  <si>
    <t>APR 15 2021</t>
    <phoneticPr fontId="1" type="noConversion"/>
  </si>
  <si>
    <t>APR 16 2019</t>
    <phoneticPr fontId="1" type="noConversion"/>
  </si>
  <si>
    <t>APR 16 2021</t>
    <phoneticPr fontId="1" type="noConversion"/>
  </si>
  <si>
    <t>APR 17 2019</t>
    <phoneticPr fontId="1" type="noConversion"/>
  </si>
  <si>
    <t>APR 17 2021</t>
    <phoneticPr fontId="1" type="noConversion"/>
  </si>
  <si>
    <t>APR 18 2019</t>
    <phoneticPr fontId="1" type="noConversion"/>
  </si>
  <si>
    <t>APR 18 2021</t>
    <phoneticPr fontId="1" type="noConversion"/>
  </si>
  <si>
    <t>APR 20 2021</t>
    <phoneticPr fontId="1" type="noConversion"/>
  </si>
  <si>
    <t>APR 22 2021</t>
    <phoneticPr fontId="1" type="noConversion"/>
  </si>
  <si>
    <t>TRANSFERRED TO NEW</t>
    <phoneticPr fontId="1" type="noConversion"/>
  </si>
  <si>
    <t>APR 23 2019</t>
    <phoneticPr fontId="1" type="noConversion"/>
  </si>
  <si>
    <t>APR 23 2021</t>
    <phoneticPr fontId="1" type="noConversion"/>
  </si>
  <si>
    <t>APR 24 2019</t>
    <phoneticPr fontId="1" type="noConversion"/>
  </si>
  <si>
    <t>APR 24 2021</t>
    <phoneticPr fontId="1" type="noConversion"/>
  </si>
  <si>
    <t>APR 25 2019</t>
    <phoneticPr fontId="1" type="noConversion"/>
  </si>
  <si>
    <t>APR 25 2021</t>
    <phoneticPr fontId="1" type="noConversion"/>
  </si>
  <si>
    <t>APR 26 2019</t>
    <phoneticPr fontId="1" type="noConversion"/>
  </si>
  <si>
    <t>APR 26 2021</t>
    <phoneticPr fontId="1" type="noConversion"/>
  </si>
  <si>
    <t>APR 27 2019</t>
    <phoneticPr fontId="1" type="noConversion"/>
  </si>
  <si>
    <t>APR 27 2021</t>
    <phoneticPr fontId="1" type="noConversion"/>
  </si>
  <si>
    <t>APR 29 2019</t>
    <phoneticPr fontId="1" type="noConversion"/>
  </si>
  <si>
    <t>APR 29 2021</t>
    <phoneticPr fontId="1" type="noConversion"/>
  </si>
  <si>
    <t>APR 28 2019</t>
    <phoneticPr fontId="1" type="noConversion"/>
  </si>
  <si>
    <t>APR 28 2021</t>
    <phoneticPr fontId="1" type="noConversion"/>
  </si>
  <si>
    <t>APR 30 2019</t>
    <phoneticPr fontId="1" type="noConversion"/>
  </si>
  <si>
    <t>APR 30 2021</t>
    <phoneticPr fontId="1" type="noConversion"/>
  </si>
  <si>
    <t>MAY 01 2021</t>
    <phoneticPr fontId="1" type="noConversion"/>
  </si>
  <si>
    <t>MAY 02 2019</t>
    <phoneticPr fontId="1" type="noConversion"/>
  </si>
  <si>
    <t>MAY 02 2021</t>
    <phoneticPr fontId="1" type="noConversion"/>
  </si>
  <si>
    <t>MAY 04 2019</t>
    <phoneticPr fontId="1" type="noConversion"/>
  </si>
  <si>
    <t>MAY 04 2021</t>
    <phoneticPr fontId="1" type="noConversion"/>
  </si>
  <si>
    <t>MAY 05 2019</t>
    <phoneticPr fontId="1" type="noConversion"/>
  </si>
  <si>
    <t>MAY 05 2021</t>
    <phoneticPr fontId="1" type="noConversion"/>
  </si>
  <si>
    <t>MAY 08 2021</t>
    <phoneticPr fontId="1" type="noConversion"/>
  </si>
  <si>
    <t>MAY 07 2019</t>
    <phoneticPr fontId="1" type="noConversion"/>
  </si>
  <si>
    <t>MAY 07 2021</t>
    <phoneticPr fontId="1" type="noConversion"/>
  </si>
  <si>
    <t>MAY 09 2021</t>
    <phoneticPr fontId="1" type="noConversion"/>
  </si>
  <si>
    <t>MAY 10 2019</t>
    <phoneticPr fontId="1" type="noConversion"/>
  </si>
  <si>
    <t>MAY 10 2021</t>
    <phoneticPr fontId="1" type="noConversion"/>
  </si>
  <si>
    <t>MAY 09 2019</t>
    <phoneticPr fontId="1" type="noConversion"/>
  </si>
  <si>
    <t>Transferred to new 1 DLX</t>
    <phoneticPr fontId="1" type="noConversion"/>
  </si>
  <si>
    <t>MAY 11 2019</t>
    <phoneticPr fontId="1" type="noConversion"/>
  </si>
  <si>
    <t>MAY 11 2021</t>
    <phoneticPr fontId="1" type="noConversion"/>
  </si>
  <si>
    <t>Trasfer in 1 DLX</t>
    <phoneticPr fontId="1" type="noConversion"/>
  </si>
  <si>
    <t>MAY 12 2019</t>
    <phoneticPr fontId="1" type="noConversion"/>
  </si>
  <si>
    <t>MAY 12 2021</t>
    <phoneticPr fontId="1" type="noConversion"/>
  </si>
  <si>
    <t>MAY 13 2021</t>
    <phoneticPr fontId="1" type="noConversion"/>
  </si>
  <si>
    <t>MAY 14 2019</t>
    <phoneticPr fontId="1" type="noConversion"/>
  </si>
  <si>
    <t>MAY 14 2021</t>
    <phoneticPr fontId="1" type="noConversion"/>
  </si>
  <si>
    <t>MAY 15 2021</t>
    <phoneticPr fontId="1" type="noConversion"/>
  </si>
  <si>
    <t>MAY 15 2020</t>
    <phoneticPr fontId="1" type="noConversion"/>
  </si>
  <si>
    <t>Loyal customer deal for 3 comp for lost - Chinese lady with baby</t>
    <phoneticPr fontId="1" type="noConversion"/>
  </si>
  <si>
    <t>MAY 17 2019</t>
    <phoneticPr fontId="1" type="noConversion"/>
  </si>
  <si>
    <t>MAY 17 2021</t>
    <phoneticPr fontId="1" type="noConversion"/>
  </si>
  <si>
    <t>MAY 18 2019</t>
    <phoneticPr fontId="1" type="noConversion"/>
  </si>
  <si>
    <t>MAY 18 2021</t>
    <phoneticPr fontId="1" type="noConversion"/>
  </si>
  <si>
    <t>MAY 19 2019</t>
    <phoneticPr fontId="1" type="noConversion"/>
  </si>
  <si>
    <t>MAY 19 2021</t>
    <phoneticPr fontId="1" type="noConversion"/>
  </si>
  <si>
    <t>MAY 22 2019</t>
    <phoneticPr fontId="1" type="noConversion"/>
  </si>
  <si>
    <t>MAY 22 2021</t>
    <phoneticPr fontId="1" type="noConversion"/>
  </si>
  <si>
    <t>MAY 23 2021</t>
    <phoneticPr fontId="1" type="noConversion"/>
  </si>
  <si>
    <t>MAY 24 2019</t>
    <phoneticPr fontId="1" type="noConversion"/>
  </si>
  <si>
    <t>MAY 24 2021</t>
    <phoneticPr fontId="1" type="noConversion"/>
  </si>
  <si>
    <t>MAY 25 2019</t>
    <phoneticPr fontId="1" type="noConversion"/>
  </si>
  <si>
    <t>MAY 25 2021</t>
    <phoneticPr fontId="1" type="noConversion"/>
  </si>
  <si>
    <t>Not done by keeping key on the board by Junior</t>
    <phoneticPr fontId="1" type="noConversion"/>
  </si>
  <si>
    <t>transferred 2 more DLX</t>
    <phoneticPr fontId="1" type="noConversion"/>
  </si>
  <si>
    <t>2EA TRANSFERRED TO NEW GV</t>
    <phoneticPr fontId="1" type="noConversion"/>
  </si>
  <si>
    <t>2EA MORE FROM FORMER GV</t>
    <phoneticPr fontId="1" type="noConversion"/>
  </si>
  <si>
    <t>`</t>
    <phoneticPr fontId="1" type="noConversion"/>
  </si>
  <si>
    <t>MAY 27 2019</t>
    <phoneticPr fontId="1" type="noConversion"/>
  </si>
  <si>
    <t>MAY 27 2021</t>
    <phoneticPr fontId="1" type="noConversion"/>
  </si>
  <si>
    <t>MAY 28 2019</t>
    <phoneticPr fontId="1" type="noConversion"/>
  </si>
  <si>
    <t>MAY 28 2021</t>
    <phoneticPr fontId="1" type="noConversion"/>
  </si>
  <si>
    <t>MAY 31 2019</t>
    <phoneticPr fontId="1" type="noConversion"/>
  </si>
  <si>
    <t>MAY 31 2021</t>
    <phoneticPr fontId="1" type="noConversion"/>
  </si>
  <si>
    <t>JUN 01 2019</t>
    <phoneticPr fontId="1" type="noConversion"/>
  </si>
  <si>
    <t>JUN 01 2021</t>
    <phoneticPr fontId="1" type="noConversion"/>
  </si>
  <si>
    <t>JUN 02 2019</t>
    <phoneticPr fontId="1" type="noConversion"/>
  </si>
  <si>
    <t>JUN 02 2021</t>
    <phoneticPr fontId="1" type="noConversion"/>
  </si>
  <si>
    <t>JUN 03 2019</t>
    <phoneticPr fontId="1" type="noConversion"/>
  </si>
  <si>
    <t>JUN 03 2021</t>
    <phoneticPr fontId="1" type="noConversion"/>
  </si>
  <si>
    <t>JUN 06 2019</t>
    <phoneticPr fontId="1" type="noConversion"/>
  </si>
  <si>
    <t>JUN 06 2021</t>
    <phoneticPr fontId="1" type="noConversion"/>
  </si>
  <si>
    <t>JUN 08 2019</t>
    <phoneticPr fontId="1" type="noConversion"/>
  </si>
  <si>
    <t>JUN 08 2021</t>
    <phoneticPr fontId="1" type="noConversion"/>
  </si>
  <si>
    <t>JUN 09 2019</t>
    <phoneticPr fontId="1" type="noConversion"/>
  </si>
  <si>
    <t>JUN 09 2021</t>
    <phoneticPr fontId="1" type="noConversion"/>
  </si>
  <si>
    <t>JUN 10 2019</t>
    <phoneticPr fontId="1" type="noConversion"/>
  </si>
  <si>
    <t>JUN 10 2021</t>
    <phoneticPr fontId="1" type="noConversion"/>
  </si>
  <si>
    <t>JUN 11 2019</t>
    <phoneticPr fontId="1" type="noConversion"/>
  </si>
  <si>
    <t>JUN 11 2021</t>
    <phoneticPr fontId="1" type="noConversion"/>
  </si>
  <si>
    <t>JUN 13 2019</t>
    <phoneticPr fontId="1" type="noConversion"/>
  </si>
  <si>
    <t>JUN 13 2021</t>
    <phoneticPr fontId="1" type="noConversion"/>
  </si>
  <si>
    <t>JUN 15 2019</t>
    <phoneticPr fontId="1" type="noConversion"/>
  </si>
  <si>
    <t>JUN 15 2021</t>
    <phoneticPr fontId="1" type="noConversion"/>
  </si>
  <si>
    <t>JUN 16 2019</t>
    <phoneticPr fontId="1" type="noConversion"/>
  </si>
  <si>
    <t>JUN 16 2021</t>
    <phoneticPr fontId="1" type="noConversion"/>
  </si>
  <si>
    <t>JUN 16 2021</t>
    <phoneticPr fontId="1" type="noConversion"/>
  </si>
  <si>
    <t>JUN 17 2019</t>
    <phoneticPr fontId="1" type="noConversion"/>
  </si>
  <si>
    <t>JUN 17 2021</t>
    <phoneticPr fontId="1" type="noConversion"/>
  </si>
  <si>
    <t>JUN 22 2019</t>
    <phoneticPr fontId="1" type="noConversion"/>
  </si>
  <si>
    <t>JUN 22 2021</t>
    <phoneticPr fontId="1" type="noConversion"/>
  </si>
  <si>
    <t>JUN 23 2019</t>
    <phoneticPr fontId="1" type="noConversion"/>
  </si>
  <si>
    <t>JUN 23 2021</t>
    <phoneticPr fontId="1" type="noConversion"/>
  </si>
  <si>
    <t>JUN 28 2019</t>
    <phoneticPr fontId="1" type="noConversion"/>
  </si>
  <si>
    <t>JUN 28 2021</t>
    <phoneticPr fontId="1" type="noConversion"/>
  </si>
  <si>
    <t>Transfer 1 DLX</t>
    <phoneticPr fontId="1" type="noConversion"/>
  </si>
  <si>
    <t>JUN 29 2021</t>
    <phoneticPr fontId="1" type="noConversion"/>
  </si>
  <si>
    <t>Transfer 2 DLX</t>
    <phoneticPr fontId="1" type="noConversion"/>
  </si>
  <si>
    <t>JUL 01 2019</t>
    <phoneticPr fontId="1" type="noConversion"/>
  </si>
  <si>
    <t>JUL 01 2021</t>
    <phoneticPr fontId="1" type="noConversion"/>
  </si>
  <si>
    <t>JUL 06 2019</t>
    <phoneticPr fontId="1" type="noConversion"/>
  </si>
  <si>
    <t>JUL 06 2021</t>
    <phoneticPr fontId="1" type="noConversion"/>
  </si>
  <si>
    <t>JUL 07 2019</t>
    <phoneticPr fontId="1" type="noConversion"/>
  </si>
  <si>
    <t>JUL 07 2021</t>
    <phoneticPr fontId="1" type="noConversion"/>
  </si>
  <si>
    <t>JUL 08 2019</t>
    <phoneticPr fontId="1" type="noConversion"/>
  </si>
  <si>
    <t>JUL 08 2021</t>
    <phoneticPr fontId="1" type="noConversion"/>
  </si>
  <si>
    <t>JUL 10 2019</t>
    <phoneticPr fontId="1" type="noConversion"/>
  </si>
  <si>
    <t>JUL 10 2021</t>
    <phoneticPr fontId="1" type="noConversion"/>
  </si>
  <si>
    <t>JUL 11 2019</t>
    <phoneticPr fontId="1" type="noConversion"/>
  </si>
  <si>
    <t>JUL 11 2021</t>
    <phoneticPr fontId="1" type="noConversion"/>
  </si>
  <si>
    <t>JUL 12 2019</t>
    <phoneticPr fontId="1" type="noConversion"/>
  </si>
  <si>
    <t>JUL 12 2021</t>
    <phoneticPr fontId="1" type="noConversion"/>
  </si>
  <si>
    <t>JUL 13 2019</t>
    <phoneticPr fontId="1" type="noConversion"/>
  </si>
  <si>
    <t>JUL 13 2021</t>
    <phoneticPr fontId="1" type="noConversion"/>
  </si>
  <si>
    <t>JUL 14 2019</t>
    <phoneticPr fontId="1" type="noConversion"/>
  </si>
  <si>
    <t>JUL 14 2021</t>
    <phoneticPr fontId="1" type="noConversion"/>
  </si>
  <si>
    <t>JUL 15 2019</t>
    <phoneticPr fontId="1" type="noConversion"/>
  </si>
  <si>
    <t>JUL 15 2021</t>
    <phoneticPr fontId="1" type="noConversion"/>
  </si>
  <si>
    <t>JUL 16 2019</t>
    <phoneticPr fontId="1" type="noConversion"/>
  </si>
  <si>
    <t>JUL 16 2021</t>
    <phoneticPr fontId="1" type="noConversion"/>
  </si>
  <si>
    <t>JUL 17 2019</t>
    <phoneticPr fontId="1" type="noConversion"/>
  </si>
  <si>
    <t>JUL 17 2021</t>
    <phoneticPr fontId="1" type="noConversion"/>
  </si>
  <si>
    <t>JUL 18 2019</t>
    <phoneticPr fontId="1" type="noConversion"/>
  </si>
  <si>
    <t>JUL 18 2021</t>
    <phoneticPr fontId="1" type="noConversion"/>
  </si>
  <si>
    <t>S</t>
    <phoneticPr fontId="1" type="noConversion"/>
  </si>
  <si>
    <t>A</t>
    <phoneticPr fontId="1" type="noConversion"/>
  </si>
  <si>
    <t>M</t>
    <phoneticPr fontId="1" type="noConversion"/>
  </si>
  <si>
    <t>P</t>
    <phoneticPr fontId="1" type="noConversion"/>
  </si>
  <si>
    <t>L</t>
    <phoneticPr fontId="1" type="noConversion"/>
  </si>
  <si>
    <t>E</t>
    <phoneticPr fontId="1" type="noConversion"/>
  </si>
  <si>
    <t>SAMPLE DISPLAY</t>
    <phoneticPr fontId="1" type="noConversion"/>
  </si>
  <si>
    <t>JUL 19 2019</t>
    <phoneticPr fontId="1" type="noConversion"/>
  </si>
  <si>
    <t>JUL 19 2021</t>
    <phoneticPr fontId="1" type="noConversion"/>
  </si>
  <si>
    <t>JUL 20 2019</t>
    <phoneticPr fontId="1" type="noConversion"/>
  </si>
  <si>
    <t>JUL 20 2021</t>
    <phoneticPr fontId="1" type="noConversion"/>
  </si>
  <si>
    <t>JUL 21 2019</t>
    <phoneticPr fontId="1" type="noConversion"/>
  </si>
  <si>
    <t>JUL 21 2021</t>
    <phoneticPr fontId="1" type="noConversion"/>
  </si>
  <si>
    <t>JUL 22 2019</t>
    <phoneticPr fontId="1" type="noConversion"/>
  </si>
  <si>
    <t>JUL 22 2021</t>
    <phoneticPr fontId="1" type="noConversion"/>
  </si>
  <si>
    <t>JUL 23 2021</t>
    <phoneticPr fontId="1" type="noConversion"/>
  </si>
  <si>
    <t>Extended 1 year</t>
    <phoneticPr fontId="1" type="noConversion"/>
  </si>
  <si>
    <t>JUL 24 2019</t>
    <phoneticPr fontId="1" type="noConversion"/>
  </si>
  <si>
    <t>JUL 24 2021</t>
    <phoneticPr fontId="1" type="noConversion"/>
  </si>
  <si>
    <t>JUL 25 2019</t>
    <phoneticPr fontId="1" type="noConversion"/>
  </si>
  <si>
    <t>JUL 25 2021</t>
    <phoneticPr fontId="1" type="noConversion"/>
  </si>
  <si>
    <t>Transferred to new</t>
    <phoneticPr fontId="1" type="noConversion"/>
  </si>
  <si>
    <t>JUL 26 2021</t>
    <phoneticPr fontId="1" type="noConversion"/>
  </si>
  <si>
    <t>JUL 27 2019</t>
    <phoneticPr fontId="1" type="noConversion"/>
  </si>
  <si>
    <t>JUL 27 2021</t>
    <phoneticPr fontId="1" type="noConversion"/>
  </si>
  <si>
    <t>JUL 28 2019</t>
    <phoneticPr fontId="1" type="noConversion"/>
  </si>
  <si>
    <t>JUL 28 2021</t>
    <phoneticPr fontId="1" type="noConversion"/>
  </si>
  <si>
    <t>JUL 29 2021</t>
    <phoneticPr fontId="1" type="noConversion"/>
  </si>
  <si>
    <t>JUL 31 2019</t>
    <phoneticPr fontId="1" type="noConversion"/>
  </si>
  <si>
    <t>JUL 31 2021</t>
    <phoneticPr fontId="1" type="noConversion"/>
  </si>
  <si>
    <t>AUG 01 2019</t>
    <phoneticPr fontId="1" type="noConversion"/>
  </si>
  <si>
    <t>AUG 01 2021</t>
    <phoneticPr fontId="1" type="noConversion"/>
  </si>
  <si>
    <t>AUG 02 2019</t>
    <phoneticPr fontId="1" type="noConversion"/>
  </si>
  <si>
    <t>AUG 02 2021</t>
    <phoneticPr fontId="1" type="noConversion"/>
  </si>
  <si>
    <t>AUG 03 2019</t>
    <phoneticPr fontId="1" type="noConversion"/>
  </si>
  <si>
    <t>AUG 03 2021</t>
    <phoneticPr fontId="1" type="noConversion"/>
  </si>
  <si>
    <t>EXTENDED 1 DLX</t>
    <phoneticPr fontId="1" type="noConversion"/>
  </si>
  <si>
    <t>AUG 05 2019</t>
    <phoneticPr fontId="1" type="noConversion"/>
  </si>
  <si>
    <t>AUG 05 2021</t>
    <phoneticPr fontId="1" type="noConversion"/>
  </si>
  <si>
    <t>AUG 07 2019</t>
    <phoneticPr fontId="1" type="noConversion"/>
  </si>
  <si>
    <t>AUG 07 2021</t>
    <phoneticPr fontId="1" type="noConversion"/>
  </si>
  <si>
    <t>AUG 08 2019</t>
    <phoneticPr fontId="1" type="noConversion"/>
  </si>
  <si>
    <t>AUG 08 2021</t>
    <phoneticPr fontId="1" type="noConversion"/>
  </si>
  <si>
    <t>AUG 09 2019</t>
    <phoneticPr fontId="1" type="noConversion"/>
  </si>
  <si>
    <t>AUG 09 2021</t>
    <phoneticPr fontId="1" type="noConversion"/>
  </si>
  <si>
    <t>AUG 10 2019</t>
    <phoneticPr fontId="1" type="noConversion"/>
  </si>
  <si>
    <t>AUG 10 2021</t>
    <phoneticPr fontId="1" type="noConversion"/>
  </si>
  <si>
    <t>AUG 12 2019</t>
    <phoneticPr fontId="1" type="noConversion"/>
  </si>
  <si>
    <t>AUG 12 2021</t>
    <phoneticPr fontId="1" type="noConversion"/>
  </si>
  <si>
    <t>AUG 13 2019</t>
    <phoneticPr fontId="1" type="noConversion"/>
  </si>
  <si>
    <t>AUG 13 2021</t>
    <phoneticPr fontId="1" type="noConversion"/>
  </si>
  <si>
    <t>AUG 14 2019</t>
    <phoneticPr fontId="1" type="noConversion"/>
  </si>
  <si>
    <t>AUG 14 2021</t>
    <phoneticPr fontId="1" type="noConversion"/>
  </si>
  <si>
    <t>AUG 17 2019</t>
    <phoneticPr fontId="1" type="noConversion"/>
  </si>
  <si>
    <t>AUG 17 2021</t>
    <phoneticPr fontId="1" type="noConversion"/>
  </si>
  <si>
    <t>AUG 18 2021</t>
    <phoneticPr fontId="1" type="noConversion"/>
  </si>
  <si>
    <t>AUG 20 2019</t>
    <phoneticPr fontId="1" type="noConversion"/>
  </si>
  <si>
    <t>AUG 20 2021</t>
    <phoneticPr fontId="1" type="noConversion"/>
  </si>
  <si>
    <t>AUG 21 2019</t>
    <phoneticPr fontId="1" type="noConversion"/>
  </si>
  <si>
    <t>AUG 21 2021</t>
    <phoneticPr fontId="1" type="noConversion"/>
  </si>
  <si>
    <t>AUG 23 2019</t>
    <phoneticPr fontId="1" type="noConversion"/>
  </si>
  <si>
    <t>AUG 23 2021</t>
    <phoneticPr fontId="1" type="noConversion"/>
  </si>
  <si>
    <t>AUG 24 2019</t>
    <phoneticPr fontId="1" type="noConversion"/>
  </si>
  <si>
    <t>AUG 24 2021</t>
    <phoneticPr fontId="1" type="noConversion"/>
  </si>
  <si>
    <t>AUG 25 2019</t>
    <phoneticPr fontId="1" type="noConversion"/>
  </si>
  <si>
    <t>AUG 25 2021</t>
    <phoneticPr fontId="1" type="noConversion"/>
  </si>
  <si>
    <t>AUG 27 2019</t>
    <phoneticPr fontId="1" type="noConversion"/>
  </si>
  <si>
    <t>AUG 27 2021</t>
    <phoneticPr fontId="1" type="noConversion"/>
  </si>
  <si>
    <t>AUG 28 2019</t>
    <phoneticPr fontId="1" type="noConversion"/>
  </si>
  <si>
    <t>AUG 28 2021</t>
    <phoneticPr fontId="1" type="noConversion"/>
  </si>
  <si>
    <t>Expired returned</t>
    <phoneticPr fontId="1" type="noConversion"/>
  </si>
  <si>
    <t>SEP 01 2019</t>
    <phoneticPr fontId="1" type="noConversion"/>
  </si>
  <si>
    <t>SEP 01 2021</t>
    <phoneticPr fontId="1" type="noConversion"/>
  </si>
  <si>
    <t>SEP 02 2019</t>
    <phoneticPr fontId="1" type="noConversion"/>
  </si>
  <si>
    <t>SEP 02 2021</t>
    <phoneticPr fontId="1" type="noConversion"/>
  </si>
  <si>
    <t>SEP 03 2019</t>
    <phoneticPr fontId="1" type="noConversion"/>
  </si>
  <si>
    <t>SEP 03 2021</t>
    <phoneticPr fontId="1" type="noConversion"/>
  </si>
  <si>
    <t>SEP 05 2019</t>
    <phoneticPr fontId="1" type="noConversion"/>
  </si>
  <si>
    <t>SEP 05 2021</t>
    <phoneticPr fontId="1" type="noConversion"/>
  </si>
  <si>
    <t>SEP 06 2019</t>
    <phoneticPr fontId="1" type="noConversion"/>
  </si>
  <si>
    <t>SEP 06 2021</t>
    <phoneticPr fontId="1" type="noConversion"/>
  </si>
  <si>
    <t>SEP 07 2019</t>
    <phoneticPr fontId="1" type="noConversion"/>
  </si>
  <si>
    <t>SEP 07 2021</t>
    <phoneticPr fontId="1" type="noConversion"/>
  </si>
  <si>
    <t>SEP 08 2019</t>
    <phoneticPr fontId="1" type="noConversion"/>
  </si>
  <si>
    <t>SEP 08 2021</t>
    <phoneticPr fontId="1" type="noConversion"/>
  </si>
  <si>
    <t>SEP 09 2019</t>
    <phoneticPr fontId="1" type="noConversion"/>
  </si>
  <si>
    <t>SEP 09 2021</t>
    <phoneticPr fontId="1" type="noConversion"/>
  </si>
  <si>
    <t>SEP 10 2019</t>
    <phoneticPr fontId="1" type="noConversion"/>
  </si>
  <si>
    <t>SEP 10 2021</t>
    <phoneticPr fontId="1" type="noConversion"/>
  </si>
  <si>
    <t>SEP 11 2019</t>
    <phoneticPr fontId="1" type="noConversion"/>
  </si>
  <si>
    <t>SEP 11 2021</t>
    <phoneticPr fontId="1" type="noConversion"/>
  </si>
  <si>
    <t>SEP 12 2019</t>
    <phoneticPr fontId="1" type="noConversion"/>
  </si>
  <si>
    <t>SEP 12 2021</t>
    <phoneticPr fontId="1" type="noConversion"/>
  </si>
  <si>
    <t>SEP 13 2021</t>
    <phoneticPr fontId="1" type="noConversion"/>
  </si>
  <si>
    <t>SEP 14 2019</t>
    <phoneticPr fontId="1" type="noConversion"/>
  </si>
  <si>
    <t>SEP 14 2021</t>
    <phoneticPr fontId="1" type="noConversion"/>
  </si>
  <si>
    <t>SEP 15 2019</t>
    <phoneticPr fontId="1" type="noConversion"/>
  </si>
  <si>
    <t>SEP 15 2021</t>
    <phoneticPr fontId="1" type="noConversion"/>
  </si>
  <si>
    <t>SEP 16 2019</t>
    <phoneticPr fontId="1" type="noConversion"/>
  </si>
  <si>
    <t>SEP 16 2021</t>
    <phoneticPr fontId="1" type="noConversion"/>
  </si>
  <si>
    <t>SEP 20 2019</t>
    <phoneticPr fontId="1" type="noConversion"/>
  </si>
  <si>
    <t>SEP 20 2021</t>
    <phoneticPr fontId="1" type="noConversion"/>
  </si>
  <si>
    <t>SEP 20 2019</t>
    <phoneticPr fontId="1" type="noConversion"/>
  </si>
  <si>
    <t>SEP 21 2019</t>
    <phoneticPr fontId="1" type="noConversion"/>
  </si>
  <si>
    <t>SEP 21 2021</t>
    <phoneticPr fontId="1" type="noConversion"/>
  </si>
  <si>
    <t>SEP 22 2019</t>
    <phoneticPr fontId="1" type="noConversion"/>
  </si>
  <si>
    <t>SEP 22 2021</t>
    <phoneticPr fontId="1" type="noConversion"/>
  </si>
  <si>
    <t>EXTRA 1 DLX</t>
    <phoneticPr fontId="1" type="noConversion"/>
  </si>
  <si>
    <t>SEP 23 2021</t>
    <phoneticPr fontId="1" type="noConversion"/>
  </si>
  <si>
    <t>SEP 25 2019</t>
    <phoneticPr fontId="1" type="noConversion"/>
  </si>
  <si>
    <t>SEP 25 2021</t>
    <phoneticPr fontId="1" type="noConversion"/>
  </si>
  <si>
    <t>SEP 27 2019</t>
    <phoneticPr fontId="1" type="noConversion"/>
  </si>
  <si>
    <t>SEP 27 2021</t>
    <phoneticPr fontId="1" type="noConversion"/>
  </si>
  <si>
    <t>SEP 28 2019</t>
    <phoneticPr fontId="1" type="noConversion"/>
  </si>
  <si>
    <t>SEP 28 2021</t>
    <phoneticPr fontId="1" type="noConversion"/>
  </si>
  <si>
    <t>SEP 29 2019</t>
  </si>
  <si>
    <t>SEP 29 2021</t>
  </si>
  <si>
    <t>SEP 30 2019</t>
  </si>
  <si>
    <t>SEP 30 2021</t>
  </si>
  <si>
    <t>OCT 01 2019</t>
  </si>
  <si>
    <t>OCT 01 2021</t>
  </si>
  <si>
    <t>OCT 02 2019</t>
  </si>
  <si>
    <t>OCT 02 2021</t>
  </si>
  <si>
    <t>OCT 03 2019</t>
  </si>
  <si>
    <t>OCT 03 2021</t>
  </si>
  <si>
    <t>OCT 06 2019</t>
  </si>
  <si>
    <t>OCT 06 2021</t>
  </si>
  <si>
    <t>OCT 10 2019</t>
  </si>
  <si>
    <t>OCT 10 2021</t>
  </si>
  <si>
    <t>OCT 12 2019</t>
  </si>
  <si>
    <t>OCT 12 2021</t>
  </si>
  <si>
    <t>OCT 14 2019</t>
  </si>
  <si>
    <t>OCT 14 2021</t>
  </si>
  <si>
    <t>UP SIZED</t>
  </si>
  <si>
    <t>OCT 15 2019</t>
  </si>
  <si>
    <t>OCT 15 2021</t>
  </si>
  <si>
    <t>OCT 16 2019</t>
  </si>
  <si>
    <t>OCT 16 2021</t>
  </si>
  <si>
    <t>UPSIZED</t>
  </si>
  <si>
    <t>OCT 17 2019</t>
  </si>
  <si>
    <t>OCT 17 2021</t>
  </si>
  <si>
    <t>OCT 18 2019</t>
  </si>
  <si>
    <t>OCT 18 2021</t>
  </si>
  <si>
    <t>GA 191650</t>
  </si>
  <si>
    <t>GA 191651</t>
  </si>
  <si>
    <t>GA 191652</t>
  </si>
  <si>
    <t>GA 191653</t>
  </si>
  <si>
    <t>GA 191654</t>
  </si>
  <si>
    <t>BORROW</t>
  </si>
  <si>
    <t>OCT 20 2019</t>
  </si>
  <si>
    <t>OCT 20 2021</t>
  </si>
  <si>
    <t>OCT 21 2019</t>
  </si>
  <si>
    <t>OCT 21 2021</t>
  </si>
  <si>
    <t>OCT 23 2019</t>
  </si>
  <si>
    <t>OCT 23 2021</t>
  </si>
  <si>
    <t>OCT 24 2019</t>
  </si>
  <si>
    <t>OCT 24 2021</t>
  </si>
  <si>
    <t>OCT 25 2019</t>
  </si>
  <si>
    <t>OCT 25 2021</t>
  </si>
  <si>
    <t>FROM GA</t>
  </si>
  <si>
    <t>OCT 26 2019</t>
  </si>
  <si>
    <t>OCT 26 2021</t>
  </si>
  <si>
    <t>OCT 27 2019</t>
  </si>
  <si>
    <t>OCT 27 2021</t>
  </si>
  <si>
    <t>TRANSFER TO NEW</t>
  </si>
  <si>
    <t>OCT 28 2019</t>
  </si>
  <si>
    <t>OCT 28 2021</t>
  </si>
  <si>
    <t>OCT 29 2019</t>
  </si>
  <si>
    <t>OCT 29 2021</t>
  </si>
  <si>
    <t>OCT 31 2019</t>
  </si>
  <si>
    <t>OCT 31 2021</t>
  </si>
  <si>
    <t>NOV 01 2019</t>
  </si>
  <si>
    <t>NOV 01 2021</t>
  </si>
  <si>
    <t>NOV 02 2021</t>
  </si>
  <si>
    <t>NOV 02 2019</t>
  </si>
  <si>
    <t>Lend to GA</t>
  </si>
  <si>
    <t>NOV 03 2019</t>
  </si>
  <si>
    <t>NOV 03 2021</t>
  </si>
  <si>
    <t>NOV 04 2019</t>
  </si>
  <si>
    <t>NOV 04 2021</t>
  </si>
  <si>
    <t>Extended to 01/08 2019</t>
  </si>
  <si>
    <t>NOV 05 2019</t>
  </si>
  <si>
    <t>NOV 05 2021</t>
  </si>
  <si>
    <t>NOV 06 2019</t>
  </si>
  <si>
    <t>NOV 06 2021</t>
  </si>
  <si>
    <t>NOV 08 2019</t>
  </si>
  <si>
    <t>NOV 08 2021</t>
  </si>
  <si>
    <t>NOV 09 2019</t>
  </si>
  <si>
    <t>NOV 09 2021</t>
  </si>
  <si>
    <t>NOV 11 2019</t>
  </si>
  <si>
    <t>NOV 11 2021</t>
  </si>
  <si>
    <t>NOV 12 2019</t>
  </si>
  <si>
    <t>NOV 12 2021</t>
  </si>
  <si>
    <t>NOV 13 2019</t>
  </si>
  <si>
    <t>NOV 13 2021</t>
  </si>
  <si>
    <t>NOV 14 2019</t>
  </si>
  <si>
    <t>NOV 14 2021</t>
  </si>
  <si>
    <t>NOV 15 2019</t>
  </si>
  <si>
    <t>NOV 15 2021</t>
  </si>
  <si>
    <t>NOV 16 2019</t>
  </si>
  <si>
    <t>NOV 16 2021</t>
  </si>
  <si>
    <t>NOV 17 2019</t>
  </si>
  <si>
    <t>NOV 17 2021</t>
  </si>
  <si>
    <t>NOV 18 2019</t>
  </si>
  <si>
    <t>NOV 18 2021</t>
  </si>
  <si>
    <t>NOV 19 2019</t>
  </si>
  <si>
    <t>NOV 19 2021</t>
  </si>
  <si>
    <t>NOV 20 2019</t>
  </si>
  <si>
    <t>NOV 20 2021</t>
  </si>
  <si>
    <t>NOV 21 2019</t>
  </si>
  <si>
    <t>NOV 21 2021</t>
  </si>
  <si>
    <t>NOV 22 2019</t>
  </si>
  <si>
    <t>NOV 22 2021</t>
  </si>
  <si>
    <t>NOV 23 2019</t>
  </si>
  <si>
    <t>NOV 23 2021</t>
  </si>
  <si>
    <t>NOV 24 2019</t>
  </si>
  <si>
    <t>NOV 24 2021</t>
  </si>
  <si>
    <t>NOV 27 2019</t>
  </si>
  <si>
    <t>NOV 27 2021</t>
  </si>
  <si>
    <t>NOV 28 2019</t>
  </si>
  <si>
    <t>NOV 28 2021</t>
  </si>
  <si>
    <t>NOV 29 2019</t>
  </si>
  <si>
    <t>NOV 29 2021</t>
  </si>
  <si>
    <t>NOV 30 2019</t>
  </si>
  <si>
    <t>NOV 30 2021</t>
  </si>
  <si>
    <t>DEC 01 2019</t>
  </si>
  <si>
    <t>DEC 01 2021</t>
  </si>
  <si>
    <t>DEC 02 2019</t>
  </si>
  <si>
    <t>DEC 02 2021</t>
  </si>
  <si>
    <t>DEC 04 2019</t>
  </si>
  <si>
    <t>DEC 04 2021</t>
  </si>
  <si>
    <t>Lost Re issued #192663 3/3</t>
  </si>
  <si>
    <t>DEC 05 2019</t>
  </si>
  <si>
    <t>DEC 05 2021</t>
  </si>
  <si>
    <t>DEC 07 2019</t>
  </si>
  <si>
    <t>DEC 07 2021</t>
  </si>
  <si>
    <t>DEC 09 2021</t>
  </si>
  <si>
    <t>DEC 09 2019</t>
  </si>
  <si>
    <t>DEC 10 2019</t>
  </si>
  <si>
    <t>DEC 10 2021</t>
  </si>
  <si>
    <t>DEC 12 2019</t>
  </si>
  <si>
    <t>DEC 12 2021</t>
  </si>
  <si>
    <t>DEC 13 2019</t>
  </si>
  <si>
    <t>DEC 13 2021</t>
  </si>
  <si>
    <t>DEC 14 2019</t>
  </si>
  <si>
    <t>DEC 14 2021</t>
  </si>
  <si>
    <t>DEC 15 2019</t>
  </si>
  <si>
    <t>DEC 15 2021</t>
  </si>
  <si>
    <t>DEC 16 2019</t>
  </si>
  <si>
    <t>DEC 16 2021</t>
  </si>
  <si>
    <t>DEC 17 2019</t>
  </si>
  <si>
    <t>DEC 17 2021</t>
  </si>
  <si>
    <t>DEC 18 2019</t>
  </si>
  <si>
    <t>DEC 18 2021</t>
  </si>
  <si>
    <t>DEC 19 2019</t>
  </si>
  <si>
    <t>DEC 19 2021</t>
  </si>
  <si>
    <t>DEC 20 2019</t>
  </si>
  <si>
    <t>DEC 20 2021</t>
  </si>
  <si>
    <t>DEC 21 2019</t>
  </si>
  <si>
    <t>DEC 21 2021</t>
  </si>
  <si>
    <t>DEC 22 2019</t>
  </si>
  <si>
    <t>DEC 22 2021</t>
  </si>
  <si>
    <t>DEC 23 2019</t>
  </si>
  <si>
    <t>DEC 23 2021</t>
  </si>
  <si>
    <t>DEC 24 2019</t>
  </si>
  <si>
    <t>DEC 24 2021</t>
  </si>
  <si>
    <t>DEC 26 2019</t>
  </si>
  <si>
    <t>DEC 26 2021</t>
  </si>
  <si>
    <t>DEC 27 2019</t>
  </si>
  <si>
    <t>DEC 27 2021</t>
  </si>
  <si>
    <t>DEC 29 2019</t>
  </si>
  <si>
    <t>DEC 29 2021</t>
  </si>
  <si>
    <t>DEC 31 2019</t>
  </si>
  <si>
    <t>DEC 31 2021</t>
  </si>
  <si>
    <t>Transferred 0/9</t>
  </si>
  <si>
    <t>JAN 02 2020</t>
  </si>
  <si>
    <t>JAN 02 2022</t>
  </si>
  <si>
    <t>JAN 04 2020</t>
  </si>
  <si>
    <t>JAN 04 2022</t>
  </si>
  <si>
    <t>JAN 05 2020</t>
  </si>
  <si>
    <t>JAN 05 2022</t>
  </si>
  <si>
    <t>JAN 06 2020</t>
  </si>
  <si>
    <t>JAN 06 2022</t>
  </si>
  <si>
    <t>JAN 07 2020</t>
  </si>
  <si>
    <t>JAN 07 2022</t>
  </si>
  <si>
    <t>JAN 08 2020</t>
  </si>
  <si>
    <t>JAN 08 2022</t>
  </si>
  <si>
    <t>JAN 09 2020</t>
  </si>
  <si>
    <t>JAN 09 2022</t>
  </si>
  <si>
    <t>Paid $75 upsize 10/01/20</t>
  </si>
  <si>
    <t>JAN 10 2020</t>
  </si>
  <si>
    <t>JAN 10 2022</t>
  </si>
  <si>
    <t>JAN 11 2020</t>
  </si>
  <si>
    <t>JAN 11 2022</t>
  </si>
  <si>
    <t>JAN 12 2020</t>
  </si>
  <si>
    <t>JAN 12 2022</t>
  </si>
  <si>
    <t>JAN 13 2020</t>
  </si>
  <si>
    <t>JAN 13 2022</t>
  </si>
  <si>
    <t>JAN 14 2020</t>
  </si>
  <si>
    <t>JAN 14 2022</t>
  </si>
  <si>
    <t>JAN 15 2020</t>
  </si>
  <si>
    <t>JAN 15 2022</t>
  </si>
  <si>
    <t>DLXx3 phone auth</t>
  </si>
  <si>
    <t>EXTRA 1 DLX</t>
  </si>
  <si>
    <t>JAN 19 2020</t>
  </si>
  <si>
    <t>JAN 19 2022</t>
  </si>
  <si>
    <t>JAN 20 2020</t>
  </si>
  <si>
    <t>JAN 20 2022</t>
  </si>
  <si>
    <t>JAN 21 2020</t>
  </si>
  <si>
    <t>JAN 21 2022</t>
  </si>
  <si>
    <t>JAN 23 2020</t>
  </si>
  <si>
    <t>JAN 23 2022</t>
  </si>
  <si>
    <t>Comp once for 22/01 ID $295 complaint</t>
  </si>
  <si>
    <t>JAN 24 2020</t>
  </si>
  <si>
    <t>JAN 24 2022</t>
  </si>
  <si>
    <t>JAN 25 2020</t>
  </si>
  <si>
    <t>JAN 25 2022</t>
  </si>
  <si>
    <t>EXPIRED, TRANSFER 3DLX</t>
  </si>
  <si>
    <t>JAN 26 2020</t>
  </si>
  <si>
    <t>JAN 26 2022</t>
  </si>
  <si>
    <t>JAN 27 2020</t>
  </si>
  <si>
    <t>JAN 27 2022</t>
  </si>
  <si>
    <t>JAN 28 2020</t>
  </si>
  <si>
    <t>JAN 28 2022</t>
  </si>
  <si>
    <t>Amount Sold</t>
  </si>
  <si>
    <t>Amoumt unclaimed</t>
  </si>
  <si>
    <t>unclaimed %</t>
  </si>
  <si>
    <t>Finalised</t>
  </si>
  <si>
    <t>TOTAL</t>
  </si>
  <si>
    <t>JAN 29 2020</t>
  </si>
  <si>
    <t>JAN 29 2022</t>
  </si>
  <si>
    <t>JAN 30 2020</t>
  </si>
  <si>
    <t>JAN 30 2022</t>
  </si>
  <si>
    <t>JAN 31 2020</t>
  </si>
  <si>
    <t>JAN 31 2022</t>
  </si>
  <si>
    <t>FEB 01 2020</t>
  </si>
  <si>
    <t>FEB 01 2022</t>
  </si>
  <si>
    <t>FEB 02 2020</t>
  </si>
  <si>
    <t>FEB 02 2022</t>
  </si>
  <si>
    <t>FEB 05 2020</t>
  </si>
  <si>
    <t>FEB 16 2020</t>
  </si>
  <si>
    <t>FEB 16 2022</t>
  </si>
  <si>
    <t>FEB 17 2020</t>
  </si>
  <si>
    <t>FEB 17 2022</t>
  </si>
  <si>
    <t>FEB 17 2021</t>
  </si>
  <si>
    <t>Comp for complaint, ID mispart by Hendra</t>
  </si>
  <si>
    <t>FEB 19 2020</t>
  </si>
  <si>
    <t>Offer 2more by overcharge $300 from $225</t>
  </si>
  <si>
    <t>FEB 21 2020</t>
  </si>
  <si>
    <t>FEB 23 2020</t>
  </si>
  <si>
    <t>FEB 24 2020</t>
  </si>
  <si>
    <t>FEB 26 2020</t>
  </si>
  <si>
    <t>Lexus Sutherland</t>
  </si>
  <si>
    <t>FEB 27 2020</t>
  </si>
  <si>
    <t>FEB 28 2020</t>
  </si>
  <si>
    <t>FEB 29 2020</t>
  </si>
  <si>
    <t>MAR 01 2020</t>
  </si>
  <si>
    <t>MAR 01 2022</t>
  </si>
  <si>
    <t>FEB 19 2022</t>
  </si>
  <si>
    <t>FEB 21 2022</t>
  </si>
  <si>
    <t>FEB 23 2022</t>
  </si>
  <si>
    <t>FEB 24 2022</t>
  </si>
  <si>
    <t>FEB 26 2022</t>
  </si>
  <si>
    <t>FEB 27 2022</t>
  </si>
  <si>
    <t>FEB 28 2022</t>
  </si>
  <si>
    <t>FEB 29 2022</t>
  </si>
  <si>
    <t>MAR 02 2020</t>
  </si>
  <si>
    <t>MAR 02 2022</t>
  </si>
  <si>
    <t>MAR 03 2020</t>
  </si>
  <si>
    <t>MAR 03 2022</t>
  </si>
  <si>
    <t>EXPIRED BUY NEW</t>
  </si>
  <si>
    <t>MAR 04 2020</t>
  </si>
  <si>
    <t>MAR 04 2022</t>
  </si>
  <si>
    <t>expired</t>
  </si>
  <si>
    <t>Expired in 2018</t>
  </si>
  <si>
    <t>Subtotal</t>
  </si>
  <si>
    <t>Amount sold</t>
  </si>
  <si>
    <t>Value left</t>
  </si>
  <si>
    <t>B2</t>
  </si>
  <si>
    <t>MAR 06 2020</t>
  </si>
  <si>
    <t>MAR 06 2022</t>
  </si>
  <si>
    <t>MAR 07 2020</t>
  </si>
  <si>
    <t>MAR 07 2022</t>
  </si>
  <si>
    <t>MAR 08 2020</t>
  </si>
  <si>
    <t>MAR 08 2022</t>
  </si>
  <si>
    <t>MAR 10 2020</t>
  </si>
  <si>
    <t>MAR 10 2022</t>
  </si>
  <si>
    <t>MAR 11 2020</t>
  </si>
  <si>
    <t>MAR 11 2022</t>
  </si>
  <si>
    <t>MAR 12 2020</t>
  </si>
  <si>
    <t>MAR 12 2022</t>
  </si>
  <si>
    <t>MAR 13 2020</t>
  </si>
  <si>
    <t>MAR 13 2022</t>
  </si>
  <si>
    <t>MAR 14 2020</t>
  </si>
  <si>
    <t>MAR 14 2022</t>
  </si>
  <si>
    <t>MAR 15 2020</t>
  </si>
  <si>
    <t>MAR 15 2022</t>
  </si>
  <si>
    <t>MAR 19 2020</t>
  </si>
  <si>
    <t>MAR 19 2022</t>
  </si>
  <si>
    <t>MAR 20 2020</t>
  </si>
  <si>
    <t>MAR 20 2022</t>
  </si>
  <si>
    <t>MAR 23 2020</t>
  </si>
  <si>
    <t>MAR 23 2022</t>
  </si>
  <si>
    <t>APR 05 2020</t>
  </si>
  <si>
    <t>APR 05 2022</t>
  </si>
  <si>
    <t>APR 09 2020</t>
  </si>
  <si>
    <t>APR 09 2022</t>
  </si>
  <si>
    <t>BR print &amp; signed as #202790 to #202819 by not given to BR from Paul as absent</t>
  </si>
  <si>
    <t>APR 17 2020</t>
  </si>
  <si>
    <t>APR 17 2022</t>
  </si>
  <si>
    <t>APR 18 2020</t>
  </si>
  <si>
    <t>APR 18 2022</t>
  </si>
  <si>
    <t>RE-ISSUE FOR LOST</t>
  </si>
  <si>
    <t>APR 19 2020</t>
  </si>
  <si>
    <t>APR 19 2022</t>
  </si>
  <si>
    <t>APR 21 2020</t>
  </si>
  <si>
    <t>APR 21 2022</t>
  </si>
  <si>
    <t>APR 27 2020</t>
  </si>
  <si>
    <t>APR 27 2022</t>
  </si>
  <si>
    <t>APR 28 2020</t>
  </si>
  <si>
    <t>APR 28 2022</t>
  </si>
  <si>
    <t>APR 29 2020</t>
  </si>
  <si>
    <t>APR 29 2022</t>
  </si>
  <si>
    <t>MAY 01 2020</t>
  </si>
  <si>
    <t>MAY 01 2022</t>
  </si>
  <si>
    <t>WIFE</t>
  </si>
  <si>
    <t>HUSBAND</t>
  </si>
  <si>
    <t>MAY 02 2020</t>
  </si>
  <si>
    <t>MAY 02 2022</t>
  </si>
  <si>
    <t>MAY 05 2020</t>
  </si>
  <si>
    <t>MAY 05 2022</t>
  </si>
  <si>
    <t>MAY 07 2020</t>
  </si>
  <si>
    <t>MAY 07 2022</t>
  </si>
  <si>
    <t>MAY 08 2020</t>
  </si>
  <si>
    <t>MAY 08 2022</t>
  </si>
  <si>
    <t>MAY 09 2020</t>
  </si>
  <si>
    <t>MAY 09 2022</t>
  </si>
  <si>
    <t>MAY 11 2020</t>
  </si>
  <si>
    <t>MAY 11 2022</t>
  </si>
  <si>
    <t>Transferred 2ea to New GV</t>
  </si>
  <si>
    <t>Amount Expired</t>
  </si>
  <si>
    <t>MAY 13 2020</t>
  </si>
  <si>
    <t>MAY 13 2022</t>
  </si>
  <si>
    <t>MAY 17 2020</t>
  </si>
  <si>
    <t>MAY 17 2022</t>
  </si>
  <si>
    <t>MAY 18 2020</t>
  </si>
  <si>
    <t>MAY 18 2022</t>
  </si>
  <si>
    <t>MAY 19 2020</t>
  </si>
  <si>
    <t>MAY 19 2022</t>
  </si>
  <si>
    <t>MAY 20 2020</t>
  </si>
  <si>
    <t>MAY 20 2022</t>
  </si>
  <si>
    <t>MAY 21 2020</t>
  </si>
  <si>
    <t>MAY 21 2022</t>
  </si>
  <si>
    <t>MAY 23 2020</t>
  </si>
  <si>
    <t>MAY 23 2022</t>
  </si>
  <si>
    <t>MAY 24 2020</t>
  </si>
  <si>
    <t>MAY 24 2022</t>
  </si>
  <si>
    <t>Comp Headlight damage by Shah</t>
  </si>
  <si>
    <t>MAY 27 2020</t>
  </si>
  <si>
    <t>MAY 27 2022</t>
  </si>
  <si>
    <t>MAY 28 2020</t>
  </si>
  <si>
    <t>MAY 28 2022</t>
  </si>
  <si>
    <t>MAY 30 2020</t>
  </si>
  <si>
    <t>MAY 30 2022</t>
  </si>
  <si>
    <t>MAY 31 2020</t>
  </si>
  <si>
    <t>MAY 31 2022</t>
  </si>
  <si>
    <t>JUN 01 2020</t>
  </si>
  <si>
    <t>JUN O1 2022</t>
  </si>
  <si>
    <t>JUN 03 2020</t>
  </si>
  <si>
    <t>JUN O3 2022</t>
  </si>
  <si>
    <t xml:space="preserve">Complaint </t>
  </si>
  <si>
    <t>paid $75 more for upsize on 03/06/2020</t>
  </si>
  <si>
    <t>JUN 04 2020</t>
  </si>
  <si>
    <t>JUN O4 2022</t>
  </si>
  <si>
    <t>JUN 05 2020</t>
  </si>
  <si>
    <t>JUN O5 2022</t>
  </si>
  <si>
    <t>JUN 06 2020</t>
  </si>
  <si>
    <t>JUN O6 2022</t>
  </si>
  <si>
    <t>JUN 07 2020</t>
  </si>
  <si>
    <t>JUN O7 2022</t>
  </si>
  <si>
    <t>JUN 08 2020</t>
  </si>
  <si>
    <t>JUN O8 2022</t>
  </si>
  <si>
    <t>JUN 09 2020</t>
  </si>
  <si>
    <t>JUN O9 2022</t>
  </si>
  <si>
    <t>JUN 10 2020</t>
  </si>
  <si>
    <t>DLX ONCE FOR REAL ESTATE COMPLIMENT</t>
  </si>
  <si>
    <t>JUN 13 2020</t>
  </si>
  <si>
    <t>JUN 13 2022</t>
  </si>
  <si>
    <t>Re-issued 3 DLX as lost loyal customer of #192705</t>
  </si>
  <si>
    <t>Lost reported - re-issue loyal customer 202868  0/3 0n 13/06/20</t>
  </si>
  <si>
    <t>JUN 10 2022</t>
  </si>
  <si>
    <t>JUN 14 2020</t>
  </si>
  <si>
    <t>JUN 14 2022</t>
  </si>
  <si>
    <t>JUN 15 2020</t>
  </si>
  <si>
    <t>JUN 15 2022</t>
  </si>
  <si>
    <t>JUN 17 2020</t>
  </si>
  <si>
    <t>JUN 17 2022</t>
  </si>
  <si>
    <t>JUN 18 2020</t>
  </si>
  <si>
    <t>JUN 18 2022</t>
  </si>
  <si>
    <t>JUN 19 2020</t>
  </si>
  <si>
    <t>JUN 19 2022</t>
  </si>
  <si>
    <t>JUN 20 2020</t>
  </si>
  <si>
    <t>JUN 20 2022</t>
  </si>
  <si>
    <t>JUN 21 2020</t>
  </si>
  <si>
    <t>JUN 21 2022</t>
  </si>
  <si>
    <t>JUN 22 2020</t>
  </si>
  <si>
    <t>JUN 22 2022</t>
  </si>
  <si>
    <t>JUN 23 2020</t>
  </si>
  <si>
    <t>JUN 23 2022</t>
  </si>
  <si>
    <t>JUN 24 2020</t>
  </si>
  <si>
    <t>JUN 24 2022</t>
  </si>
  <si>
    <t>JUN 25 2020</t>
  </si>
  <si>
    <t>JUN 25 2022</t>
  </si>
  <si>
    <t>JUN 27 2020</t>
  </si>
  <si>
    <t>JUN 27 2022</t>
  </si>
  <si>
    <t>JUN 29 2020</t>
  </si>
  <si>
    <t>JUN 29 2022</t>
  </si>
  <si>
    <t>JUN 30 2020</t>
  </si>
  <si>
    <t>JUN 30 2022</t>
  </si>
  <si>
    <t xml:space="preserve">LESUS </t>
  </si>
  <si>
    <t>LEXUS 20-1</t>
  </si>
  <si>
    <t>LEXUS 20-2</t>
  </si>
  <si>
    <t>LEXUS 20-3</t>
  </si>
  <si>
    <t>LEXUS 20-4</t>
  </si>
  <si>
    <t>LEXUS 20-5</t>
  </si>
  <si>
    <t>LEXUS 20-6</t>
  </si>
  <si>
    <t>LEXUS 20-7</t>
  </si>
  <si>
    <t>LEXUS 20-8</t>
  </si>
  <si>
    <t>LEXUS 20-9</t>
  </si>
  <si>
    <t>LEXUS 20-10</t>
  </si>
  <si>
    <t>LEXUS 20-11</t>
  </si>
  <si>
    <t>LEXUS 20-12</t>
  </si>
  <si>
    <t>LEXUS 20-13</t>
  </si>
  <si>
    <t>LEXUS 20-14</t>
  </si>
  <si>
    <t>LEXUS 20-15</t>
  </si>
  <si>
    <t>LEXUS 20-16</t>
  </si>
  <si>
    <t>LEXUS 20-17</t>
  </si>
  <si>
    <t>LEXUS 20-18</t>
  </si>
  <si>
    <t>LEXUS 20-19</t>
  </si>
  <si>
    <t>LEXUS 20-20</t>
  </si>
  <si>
    <t>LEXUS 20-21</t>
  </si>
  <si>
    <t>LEXUS 20-22</t>
  </si>
  <si>
    <t>LEXUS 20-23</t>
  </si>
  <si>
    <t>LEXUS 20-24</t>
  </si>
  <si>
    <t>LEXUS 20-25</t>
  </si>
  <si>
    <t>LEXUS 20-26</t>
  </si>
  <si>
    <t>LEXUS 20-27</t>
  </si>
  <si>
    <t>LEXUS 20-28</t>
  </si>
  <si>
    <t>LEXUS 20-29</t>
  </si>
  <si>
    <t>LEXUS 20-30</t>
  </si>
  <si>
    <t>LEXUS 20-31</t>
  </si>
  <si>
    <t>LEXUS 20-32</t>
  </si>
  <si>
    <t>LEXUS 20-33</t>
  </si>
  <si>
    <t>LEXUS 20-34</t>
  </si>
  <si>
    <t>LEXUS 20-35</t>
  </si>
  <si>
    <t>LEXUS 20-36</t>
  </si>
  <si>
    <t>LEXUS 20-37</t>
  </si>
  <si>
    <t>LEXUS 20-38</t>
  </si>
  <si>
    <t>LEXUS 20-39</t>
  </si>
  <si>
    <t>LEXUS 20-40</t>
  </si>
  <si>
    <t>LEXUS 20-41</t>
  </si>
  <si>
    <t>LEXUS 20-42</t>
  </si>
  <si>
    <t>LEXUS 20-43</t>
  </si>
  <si>
    <t>LEXUS 20-44</t>
  </si>
  <si>
    <t>LEXUS 20-45</t>
  </si>
  <si>
    <t>LEXUS 20-46</t>
  </si>
  <si>
    <t>LEXUS 20-47</t>
  </si>
  <si>
    <t>LEXUS 20-48</t>
  </si>
  <si>
    <t>LEXUS 20-49</t>
  </si>
  <si>
    <t>LEXUS 20-50</t>
  </si>
  <si>
    <t>LEXUS 20-51</t>
  </si>
  <si>
    <t>LEXUS 20-52</t>
  </si>
  <si>
    <t>LEXUS 20-53</t>
  </si>
  <si>
    <t>LEXUS 20-54</t>
  </si>
  <si>
    <t>LEXUS 20-55</t>
  </si>
  <si>
    <t>LEXUS 20-56</t>
  </si>
  <si>
    <t>LEXUS 20-57</t>
  </si>
  <si>
    <t>LEXUS 20-58</t>
  </si>
  <si>
    <t>LEXUS 20-59</t>
  </si>
  <si>
    <t>LEXUS 20-60</t>
  </si>
  <si>
    <t>ISSUED 02/07/20 $3,000 SUV LEXUS Sutherland</t>
  </si>
  <si>
    <t>JUL 02 2020</t>
  </si>
  <si>
    <t>JUL 02 2022</t>
  </si>
  <si>
    <t>JUL 03 2020</t>
  </si>
  <si>
    <t>JUL 03 2022</t>
  </si>
  <si>
    <t>JUL 04 2020</t>
  </si>
  <si>
    <t>JUL 04 2022</t>
  </si>
  <si>
    <t>JUL 05 2020</t>
  </si>
  <si>
    <t>JUL 05 2022</t>
  </si>
  <si>
    <t>Unclaimed total</t>
  </si>
  <si>
    <t xml:space="preserve">Expired </t>
  </si>
  <si>
    <t>JUL 06 2020</t>
  </si>
  <si>
    <t>JUL 06 2022</t>
  </si>
  <si>
    <t>JUL 10 2020</t>
  </si>
  <si>
    <t>JUL 10 2022</t>
  </si>
  <si>
    <t>JUL 16 2022</t>
  </si>
  <si>
    <t>JUL 16 2020</t>
  </si>
  <si>
    <t>JUL 13 2020</t>
  </si>
  <si>
    <t>JUL 13 2022</t>
  </si>
  <si>
    <t>JUL 18 2020</t>
  </si>
  <si>
    <t>JUL 18 2022</t>
  </si>
  <si>
    <t>JUL 20 2020</t>
  </si>
  <si>
    <t>JUL 20 2022</t>
  </si>
  <si>
    <t>1 YEAR VALID</t>
  </si>
  <si>
    <t>SAMPLE</t>
  </si>
  <si>
    <t>JUL 22 2020</t>
  </si>
  <si>
    <t>JUL 22 2021</t>
  </si>
  <si>
    <t>JUL 24 2020</t>
  </si>
  <si>
    <t>JUL 24 2021</t>
  </si>
  <si>
    <t>JUL 29 2020</t>
    <phoneticPr fontId="1" type="noConversion"/>
  </si>
  <si>
    <t>JUL 29 2021</t>
    <phoneticPr fontId="1" type="noConversion"/>
  </si>
  <si>
    <t>JUL 30 2020</t>
    <phoneticPr fontId="1" type="noConversion"/>
  </si>
  <si>
    <t>JUL 30 2021</t>
    <phoneticPr fontId="1" type="noConversion"/>
  </si>
  <si>
    <t>AUG 04 2021</t>
    <phoneticPr fontId="1" type="noConversion"/>
  </si>
  <si>
    <t>AUG 11 2021</t>
    <phoneticPr fontId="1" type="noConversion"/>
  </si>
  <si>
    <t>AUG 15 2021</t>
    <phoneticPr fontId="1" type="noConversion"/>
  </si>
  <si>
    <t>AUG 13 2020</t>
    <phoneticPr fontId="1" type="noConversion"/>
  </si>
  <si>
    <t>AUG 19 2020</t>
    <phoneticPr fontId="1" type="noConversion"/>
  </si>
  <si>
    <t>AUG 19 2021</t>
    <phoneticPr fontId="1" type="noConversion"/>
  </si>
  <si>
    <t>AUG 20 2020</t>
    <phoneticPr fontId="1" type="noConversion"/>
  </si>
  <si>
    <t>UPSIZE PAID 21/08/20</t>
    <phoneticPr fontId="1" type="noConversion"/>
  </si>
  <si>
    <t>AUG 21 2020</t>
    <phoneticPr fontId="1" type="noConversion"/>
  </si>
  <si>
    <t>AUG 22 2021</t>
    <phoneticPr fontId="1" type="noConversion"/>
  </si>
  <si>
    <t>AUG 23 2020</t>
    <phoneticPr fontId="1" type="noConversion"/>
  </si>
  <si>
    <t>AUG 24 2020</t>
    <phoneticPr fontId="1" type="noConversion"/>
  </si>
  <si>
    <t>AUG 26 2021</t>
    <phoneticPr fontId="1" type="noConversion"/>
  </si>
  <si>
    <t>AUG 29 2020</t>
    <phoneticPr fontId="1" type="noConversion"/>
  </si>
  <si>
    <t>AUG 29 2021</t>
    <phoneticPr fontId="1" type="noConversion"/>
  </si>
  <si>
    <t>SEP 02 2020</t>
    <phoneticPr fontId="1" type="noConversion"/>
  </si>
  <si>
    <t>SEP 03 2020</t>
    <phoneticPr fontId="1" type="noConversion"/>
  </si>
  <si>
    <t>SEP 04 2021</t>
    <phoneticPr fontId="1" type="noConversion"/>
  </si>
  <si>
    <t>SEP 08 2020</t>
    <phoneticPr fontId="1" type="noConversion"/>
  </si>
  <si>
    <t>SEP 17 2021</t>
    <phoneticPr fontId="1" type="noConversion"/>
  </si>
  <si>
    <t>SEP 29 2021</t>
    <phoneticPr fontId="1" type="noConversion"/>
  </si>
  <si>
    <t>APR 01 2021</t>
    <phoneticPr fontId="1" type="noConversion"/>
  </si>
  <si>
    <t>Expired /Returned</t>
    <phoneticPr fontId="1" type="noConversion"/>
  </si>
  <si>
    <t>Valid 6m from</t>
    <phoneticPr fontId="1" type="noConversion"/>
  </si>
  <si>
    <t>somewhere here</t>
    <phoneticPr fontId="1" type="noConversion"/>
  </si>
  <si>
    <t>OCT 08 2020</t>
    <phoneticPr fontId="1" type="noConversion"/>
  </si>
  <si>
    <t>OCT 11 2020</t>
    <phoneticPr fontId="1" type="noConversion"/>
  </si>
  <si>
    <t>OCT 12 2020</t>
    <phoneticPr fontId="1" type="noConversion"/>
  </si>
  <si>
    <t>OCT 22 2020</t>
    <phoneticPr fontId="1" type="noConversion"/>
  </si>
  <si>
    <t>OCT 23 2020</t>
    <phoneticPr fontId="1" type="noConversion"/>
  </si>
  <si>
    <t>OCT 24 2020</t>
    <phoneticPr fontId="1" type="noConversion"/>
  </si>
  <si>
    <t>Lost Jenny Cheung</t>
    <phoneticPr fontId="1" type="noConversion"/>
  </si>
  <si>
    <t>0413 570 413</t>
    <phoneticPr fontId="1" type="noConversion"/>
  </si>
  <si>
    <t>updated on 04/11/2020</t>
    <phoneticPr fontId="1" type="noConversion"/>
  </si>
  <si>
    <t>MAY 03 2021</t>
    <phoneticPr fontId="1" type="noConversion"/>
  </si>
  <si>
    <t>NOV 07 2020</t>
    <phoneticPr fontId="1" type="noConversion"/>
  </si>
  <si>
    <t>CUSTOMER LOST GV REPLACEMENT ID ON 02/12</t>
    <phoneticPr fontId="1" type="noConversion"/>
  </si>
  <si>
    <t>NOV 12 2021</t>
    <phoneticPr fontId="1" type="noConversion"/>
  </si>
  <si>
    <t>7th</t>
    <phoneticPr fontId="1" type="noConversion"/>
  </si>
  <si>
    <t>8th</t>
    <phoneticPr fontId="1" type="noConversion"/>
  </si>
  <si>
    <t>GA 에서 7/11 ,5/12USE</t>
  </si>
  <si>
    <t>7th</t>
    <phoneticPr fontId="1" type="noConversion"/>
  </si>
  <si>
    <t>use 04-03-2021 x 3</t>
    <phoneticPr fontId="1" type="noConversion"/>
  </si>
  <si>
    <t>4th GA use 4-3/21</t>
    <phoneticPr fontId="1" type="noConversion"/>
  </si>
  <si>
    <t>6/4일자에 5/6사용을 202814로 잘못 기입</t>
    <phoneticPr fontId="1" type="noConversion"/>
  </si>
  <si>
    <t>8th</t>
    <phoneticPr fontId="1" type="noConversion"/>
  </si>
  <si>
    <t>7th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</si>
</sst>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24" formatCode="\$#,##0_);[Red]\(\$#,##0\)"/>
    <numFmt numFmtId="176" formatCode="mm&quot;월&quot;\ dd&quot;일&quot;"/>
    <numFmt numFmtId="177" formatCode="\$#,##0"/>
    <numFmt numFmtId="178" formatCode="[$$-C09]#,##0"/>
    <numFmt numFmtId="179" formatCode="[$$-C09]#,##0.00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11"/>
      <color theme="8" tint="0.3999755851924192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206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5" borderId="0" xfId="0" applyFill="1" applyAlignment="1">
      <alignment horizontal="center" vertical="center"/>
    </xf>
    <xf numFmtId="0" fontId="0" fillId="6" borderId="0" xfId="0" applyFont="1" applyFill="1">
      <alignment vertical="center"/>
    </xf>
    <xf numFmtId="0" fontId="0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6" borderId="0" xfId="0" applyFill="1">
      <alignment vertical="center"/>
    </xf>
    <xf numFmtId="0" fontId="0" fillId="6" borderId="0" xfId="0" applyFill="1" applyAlignment="1">
      <alignment horizontal="center" vertical="center"/>
    </xf>
    <xf numFmtId="16" fontId="0" fillId="6" borderId="0" xfId="0" applyNumberFormat="1" applyFill="1" applyAlignment="1">
      <alignment horizontal="center" vertical="center"/>
    </xf>
    <xf numFmtId="0" fontId="2" fillId="6" borderId="0" xfId="1" applyFill="1" applyAlignment="1" applyProtection="1">
      <alignment horizontal="center" vertical="center"/>
    </xf>
    <xf numFmtId="0" fontId="0" fillId="7" borderId="0" xfId="0" applyFill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>
      <alignment vertical="center"/>
    </xf>
    <xf numFmtId="0" fontId="0" fillId="8" borderId="0" xfId="0" applyFill="1" applyAlignment="1">
      <alignment horizontal="center" vertical="center"/>
    </xf>
    <xf numFmtId="16" fontId="0" fillId="7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9" borderId="0" xfId="0" applyFill="1">
      <alignment vertical="center"/>
    </xf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horizontal="right" vertical="center"/>
    </xf>
    <xf numFmtId="0" fontId="4" fillId="0" borderId="0" xfId="0" applyFont="1">
      <alignment vertical="center"/>
    </xf>
    <xf numFmtId="0" fontId="0" fillId="7" borderId="0" xfId="0" applyFill="1" applyAlignment="1">
      <alignment horizontal="right" vertical="center"/>
    </xf>
    <xf numFmtId="176" fontId="0" fillId="7" borderId="0" xfId="0" applyNumberFormat="1" applyFill="1">
      <alignment vertical="center"/>
    </xf>
    <xf numFmtId="0" fontId="0" fillId="8" borderId="0" xfId="0" applyFill="1" applyAlignment="1">
      <alignment horizontal="right" vertical="center"/>
    </xf>
    <xf numFmtId="16" fontId="0" fillId="9" borderId="0" xfId="0" applyNumberFormat="1" applyFill="1">
      <alignment vertical="center"/>
    </xf>
    <xf numFmtId="16" fontId="0" fillId="7" borderId="0" xfId="0" applyNumberFormat="1" applyFill="1">
      <alignment vertical="center"/>
    </xf>
    <xf numFmtId="0" fontId="0" fillId="7" borderId="0" xfId="0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0" borderId="0" xfId="0" applyFill="1" applyAlignment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24" fontId="0" fillId="0" borderId="0" xfId="0" applyNumberFormat="1" applyFill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4" fontId="0" fillId="0" borderId="0" xfId="0" applyNumberFormat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6" fontId="0" fillId="8" borderId="0" xfId="0" applyNumberFormat="1" applyFill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5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0" borderId="0" xfId="0" applyFill="1">
      <alignment vertical="center"/>
    </xf>
    <xf numFmtId="0" fontId="5" fillId="0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 shrinkToFit="1"/>
    </xf>
    <xf numFmtId="1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16" fontId="0" fillId="2" borderId="0" xfId="0" applyNumberFormat="1" applyFill="1">
      <alignment vertical="center"/>
    </xf>
    <xf numFmtId="176" fontId="0" fillId="2" borderId="0" xfId="0" applyNumberFormat="1" applyFill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5" fontId="0" fillId="0" borderId="0" xfId="0" applyNumberFormat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5" fontId="0" fillId="8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6" fillId="7" borderId="0" xfId="0" applyFont="1" applyFill="1">
      <alignment vertical="center"/>
    </xf>
    <xf numFmtId="0" fontId="5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24" fontId="0" fillId="2" borderId="0" xfId="0" applyNumberFormat="1" applyFill="1" applyAlignment="1">
      <alignment horizontal="center" vertical="center"/>
    </xf>
    <xf numFmtId="24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7" borderId="0" xfId="0" applyNumberFormat="1" applyFill="1">
      <alignment vertical="center"/>
    </xf>
    <xf numFmtId="177" fontId="0" fillId="7" borderId="0" xfId="0" applyNumberFormat="1" applyFill="1" applyAlignment="1">
      <alignment horizontal="center" vertical="center"/>
    </xf>
    <xf numFmtId="177" fontId="0" fillId="7" borderId="0" xfId="0" applyNumberFormat="1" applyFill="1" applyAlignment="1">
      <alignment horizontal="right" vertical="center"/>
    </xf>
    <xf numFmtId="177" fontId="0" fillId="0" borderId="0" xfId="0" applyNumberFormat="1" applyFill="1" applyAlignment="1">
      <alignment horizontal="center" vertical="center"/>
    </xf>
    <xf numFmtId="177" fontId="0" fillId="0" borderId="0" xfId="0" applyNumberFormat="1" applyFill="1">
      <alignment vertical="center"/>
    </xf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0" applyNumberFormat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177" fontId="0" fillId="4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1" borderId="0" xfId="0" applyFill="1">
      <alignment vertical="center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2" borderId="0" xfId="0" applyFill="1">
      <alignment vertical="center"/>
    </xf>
    <xf numFmtId="0" fontId="0" fillId="12" borderId="0" xfId="0" applyFill="1" applyAlignment="1">
      <alignment horizontal="center" vertical="center"/>
    </xf>
    <xf numFmtId="0" fontId="0" fillId="12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5" borderId="0" xfId="0" applyFill="1">
      <alignment vertical="center"/>
    </xf>
    <xf numFmtId="0" fontId="0" fillId="5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0" borderId="0" xfId="0" applyNumberFormat="1">
      <alignment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176" fontId="0" fillId="0" borderId="0" xfId="0" applyNumberFormat="1" applyFill="1">
      <alignment vertical="center"/>
    </xf>
    <xf numFmtId="0" fontId="0" fillId="2" borderId="0" xfId="0" applyFill="1" applyAlignment="1">
      <alignment horizontal="center" vertical="center"/>
    </xf>
    <xf numFmtId="15" fontId="0" fillId="2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5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9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9" fillId="0" borderId="0" xfId="0" applyFont="1" applyFill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10" fillId="7" borderId="0" xfId="0" applyFont="1" applyFill="1">
      <alignment vertical="center"/>
    </xf>
    <xf numFmtId="0" fontId="10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right" vertical="center"/>
    </xf>
    <xf numFmtId="0" fontId="11" fillId="7" borderId="0" xfId="0" applyFont="1" applyFill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5" fillId="2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0" fontId="12" fillId="2" borderId="0" xfId="0" applyFont="1" applyFill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176" fontId="0" fillId="10" borderId="1" xfId="0" applyNumberFormat="1" applyFill="1" applyBorder="1">
      <alignment vertical="center"/>
    </xf>
    <xf numFmtId="0" fontId="0" fillId="10" borderId="1" xfId="0" applyFill="1" applyBorder="1">
      <alignment vertical="center"/>
    </xf>
    <xf numFmtId="24" fontId="0" fillId="10" borderId="1" xfId="0" applyNumberFormat="1" applyFill="1" applyBorder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176" fontId="0" fillId="0" borderId="0" xfId="0" applyNumberFormat="1" applyFill="1" applyBorder="1">
      <alignment vertical="center"/>
    </xf>
    <xf numFmtId="0" fontId="0" fillId="0" borderId="0" xfId="0" applyFill="1" applyBorder="1">
      <alignment vertical="center"/>
    </xf>
    <xf numFmtId="24" fontId="0" fillId="0" borderId="0" xfId="0" applyNumberFormat="1" applyFill="1" applyBorder="1">
      <alignment vertical="center"/>
    </xf>
    <xf numFmtId="176" fontId="0" fillId="10" borderId="0" xfId="0" applyNumberFormat="1" applyFill="1">
      <alignment vertical="center"/>
    </xf>
    <xf numFmtId="24" fontId="0" fillId="10" borderId="0" xfId="0" applyNumberFormat="1" applyFill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176" fontId="0" fillId="0" borderId="1" xfId="0" applyNumberFormat="1" applyFill="1" applyBorder="1">
      <alignment vertical="center"/>
    </xf>
    <xf numFmtId="0" fontId="0" fillId="0" borderId="1" xfId="0" applyFill="1" applyBorder="1">
      <alignment vertical="center"/>
    </xf>
    <xf numFmtId="24" fontId="0" fillId="0" borderId="1" xfId="0" applyNumberFormat="1" applyFill="1" applyBorder="1">
      <alignment vertical="center"/>
    </xf>
    <xf numFmtId="0" fontId="0" fillId="7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176" fontId="0" fillId="0" borderId="6" xfId="0" applyNumberFormat="1" applyFill="1" applyBorder="1">
      <alignment vertical="center"/>
    </xf>
    <xf numFmtId="0" fontId="0" fillId="0" borderId="6" xfId="0" applyFill="1" applyBorder="1">
      <alignment vertical="center"/>
    </xf>
    <xf numFmtId="24" fontId="0" fillId="0" borderId="6" xfId="0" applyNumberFormat="1" applyFill="1" applyBorder="1">
      <alignment vertical="center"/>
    </xf>
    <xf numFmtId="0" fontId="10" fillId="0" borderId="8" xfId="0" applyFont="1" applyFill="1" applyBorder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5" fillId="0" borderId="0" xfId="0" applyFont="1" applyFill="1">
      <alignment vertical="center"/>
    </xf>
    <xf numFmtId="0" fontId="5" fillId="0" borderId="0" xfId="0" applyFont="1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16" fontId="0" fillId="0" borderId="0" xfId="0" applyNumberFormat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13" borderId="0" xfId="0" applyFill="1">
      <alignment vertical="center"/>
    </xf>
    <xf numFmtId="0" fontId="0" fillId="13" borderId="0" xfId="0" applyFill="1" applyAlignment="1">
      <alignment horizontal="center" vertical="center"/>
    </xf>
    <xf numFmtId="0" fontId="0" fillId="13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10" borderId="0" xfId="0" applyFill="1" applyAlignment="1">
      <alignment horizontal="center" vertical="center"/>
    </xf>
    <xf numFmtId="16" fontId="0" fillId="10" borderId="0" xfId="0" applyNumberFormat="1" applyFill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0" borderId="0" xfId="0" applyFill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14" borderId="0" xfId="0" applyFill="1">
      <alignment vertical="center"/>
    </xf>
    <xf numFmtId="0" fontId="0" fillId="14" borderId="0" xfId="0" applyFill="1" applyAlignment="1">
      <alignment horizontal="center" vertical="center"/>
    </xf>
    <xf numFmtId="0" fontId="0" fillId="14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12" borderId="0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10" fillId="2" borderId="0" xfId="0" applyFont="1" applyFill="1">
      <alignment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15" borderId="0" xfId="0" applyFill="1">
      <alignment vertical="center"/>
    </xf>
    <xf numFmtId="0" fontId="0" fillId="15" borderId="0" xfId="0" applyFill="1" applyAlignment="1">
      <alignment horizontal="center" vertical="center"/>
    </xf>
    <xf numFmtId="0" fontId="0" fillId="15" borderId="0" xfId="0" applyFill="1" applyAlignment="1">
      <alignment horizontal="right" vertical="center"/>
    </xf>
    <xf numFmtId="16" fontId="0" fillId="15" borderId="0" xfId="0" applyNumberFormat="1" applyFill="1">
      <alignment vertical="center"/>
    </xf>
    <xf numFmtId="0" fontId="0" fillId="10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12" borderId="0" xfId="0" applyFont="1" applyFill="1">
      <alignment vertical="center"/>
    </xf>
    <xf numFmtId="0" fontId="0" fillId="12" borderId="0" xfId="0" applyFont="1" applyFill="1" applyAlignment="1">
      <alignment horizontal="center" vertical="center"/>
    </xf>
    <xf numFmtId="0" fontId="0" fillId="12" borderId="0" xfId="0" applyFont="1" applyFill="1" applyAlignment="1">
      <alignment horizontal="right" vertical="center"/>
    </xf>
    <xf numFmtId="0" fontId="13" fillId="12" borderId="0" xfId="0" applyFont="1" applyFill="1">
      <alignment vertical="center"/>
    </xf>
    <xf numFmtId="0" fontId="0" fillId="7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16" borderId="0" xfId="0" applyFill="1">
      <alignment vertical="center"/>
    </xf>
    <xf numFmtId="0" fontId="0" fillId="16" borderId="0" xfId="0" applyFill="1" applyAlignment="1">
      <alignment horizontal="center" vertical="center"/>
    </xf>
    <xf numFmtId="0" fontId="0" fillId="16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10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5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5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11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10" borderId="0" xfId="0" applyFill="1" applyAlignment="1">
      <alignment horizontal="center" vertical="center"/>
    </xf>
    <xf numFmtId="16" fontId="0" fillId="0" borderId="0" xfId="0" applyNumberFormat="1" applyFill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8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5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16" fontId="0" fillId="5" borderId="0" xfId="0" applyNumberFormat="1" applyFill="1" applyAlignment="1">
      <alignment vertical="center"/>
    </xf>
    <xf numFmtId="16" fontId="0" fillId="0" borderId="0" xfId="0" applyNumberFormat="1" applyFill="1" applyAlignment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17" borderId="0" xfId="0" applyFill="1">
      <alignment vertical="center"/>
    </xf>
    <xf numFmtId="0" fontId="0" fillId="17" borderId="0" xfId="0" applyFill="1" applyAlignment="1">
      <alignment horizontal="center" vertical="center"/>
    </xf>
    <xf numFmtId="0" fontId="0" fillId="17" borderId="0" xfId="0" applyFill="1" applyAlignment="1">
      <alignment horizontal="right" vertical="center"/>
    </xf>
    <xf numFmtId="16" fontId="0" fillId="17" borderId="0" xfId="0" applyNumberFormat="1" applyFill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8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18" borderId="0" xfId="0" applyFill="1">
      <alignment vertical="center"/>
    </xf>
    <xf numFmtId="0" fontId="0" fillId="18" borderId="0" xfId="0" applyFill="1" applyAlignment="1">
      <alignment horizontal="center" vertical="center"/>
    </xf>
    <xf numFmtId="0" fontId="0" fillId="18" borderId="0" xfId="0" applyFill="1" applyAlignment="1">
      <alignment horizontal="right" vertical="center"/>
    </xf>
    <xf numFmtId="16" fontId="0" fillId="18" borderId="0" xfId="0" applyNumberFormat="1" applyFill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8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4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8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10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178" fontId="0" fillId="2" borderId="0" xfId="0" applyNumberFormat="1" applyFill="1">
      <alignment vertical="center"/>
    </xf>
    <xf numFmtId="10" fontId="0" fillId="2" borderId="0" xfId="0" applyNumberFormat="1" applyFill="1">
      <alignment vertical="center"/>
    </xf>
    <xf numFmtId="0" fontId="0" fillId="2" borderId="1" xfId="0" applyFill="1" applyBorder="1">
      <alignment vertical="center"/>
    </xf>
    <xf numFmtId="178" fontId="0" fillId="0" borderId="0" xfId="0" applyNumberFormat="1">
      <alignment vertical="center"/>
    </xf>
    <xf numFmtId="178" fontId="0" fillId="0" borderId="0" xfId="0" applyNumberFormat="1" applyFill="1">
      <alignment vertical="center"/>
    </xf>
    <xf numFmtId="10" fontId="0" fillId="0" borderId="0" xfId="0" applyNumberFormat="1" applyFill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9" xfId="0" applyBorder="1">
      <alignment vertical="center"/>
    </xf>
    <xf numFmtId="178" fontId="0" fillId="0" borderId="9" xfId="0" applyNumberFormat="1" applyBorder="1">
      <alignment vertical="center"/>
    </xf>
    <xf numFmtId="0" fontId="0" fillId="0" borderId="1" xfId="0" applyBorder="1">
      <alignment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178" fontId="0" fillId="0" borderId="0" xfId="0" applyNumberFormat="1" applyBorder="1">
      <alignment vertical="center"/>
    </xf>
    <xf numFmtId="0" fontId="0" fillId="8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16" fontId="0" fillId="16" borderId="0" xfId="0" applyNumberFormat="1" applyFill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179" fontId="0" fillId="0" borderId="0" xfId="0" applyNumberFormat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Border="1">
      <alignment vertical="center"/>
    </xf>
    <xf numFmtId="178" fontId="0" fillId="2" borderId="1" xfId="0" applyNumberFormat="1" applyFill="1" applyBorder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10" borderId="0" xfId="0" applyFill="1" applyAlignment="1">
      <alignment horizontal="center" vertical="center"/>
    </xf>
    <xf numFmtId="0" fontId="6" fillId="10" borderId="0" xfId="0" applyFont="1" applyFill="1">
      <alignment vertical="center"/>
    </xf>
    <xf numFmtId="16" fontId="10" fillId="7" borderId="0" xfId="0" applyNumberFormat="1" applyFont="1" applyFill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10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0" fillId="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right" vertical="center"/>
    </xf>
    <xf numFmtId="16" fontId="0" fillId="4" borderId="0" xfId="0" applyNumberFormat="1" applyFill="1">
      <alignment vertical="center"/>
    </xf>
    <xf numFmtId="0" fontId="0" fillId="8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16" fontId="11" fillId="7" borderId="0" xfId="0" applyNumberFormat="1" applyFont="1" applyFill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19" borderId="0" xfId="0" applyFill="1">
      <alignment vertical="center"/>
    </xf>
    <xf numFmtId="0" fontId="0" fillId="19" borderId="0" xfId="0" applyFill="1" applyAlignment="1">
      <alignment horizontal="center" vertical="center"/>
    </xf>
    <xf numFmtId="0" fontId="0" fillId="19" borderId="0" xfId="0" applyFill="1" applyAlignment="1">
      <alignment horizontal="right" vertical="center"/>
    </xf>
    <xf numFmtId="16" fontId="0" fillId="19" borderId="0" xfId="0" applyNumberFormat="1" applyFill="1">
      <alignment vertical="center"/>
    </xf>
    <xf numFmtId="16" fontId="0" fillId="3" borderId="0" xfId="0" applyNumberFormat="1" applyFill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20" borderId="0" xfId="0" applyFill="1">
      <alignment vertic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right" vertical="center"/>
    </xf>
    <xf numFmtId="16" fontId="0" fillId="20" borderId="0" xfId="0" applyNumberFormat="1" applyFill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16" fontId="0" fillId="14" borderId="0" xfId="0" applyNumberFormat="1" applyFill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21" borderId="0" xfId="0" applyFill="1">
      <alignment vertic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right" vertical="center"/>
    </xf>
    <xf numFmtId="16" fontId="0" fillId="21" borderId="0" xfId="0" applyNumberFormat="1" applyFill="1">
      <alignment vertical="center"/>
    </xf>
    <xf numFmtId="0" fontId="0" fillId="2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5" borderId="0" xfId="0" applyFill="1" applyAlignment="1">
      <alignment horizontal="center" vertical="center"/>
    </xf>
    <xf numFmtId="16" fontId="0" fillId="5" borderId="0" xfId="0" applyNumberFormat="1" applyFill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14" fontId="0" fillId="21" borderId="0" xfId="0" applyNumberFormat="1" applyFill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 vertical="center"/>
    </xf>
    <xf numFmtId="0" fontId="0" fillId="22" borderId="0" xfId="0" applyFill="1">
      <alignment vertical="center"/>
    </xf>
    <xf numFmtId="0" fontId="0" fillId="22" borderId="0" xfId="0" applyFill="1" applyAlignment="1">
      <alignment horizontal="center" vertical="center"/>
    </xf>
    <xf numFmtId="0" fontId="0" fillId="22" borderId="0" xfId="0" applyFill="1" applyAlignment="1">
      <alignment horizontal="right" vertical="center"/>
    </xf>
    <xf numFmtId="16" fontId="0" fillId="22" borderId="0" xfId="0" applyNumberFormat="1" applyFill="1">
      <alignment vertical="center"/>
    </xf>
    <xf numFmtId="0" fontId="0" fillId="2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23" borderId="0" xfId="0" applyFill="1">
      <alignment vertical="center"/>
    </xf>
    <xf numFmtId="0" fontId="0" fillId="23" borderId="0" xfId="0" applyFill="1" applyAlignment="1">
      <alignment horizontal="center" vertical="center"/>
    </xf>
    <xf numFmtId="0" fontId="0" fillId="23" borderId="0" xfId="0" applyFill="1" applyAlignment="1">
      <alignment horizontal="right" vertical="center"/>
    </xf>
    <xf numFmtId="16" fontId="0" fillId="23" borderId="0" xfId="0" applyNumberFormat="1" applyFill="1">
      <alignment vertical="center"/>
    </xf>
    <xf numFmtId="0" fontId="0" fillId="24" borderId="0" xfId="0" applyFill="1">
      <alignment vertical="center"/>
    </xf>
    <xf numFmtId="0" fontId="0" fillId="24" borderId="0" xfId="0" applyFill="1" applyAlignment="1">
      <alignment horizontal="center" vertical="center"/>
    </xf>
    <xf numFmtId="0" fontId="0" fillId="24" borderId="0" xfId="0" applyFill="1" applyAlignment="1">
      <alignment horizontal="right" vertical="center"/>
    </xf>
    <xf numFmtId="16" fontId="0" fillId="24" borderId="0" xfId="0" applyNumberFormat="1" applyFill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25" borderId="0" xfId="0" applyFill="1">
      <alignment vertical="center"/>
    </xf>
    <xf numFmtId="0" fontId="0" fillId="25" borderId="0" xfId="0" applyFill="1" applyAlignment="1">
      <alignment horizontal="center" vertical="center"/>
    </xf>
    <xf numFmtId="0" fontId="0" fillId="25" borderId="0" xfId="0" applyFill="1" applyAlignment="1">
      <alignment horizontal="right" vertical="center"/>
    </xf>
    <xf numFmtId="16" fontId="0" fillId="25" borderId="0" xfId="0" applyNumberFormat="1" applyFill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14" fontId="0" fillId="4" borderId="0" xfId="0" applyNumberFormat="1" applyFill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26" borderId="0" xfId="0" applyFill="1">
      <alignment vertical="center"/>
    </xf>
    <xf numFmtId="0" fontId="0" fillId="26" borderId="0" xfId="0" applyFill="1" applyAlignment="1">
      <alignment horizontal="center" vertical="center"/>
    </xf>
    <xf numFmtId="0" fontId="0" fillId="26" borderId="0" xfId="0" applyFill="1" applyAlignment="1">
      <alignment horizontal="right" vertical="center"/>
    </xf>
    <xf numFmtId="16" fontId="0" fillId="26" borderId="0" xfId="0" applyNumberFormat="1" applyFill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14" fontId="0" fillId="20" borderId="0" xfId="0" applyNumberFormat="1" applyFill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7" borderId="0" xfId="0" applyFill="1" applyAlignment="1">
      <alignment horizontal="right" vertical="center"/>
    </xf>
    <xf numFmtId="0" fontId="0" fillId="2" borderId="0" xfId="0" applyFill="1" applyAlignment="1">
      <alignment horizontal="left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76" fontId="0" fillId="10" borderId="1" xfId="0" applyNumberFormat="1" applyFill="1" applyBorder="1" applyAlignment="1">
      <alignment horizontal="center" vertical="center"/>
    </xf>
    <xf numFmtId="24" fontId="0" fillId="10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1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0" borderId="0" xfId="0" applyFill="1" applyAlignment="1">
      <alignment vertical="center"/>
    </xf>
    <xf numFmtId="16" fontId="0" fillId="0" borderId="0" xfId="0" applyNumberFormat="1" applyAlignment="1">
      <alignment horizontal="center" vertical="center"/>
    </xf>
    <xf numFmtId="0" fontId="0" fillId="10" borderId="0" xfId="0" applyFill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7" xfId="0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ichelleb@eapro.com.a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82"/>
  <sheetViews>
    <sheetView zoomScale="145" zoomScaleNormal="145" workbookViewId="0">
      <pane xSplit="1" ySplit="5" topLeftCell="B6" activePane="bottomRight" state="frozen"/>
      <selection pane="topRight" activeCell="B1" sqref="B1"/>
      <selection pane="bottomLeft" activeCell="A4" sqref="A4"/>
      <selection pane="bottomRight" activeCell="M6" sqref="M6"/>
    </sheetView>
  </sheetViews>
  <sheetFormatPr defaultRowHeight="17.399999999999999" x14ac:dyDescent="0.4"/>
  <cols>
    <col min="1" max="1" width="13.3984375" customWidth="1"/>
    <col min="2" max="2" width="6.59765625" style="3" customWidth="1"/>
    <col min="3" max="3" width="8.09765625" style="3" customWidth="1"/>
    <col min="4" max="4" width="3" style="3" customWidth="1"/>
    <col min="5" max="5" width="3.09765625" style="3" customWidth="1"/>
    <col min="6" max="6" width="2.8984375" style="3" customWidth="1"/>
    <col min="7" max="7" width="3.09765625" style="3" customWidth="1"/>
    <col min="8" max="8" width="3.19921875" style="3" customWidth="1"/>
    <col min="9" max="9" width="3" style="3" customWidth="1"/>
    <col min="10" max="10" width="8.3984375" customWidth="1"/>
    <col min="11" max="11" width="5.3984375" customWidth="1"/>
    <col min="12" max="12" width="16.3984375" style="3" customWidth="1"/>
    <col min="13" max="14" width="10.19921875" style="3" bestFit="1" customWidth="1"/>
    <col min="15" max="15" width="12.09765625" style="3" customWidth="1"/>
    <col min="16" max="16" width="9.59765625" style="3" customWidth="1"/>
    <col min="17" max="17" width="23.59765625" style="3" customWidth="1"/>
    <col min="18" max="18" width="20.3984375" customWidth="1"/>
  </cols>
  <sheetData>
    <row r="1" spans="1:17" x14ac:dyDescent="0.4">
      <c r="A1" s="5"/>
      <c r="B1" s="6"/>
      <c r="C1" s="6" t="s">
        <v>45</v>
      </c>
      <c r="D1" s="6"/>
      <c r="E1" s="6"/>
      <c r="F1" s="6"/>
      <c r="G1" s="6"/>
      <c r="H1" s="6"/>
      <c r="I1" s="6"/>
      <c r="J1" s="5"/>
      <c r="K1" s="5"/>
      <c r="L1" s="6" t="s">
        <v>45</v>
      </c>
      <c r="M1" s="277" t="s">
        <v>1488</v>
      </c>
      <c r="N1" s="6"/>
      <c r="O1" s="6"/>
      <c r="P1" s="6"/>
      <c r="Q1" s="6"/>
    </row>
    <row r="2" spans="1:17" x14ac:dyDescent="0.4">
      <c r="A2" s="5" t="s">
        <v>55</v>
      </c>
      <c r="B2" s="6"/>
      <c r="C2" s="6" t="s">
        <v>46</v>
      </c>
      <c r="D2" s="6" t="s">
        <v>37</v>
      </c>
      <c r="E2" s="6"/>
      <c r="F2" s="6"/>
      <c r="G2" s="6"/>
      <c r="H2" s="6"/>
      <c r="I2" s="6"/>
      <c r="J2" s="5"/>
      <c r="K2" s="5"/>
      <c r="L2" s="6" t="s">
        <v>51</v>
      </c>
      <c r="M2" s="6">
        <f>SUM(L6:L80)</f>
        <v>585</v>
      </c>
      <c r="N2" s="6"/>
      <c r="O2" s="6"/>
      <c r="P2" s="6"/>
      <c r="Q2" s="6"/>
    </row>
    <row r="3" spans="1:17" x14ac:dyDescent="0.4">
      <c r="C3" s="246">
        <f>SUM(C6:C80)</f>
        <v>17750</v>
      </c>
      <c r="L3" s="246">
        <f>SUM(L6:L79)</f>
        <v>585</v>
      </c>
      <c r="M3" s="263">
        <f>SUM(L3/C3)</f>
        <v>3.2957746478873243E-2</v>
      </c>
    </row>
    <row r="4" spans="1:17" x14ac:dyDescent="0.4">
      <c r="A4" s="1"/>
      <c r="B4" s="4" t="s">
        <v>47</v>
      </c>
      <c r="C4" s="4" t="s">
        <v>43</v>
      </c>
      <c r="D4" s="4"/>
      <c r="E4" s="4"/>
      <c r="F4" s="4"/>
      <c r="G4" s="4"/>
      <c r="H4" s="4"/>
      <c r="I4" s="4"/>
      <c r="J4" s="1" t="s">
        <v>48</v>
      </c>
      <c r="K4" s="1" t="s">
        <v>50</v>
      </c>
      <c r="L4" s="4"/>
      <c r="M4" s="4"/>
      <c r="N4" s="4"/>
      <c r="O4" s="4" t="s">
        <v>52</v>
      </c>
      <c r="P4" s="4" t="s">
        <v>54</v>
      </c>
      <c r="Q4" s="4"/>
    </row>
    <row r="5" spans="1:17" s="2" customFormat="1" x14ac:dyDescent="0.4">
      <c r="A5" s="1" t="s">
        <v>0</v>
      </c>
      <c r="B5" s="4" t="s">
        <v>44</v>
      </c>
      <c r="C5" s="4" t="s">
        <v>44</v>
      </c>
      <c r="D5" s="2032" t="s">
        <v>5</v>
      </c>
      <c r="E5" s="2032"/>
      <c r="F5" s="2032"/>
      <c r="G5" s="2032"/>
      <c r="H5" s="2032"/>
      <c r="I5" s="2032"/>
      <c r="J5" s="1" t="s">
        <v>49</v>
      </c>
      <c r="K5" s="1" t="s">
        <v>51</v>
      </c>
      <c r="L5" s="4" t="s">
        <v>1</v>
      </c>
      <c r="M5" s="4" t="s">
        <v>3</v>
      </c>
      <c r="N5" s="4" t="s">
        <v>4</v>
      </c>
      <c r="O5" s="4" t="s">
        <v>53</v>
      </c>
      <c r="P5" s="4"/>
      <c r="Q5" s="4" t="s">
        <v>35</v>
      </c>
    </row>
    <row r="6" spans="1:17" x14ac:dyDescent="0.4">
      <c r="A6" s="1">
        <v>335</v>
      </c>
      <c r="B6" s="195">
        <v>45</v>
      </c>
      <c r="C6" s="195">
        <v>225</v>
      </c>
      <c r="D6" s="195">
        <v>0</v>
      </c>
      <c r="E6" s="195">
        <v>0</v>
      </c>
      <c r="F6" s="195">
        <v>0</v>
      </c>
      <c r="G6" s="195">
        <v>0</v>
      </c>
      <c r="H6" s="195">
        <v>0</v>
      </c>
      <c r="I6" s="195">
        <v>1</v>
      </c>
      <c r="J6" s="1">
        <f>SUM(D6:I6)</f>
        <v>1</v>
      </c>
      <c r="K6" s="1">
        <f>SUM(J6-1)</f>
        <v>0</v>
      </c>
      <c r="L6" s="195">
        <f>SUM(K6*B6)</f>
        <v>0</v>
      </c>
      <c r="M6" s="195" t="s">
        <v>2</v>
      </c>
      <c r="N6" s="195" t="s">
        <v>6</v>
      </c>
    </row>
    <row r="7" spans="1:17" x14ac:dyDescent="0.4">
      <c r="A7" s="9">
        <v>355</v>
      </c>
      <c r="B7" s="10">
        <v>100</v>
      </c>
      <c r="C7" s="10">
        <v>100</v>
      </c>
      <c r="D7" s="10">
        <v>0</v>
      </c>
      <c r="E7" s="10"/>
      <c r="F7" s="10"/>
      <c r="G7" s="10"/>
      <c r="H7" s="10"/>
      <c r="I7" s="10"/>
      <c r="J7" s="9">
        <f t="shared" ref="J7:J29" si="0">SUM(D7:I7)</f>
        <v>0</v>
      </c>
      <c r="K7" s="9">
        <v>0</v>
      </c>
      <c r="L7" s="10">
        <f t="shared" ref="L7:L70" si="1">SUM(K7*B7)</f>
        <v>0</v>
      </c>
      <c r="M7" s="196" t="s">
        <v>2</v>
      </c>
      <c r="N7" s="3" t="s">
        <v>6</v>
      </c>
      <c r="P7" s="11"/>
      <c r="Q7" s="3" t="s">
        <v>162</v>
      </c>
    </row>
    <row r="8" spans="1:17" x14ac:dyDescent="0.4">
      <c r="A8" s="1">
        <v>354</v>
      </c>
      <c r="B8" s="195">
        <v>60</v>
      </c>
      <c r="C8" s="195">
        <v>300</v>
      </c>
      <c r="D8" s="195">
        <v>0</v>
      </c>
      <c r="E8" s="195">
        <v>0</v>
      </c>
      <c r="F8" s="195">
        <v>0</v>
      </c>
      <c r="G8" s="195">
        <v>0</v>
      </c>
      <c r="H8" s="195">
        <v>0</v>
      </c>
      <c r="I8" s="195">
        <v>1</v>
      </c>
      <c r="J8" s="1">
        <f t="shared" si="0"/>
        <v>1</v>
      </c>
      <c r="K8" s="1">
        <f>SUM(J8-1)</f>
        <v>0</v>
      </c>
      <c r="L8" s="195">
        <f t="shared" si="1"/>
        <v>0</v>
      </c>
      <c r="M8" s="195" t="s">
        <v>2</v>
      </c>
      <c r="N8" s="195" t="s">
        <v>6</v>
      </c>
      <c r="P8" s="8"/>
      <c r="Q8" s="3" t="s">
        <v>163</v>
      </c>
    </row>
    <row r="9" spans="1:17" x14ac:dyDescent="0.4">
      <c r="A9" s="16">
        <v>478</v>
      </c>
      <c r="B9" s="17">
        <v>50</v>
      </c>
      <c r="C9" s="17">
        <v>250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6">
        <f t="shared" si="0"/>
        <v>0</v>
      </c>
      <c r="K9" s="16">
        <v>0</v>
      </c>
      <c r="L9" s="17">
        <f t="shared" si="1"/>
        <v>0</v>
      </c>
      <c r="M9" s="17" t="s">
        <v>7</v>
      </c>
      <c r="N9" s="17" t="s">
        <v>8</v>
      </c>
    </row>
    <row r="10" spans="1:17" x14ac:dyDescent="0.4">
      <c r="A10" s="1">
        <v>499</v>
      </c>
      <c r="B10" s="195">
        <v>45</v>
      </c>
      <c r="C10" s="195">
        <v>225</v>
      </c>
      <c r="D10" s="195">
        <v>0</v>
      </c>
      <c r="E10" s="195">
        <v>0</v>
      </c>
      <c r="F10" s="195">
        <v>0</v>
      </c>
      <c r="G10" s="195">
        <v>0</v>
      </c>
      <c r="H10" s="195">
        <v>1</v>
      </c>
      <c r="I10" s="195">
        <v>1</v>
      </c>
      <c r="J10" s="1">
        <f t="shared" si="0"/>
        <v>2</v>
      </c>
      <c r="K10" s="1">
        <f>SUM(J10-1)</f>
        <v>1</v>
      </c>
      <c r="L10" s="195">
        <f t="shared" si="1"/>
        <v>45</v>
      </c>
      <c r="M10" s="195" t="s">
        <v>11</v>
      </c>
      <c r="N10" s="195" t="s">
        <v>12</v>
      </c>
    </row>
    <row r="11" spans="1:17" x14ac:dyDescent="0.4">
      <c r="A11" s="16">
        <v>609</v>
      </c>
      <c r="B11" s="196">
        <v>60</v>
      </c>
      <c r="C11" s="196">
        <v>300</v>
      </c>
      <c r="D11" s="196">
        <v>0</v>
      </c>
      <c r="E11" s="196">
        <v>0</v>
      </c>
      <c r="F11" s="196">
        <v>0</v>
      </c>
      <c r="G11" s="196">
        <v>0</v>
      </c>
      <c r="H11" s="196">
        <v>0</v>
      </c>
      <c r="I11" s="196">
        <v>0</v>
      </c>
      <c r="J11" s="16">
        <f t="shared" si="0"/>
        <v>0</v>
      </c>
      <c r="K11" s="16">
        <v>0</v>
      </c>
      <c r="L11" s="196">
        <f t="shared" si="1"/>
        <v>0</v>
      </c>
      <c r="M11" s="196" t="s">
        <v>9</v>
      </c>
      <c r="N11" s="196" t="s">
        <v>10</v>
      </c>
    </row>
    <row r="12" spans="1:17" x14ac:dyDescent="0.4">
      <c r="A12" s="12" t="s">
        <v>21</v>
      </c>
      <c r="B12" s="13">
        <v>45</v>
      </c>
      <c r="C12" s="13">
        <v>225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2">
        <f t="shared" si="0"/>
        <v>0</v>
      </c>
      <c r="K12" s="12">
        <v>0</v>
      </c>
      <c r="L12" s="13">
        <f t="shared" si="1"/>
        <v>0</v>
      </c>
      <c r="M12" s="13" t="s">
        <v>13</v>
      </c>
      <c r="N12" s="13" t="s">
        <v>14</v>
      </c>
    </row>
    <row r="13" spans="1:17" x14ac:dyDescent="0.4">
      <c r="A13" s="12">
        <v>120001</v>
      </c>
      <c r="B13" s="13"/>
      <c r="C13" s="13"/>
      <c r="D13" s="13" t="s">
        <v>15</v>
      </c>
      <c r="E13" s="13" t="s">
        <v>16</v>
      </c>
      <c r="F13" s="13" t="s">
        <v>17</v>
      </c>
      <c r="G13" s="13" t="s">
        <v>18</v>
      </c>
      <c r="H13" s="13" t="s">
        <v>19</v>
      </c>
      <c r="I13" s="13" t="s">
        <v>20</v>
      </c>
      <c r="J13" s="12" t="s">
        <v>132</v>
      </c>
      <c r="K13" s="12">
        <v>0</v>
      </c>
      <c r="L13" s="13">
        <f t="shared" si="1"/>
        <v>0</v>
      </c>
      <c r="M13" s="196"/>
      <c r="N13" s="196"/>
      <c r="Q13" s="3" t="s">
        <v>166</v>
      </c>
    </row>
    <row r="14" spans="1:17" x14ac:dyDescent="0.4">
      <c r="A14" s="16">
        <v>120003</v>
      </c>
      <c r="B14" s="17">
        <v>60</v>
      </c>
      <c r="C14" s="17">
        <v>300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6">
        <f t="shared" si="0"/>
        <v>0</v>
      </c>
      <c r="K14" s="16">
        <v>0</v>
      </c>
      <c r="L14" s="17">
        <f t="shared" si="1"/>
        <v>0</v>
      </c>
      <c r="M14" s="17" t="s">
        <v>22</v>
      </c>
      <c r="N14" s="17" t="s">
        <v>23</v>
      </c>
    </row>
    <row r="15" spans="1:17" x14ac:dyDescent="0.4">
      <c r="A15" s="16">
        <v>120004</v>
      </c>
      <c r="B15" s="43">
        <v>45</v>
      </c>
      <c r="C15" s="43">
        <v>225</v>
      </c>
      <c r="D15" s="43">
        <v>0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  <c r="J15" s="16">
        <f t="shared" si="0"/>
        <v>0</v>
      </c>
      <c r="K15" s="16">
        <v>0</v>
      </c>
      <c r="L15" s="43">
        <f t="shared" si="1"/>
        <v>0</v>
      </c>
      <c r="M15" s="43" t="s">
        <v>22</v>
      </c>
      <c r="N15" s="43" t="s">
        <v>23</v>
      </c>
    </row>
    <row r="16" spans="1:17" x14ac:dyDescent="0.4">
      <c r="A16" s="12">
        <v>120005</v>
      </c>
      <c r="B16" s="13">
        <v>45</v>
      </c>
      <c r="C16" s="13">
        <v>225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2">
        <f t="shared" si="0"/>
        <v>0</v>
      </c>
      <c r="K16" s="12">
        <v>0</v>
      </c>
      <c r="L16" s="13">
        <f t="shared" si="1"/>
        <v>0</v>
      </c>
      <c r="M16" s="13" t="s">
        <v>22</v>
      </c>
      <c r="N16" s="13" t="s">
        <v>23</v>
      </c>
      <c r="O16" s="3" t="s">
        <v>103</v>
      </c>
      <c r="P16" s="3" t="s">
        <v>131</v>
      </c>
    </row>
    <row r="17" spans="1:19" x14ac:dyDescent="0.4">
      <c r="A17" s="12">
        <v>120006</v>
      </c>
      <c r="B17" s="13">
        <v>45</v>
      </c>
      <c r="C17" s="13">
        <v>225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2">
        <f t="shared" si="0"/>
        <v>0</v>
      </c>
      <c r="K17" s="12">
        <v>0</v>
      </c>
      <c r="L17" s="13">
        <f t="shared" si="1"/>
        <v>0</v>
      </c>
      <c r="M17" s="13" t="s">
        <v>22</v>
      </c>
      <c r="N17" s="13" t="s">
        <v>23</v>
      </c>
      <c r="O17" s="3" t="s">
        <v>104</v>
      </c>
      <c r="P17" s="3" t="s">
        <v>142</v>
      </c>
    </row>
    <row r="18" spans="1:19" x14ac:dyDescent="0.4">
      <c r="A18" s="16">
        <v>120007</v>
      </c>
      <c r="B18" s="17">
        <v>60</v>
      </c>
      <c r="C18" s="17">
        <v>300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6">
        <f t="shared" si="0"/>
        <v>0</v>
      </c>
      <c r="K18" s="16">
        <v>0</v>
      </c>
      <c r="L18" s="17">
        <f t="shared" si="1"/>
        <v>0</v>
      </c>
      <c r="M18" s="17" t="s">
        <v>22</v>
      </c>
      <c r="N18" s="17" t="s">
        <v>23</v>
      </c>
    </row>
    <row r="19" spans="1:19" x14ac:dyDescent="0.4">
      <c r="A19" s="1">
        <v>120008</v>
      </c>
      <c r="B19" s="195">
        <v>45</v>
      </c>
      <c r="C19" s="195">
        <v>225</v>
      </c>
      <c r="D19" s="195">
        <v>0</v>
      </c>
      <c r="E19" s="195">
        <v>0</v>
      </c>
      <c r="F19" s="195">
        <v>0</v>
      </c>
      <c r="G19" s="195">
        <v>0</v>
      </c>
      <c r="H19" s="195">
        <v>0</v>
      </c>
      <c r="I19" s="195">
        <v>1</v>
      </c>
      <c r="J19" s="1">
        <f t="shared" si="0"/>
        <v>1</v>
      </c>
      <c r="K19" s="1">
        <f>SUM(J19-1)</f>
        <v>0</v>
      </c>
      <c r="L19" s="195">
        <f t="shared" si="1"/>
        <v>0</v>
      </c>
      <c r="M19" s="195" t="s">
        <v>24</v>
      </c>
      <c r="N19" s="195" t="s">
        <v>25</v>
      </c>
      <c r="Q19" s="3">
        <f>SUM(C6:C19)</f>
        <v>3125</v>
      </c>
      <c r="R19" t="s">
        <v>122</v>
      </c>
      <c r="S19" t="s">
        <v>121</v>
      </c>
    </row>
    <row r="20" spans="1:19" x14ac:dyDescent="0.4">
      <c r="A20" s="16">
        <v>120009</v>
      </c>
      <c r="B20" s="17">
        <v>80</v>
      </c>
      <c r="C20" s="17">
        <v>400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6">
        <f t="shared" si="0"/>
        <v>0</v>
      </c>
      <c r="K20" s="16">
        <v>0</v>
      </c>
      <c r="L20" s="17">
        <f t="shared" si="1"/>
        <v>0</v>
      </c>
      <c r="M20" s="17" t="s">
        <v>27</v>
      </c>
      <c r="N20" s="17" t="s">
        <v>26</v>
      </c>
    </row>
    <row r="21" spans="1:19" x14ac:dyDescent="0.4">
      <c r="A21" s="1">
        <v>120010</v>
      </c>
      <c r="B21" s="195" t="s">
        <v>28</v>
      </c>
      <c r="C21" s="195"/>
      <c r="D21" s="195"/>
      <c r="E21" s="195"/>
      <c r="F21" s="195"/>
      <c r="G21" s="195">
        <v>0</v>
      </c>
      <c r="H21" s="195">
        <v>0</v>
      </c>
      <c r="I21" s="195">
        <v>1</v>
      </c>
      <c r="J21" s="195">
        <f>SUM(G21:I21)</f>
        <v>1</v>
      </c>
      <c r="K21" s="195">
        <v>0</v>
      </c>
      <c r="L21" s="195">
        <v>0</v>
      </c>
      <c r="M21" s="195" t="s">
        <v>27</v>
      </c>
      <c r="N21" s="195" t="s">
        <v>26</v>
      </c>
      <c r="O21" s="3" t="s">
        <v>164</v>
      </c>
      <c r="P21" s="3" t="s">
        <v>168</v>
      </c>
    </row>
    <row r="22" spans="1:19" x14ac:dyDescent="0.4">
      <c r="A22" s="16">
        <v>120012</v>
      </c>
      <c r="B22" s="17">
        <v>45</v>
      </c>
      <c r="C22" s="17">
        <v>225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6">
        <v>0</v>
      </c>
      <c r="K22" s="16">
        <v>0</v>
      </c>
      <c r="L22" s="17">
        <f t="shared" si="1"/>
        <v>0</v>
      </c>
      <c r="M22" s="17" t="s">
        <v>29</v>
      </c>
      <c r="N22" s="17" t="s">
        <v>30</v>
      </c>
    </row>
    <row r="23" spans="1:19" x14ac:dyDescent="0.4">
      <c r="A23" s="16">
        <v>120013</v>
      </c>
      <c r="B23" s="17">
        <v>60</v>
      </c>
      <c r="C23" s="17">
        <f>B23*5</f>
        <v>300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6">
        <f t="shared" si="0"/>
        <v>0</v>
      </c>
      <c r="K23" s="16">
        <v>0</v>
      </c>
      <c r="L23" s="17">
        <f t="shared" si="1"/>
        <v>0</v>
      </c>
      <c r="M23" s="17" t="s">
        <v>29</v>
      </c>
      <c r="N23" s="17" t="s">
        <v>30</v>
      </c>
    </row>
    <row r="24" spans="1:19" x14ac:dyDescent="0.4">
      <c r="A24" s="1">
        <v>120011</v>
      </c>
      <c r="B24" s="135">
        <v>45</v>
      </c>
      <c r="C24" s="135">
        <f>B24*5</f>
        <v>225</v>
      </c>
      <c r="D24" s="135">
        <v>0</v>
      </c>
      <c r="E24" s="135">
        <v>0</v>
      </c>
      <c r="F24" s="135">
        <v>0</v>
      </c>
      <c r="G24" s="135">
        <v>1</v>
      </c>
      <c r="H24" s="135">
        <v>1</v>
      </c>
      <c r="I24" s="135">
        <v>1</v>
      </c>
      <c r="J24" s="1">
        <f t="shared" si="0"/>
        <v>3</v>
      </c>
      <c r="K24" s="1">
        <f>SUM(J24-1)</f>
        <v>2</v>
      </c>
      <c r="L24" s="135">
        <f t="shared" si="1"/>
        <v>90</v>
      </c>
      <c r="M24" s="135" t="s">
        <v>29</v>
      </c>
      <c r="N24" s="135" t="s">
        <v>30</v>
      </c>
    </row>
    <row r="25" spans="1:19" x14ac:dyDescent="0.4">
      <c r="A25" s="16">
        <v>120014</v>
      </c>
      <c r="B25" s="17">
        <v>45</v>
      </c>
      <c r="C25" s="17">
        <v>225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6">
        <f t="shared" si="0"/>
        <v>0</v>
      </c>
      <c r="K25" s="16">
        <v>0</v>
      </c>
      <c r="L25" s="17">
        <f t="shared" si="1"/>
        <v>0</v>
      </c>
      <c r="M25" s="17" t="s">
        <v>29</v>
      </c>
      <c r="N25" s="17" t="s">
        <v>30</v>
      </c>
    </row>
    <row r="26" spans="1:19" x14ac:dyDescent="0.4">
      <c r="A26">
        <v>120015</v>
      </c>
      <c r="B26" s="3">
        <v>60</v>
      </c>
      <c r="C26" s="3">
        <v>300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1</v>
      </c>
      <c r="J26">
        <f t="shared" si="0"/>
        <v>1</v>
      </c>
      <c r="K26">
        <f>SUM(J26-1)</f>
        <v>0</v>
      </c>
      <c r="L26" s="3">
        <f t="shared" si="1"/>
        <v>0</v>
      </c>
      <c r="M26" s="3" t="s">
        <v>31</v>
      </c>
      <c r="N26" s="3" t="s">
        <v>32</v>
      </c>
    </row>
    <row r="27" spans="1:19" x14ac:dyDescent="0.4">
      <c r="A27" s="16">
        <v>120016</v>
      </c>
      <c r="B27" s="17">
        <v>40</v>
      </c>
      <c r="C27" s="17">
        <v>200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6">
        <f>SUM(D27:I27)</f>
        <v>0</v>
      </c>
      <c r="K27" s="16">
        <v>0</v>
      </c>
      <c r="L27" s="17">
        <f t="shared" si="1"/>
        <v>0</v>
      </c>
      <c r="M27" s="17" t="s">
        <v>31</v>
      </c>
      <c r="N27" s="17" t="s">
        <v>32</v>
      </c>
    </row>
    <row r="28" spans="1:19" x14ac:dyDescent="0.4">
      <c r="A28" s="16">
        <v>120017</v>
      </c>
      <c r="B28" s="17">
        <v>45</v>
      </c>
      <c r="C28" s="17">
        <v>225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6">
        <f>SUM(G28:I28)</f>
        <v>0</v>
      </c>
      <c r="K28" s="16">
        <v>0</v>
      </c>
      <c r="L28" s="17">
        <v>0</v>
      </c>
      <c r="M28" s="17" t="s">
        <v>31</v>
      </c>
      <c r="N28" s="17" t="s">
        <v>32</v>
      </c>
    </row>
    <row r="29" spans="1:19" x14ac:dyDescent="0.4">
      <c r="A29" s="16">
        <v>120018</v>
      </c>
      <c r="B29" s="51">
        <v>60</v>
      </c>
      <c r="C29" s="51">
        <v>300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16">
        <f t="shared" si="0"/>
        <v>0</v>
      </c>
      <c r="K29" s="16">
        <v>0</v>
      </c>
      <c r="L29" s="51">
        <f t="shared" si="1"/>
        <v>0</v>
      </c>
      <c r="M29" s="51" t="s">
        <v>33</v>
      </c>
      <c r="N29" s="51" t="s">
        <v>34</v>
      </c>
    </row>
    <row r="30" spans="1:19" x14ac:dyDescent="0.4">
      <c r="A30" s="1">
        <v>120019</v>
      </c>
      <c r="B30" s="135">
        <v>60</v>
      </c>
      <c r="C30" s="135">
        <v>300</v>
      </c>
      <c r="D30" s="135">
        <v>0</v>
      </c>
      <c r="E30" s="135">
        <v>0</v>
      </c>
      <c r="F30" s="135">
        <v>0</v>
      </c>
      <c r="G30" s="135">
        <v>1</v>
      </c>
      <c r="H30" s="135">
        <v>1</v>
      </c>
      <c r="I30" s="135">
        <v>1</v>
      </c>
      <c r="J30" s="1">
        <f t="shared" ref="J30:J68" si="2">SUM(D30:I30)</f>
        <v>3</v>
      </c>
      <c r="K30" s="1">
        <f>SUM(J30-1)</f>
        <v>2</v>
      </c>
      <c r="L30" s="135">
        <f t="shared" si="1"/>
        <v>120</v>
      </c>
      <c r="M30" s="135" t="s">
        <v>36</v>
      </c>
      <c r="N30" s="135" t="s">
        <v>34</v>
      </c>
    </row>
    <row r="31" spans="1:19" x14ac:dyDescent="0.4">
      <c r="A31" s="12">
        <v>120020</v>
      </c>
      <c r="B31" s="13"/>
      <c r="C31" s="13">
        <v>525</v>
      </c>
      <c r="D31" s="13"/>
      <c r="E31" s="13"/>
      <c r="F31" s="13"/>
      <c r="G31" s="13"/>
      <c r="H31" s="13"/>
      <c r="I31" s="13"/>
      <c r="J31" s="12">
        <f t="shared" si="2"/>
        <v>0</v>
      </c>
      <c r="K31" s="12">
        <v>0</v>
      </c>
      <c r="L31" s="13">
        <f t="shared" si="1"/>
        <v>0</v>
      </c>
      <c r="M31" s="13" t="s">
        <v>38</v>
      </c>
      <c r="N31" s="13" t="s">
        <v>39</v>
      </c>
      <c r="O31" s="3" t="s">
        <v>40</v>
      </c>
    </row>
    <row r="32" spans="1:19" x14ac:dyDescent="0.4">
      <c r="A32" s="1">
        <v>120021</v>
      </c>
      <c r="B32" s="135">
        <v>45</v>
      </c>
      <c r="C32" s="135">
        <v>225</v>
      </c>
      <c r="D32" s="135">
        <v>0</v>
      </c>
      <c r="E32" s="135">
        <v>1</v>
      </c>
      <c r="F32" s="135">
        <v>1</v>
      </c>
      <c r="G32" s="135">
        <v>1</v>
      </c>
      <c r="H32" s="135">
        <v>1</v>
      </c>
      <c r="I32" s="135">
        <v>1</v>
      </c>
      <c r="J32" s="1">
        <f t="shared" si="2"/>
        <v>5</v>
      </c>
      <c r="K32" s="1">
        <f>SUM(J32-1)</f>
        <v>4</v>
      </c>
      <c r="L32" s="135">
        <f t="shared" si="1"/>
        <v>180</v>
      </c>
      <c r="M32" s="135" t="s">
        <v>41</v>
      </c>
      <c r="N32" s="139" t="s">
        <v>42</v>
      </c>
      <c r="O32" s="3" t="s">
        <v>158</v>
      </c>
      <c r="Q32" s="3" t="s">
        <v>159</v>
      </c>
    </row>
    <row r="33" spans="1:18" x14ac:dyDescent="0.4">
      <c r="A33" s="16">
        <v>120022</v>
      </c>
      <c r="B33" s="136">
        <v>50</v>
      </c>
      <c r="C33" s="136">
        <v>250</v>
      </c>
      <c r="D33" s="136">
        <v>0</v>
      </c>
      <c r="E33" s="136">
        <v>0</v>
      </c>
      <c r="F33" s="136">
        <v>0</v>
      </c>
      <c r="G33" s="136">
        <v>0</v>
      </c>
      <c r="H33" s="136">
        <v>0</v>
      </c>
      <c r="I33" s="136">
        <v>0</v>
      </c>
      <c r="J33" s="16">
        <f t="shared" si="2"/>
        <v>0</v>
      </c>
      <c r="K33" s="16">
        <v>0</v>
      </c>
      <c r="L33" s="136">
        <f t="shared" si="1"/>
        <v>0</v>
      </c>
      <c r="M33" s="136" t="s">
        <v>41</v>
      </c>
      <c r="N33" s="20" t="s">
        <v>42</v>
      </c>
    </row>
    <row r="34" spans="1:18" x14ac:dyDescent="0.4">
      <c r="A34" s="16">
        <v>120023</v>
      </c>
      <c r="B34" s="44">
        <v>35</v>
      </c>
      <c r="C34" s="44">
        <v>175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16">
        <f t="shared" si="2"/>
        <v>0</v>
      </c>
      <c r="K34" s="16">
        <v>0</v>
      </c>
      <c r="L34" s="44">
        <f t="shared" si="1"/>
        <v>0</v>
      </c>
      <c r="M34" s="44" t="s">
        <v>41</v>
      </c>
      <c r="N34" s="20" t="s">
        <v>42</v>
      </c>
    </row>
    <row r="35" spans="1:18" x14ac:dyDescent="0.4">
      <c r="A35" s="12">
        <v>120024</v>
      </c>
      <c r="B35" s="13">
        <v>45</v>
      </c>
      <c r="C35" s="13">
        <v>225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2">
        <f t="shared" si="2"/>
        <v>0</v>
      </c>
      <c r="K35" s="12">
        <v>0</v>
      </c>
      <c r="L35" s="13">
        <f t="shared" si="1"/>
        <v>0</v>
      </c>
      <c r="M35" s="13" t="s">
        <v>41</v>
      </c>
      <c r="N35" s="14" t="s">
        <v>42</v>
      </c>
    </row>
    <row r="36" spans="1:18" x14ac:dyDescent="0.4">
      <c r="A36" s="16">
        <v>120025</v>
      </c>
      <c r="B36" s="17">
        <v>50</v>
      </c>
      <c r="C36" s="17">
        <v>250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6">
        <f t="shared" si="2"/>
        <v>0</v>
      </c>
      <c r="K36" s="16">
        <v>0</v>
      </c>
      <c r="L36" s="17">
        <f t="shared" si="1"/>
        <v>0</v>
      </c>
      <c r="M36" s="17" t="s">
        <v>56</v>
      </c>
      <c r="N36" s="20" t="s">
        <v>57</v>
      </c>
      <c r="O36" s="17" t="s">
        <v>151</v>
      </c>
    </row>
    <row r="37" spans="1:18" x14ac:dyDescent="0.4">
      <c r="A37" s="12">
        <v>120026</v>
      </c>
      <c r="B37" s="13">
        <v>45</v>
      </c>
      <c r="C37" s="13">
        <v>225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2">
        <f t="shared" si="2"/>
        <v>0</v>
      </c>
      <c r="K37" s="12">
        <v>0</v>
      </c>
      <c r="L37" s="13">
        <f t="shared" si="1"/>
        <v>0</v>
      </c>
      <c r="M37" s="13" t="s">
        <v>58</v>
      </c>
      <c r="N37" s="13" t="s">
        <v>65</v>
      </c>
      <c r="O37" s="13" t="s">
        <v>59</v>
      </c>
      <c r="P37" s="13" t="s">
        <v>60</v>
      </c>
      <c r="Q37" s="15" t="s">
        <v>61</v>
      </c>
    </row>
    <row r="38" spans="1:18" x14ac:dyDescent="0.4">
      <c r="A38" s="16">
        <v>120027</v>
      </c>
      <c r="B38" s="70">
        <v>45</v>
      </c>
      <c r="C38" s="70">
        <v>225</v>
      </c>
      <c r="D38" s="70">
        <v>0</v>
      </c>
      <c r="E38" s="70">
        <v>0</v>
      </c>
      <c r="F38" s="70">
        <v>0</v>
      </c>
      <c r="G38" s="70">
        <v>0</v>
      </c>
      <c r="H38" s="70">
        <v>0</v>
      </c>
      <c r="I38" s="70">
        <v>0</v>
      </c>
      <c r="J38" s="16">
        <f t="shared" si="2"/>
        <v>0</v>
      </c>
      <c r="K38" s="16">
        <v>0</v>
      </c>
      <c r="L38" s="70">
        <f t="shared" si="1"/>
        <v>0</v>
      </c>
      <c r="M38" s="70" t="s">
        <v>58</v>
      </c>
      <c r="N38" s="70" t="s">
        <v>65</v>
      </c>
      <c r="O38" s="70" t="s">
        <v>63</v>
      </c>
    </row>
    <row r="39" spans="1:18" x14ac:dyDescent="0.4">
      <c r="A39" s="16">
        <v>120028</v>
      </c>
      <c r="B39" s="95">
        <v>50</v>
      </c>
      <c r="C39" s="95">
        <v>250</v>
      </c>
      <c r="D39" s="95">
        <v>0</v>
      </c>
      <c r="E39" s="95">
        <v>0</v>
      </c>
      <c r="F39" s="95">
        <v>0</v>
      </c>
      <c r="G39" s="95">
        <v>0</v>
      </c>
      <c r="H39" s="95">
        <v>0</v>
      </c>
      <c r="I39" s="95">
        <v>1</v>
      </c>
      <c r="J39" s="16">
        <f t="shared" si="2"/>
        <v>1</v>
      </c>
      <c r="K39" s="16">
        <f>SUM(J39-1)</f>
        <v>0</v>
      </c>
      <c r="L39" s="95">
        <f t="shared" si="1"/>
        <v>0</v>
      </c>
      <c r="M39" s="95" t="s">
        <v>58</v>
      </c>
      <c r="N39" s="95" t="s">
        <v>65</v>
      </c>
      <c r="O39" s="95" t="s">
        <v>62</v>
      </c>
    </row>
    <row r="40" spans="1:18" x14ac:dyDescent="0.4">
      <c r="A40" s="16">
        <v>120029</v>
      </c>
      <c r="B40" s="95">
        <v>45</v>
      </c>
      <c r="C40" s="95">
        <v>225</v>
      </c>
      <c r="D40" s="95">
        <v>0</v>
      </c>
      <c r="E40" s="95">
        <v>0</v>
      </c>
      <c r="F40" s="95">
        <v>0</v>
      </c>
      <c r="G40" s="95">
        <v>0</v>
      </c>
      <c r="H40" s="95">
        <v>0</v>
      </c>
      <c r="I40" s="95">
        <v>0</v>
      </c>
      <c r="J40" s="16">
        <f t="shared" si="2"/>
        <v>0</v>
      </c>
      <c r="K40" s="16">
        <v>0</v>
      </c>
      <c r="L40" s="95">
        <f t="shared" si="1"/>
        <v>0</v>
      </c>
      <c r="M40" s="95" t="s">
        <v>58</v>
      </c>
      <c r="N40" s="95" t="s">
        <v>65</v>
      </c>
      <c r="O40" s="95" t="s">
        <v>62</v>
      </c>
    </row>
    <row r="41" spans="1:18" x14ac:dyDescent="0.4">
      <c r="A41" s="16">
        <f>A40+1</f>
        <v>120030</v>
      </c>
      <c r="B41" s="95">
        <v>60</v>
      </c>
      <c r="C41" s="95">
        <v>300</v>
      </c>
      <c r="D41" s="95">
        <v>0</v>
      </c>
      <c r="E41" s="95">
        <v>0</v>
      </c>
      <c r="F41" s="95">
        <v>0</v>
      </c>
      <c r="G41" s="95">
        <v>0</v>
      </c>
      <c r="H41" s="95">
        <v>0</v>
      </c>
      <c r="I41" s="95">
        <v>0</v>
      </c>
      <c r="J41" s="16">
        <f t="shared" si="2"/>
        <v>0</v>
      </c>
      <c r="K41" s="16">
        <v>0</v>
      </c>
      <c r="L41" s="95">
        <f t="shared" si="1"/>
        <v>0</v>
      </c>
      <c r="M41" s="95" t="s">
        <v>64</v>
      </c>
      <c r="N41" s="95" t="s">
        <v>66</v>
      </c>
      <c r="O41" s="95" t="s">
        <v>68</v>
      </c>
    </row>
    <row r="42" spans="1:18" x14ac:dyDescent="0.4">
      <c r="A42" s="18">
        <f t="shared" ref="A42:A72" si="3">A41+1</f>
        <v>120031</v>
      </c>
      <c r="B42" s="19">
        <v>45</v>
      </c>
      <c r="C42" s="19">
        <v>225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8">
        <f t="shared" si="2"/>
        <v>0</v>
      </c>
      <c r="K42" s="18">
        <v>0</v>
      </c>
      <c r="L42" s="19">
        <f t="shared" si="1"/>
        <v>0</v>
      </c>
      <c r="M42" s="19" t="s">
        <v>64</v>
      </c>
      <c r="N42" s="19" t="s">
        <v>66</v>
      </c>
      <c r="O42" s="19" t="s">
        <v>67</v>
      </c>
    </row>
    <row r="43" spans="1:18" x14ac:dyDescent="0.4">
      <c r="A43" s="1">
        <f t="shared" si="3"/>
        <v>120032</v>
      </c>
      <c r="B43" s="135">
        <v>45</v>
      </c>
      <c r="C43" s="135">
        <v>225</v>
      </c>
      <c r="D43" s="135">
        <v>0</v>
      </c>
      <c r="E43" s="135">
        <v>0</v>
      </c>
      <c r="F43" s="135">
        <v>0</v>
      </c>
      <c r="G43" s="135">
        <v>0</v>
      </c>
      <c r="H43" s="135">
        <v>1</v>
      </c>
      <c r="I43" s="135">
        <v>1</v>
      </c>
      <c r="J43" s="1">
        <f t="shared" si="2"/>
        <v>2</v>
      </c>
      <c r="K43" s="1">
        <f>SUM(J43-1)</f>
        <v>1</v>
      </c>
      <c r="L43" s="135">
        <f t="shared" si="1"/>
        <v>45</v>
      </c>
      <c r="M43" s="135" t="s">
        <v>71</v>
      </c>
      <c r="N43" s="135" t="s">
        <v>72</v>
      </c>
      <c r="O43" s="135" t="s">
        <v>69</v>
      </c>
      <c r="P43" s="73" t="s">
        <v>742</v>
      </c>
    </row>
    <row r="44" spans="1:18" x14ac:dyDescent="0.4">
      <c r="A44" s="16">
        <f t="shared" si="3"/>
        <v>120033</v>
      </c>
      <c r="B44" s="17">
        <v>60</v>
      </c>
      <c r="C44" s="17">
        <v>300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6">
        <f t="shared" si="2"/>
        <v>0</v>
      </c>
      <c r="K44" s="16">
        <v>0</v>
      </c>
      <c r="L44" s="17">
        <f t="shared" si="1"/>
        <v>0</v>
      </c>
      <c r="M44" s="17" t="s">
        <v>71</v>
      </c>
      <c r="N44" s="17" t="s">
        <v>72</v>
      </c>
      <c r="O44" s="17" t="s">
        <v>80</v>
      </c>
    </row>
    <row r="45" spans="1:18" x14ac:dyDescent="0.4">
      <c r="A45" s="18">
        <f t="shared" si="3"/>
        <v>120034</v>
      </c>
      <c r="B45" s="19">
        <v>45</v>
      </c>
      <c r="C45" s="19">
        <v>215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8">
        <f t="shared" si="2"/>
        <v>0</v>
      </c>
      <c r="K45" s="18">
        <v>0</v>
      </c>
      <c r="L45" s="19">
        <f t="shared" si="1"/>
        <v>0</v>
      </c>
      <c r="M45" s="19" t="s">
        <v>70</v>
      </c>
      <c r="N45" s="19" t="s">
        <v>73</v>
      </c>
      <c r="O45" s="19" t="s">
        <v>74</v>
      </c>
    </row>
    <row r="46" spans="1:18" x14ac:dyDescent="0.4">
      <c r="A46" s="1">
        <f t="shared" si="3"/>
        <v>120035</v>
      </c>
      <c r="B46" s="164">
        <v>50</v>
      </c>
      <c r="C46" s="164">
        <v>250</v>
      </c>
      <c r="D46" s="164">
        <v>0</v>
      </c>
      <c r="E46" s="164">
        <v>0</v>
      </c>
      <c r="F46" s="164">
        <v>0</v>
      </c>
      <c r="G46" s="164">
        <v>0</v>
      </c>
      <c r="H46" s="164">
        <v>0</v>
      </c>
      <c r="I46" s="164">
        <v>1</v>
      </c>
      <c r="J46" s="1">
        <f t="shared" si="2"/>
        <v>1</v>
      </c>
      <c r="K46" s="1">
        <f>SUM(J46-1)</f>
        <v>0</v>
      </c>
      <c r="L46" s="164">
        <f t="shared" si="1"/>
        <v>0</v>
      </c>
      <c r="M46" s="164" t="s">
        <v>75</v>
      </c>
      <c r="N46" s="164" t="s">
        <v>76</v>
      </c>
      <c r="O46" s="164" t="s">
        <v>77</v>
      </c>
      <c r="P46" s="164" t="s">
        <v>78</v>
      </c>
    </row>
    <row r="47" spans="1:18" x14ac:dyDescent="0.4">
      <c r="A47" s="16">
        <f t="shared" si="3"/>
        <v>120036</v>
      </c>
      <c r="B47" s="63">
        <v>45</v>
      </c>
      <c r="C47" s="63">
        <v>225</v>
      </c>
      <c r="D47" s="63">
        <v>0</v>
      </c>
      <c r="E47" s="63">
        <v>0</v>
      </c>
      <c r="F47" s="63">
        <v>0</v>
      </c>
      <c r="G47" s="63">
        <v>0</v>
      </c>
      <c r="H47" s="63">
        <v>0</v>
      </c>
      <c r="I47" s="63">
        <v>0</v>
      </c>
      <c r="J47" s="16">
        <f t="shared" si="2"/>
        <v>0</v>
      </c>
      <c r="K47" s="16">
        <v>0</v>
      </c>
      <c r="L47" s="63">
        <f t="shared" si="1"/>
        <v>0</v>
      </c>
      <c r="M47" s="63" t="s">
        <v>75</v>
      </c>
      <c r="N47" s="63" t="s">
        <v>76</v>
      </c>
      <c r="O47" s="63" t="s">
        <v>79</v>
      </c>
      <c r="P47" s="63"/>
      <c r="R47" t="s">
        <v>157</v>
      </c>
    </row>
    <row r="48" spans="1:18" x14ac:dyDescent="0.4">
      <c r="A48" s="16">
        <f t="shared" si="3"/>
        <v>120037</v>
      </c>
      <c r="B48" s="49">
        <v>45</v>
      </c>
      <c r="C48" s="49">
        <v>225</v>
      </c>
      <c r="D48" s="49">
        <v>0</v>
      </c>
      <c r="E48" s="49">
        <v>0</v>
      </c>
      <c r="F48" s="49">
        <v>0</v>
      </c>
      <c r="G48" s="49">
        <v>0</v>
      </c>
      <c r="H48" s="49">
        <v>0</v>
      </c>
      <c r="I48" s="49">
        <v>0</v>
      </c>
      <c r="J48" s="16">
        <f t="shared" si="2"/>
        <v>0</v>
      </c>
      <c r="K48" s="16">
        <v>0</v>
      </c>
      <c r="L48" s="49">
        <f t="shared" si="1"/>
        <v>0</v>
      </c>
      <c r="M48" s="49" t="s">
        <v>83</v>
      </c>
      <c r="N48" s="49" t="s">
        <v>76</v>
      </c>
      <c r="O48" s="49" t="s">
        <v>81</v>
      </c>
      <c r="P48" s="49" t="s">
        <v>82</v>
      </c>
      <c r="Q48" s="3" t="s">
        <v>160</v>
      </c>
    </row>
    <row r="49" spans="1:19" x14ac:dyDescent="0.4">
      <c r="A49" s="18">
        <f t="shared" si="3"/>
        <v>120038</v>
      </c>
      <c r="B49" s="19">
        <v>50</v>
      </c>
      <c r="C49" s="19">
        <v>250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8">
        <f t="shared" si="2"/>
        <v>0</v>
      </c>
      <c r="K49" s="18">
        <v>0</v>
      </c>
      <c r="L49" s="19">
        <f t="shared" si="1"/>
        <v>0</v>
      </c>
      <c r="M49" s="19" t="s">
        <v>84</v>
      </c>
      <c r="N49" s="19" t="s">
        <v>85</v>
      </c>
      <c r="O49" s="19" t="s">
        <v>137</v>
      </c>
    </row>
    <row r="50" spans="1:19" x14ac:dyDescent="0.4">
      <c r="A50" s="16">
        <f t="shared" si="3"/>
        <v>120039</v>
      </c>
      <c r="B50" s="165">
        <v>45</v>
      </c>
      <c r="C50" s="165">
        <v>225</v>
      </c>
      <c r="D50" s="165">
        <v>0</v>
      </c>
      <c r="E50" s="165">
        <v>0</v>
      </c>
      <c r="F50" s="165">
        <v>0</v>
      </c>
      <c r="G50" s="165">
        <v>0</v>
      </c>
      <c r="H50" s="165">
        <v>0</v>
      </c>
      <c r="I50" s="165">
        <v>0</v>
      </c>
      <c r="J50" s="16">
        <f t="shared" si="2"/>
        <v>0</v>
      </c>
      <c r="K50" s="16">
        <v>0</v>
      </c>
      <c r="L50" s="165">
        <f t="shared" si="1"/>
        <v>0</v>
      </c>
      <c r="M50" s="165" t="s">
        <v>87</v>
      </c>
      <c r="N50" s="165" t="s">
        <v>90</v>
      </c>
      <c r="O50" s="165" t="s">
        <v>86</v>
      </c>
      <c r="S50" t="s">
        <v>154</v>
      </c>
    </row>
    <row r="51" spans="1:19" x14ac:dyDescent="0.4">
      <c r="A51" s="1">
        <f t="shared" si="3"/>
        <v>120040</v>
      </c>
      <c r="B51" s="135">
        <v>45</v>
      </c>
      <c r="C51" s="135">
        <v>225</v>
      </c>
      <c r="D51" s="135">
        <v>0</v>
      </c>
      <c r="E51" s="135">
        <v>0</v>
      </c>
      <c r="F51" s="135">
        <v>0</v>
      </c>
      <c r="G51" s="135">
        <v>0</v>
      </c>
      <c r="H51" s="135">
        <v>1</v>
      </c>
      <c r="I51" s="135">
        <v>1</v>
      </c>
      <c r="J51" s="1">
        <f t="shared" si="2"/>
        <v>2</v>
      </c>
      <c r="K51" s="1">
        <f>SUM(J51-1)</f>
        <v>1</v>
      </c>
      <c r="L51" s="135">
        <f t="shared" si="1"/>
        <v>45</v>
      </c>
      <c r="M51" s="135" t="s">
        <v>88</v>
      </c>
      <c r="N51" s="135" t="s">
        <v>89</v>
      </c>
      <c r="O51" s="138" t="s">
        <v>91</v>
      </c>
    </row>
    <row r="52" spans="1:19" x14ac:dyDescent="0.4">
      <c r="A52" s="16">
        <f t="shared" si="3"/>
        <v>120041</v>
      </c>
      <c r="B52" s="70">
        <v>60</v>
      </c>
      <c r="C52" s="70">
        <v>300</v>
      </c>
      <c r="D52" s="70">
        <v>0</v>
      </c>
      <c r="E52" s="70">
        <v>0</v>
      </c>
      <c r="F52" s="70">
        <v>0</v>
      </c>
      <c r="G52" s="70">
        <v>0</v>
      </c>
      <c r="H52" s="70">
        <v>0</v>
      </c>
      <c r="I52" s="70">
        <v>0</v>
      </c>
      <c r="J52" s="16">
        <f t="shared" si="2"/>
        <v>0</v>
      </c>
      <c r="K52" s="16">
        <v>0</v>
      </c>
      <c r="L52" s="70">
        <f t="shared" si="1"/>
        <v>0</v>
      </c>
      <c r="M52" s="70" t="s">
        <v>92</v>
      </c>
      <c r="N52" s="70" t="s">
        <v>93</v>
      </c>
      <c r="O52" s="70" t="s">
        <v>94</v>
      </c>
    </row>
    <row r="53" spans="1:19" x14ac:dyDescent="0.4">
      <c r="A53" s="16">
        <f t="shared" si="3"/>
        <v>120042</v>
      </c>
      <c r="B53" s="161">
        <v>45</v>
      </c>
      <c r="C53" s="161">
        <v>225</v>
      </c>
      <c r="D53" s="161">
        <v>0</v>
      </c>
      <c r="E53" s="161">
        <v>0</v>
      </c>
      <c r="F53" s="161">
        <v>0</v>
      </c>
      <c r="G53" s="161">
        <v>0</v>
      </c>
      <c r="H53" s="161">
        <v>0</v>
      </c>
      <c r="I53" s="161">
        <v>0</v>
      </c>
      <c r="J53" s="16">
        <f t="shared" si="2"/>
        <v>0</v>
      </c>
      <c r="K53" s="16">
        <v>0</v>
      </c>
      <c r="L53" s="161">
        <f t="shared" si="1"/>
        <v>0</v>
      </c>
      <c r="M53" s="161" t="s">
        <v>95</v>
      </c>
      <c r="N53" s="161" t="s">
        <v>96</v>
      </c>
      <c r="O53" s="161" t="s">
        <v>97</v>
      </c>
      <c r="P53" s="161" t="s">
        <v>98</v>
      </c>
    </row>
    <row r="54" spans="1:19" x14ac:dyDescent="0.4">
      <c r="A54" s="16">
        <f t="shared" si="3"/>
        <v>120043</v>
      </c>
      <c r="B54" s="83">
        <v>45</v>
      </c>
      <c r="C54" s="83">
        <v>225</v>
      </c>
      <c r="D54" s="83">
        <v>0</v>
      </c>
      <c r="E54" s="83">
        <v>0</v>
      </c>
      <c r="F54" s="83">
        <v>0</v>
      </c>
      <c r="G54" s="83">
        <v>0</v>
      </c>
      <c r="H54" s="83">
        <v>0</v>
      </c>
      <c r="I54" s="83">
        <v>0</v>
      </c>
      <c r="J54" s="16">
        <f t="shared" si="2"/>
        <v>0</v>
      </c>
      <c r="K54" s="16">
        <v>0</v>
      </c>
      <c r="L54" s="83">
        <f t="shared" si="1"/>
        <v>0</v>
      </c>
      <c r="M54" s="83" t="s">
        <v>95</v>
      </c>
      <c r="N54" s="83" t="s">
        <v>96</v>
      </c>
      <c r="O54" s="83" t="s">
        <v>99</v>
      </c>
      <c r="P54" s="83" t="s">
        <v>100</v>
      </c>
    </row>
    <row r="55" spans="1:19" x14ac:dyDescent="0.4">
      <c r="A55" s="12">
        <f t="shared" si="3"/>
        <v>120044</v>
      </c>
      <c r="B55" s="13">
        <v>45</v>
      </c>
      <c r="C55" s="13">
        <v>225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2">
        <f t="shared" si="2"/>
        <v>0</v>
      </c>
      <c r="K55" s="12">
        <v>0</v>
      </c>
      <c r="L55" s="13">
        <f t="shared" si="1"/>
        <v>0</v>
      </c>
      <c r="M55" s="13" t="s">
        <v>101</v>
      </c>
      <c r="N55" s="13" t="s">
        <v>102</v>
      </c>
      <c r="Q55" s="3">
        <f>SUM(C20:C55)</f>
        <v>8915</v>
      </c>
      <c r="R55" t="s">
        <v>156</v>
      </c>
      <c r="S55" t="s">
        <v>123</v>
      </c>
    </row>
    <row r="56" spans="1:19" x14ac:dyDescent="0.4">
      <c r="A56" s="22">
        <f t="shared" si="3"/>
        <v>120045</v>
      </c>
      <c r="B56" s="23">
        <v>60</v>
      </c>
      <c r="C56" s="23">
        <v>300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2">
        <f t="shared" si="2"/>
        <v>0</v>
      </c>
      <c r="K56" s="22">
        <v>0</v>
      </c>
      <c r="L56" s="23">
        <f t="shared" si="1"/>
        <v>0</v>
      </c>
      <c r="M56" s="23" t="s">
        <v>105</v>
      </c>
      <c r="N56" s="23" t="s">
        <v>106</v>
      </c>
    </row>
    <row r="57" spans="1:19" x14ac:dyDescent="0.4">
      <c r="A57" s="12">
        <f t="shared" si="3"/>
        <v>120046</v>
      </c>
      <c r="B57" s="13">
        <v>45</v>
      </c>
      <c r="C57" s="13">
        <v>225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2">
        <f t="shared" si="2"/>
        <v>0</v>
      </c>
      <c r="K57" s="12">
        <v>0</v>
      </c>
      <c r="L57" s="13"/>
      <c r="M57" s="13" t="s">
        <v>107</v>
      </c>
      <c r="N57" s="13" t="s">
        <v>108</v>
      </c>
    </row>
    <row r="58" spans="1:19" x14ac:dyDescent="0.4">
      <c r="A58" s="16">
        <f t="shared" si="3"/>
        <v>120047</v>
      </c>
      <c r="B58" s="17">
        <v>50</v>
      </c>
      <c r="C58" s="17">
        <v>250</v>
      </c>
      <c r="D58" s="17">
        <v>0</v>
      </c>
      <c r="E58" s="17">
        <v>0</v>
      </c>
      <c r="F58" s="17">
        <v>0</v>
      </c>
      <c r="G58" s="17">
        <v>0</v>
      </c>
      <c r="H58" s="17">
        <v>0</v>
      </c>
      <c r="I58" s="17">
        <v>0</v>
      </c>
      <c r="J58" s="16">
        <f t="shared" si="2"/>
        <v>0</v>
      </c>
      <c r="K58" s="16">
        <v>0</v>
      </c>
      <c r="L58" s="17">
        <f t="shared" si="1"/>
        <v>0</v>
      </c>
      <c r="M58" s="17" t="s">
        <v>109</v>
      </c>
      <c r="N58" s="17" t="s">
        <v>110</v>
      </c>
      <c r="O58" s="17" t="s">
        <v>170</v>
      </c>
    </row>
    <row r="59" spans="1:19" x14ac:dyDescent="0.4">
      <c r="A59" s="16">
        <f t="shared" si="3"/>
        <v>120048</v>
      </c>
      <c r="B59" s="41">
        <v>45</v>
      </c>
      <c r="C59" s="41">
        <v>225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16">
        <f t="shared" si="2"/>
        <v>0</v>
      </c>
      <c r="K59" s="16">
        <v>0</v>
      </c>
      <c r="L59" s="41">
        <f t="shared" si="1"/>
        <v>0</v>
      </c>
      <c r="M59" s="41" t="s">
        <v>111</v>
      </c>
      <c r="N59" s="41" t="s">
        <v>112</v>
      </c>
    </row>
    <row r="60" spans="1:19" x14ac:dyDescent="0.4">
      <c r="A60" s="16">
        <f t="shared" si="3"/>
        <v>120049</v>
      </c>
      <c r="B60" s="17">
        <v>50</v>
      </c>
      <c r="C60" s="17">
        <v>250</v>
      </c>
      <c r="D60" s="17">
        <v>0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6">
        <f t="shared" si="2"/>
        <v>0</v>
      </c>
      <c r="K60" s="16">
        <v>0</v>
      </c>
      <c r="L60" s="17">
        <f t="shared" si="1"/>
        <v>0</v>
      </c>
      <c r="M60" s="17" t="s">
        <v>113</v>
      </c>
      <c r="N60" s="17" t="s">
        <v>114</v>
      </c>
      <c r="Q60" s="3" t="s">
        <v>167</v>
      </c>
    </row>
    <row r="61" spans="1:19" x14ac:dyDescent="0.4">
      <c r="A61" s="12">
        <f t="shared" si="3"/>
        <v>120050</v>
      </c>
      <c r="B61" s="13">
        <v>45</v>
      </c>
      <c r="C61" s="13">
        <v>225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2">
        <f t="shared" si="2"/>
        <v>0</v>
      </c>
      <c r="K61" s="12">
        <v>0</v>
      </c>
      <c r="L61" s="13">
        <f t="shared" si="1"/>
        <v>0</v>
      </c>
      <c r="M61" s="13" t="s">
        <v>115</v>
      </c>
      <c r="N61" s="13" t="s">
        <v>116</v>
      </c>
    </row>
    <row r="62" spans="1:19" x14ac:dyDescent="0.4">
      <c r="A62" s="1">
        <f t="shared" si="3"/>
        <v>120051</v>
      </c>
      <c r="B62" s="135">
        <v>60</v>
      </c>
      <c r="C62" s="135">
        <v>60</v>
      </c>
      <c r="D62" s="135">
        <v>1</v>
      </c>
      <c r="E62" s="135">
        <v>0</v>
      </c>
      <c r="F62" s="135">
        <v>0</v>
      </c>
      <c r="G62" s="135">
        <v>0</v>
      </c>
      <c r="H62" s="135">
        <v>0</v>
      </c>
      <c r="I62" s="135">
        <v>0</v>
      </c>
      <c r="J62" s="1">
        <f t="shared" si="2"/>
        <v>1</v>
      </c>
      <c r="K62" s="1">
        <v>1</v>
      </c>
      <c r="L62" s="135">
        <f t="shared" si="1"/>
        <v>60</v>
      </c>
      <c r="M62" s="135" t="s">
        <v>115</v>
      </c>
      <c r="N62" s="135" t="s">
        <v>116</v>
      </c>
    </row>
    <row r="63" spans="1:19" x14ac:dyDescent="0.4">
      <c r="A63" s="16">
        <f t="shared" si="3"/>
        <v>120052</v>
      </c>
      <c r="B63" s="17">
        <v>60</v>
      </c>
      <c r="C63" s="17">
        <v>300</v>
      </c>
      <c r="D63" s="17">
        <v>0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6">
        <f t="shared" si="2"/>
        <v>0</v>
      </c>
      <c r="K63" s="17">
        <v>0</v>
      </c>
      <c r="L63" s="17">
        <f t="shared" si="1"/>
        <v>0</v>
      </c>
      <c r="M63" s="17" t="s">
        <v>115</v>
      </c>
      <c r="N63" s="17" t="s">
        <v>116</v>
      </c>
    </row>
    <row r="64" spans="1:19" x14ac:dyDescent="0.4">
      <c r="A64" s="16">
        <f t="shared" si="3"/>
        <v>120053</v>
      </c>
      <c r="B64" s="17">
        <v>60</v>
      </c>
      <c r="C64" s="17">
        <v>300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6">
        <f t="shared" si="2"/>
        <v>0</v>
      </c>
      <c r="K64" s="16">
        <v>0</v>
      </c>
      <c r="L64" s="17">
        <f t="shared" si="1"/>
        <v>0</v>
      </c>
      <c r="M64" s="17" t="s">
        <v>115</v>
      </c>
      <c r="N64" s="17" t="s">
        <v>116</v>
      </c>
      <c r="O64" s="17"/>
    </row>
    <row r="65" spans="1:19" x14ac:dyDescent="0.4">
      <c r="A65" s="16">
        <f t="shared" si="3"/>
        <v>120054</v>
      </c>
      <c r="B65" s="17">
        <v>45</v>
      </c>
      <c r="C65" s="17">
        <v>225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6">
        <f t="shared" si="2"/>
        <v>0</v>
      </c>
      <c r="K65" s="16">
        <v>0</v>
      </c>
      <c r="L65" s="17">
        <f t="shared" si="1"/>
        <v>0</v>
      </c>
      <c r="M65" s="17" t="s">
        <v>115</v>
      </c>
      <c r="N65" s="17" t="s">
        <v>116</v>
      </c>
      <c r="O65" s="17" t="s">
        <v>143</v>
      </c>
    </row>
    <row r="66" spans="1:19" x14ac:dyDescent="0.4">
      <c r="A66" s="123">
        <f t="shared" si="3"/>
        <v>120055</v>
      </c>
      <c r="B66" s="13">
        <v>45</v>
      </c>
      <c r="C66" s="13">
        <v>225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2">
        <f t="shared" si="2"/>
        <v>0</v>
      </c>
      <c r="K66" s="12">
        <v>0</v>
      </c>
      <c r="L66" s="13">
        <f t="shared" si="1"/>
        <v>0</v>
      </c>
      <c r="M66" s="13" t="s">
        <v>115</v>
      </c>
      <c r="N66" s="13" t="s">
        <v>116</v>
      </c>
      <c r="O66" s="3" t="s">
        <v>169</v>
      </c>
    </row>
    <row r="67" spans="1:19" x14ac:dyDescent="0.4">
      <c r="A67" s="123">
        <f t="shared" si="3"/>
        <v>120056</v>
      </c>
      <c r="B67" s="13">
        <v>45</v>
      </c>
      <c r="C67" s="13">
        <v>225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2">
        <f t="shared" si="2"/>
        <v>0</v>
      </c>
      <c r="K67" s="12">
        <v>0</v>
      </c>
      <c r="L67" s="13">
        <f t="shared" si="1"/>
        <v>0</v>
      </c>
      <c r="M67" s="13" t="s">
        <v>117</v>
      </c>
      <c r="N67" s="13" t="s">
        <v>118</v>
      </c>
    </row>
    <row r="68" spans="1:19" x14ac:dyDescent="0.4">
      <c r="A68" s="123">
        <f t="shared" si="3"/>
        <v>120057</v>
      </c>
      <c r="B68" s="17">
        <v>50</v>
      </c>
      <c r="C68" s="17">
        <v>250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6">
        <f t="shared" si="2"/>
        <v>0</v>
      </c>
      <c r="K68" s="16">
        <v>0</v>
      </c>
      <c r="L68" s="17">
        <f t="shared" si="1"/>
        <v>0</v>
      </c>
      <c r="M68" s="17" t="s">
        <v>117</v>
      </c>
      <c r="N68" s="17" t="s">
        <v>118</v>
      </c>
      <c r="O68" s="17" t="s">
        <v>119</v>
      </c>
      <c r="P68" s="17" t="s">
        <v>120</v>
      </c>
      <c r="Q68" s="17">
        <f>SUM(C56:C68)</f>
        <v>3060</v>
      </c>
    </row>
    <row r="69" spans="1:19" x14ac:dyDescent="0.4">
      <c r="A69" s="123">
        <f t="shared" si="3"/>
        <v>120058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2">
        <v>0</v>
      </c>
      <c r="K69" s="12">
        <v>0</v>
      </c>
      <c r="L69" s="13">
        <f t="shared" si="1"/>
        <v>0</v>
      </c>
      <c r="M69" s="13">
        <v>0</v>
      </c>
      <c r="N69" s="13">
        <v>0</v>
      </c>
      <c r="O69" s="3" t="s">
        <v>161</v>
      </c>
      <c r="P69" s="3">
        <v>452645757</v>
      </c>
      <c r="Q69" s="3" t="s">
        <v>125</v>
      </c>
      <c r="R69" t="s">
        <v>124</v>
      </c>
    </row>
    <row r="70" spans="1:19" x14ac:dyDescent="0.4">
      <c r="A70" s="123">
        <f t="shared" si="3"/>
        <v>120059</v>
      </c>
      <c r="B70" s="13">
        <v>60</v>
      </c>
      <c r="C70" s="13">
        <v>300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2">
        <f t="shared" ref="J70:J75" si="4">SUM(D70:I70)</f>
        <v>0</v>
      </c>
      <c r="K70" s="12">
        <v>0</v>
      </c>
      <c r="L70" s="13">
        <f t="shared" si="1"/>
        <v>0</v>
      </c>
      <c r="M70" s="13" t="s">
        <v>126</v>
      </c>
      <c r="N70" s="13" t="s">
        <v>127</v>
      </c>
      <c r="O70" s="13" t="s">
        <v>128</v>
      </c>
    </row>
    <row r="71" spans="1:19" x14ac:dyDescent="0.4">
      <c r="A71" s="123">
        <f t="shared" si="3"/>
        <v>120060</v>
      </c>
      <c r="B71" s="13">
        <v>45</v>
      </c>
      <c r="C71" s="13">
        <v>225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2">
        <f t="shared" si="4"/>
        <v>0</v>
      </c>
      <c r="K71" s="12">
        <v>0</v>
      </c>
      <c r="L71" s="13">
        <f>SUM(K71*B71)</f>
        <v>0</v>
      </c>
      <c r="M71" s="13" t="s">
        <v>129</v>
      </c>
      <c r="N71" s="13" t="s">
        <v>130</v>
      </c>
      <c r="O71" s="13"/>
    </row>
    <row r="72" spans="1:19" x14ac:dyDescent="0.4">
      <c r="A72" s="123">
        <f t="shared" si="3"/>
        <v>120061</v>
      </c>
      <c r="B72" s="46">
        <v>45</v>
      </c>
      <c r="C72" s="46">
        <v>225</v>
      </c>
      <c r="D72" s="46">
        <v>0</v>
      </c>
      <c r="E72" s="46">
        <v>0</v>
      </c>
      <c r="F72" s="46">
        <v>0</v>
      </c>
      <c r="G72" s="46">
        <v>0</v>
      </c>
      <c r="H72" s="46">
        <v>0</v>
      </c>
      <c r="I72" s="46">
        <v>0</v>
      </c>
      <c r="J72" s="16">
        <f t="shared" si="4"/>
        <v>0</v>
      </c>
      <c r="K72" s="16">
        <v>0</v>
      </c>
      <c r="L72" s="46">
        <f>SUM(K72*B72)</f>
        <v>0</v>
      </c>
      <c r="M72" s="46" t="s">
        <v>129</v>
      </c>
      <c r="N72" s="46" t="s">
        <v>130</v>
      </c>
      <c r="Q72" s="124"/>
    </row>
    <row r="73" spans="1:19" x14ac:dyDescent="0.4">
      <c r="A73" s="1">
        <v>120062</v>
      </c>
      <c r="B73" s="164">
        <v>45</v>
      </c>
      <c r="C73" s="164">
        <v>225</v>
      </c>
      <c r="D73" s="164">
        <v>0</v>
      </c>
      <c r="E73" s="164">
        <v>0</v>
      </c>
      <c r="F73" s="164">
        <v>0</v>
      </c>
      <c r="G73" s="164">
        <v>0</v>
      </c>
      <c r="H73" s="164">
        <v>0</v>
      </c>
      <c r="I73" s="164">
        <v>1</v>
      </c>
      <c r="J73" s="1">
        <f t="shared" si="4"/>
        <v>1</v>
      </c>
      <c r="K73" s="1">
        <f>SUM(J73-1)</f>
        <v>0</v>
      </c>
      <c r="L73" s="164">
        <f>SUM(K73*B73)</f>
        <v>0</v>
      </c>
      <c r="M73" s="164" t="s">
        <v>133</v>
      </c>
      <c r="N73" s="164" t="s">
        <v>134</v>
      </c>
      <c r="O73" s="164"/>
    </row>
    <row r="74" spans="1:19" x14ac:dyDescent="0.4">
      <c r="A74" s="1">
        <v>120063</v>
      </c>
      <c r="B74" s="164">
        <v>45</v>
      </c>
      <c r="C74" s="164">
        <v>225</v>
      </c>
      <c r="D74" s="164">
        <v>0</v>
      </c>
      <c r="E74" s="164">
        <v>0</v>
      </c>
      <c r="F74" s="164">
        <v>0</v>
      </c>
      <c r="G74" s="164">
        <v>0</v>
      </c>
      <c r="H74" s="164">
        <v>0</v>
      </c>
      <c r="I74" s="164">
        <v>1</v>
      </c>
      <c r="J74" s="140">
        <f t="shared" si="4"/>
        <v>1</v>
      </c>
      <c r="K74" s="140">
        <f>SUM(J74-1)</f>
        <v>0</v>
      </c>
      <c r="L74" s="164">
        <f>SUM(K74*B74)</f>
        <v>0</v>
      </c>
      <c r="M74" s="164" t="s">
        <v>135</v>
      </c>
      <c r="N74" s="164" t="s">
        <v>136</v>
      </c>
      <c r="O74" s="164"/>
    </row>
    <row r="75" spans="1:19" x14ac:dyDescent="0.4">
      <c r="A75" s="123">
        <v>120064</v>
      </c>
      <c r="B75" s="136">
        <v>45</v>
      </c>
      <c r="C75" s="136">
        <v>225</v>
      </c>
      <c r="D75" s="136">
        <v>0</v>
      </c>
      <c r="E75" s="136">
        <v>0</v>
      </c>
      <c r="F75" s="136">
        <v>0</v>
      </c>
      <c r="G75" s="136">
        <v>0</v>
      </c>
      <c r="H75" s="136">
        <v>0</v>
      </c>
      <c r="I75" s="136">
        <v>0</v>
      </c>
      <c r="J75" s="26">
        <f t="shared" si="4"/>
        <v>0</v>
      </c>
      <c r="K75" s="26">
        <v>0</v>
      </c>
      <c r="L75" s="136">
        <f>SUM(K75*B75)</f>
        <v>0</v>
      </c>
      <c r="M75" s="136" t="s">
        <v>135</v>
      </c>
      <c r="N75" s="136" t="s">
        <v>136</v>
      </c>
      <c r="O75" s="136"/>
      <c r="Q75" s="3" t="s">
        <v>165</v>
      </c>
    </row>
    <row r="76" spans="1:19" x14ac:dyDescent="0.4">
      <c r="A76" s="123">
        <v>120065</v>
      </c>
      <c r="B76" s="136">
        <v>50</v>
      </c>
      <c r="C76" s="136">
        <v>250</v>
      </c>
      <c r="D76" s="136">
        <v>0</v>
      </c>
      <c r="E76" s="136">
        <v>0</v>
      </c>
      <c r="F76" s="136">
        <v>0</v>
      </c>
      <c r="G76" s="136">
        <v>0</v>
      </c>
      <c r="H76" s="136">
        <v>0</v>
      </c>
      <c r="I76" s="136">
        <v>1</v>
      </c>
      <c r="J76" s="26">
        <f>SUM(D76:I76)</f>
        <v>1</v>
      </c>
      <c r="K76" s="26">
        <f>J76-1</f>
        <v>0</v>
      </c>
      <c r="L76" s="136">
        <f>B76*K76</f>
        <v>0</v>
      </c>
      <c r="M76" s="136" t="s">
        <v>138</v>
      </c>
      <c r="N76" s="136" t="s">
        <v>139</v>
      </c>
      <c r="O76" s="136"/>
    </row>
    <row r="77" spans="1:19" x14ac:dyDescent="0.4">
      <c r="A77" s="123">
        <v>120066</v>
      </c>
      <c r="B77" s="136">
        <v>45</v>
      </c>
      <c r="C77" s="136">
        <v>225</v>
      </c>
      <c r="D77" s="136">
        <v>0</v>
      </c>
      <c r="E77" s="136">
        <v>0</v>
      </c>
      <c r="F77" s="136">
        <v>0</v>
      </c>
      <c r="G77" s="136">
        <v>0</v>
      </c>
      <c r="H77" s="136">
        <v>0</v>
      </c>
      <c r="I77" s="136">
        <v>0</v>
      </c>
      <c r="J77" s="26">
        <f>SUM(D77:I77)</f>
        <v>0</v>
      </c>
      <c r="K77" s="26">
        <v>0</v>
      </c>
      <c r="L77" s="136">
        <f>B77*K77</f>
        <v>0</v>
      </c>
      <c r="M77" s="136" t="s">
        <v>140</v>
      </c>
      <c r="N77" s="136" t="s">
        <v>141</v>
      </c>
      <c r="O77" s="136"/>
    </row>
    <row r="78" spans="1:19" x14ac:dyDescent="0.4">
      <c r="A78" s="123">
        <v>120067</v>
      </c>
      <c r="B78" s="136">
        <v>45</v>
      </c>
      <c r="C78" s="136">
        <v>225</v>
      </c>
      <c r="D78" s="136">
        <v>0</v>
      </c>
      <c r="E78" s="136">
        <v>0</v>
      </c>
      <c r="F78" s="136">
        <v>0</v>
      </c>
      <c r="G78" s="136">
        <v>0</v>
      </c>
      <c r="H78" s="136">
        <v>0</v>
      </c>
      <c r="I78" s="136">
        <v>0</v>
      </c>
      <c r="J78" s="26">
        <f>SUM(D78:I78)</f>
        <v>0</v>
      </c>
      <c r="K78" s="26">
        <v>0</v>
      </c>
      <c r="L78" s="136">
        <v>0</v>
      </c>
      <c r="M78" s="136" t="s">
        <v>144</v>
      </c>
      <c r="N78" s="136" t="s">
        <v>145</v>
      </c>
      <c r="O78" s="136" t="s">
        <v>146</v>
      </c>
      <c r="R78" s="3" t="s">
        <v>147</v>
      </c>
    </row>
    <row r="79" spans="1:19" x14ac:dyDescent="0.4">
      <c r="A79" s="123">
        <v>120068</v>
      </c>
      <c r="B79" s="136">
        <v>45</v>
      </c>
      <c r="C79" s="136">
        <v>225</v>
      </c>
      <c r="D79" s="136">
        <v>0</v>
      </c>
      <c r="E79" s="136">
        <v>0</v>
      </c>
      <c r="F79" s="136">
        <v>0</v>
      </c>
      <c r="G79" s="136">
        <v>0</v>
      </c>
      <c r="H79" s="136">
        <v>0</v>
      </c>
      <c r="I79" s="136">
        <v>0</v>
      </c>
      <c r="J79" s="26">
        <f>SUM(D79:I79)</f>
        <v>0</v>
      </c>
      <c r="K79" s="26">
        <v>0</v>
      </c>
      <c r="L79" s="136">
        <f>B79*K79</f>
        <v>0</v>
      </c>
      <c r="M79" s="136" t="s">
        <v>148</v>
      </c>
      <c r="N79" s="136" t="s">
        <v>149</v>
      </c>
      <c r="O79" s="136" t="s">
        <v>150</v>
      </c>
    </row>
    <row r="80" spans="1:19" x14ac:dyDescent="0.4">
      <c r="A80" s="1">
        <v>120069</v>
      </c>
      <c r="B80" s="164">
        <v>60</v>
      </c>
      <c r="C80" s="164">
        <v>300</v>
      </c>
      <c r="D80" s="164">
        <v>0</v>
      </c>
      <c r="E80" s="164">
        <v>0</v>
      </c>
      <c r="F80" s="164">
        <v>0</v>
      </c>
      <c r="G80" s="164">
        <v>0</v>
      </c>
      <c r="H80" s="164">
        <v>0</v>
      </c>
      <c r="I80" s="164">
        <v>1</v>
      </c>
      <c r="J80" s="140">
        <f>SUM(D80:I80)</f>
        <v>1</v>
      </c>
      <c r="K80" s="140">
        <f>J80-1</f>
        <v>0</v>
      </c>
      <c r="L80" s="164">
        <f>B80*K80</f>
        <v>0</v>
      </c>
      <c r="M80" s="164" t="s">
        <v>148</v>
      </c>
      <c r="N80" s="164" t="s">
        <v>149</v>
      </c>
      <c r="O80" s="164" t="s">
        <v>150</v>
      </c>
      <c r="Q80" s="3">
        <f>SUM(C56:C80)</f>
        <v>5710</v>
      </c>
      <c r="R80" s="3" t="s">
        <v>152</v>
      </c>
      <c r="S80" s="3" t="s">
        <v>153</v>
      </c>
    </row>
    <row r="82" spans="1:1" x14ac:dyDescent="0.4">
      <c r="A82" t="s">
        <v>155</v>
      </c>
    </row>
  </sheetData>
  <mergeCells count="1">
    <mergeCell ref="D5:I5"/>
  </mergeCells>
  <phoneticPr fontId="1" type="noConversion"/>
  <hyperlinks>
    <hyperlink ref="Q37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46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53"/>
  <sheetViews>
    <sheetView zoomScale="115" zoomScaleNormal="115" workbookViewId="0">
      <selection activeCell="C3" sqref="C3"/>
    </sheetView>
  </sheetViews>
  <sheetFormatPr defaultRowHeight="17.399999999999999" x14ac:dyDescent="0.4"/>
  <cols>
    <col min="4" max="9" width="4.3984375" customWidth="1"/>
    <col min="12" max="12" width="16.8984375" customWidth="1"/>
    <col min="14" max="14" width="10.3984375" customWidth="1"/>
    <col min="16" max="16" width="13" customWidth="1"/>
    <col min="17" max="18" width="9.8984375" bestFit="1" customWidth="1"/>
    <col min="19" max="19" width="11.09765625" bestFit="1" customWidth="1"/>
  </cols>
  <sheetData>
    <row r="1" spans="1:20" x14ac:dyDescent="0.4">
      <c r="A1" s="5"/>
      <c r="B1" s="6"/>
      <c r="C1" s="6" t="s">
        <v>171</v>
      </c>
      <c r="D1" s="6"/>
      <c r="E1" s="6"/>
      <c r="F1" s="6"/>
      <c r="G1" s="6"/>
      <c r="H1" s="6"/>
      <c r="I1" s="6"/>
      <c r="J1" s="5"/>
      <c r="K1" s="5"/>
      <c r="L1" s="6" t="s">
        <v>171</v>
      </c>
      <c r="M1" s="278" t="s">
        <v>1487</v>
      </c>
      <c r="N1" s="6"/>
      <c r="O1" s="6"/>
      <c r="P1" s="6"/>
      <c r="Q1" s="6"/>
    </row>
    <row r="2" spans="1:20" x14ac:dyDescent="0.4">
      <c r="A2" s="5" t="s">
        <v>172</v>
      </c>
      <c r="B2" s="6"/>
      <c r="C2" s="6" t="s">
        <v>173</v>
      </c>
      <c r="D2" s="6" t="s">
        <v>174</v>
      </c>
      <c r="E2" s="6"/>
      <c r="F2" s="6"/>
      <c r="G2" s="6"/>
      <c r="H2" s="6"/>
      <c r="I2" s="6"/>
      <c r="J2" s="5"/>
      <c r="K2" s="5"/>
      <c r="L2" s="6" t="s">
        <v>2924</v>
      </c>
      <c r="M2" s="279" t="s">
        <v>2925</v>
      </c>
      <c r="N2" s="6"/>
      <c r="O2" s="6"/>
      <c r="P2" s="6"/>
      <c r="Q2" s="6"/>
      <c r="R2" s="3"/>
      <c r="S2" s="3"/>
    </row>
    <row r="3" spans="1:20" x14ac:dyDescent="0.4">
      <c r="C3" s="245">
        <f>SUM(C7:C245)</f>
        <v>52043</v>
      </c>
      <c r="L3" s="245">
        <f>SUM(L7:L245)</f>
        <v>2040</v>
      </c>
      <c r="M3" s="264">
        <f>L3/C3</f>
        <v>3.919835520627174E-2</v>
      </c>
    </row>
    <row r="4" spans="1:20" x14ac:dyDescent="0.4">
      <c r="A4" s="1"/>
      <c r="B4" s="21" t="s">
        <v>176</v>
      </c>
      <c r="C4" s="21" t="s">
        <v>177</v>
      </c>
      <c r="D4" s="21"/>
      <c r="E4" s="21"/>
      <c r="F4" s="21"/>
      <c r="G4" s="21"/>
      <c r="H4" s="21"/>
      <c r="I4" s="21"/>
      <c r="J4" s="1" t="s">
        <v>178</v>
      </c>
      <c r="K4" s="1" t="s">
        <v>179</v>
      </c>
      <c r="L4" s="244"/>
      <c r="M4" s="21"/>
      <c r="N4" s="21"/>
      <c r="O4" s="21" t="s">
        <v>180</v>
      </c>
      <c r="P4" s="21" t="s">
        <v>181</v>
      </c>
      <c r="Q4" s="21"/>
    </row>
    <row r="5" spans="1:20" x14ac:dyDescent="0.4">
      <c r="A5" s="1" t="s">
        <v>182</v>
      </c>
      <c r="B5" s="21" t="s">
        <v>183</v>
      </c>
      <c r="C5" s="21" t="s">
        <v>183</v>
      </c>
      <c r="D5" s="2032" t="s">
        <v>184</v>
      </c>
      <c r="E5" s="2032"/>
      <c r="F5" s="2032"/>
      <c r="G5" s="2032"/>
      <c r="H5" s="2032"/>
      <c r="I5" s="2032"/>
      <c r="J5" s="1" t="s">
        <v>185</v>
      </c>
      <c r="K5" s="1" t="s">
        <v>175</v>
      </c>
      <c r="L5" s="21" t="s">
        <v>186</v>
      </c>
      <c r="M5" s="21" t="s">
        <v>187</v>
      </c>
      <c r="N5" s="21" t="s">
        <v>188</v>
      </c>
      <c r="O5" s="21" t="s">
        <v>189</v>
      </c>
      <c r="P5" s="21"/>
      <c r="Q5" s="21" t="s">
        <v>190</v>
      </c>
    </row>
    <row r="6" spans="1:20" x14ac:dyDescent="0.4">
      <c r="A6" t="s">
        <v>191</v>
      </c>
      <c r="J6" s="7"/>
      <c r="K6" s="7"/>
      <c r="R6" s="3"/>
      <c r="S6" s="3"/>
    </row>
    <row r="7" spans="1:20" x14ac:dyDescent="0.4">
      <c r="A7" s="16">
        <v>120070</v>
      </c>
      <c r="B7" s="59">
        <v>45</v>
      </c>
      <c r="C7" s="16">
        <f t="shared" ref="C7:C16" si="0">SUM(B7*5)</f>
        <v>225</v>
      </c>
      <c r="D7" s="59">
        <v>0</v>
      </c>
      <c r="E7" s="59">
        <v>0</v>
      </c>
      <c r="F7" s="59">
        <v>0</v>
      </c>
      <c r="G7" s="59">
        <v>0</v>
      </c>
      <c r="H7" s="59">
        <v>0</v>
      </c>
      <c r="I7" s="59">
        <v>0</v>
      </c>
      <c r="J7" s="26">
        <f>SUM(D7:I7)</f>
        <v>0</v>
      </c>
      <c r="K7" s="26">
        <v>0</v>
      </c>
      <c r="L7" s="59">
        <f>K7*B7</f>
        <v>0</v>
      </c>
      <c r="M7" s="59" t="s">
        <v>192</v>
      </c>
      <c r="N7" s="59" t="s">
        <v>193</v>
      </c>
    </row>
    <row r="8" spans="1:20" x14ac:dyDescent="0.4">
      <c r="A8" s="22">
        <v>120071</v>
      </c>
      <c r="B8" s="23">
        <v>45</v>
      </c>
      <c r="C8" s="22">
        <f t="shared" si="0"/>
        <v>225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4">
        <f t="shared" ref="J8:J16" si="1">SUM(D8:I8)</f>
        <v>0</v>
      </c>
      <c r="K8" s="24">
        <v>0</v>
      </c>
      <c r="L8" s="23">
        <f>K8*B8</f>
        <v>0</v>
      </c>
      <c r="M8" s="23" t="s">
        <v>194</v>
      </c>
      <c r="N8" s="23" t="s">
        <v>195</v>
      </c>
      <c r="T8" s="25"/>
    </row>
    <row r="9" spans="1:20" x14ac:dyDescent="0.4">
      <c r="A9" s="1">
        <v>120072</v>
      </c>
      <c r="B9" s="135">
        <v>45</v>
      </c>
      <c r="C9" s="1">
        <f t="shared" si="0"/>
        <v>225</v>
      </c>
      <c r="D9" s="135">
        <v>0</v>
      </c>
      <c r="E9" s="135">
        <v>0</v>
      </c>
      <c r="F9" s="135">
        <v>0</v>
      </c>
      <c r="G9" s="135">
        <v>0</v>
      </c>
      <c r="H9" s="135">
        <v>1</v>
      </c>
      <c r="I9" s="135">
        <v>1</v>
      </c>
      <c r="J9" s="140">
        <f>SUM(D9:I9)</f>
        <v>2</v>
      </c>
      <c r="K9" s="140">
        <f>J9-1</f>
        <v>1</v>
      </c>
      <c r="L9" s="135">
        <f>SUM(K9*B9)</f>
        <v>45</v>
      </c>
      <c r="M9" s="135" t="s">
        <v>194</v>
      </c>
      <c r="N9" s="135" t="s">
        <v>195</v>
      </c>
    </row>
    <row r="10" spans="1:20" x14ac:dyDescent="0.4">
      <c r="A10" s="1">
        <v>120073</v>
      </c>
      <c r="B10" s="135">
        <v>45</v>
      </c>
      <c r="C10" s="1">
        <f t="shared" si="0"/>
        <v>225</v>
      </c>
      <c r="D10" s="135">
        <v>0</v>
      </c>
      <c r="E10" s="135">
        <v>0</v>
      </c>
      <c r="F10" s="135">
        <v>0</v>
      </c>
      <c r="G10" s="135">
        <v>0</v>
      </c>
      <c r="H10" s="135">
        <v>1</v>
      </c>
      <c r="I10" s="135">
        <v>1</v>
      </c>
      <c r="J10" s="140">
        <f t="shared" si="1"/>
        <v>2</v>
      </c>
      <c r="K10" s="140">
        <f>J10-1</f>
        <v>1</v>
      </c>
      <c r="L10" s="135">
        <f>SUM(K10*B10)</f>
        <v>45</v>
      </c>
      <c r="M10" s="135" t="s">
        <v>194</v>
      </c>
      <c r="N10" s="135" t="s">
        <v>195</v>
      </c>
    </row>
    <row r="11" spans="1:20" x14ac:dyDescent="0.4">
      <c r="A11" s="16">
        <v>120074</v>
      </c>
      <c r="B11" s="136">
        <v>45</v>
      </c>
      <c r="C11" s="16">
        <f t="shared" si="0"/>
        <v>225</v>
      </c>
      <c r="D11" s="136">
        <v>0</v>
      </c>
      <c r="E11" s="136">
        <v>0</v>
      </c>
      <c r="F11" s="136">
        <v>0</v>
      </c>
      <c r="G11" s="136">
        <v>0</v>
      </c>
      <c r="H11" s="136">
        <v>0</v>
      </c>
      <c r="I11" s="136">
        <v>1</v>
      </c>
      <c r="J11" s="26">
        <f t="shared" si="1"/>
        <v>1</v>
      </c>
      <c r="K11" s="26">
        <f>J11-1</f>
        <v>0</v>
      </c>
      <c r="L11" s="136">
        <f>SUM(B11*K11)</f>
        <v>0</v>
      </c>
      <c r="M11" s="136" t="s">
        <v>196</v>
      </c>
      <c r="N11" s="136" t="s">
        <v>197</v>
      </c>
    </row>
    <row r="12" spans="1:20" x14ac:dyDescent="0.4">
      <c r="A12" s="22">
        <v>120075</v>
      </c>
      <c r="B12" s="23">
        <v>45</v>
      </c>
      <c r="C12" s="22">
        <f t="shared" si="0"/>
        <v>225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4">
        <f t="shared" si="1"/>
        <v>0</v>
      </c>
      <c r="K12" s="24">
        <v>0</v>
      </c>
      <c r="L12" s="23">
        <f>SUM(B12*K12)</f>
        <v>0</v>
      </c>
      <c r="M12" s="23" t="s">
        <v>198</v>
      </c>
      <c r="N12" s="23" t="s">
        <v>199</v>
      </c>
      <c r="O12" s="22" t="s">
        <v>200</v>
      </c>
    </row>
    <row r="13" spans="1:20" x14ac:dyDescent="0.4">
      <c r="A13" s="22">
        <v>120076</v>
      </c>
      <c r="B13" s="23">
        <v>45</v>
      </c>
      <c r="C13" s="22">
        <f t="shared" si="0"/>
        <v>225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4">
        <f t="shared" si="1"/>
        <v>0</v>
      </c>
      <c r="K13" s="24">
        <v>0</v>
      </c>
      <c r="L13" s="23">
        <f>SUM(B13*K13)</f>
        <v>0</v>
      </c>
      <c r="M13" s="23" t="s">
        <v>201</v>
      </c>
      <c r="N13" s="23" t="s">
        <v>202</v>
      </c>
      <c r="O13" s="22"/>
      <c r="R13" s="2"/>
    </row>
    <row r="14" spans="1:20" x14ac:dyDescent="0.4">
      <c r="A14" s="16">
        <v>120077</v>
      </c>
      <c r="B14" s="16"/>
      <c r="C14" s="16">
        <v>938</v>
      </c>
      <c r="D14" s="16"/>
      <c r="E14" s="16"/>
      <c r="F14" s="16"/>
      <c r="G14" s="16"/>
      <c r="H14" s="16"/>
      <c r="I14" s="16"/>
      <c r="J14" s="26">
        <f t="shared" si="1"/>
        <v>0</v>
      </c>
      <c r="K14" s="26">
        <v>0</v>
      </c>
      <c r="L14" s="76">
        <v>0</v>
      </c>
      <c r="M14" s="76" t="s">
        <v>203</v>
      </c>
      <c r="N14" s="76" t="s">
        <v>204</v>
      </c>
      <c r="O14" s="16" t="s">
        <v>205</v>
      </c>
    </row>
    <row r="15" spans="1:20" x14ac:dyDescent="0.4">
      <c r="A15" s="16">
        <v>120078</v>
      </c>
      <c r="B15" s="17">
        <v>60</v>
      </c>
      <c r="C15" s="16">
        <f t="shared" si="0"/>
        <v>300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26">
        <f t="shared" si="1"/>
        <v>0</v>
      </c>
      <c r="K15" s="26">
        <v>0</v>
      </c>
      <c r="L15" s="17">
        <f>SUM(B15*K15)</f>
        <v>0</v>
      </c>
      <c r="M15" s="17" t="s">
        <v>203</v>
      </c>
      <c r="N15" s="17" t="s">
        <v>206</v>
      </c>
      <c r="O15" s="16"/>
    </row>
    <row r="16" spans="1:20" x14ac:dyDescent="0.4">
      <c r="A16" s="22">
        <v>120079</v>
      </c>
      <c r="B16" s="23">
        <v>60</v>
      </c>
      <c r="C16" s="22">
        <f t="shared" si="0"/>
        <v>300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4">
        <f t="shared" si="1"/>
        <v>0</v>
      </c>
      <c r="K16" s="24">
        <v>0</v>
      </c>
      <c r="L16" s="23">
        <v>0</v>
      </c>
      <c r="M16" s="23" t="s">
        <v>207</v>
      </c>
      <c r="N16" s="23" t="s">
        <v>208</v>
      </c>
    </row>
    <row r="17" spans="1:20" x14ac:dyDescent="0.4">
      <c r="A17" s="16">
        <v>130001</v>
      </c>
      <c r="B17" s="65">
        <v>45</v>
      </c>
      <c r="C17" s="16">
        <f>SUM(B17*5)</f>
        <v>225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26">
        <f t="shared" ref="J17:J49" si="2">SUM(D17:I17)</f>
        <v>0</v>
      </c>
      <c r="K17" s="26">
        <v>0</v>
      </c>
      <c r="L17" s="65">
        <f>SUM(B17*K17)</f>
        <v>0</v>
      </c>
      <c r="M17" s="65" t="s">
        <v>207</v>
      </c>
      <c r="N17" s="65" t="s">
        <v>208</v>
      </c>
    </row>
    <row r="18" spans="1:20" x14ac:dyDescent="0.4">
      <c r="A18" s="16">
        <v>130002</v>
      </c>
      <c r="B18" s="17">
        <v>50</v>
      </c>
      <c r="C18" s="16">
        <f>SUM(B18*5)</f>
        <v>250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26">
        <f t="shared" si="2"/>
        <v>0</v>
      </c>
      <c r="K18" s="26">
        <v>0</v>
      </c>
      <c r="L18" s="17">
        <f t="shared" ref="L18:L57" si="3">SUM(B18*K18)</f>
        <v>0</v>
      </c>
      <c r="M18" s="17" t="s">
        <v>209</v>
      </c>
      <c r="N18" s="17" t="s">
        <v>210</v>
      </c>
      <c r="O18" s="16" t="s">
        <v>211</v>
      </c>
    </row>
    <row r="19" spans="1:20" x14ac:dyDescent="0.4">
      <c r="A19" s="1">
        <v>130003</v>
      </c>
      <c r="B19" s="195" t="s">
        <v>212</v>
      </c>
      <c r="C19" s="1"/>
      <c r="D19" s="195"/>
      <c r="E19" s="195"/>
      <c r="F19" s="195"/>
      <c r="G19" s="195"/>
      <c r="H19" s="195"/>
      <c r="I19" s="195"/>
      <c r="J19" s="140">
        <f t="shared" si="2"/>
        <v>0</v>
      </c>
      <c r="K19" s="140">
        <v>0</v>
      </c>
      <c r="L19" s="195">
        <v>0</v>
      </c>
      <c r="M19" s="195" t="s">
        <v>209</v>
      </c>
      <c r="N19" s="195" t="s">
        <v>210</v>
      </c>
      <c r="O19" s="1" t="s">
        <v>213</v>
      </c>
    </row>
    <row r="20" spans="1:20" x14ac:dyDescent="0.4">
      <c r="A20" s="16">
        <v>130004</v>
      </c>
      <c r="B20" s="17">
        <v>45</v>
      </c>
      <c r="C20" s="16">
        <f>SUM(B20*5)</f>
        <v>225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26">
        <f t="shared" si="2"/>
        <v>0</v>
      </c>
      <c r="K20" s="26">
        <v>0</v>
      </c>
      <c r="L20" s="17">
        <f t="shared" si="3"/>
        <v>0</v>
      </c>
      <c r="M20" s="17" t="s">
        <v>214</v>
      </c>
      <c r="N20" s="17" t="s">
        <v>215</v>
      </c>
      <c r="O20" s="16"/>
      <c r="S20" t="s">
        <v>216</v>
      </c>
      <c r="T20" t="s">
        <v>217</v>
      </c>
    </row>
    <row r="21" spans="1:20" x14ac:dyDescent="0.4">
      <c r="A21" s="16">
        <v>130005</v>
      </c>
      <c r="B21" s="17" t="s">
        <v>218</v>
      </c>
      <c r="C21" s="17"/>
      <c r="D21" s="17"/>
      <c r="E21" s="17"/>
      <c r="F21" s="17"/>
      <c r="G21" s="17"/>
      <c r="H21" s="17"/>
      <c r="I21" s="17"/>
      <c r="J21" s="26">
        <f t="shared" si="2"/>
        <v>0</v>
      </c>
      <c r="K21" s="26">
        <v>0</v>
      </c>
      <c r="L21" s="17">
        <v>0</v>
      </c>
      <c r="M21" s="17"/>
      <c r="N21" s="17"/>
      <c r="O21" s="16"/>
    </row>
    <row r="22" spans="1:20" x14ac:dyDescent="0.4">
      <c r="A22" s="16">
        <v>130006</v>
      </c>
      <c r="B22" s="17" t="s">
        <v>218</v>
      </c>
      <c r="C22" s="17"/>
      <c r="D22" s="17"/>
      <c r="E22" s="17"/>
      <c r="F22" s="17"/>
      <c r="G22" s="17"/>
      <c r="H22" s="17"/>
      <c r="I22" s="17"/>
      <c r="J22" s="26">
        <f t="shared" si="2"/>
        <v>0</v>
      </c>
      <c r="K22" s="26">
        <v>0</v>
      </c>
      <c r="L22" s="17">
        <v>0</v>
      </c>
      <c r="M22" s="17"/>
      <c r="N22" s="17"/>
      <c r="O22" s="16"/>
      <c r="R22" t="s">
        <v>154</v>
      </c>
    </row>
    <row r="23" spans="1:20" x14ac:dyDescent="0.4">
      <c r="A23" s="16">
        <v>130007</v>
      </c>
      <c r="B23" s="17" t="s">
        <v>218</v>
      </c>
      <c r="C23" s="17"/>
      <c r="D23" s="17"/>
      <c r="E23" s="17"/>
      <c r="F23" s="17"/>
      <c r="G23" s="17"/>
      <c r="H23" s="17"/>
      <c r="I23" s="17"/>
      <c r="J23" s="26">
        <f t="shared" si="2"/>
        <v>0</v>
      </c>
      <c r="K23" s="26">
        <v>0</v>
      </c>
      <c r="L23" s="17">
        <v>0</v>
      </c>
      <c r="M23" s="17"/>
      <c r="N23" s="17"/>
      <c r="O23" s="16"/>
    </row>
    <row r="24" spans="1:20" x14ac:dyDescent="0.4">
      <c r="A24" s="16">
        <v>130008</v>
      </c>
      <c r="B24" s="17" t="s">
        <v>218</v>
      </c>
      <c r="C24" s="17"/>
      <c r="D24" s="17"/>
      <c r="E24" s="17"/>
      <c r="F24" s="17"/>
      <c r="G24" s="17"/>
      <c r="H24" s="17"/>
      <c r="I24" s="17"/>
      <c r="J24" s="26">
        <f t="shared" si="2"/>
        <v>0</v>
      </c>
      <c r="K24" s="26">
        <v>0</v>
      </c>
      <c r="L24" s="17">
        <v>0</v>
      </c>
      <c r="M24" s="17"/>
      <c r="N24" s="17"/>
      <c r="O24" s="16"/>
    </row>
    <row r="25" spans="1:20" x14ac:dyDescent="0.4">
      <c r="A25" s="16">
        <v>130009</v>
      </c>
      <c r="B25" s="17" t="s">
        <v>218</v>
      </c>
      <c r="C25" s="17"/>
      <c r="D25" s="17"/>
      <c r="E25" s="17"/>
      <c r="F25" s="17"/>
      <c r="G25" s="17"/>
      <c r="H25" s="17"/>
      <c r="I25" s="17"/>
      <c r="J25" s="26">
        <f t="shared" si="2"/>
        <v>0</v>
      </c>
      <c r="K25" s="26">
        <v>0</v>
      </c>
      <c r="L25" s="17">
        <v>0</v>
      </c>
      <c r="M25" s="17"/>
      <c r="N25" s="17"/>
      <c r="O25" s="16"/>
    </row>
    <row r="26" spans="1:20" x14ac:dyDescent="0.4">
      <c r="A26" s="16">
        <v>130010</v>
      </c>
      <c r="B26" s="17" t="s">
        <v>218</v>
      </c>
      <c r="C26" s="17"/>
      <c r="D26" s="17"/>
      <c r="E26" s="17"/>
      <c r="F26" s="17"/>
      <c r="G26" s="17"/>
      <c r="H26" s="17"/>
      <c r="I26" s="17"/>
      <c r="J26" s="26">
        <f t="shared" si="2"/>
        <v>0</v>
      </c>
      <c r="K26" s="26">
        <v>0</v>
      </c>
      <c r="L26" s="17">
        <v>0</v>
      </c>
      <c r="M26" s="17"/>
      <c r="N26" s="17"/>
      <c r="O26" s="16"/>
    </row>
    <row r="27" spans="1:20" x14ac:dyDescent="0.4">
      <c r="A27" s="16">
        <v>130011</v>
      </c>
      <c r="B27" s="17">
        <v>45</v>
      </c>
      <c r="C27" s="16">
        <f t="shared" ref="C27:C44" si="4">SUM(B27*5)</f>
        <v>225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26">
        <f t="shared" si="2"/>
        <v>0</v>
      </c>
      <c r="K27" s="26">
        <v>0</v>
      </c>
      <c r="L27" s="17">
        <f t="shared" si="3"/>
        <v>0</v>
      </c>
      <c r="M27" s="17" t="s">
        <v>219</v>
      </c>
      <c r="N27" s="17" t="s">
        <v>220</v>
      </c>
      <c r="O27" s="16" t="s">
        <v>221</v>
      </c>
      <c r="P27" s="27"/>
      <c r="Q27" s="27" t="s">
        <v>622</v>
      </c>
      <c r="R27" s="16" t="s">
        <v>623</v>
      </c>
    </row>
    <row r="28" spans="1:20" x14ac:dyDescent="0.4">
      <c r="A28" s="16">
        <v>130012</v>
      </c>
      <c r="B28" s="76">
        <v>45</v>
      </c>
      <c r="C28" s="16">
        <f t="shared" si="4"/>
        <v>225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26">
        <f t="shared" si="2"/>
        <v>0</v>
      </c>
      <c r="K28" s="26">
        <v>0</v>
      </c>
      <c r="L28" s="76">
        <v>0</v>
      </c>
      <c r="M28" s="76" t="s">
        <v>222</v>
      </c>
      <c r="N28" s="76" t="s">
        <v>223</v>
      </c>
      <c r="O28" s="31" t="s">
        <v>224</v>
      </c>
      <c r="P28" s="16"/>
      <c r="Q28" s="76" t="s">
        <v>225</v>
      </c>
    </row>
    <row r="29" spans="1:20" x14ac:dyDescent="0.4">
      <c r="A29" s="16">
        <v>130013</v>
      </c>
      <c r="B29" s="48">
        <v>60</v>
      </c>
      <c r="C29" s="16">
        <f t="shared" si="4"/>
        <v>300</v>
      </c>
      <c r="D29" s="48">
        <v>0</v>
      </c>
      <c r="E29" s="48">
        <v>0</v>
      </c>
      <c r="F29" s="48">
        <v>0</v>
      </c>
      <c r="G29" s="48">
        <v>0</v>
      </c>
      <c r="H29" s="48">
        <v>0</v>
      </c>
      <c r="I29" s="48">
        <v>0</v>
      </c>
      <c r="J29" s="26">
        <f t="shared" si="2"/>
        <v>0</v>
      </c>
      <c r="K29" s="26">
        <v>0</v>
      </c>
      <c r="L29" s="48">
        <f t="shared" si="3"/>
        <v>0</v>
      </c>
      <c r="M29" s="48" t="s">
        <v>226</v>
      </c>
      <c r="N29" s="48" t="s">
        <v>227</v>
      </c>
      <c r="O29" s="16"/>
      <c r="P29" s="16"/>
      <c r="Q29" s="16"/>
    </row>
    <row r="30" spans="1:20" x14ac:dyDescent="0.4">
      <c r="A30" s="16">
        <v>130014</v>
      </c>
      <c r="B30" s="69">
        <v>45</v>
      </c>
      <c r="C30" s="16">
        <f t="shared" si="4"/>
        <v>225</v>
      </c>
      <c r="D30" s="69">
        <v>0</v>
      </c>
      <c r="E30" s="69">
        <v>0</v>
      </c>
      <c r="F30" s="69">
        <v>0</v>
      </c>
      <c r="G30" s="69">
        <v>0</v>
      </c>
      <c r="H30" s="69">
        <v>0</v>
      </c>
      <c r="I30" s="69">
        <v>0</v>
      </c>
      <c r="J30" s="26">
        <f t="shared" si="2"/>
        <v>0</v>
      </c>
      <c r="K30" s="26">
        <v>0</v>
      </c>
      <c r="L30" s="69">
        <f t="shared" si="3"/>
        <v>0</v>
      </c>
      <c r="M30" s="69" t="s">
        <v>228</v>
      </c>
      <c r="N30" s="69" t="s">
        <v>229</v>
      </c>
      <c r="O30" s="16" t="s">
        <v>230</v>
      </c>
      <c r="P30" s="16"/>
      <c r="Q30" s="16" t="s">
        <v>231</v>
      </c>
    </row>
    <row r="31" spans="1:20" x14ac:dyDescent="0.4">
      <c r="A31" s="16">
        <v>130015</v>
      </c>
      <c r="B31" s="17">
        <v>50</v>
      </c>
      <c r="C31" s="16">
        <f t="shared" si="4"/>
        <v>250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26">
        <f t="shared" si="2"/>
        <v>0</v>
      </c>
      <c r="K31" s="26">
        <v>0</v>
      </c>
      <c r="L31" s="17">
        <f t="shared" si="3"/>
        <v>0</v>
      </c>
      <c r="M31" s="17" t="s">
        <v>232</v>
      </c>
      <c r="N31" s="17" t="s">
        <v>233</v>
      </c>
      <c r="O31" s="16" t="s">
        <v>234</v>
      </c>
      <c r="P31" s="16"/>
      <c r="Q31" s="17" t="s">
        <v>235</v>
      </c>
    </row>
    <row r="32" spans="1:20" x14ac:dyDescent="0.4">
      <c r="A32" s="16">
        <v>130016</v>
      </c>
      <c r="B32" s="17">
        <v>45</v>
      </c>
      <c r="C32" s="16">
        <f t="shared" si="4"/>
        <v>225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26">
        <f t="shared" si="2"/>
        <v>0</v>
      </c>
      <c r="K32" s="26">
        <v>0</v>
      </c>
      <c r="L32" s="17">
        <f t="shared" si="3"/>
        <v>0</v>
      </c>
      <c r="M32" s="17" t="s">
        <v>236</v>
      </c>
      <c r="N32" s="17" t="s">
        <v>237</v>
      </c>
      <c r="O32" s="16" t="s">
        <v>238</v>
      </c>
      <c r="P32" s="16"/>
      <c r="Q32" s="17" t="s">
        <v>239</v>
      </c>
    </row>
    <row r="33" spans="1:20" x14ac:dyDescent="0.4">
      <c r="A33" s="16">
        <v>130017</v>
      </c>
      <c r="B33" s="196">
        <v>45</v>
      </c>
      <c r="C33" s="16">
        <f t="shared" si="4"/>
        <v>225</v>
      </c>
      <c r="D33" s="196">
        <v>0</v>
      </c>
      <c r="E33" s="196">
        <v>0</v>
      </c>
      <c r="F33" s="196">
        <v>0</v>
      </c>
      <c r="G33" s="196">
        <v>0</v>
      </c>
      <c r="H33" s="196">
        <v>0</v>
      </c>
      <c r="I33" s="196">
        <v>0</v>
      </c>
      <c r="J33" s="26">
        <f t="shared" si="2"/>
        <v>0</v>
      </c>
      <c r="K33" s="26">
        <v>0</v>
      </c>
      <c r="L33" s="196">
        <f t="shared" si="3"/>
        <v>0</v>
      </c>
      <c r="M33" s="196" t="s">
        <v>236</v>
      </c>
      <c r="N33" s="196" t="s">
        <v>237</v>
      </c>
    </row>
    <row r="34" spans="1:20" x14ac:dyDescent="0.4">
      <c r="A34" s="16">
        <v>130018</v>
      </c>
      <c r="B34" s="17">
        <v>45</v>
      </c>
      <c r="C34" s="16">
        <f t="shared" si="4"/>
        <v>225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26">
        <f t="shared" si="2"/>
        <v>0</v>
      </c>
      <c r="K34" s="26">
        <v>0</v>
      </c>
      <c r="L34" s="17">
        <f t="shared" si="3"/>
        <v>0</v>
      </c>
      <c r="M34" s="17" t="s">
        <v>240</v>
      </c>
      <c r="N34" s="17" t="s">
        <v>241</v>
      </c>
    </row>
    <row r="35" spans="1:20" x14ac:dyDescent="0.4">
      <c r="A35" s="16">
        <v>130019</v>
      </c>
      <c r="B35" s="17">
        <v>50</v>
      </c>
      <c r="C35" s="16">
        <f t="shared" si="4"/>
        <v>250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26">
        <f t="shared" si="2"/>
        <v>0</v>
      </c>
      <c r="K35" s="26">
        <v>0</v>
      </c>
      <c r="L35" s="17">
        <f t="shared" si="3"/>
        <v>0</v>
      </c>
      <c r="M35" s="17" t="s">
        <v>242</v>
      </c>
      <c r="N35" s="17" t="s">
        <v>243</v>
      </c>
      <c r="O35" s="16" t="s">
        <v>244</v>
      </c>
      <c r="P35" s="16"/>
    </row>
    <row r="36" spans="1:20" x14ac:dyDescent="0.4">
      <c r="A36" s="16">
        <v>130020</v>
      </c>
      <c r="B36" s="17">
        <v>45</v>
      </c>
      <c r="C36" s="16">
        <f t="shared" si="4"/>
        <v>225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26">
        <f t="shared" si="2"/>
        <v>0</v>
      </c>
      <c r="K36" s="26">
        <v>0</v>
      </c>
      <c r="L36" s="17">
        <f t="shared" si="3"/>
        <v>0</v>
      </c>
      <c r="M36" s="17" t="s">
        <v>245</v>
      </c>
      <c r="N36" s="17" t="s">
        <v>246</v>
      </c>
      <c r="O36" s="16" t="s">
        <v>247</v>
      </c>
      <c r="P36" s="16"/>
      <c r="Q36" s="17" t="s">
        <v>248</v>
      </c>
      <c r="S36" t="s">
        <v>249</v>
      </c>
      <c r="T36" t="s">
        <v>250</v>
      </c>
    </row>
    <row r="37" spans="1:20" x14ac:dyDescent="0.4">
      <c r="A37" s="16">
        <v>130021</v>
      </c>
      <c r="B37" s="17">
        <v>60</v>
      </c>
      <c r="C37" s="16">
        <f t="shared" si="4"/>
        <v>300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26">
        <f t="shared" si="2"/>
        <v>0</v>
      </c>
      <c r="K37" s="26">
        <v>0</v>
      </c>
      <c r="L37" s="17">
        <f t="shared" si="3"/>
        <v>0</v>
      </c>
      <c r="M37" s="17" t="s">
        <v>251</v>
      </c>
      <c r="N37" s="17" t="s">
        <v>252</v>
      </c>
    </row>
    <row r="38" spans="1:20" x14ac:dyDescent="0.4">
      <c r="A38" s="1">
        <v>130022</v>
      </c>
      <c r="B38" s="135">
        <v>45</v>
      </c>
      <c r="C38" s="1">
        <f t="shared" si="4"/>
        <v>225</v>
      </c>
      <c r="D38" s="135">
        <v>0</v>
      </c>
      <c r="E38" s="135">
        <v>0</v>
      </c>
      <c r="F38" s="135">
        <v>0</v>
      </c>
      <c r="G38" s="135">
        <v>0</v>
      </c>
      <c r="H38" s="135">
        <v>1</v>
      </c>
      <c r="I38" s="135">
        <v>1</v>
      </c>
      <c r="J38" s="140">
        <f t="shared" si="2"/>
        <v>2</v>
      </c>
      <c r="K38" s="140">
        <f>J38-1</f>
        <v>1</v>
      </c>
      <c r="L38" s="135">
        <f t="shared" si="3"/>
        <v>45</v>
      </c>
      <c r="M38" s="135" t="s">
        <v>253</v>
      </c>
      <c r="N38" s="135" t="s">
        <v>254</v>
      </c>
    </row>
    <row r="39" spans="1:20" x14ac:dyDescent="0.4">
      <c r="A39" s="16">
        <v>130023</v>
      </c>
      <c r="B39" s="72">
        <v>45</v>
      </c>
      <c r="C39" s="16">
        <f t="shared" si="4"/>
        <v>225</v>
      </c>
      <c r="D39" s="72">
        <v>0</v>
      </c>
      <c r="E39" s="72">
        <v>0</v>
      </c>
      <c r="F39" s="72">
        <v>0</v>
      </c>
      <c r="G39" s="72">
        <v>0</v>
      </c>
      <c r="H39" s="72">
        <v>0</v>
      </c>
      <c r="I39" s="72">
        <v>0</v>
      </c>
      <c r="J39" s="26">
        <f t="shared" si="2"/>
        <v>0</v>
      </c>
      <c r="K39" s="26">
        <v>0</v>
      </c>
      <c r="L39" s="72">
        <f t="shared" si="3"/>
        <v>0</v>
      </c>
      <c r="M39" s="72" t="s">
        <v>253</v>
      </c>
      <c r="N39" s="72" t="s">
        <v>254</v>
      </c>
    </row>
    <row r="40" spans="1:20" x14ac:dyDescent="0.4">
      <c r="A40" s="1">
        <v>130024</v>
      </c>
      <c r="B40" s="135">
        <v>45</v>
      </c>
      <c r="C40" s="1">
        <f t="shared" si="4"/>
        <v>225</v>
      </c>
      <c r="D40" s="135">
        <v>0</v>
      </c>
      <c r="E40" s="135">
        <v>0</v>
      </c>
      <c r="F40" s="135">
        <v>0</v>
      </c>
      <c r="G40" s="135">
        <v>0</v>
      </c>
      <c r="H40" s="135">
        <v>0</v>
      </c>
      <c r="I40" s="135">
        <v>1</v>
      </c>
      <c r="J40" s="140">
        <f t="shared" si="2"/>
        <v>1</v>
      </c>
      <c r="K40" s="140">
        <f>J40-1</f>
        <v>0</v>
      </c>
      <c r="L40" s="135">
        <f t="shared" si="3"/>
        <v>0</v>
      </c>
      <c r="M40" s="135" t="s">
        <v>255</v>
      </c>
      <c r="N40" s="135" t="s">
        <v>256</v>
      </c>
      <c r="O40" s="1" t="s">
        <v>257</v>
      </c>
    </row>
    <row r="41" spans="1:20" x14ac:dyDescent="0.4">
      <c r="A41" s="16">
        <v>130025</v>
      </c>
      <c r="B41" s="17">
        <v>45</v>
      </c>
      <c r="C41" s="16">
        <f t="shared" si="4"/>
        <v>225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26">
        <f t="shared" si="2"/>
        <v>0</v>
      </c>
      <c r="K41" s="26">
        <v>0</v>
      </c>
      <c r="L41" s="17">
        <f t="shared" si="3"/>
        <v>0</v>
      </c>
      <c r="M41" s="17" t="s">
        <v>255</v>
      </c>
      <c r="N41" s="17" t="s">
        <v>256</v>
      </c>
      <c r="O41" s="16" t="s">
        <v>258</v>
      </c>
      <c r="P41" s="17" t="s">
        <v>259</v>
      </c>
      <c r="Q41" s="17" t="s">
        <v>260</v>
      </c>
    </row>
    <row r="42" spans="1:20" x14ac:dyDescent="0.4">
      <c r="A42" s="1">
        <v>130026</v>
      </c>
      <c r="B42" s="135">
        <v>50</v>
      </c>
      <c r="C42" s="1">
        <f t="shared" si="4"/>
        <v>250</v>
      </c>
      <c r="D42" s="135">
        <v>0</v>
      </c>
      <c r="E42" s="135">
        <v>0</v>
      </c>
      <c r="F42" s="135">
        <v>0</v>
      </c>
      <c r="G42" s="135">
        <v>0</v>
      </c>
      <c r="H42" s="135">
        <v>1</v>
      </c>
      <c r="I42" s="135">
        <v>1</v>
      </c>
      <c r="J42" s="140">
        <f t="shared" si="2"/>
        <v>2</v>
      </c>
      <c r="K42" s="140">
        <f>J42-1</f>
        <v>1</v>
      </c>
      <c r="L42" s="135">
        <f t="shared" si="3"/>
        <v>50</v>
      </c>
      <c r="M42" s="135" t="s">
        <v>261</v>
      </c>
      <c r="N42" s="135" t="s">
        <v>262</v>
      </c>
      <c r="O42" s="1"/>
      <c r="P42" s="1" t="s">
        <v>263</v>
      </c>
      <c r="Q42" s="135" t="s">
        <v>264</v>
      </c>
    </row>
    <row r="43" spans="1:20" x14ac:dyDescent="0.4">
      <c r="A43" s="16">
        <v>130027</v>
      </c>
      <c r="B43" s="59">
        <v>70</v>
      </c>
      <c r="C43" s="16">
        <f t="shared" si="4"/>
        <v>350</v>
      </c>
      <c r="D43" s="59">
        <v>0</v>
      </c>
      <c r="E43" s="59">
        <v>0</v>
      </c>
      <c r="F43" s="59">
        <v>0</v>
      </c>
      <c r="G43" s="59">
        <v>0</v>
      </c>
      <c r="H43" s="59">
        <v>0</v>
      </c>
      <c r="I43" s="59">
        <v>0</v>
      </c>
      <c r="J43" s="26">
        <f t="shared" si="2"/>
        <v>0</v>
      </c>
      <c r="K43" s="26">
        <v>0</v>
      </c>
      <c r="L43" s="59">
        <f t="shared" si="3"/>
        <v>0</v>
      </c>
      <c r="M43" s="59" t="s">
        <v>261</v>
      </c>
      <c r="N43" s="59" t="s">
        <v>262</v>
      </c>
      <c r="O43" s="16"/>
      <c r="P43" s="16" t="s">
        <v>265</v>
      </c>
      <c r="Q43" s="16" t="s">
        <v>266</v>
      </c>
    </row>
    <row r="44" spans="1:20" x14ac:dyDescent="0.4">
      <c r="A44" s="1">
        <v>130028</v>
      </c>
      <c r="B44" s="135">
        <v>45</v>
      </c>
      <c r="C44" s="1">
        <f t="shared" si="4"/>
        <v>225</v>
      </c>
      <c r="D44" s="135">
        <v>0</v>
      </c>
      <c r="E44" s="135">
        <v>0</v>
      </c>
      <c r="F44" s="135">
        <v>0</v>
      </c>
      <c r="G44" s="135">
        <v>0</v>
      </c>
      <c r="H44" s="135">
        <v>0</v>
      </c>
      <c r="I44" s="135">
        <v>1</v>
      </c>
      <c r="J44" s="140">
        <f t="shared" si="2"/>
        <v>1</v>
      </c>
      <c r="K44" s="140">
        <f>J44-1</f>
        <v>0</v>
      </c>
      <c r="L44" s="135">
        <f t="shared" si="3"/>
        <v>0</v>
      </c>
      <c r="M44" s="135" t="s">
        <v>267</v>
      </c>
      <c r="N44" s="135" t="s">
        <v>268</v>
      </c>
      <c r="O44" s="1" t="s">
        <v>247</v>
      </c>
      <c r="P44" s="1"/>
      <c r="Q44" s="135" t="s">
        <v>231</v>
      </c>
    </row>
    <row r="45" spans="1:20" x14ac:dyDescent="0.4">
      <c r="A45" s="16">
        <v>130029</v>
      </c>
      <c r="B45" s="60">
        <v>45</v>
      </c>
      <c r="C45" s="16">
        <v>225</v>
      </c>
      <c r="D45" s="60">
        <v>0</v>
      </c>
      <c r="E45" s="60">
        <v>0</v>
      </c>
      <c r="F45" s="60">
        <v>0</v>
      </c>
      <c r="G45" s="60">
        <v>0</v>
      </c>
      <c r="H45" s="60">
        <v>0</v>
      </c>
      <c r="I45" s="60">
        <v>0</v>
      </c>
      <c r="J45" s="26">
        <f t="shared" si="2"/>
        <v>0</v>
      </c>
      <c r="K45" s="26">
        <v>0</v>
      </c>
      <c r="L45" s="60">
        <f t="shared" si="3"/>
        <v>0</v>
      </c>
      <c r="M45" s="60" t="s">
        <v>269</v>
      </c>
      <c r="N45" s="60" t="s">
        <v>270</v>
      </c>
      <c r="O45" s="16"/>
    </row>
    <row r="46" spans="1:20" x14ac:dyDescent="0.4">
      <c r="A46" s="1">
        <v>130030</v>
      </c>
      <c r="B46" s="135">
        <v>45</v>
      </c>
      <c r="C46" s="1">
        <f t="shared" ref="C46:C79" si="5">SUM(B46*5)</f>
        <v>225</v>
      </c>
      <c r="D46" s="135">
        <v>0</v>
      </c>
      <c r="E46" s="135">
        <v>0</v>
      </c>
      <c r="F46" s="135">
        <v>0</v>
      </c>
      <c r="G46" s="135">
        <v>0</v>
      </c>
      <c r="H46" s="135">
        <v>0</v>
      </c>
      <c r="I46" s="135">
        <v>1</v>
      </c>
      <c r="J46" s="140">
        <f t="shared" si="2"/>
        <v>1</v>
      </c>
      <c r="K46" s="140">
        <f>J46-1</f>
        <v>0</v>
      </c>
      <c r="L46" s="135">
        <f t="shared" si="3"/>
        <v>0</v>
      </c>
      <c r="M46" s="135" t="s">
        <v>269</v>
      </c>
      <c r="N46" s="135" t="s">
        <v>270</v>
      </c>
    </row>
    <row r="47" spans="1:20" x14ac:dyDescent="0.4">
      <c r="A47" s="16">
        <v>130031</v>
      </c>
      <c r="B47" s="17">
        <v>60</v>
      </c>
      <c r="C47" s="16">
        <v>300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26">
        <f t="shared" si="2"/>
        <v>0</v>
      </c>
      <c r="K47" s="26">
        <v>0</v>
      </c>
      <c r="L47" s="17">
        <f t="shared" si="3"/>
        <v>0</v>
      </c>
      <c r="M47" s="17" t="s">
        <v>269</v>
      </c>
      <c r="N47" s="17" t="s">
        <v>270</v>
      </c>
      <c r="O47" s="16" t="s">
        <v>271</v>
      </c>
    </row>
    <row r="48" spans="1:20" x14ac:dyDescent="0.4">
      <c r="A48" s="16">
        <v>130032</v>
      </c>
      <c r="B48" s="50">
        <v>45</v>
      </c>
      <c r="C48" s="16">
        <f t="shared" si="5"/>
        <v>225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26">
        <f t="shared" si="2"/>
        <v>0</v>
      </c>
      <c r="K48" s="26">
        <v>0</v>
      </c>
      <c r="L48" s="50">
        <f t="shared" si="3"/>
        <v>0</v>
      </c>
      <c r="M48" s="50" t="s">
        <v>269</v>
      </c>
      <c r="N48" s="50" t="s">
        <v>270</v>
      </c>
    </row>
    <row r="49" spans="1:19" x14ac:dyDescent="0.4">
      <c r="A49" s="16">
        <v>130033</v>
      </c>
      <c r="B49" s="69">
        <v>60</v>
      </c>
      <c r="C49" s="16">
        <f t="shared" si="5"/>
        <v>300</v>
      </c>
      <c r="D49" s="69">
        <v>0</v>
      </c>
      <c r="E49" s="69">
        <v>0</v>
      </c>
      <c r="F49" s="69">
        <v>0</v>
      </c>
      <c r="G49" s="69">
        <v>0</v>
      </c>
      <c r="H49" s="69">
        <v>0</v>
      </c>
      <c r="I49" s="69">
        <v>0</v>
      </c>
      <c r="J49" s="26">
        <f t="shared" si="2"/>
        <v>0</v>
      </c>
      <c r="K49" s="26">
        <v>0</v>
      </c>
      <c r="L49" s="69">
        <f t="shared" si="3"/>
        <v>0</v>
      </c>
      <c r="M49" s="69" t="s">
        <v>272</v>
      </c>
      <c r="N49" s="69" t="s">
        <v>273</v>
      </c>
    </row>
    <row r="50" spans="1:19" x14ac:dyDescent="0.4">
      <c r="A50" s="1">
        <v>130034</v>
      </c>
      <c r="B50" s="135">
        <v>45</v>
      </c>
      <c r="C50" s="1">
        <v>225</v>
      </c>
      <c r="D50" s="135">
        <v>0</v>
      </c>
      <c r="E50" s="135">
        <v>0</v>
      </c>
      <c r="F50" s="135">
        <v>0</v>
      </c>
      <c r="G50" s="135">
        <v>0</v>
      </c>
      <c r="H50" s="135">
        <v>0</v>
      </c>
      <c r="I50" s="135">
        <v>1</v>
      </c>
      <c r="J50" s="140">
        <f t="shared" ref="J50:J78" si="6">SUM(D50:I50)</f>
        <v>1</v>
      </c>
      <c r="K50" s="140">
        <f>J50-1</f>
        <v>0</v>
      </c>
      <c r="L50" s="135">
        <f t="shared" si="3"/>
        <v>0</v>
      </c>
      <c r="M50" s="135" t="s">
        <v>274</v>
      </c>
      <c r="N50" s="135" t="s">
        <v>275</v>
      </c>
    </row>
    <row r="51" spans="1:19" x14ac:dyDescent="0.4">
      <c r="A51" s="16">
        <v>130035</v>
      </c>
      <c r="B51" s="17">
        <v>60</v>
      </c>
      <c r="C51" s="16">
        <v>300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26">
        <f t="shared" si="6"/>
        <v>0</v>
      </c>
      <c r="K51" s="26">
        <v>0</v>
      </c>
      <c r="L51" s="17">
        <f t="shared" si="3"/>
        <v>0</v>
      </c>
      <c r="M51" s="17" t="s">
        <v>276</v>
      </c>
      <c r="N51" s="17" t="s">
        <v>276</v>
      </c>
    </row>
    <row r="52" spans="1:19" x14ac:dyDescent="0.4">
      <c r="A52" s="1">
        <v>130036</v>
      </c>
      <c r="B52" s="1" t="s">
        <v>212</v>
      </c>
      <c r="C52" s="1"/>
      <c r="D52" s="195">
        <v>0</v>
      </c>
      <c r="E52" s="195">
        <v>0</v>
      </c>
      <c r="F52" s="195">
        <v>0</v>
      </c>
      <c r="G52" s="195">
        <v>0</v>
      </c>
      <c r="H52" s="195">
        <v>0</v>
      </c>
      <c r="I52" s="195">
        <v>0</v>
      </c>
      <c r="J52" s="140">
        <f t="shared" si="6"/>
        <v>0</v>
      </c>
      <c r="K52" s="140">
        <v>0</v>
      </c>
      <c r="L52" s="195"/>
      <c r="M52" s="195" t="s">
        <v>277</v>
      </c>
      <c r="N52" s="195" t="s">
        <v>277</v>
      </c>
      <c r="O52" s="1" t="s">
        <v>278</v>
      </c>
      <c r="P52" s="1"/>
      <c r="Q52" s="1"/>
      <c r="R52" s="1"/>
    </row>
    <row r="53" spans="1:19" x14ac:dyDescent="0.4">
      <c r="A53" s="16">
        <v>130037</v>
      </c>
      <c r="B53" s="16"/>
      <c r="C53" s="16">
        <v>315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26">
        <f t="shared" si="6"/>
        <v>0</v>
      </c>
      <c r="K53" s="26">
        <v>0</v>
      </c>
      <c r="L53" s="17">
        <f t="shared" si="3"/>
        <v>0</v>
      </c>
      <c r="M53" s="17" t="s">
        <v>277</v>
      </c>
      <c r="N53" s="17" t="s">
        <v>279</v>
      </c>
    </row>
    <row r="54" spans="1:19" x14ac:dyDescent="0.4">
      <c r="A54" s="1">
        <v>130038</v>
      </c>
      <c r="B54" s="135">
        <v>50</v>
      </c>
      <c r="C54" s="1">
        <v>250</v>
      </c>
      <c r="D54" s="135">
        <v>0</v>
      </c>
      <c r="E54" s="135">
        <v>0</v>
      </c>
      <c r="F54" s="135">
        <v>0</v>
      </c>
      <c r="G54" s="135">
        <v>0</v>
      </c>
      <c r="H54" s="135">
        <v>0</v>
      </c>
      <c r="I54" s="135">
        <v>1</v>
      </c>
      <c r="J54" s="140">
        <f t="shared" si="6"/>
        <v>1</v>
      </c>
      <c r="K54" s="140">
        <f>J54-1</f>
        <v>0</v>
      </c>
      <c r="L54" s="135">
        <f t="shared" si="3"/>
        <v>0</v>
      </c>
      <c r="M54" s="135" t="s">
        <v>277</v>
      </c>
      <c r="N54" s="135" t="s">
        <v>279</v>
      </c>
    </row>
    <row r="55" spans="1:19" x14ac:dyDescent="0.4">
      <c r="A55" s="16">
        <v>130039</v>
      </c>
      <c r="B55" s="104">
        <v>45</v>
      </c>
      <c r="C55" s="16">
        <v>225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26">
        <f t="shared" si="6"/>
        <v>0</v>
      </c>
      <c r="K55" s="26">
        <v>0</v>
      </c>
      <c r="L55" s="104">
        <f t="shared" si="3"/>
        <v>0</v>
      </c>
      <c r="M55" s="104" t="s">
        <v>277</v>
      </c>
      <c r="N55" s="30" t="s">
        <v>279</v>
      </c>
    </row>
    <row r="56" spans="1:19" x14ac:dyDescent="0.4">
      <c r="A56" s="16">
        <v>130040</v>
      </c>
      <c r="B56" s="105">
        <v>50</v>
      </c>
      <c r="C56" s="16">
        <f t="shared" si="5"/>
        <v>250</v>
      </c>
      <c r="D56" s="105">
        <v>0</v>
      </c>
      <c r="E56" s="105">
        <v>0</v>
      </c>
      <c r="F56" s="105">
        <v>0</v>
      </c>
      <c r="G56" s="105">
        <v>0</v>
      </c>
      <c r="H56" s="105">
        <v>0</v>
      </c>
      <c r="I56" s="105">
        <v>0</v>
      </c>
      <c r="J56" s="26">
        <f t="shared" si="6"/>
        <v>0</v>
      </c>
      <c r="K56" s="26">
        <v>0</v>
      </c>
      <c r="L56" s="105">
        <f t="shared" si="3"/>
        <v>0</v>
      </c>
      <c r="M56" s="105" t="s">
        <v>280</v>
      </c>
      <c r="N56" s="30" t="s">
        <v>281</v>
      </c>
    </row>
    <row r="57" spans="1:19" x14ac:dyDescent="0.4">
      <c r="A57" s="16">
        <v>130041</v>
      </c>
      <c r="B57" s="46">
        <v>45</v>
      </c>
      <c r="C57" s="16">
        <f t="shared" si="5"/>
        <v>225</v>
      </c>
      <c r="D57" s="46">
        <v>0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26">
        <f t="shared" si="6"/>
        <v>0</v>
      </c>
      <c r="K57" s="26">
        <v>0</v>
      </c>
      <c r="L57" s="46">
        <f t="shared" si="3"/>
        <v>0</v>
      </c>
      <c r="M57" s="46" t="s">
        <v>280</v>
      </c>
      <c r="N57" s="30" t="s">
        <v>281</v>
      </c>
    </row>
    <row r="58" spans="1:19" x14ac:dyDescent="0.4">
      <c r="A58" s="22">
        <v>130042</v>
      </c>
      <c r="B58" s="22" t="s">
        <v>212</v>
      </c>
      <c r="C58" s="22"/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4">
        <f t="shared" si="6"/>
        <v>0</v>
      </c>
      <c r="K58" s="24">
        <v>0</v>
      </c>
      <c r="L58" s="23"/>
      <c r="M58" s="23" t="s">
        <v>282</v>
      </c>
      <c r="N58" s="29" t="s">
        <v>283</v>
      </c>
      <c r="O58" s="22" t="s">
        <v>284</v>
      </c>
      <c r="P58" s="22"/>
      <c r="Q58" s="22"/>
      <c r="R58" s="22"/>
      <c r="S58" s="22"/>
    </row>
    <row r="59" spans="1:19" x14ac:dyDescent="0.4">
      <c r="A59" s="1">
        <v>130043</v>
      </c>
      <c r="B59" s="135">
        <v>60</v>
      </c>
      <c r="C59" s="1">
        <f t="shared" si="5"/>
        <v>300</v>
      </c>
      <c r="D59" s="135">
        <v>0</v>
      </c>
      <c r="E59" s="135">
        <v>0</v>
      </c>
      <c r="F59" s="135">
        <v>0</v>
      </c>
      <c r="G59" s="135">
        <v>0</v>
      </c>
      <c r="H59" s="135">
        <v>0</v>
      </c>
      <c r="I59" s="135">
        <v>1</v>
      </c>
      <c r="J59" s="140">
        <f t="shared" si="6"/>
        <v>1</v>
      </c>
      <c r="K59" s="140">
        <f>J59-1</f>
        <v>0</v>
      </c>
      <c r="L59" s="135">
        <f t="shared" ref="L59:L96" si="7">SUM(B59*K59)</f>
        <v>0</v>
      </c>
      <c r="M59" s="135" t="s">
        <v>285</v>
      </c>
      <c r="N59" s="141" t="s">
        <v>286</v>
      </c>
      <c r="O59" s="1" t="s">
        <v>287</v>
      </c>
      <c r="P59" s="1" t="s">
        <v>288</v>
      </c>
      <c r="Q59" s="1"/>
      <c r="R59" s="142">
        <v>41408</v>
      </c>
      <c r="S59" s="1" t="s">
        <v>289</v>
      </c>
    </row>
    <row r="60" spans="1:19" x14ac:dyDescent="0.4">
      <c r="A60" s="16">
        <v>130044</v>
      </c>
      <c r="B60" s="44">
        <v>60</v>
      </c>
      <c r="C60" s="16">
        <f t="shared" si="5"/>
        <v>300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26">
        <f t="shared" si="6"/>
        <v>0</v>
      </c>
      <c r="K60" s="26">
        <v>0</v>
      </c>
      <c r="L60" s="44">
        <f t="shared" si="7"/>
        <v>0</v>
      </c>
      <c r="M60" s="44" t="s">
        <v>290</v>
      </c>
      <c r="N60" s="30" t="s">
        <v>291</v>
      </c>
    </row>
    <row r="61" spans="1:19" x14ac:dyDescent="0.4">
      <c r="A61" s="16">
        <v>130045</v>
      </c>
      <c r="B61" s="17">
        <v>50</v>
      </c>
      <c r="C61" s="16">
        <f t="shared" si="5"/>
        <v>250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26">
        <v>0</v>
      </c>
      <c r="K61" s="26">
        <v>0</v>
      </c>
      <c r="L61" s="17">
        <f t="shared" si="7"/>
        <v>0</v>
      </c>
      <c r="M61" s="17" t="s">
        <v>292</v>
      </c>
      <c r="N61" s="30" t="s">
        <v>293</v>
      </c>
    </row>
    <row r="62" spans="1:19" x14ac:dyDescent="0.4">
      <c r="A62" s="16">
        <v>130046</v>
      </c>
      <c r="B62" s="196">
        <v>60</v>
      </c>
      <c r="C62" s="16">
        <f t="shared" si="5"/>
        <v>300</v>
      </c>
      <c r="D62" s="196">
        <v>0</v>
      </c>
      <c r="E62" s="196">
        <v>0</v>
      </c>
      <c r="F62" s="196">
        <v>0</v>
      </c>
      <c r="G62" s="196">
        <v>0</v>
      </c>
      <c r="H62" s="196">
        <v>0</v>
      </c>
      <c r="I62" s="196">
        <v>0</v>
      </c>
      <c r="J62" s="26">
        <f t="shared" si="6"/>
        <v>0</v>
      </c>
      <c r="K62" s="26">
        <v>0</v>
      </c>
      <c r="L62" s="196">
        <f t="shared" si="7"/>
        <v>0</v>
      </c>
      <c r="M62" s="196" t="s">
        <v>294</v>
      </c>
      <c r="N62" s="30" t="s">
        <v>295</v>
      </c>
      <c r="O62" s="16" t="s">
        <v>296</v>
      </c>
      <c r="P62" s="16" t="s">
        <v>297</v>
      </c>
      <c r="Q62" s="16" t="s">
        <v>298</v>
      </c>
      <c r="R62" s="16"/>
      <c r="S62" s="16"/>
    </row>
    <row r="63" spans="1:19" x14ac:dyDescent="0.4">
      <c r="A63" s="16">
        <v>130047</v>
      </c>
      <c r="B63" s="47">
        <v>45</v>
      </c>
      <c r="C63" s="16">
        <f t="shared" si="5"/>
        <v>225</v>
      </c>
      <c r="D63" s="47">
        <v>0</v>
      </c>
      <c r="E63" s="47">
        <v>0</v>
      </c>
      <c r="F63" s="47">
        <v>0</v>
      </c>
      <c r="G63" s="47">
        <v>0</v>
      </c>
      <c r="H63" s="47">
        <v>0</v>
      </c>
      <c r="I63" s="47">
        <v>0</v>
      </c>
      <c r="J63" s="26">
        <f t="shared" si="6"/>
        <v>0</v>
      </c>
      <c r="K63" s="26">
        <v>0</v>
      </c>
      <c r="L63" s="47">
        <f t="shared" si="7"/>
        <v>0</v>
      </c>
      <c r="M63" s="47" t="s">
        <v>299</v>
      </c>
      <c r="N63" s="30" t="s">
        <v>300</v>
      </c>
      <c r="O63" s="16" t="s">
        <v>301</v>
      </c>
    </row>
    <row r="64" spans="1:19" x14ac:dyDescent="0.4">
      <c r="A64" s="16">
        <v>130048</v>
      </c>
      <c r="B64" s="16" t="s">
        <v>212</v>
      </c>
      <c r="C64" s="16"/>
      <c r="D64" s="64">
        <v>0</v>
      </c>
      <c r="E64" s="64">
        <v>0</v>
      </c>
      <c r="F64" s="64"/>
      <c r="G64" s="64" t="s">
        <v>302</v>
      </c>
      <c r="H64" s="64"/>
      <c r="I64" s="64"/>
      <c r="J64" s="26"/>
      <c r="K64" s="26"/>
      <c r="L64" s="64"/>
      <c r="M64" s="64" t="s">
        <v>299</v>
      </c>
      <c r="N64" s="30" t="s">
        <v>300</v>
      </c>
      <c r="O64" s="16" t="s">
        <v>265</v>
      </c>
      <c r="P64" s="16" t="s">
        <v>303</v>
      </c>
      <c r="Q64" s="16"/>
      <c r="R64" s="16"/>
      <c r="S64" s="16"/>
    </row>
    <row r="65" spans="1:20" x14ac:dyDescent="0.4">
      <c r="A65" s="16">
        <v>130049</v>
      </c>
      <c r="B65" s="17">
        <v>45</v>
      </c>
      <c r="C65" s="16">
        <f t="shared" si="5"/>
        <v>225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26">
        <f t="shared" si="6"/>
        <v>0</v>
      </c>
      <c r="K65" s="26">
        <v>0</v>
      </c>
      <c r="L65" s="17">
        <f t="shared" si="7"/>
        <v>0</v>
      </c>
      <c r="M65" s="17" t="s">
        <v>304</v>
      </c>
      <c r="N65" s="30" t="s">
        <v>305</v>
      </c>
    </row>
    <row r="66" spans="1:20" x14ac:dyDescent="0.4">
      <c r="A66" s="16">
        <v>130050</v>
      </c>
      <c r="B66" s="110">
        <v>78</v>
      </c>
      <c r="C66" s="16">
        <f t="shared" si="5"/>
        <v>390</v>
      </c>
      <c r="D66" s="110">
        <v>0</v>
      </c>
      <c r="E66" s="110">
        <v>0</v>
      </c>
      <c r="F66" s="110">
        <v>0</v>
      </c>
      <c r="G66" s="110">
        <v>0</v>
      </c>
      <c r="H66" s="110">
        <v>0</v>
      </c>
      <c r="I66" s="110">
        <v>0</v>
      </c>
      <c r="J66" s="26">
        <f t="shared" si="6"/>
        <v>0</v>
      </c>
      <c r="K66" s="26">
        <v>0</v>
      </c>
      <c r="L66" s="110">
        <f t="shared" si="7"/>
        <v>0</v>
      </c>
      <c r="M66" s="110" t="s">
        <v>304</v>
      </c>
      <c r="N66" s="30" t="s">
        <v>305</v>
      </c>
      <c r="O66" s="16" t="s">
        <v>306</v>
      </c>
      <c r="S66" t="s">
        <v>307</v>
      </c>
      <c r="T66" t="s">
        <v>308</v>
      </c>
    </row>
    <row r="67" spans="1:20" x14ac:dyDescent="0.4">
      <c r="A67" s="16">
        <v>130051</v>
      </c>
      <c r="B67" s="17">
        <v>60</v>
      </c>
      <c r="C67" s="16">
        <f t="shared" si="5"/>
        <v>300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26">
        <f t="shared" si="6"/>
        <v>0</v>
      </c>
      <c r="K67" s="26">
        <v>0</v>
      </c>
      <c r="L67" s="17">
        <f t="shared" si="7"/>
        <v>0</v>
      </c>
      <c r="M67" s="17" t="s">
        <v>309</v>
      </c>
      <c r="N67" s="30" t="s">
        <v>310</v>
      </c>
      <c r="O67" s="16" t="s">
        <v>311</v>
      </c>
      <c r="P67" s="16"/>
    </row>
    <row r="68" spans="1:20" x14ac:dyDescent="0.4">
      <c r="A68" s="16">
        <v>130052</v>
      </c>
      <c r="B68" s="17">
        <v>525</v>
      </c>
      <c r="C68" s="16"/>
      <c r="D68" s="17"/>
      <c r="E68" s="17"/>
      <c r="F68" s="17"/>
      <c r="G68" s="17"/>
      <c r="H68" s="17">
        <v>1</v>
      </c>
      <c r="I68" s="17"/>
      <c r="J68" s="26"/>
      <c r="K68" s="26"/>
      <c r="L68" s="17">
        <v>0</v>
      </c>
      <c r="M68" s="17" t="s">
        <v>312</v>
      </c>
      <c r="N68" s="30" t="s">
        <v>313</v>
      </c>
      <c r="O68" s="16" t="s">
        <v>314</v>
      </c>
      <c r="P68" s="16"/>
      <c r="Q68" s="16"/>
    </row>
    <row r="69" spans="1:20" x14ac:dyDescent="0.4">
      <c r="A69" s="16">
        <v>130053</v>
      </c>
      <c r="B69" s="17">
        <v>45</v>
      </c>
      <c r="C69" s="16">
        <f t="shared" si="5"/>
        <v>225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26">
        <f t="shared" si="6"/>
        <v>0</v>
      </c>
      <c r="K69" s="26">
        <v>0</v>
      </c>
      <c r="L69" s="17">
        <f t="shared" si="7"/>
        <v>0</v>
      </c>
      <c r="M69" s="17" t="s">
        <v>315</v>
      </c>
      <c r="N69" s="30" t="s">
        <v>316</v>
      </c>
    </row>
    <row r="70" spans="1:20" x14ac:dyDescent="0.4">
      <c r="A70" s="22">
        <v>130054</v>
      </c>
      <c r="B70" s="22"/>
      <c r="C70" s="22"/>
      <c r="D70" s="23" t="s">
        <v>15</v>
      </c>
      <c r="E70" s="23" t="s">
        <v>317</v>
      </c>
      <c r="F70" s="23" t="s">
        <v>318</v>
      </c>
      <c r="G70" s="23" t="s">
        <v>319</v>
      </c>
      <c r="H70" s="23" t="s">
        <v>320</v>
      </c>
      <c r="I70" s="23" t="s">
        <v>321</v>
      </c>
      <c r="J70" s="24"/>
      <c r="K70" s="24"/>
      <c r="L70" s="23"/>
      <c r="M70" s="23" t="s">
        <v>322</v>
      </c>
      <c r="N70" s="29"/>
      <c r="O70" s="22" t="s">
        <v>323</v>
      </c>
      <c r="P70" s="22"/>
      <c r="Q70" s="2038" t="s">
        <v>324</v>
      </c>
      <c r="R70" s="2038"/>
    </row>
    <row r="71" spans="1:20" x14ac:dyDescent="0.4">
      <c r="A71" s="22">
        <v>130055</v>
      </c>
      <c r="B71" s="22"/>
      <c r="C71" s="22"/>
      <c r="D71" s="23" t="s">
        <v>15</v>
      </c>
      <c r="E71" s="23" t="s">
        <v>317</v>
      </c>
      <c r="F71" s="23" t="s">
        <v>318</v>
      </c>
      <c r="G71" s="23" t="s">
        <v>319</v>
      </c>
      <c r="H71" s="23" t="s">
        <v>320</v>
      </c>
      <c r="I71" s="23" t="s">
        <v>321</v>
      </c>
      <c r="J71" s="24"/>
      <c r="K71" s="24"/>
      <c r="L71" s="23"/>
      <c r="M71" s="23" t="s">
        <v>322</v>
      </c>
      <c r="N71" s="29"/>
      <c r="O71" s="22" t="s">
        <v>325</v>
      </c>
      <c r="P71" s="22"/>
      <c r="Q71" s="2038" t="s">
        <v>324</v>
      </c>
      <c r="R71" s="2038"/>
    </row>
    <row r="72" spans="1:20" x14ac:dyDescent="0.4">
      <c r="A72" s="16">
        <v>130056</v>
      </c>
      <c r="B72" s="126">
        <v>45</v>
      </c>
      <c r="C72" s="16">
        <v>225</v>
      </c>
      <c r="D72" s="126">
        <v>0</v>
      </c>
      <c r="E72" s="126">
        <v>0</v>
      </c>
      <c r="F72" s="126">
        <v>0</v>
      </c>
      <c r="G72" s="126">
        <v>0</v>
      </c>
      <c r="H72" s="126">
        <v>0</v>
      </c>
      <c r="I72" s="126">
        <v>0</v>
      </c>
      <c r="J72" s="26">
        <f t="shared" si="6"/>
        <v>0</v>
      </c>
      <c r="K72" s="26">
        <v>0</v>
      </c>
      <c r="L72" s="126">
        <f t="shared" si="7"/>
        <v>0</v>
      </c>
      <c r="M72" s="126" t="s">
        <v>326</v>
      </c>
      <c r="N72" s="30" t="s">
        <v>327</v>
      </c>
    </row>
    <row r="73" spans="1:20" x14ac:dyDescent="0.4">
      <c r="A73" s="16">
        <v>130057</v>
      </c>
      <c r="B73" s="17">
        <v>45</v>
      </c>
      <c r="C73" s="16">
        <v>225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26">
        <f t="shared" si="6"/>
        <v>0</v>
      </c>
      <c r="K73" s="26">
        <v>0</v>
      </c>
      <c r="L73" s="17">
        <f t="shared" si="7"/>
        <v>0</v>
      </c>
      <c r="M73" s="17" t="s">
        <v>326</v>
      </c>
      <c r="N73" s="30" t="s">
        <v>327</v>
      </c>
    </row>
    <row r="74" spans="1:20" x14ac:dyDescent="0.4">
      <c r="A74" s="16">
        <v>130058</v>
      </c>
      <c r="B74" s="17">
        <v>45</v>
      </c>
      <c r="C74" s="16">
        <f t="shared" si="5"/>
        <v>225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26">
        <v>0</v>
      </c>
      <c r="K74" s="26">
        <v>0</v>
      </c>
      <c r="L74" s="17">
        <v>0</v>
      </c>
      <c r="M74" s="17" t="s">
        <v>328</v>
      </c>
      <c r="N74" s="30" t="s">
        <v>329</v>
      </c>
    </row>
    <row r="75" spans="1:20" x14ac:dyDescent="0.4">
      <c r="A75" s="16">
        <v>130059</v>
      </c>
      <c r="B75" s="17">
        <v>45</v>
      </c>
      <c r="C75" s="16">
        <f t="shared" si="5"/>
        <v>225</v>
      </c>
      <c r="D75" s="17">
        <v>0</v>
      </c>
      <c r="E75" s="17">
        <v>0</v>
      </c>
      <c r="F75" s="17">
        <v>0</v>
      </c>
      <c r="G75" s="17">
        <v>0</v>
      </c>
      <c r="H75" s="17">
        <v>0</v>
      </c>
      <c r="I75" s="17">
        <v>0</v>
      </c>
      <c r="J75" s="26">
        <f t="shared" si="6"/>
        <v>0</v>
      </c>
      <c r="K75" s="26">
        <v>0</v>
      </c>
      <c r="L75" s="17">
        <f t="shared" si="7"/>
        <v>0</v>
      </c>
      <c r="M75" s="17" t="s">
        <v>330</v>
      </c>
      <c r="N75" s="30" t="s">
        <v>331</v>
      </c>
      <c r="S75" t="s">
        <v>154</v>
      </c>
    </row>
    <row r="76" spans="1:20" x14ac:dyDescent="0.4">
      <c r="A76" s="16">
        <v>130060</v>
      </c>
      <c r="B76" s="55">
        <v>50</v>
      </c>
      <c r="C76" s="16">
        <f t="shared" si="5"/>
        <v>250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26">
        <f t="shared" si="6"/>
        <v>0</v>
      </c>
      <c r="K76" s="26">
        <v>0</v>
      </c>
      <c r="L76" s="55">
        <f t="shared" si="7"/>
        <v>0</v>
      </c>
      <c r="M76" s="55" t="s">
        <v>332</v>
      </c>
      <c r="N76" s="30" t="s">
        <v>333</v>
      </c>
      <c r="O76" t="s">
        <v>334</v>
      </c>
    </row>
    <row r="77" spans="1:20" x14ac:dyDescent="0.4">
      <c r="A77" s="16">
        <v>130061</v>
      </c>
      <c r="B77" s="17">
        <v>45</v>
      </c>
      <c r="C77" s="16">
        <f t="shared" si="5"/>
        <v>225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26">
        <f t="shared" si="6"/>
        <v>0</v>
      </c>
      <c r="K77" s="26">
        <v>0</v>
      </c>
      <c r="L77" s="17">
        <f t="shared" si="7"/>
        <v>0</v>
      </c>
      <c r="M77" s="17" t="s">
        <v>332</v>
      </c>
      <c r="N77" s="30" t="s">
        <v>333</v>
      </c>
    </row>
    <row r="78" spans="1:20" x14ac:dyDescent="0.4">
      <c r="A78" s="1">
        <v>130062</v>
      </c>
      <c r="B78" s="135">
        <v>50</v>
      </c>
      <c r="C78" s="1">
        <f t="shared" si="5"/>
        <v>250</v>
      </c>
      <c r="D78" s="135">
        <v>0</v>
      </c>
      <c r="E78" s="135">
        <v>0</v>
      </c>
      <c r="F78" s="135">
        <v>0</v>
      </c>
      <c r="G78" s="135">
        <v>0</v>
      </c>
      <c r="H78" s="135">
        <v>1</v>
      </c>
      <c r="I78" s="135">
        <v>1</v>
      </c>
      <c r="J78" s="140">
        <f t="shared" si="6"/>
        <v>2</v>
      </c>
      <c r="K78" s="140">
        <f>J78-1</f>
        <v>1</v>
      </c>
      <c r="L78" s="135">
        <f t="shared" si="7"/>
        <v>50</v>
      </c>
      <c r="M78" s="135" t="s">
        <v>335</v>
      </c>
      <c r="N78" s="141" t="s">
        <v>336</v>
      </c>
    </row>
    <row r="79" spans="1:20" x14ac:dyDescent="0.4">
      <c r="A79" s="16">
        <v>130063</v>
      </c>
      <c r="B79" s="77">
        <v>60</v>
      </c>
      <c r="C79" s="16">
        <f t="shared" si="5"/>
        <v>300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26">
        <f t="shared" ref="J79:J96" si="8">SUM(D79:I79)</f>
        <v>0</v>
      </c>
      <c r="K79" s="26">
        <v>0</v>
      </c>
      <c r="L79" s="77">
        <f t="shared" si="7"/>
        <v>0</v>
      </c>
      <c r="M79" s="77" t="s">
        <v>335</v>
      </c>
      <c r="N79" s="30" t="s">
        <v>336</v>
      </c>
      <c r="O79" s="16"/>
    </row>
    <row r="80" spans="1:20" x14ac:dyDescent="0.4">
      <c r="A80">
        <v>130064</v>
      </c>
      <c r="B80" s="76">
        <v>45</v>
      </c>
      <c r="C80" s="16">
        <v>235</v>
      </c>
      <c r="D80" s="76">
        <v>0</v>
      </c>
      <c r="E80" s="76">
        <v>0</v>
      </c>
      <c r="F80" s="76">
        <v>0</v>
      </c>
      <c r="G80" s="76">
        <v>0</v>
      </c>
      <c r="H80" s="76">
        <v>0</v>
      </c>
      <c r="I80" s="76">
        <v>0</v>
      </c>
      <c r="J80" s="26">
        <f t="shared" si="8"/>
        <v>0</v>
      </c>
      <c r="K80" s="26">
        <v>0</v>
      </c>
      <c r="L80" s="76">
        <f t="shared" si="7"/>
        <v>0</v>
      </c>
      <c r="M80" s="76" t="s">
        <v>335</v>
      </c>
      <c r="N80" s="30" t="s">
        <v>336</v>
      </c>
      <c r="O80" s="16" t="s">
        <v>337</v>
      </c>
    </row>
    <row r="81" spans="1:20" x14ac:dyDescent="0.4">
      <c r="A81" s="16">
        <v>130065</v>
      </c>
      <c r="B81" s="17">
        <v>60</v>
      </c>
      <c r="C81" s="16">
        <v>300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26">
        <f t="shared" si="8"/>
        <v>0</v>
      </c>
      <c r="K81" s="26">
        <v>0</v>
      </c>
      <c r="L81" s="17">
        <f t="shared" si="7"/>
        <v>0</v>
      </c>
      <c r="M81" s="17" t="s">
        <v>338</v>
      </c>
      <c r="N81" s="30" t="s">
        <v>339</v>
      </c>
      <c r="O81" s="16"/>
      <c r="S81" t="s">
        <v>340</v>
      </c>
      <c r="T81" t="s">
        <v>341</v>
      </c>
    </row>
    <row r="82" spans="1:20" x14ac:dyDescent="0.4">
      <c r="A82" s="16">
        <v>130066</v>
      </c>
      <c r="B82" s="17">
        <v>45</v>
      </c>
      <c r="C82" s="16">
        <f t="shared" ref="C82:C96" si="9">SUM(B82*5)</f>
        <v>225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26">
        <f t="shared" si="8"/>
        <v>0</v>
      </c>
      <c r="K82" s="26">
        <v>0</v>
      </c>
      <c r="L82" s="17">
        <f t="shared" si="7"/>
        <v>0</v>
      </c>
      <c r="M82" s="17" t="s">
        <v>342</v>
      </c>
      <c r="N82" s="30" t="s">
        <v>343</v>
      </c>
      <c r="O82" s="16" t="s">
        <v>200</v>
      </c>
    </row>
    <row r="83" spans="1:20" x14ac:dyDescent="0.4">
      <c r="A83" s="1">
        <v>130067</v>
      </c>
      <c r="B83" s="135">
        <v>50</v>
      </c>
      <c r="C83" s="1">
        <f t="shared" si="9"/>
        <v>250</v>
      </c>
      <c r="D83" s="135">
        <v>0</v>
      </c>
      <c r="E83" s="135">
        <v>0</v>
      </c>
      <c r="F83" s="135">
        <v>0</v>
      </c>
      <c r="G83" s="135">
        <v>0</v>
      </c>
      <c r="H83" s="135">
        <v>0</v>
      </c>
      <c r="I83" s="135">
        <v>1</v>
      </c>
      <c r="J83" s="140">
        <f t="shared" si="8"/>
        <v>1</v>
      </c>
      <c r="K83" s="140">
        <f>J83-1</f>
        <v>0</v>
      </c>
      <c r="L83" s="135">
        <f t="shared" si="7"/>
        <v>0</v>
      </c>
      <c r="M83" s="135" t="s">
        <v>342</v>
      </c>
      <c r="N83" s="141" t="s">
        <v>343</v>
      </c>
      <c r="O83" s="1"/>
    </row>
    <row r="84" spans="1:20" x14ac:dyDescent="0.4">
      <c r="A84" s="1">
        <v>130068</v>
      </c>
      <c r="B84" s="135">
        <v>50</v>
      </c>
      <c r="C84" s="1">
        <f t="shared" si="9"/>
        <v>250</v>
      </c>
      <c r="D84" s="135">
        <v>0</v>
      </c>
      <c r="E84" s="135">
        <v>0</v>
      </c>
      <c r="F84" s="135">
        <v>0</v>
      </c>
      <c r="G84" s="135">
        <v>0</v>
      </c>
      <c r="H84" s="135">
        <v>1</v>
      </c>
      <c r="I84" s="135">
        <v>1</v>
      </c>
      <c r="J84" s="140">
        <f t="shared" si="8"/>
        <v>2</v>
      </c>
      <c r="K84" s="140">
        <f>J84-1</f>
        <v>1</v>
      </c>
      <c r="L84" s="135">
        <f t="shared" si="7"/>
        <v>50</v>
      </c>
      <c r="M84" s="135" t="s">
        <v>344</v>
      </c>
      <c r="N84" s="141" t="s">
        <v>345</v>
      </c>
      <c r="O84" s="1" t="s">
        <v>346</v>
      </c>
    </row>
    <row r="85" spans="1:20" x14ac:dyDescent="0.4">
      <c r="A85" s="16">
        <v>130069</v>
      </c>
      <c r="B85" s="66">
        <v>45</v>
      </c>
      <c r="C85" s="16">
        <f t="shared" si="9"/>
        <v>225</v>
      </c>
      <c r="D85" s="66">
        <v>0</v>
      </c>
      <c r="E85" s="66">
        <v>0</v>
      </c>
      <c r="F85" s="66">
        <v>0</v>
      </c>
      <c r="G85" s="66">
        <v>0</v>
      </c>
      <c r="H85" s="66">
        <v>0</v>
      </c>
      <c r="I85" s="66">
        <v>0</v>
      </c>
      <c r="J85" s="26">
        <f t="shared" si="8"/>
        <v>0</v>
      </c>
      <c r="K85" s="26">
        <v>0</v>
      </c>
      <c r="L85" s="66">
        <f t="shared" si="7"/>
        <v>0</v>
      </c>
      <c r="M85" s="66" t="s">
        <v>344</v>
      </c>
      <c r="N85" s="30" t="s">
        <v>345</v>
      </c>
      <c r="O85" s="16" t="s">
        <v>347</v>
      </c>
    </row>
    <row r="86" spans="1:20" x14ac:dyDescent="0.4">
      <c r="A86" s="16">
        <v>130070</v>
      </c>
      <c r="B86" s="17">
        <v>45</v>
      </c>
      <c r="C86" s="16">
        <f t="shared" si="9"/>
        <v>225</v>
      </c>
      <c r="D86" s="17">
        <v>0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  <c r="J86" s="26">
        <f t="shared" si="8"/>
        <v>0</v>
      </c>
      <c r="K86" s="26">
        <v>0</v>
      </c>
      <c r="L86" s="17">
        <f t="shared" si="7"/>
        <v>0</v>
      </c>
      <c r="M86" s="17" t="s">
        <v>348</v>
      </c>
      <c r="N86" s="30" t="s">
        <v>349</v>
      </c>
      <c r="O86" s="16" t="s">
        <v>350</v>
      </c>
      <c r="P86" s="16"/>
    </row>
    <row r="87" spans="1:20" x14ac:dyDescent="0.4">
      <c r="A87" s="16">
        <v>130071</v>
      </c>
      <c r="B87" s="17">
        <v>45</v>
      </c>
      <c r="C87" s="16">
        <f t="shared" si="9"/>
        <v>225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26">
        <f t="shared" si="8"/>
        <v>0</v>
      </c>
      <c r="K87" s="26">
        <v>0</v>
      </c>
      <c r="L87" s="17">
        <f t="shared" si="7"/>
        <v>0</v>
      </c>
      <c r="M87" s="17" t="s">
        <v>348</v>
      </c>
      <c r="N87" s="30" t="s">
        <v>349</v>
      </c>
    </row>
    <row r="88" spans="1:20" x14ac:dyDescent="0.4">
      <c r="A88" s="16">
        <v>130072</v>
      </c>
      <c r="B88" s="17">
        <v>78</v>
      </c>
      <c r="C88" s="16">
        <f t="shared" si="9"/>
        <v>390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26">
        <f t="shared" si="8"/>
        <v>0</v>
      </c>
      <c r="K88" s="26">
        <v>0</v>
      </c>
      <c r="L88" s="17">
        <f t="shared" si="7"/>
        <v>0</v>
      </c>
      <c r="M88" s="17" t="s">
        <v>348</v>
      </c>
      <c r="N88" s="30" t="s">
        <v>349</v>
      </c>
    </row>
    <row r="89" spans="1:20" x14ac:dyDescent="0.4">
      <c r="A89" s="16">
        <v>130073</v>
      </c>
      <c r="B89" s="17">
        <v>60</v>
      </c>
      <c r="C89" s="16">
        <f t="shared" si="9"/>
        <v>300</v>
      </c>
      <c r="D89" s="17">
        <v>0</v>
      </c>
      <c r="E89" s="17">
        <v>0</v>
      </c>
      <c r="F89" s="17">
        <v>0</v>
      </c>
      <c r="G89" s="17">
        <v>0</v>
      </c>
      <c r="H89" s="17">
        <v>0</v>
      </c>
      <c r="I89" s="17">
        <v>0</v>
      </c>
      <c r="J89" s="26">
        <f t="shared" si="8"/>
        <v>0</v>
      </c>
      <c r="K89" s="26">
        <v>0</v>
      </c>
      <c r="L89" s="17">
        <f t="shared" si="7"/>
        <v>0</v>
      </c>
      <c r="M89" s="17" t="s">
        <v>351</v>
      </c>
      <c r="N89" s="30" t="s">
        <v>349</v>
      </c>
    </row>
    <row r="90" spans="1:20" x14ac:dyDescent="0.4">
      <c r="A90" s="16">
        <v>130074</v>
      </c>
      <c r="B90" s="45">
        <v>45</v>
      </c>
      <c r="C90" s="16">
        <f t="shared" si="9"/>
        <v>225</v>
      </c>
      <c r="D90" s="45">
        <v>0</v>
      </c>
      <c r="E90" s="45">
        <v>0</v>
      </c>
      <c r="F90" s="45">
        <v>0</v>
      </c>
      <c r="G90" s="45">
        <v>0</v>
      </c>
      <c r="H90" s="45">
        <v>0</v>
      </c>
      <c r="I90" s="45">
        <v>0</v>
      </c>
      <c r="J90" s="26">
        <f t="shared" si="8"/>
        <v>0</v>
      </c>
      <c r="K90" s="26">
        <v>0</v>
      </c>
      <c r="L90" s="45">
        <f t="shared" si="7"/>
        <v>0</v>
      </c>
      <c r="M90" s="45" t="s">
        <v>351</v>
      </c>
      <c r="N90" s="30" t="s">
        <v>349</v>
      </c>
    </row>
    <row r="91" spans="1:20" x14ac:dyDescent="0.4">
      <c r="A91" s="1">
        <v>130075</v>
      </c>
      <c r="B91" s="152">
        <v>60</v>
      </c>
      <c r="C91" s="1">
        <f t="shared" si="9"/>
        <v>300</v>
      </c>
      <c r="D91" s="152">
        <v>0</v>
      </c>
      <c r="E91" s="152">
        <v>0</v>
      </c>
      <c r="F91" s="152">
        <v>0</v>
      </c>
      <c r="G91" s="152">
        <v>1</v>
      </c>
      <c r="H91" s="152">
        <v>1</v>
      </c>
      <c r="I91" s="152">
        <v>1</v>
      </c>
      <c r="J91" s="140">
        <f t="shared" si="8"/>
        <v>3</v>
      </c>
      <c r="K91" s="140">
        <f>J91-1</f>
        <v>2</v>
      </c>
      <c r="L91" s="152">
        <f t="shared" si="7"/>
        <v>120</v>
      </c>
      <c r="M91" s="152" t="s">
        <v>352</v>
      </c>
      <c r="N91" s="141" t="s">
        <v>353</v>
      </c>
    </row>
    <row r="92" spans="1:20" x14ac:dyDescent="0.4">
      <c r="A92" s="16">
        <v>130076</v>
      </c>
      <c r="B92" s="74">
        <v>45</v>
      </c>
      <c r="C92" s="16">
        <f t="shared" si="9"/>
        <v>225</v>
      </c>
      <c r="D92" s="74">
        <v>0</v>
      </c>
      <c r="E92" s="74">
        <v>0</v>
      </c>
      <c r="F92" s="74">
        <v>0</v>
      </c>
      <c r="G92" s="74">
        <v>0</v>
      </c>
      <c r="H92" s="74">
        <v>0</v>
      </c>
      <c r="I92" s="74">
        <v>0</v>
      </c>
      <c r="J92" s="26">
        <f t="shared" si="8"/>
        <v>0</v>
      </c>
      <c r="K92" s="26">
        <v>0</v>
      </c>
      <c r="L92" s="74">
        <f t="shared" si="7"/>
        <v>0</v>
      </c>
      <c r="M92" s="74" t="s">
        <v>352</v>
      </c>
      <c r="N92" s="30" t="s">
        <v>353</v>
      </c>
      <c r="O92" s="16" t="s">
        <v>661</v>
      </c>
    </row>
    <row r="93" spans="1:20" x14ac:dyDescent="0.4">
      <c r="A93" s="1">
        <v>130077</v>
      </c>
      <c r="B93" s="164">
        <v>60</v>
      </c>
      <c r="C93" s="1">
        <f t="shared" si="9"/>
        <v>300</v>
      </c>
      <c r="D93" s="164">
        <v>0</v>
      </c>
      <c r="E93" s="164">
        <v>0</v>
      </c>
      <c r="F93" s="164">
        <v>0</v>
      </c>
      <c r="G93" s="164">
        <v>0</v>
      </c>
      <c r="H93" s="164">
        <v>0</v>
      </c>
      <c r="I93" s="164">
        <v>1</v>
      </c>
      <c r="J93" s="140">
        <f t="shared" si="8"/>
        <v>1</v>
      </c>
      <c r="K93" s="140">
        <f>J93-1</f>
        <v>0</v>
      </c>
      <c r="L93" s="164">
        <f t="shared" si="7"/>
        <v>0</v>
      </c>
      <c r="M93" s="164" t="s">
        <v>354</v>
      </c>
      <c r="N93" s="141" t="s">
        <v>355</v>
      </c>
    </row>
    <row r="94" spans="1:20" x14ac:dyDescent="0.4">
      <c r="A94" s="16">
        <v>130078</v>
      </c>
      <c r="B94" s="57">
        <v>45</v>
      </c>
      <c r="C94" s="16">
        <f t="shared" si="9"/>
        <v>225</v>
      </c>
      <c r="D94" s="57">
        <v>0</v>
      </c>
      <c r="E94" s="57">
        <v>0</v>
      </c>
      <c r="F94" s="57">
        <v>0</v>
      </c>
      <c r="G94" s="57">
        <v>0</v>
      </c>
      <c r="H94" s="57">
        <v>0</v>
      </c>
      <c r="I94" s="57">
        <v>0</v>
      </c>
      <c r="J94" s="26">
        <f t="shared" si="8"/>
        <v>0</v>
      </c>
      <c r="K94" s="26">
        <v>0</v>
      </c>
      <c r="L94" s="57">
        <f t="shared" si="7"/>
        <v>0</v>
      </c>
      <c r="M94" s="57" t="s">
        <v>354</v>
      </c>
      <c r="N94" s="30" t="s">
        <v>355</v>
      </c>
    </row>
    <row r="95" spans="1:20" x14ac:dyDescent="0.4">
      <c r="A95" s="16">
        <v>130079</v>
      </c>
      <c r="B95" s="17">
        <v>45</v>
      </c>
      <c r="C95" s="16">
        <f t="shared" si="9"/>
        <v>225</v>
      </c>
      <c r="D95" s="17">
        <v>0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26">
        <f t="shared" si="8"/>
        <v>0</v>
      </c>
      <c r="K95" s="26">
        <v>0</v>
      </c>
      <c r="L95" s="17">
        <f t="shared" si="7"/>
        <v>0</v>
      </c>
      <c r="M95" s="17" t="s">
        <v>354</v>
      </c>
      <c r="N95" s="30" t="s">
        <v>355</v>
      </c>
    </row>
    <row r="96" spans="1:20" x14ac:dyDescent="0.4">
      <c r="A96" s="16">
        <v>130080</v>
      </c>
      <c r="B96" s="52">
        <v>60</v>
      </c>
      <c r="C96" s="16">
        <f t="shared" si="9"/>
        <v>300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26">
        <f t="shared" si="8"/>
        <v>0</v>
      </c>
      <c r="K96" s="26">
        <v>0</v>
      </c>
      <c r="L96" s="52">
        <f t="shared" si="7"/>
        <v>0</v>
      </c>
      <c r="M96" s="52" t="s">
        <v>356</v>
      </c>
      <c r="N96" s="30" t="s">
        <v>357</v>
      </c>
    </row>
    <row r="97" spans="1:20" x14ac:dyDescent="0.4">
      <c r="A97" s="16">
        <v>130081</v>
      </c>
      <c r="B97" s="16" t="s">
        <v>212</v>
      </c>
      <c r="C97" s="16"/>
      <c r="D97" s="17">
        <v>1</v>
      </c>
      <c r="E97" s="16" t="s">
        <v>358</v>
      </c>
      <c r="F97" s="16"/>
      <c r="G97" s="16"/>
      <c r="H97" s="16"/>
      <c r="I97" s="16"/>
      <c r="J97" s="16"/>
      <c r="K97" s="16"/>
      <c r="L97" s="16"/>
      <c r="M97" s="16" t="s">
        <v>359</v>
      </c>
      <c r="N97" s="16"/>
      <c r="O97" s="16" t="s">
        <v>360</v>
      </c>
      <c r="P97" s="16"/>
      <c r="Q97" s="16"/>
    </row>
    <row r="98" spans="1:20" x14ac:dyDescent="0.4">
      <c r="A98" s="16">
        <v>130082</v>
      </c>
      <c r="B98" s="17">
        <v>45</v>
      </c>
      <c r="C98" s="16">
        <f>SUM(B98*5)</f>
        <v>225</v>
      </c>
      <c r="D98" s="17">
        <v>0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26">
        <f>SUM(D98:I98)</f>
        <v>0</v>
      </c>
      <c r="K98" s="26">
        <v>0</v>
      </c>
      <c r="L98" s="17">
        <f>SUM(B98*K98)</f>
        <v>0</v>
      </c>
      <c r="M98" s="17" t="s">
        <v>356</v>
      </c>
      <c r="N98" s="30" t="s">
        <v>357</v>
      </c>
    </row>
    <row r="99" spans="1:20" x14ac:dyDescent="0.4">
      <c r="A99" s="1">
        <v>130083</v>
      </c>
      <c r="B99" s="1" t="s">
        <v>212</v>
      </c>
      <c r="C99" s="1"/>
      <c r="D99" s="152">
        <v>0</v>
      </c>
      <c r="E99" s="152">
        <v>1</v>
      </c>
      <c r="F99" s="1" t="s">
        <v>302</v>
      </c>
      <c r="G99" s="1"/>
      <c r="H99" s="1"/>
      <c r="I99" s="1"/>
      <c r="J99" s="1"/>
      <c r="K99" s="1"/>
      <c r="L99" s="1"/>
      <c r="M99" s="152" t="s">
        <v>361</v>
      </c>
      <c r="N99" s="141" t="s">
        <v>362</v>
      </c>
      <c r="O99" s="1" t="s">
        <v>363</v>
      </c>
      <c r="P99" s="1"/>
      <c r="Q99" s="1"/>
    </row>
    <row r="100" spans="1:20" x14ac:dyDescent="0.4">
      <c r="A100" s="16">
        <v>130084</v>
      </c>
      <c r="B100" s="16" t="s">
        <v>212</v>
      </c>
      <c r="C100" s="16"/>
      <c r="D100" s="16" t="s">
        <v>364</v>
      </c>
      <c r="E100" s="16"/>
      <c r="F100" s="16"/>
      <c r="G100" s="16"/>
      <c r="H100" s="16"/>
      <c r="I100" s="16"/>
      <c r="J100" s="16" t="s">
        <v>154</v>
      </c>
      <c r="K100" s="16"/>
      <c r="L100" s="16"/>
      <c r="M100" s="17"/>
      <c r="N100" s="30"/>
      <c r="O100" s="16" t="s">
        <v>365</v>
      </c>
      <c r="P100" s="16"/>
      <c r="Q100" s="16"/>
      <c r="R100" s="2037" t="s">
        <v>366</v>
      </c>
      <c r="S100" s="2037"/>
    </row>
    <row r="101" spans="1:20" x14ac:dyDescent="0.4">
      <c r="A101" s="16">
        <v>130085</v>
      </c>
      <c r="B101" s="17">
        <v>45</v>
      </c>
      <c r="C101" s="16">
        <f t="shared" ref="C101:C112" si="10">SUM(B101*5)</f>
        <v>225</v>
      </c>
      <c r="D101" s="17">
        <v>0</v>
      </c>
      <c r="E101" s="17">
        <v>0</v>
      </c>
      <c r="F101" s="17">
        <v>0</v>
      </c>
      <c r="G101" s="17">
        <v>0</v>
      </c>
      <c r="H101" s="17">
        <v>0</v>
      </c>
      <c r="I101" s="17">
        <v>0</v>
      </c>
      <c r="J101" s="26">
        <f t="shared" ref="J101:J106" si="11">SUM(D101:I101)</f>
        <v>0</v>
      </c>
      <c r="K101" s="26">
        <v>0</v>
      </c>
      <c r="L101" s="17">
        <f t="shared" ref="L101:L106" si="12">SUM(B101*K101)</f>
        <v>0</v>
      </c>
      <c r="M101" s="17" t="s">
        <v>367</v>
      </c>
      <c r="N101" s="30" t="s">
        <v>368</v>
      </c>
    </row>
    <row r="102" spans="1:20" x14ac:dyDescent="0.4">
      <c r="A102" s="16">
        <v>130086</v>
      </c>
      <c r="B102" s="137">
        <v>45</v>
      </c>
      <c r="C102" s="16">
        <f t="shared" si="10"/>
        <v>225</v>
      </c>
      <c r="D102" s="137">
        <v>0</v>
      </c>
      <c r="E102" s="137">
        <v>0</v>
      </c>
      <c r="F102" s="137">
        <v>0</v>
      </c>
      <c r="G102" s="137">
        <v>0</v>
      </c>
      <c r="H102" s="137">
        <v>0</v>
      </c>
      <c r="I102" s="137">
        <v>0</v>
      </c>
      <c r="J102" s="26">
        <f t="shared" si="11"/>
        <v>0</v>
      </c>
      <c r="K102" s="26">
        <v>0</v>
      </c>
      <c r="L102" s="137">
        <f t="shared" si="12"/>
        <v>0</v>
      </c>
      <c r="M102" s="137" t="s">
        <v>367</v>
      </c>
      <c r="N102" s="30" t="s">
        <v>368</v>
      </c>
    </row>
    <row r="103" spans="1:20" x14ac:dyDescent="0.4">
      <c r="A103" s="16">
        <v>130087</v>
      </c>
      <c r="B103" s="17">
        <v>45</v>
      </c>
      <c r="C103" s="16">
        <f t="shared" si="10"/>
        <v>225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26">
        <f t="shared" si="11"/>
        <v>0</v>
      </c>
      <c r="K103" s="26">
        <v>0</v>
      </c>
      <c r="L103" s="17">
        <f t="shared" si="12"/>
        <v>0</v>
      </c>
      <c r="M103" s="17" t="s">
        <v>369</v>
      </c>
      <c r="N103" s="30" t="s">
        <v>370</v>
      </c>
    </row>
    <row r="104" spans="1:20" x14ac:dyDescent="0.4">
      <c r="A104" s="1">
        <v>130088</v>
      </c>
      <c r="B104" s="152">
        <v>45</v>
      </c>
      <c r="C104" s="1">
        <f t="shared" si="10"/>
        <v>225</v>
      </c>
      <c r="D104" s="152">
        <v>0</v>
      </c>
      <c r="E104" s="152">
        <v>0</v>
      </c>
      <c r="F104" s="152">
        <v>0</v>
      </c>
      <c r="G104" s="152">
        <v>0</v>
      </c>
      <c r="H104" s="152">
        <v>0</v>
      </c>
      <c r="I104" s="152">
        <v>1</v>
      </c>
      <c r="J104" s="140">
        <f t="shared" si="11"/>
        <v>1</v>
      </c>
      <c r="K104" s="140">
        <f>J104-1</f>
        <v>0</v>
      </c>
      <c r="L104" s="152">
        <f t="shared" si="12"/>
        <v>0</v>
      </c>
      <c r="M104" s="152" t="s">
        <v>369</v>
      </c>
      <c r="N104" s="141" t="s">
        <v>370</v>
      </c>
    </row>
    <row r="105" spans="1:20" x14ac:dyDescent="0.4">
      <c r="A105" s="16">
        <v>130089</v>
      </c>
      <c r="B105" s="52">
        <v>45</v>
      </c>
      <c r="C105" s="16">
        <f t="shared" si="10"/>
        <v>225</v>
      </c>
      <c r="D105" s="52">
        <v>0</v>
      </c>
      <c r="E105" s="52">
        <v>0</v>
      </c>
      <c r="F105" s="52">
        <v>0</v>
      </c>
      <c r="G105" s="52">
        <v>0</v>
      </c>
      <c r="H105" s="52">
        <v>0</v>
      </c>
      <c r="I105" s="52">
        <v>0</v>
      </c>
      <c r="J105" s="26">
        <f t="shared" si="11"/>
        <v>0</v>
      </c>
      <c r="K105" s="26">
        <v>0</v>
      </c>
      <c r="L105" s="52">
        <f t="shared" si="12"/>
        <v>0</v>
      </c>
      <c r="M105" s="52" t="s">
        <v>371</v>
      </c>
      <c r="N105" s="30" t="s">
        <v>372</v>
      </c>
    </row>
    <row r="106" spans="1:20" x14ac:dyDescent="0.4">
      <c r="A106" s="16">
        <v>130090</v>
      </c>
      <c r="B106" s="165">
        <v>60</v>
      </c>
      <c r="C106" s="16">
        <f t="shared" si="10"/>
        <v>300</v>
      </c>
      <c r="D106" s="165">
        <v>0</v>
      </c>
      <c r="E106" s="165">
        <v>0</v>
      </c>
      <c r="F106" s="165">
        <v>0</v>
      </c>
      <c r="G106" s="165">
        <v>0</v>
      </c>
      <c r="H106" s="165">
        <v>0</v>
      </c>
      <c r="I106" s="165">
        <v>0</v>
      </c>
      <c r="J106" s="26">
        <f t="shared" si="11"/>
        <v>0</v>
      </c>
      <c r="K106" s="26">
        <v>0</v>
      </c>
      <c r="L106" s="165">
        <f t="shared" si="12"/>
        <v>0</v>
      </c>
      <c r="M106" s="165" t="s">
        <v>373</v>
      </c>
      <c r="N106" s="30" t="s">
        <v>374</v>
      </c>
    </row>
    <row r="107" spans="1:20" x14ac:dyDescent="0.4">
      <c r="A107" s="16">
        <v>130091</v>
      </c>
      <c r="B107" s="90">
        <v>45</v>
      </c>
      <c r="C107" s="16">
        <f t="shared" si="10"/>
        <v>225</v>
      </c>
      <c r="D107" s="90">
        <v>0</v>
      </c>
      <c r="E107" s="90">
        <v>0</v>
      </c>
      <c r="F107" s="90">
        <v>0</v>
      </c>
      <c r="G107" s="90">
        <v>0</v>
      </c>
      <c r="H107" s="90">
        <v>0</v>
      </c>
      <c r="I107" s="90">
        <v>0</v>
      </c>
      <c r="J107" s="26">
        <f t="shared" ref="J107:J121" si="13">SUM(D107:I107)</f>
        <v>0</v>
      </c>
      <c r="K107" s="26">
        <v>0</v>
      </c>
      <c r="L107" s="90">
        <f t="shared" ref="L107:L121" si="14">SUM(B107*K107)</f>
        <v>0</v>
      </c>
      <c r="M107" s="90" t="s">
        <v>373</v>
      </c>
      <c r="N107" s="30" t="s">
        <v>374</v>
      </c>
      <c r="S107" t="s">
        <v>375</v>
      </c>
      <c r="T107" t="s">
        <v>376</v>
      </c>
    </row>
    <row r="108" spans="1:20" x14ac:dyDescent="0.4">
      <c r="A108" s="16">
        <v>130092</v>
      </c>
      <c r="B108" s="42">
        <v>45</v>
      </c>
      <c r="C108" s="16">
        <f t="shared" si="10"/>
        <v>225</v>
      </c>
      <c r="D108" s="42">
        <v>0</v>
      </c>
      <c r="E108" s="42">
        <v>0</v>
      </c>
      <c r="F108" s="42">
        <v>0</v>
      </c>
      <c r="G108" s="42">
        <v>0</v>
      </c>
      <c r="H108" s="42">
        <v>0</v>
      </c>
      <c r="I108" s="42">
        <v>0</v>
      </c>
      <c r="J108" s="26">
        <f t="shared" si="13"/>
        <v>0</v>
      </c>
      <c r="K108" s="26">
        <v>0</v>
      </c>
      <c r="L108" s="42">
        <f t="shared" si="14"/>
        <v>0</v>
      </c>
      <c r="M108" s="42" t="s">
        <v>377</v>
      </c>
      <c r="N108" s="30" t="s">
        <v>378</v>
      </c>
    </row>
    <row r="109" spans="1:20" x14ac:dyDescent="0.4">
      <c r="A109" s="1">
        <v>130093</v>
      </c>
      <c r="B109" s="152">
        <v>45</v>
      </c>
      <c r="C109" s="1">
        <f t="shared" si="10"/>
        <v>225</v>
      </c>
      <c r="D109" s="152">
        <v>0</v>
      </c>
      <c r="E109" s="152">
        <v>0</v>
      </c>
      <c r="F109" s="152">
        <v>0</v>
      </c>
      <c r="G109" s="152">
        <v>0</v>
      </c>
      <c r="H109" s="152">
        <v>1</v>
      </c>
      <c r="I109" s="152">
        <v>1</v>
      </c>
      <c r="J109" s="140">
        <f t="shared" si="13"/>
        <v>2</v>
      </c>
      <c r="K109" s="140">
        <f>J109-1</f>
        <v>1</v>
      </c>
      <c r="L109" s="152">
        <f t="shared" si="14"/>
        <v>45</v>
      </c>
      <c r="M109" s="152" t="s">
        <v>379</v>
      </c>
      <c r="N109" s="141" t="s">
        <v>380</v>
      </c>
      <c r="O109" t="s">
        <v>1194</v>
      </c>
    </row>
    <row r="110" spans="1:20" x14ac:dyDescent="0.4">
      <c r="A110" s="16">
        <v>130094</v>
      </c>
      <c r="B110" s="40">
        <v>45</v>
      </c>
      <c r="C110" s="16">
        <f t="shared" si="10"/>
        <v>225</v>
      </c>
      <c r="D110" s="40">
        <v>0</v>
      </c>
      <c r="E110" s="40">
        <v>0</v>
      </c>
      <c r="F110" s="40">
        <v>0</v>
      </c>
      <c r="G110" s="40">
        <v>0</v>
      </c>
      <c r="H110" s="40">
        <v>0</v>
      </c>
      <c r="I110" s="40">
        <v>0</v>
      </c>
      <c r="J110" s="26">
        <f t="shared" si="13"/>
        <v>0</v>
      </c>
      <c r="K110" s="26">
        <v>0</v>
      </c>
      <c r="L110" s="40">
        <f t="shared" si="14"/>
        <v>0</v>
      </c>
      <c r="M110" s="40" t="s">
        <v>381</v>
      </c>
      <c r="N110" s="30" t="s">
        <v>382</v>
      </c>
    </row>
    <row r="111" spans="1:20" x14ac:dyDescent="0.4">
      <c r="A111" s="16">
        <v>130095</v>
      </c>
      <c r="B111" s="153">
        <v>50</v>
      </c>
      <c r="C111" s="16">
        <f t="shared" si="10"/>
        <v>250</v>
      </c>
      <c r="D111" s="153">
        <v>0</v>
      </c>
      <c r="E111" s="153">
        <v>0</v>
      </c>
      <c r="F111" s="153">
        <v>0</v>
      </c>
      <c r="G111" s="153">
        <v>0</v>
      </c>
      <c r="H111" s="153">
        <v>0</v>
      </c>
      <c r="I111" s="153">
        <v>0</v>
      </c>
      <c r="J111" s="26">
        <f t="shared" si="13"/>
        <v>0</v>
      </c>
      <c r="K111" s="26">
        <v>0</v>
      </c>
      <c r="L111" s="153">
        <f t="shared" si="14"/>
        <v>0</v>
      </c>
      <c r="M111" s="153" t="s">
        <v>381</v>
      </c>
      <c r="N111" s="30" t="s">
        <v>382</v>
      </c>
    </row>
    <row r="112" spans="1:20" x14ac:dyDescent="0.4">
      <c r="A112" s="1">
        <v>130096</v>
      </c>
      <c r="B112" s="156">
        <v>45</v>
      </c>
      <c r="C112" s="1">
        <f t="shared" si="10"/>
        <v>225</v>
      </c>
      <c r="D112" s="156">
        <v>0</v>
      </c>
      <c r="E112" s="156">
        <v>0</v>
      </c>
      <c r="F112" s="156">
        <v>0</v>
      </c>
      <c r="G112" s="156">
        <v>0</v>
      </c>
      <c r="H112" s="156">
        <v>0</v>
      </c>
      <c r="I112" s="156">
        <v>1</v>
      </c>
      <c r="J112" s="140">
        <f t="shared" si="13"/>
        <v>1</v>
      </c>
      <c r="K112" s="140">
        <f>J112-1</f>
        <v>0</v>
      </c>
      <c r="L112" s="156">
        <f t="shared" si="14"/>
        <v>0</v>
      </c>
      <c r="M112" s="156" t="s">
        <v>383</v>
      </c>
      <c r="N112" s="141" t="s">
        <v>384</v>
      </c>
    </row>
    <row r="113" spans="1:17" x14ac:dyDescent="0.4">
      <c r="A113" s="1">
        <v>130097</v>
      </c>
      <c r="B113" s="156">
        <v>60</v>
      </c>
      <c r="C113" s="1">
        <v>300</v>
      </c>
      <c r="D113" s="156">
        <v>0</v>
      </c>
      <c r="E113" s="156">
        <v>0</v>
      </c>
      <c r="F113" s="156">
        <v>0</v>
      </c>
      <c r="G113" s="156">
        <v>0</v>
      </c>
      <c r="H113" s="156">
        <v>0</v>
      </c>
      <c r="I113" s="156">
        <v>0</v>
      </c>
      <c r="J113" s="140">
        <f t="shared" si="13"/>
        <v>0</v>
      </c>
      <c r="K113" s="140">
        <v>0</v>
      </c>
      <c r="L113" s="156">
        <f t="shared" si="14"/>
        <v>0</v>
      </c>
      <c r="M113" s="156" t="s">
        <v>385</v>
      </c>
      <c r="N113" s="141" t="s">
        <v>386</v>
      </c>
    </row>
    <row r="114" spans="1:17" x14ac:dyDescent="0.4">
      <c r="A114" s="16">
        <v>130098</v>
      </c>
      <c r="B114" s="54">
        <v>50</v>
      </c>
      <c r="C114" s="16">
        <f>SUM(B114*5)</f>
        <v>250</v>
      </c>
      <c r="D114" s="54">
        <v>0</v>
      </c>
      <c r="E114" s="54">
        <v>0</v>
      </c>
      <c r="F114" s="54">
        <v>0</v>
      </c>
      <c r="G114" s="54">
        <v>0</v>
      </c>
      <c r="H114" s="54">
        <v>0</v>
      </c>
      <c r="I114" s="54">
        <v>0</v>
      </c>
      <c r="J114" s="26">
        <f t="shared" si="13"/>
        <v>0</v>
      </c>
      <c r="K114" s="26">
        <v>0</v>
      </c>
      <c r="L114" s="54">
        <f t="shared" si="14"/>
        <v>0</v>
      </c>
      <c r="M114" s="54" t="s">
        <v>387</v>
      </c>
      <c r="N114" s="30" t="s">
        <v>388</v>
      </c>
      <c r="O114" s="16" t="s">
        <v>389</v>
      </c>
      <c r="P114" s="16" t="s">
        <v>297</v>
      </c>
    </row>
    <row r="115" spans="1:17" x14ac:dyDescent="0.4">
      <c r="A115" s="16">
        <v>130099</v>
      </c>
      <c r="B115" s="212">
        <v>60</v>
      </c>
      <c r="C115" s="16">
        <v>300</v>
      </c>
      <c r="D115" s="212">
        <v>0</v>
      </c>
      <c r="E115" s="212">
        <v>0</v>
      </c>
      <c r="F115" s="212">
        <v>0</v>
      </c>
      <c r="G115" s="212">
        <v>0</v>
      </c>
      <c r="H115" s="212">
        <v>0</v>
      </c>
      <c r="I115" s="212">
        <v>0</v>
      </c>
      <c r="J115" s="26">
        <f t="shared" si="13"/>
        <v>0</v>
      </c>
      <c r="K115" s="26">
        <v>0</v>
      </c>
      <c r="L115" s="212">
        <f t="shared" si="14"/>
        <v>0</v>
      </c>
      <c r="M115" s="212" t="s">
        <v>387</v>
      </c>
      <c r="N115" s="30" t="s">
        <v>388</v>
      </c>
      <c r="O115" s="16" t="s">
        <v>390</v>
      </c>
      <c r="P115" s="16" t="s">
        <v>391</v>
      </c>
      <c r="Q115" t="s">
        <v>1185</v>
      </c>
    </row>
    <row r="116" spans="1:17" x14ac:dyDescent="0.4">
      <c r="A116" s="16">
        <v>130100</v>
      </c>
      <c r="B116" s="17">
        <v>60</v>
      </c>
      <c r="C116" s="16">
        <v>300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26">
        <f t="shared" si="13"/>
        <v>0</v>
      </c>
      <c r="K116" s="26">
        <v>0</v>
      </c>
      <c r="L116" s="17">
        <f t="shared" si="14"/>
        <v>0</v>
      </c>
      <c r="M116" s="17" t="s">
        <v>392</v>
      </c>
      <c r="N116" s="30" t="s">
        <v>393</v>
      </c>
    </row>
    <row r="117" spans="1:17" x14ac:dyDescent="0.4">
      <c r="A117" s="1">
        <v>130101</v>
      </c>
      <c r="B117" s="156">
        <v>45</v>
      </c>
      <c r="C117" s="1">
        <f>SUM(B117*5)</f>
        <v>225</v>
      </c>
      <c r="D117" s="156">
        <v>0</v>
      </c>
      <c r="E117" s="156">
        <v>0</v>
      </c>
      <c r="F117" s="156">
        <v>0</v>
      </c>
      <c r="G117" s="156">
        <v>0</v>
      </c>
      <c r="H117" s="156">
        <v>0</v>
      </c>
      <c r="I117" s="156">
        <v>1</v>
      </c>
      <c r="J117" s="140">
        <f t="shared" si="13"/>
        <v>1</v>
      </c>
      <c r="K117" s="140">
        <f>J117-1</f>
        <v>0</v>
      </c>
      <c r="L117" s="156">
        <f t="shared" si="14"/>
        <v>0</v>
      </c>
      <c r="M117" s="156" t="s">
        <v>392</v>
      </c>
      <c r="N117" s="141" t="s">
        <v>393</v>
      </c>
    </row>
    <row r="118" spans="1:17" x14ac:dyDescent="0.4">
      <c r="A118" s="16">
        <v>130102</v>
      </c>
      <c r="B118" s="55">
        <v>45</v>
      </c>
      <c r="C118" s="16">
        <f>SUM(B118*5)</f>
        <v>225</v>
      </c>
      <c r="D118" s="55">
        <v>0</v>
      </c>
      <c r="E118" s="55">
        <v>0</v>
      </c>
      <c r="F118" s="55">
        <v>0</v>
      </c>
      <c r="G118" s="55">
        <v>0</v>
      </c>
      <c r="H118" s="55">
        <v>0</v>
      </c>
      <c r="I118" s="55">
        <v>0</v>
      </c>
      <c r="J118" s="26">
        <f t="shared" si="13"/>
        <v>0</v>
      </c>
      <c r="K118" s="26">
        <v>0</v>
      </c>
      <c r="L118" s="55">
        <f t="shared" si="14"/>
        <v>0</v>
      </c>
      <c r="M118" s="55" t="s">
        <v>392</v>
      </c>
      <c r="N118" s="30" t="s">
        <v>393</v>
      </c>
    </row>
    <row r="119" spans="1:17" x14ac:dyDescent="0.4">
      <c r="A119" s="16">
        <v>130103</v>
      </c>
      <c r="B119" s="69">
        <v>45</v>
      </c>
      <c r="C119" s="16">
        <f>SUM(B119*5)</f>
        <v>225</v>
      </c>
      <c r="D119" s="69">
        <v>0</v>
      </c>
      <c r="E119" s="69">
        <v>0</v>
      </c>
      <c r="F119" s="69">
        <v>0</v>
      </c>
      <c r="G119" s="69">
        <v>0</v>
      </c>
      <c r="H119" s="69">
        <v>0</v>
      </c>
      <c r="I119" s="69">
        <v>0</v>
      </c>
      <c r="J119" s="26">
        <f t="shared" si="13"/>
        <v>0</v>
      </c>
      <c r="K119" s="26">
        <v>0</v>
      </c>
      <c r="L119" s="69">
        <f t="shared" si="14"/>
        <v>0</v>
      </c>
      <c r="M119" s="69" t="s">
        <v>392</v>
      </c>
      <c r="N119" s="30" t="s">
        <v>393</v>
      </c>
    </row>
    <row r="120" spans="1:17" x14ac:dyDescent="0.4">
      <c r="A120" s="16">
        <v>130104</v>
      </c>
      <c r="B120" s="78">
        <v>45</v>
      </c>
      <c r="C120" s="16">
        <f>SUM(B120*5)</f>
        <v>225</v>
      </c>
      <c r="D120" s="78">
        <v>0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26">
        <f t="shared" si="13"/>
        <v>0</v>
      </c>
      <c r="K120" s="26">
        <v>0</v>
      </c>
      <c r="L120" s="78">
        <f t="shared" si="14"/>
        <v>0</v>
      </c>
      <c r="M120" s="78" t="s">
        <v>394</v>
      </c>
      <c r="N120" s="30" t="s">
        <v>395</v>
      </c>
      <c r="O120" s="2033" t="s">
        <v>592</v>
      </c>
      <c r="P120" s="2033"/>
    </row>
    <row r="121" spans="1:17" x14ac:dyDescent="0.4">
      <c r="A121" s="16">
        <v>130105</v>
      </c>
      <c r="B121" s="61">
        <v>45</v>
      </c>
      <c r="C121" s="16">
        <f>SUM(B121*5)</f>
        <v>225</v>
      </c>
      <c r="D121" s="61">
        <v>0</v>
      </c>
      <c r="E121" s="61">
        <v>0</v>
      </c>
      <c r="F121" s="61">
        <v>0</v>
      </c>
      <c r="G121" s="61">
        <v>0</v>
      </c>
      <c r="H121" s="61">
        <v>0</v>
      </c>
      <c r="I121" s="61">
        <v>0</v>
      </c>
      <c r="J121" s="26">
        <f t="shared" si="13"/>
        <v>0</v>
      </c>
      <c r="K121" s="26">
        <v>0</v>
      </c>
      <c r="L121" s="61">
        <f t="shared" si="14"/>
        <v>0</v>
      </c>
      <c r="M121" s="61" t="s">
        <v>394</v>
      </c>
      <c r="N121" s="30" t="s">
        <v>395</v>
      </c>
      <c r="O121" s="2033" t="s">
        <v>592</v>
      </c>
      <c r="P121" s="2033"/>
    </row>
    <row r="122" spans="1:17" x14ac:dyDescent="0.4">
      <c r="A122" s="16">
        <v>130106</v>
      </c>
      <c r="B122" s="31"/>
      <c r="C122" s="31"/>
      <c r="D122" s="2033" t="s">
        <v>396</v>
      </c>
      <c r="E122" s="2033"/>
      <c r="F122" s="2033"/>
      <c r="G122" s="2033"/>
      <c r="H122" s="2033"/>
      <c r="I122" s="2033"/>
      <c r="J122" s="31"/>
      <c r="K122" s="31"/>
      <c r="L122" s="31"/>
      <c r="M122" s="2033" t="s">
        <v>397</v>
      </c>
      <c r="N122" s="2033"/>
    </row>
    <row r="123" spans="1:17" x14ac:dyDescent="0.4">
      <c r="A123" s="1">
        <v>130107</v>
      </c>
      <c r="B123" s="1" t="s">
        <v>212</v>
      </c>
      <c r="C123" s="1"/>
      <c r="D123" s="1" t="s">
        <v>398</v>
      </c>
      <c r="E123" s="1" t="s">
        <v>399</v>
      </c>
      <c r="F123" s="1"/>
      <c r="G123" s="1"/>
      <c r="H123" s="1"/>
      <c r="I123" s="1"/>
      <c r="J123" s="1"/>
      <c r="K123" s="1"/>
      <c r="L123" s="1"/>
      <c r="M123" s="164" t="s">
        <v>400</v>
      </c>
      <c r="N123" s="141" t="s">
        <v>401</v>
      </c>
    </row>
    <row r="124" spans="1:17" x14ac:dyDescent="0.4">
      <c r="A124" s="1">
        <v>130108</v>
      </c>
      <c r="B124" s="239">
        <v>60</v>
      </c>
      <c r="C124" s="1">
        <v>300</v>
      </c>
      <c r="D124" s="239">
        <v>0</v>
      </c>
      <c r="E124" s="239">
        <v>0</v>
      </c>
      <c r="F124" s="239">
        <v>0</v>
      </c>
      <c r="G124" s="239">
        <v>0</v>
      </c>
      <c r="H124" s="239">
        <v>0</v>
      </c>
      <c r="I124" s="239">
        <v>1</v>
      </c>
      <c r="J124" s="140">
        <f t="shared" ref="J124:J132" si="15">SUM(D124:I124)</f>
        <v>1</v>
      </c>
      <c r="K124" s="140">
        <f>J124-1</f>
        <v>0</v>
      </c>
      <c r="L124" s="239">
        <f t="shared" ref="L124:L133" si="16">K124*B124</f>
        <v>0</v>
      </c>
      <c r="M124" s="239" t="s">
        <v>408</v>
      </c>
      <c r="N124" s="141" t="s">
        <v>409</v>
      </c>
      <c r="O124" s="2035" t="s">
        <v>186</v>
      </c>
    </row>
    <row r="125" spans="1:17" x14ac:dyDescent="0.4">
      <c r="A125" s="16">
        <v>130109</v>
      </c>
      <c r="B125" s="240">
        <v>60</v>
      </c>
      <c r="C125" s="16">
        <v>300</v>
      </c>
      <c r="D125" s="240">
        <v>0</v>
      </c>
      <c r="E125" s="240">
        <v>0</v>
      </c>
      <c r="F125" s="240">
        <v>0</v>
      </c>
      <c r="G125" s="240">
        <v>0</v>
      </c>
      <c r="H125" s="240">
        <v>0</v>
      </c>
      <c r="I125" s="240">
        <v>0</v>
      </c>
      <c r="J125" s="26">
        <f t="shared" si="15"/>
        <v>0</v>
      </c>
      <c r="K125" s="26">
        <v>0</v>
      </c>
      <c r="L125" s="240">
        <f t="shared" si="16"/>
        <v>0</v>
      </c>
      <c r="M125" s="240" t="s">
        <v>410</v>
      </c>
      <c r="N125" s="30" t="s">
        <v>411</v>
      </c>
      <c r="O125" s="2036"/>
    </row>
    <row r="126" spans="1:17" x14ac:dyDescent="0.4">
      <c r="A126" s="16">
        <v>130110</v>
      </c>
      <c r="B126" s="240">
        <v>60</v>
      </c>
      <c r="C126" s="16">
        <v>300</v>
      </c>
      <c r="D126" s="240">
        <v>0</v>
      </c>
      <c r="E126" s="240">
        <v>0</v>
      </c>
      <c r="F126" s="240">
        <v>0</v>
      </c>
      <c r="G126" s="240">
        <v>0</v>
      </c>
      <c r="H126" s="240">
        <v>0</v>
      </c>
      <c r="I126" s="240">
        <v>0</v>
      </c>
      <c r="J126" s="26">
        <f t="shared" si="15"/>
        <v>0</v>
      </c>
      <c r="K126" s="26">
        <v>0</v>
      </c>
      <c r="L126" s="240">
        <f t="shared" si="16"/>
        <v>0</v>
      </c>
      <c r="M126" s="240" t="s">
        <v>410</v>
      </c>
      <c r="N126" s="30" t="s">
        <v>411</v>
      </c>
    </row>
    <row r="127" spans="1:17" x14ac:dyDescent="0.4">
      <c r="A127" s="1">
        <v>130111</v>
      </c>
      <c r="B127" s="239">
        <v>35</v>
      </c>
      <c r="C127" s="1">
        <f>B127*5</f>
        <v>175</v>
      </c>
      <c r="D127" s="239">
        <v>0</v>
      </c>
      <c r="E127" s="239">
        <v>0</v>
      </c>
      <c r="F127" s="239">
        <v>0</v>
      </c>
      <c r="G127" s="239">
        <v>0</v>
      </c>
      <c r="H127" s="239">
        <v>1</v>
      </c>
      <c r="I127" s="239">
        <v>1</v>
      </c>
      <c r="J127" s="140">
        <f t="shared" si="15"/>
        <v>2</v>
      </c>
      <c r="K127" s="140">
        <f>J127-1</f>
        <v>1</v>
      </c>
      <c r="L127" s="239">
        <f t="shared" si="16"/>
        <v>35</v>
      </c>
      <c r="M127" s="239" t="s">
        <v>412</v>
      </c>
      <c r="N127" s="141" t="s">
        <v>413</v>
      </c>
    </row>
    <row r="128" spans="1:17" x14ac:dyDescent="0.4">
      <c r="A128" s="16">
        <v>130112</v>
      </c>
      <c r="B128" s="240">
        <v>60</v>
      </c>
      <c r="C128" s="16">
        <v>300</v>
      </c>
      <c r="D128" s="240">
        <v>0</v>
      </c>
      <c r="E128" s="240">
        <v>0</v>
      </c>
      <c r="F128" s="240">
        <v>0</v>
      </c>
      <c r="G128" s="240">
        <v>0</v>
      </c>
      <c r="H128" s="240">
        <v>0</v>
      </c>
      <c r="I128" s="240">
        <v>0</v>
      </c>
      <c r="J128" s="26">
        <f t="shared" si="15"/>
        <v>0</v>
      </c>
      <c r="K128" s="26">
        <v>0</v>
      </c>
      <c r="L128" s="240">
        <f t="shared" si="16"/>
        <v>0</v>
      </c>
      <c r="M128" s="240" t="s">
        <v>414</v>
      </c>
      <c r="N128" s="30" t="s">
        <v>415</v>
      </c>
    </row>
    <row r="129" spans="1:19" x14ac:dyDescent="0.4">
      <c r="A129" s="16">
        <v>130113</v>
      </c>
      <c r="B129" s="240">
        <v>45</v>
      </c>
      <c r="C129" s="16">
        <f>B129*5</f>
        <v>225</v>
      </c>
      <c r="D129" s="240">
        <v>0</v>
      </c>
      <c r="E129" s="240">
        <v>0</v>
      </c>
      <c r="F129" s="240">
        <v>0</v>
      </c>
      <c r="G129" s="240">
        <v>0</v>
      </c>
      <c r="H129" s="240">
        <v>0</v>
      </c>
      <c r="I129" s="240">
        <v>0</v>
      </c>
      <c r="J129" s="26">
        <f t="shared" si="15"/>
        <v>0</v>
      </c>
      <c r="K129" s="26">
        <v>0</v>
      </c>
      <c r="L129" s="240">
        <f t="shared" si="16"/>
        <v>0</v>
      </c>
      <c r="M129" s="240" t="s">
        <v>416</v>
      </c>
      <c r="N129" s="30" t="s">
        <v>417</v>
      </c>
    </row>
    <row r="130" spans="1:19" x14ac:dyDescent="0.4">
      <c r="A130" s="1">
        <v>130114</v>
      </c>
      <c r="B130" s="239">
        <v>45</v>
      </c>
      <c r="C130" s="1">
        <f t="shared" ref="C130:C142" si="17">B130*5</f>
        <v>225</v>
      </c>
      <c r="D130" s="239">
        <v>0</v>
      </c>
      <c r="E130" s="239">
        <v>0</v>
      </c>
      <c r="F130" s="239">
        <v>0</v>
      </c>
      <c r="G130" s="239">
        <v>0</v>
      </c>
      <c r="H130" s="239">
        <v>1</v>
      </c>
      <c r="I130" s="239">
        <v>1</v>
      </c>
      <c r="J130" s="140">
        <f t="shared" si="15"/>
        <v>2</v>
      </c>
      <c r="K130" s="140">
        <f>J130-1</f>
        <v>1</v>
      </c>
      <c r="L130" s="239">
        <f t="shared" si="16"/>
        <v>45</v>
      </c>
      <c r="M130" s="239" t="s">
        <v>416</v>
      </c>
      <c r="N130" s="141" t="s">
        <v>418</v>
      </c>
    </row>
    <row r="131" spans="1:19" x14ac:dyDescent="0.4">
      <c r="A131" s="16">
        <v>130115</v>
      </c>
      <c r="B131" s="240">
        <v>45</v>
      </c>
      <c r="C131" s="16">
        <f t="shared" si="17"/>
        <v>225</v>
      </c>
      <c r="D131" s="240">
        <v>0</v>
      </c>
      <c r="E131" s="240">
        <v>0</v>
      </c>
      <c r="F131" s="240">
        <v>0</v>
      </c>
      <c r="G131" s="240">
        <v>0</v>
      </c>
      <c r="H131" s="240">
        <v>0</v>
      </c>
      <c r="I131" s="240">
        <v>0</v>
      </c>
      <c r="J131" s="26">
        <f t="shared" si="15"/>
        <v>0</v>
      </c>
      <c r="K131" s="26">
        <v>0</v>
      </c>
      <c r="L131" s="240">
        <f t="shared" si="16"/>
        <v>0</v>
      </c>
      <c r="M131" s="240" t="s">
        <v>416</v>
      </c>
      <c r="N131" s="30" t="s">
        <v>418</v>
      </c>
    </row>
    <row r="132" spans="1:19" x14ac:dyDescent="0.4">
      <c r="A132" s="16">
        <v>130116</v>
      </c>
      <c r="B132" s="240">
        <v>45</v>
      </c>
      <c r="C132" s="16">
        <f t="shared" si="17"/>
        <v>225</v>
      </c>
      <c r="D132" s="240">
        <v>0</v>
      </c>
      <c r="E132" s="240">
        <v>0</v>
      </c>
      <c r="F132" s="240">
        <v>0</v>
      </c>
      <c r="G132" s="240">
        <v>0</v>
      </c>
      <c r="H132" s="240">
        <v>0</v>
      </c>
      <c r="I132" s="240">
        <v>0</v>
      </c>
      <c r="J132" s="26">
        <f t="shared" si="15"/>
        <v>0</v>
      </c>
      <c r="K132" s="26">
        <v>0</v>
      </c>
      <c r="L132" s="240">
        <f t="shared" si="16"/>
        <v>0</v>
      </c>
      <c r="M132" s="240" t="s">
        <v>419</v>
      </c>
      <c r="N132" s="30" t="s">
        <v>420</v>
      </c>
    </row>
    <row r="133" spans="1:19" x14ac:dyDescent="0.4">
      <c r="A133" s="16">
        <v>130117</v>
      </c>
      <c r="B133" s="240">
        <v>45</v>
      </c>
      <c r="C133" s="16">
        <f t="shared" si="17"/>
        <v>225</v>
      </c>
      <c r="D133" s="240">
        <v>0</v>
      </c>
      <c r="E133" s="240">
        <v>0</v>
      </c>
      <c r="F133" s="240">
        <v>0</v>
      </c>
      <c r="G133" s="240">
        <v>0</v>
      </c>
      <c r="H133" s="240">
        <v>0</v>
      </c>
      <c r="I133" s="240">
        <v>0</v>
      </c>
      <c r="J133" s="26">
        <v>0</v>
      </c>
      <c r="K133" s="26">
        <v>0</v>
      </c>
      <c r="L133" s="240">
        <f t="shared" si="16"/>
        <v>0</v>
      </c>
      <c r="M133" s="240" t="s">
        <v>416</v>
      </c>
      <c r="N133" s="30" t="s">
        <v>417</v>
      </c>
    </row>
    <row r="134" spans="1:19" x14ac:dyDescent="0.4">
      <c r="A134" s="16">
        <v>130118</v>
      </c>
      <c r="B134" s="16"/>
      <c r="C134" s="16"/>
      <c r="D134" s="2033" t="s">
        <v>421</v>
      </c>
      <c r="E134" s="2033"/>
      <c r="F134" s="2033"/>
      <c r="G134" s="2033"/>
      <c r="H134" s="2033"/>
      <c r="I134" s="2033"/>
      <c r="J134" s="16"/>
      <c r="K134" s="16"/>
      <c r="L134" s="16"/>
      <c r="M134" s="240" t="s">
        <v>422</v>
      </c>
      <c r="N134" s="30" t="s">
        <v>423</v>
      </c>
      <c r="O134" s="2037" t="s">
        <v>424</v>
      </c>
      <c r="P134" s="2037"/>
      <c r="Q134" s="2037"/>
      <c r="R134" s="2037"/>
    </row>
    <row r="135" spans="1:19" x14ac:dyDescent="0.4">
      <c r="A135" s="1">
        <v>130119</v>
      </c>
      <c r="B135" s="239">
        <v>45</v>
      </c>
      <c r="C135" s="1">
        <f t="shared" si="17"/>
        <v>225</v>
      </c>
      <c r="D135" s="239">
        <v>0</v>
      </c>
      <c r="E135" s="239">
        <v>0</v>
      </c>
      <c r="F135" s="239">
        <v>0</v>
      </c>
      <c r="G135" s="239">
        <v>0</v>
      </c>
      <c r="H135" s="239">
        <v>1</v>
      </c>
      <c r="I135" s="239">
        <v>1</v>
      </c>
      <c r="J135" s="140">
        <f t="shared" ref="J135:J142" si="18">SUM(D135:I135)</f>
        <v>2</v>
      </c>
      <c r="K135" s="140">
        <f>J135-1</f>
        <v>1</v>
      </c>
      <c r="L135" s="239">
        <f t="shared" ref="L135:L142" si="19">K135*B135</f>
        <v>45</v>
      </c>
      <c r="M135" s="239" t="s">
        <v>425</v>
      </c>
      <c r="N135" s="141" t="s">
        <v>426</v>
      </c>
    </row>
    <row r="136" spans="1:19" x14ac:dyDescent="0.4">
      <c r="A136" s="16">
        <v>130120</v>
      </c>
      <c r="B136" s="240">
        <v>50</v>
      </c>
      <c r="C136" s="16">
        <f t="shared" si="17"/>
        <v>250</v>
      </c>
      <c r="D136" s="240">
        <v>0</v>
      </c>
      <c r="E136" s="240">
        <v>0</v>
      </c>
      <c r="F136" s="240">
        <v>0</v>
      </c>
      <c r="G136" s="240">
        <v>0</v>
      </c>
      <c r="H136" s="240">
        <v>0</v>
      </c>
      <c r="I136" s="240">
        <v>0</v>
      </c>
      <c r="J136" s="26">
        <f t="shared" si="18"/>
        <v>0</v>
      </c>
      <c r="K136" s="26">
        <v>0</v>
      </c>
      <c r="L136" s="240">
        <f t="shared" si="19"/>
        <v>0</v>
      </c>
      <c r="M136" s="240" t="s">
        <v>427</v>
      </c>
      <c r="N136" s="30" t="s">
        <v>428</v>
      </c>
    </row>
    <row r="137" spans="1:19" x14ac:dyDescent="0.4">
      <c r="A137" s="16">
        <v>130121</v>
      </c>
      <c r="B137" s="240">
        <v>45</v>
      </c>
      <c r="C137" s="16">
        <f t="shared" si="17"/>
        <v>225</v>
      </c>
      <c r="D137" s="240">
        <v>0</v>
      </c>
      <c r="E137" s="240">
        <v>0</v>
      </c>
      <c r="F137" s="240">
        <v>0</v>
      </c>
      <c r="G137" s="240">
        <v>0</v>
      </c>
      <c r="H137" s="240">
        <v>0</v>
      </c>
      <c r="I137" s="240">
        <v>0</v>
      </c>
      <c r="J137" s="26">
        <f t="shared" si="18"/>
        <v>0</v>
      </c>
      <c r="K137" s="26">
        <v>0</v>
      </c>
      <c r="L137" s="240">
        <f t="shared" si="19"/>
        <v>0</v>
      </c>
      <c r="M137" s="240" t="s">
        <v>427</v>
      </c>
      <c r="N137" s="30" t="s">
        <v>428</v>
      </c>
    </row>
    <row r="138" spans="1:19" x14ac:dyDescent="0.4">
      <c r="A138" s="1">
        <v>130122</v>
      </c>
      <c r="B138" s="239">
        <v>60</v>
      </c>
      <c r="C138" s="1">
        <f t="shared" si="17"/>
        <v>300</v>
      </c>
      <c r="D138" s="239">
        <v>0</v>
      </c>
      <c r="E138" s="239">
        <v>0</v>
      </c>
      <c r="F138" s="239">
        <v>0</v>
      </c>
      <c r="G138" s="239">
        <v>0</v>
      </c>
      <c r="H138" s="239">
        <v>0</v>
      </c>
      <c r="I138" s="239">
        <v>1</v>
      </c>
      <c r="J138" s="140">
        <f t="shared" si="18"/>
        <v>1</v>
      </c>
      <c r="K138" s="140">
        <f>J138-1</f>
        <v>0</v>
      </c>
      <c r="L138" s="239">
        <f t="shared" si="19"/>
        <v>0</v>
      </c>
      <c r="M138" s="239" t="s">
        <v>427</v>
      </c>
      <c r="N138" s="141" t="s">
        <v>428</v>
      </c>
    </row>
    <row r="139" spans="1:19" x14ac:dyDescent="0.4">
      <c r="A139" s="1">
        <v>130123</v>
      </c>
      <c r="B139" s="239">
        <v>45</v>
      </c>
      <c r="C139" s="1">
        <f t="shared" si="17"/>
        <v>225</v>
      </c>
      <c r="D139" s="239">
        <v>0</v>
      </c>
      <c r="E139" s="239">
        <v>1</v>
      </c>
      <c r="F139" s="239">
        <v>1</v>
      </c>
      <c r="G139" s="239">
        <v>1</v>
      </c>
      <c r="H139" s="239">
        <v>1</v>
      </c>
      <c r="I139" s="239">
        <v>1</v>
      </c>
      <c r="J139" s="140">
        <f t="shared" si="18"/>
        <v>5</v>
      </c>
      <c r="K139" s="140">
        <f>J139-1</f>
        <v>4</v>
      </c>
      <c r="L139" s="239">
        <f t="shared" si="19"/>
        <v>180</v>
      </c>
      <c r="M139" s="239" t="s">
        <v>427</v>
      </c>
      <c r="N139" s="141" t="s">
        <v>428</v>
      </c>
    </row>
    <row r="140" spans="1:19" x14ac:dyDescent="0.4">
      <c r="A140" s="16">
        <v>130124</v>
      </c>
      <c r="B140" s="240">
        <v>60</v>
      </c>
      <c r="C140" s="16">
        <f t="shared" si="17"/>
        <v>300</v>
      </c>
      <c r="D140" s="240">
        <v>0</v>
      </c>
      <c r="E140" s="240">
        <v>0</v>
      </c>
      <c r="F140" s="240">
        <v>0</v>
      </c>
      <c r="G140" s="240">
        <v>0</v>
      </c>
      <c r="H140" s="240">
        <v>0</v>
      </c>
      <c r="I140" s="240">
        <v>0</v>
      </c>
      <c r="J140" s="26">
        <f t="shared" si="18"/>
        <v>0</v>
      </c>
      <c r="K140" s="26">
        <v>0</v>
      </c>
      <c r="L140" s="240">
        <f t="shared" si="19"/>
        <v>0</v>
      </c>
      <c r="M140" s="240" t="s">
        <v>429</v>
      </c>
      <c r="N140" s="30" t="s">
        <v>430</v>
      </c>
    </row>
    <row r="141" spans="1:19" x14ac:dyDescent="0.4">
      <c r="A141" s="1">
        <v>130125</v>
      </c>
      <c r="B141" s="239">
        <v>45</v>
      </c>
      <c r="C141" s="1">
        <f t="shared" si="17"/>
        <v>225</v>
      </c>
      <c r="D141" s="239">
        <v>0</v>
      </c>
      <c r="E141" s="239">
        <v>0</v>
      </c>
      <c r="F141" s="239">
        <v>0</v>
      </c>
      <c r="G141" s="239">
        <v>0</v>
      </c>
      <c r="H141" s="239">
        <v>0</v>
      </c>
      <c r="I141" s="239">
        <v>1</v>
      </c>
      <c r="J141" s="140">
        <f t="shared" si="18"/>
        <v>1</v>
      </c>
      <c r="K141" s="140">
        <f>J141-1</f>
        <v>0</v>
      </c>
      <c r="L141" s="239">
        <f t="shared" si="19"/>
        <v>0</v>
      </c>
      <c r="M141" s="239" t="s">
        <v>429</v>
      </c>
      <c r="N141" s="141" t="s">
        <v>430</v>
      </c>
    </row>
    <row r="142" spans="1:19" x14ac:dyDescent="0.4">
      <c r="A142" s="16">
        <v>130126</v>
      </c>
      <c r="B142" s="240">
        <v>45</v>
      </c>
      <c r="C142" s="16">
        <f t="shared" si="17"/>
        <v>225</v>
      </c>
      <c r="D142" s="240">
        <v>0</v>
      </c>
      <c r="E142" s="240">
        <v>0</v>
      </c>
      <c r="F142" s="240">
        <v>0</v>
      </c>
      <c r="G142" s="240">
        <v>0</v>
      </c>
      <c r="H142" s="240">
        <v>0</v>
      </c>
      <c r="I142" s="240">
        <v>0</v>
      </c>
      <c r="J142" s="26">
        <f t="shared" si="18"/>
        <v>0</v>
      </c>
      <c r="K142" s="26">
        <v>0</v>
      </c>
      <c r="L142" s="240">
        <f t="shared" si="19"/>
        <v>0</v>
      </c>
      <c r="M142" s="240" t="s">
        <v>431</v>
      </c>
      <c r="N142" s="30" t="s">
        <v>432</v>
      </c>
    </row>
    <row r="143" spans="1:19" x14ac:dyDescent="0.4">
      <c r="A143" s="16">
        <v>130127</v>
      </c>
      <c r="B143" s="16"/>
      <c r="C143" s="16"/>
      <c r="D143" s="2033" t="s">
        <v>433</v>
      </c>
      <c r="E143" s="2033"/>
      <c r="F143" s="2033"/>
      <c r="G143" s="2033"/>
      <c r="H143" s="2033"/>
      <c r="I143" s="2033"/>
      <c r="J143" s="16"/>
      <c r="K143" s="16"/>
      <c r="L143" s="16"/>
      <c r="M143" s="240" t="s">
        <v>434</v>
      </c>
      <c r="N143" s="30" t="s">
        <v>435</v>
      </c>
      <c r="O143" s="16" t="s">
        <v>436</v>
      </c>
      <c r="P143" s="16" t="s">
        <v>437</v>
      </c>
      <c r="Q143" s="16"/>
      <c r="R143" s="16" t="s">
        <v>438</v>
      </c>
      <c r="S143" s="16"/>
    </row>
    <row r="144" spans="1:19" x14ac:dyDescent="0.4">
      <c r="A144" s="1">
        <v>130128</v>
      </c>
      <c r="B144" s="1"/>
      <c r="C144" s="1"/>
      <c r="D144" s="2032" t="s">
        <v>439</v>
      </c>
      <c r="E144" s="2032"/>
      <c r="F144" s="2032"/>
      <c r="G144" s="2032"/>
      <c r="H144" s="2032"/>
      <c r="I144" s="2032"/>
      <c r="J144" s="1"/>
      <c r="K144" s="1"/>
      <c r="L144" s="1"/>
      <c r="M144" s="239" t="s">
        <v>440</v>
      </c>
      <c r="N144" s="1"/>
    </row>
    <row r="145" spans="1:33" x14ac:dyDescent="0.4">
      <c r="A145" s="1">
        <v>130129</v>
      </c>
      <c r="B145" s="239">
        <v>45</v>
      </c>
      <c r="C145" s="1">
        <f>B145*5</f>
        <v>225</v>
      </c>
      <c r="D145" s="239">
        <v>0</v>
      </c>
      <c r="E145" s="239">
        <v>0</v>
      </c>
      <c r="F145" s="239">
        <v>0</v>
      </c>
      <c r="G145" s="239">
        <v>1</v>
      </c>
      <c r="H145" s="239">
        <v>1</v>
      </c>
      <c r="I145" s="239">
        <v>1</v>
      </c>
      <c r="J145" s="140">
        <f>SUM(D145:I145)</f>
        <v>3</v>
      </c>
      <c r="K145" s="140">
        <f>J145-1</f>
        <v>2</v>
      </c>
      <c r="L145" s="239">
        <f>K145*B145</f>
        <v>90</v>
      </c>
      <c r="M145" s="239" t="s">
        <v>440</v>
      </c>
      <c r="N145" s="141" t="s">
        <v>441</v>
      </c>
    </row>
    <row r="146" spans="1:33" x14ac:dyDescent="0.4">
      <c r="A146" s="16">
        <v>130130</v>
      </c>
      <c r="B146" s="240">
        <v>50</v>
      </c>
      <c r="C146" s="16">
        <f>B146*5</f>
        <v>250</v>
      </c>
      <c r="D146" s="240">
        <v>0</v>
      </c>
      <c r="E146" s="240">
        <v>0</v>
      </c>
      <c r="F146" s="240">
        <v>0</v>
      </c>
      <c r="G146" s="240">
        <v>0</v>
      </c>
      <c r="H146" s="240">
        <v>0</v>
      </c>
      <c r="I146" s="240">
        <v>0</v>
      </c>
      <c r="J146" s="26">
        <f>SUM(D146:I146)</f>
        <v>0</v>
      </c>
      <c r="K146" s="26">
        <v>0</v>
      </c>
      <c r="L146" s="240">
        <f>K146*B146</f>
        <v>0</v>
      </c>
      <c r="M146" s="240" t="s">
        <v>442</v>
      </c>
      <c r="N146" s="30" t="s">
        <v>443</v>
      </c>
    </row>
    <row r="147" spans="1:33" x14ac:dyDescent="0.4">
      <c r="A147" s="1">
        <v>130131</v>
      </c>
      <c r="B147" s="239">
        <v>45</v>
      </c>
      <c r="C147" s="1">
        <f>B147*5</f>
        <v>225</v>
      </c>
      <c r="D147" s="239">
        <v>0</v>
      </c>
      <c r="E147" s="239">
        <v>0</v>
      </c>
      <c r="F147" s="239">
        <v>0</v>
      </c>
      <c r="G147" s="239">
        <v>0</v>
      </c>
      <c r="H147" s="239">
        <v>0</v>
      </c>
      <c r="I147" s="239">
        <v>1</v>
      </c>
      <c r="J147" s="140">
        <f>SUM(D147:I147)</f>
        <v>1</v>
      </c>
      <c r="K147" s="140">
        <f>J147-1</f>
        <v>0</v>
      </c>
      <c r="L147" s="239">
        <f>K147*B147</f>
        <v>0</v>
      </c>
      <c r="M147" s="239" t="s">
        <v>444</v>
      </c>
      <c r="N147" s="141" t="s">
        <v>445</v>
      </c>
      <c r="O147" s="1"/>
      <c r="P147" s="1"/>
    </row>
    <row r="148" spans="1:33" x14ac:dyDescent="0.4">
      <c r="A148" s="1">
        <v>130132</v>
      </c>
      <c r="B148" s="1"/>
      <c r="C148" s="1"/>
      <c r="D148" s="2032" t="s">
        <v>446</v>
      </c>
      <c r="E148" s="2032"/>
      <c r="F148" s="2032"/>
      <c r="G148" s="2032"/>
      <c r="H148" s="2032"/>
      <c r="I148" s="2032"/>
      <c r="J148" s="1"/>
      <c r="K148" s="1"/>
      <c r="L148" s="1"/>
      <c r="M148" s="239" t="s">
        <v>444</v>
      </c>
      <c r="N148" s="141" t="s">
        <v>445</v>
      </c>
      <c r="O148" s="2032" t="s">
        <v>447</v>
      </c>
      <c r="P148" s="2032"/>
    </row>
    <row r="149" spans="1:33" x14ac:dyDescent="0.4">
      <c r="A149" s="16">
        <v>130133</v>
      </c>
      <c r="B149" s="240">
        <v>45</v>
      </c>
      <c r="C149" s="16">
        <f>B149*5</f>
        <v>225</v>
      </c>
      <c r="D149" s="240">
        <v>0</v>
      </c>
      <c r="E149" s="240">
        <v>0</v>
      </c>
      <c r="F149" s="240">
        <v>0</v>
      </c>
      <c r="G149" s="240">
        <v>0</v>
      </c>
      <c r="H149" s="240">
        <v>0</v>
      </c>
      <c r="I149" s="240">
        <v>0</v>
      </c>
      <c r="J149" s="26">
        <f t="shared" ref="J149:J155" si="20">SUM(D149:I149)</f>
        <v>0</v>
      </c>
      <c r="K149" s="26">
        <v>0</v>
      </c>
      <c r="L149" s="240">
        <f t="shared" ref="L149:L155" si="21">K149*B149</f>
        <v>0</v>
      </c>
      <c r="M149" s="240" t="s">
        <v>448</v>
      </c>
      <c r="N149" s="30" t="s">
        <v>449</v>
      </c>
      <c r="O149" s="16" t="s">
        <v>287</v>
      </c>
    </row>
    <row r="150" spans="1:33" x14ac:dyDescent="0.4">
      <c r="A150" s="16">
        <v>130134</v>
      </c>
      <c r="B150" s="240">
        <v>45</v>
      </c>
      <c r="C150" s="16">
        <f>B150*5</f>
        <v>225</v>
      </c>
      <c r="D150" s="240">
        <v>0</v>
      </c>
      <c r="E150" s="240">
        <v>0</v>
      </c>
      <c r="F150" s="240">
        <v>0</v>
      </c>
      <c r="G150" s="240">
        <v>0</v>
      </c>
      <c r="H150" s="240">
        <v>0</v>
      </c>
      <c r="I150" s="240">
        <v>0</v>
      </c>
      <c r="J150" s="26">
        <f t="shared" si="20"/>
        <v>0</v>
      </c>
      <c r="K150" s="26">
        <v>0</v>
      </c>
      <c r="L150" s="240">
        <f t="shared" si="21"/>
        <v>0</v>
      </c>
      <c r="M150" s="240" t="s">
        <v>450</v>
      </c>
      <c r="N150" s="30" t="s">
        <v>451</v>
      </c>
    </row>
    <row r="151" spans="1:33" x14ac:dyDescent="0.4">
      <c r="A151" s="16">
        <v>130135</v>
      </c>
      <c r="B151" s="240">
        <v>45</v>
      </c>
      <c r="C151" s="16">
        <f>B151*5</f>
        <v>225</v>
      </c>
      <c r="D151" s="240">
        <v>0</v>
      </c>
      <c r="E151" s="240">
        <v>0</v>
      </c>
      <c r="F151" s="240">
        <v>0</v>
      </c>
      <c r="G151" s="240">
        <v>0</v>
      </c>
      <c r="H151" s="240">
        <v>0</v>
      </c>
      <c r="I151" s="240">
        <v>0</v>
      </c>
      <c r="J151" s="26">
        <f t="shared" si="20"/>
        <v>0</v>
      </c>
      <c r="K151" s="26">
        <v>0</v>
      </c>
      <c r="L151" s="240">
        <f t="shared" si="21"/>
        <v>0</v>
      </c>
      <c r="M151" s="240" t="s">
        <v>452</v>
      </c>
      <c r="N151" s="30" t="s">
        <v>453</v>
      </c>
    </row>
    <row r="152" spans="1:33" x14ac:dyDescent="0.4">
      <c r="A152" s="16">
        <v>130136</v>
      </c>
      <c r="B152" s="240">
        <v>45</v>
      </c>
      <c r="C152" s="16">
        <f>B152*5</f>
        <v>225</v>
      </c>
      <c r="D152" s="240">
        <v>0</v>
      </c>
      <c r="E152" s="240">
        <v>0</v>
      </c>
      <c r="F152" s="240">
        <v>0</v>
      </c>
      <c r="G152" s="240">
        <v>0</v>
      </c>
      <c r="H152" s="240">
        <v>0</v>
      </c>
      <c r="I152" s="240">
        <v>0</v>
      </c>
      <c r="J152" s="26">
        <f t="shared" si="20"/>
        <v>0</v>
      </c>
      <c r="K152" s="26">
        <v>0</v>
      </c>
      <c r="L152" s="240">
        <f t="shared" si="21"/>
        <v>0</v>
      </c>
      <c r="M152" s="240" t="s">
        <v>452</v>
      </c>
      <c r="N152" s="30" t="s">
        <v>453</v>
      </c>
    </row>
    <row r="153" spans="1:33" x14ac:dyDescent="0.4">
      <c r="A153" s="16">
        <v>130137</v>
      </c>
      <c r="B153" s="240">
        <v>45</v>
      </c>
      <c r="C153" s="16">
        <f>B153*5</f>
        <v>225</v>
      </c>
      <c r="D153" s="240">
        <v>0</v>
      </c>
      <c r="E153" s="240">
        <v>0</v>
      </c>
      <c r="F153" s="240">
        <v>0</v>
      </c>
      <c r="G153" s="240">
        <v>0</v>
      </c>
      <c r="H153" s="240">
        <v>0</v>
      </c>
      <c r="I153" s="240">
        <v>1</v>
      </c>
      <c r="J153" s="26">
        <f t="shared" si="20"/>
        <v>1</v>
      </c>
      <c r="K153" s="26">
        <f>J153-1</f>
        <v>0</v>
      </c>
      <c r="L153" s="240">
        <f t="shared" si="21"/>
        <v>0</v>
      </c>
      <c r="M153" s="240" t="s">
        <v>454</v>
      </c>
      <c r="N153" s="30" t="s">
        <v>455</v>
      </c>
    </row>
    <row r="154" spans="1:33" x14ac:dyDescent="0.4">
      <c r="A154" s="16">
        <v>130138</v>
      </c>
      <c r="B154" s="240">
        <v>60</v>
      </c>
      <c r="C154" s="16">
        <v>300</v>
      </c>
      <c r="D154" s="240">
        <v>0</v>
      </c>
      <c r="E154" s="240">
        <v>0</v>
      </c>
      <c r="F154" s="240">
        <v>0</v>
      </c>
      <c r="G154" s="240">
        <v>0</v>
      </c>
      <c r="H154" s="240">
        <v>0</v>
      </c>
      <c r="I154" s="240">
        <v>0</v>
      </c>
      <c r="J154" s="26">
        <f t="shared" si="20"/>
        <v>0</v>
      </c>
      <c r="K154" s="26">
        <v>0</v>
      </c>
      <c r="L154" s="240">
        <f t="shared" si="21"/>
        <v>0</v>
      </c>
      <c r="M154" s="240" t="s">
        <v>456</v>
      </c>
      <c r="N154" s="30" t="s">
        <v>457</v>
      </c>
    </row>
    <row r="155" spans="1:33" x14ac:dyDescent="0.4">
      <c r="A155" s="16">
        <v>130139</v>
      </c>
      <c r="B155" s="240">
        <v>45</v>
      </c>
      <c r="C155" s="16">
        <f>B155*5</f>
        <v>225</v>
      </c>
      <c r="D155" s="240">
        <v>0</v>
      </c>
      <c r="E155" s="240">
        <v>0</v>
      </c>
      <c r="F155" s="240">
        <v>0</v>
      </c>
      <c r="G155" s="240">
        <v>0</v>
      </c>
      <c r="H155" s="240">
        <v>0</v>
      </c>
      <c r="I155" s="240">
        <v>0</v>
      </c>
      <c r="J155" s="26">
        <f t="shared" si="20"/>
        <v>0</v>
      </c>
      <c r="K155" s="26">
        <v>0</v>
      </c>
      <c r="L155" s="240">
        <f t="shared" si="21"/>
        <v>0</v>
      </c>
      <c r="M155" s="240" t="s">
        <v>458</v>
      </c>
      <c r="N155" s="30" t="s">
        <v>457</v>
      </c>
    </row>
    <row r="156" spans="1:33" x14ac:dyDescent="0.4">
      <c r="A156" s="5">
        <v>130140</v>
      </c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2034" t="s">
        <v>459</v>
      </c>
      <c r="S156" s="2034"/>
      <c r="T156" s="2034"/>
      <c r="U156" s="2034"/>
      <c r="V156" s="2034"/>
      <c r="W156" s="2034"/>
      <c r="X156" s="2034"/>
      <c r="Y156" s="2034"/>
      <c r="Z156" s="2034"/>
      <c r="AA156" s="2034"/>
      <c r="AB156" s="2034"/>
      <c r="AC156" s="2034"/>
      <c r="AD156" s="2034"/>
      <c r="AE156" s="2034"/>
      <c r="AF156" s="2034"/>
      <c r="AG156" s="2034"/>
    </row>
    <row r="157" spans="1:33" x14ac:dyDescent="0.4">
      <c r="A157" s="5">
        <v>130141</v>
      </c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2034"/>
      <c r="S157" s="2034"/>
      <c r="T157" s="2034"/>
      <c r="U157" s="2034"/>
      <c r="V157" s="2034"/>
      <c r="W157" s="2034"/>
      <c r="X157" s="2034"/>
      <c r="Y157" s="2034"/>
      <c r="Z157" s="2034"/>
      <c r="AA157" s="2034"/>
      <c r="AB157" s="2034"/>
      <c r="AC157" s="2034"/>
      <c r="AD157" s="2034"/>
      <c r="AE157" s="2034"/>
      <c r="AF157" s="2034"/>
      <c r="AG157" s="2034"/>
    </row>
    <row r="158" spans="1:33" x14ac:dyDescent="0.4">
      <c r="A158" s="1">
        <v>130142</v>
      </c>
      <c r="B158" s="239"/>
      <c r="C158" s="1">
        <f>B158*5</f>
        <v>0</v>
      </c>
      <c r="D158" s="239">
        <v>0</v>
      </c>
      <c r="E158" s="239">
        <v>0</v>
      </c>
      <c r="F158" s="239">
        <v>0</v>
      </c>
      <c r="G158" s="239">
        <v>0</v>
      </c>
      <c r="H158" s="239">
        <v>0</v>
      </c>
      <c r="I158" s="239">
        <v>1</v>
      </c>
      <c r="J158" s="140">
        <f>SUM(D158:I158)</f>
        <v>1</v>
      </c>
      <c r="K158" s="140">
        <f>J158-1</f>
        <v>0</v>
      </c>
      <c r="L158" s="239">
        <f>K158*B158</f>
        <v>0</v>
      </c>
      <c r="M158" s="239" t="s">
        <v>458</v>
      </c>
      <c r="N158" s="141" t="s">
        <v>457</v>
      </c>
      <c r="O158" s="35" t="s">
        <v>873</v>
      </c>
      <c r="P158" s="35"/>
      <c r="Q158" s="35"/>
      <c r="R158" s="2034"/>
      <c r="S158" s="2034"/>
      <c r="T158" s="2034"/>
      <c r="U158" s="2034"/>
      <c r="V158" s="2034"/>
      <c r="W158" s="2034"/>
      <c r="X158" s="2034"/>
      <c r="Y158" s="2034"/>
      <c r="Z158" s="2034"/>
      <c r="AA158" s="2034"/>
      <c r="AB158" s="2034"/>
      <c r="AC158" s="2034"/>
      <c r="AD158" s="2034"/>
      <c r="AE158" s="2034"/>
      <c r="AF158" s="2034"/>
      <c r="AG158" s="2034"/>
    </row>
    <row r="159" spans="1:33" x14ac:dyDescent="0.4">
      <c r="A159" s="5">
        <v>130143</v>
      </c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2034"/>
      <c r="S159" s="2034"/>
      <c r="T159" s="2034"/>
      <c r="U159" s="2034"/>
      <c r="V159" s="2034"/>
      <c r="W159" s="2034"/>
      <c r="X159" s="2034"/>
      <c r="Y159" s="2034"/>
      <c r="Z159" s="2034"/>
      <c r="AA159" s="2034"/>
      <c r="AB159" s="2034"/>
      <c r="AC159" s="2034"/>
      <c r="AD159" s="2034"/>
      <c r="AE159" s="2034"/>
      <c r="AF159" s="2034"/>
      <c r="AG159" s="2034"/>
    </row>
    <row r="160" spans="1:33" x14ac:dyDescent="0.4">
      <c r="A160" s="5">
        <v>130144</v>
      </c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2034"/>
      <c r="S160" s="2034"/>
      <c r="T160" s="2034"/>
      <c r="U160" s="2034"/>
      <c r="V160" s="2034"/>
      <c r="W160" s="2034"/>
      <c r="X160" s="2034"/>
      <c r="Y160" s="2034"/>
      <c r="Z160" s="2034"/>
      <c r="AA160" s="2034"/>
      <c r="AB160" s="2034"/>
      <c r="AC160" s="2034"/>
      <c r="AD160" s="2034"/>
      <c r="AE160" s="2034"/>
      <c r="AF160" s="2034"/>
      <c r="AG160" s="2034"/>
    </row>
    <row r="161" spans="1:20" x14ac:dyDescent="0.4">
      <c r="A161" s="16">
        <v>130145</v>
      </c>
      <c r="B161" s="240">
        <v>45</v>
      </c>
      <c r="C161" s="16">
        <f>B161*5</f>
        <v>225</v>
      </c>
      <c r="D161" s="240">
        <v>0</v>
      </c>
      <c r="E161" s="240">
        <v>0</v>
      </c>
      <c r="F161" s="240">
        <v>0</v>
      </c>
      <c r="G161" s="240">
        <v>0</v>
      </c>
      <c r="H161" s="240">
        <v>0</v>
      </c>
      <c r="I161" s="240">
        <v>0</v>
      </c>
      <c r="J161" s="26">
        <f>SUM(D161:I161)</f>
        <v>0</v>
      </c>
      <c r="K161" s="26">
        <v>0</v>
      </c>
      <c r="L161" s="240">
        <f>K161*B161</f>
        <v>0</v>
      </c>
      <c r="M161" s="240" t="s">
        <v>460</v>
      </c>
      <c r="N161" s="30" t="s">
        <v>461</v>
      </c>
    </row>
    <row r="162" spans="1:20" x14ac:dyDescent="0.4">
      <c r="A162" s="16">
        <v>130146</v>
      </c>
      <c r="B162" s="240">
        <v>60</v>
      </c>
      <c r="C162" s="16">
        <v>300</v>
      </c>
      <c r="D162" s="240">
        <v>0</v>
      </c>
      <c r="E162" s="240">
        <v>0</v>
      </c>
      <c r="F162" s="240">
        <v>0</v>
      </c>
      <c r="G162" s="240">
        <v>0</v>
      </c>
      <c r="H162" s="240">
        <v>0</v>
      </c>
      <c r="I162" s="240">
        <v>0</v>
      </c>
      <c r="J162" s="26">
        <f>SUM(D162:I162)</f>
        <v>0</v>
      </c>
      <c r="K162" s="26">
        <v>0</v>
      </c>
      <c r="L162" s="240">
        <f>K162*B162</f>
        <v>0</v>
      </c>
      <c r="M162" s="240" t="s">
        <v>462</v>
      </c>
      <c r="N162" s="30" t="s">
        <v>463</v>
      </c>
    </row>
    <row r="163" spans="1:20" x14ac:dyDescent="0.4">
      <c r="A163" s="16">
        <v>130147</v>
      </c>
      <c r="B163" s="240">
        <v>45</v>
      </c>
      <c r="C163" s="16">
        <f>B163*5</f>
        <v>225</v>
      </c>
      <c r="D163" s="240">
        <v>0</v>
      </c>
      <c r="E163" s="240">
        <v>0</v>
      </c>
      <c r="F163" s="240">
        <v>0</v>
      </c>
      <c r="G163" s="240">
        <v>0</v>
      </c>
      <c r="H163" s="240">
        <v>0</v>
      </c>
      <c r="I163" s="240">
        <v>0</v>
      </c>
      <c r="J163" s="26">
        <f>SUM(D163:I163)</f>
        <v>0</v>
      </c>
      <c r="K163" s="26">
        <v>0</v>
      </c>
      <c r="L163" s="240">
        <f>K163*B163</f>
        <v>0</v>
      </c>
      <c r="M163" s="240" t="s">
        <v>464</v>
      </c>
      <c r="N163" s="30" t="s">
        <v>465</v>
      </c>
    </row>
    <row r="164" spans="1:20" x14ac:dyDescent="0.4">
      <c r="A164" s="16">
        <v>130148</v>
      </c>
      <c r="B164" s="16"/>
      <c r="C164" s="16"/>
      <c r="D164" s="240">
        <v>0</v>
      </c>
      <c r="E164" s="240">
        <v>0</v>
      </c>
      <c r="F164" s="240">
        <v>0</v>
      </c>
      <c r="G164" s="2033" t="s">
        <v>466</v>
      </c>
      <c r="H164" s="2033"/>
      <c r="I164" s="2033"/>
      <c r="J164" s="16"/>
      <c r="K164" s="16"/>
      <c r="L164" s="240">
        <v>0</v>
      </c>
      <c r="M164" s="240" t="s">
        <v>467</v>
      </c>
      <c r="N164" s="30" t="s">
        <v>468</v>
      </c>
      <c r="O164" s="2034" t="s">
        <v>469</v>
      </c>
      <c r="P164" s="2034"/>
      <c r="Q164" s="2034"/>
      <c r="R164" s="2034"/>
      <c r="S164" s="2034"/>
      <c r="T164" s="2034"/>
    </row>
    <row r="165" spans="1:20" x14ac:dyDescent="0.4">
      <c r="A165" s="16">
        <v>130149</v>
      </c>
      <c r="B165" s="240">
        <v>60</v>
      </c>
      <c r="C165" s="16">
        <v>300</v>
      </c>
      <c r="D165" s="240">
        <v>0</v>
      </c>
      <c r="E165" s="240">
        <v>0</v>
      </c>
      <c r="F165" s="240">
        <v>0</v>
      </c>
      <c r="G165" s="240">
        <v>0</v>
      </c>
      <c r="H165" s="240">
        <v>0</v>
      </c>
      <c r="I165" s="240">
        <v>0</v>
      </c>
      <c r="J165" s="26">
        <f>SUM(D165:I165)</f>
        <v>0</v>
      </c>
      <c r="K165" s="26">
        <v>0</v>
      </c>
      <c r="L165" s="240">
        <f t="shared" ref="L165:L174" si="22">K165*B165</f>
        <v>0</v>
      </c>
      <c r="M165" s="240" t="s">
        <v>470</v>
      </c>
      <c r="N165" s="30" t="s">
        <v>471</v>
      </c>
    </row>
    <row r="166" spans="1:20" x14ac:dyDescent="0.4">
      <c r="A166" s="16">
        <v>130150</v>
      </c>
      <c r="B166" s="240">
        <v>45</v>
      </c>
      <c r="C166" s="16">
        <f t="shared" ref="C166:C171" si="23">B166*5</f>
        <v>225</v>
      </c>
      <c r="D166" s="240">
        <v>0</v>
      </c>
      <c r="E166" s="240">
        <v>0</v>
      </c>
      <c r="F166" s="240">
        <v>0</v>
      </c>
      <c r="G166" s="240">
        <v>0</v>
      </c>
      <c r="H166" s="240">
        <v>0</v>
      </c>
      <c r="I166" s="240">
        <v>0</v>
      </c>
      <c r="J166" s="26">
        <f>SUM(D166:I166)</f>
        <v>0</v>
      </c>
      <c r="K166" s="26">
        <v>0</v>
      </c>
      <c r="L166" s="240">
        <f t="shared" si="22"/>
        <v>0</v>
      </c>
      <c r="M166" s="240" t="s">
        <v>472</v>
      </c>
      <c r="N166" s="30" t="s">
        <v>473</v>
      </c>
    </row>
    <row r="167" spans="1:20" x14ac:dyDescent="0.4">
      <c r="A167" s="1">
        <v>130151</v>
      </c>
      <c r="B167" s="239">
        <v>45</v>
      </c>
      <c r="C167" s="1">
        <f t="shared" si="23"/>
        <v>225</v>
      </c>
      <c r="D167" s="239">
        <v>0</v>
      </c>
      <c r="E167" s="239">
        <v>0</v>
      </c>
      <c r="F167" s="239">
        <v>0</v>
      </c>
      <c r="G167" s="239">
        <v>0</v>
      </c>
      <c r="H167" s="239">
        <v>0</v>
      </c>
      <c r="I167" s="239">
        <v>1</v>
      </c>
      <c r="J167" s="140">
        <f>SUM(D167:I167)</f>
        <v>1</v>
      </c>
      <c r="K167" s="140">
        <f>J167-1</f>
        <v>0</v>
      </c>
      <c r="L167" s="239">
        <f t="shared" si="22"/>
        <v>0</v>
      </c>
      <c r="M167" s="239" t="s">
        <v>472</v>
      </c>
      <c r="N167" s="141" t="s">
        <v>473</v>
      </c>
    </row>
    <row r="168" spans="1:20" x14ac:dyDescent="0.4">
      <c r="A168" s="16">
        <v>130152</v>
      </c>
      <c r="B168" s="240">
        <v>45</v>
      </c>
      <c r="C168" s="16">
        <f t="shared" si="23"/>
        <v>225</v>
      </c>
      <c r="D168" s="240">
        <v>0</v>
      </c>
      <c r="E168" s="240">
        <v>0</v>
      </c>
      <c r="F168" s="240">
        <v>0</v>
      </c>
      <c r="G168" s="240">
        <v>0</v>
      </c>
      <c r="H168" s="240">
        <v>0</v>
      </c>
      <c r="I168" s="240">
        <v>0</v>
      </c>
      <c r="J168" s="26">
        <f>SUM(D168:I168)</f>
        <v>0</v>
      </c>
      <c r="K168" s="26">
        <v>0</v>
      </c>
      <c r="L168" s="240">
        <f t="shared" si="22"/>
        <v>0</v>
      </c>
      <c r="M168" s="240" t="s">
        <v>474</v>
      </c>
      <c r="N168" s="30" t="s">
        <v>475</v>
      </c>
    </row>
    <row r="169" spans="1:20" x14ac:dyDescent="0.4">
      <c r="A169" s="16">
        <v>130153</v>
      </c>
      <c r="B169" s="240">
        <v>45</v>
      </c>
      <c r="C169" s="16">
        <f t="shared" si="23"/>
        <v>225</v>
      </c>
      <c r="D169" s="240">
        <v>0</v>
      </c>
      <c r="E169" s="240">
        <v>0</v>
      </c>
      <c r="F169" s="240">
        <v>0</v>
      </c>
      <c r="G169" s="240">
        <v>0</v>
      </c>
      <c r="H169" s="240">
        <v>0</v>
      </c>
      <c r="I169" s="240">
        <v>0</v>
      </c>
      <c r="J169" s="26">
        <f>SUM(D169:I169)</f>
        <v>0</v>
      </c>
      <c r="K169" s="26">
        <v>0</v>
      </c>
      <c r="L169" s="240">
        <f t="shared" si="22"/>
        <v>0</v>
      </c>
      <c r="M169" s="240" t="s">
        <v>476</v>
      </c>
      <c r="N169" s="30" t="s">
        <v>477</v>
      </c>
    </row>
    <row r="170" spans="1:20" x14ac:dyDescent="0.4">
      <c r="A170" s="16">
        <v>130154</v>
      </c>
      <c r="B170" s="240">
        <v>45</v>
      </c>
      <c r="C170" s="16">
        <f t="shared" si="23"/>
        <v>225</v>
      </c>
      <c r="D170" s="240">
        <v>0</v>
      </c>
      <c r="E170" s="240">
        <v>0</v>
      </c>
      <c r="F170" s="240">
        <v>0</v>
      </c>
      <c r="G170" s="240">
        <v>0</v>
      </c>
      <c r="H170" s="240">
        <v>0</v>
      </c>
      <c r="I170" s="240">
        <v>0</v>
      </c>
      <c r="J170" s="26">
        <v>0</v>
      </c>
      <c r="K170" s="26">
        <v>0</v>
      </c>
      <c r="L170" s="240">
        <f t="shared" si="22"/>
        <v>0</v>
      </c>
      <c r="M170" s="240" t="s">
        <v>476</v>
      </c>
      <c r="N170" s="30" t="s">
        <v>477</v>
      </c>
    </row>
    <row r="171" spans="1:20" x14ac:dyDescent="0.4">
      <c r="A171" s="16">
        <v>130155</v>
      </c>
      <c r="B171" s="240">
        <v>45</v>
      </c>
      <c r="C171" s="16">
        <f t="shared" si="23"/>
        <v>225</v>
      </c>
      <c r="D171" s="240">
        <v>0</v>
      </c>
      <c r="E171" s="240">
        <v>0</v>
      </c>
      <c r="F171" s="240">
        <v>0</v>
      </c>
      <c r="G171" s="240">
        <v>0</v>
      </c>
      <c r="H171" s="240">
        <v>0</v>
      </c>
      <c r="I171" s="240">
        <v>0</v>
      </c>
      <c r="J171" s="26">
        <f>SUM(D171:I171)</f>
        <v>0</v>
      </c>
      <c r="K171" s="26">
        <v>0</v>
      </c>
      <c r="L171" s="240">
        <f t="shared" si="22"/>
        <v>0</v>
      </c>
      <c r="M171" s="240" t="s">
        <v>476</v>
      </c>
      <c r="N171" s="30" t="s">
        <v>477</v>
      </c>
    </row>
    <row r="172" spans="1:20" x14ac:dyDescent="0.4">
      <c r="A172" s="1">
        <v>130156</v>
      </c>
      <c r="B172" s="239">
        <v>60</v>
      </c>
      <c r="C172" s="1">
        <v>300</v>
      </c>
      <c r="D172" s="239">
        <v>0</v>
      </c>
      <c r="E172" s="239">
        <v>0</v>
      </c>
      <c r="F172" s="239">
        <v>0</v>
      </c>
      <c r="G172" s="239">
        <v>0</v>
      </c>
      <c r="H172" s="239">
        <v>0</v>
      </c>
      <c r="I172" s="239">
        <v>1</v>
      </c>
      <c r="J172" s="140">
        <f>SUM(D172:I172)</f>
        <v>1</v>
      </c>
      <c r="K172" s="140">
        <f>J172-1</f>
        <v>0</v>
      </c>
      <c r="L172" s="239">
        <f t="shared" si="22"/>
        <v>0</v>
      </c>
      <c r="M172" s="239" t="s">
        <v>478</v>
      </c>
      <c r="N172" s="141" t="s">
        <v>479</v>
      </c>
    </row>
    <row r="173" spans="1:20" x14ac:dyDescent="0.4">
      <c r="A173" s="16">
        <v>130157</v>
      </c>
      <c r="B173" s="240">
        <v>45</v>
      </c>
      <c r="C173" s="16">
        <f>B173*5</f>
        <v>225</v>
      </c>
      <c r="D173" s="240">
        <v>0</v>
      </c>
      <c r="E173" s="240">
        <v>0</v>
      </c>
      <c r="F173" s="240">
        <v>0</v>
      </c>
      <c r="G173" s="240">
        <v>0</v>
      </c>
      <c r="H173" s="240">
        <v>0</v>
      </c>
      <c r="I173" s="240">
        <v>0</v>
      </c>
      <c r="J173" s="26">
        <f>SUM(D173:I173)</f>
        <v>0</v>
      </c>
      <c r="K173" s="26">
        <v>0</v>
      </c>
      <c r="L173" s="240">
        <f t="shared" si="22"/>
        <v>0</v>
      </c>
      <c r="M173" s="240" t="s">
        <v>478</v>
      </c>
      <c r="N173" s="30" t="s">
        <v>479</v>
      </c>
    </row>
    <row r="174" spans="1:20" x14ac:dyDescent="0.4">
      <c r="A174" s="16">
        <v>130158</v>
      </c>
      <c r="B174" s="240">
        <v>45</v>
      </c>
      <c r="C174" s="16">
        <f>B174*5</f>
        <v>225</v>
      </c>
      <c r="D174" s="240">
        <v>0</v>
      </c>
      <c r="E174" s="240">
        <v>0</v>
      </c>
      <c r="F174" s="240">
        <v>0</v>
      </c>
      <c r="G174" s="240">
        <v>0</v>
      </c>
      <c r="H174" s="240">
        <v>0</v>
      </c>
      <c r="I174" s="240">
        <v>0</v>
      </c>
      <c r="J174" s="26">
        <f>SUM(D174:I174)</f>
        <v>0</v>
      </c>
      <c r="K174" s="26">
        <v>0</v>
      </c>
      <c r="L174" s="240">
        <f t="shared" si="22"/>
        <v>0</v>
      </c>
      <c r="M174" s="240" t="s">
        <v>478</v>
      </c>
      <c r="N174" s="30" t="s">
        <v>479</v>
      </c>
    </row>
    <row r="175" spans="1:20" x14ac:dyDescent="0.4">
      <c r="A175" s="1">
        <v>130159</v>
      </c>
      <c r="B175" s="1"/>
      <c r="C175" s="1"/>
      <c r="D175" s="239">
        <v>0</v>
      </c>
      <c r="E175" s="239">
        <v>1</v>
      </c>
      <c r="F175" s="2032" t="s">
        <v>28</v>
      </c>
      <c r="G175" s="2032"/>
      <c r="H175" s="2032"/>
      <c r="I175" s="1"/>
      <c r="J175" s="1"/>
      <c r="K175" s="1"/>
      <c r="L175" s="1"/>
      <c r="M175" s="239" t="s">
        <v>480</v>
      </c>
      <c r="N175" s="141" t="s">
        <v>481</v>
      </c>
      <c r="O175" s="1"/>
      <c r="P175" s="2032" t="s">
        <v>482</v>
      </c>
      <c r="Q175" s="2032"/>
    </row>
    <row r="176" spans="1:20" x14ac:dyDescent="0.4">
      <c r="A176" s="1">
        <v>130160</v>
      </c>
      <c r="B176" s="239">
        <v>45</v>
      </c>
      <c r="C176" s="1">
        <f>B176*5</f>
        <v>225</v>
      </c>
      <c r="D176" s="239">
        <v>0</v>
      </c>
      <c r="E176" s="239">
        <v>0</v>
      </c>
      <c r="F176" s="239">
        <v>0</v>
      </c>
      <c r="G176" s="239">
        <v>1</v>
      </c>
      <c r="H176" s="239">
        <v>1</v>
      </c>
      <c r="I176" s="239">
        <v>1</v>
      </c>
      <c r="J176" s="140">
        <f t="shared" ref="J176:J190" si="24">SUM(D176:I176)</f>
        <v>3</v>
      </c>
      <c r="K176" s="140">
        <f t="shared" ref="K176:K185" si="25">J176-1</f>
        <v>2</v>
      </c>
      <c r="L176" s="239">
        <f t="shared" ref="L176:L190" si="26">K176*B176</f>
        <v>90</v>
      </c>
      <c r="M176" s="239" t="s">
        <v>483</v>
      </c>
      <c r="N176" s="141" t="s">
        <v>484</v>
      </c>
      <c r="O176" s="1"/>
      <c r="P176" s="1"/>
      <c r="Q176" s="1"/>
    </row>
    <row r="177" spans="1:17" x14ac:dyDescent="0.4">
      <c r="A177" s="16">
        <v>130161</v>
      </c>
      <c r="B177" s="240">
        <v>45</v>
      </c>
      <c r="C177" s="16">
        <v>225</v>
      </c>
      <c r="D177" s="240">
        <v>0</v>
      </c>
      <c r="E177" s="240">
        <v>0</v>
      </c>
      <c r="F177" s="240">
        <v>0</v>
      </c>
      <c r="G177" s="240">
        <v>0</v>
      </c>
      <c r="H177" s="240">
        <v>0</v>
      </c>
      <c r="I177" s="240">
        <v>0</v>
      </c>
      <c r="J177" s="26">
        <f t="shared" si="24"/>
        <v>0</v>
      </c>
      <c r="K177" s="26">
        <v>0</v>
      </c>
      <c r="L177" s="240">
        <f t="shared" si="26"/>
        <v>0</v>
      </c>
      <c r="M177" s="240" t="s">
        <v>485</v>
      </c>
      <c r="N177" s="30" t="s">
        <v>486</v>
      </c>
      <c r="O177" s="2033" t="s">
        <v>487</v>
      </c>
      <c r="P177" s="2033"/>
      <c r="Q177" s="2033"/>
    </row>
    <row r="178" spans="1:17" x14ac:dyDescent="0.4">
      <c r="A178" s="16">
        <v>130162</v>
      </c>
      <c r="B178" s="240">
        <v>60</v>
      </c>
      <c r="C178" s="16">
        <v>300</v>
      </c>
      <c r="D178" s="240">
        <v>0</v>
      </c>
      <c r="E178" s="240">
        <v>0</v>
      </c>
      <c r="F178" s="240">
        <v>0</v>
      </c>
      <c r="G178" s="240">
        <v>0</v>
      </c>
      <c r="H178" s="240">
        <v>0</v>
      </c>
      <c r="I178" s="240">
        <v>0</v>
      </c>
      <c r="J178" s="26">
        <f t="shared" si="24"/>
        <v>0</v>
      </c>
      <c r="K178" s="26">
        <v>0</v>
      </c>
      <c r="L178" s="240">
        <f t="shared" si="26"/>
        <v>0</v>
      </c>
      <c r="M178" s="240" t="s">
        <v>488</v>
      </c>
      <c r="N178" s="30" t="s">
        <v>489</v>
      </c>
    </row>
    <row r="179" spans="1:17" x14ac:dyDescent="0.4">
      <c r="A179" s="1">
        <v>130163</v>
      </c>
      <c r="B179" s="239">
        <v>60</v>
      </c>
      <c r="C179" s="1">
        <v>300</v>
      </c>
      <c r="D179" s="239">
        <v>0</v>
      </c>
      <c r="E179" s="239">
        <v>0</v>
      </c>
      <c r="F179" s="239">
        <v>1</v>
      </c>
      <c r="G179" s="239">
        <v>1</v>
      </c>
      <c r="H179" s="239">
        <v>1</v>
      </c>
      <c r="I179" s="239">
        <v>1</v>
      </c>
      <c r="J179" s="140">
        <f t="shared" si="24"/>
        <v>4</v>
      </c>
      <c r="K179" s="140">
        <f t="shared" si="25"/>
        <v>3</v>
      </c>
      <c r="L179" s="239">
        <f t="shared" si="26"/>
        <v>180</v>
      </c>
      <c r="M179" s="239" t="s">
        <v>490</v>
      </c>
      <c r="N179" s="141" t="s">
        <v>491</v>
      </c>
    </row>
    <row r="180" spans="1:17" x14ac:dyDescent="0.4">
      <c r="A180" s="16">
        <v>130164</v>
      </c>
      <c r="B180" s="240">
        <v>60</v>
      </c>
      <c r="C180" s="16">
        <v>300</v>
      </c>
      <c r="D180" s="240">
        <v>0</v>
      </c>
      <c r="E180" s="240">
        <v>0</v>
      </c>
      <c r="F180" s="240">
        <v>0</v>
      </c>
      <c r="G180" s="240">
        <v>0</v>
      </c>
      <c r="H180" s="240">
        <v>0</v>
      </c>
      <c r="I180" s="240">
        <v>0</v>
      </c>
      <c r="J180" s="26">
        <f t="shared" si="24"/>
        <v>0</v>
      </c>
      <c r="K180" s="26">
        <v>0</v>
      </c>
      <c r="L180" s="240">
        <f t="shared" si="26"/>
        <v>0</v>
      </c>
      <c r="M180" s="240" t="s">
        <v>492</v>
      </c>
      <c r="N180" s="30" t="s">
        <v>493</v>
      </c>
    </row>
    <row r="181" spans="1:17" x14ac:dyDescent="0.4">
      <c r="A181" s="16">
        <v>130165</v>
      </c>
      <c r="B181" s="240">
        <v>45</v>
      </c>
      <c r="C181" s="16">
        <f>B181*5</f>
        <v>225</v>
      </c>
      <c r="D181" s="240">
        <v>0</v>
      </c>
      <c r="E181" s="240">
        <v>0</v>
      </c>
      <c r="F181" s="240">
        <v>0</v>
      </c>
      <c r="G181" s="240">
        <v>0</v>
      </c>
      <c r="H181" s="240">
        <v>0</v>
      </c>
      <c r="I181" s="240">
        <v>0</v>
      </c>
      <c r="J181" s="26">
        <f t="shared" si="24"/>
        <v>0</v>
      </c>
      <c r="K181" s="26">
        <v>0</v>
      </c>
      <c r="L181" s="240">
        <f t="shared" si="26"/>
        <v>0</v>
      </c>
      <c r="M181" s="240" t="s">
        <v>494</v>
      </c>
      <c r="N181" s="30" t="s">
        <v>495</v>
      </c>
    </row>
    <row r="182" spans="1:17" x14ac:dyDescent="0.4">
      <c r="A182" s="1">
        <v>130166</v>
      </c>
      <c r="B182" s="239">
        <v>50</v>
      </c>
      <c r="C182" s="1">
        <f>B182*5</f>
        <v>250</v>
      </c>
      <c r="D182" s="239">
        <v>0</v>
      </c>
      <c r="E182" s="239">
        <v>0</v>
      </c>
      <c r="F182" s="239">
        <v>0</v>
      </c>
      <c r="G182" s="239">
        <v>1</v>
      </c>
      <c r="H182" s="239">
        <v>1</v>
      </c>
      <c r="I182" s="239">
        <v>1</v>
      </c>
      <c r="J182" s="140">
        <f t="shared" si="24"/>
        <v>3</v>
      </c>
      <c r="K182" s="140">
        <f t="shared" si="25"/>
        <v>2</v>
      </c>
      <c r="L182" s="239">
        <f t="shared" si="26"/>
        <v>100</v>
      </c>
      <c r="M182" s="239" t="s">
        <v>494</v>
      </c>
      <c r="N182" s="141" t="s">
        <v>495</v>
      </c>
    </row>
    <row r="183" spans="1:17" x14ac:dyDescent="0.4">
      <c r="A183" s="1">
        <v>130167</v>
      </c>
      <c r="B183" s="239">
        <v>80</v>
      </c>
      <c r="C183" s="1">
        <f>B183*5</f>
        <v>400</v>
      </c>
      <c r="D183" s="239">
        <v>0</v>
      </c>
      <c r="E183" s="239">
        <v>0</v>
      </c>
      <c r="F183" s="239">
        <v>0</v>
      </c>
      <c r="G183" s="239">
        <v>0</v>
      </c>
      <c r="H183" s="239">
        <v>1</v>
      </c>
      <c r="I183" s="239">
        <v>1</v>
      </c>
      <c r="J183" s="140">
        <f t="shared" si="24"/>
        <v>2</v>
      </c>
      <c r="K183" s="140">
        <f t="shared" si="25"/>
        <v>1</v>
      </c>
      <c r="L183" s="239">
        <f t="shared" si="26"/>
        <v>80</v>
      </c>
      <c r="M183" s="239" t="s">
        <v>496</v>
      </c>
      <c r="N183" s="141" t="s">
        <v>497</v>
      </c>
    </row>
    <row r="184" spans="1:17" x14ac:dyDescent="0.4">
      <c r="A184" s="16">
        <v>130168</v>
      </c>
      <c r="B184" s="240">
        <v>60</v>
      </c>
      <c r="C184" s="16">
        <v>300</v>
      </c>
      <c r="D184" s="240">
        <v>0</v>
      </c>
      <c r="E184" s="240">
        <v>0</v>
      </c>
      <c r="F184" s="240">
        <v>0</v>
      </c>
      <c r="G184" s="240">
        <v>0</v>
      </c>
      <c r="H184" s="240">
        <v>0</v>
      </c>
      <c r="I184" s="240">
        <v>0</v>
      </c>
      <c r="J184" s="26">
        <f t="shared" si="24"/>
        <v>0</v>
      </c>
      <c r="K184" s="26">
        <v>0</v>
      </c>
      <c r="L184" s="240">
        <f t="shared" si="26"/>
        <v>0</v>
      </c>
      <c r="M184" s="240" t="s">
        <v>498</v>
      </c>
      <c r="N184" s="30" t="s">
        <v>497</v>
      </c>
    </row>
    <row r="185" spans="1:17" x14ac:dyDescent="0.4">
      <c r="A185" s="1">
        <v>130169</v>
      </c>
      <c r="B185" s="239">
        <v>45</v>
      </c>
      <c r="C185" s="1">
        <f>B185*5</f>
        <v>225</v>
      </c>
      <c r="D185" s="239">
        <v>0</v>
      </c>
      <c r="E185" s="239">
        <v>0</v>
      </c>
      <c r="F185" s="239">
        <v>1</v>
      </c>
      <c r="G185" s="239">
        <v>1</v>
      </c>
      <c r="H185" s="239">
        <v>1</v>
      </c>
      <c r="I185" s="239">
        <v>1</v>
      </c>
      <c r="J185" s="140">
        <f t="shared" si="24"/>
        <v>4</v>
      </c>
      <c r="K185" s="140">
        <f t="shared" si="25"/>
        <v>3</v>
      </c>
      <c r="L185" s="239">
        <f t="shared" si="26"/>
        <v>135</v>
      </c>
      <c r="M185" s="239" t="s">
        <v>499</v>
      </c>
      <c r="N185" s="141" t="s">
        <v>500</v>
      </c>
    </row>
    <row r="186" spans="1:17" x14ac:dyDescent="0.4">
      <c r="A186" s="16">
        <v>130170</v>
      </c>
      <c r="B186" s="240">
        <v>45</v>
      </c>
      <c r="C186" s="16">
        <f>B186*5</f>
        <v>225</v>
      </c>
      <c r="D186" s="240">
        <v>0</v>
      </c>
      <c r="E186" s="240">
        <v>0</v>
      </c>
      <c r="F186" s="240">
        <v>0</v>
      </c>
      <c r="G186" s="240">
        <v>0</v>
      </c>
      <c r="H186" s="240">
        <v>0</v>
      </c>
      <c r="I186" s="240">
        <v>0</v>
      </c>
      <c r="J186" s="26">
        <f t="shared" si="24"/>
        <v>0</v>
      </c>
      <c r="K186" s="26">
        <v>0</v>
      </c>
      <c r="L186" s="240">
        <f t="shared" si="26"/>
        <v>0</v>
      </c>
      <c r="M186" s="240" t="s">
        <v>499</v>
      </c>
      <c r="N186" s="30" t="s">
        <v>500</v>
      </c>
    </row>
    <row r="187" spans="1:17" x14ac:dyDescent="0.4">
      <c r="A187" s="16">
        <v>130171</v>
      </c>
      <c r="B187" s="240">
        <v>45</v>
      </c>
      <c r="C187" s="16">
        <f>B187*5</f>
        <v>225</v>
      </c>
      <c r="D187" s="240">
        <v>0</v>
      </c>
      <c r="E187" s="240">
        <v>0</v>
      </c>
      <c r="F187" s="240">
        <v>0</v>
      </c>
      <c r="G187" s="240">
        <v>0</v>
      </c>
      <c r="H187" s="240">
        <v>0</v>
      </c>
      <c r="I187" s="240">
        <v>0</v>
      </c>
      <c r="J187" s="26">
        <f t="shared" si="24"/>
        <v>0</v>
      </c>
      <c r="K187" s="26">
        <v>0</v>
      </c>
      <c r="L187" s="240">
        <v>0</v>
      </c>
      <c r="M187" s="240" t="s">
        <v>501</v>
      </c>
      <c r="N187" s="30" t="s">
        <v>502</v>
      </c>
    </row>
    <row r="188" spans="1:17" x14ac:dyDescent="0.4">
      <c r="A188" s="16">
        <v>130172</v>
      </c>
      <c r="B188" s="240">
        <v>45</v>
      </c>
      <c r="C188" s="16">
        <f>B188*5</f>
        <v>225</v>
      </c>
      <c r="D188" s="240">
        <v>0</v>
      </c>
      <c r="E188" s="240">
        <v>0</v>
      </c>
      <c r="F188" s="240">
        <v>0</v>
      </c>
      <c r="G188" s="240">
        <v>0</v>
      </c>
      <c r="H188" s="240">
        <v>0</v>
      </c>
      <c r="I188" s="240">
        <v>0</v>
      </c>
      <c r="J188" s="26">
        <f t="shared" si="24"/>
        <v>0</v>
      </c>
      <c r="K188" s="26">
        <v>0</v>
      </c>
      <c r="L188" s="240">
        <f t="shared" si="26"/>
        <v>0</v>
      </c>
      <c r="M188" s="240" t="s">
        <v>501</v>
      </c>
      <c r="N188" s="30" t="s">
        <v>502</v>
      </c>
    </row>
    <row r="189" spans="1:17" x14ac:dyDescent="0.4">
      <c r="A189" s="16">
        <v>130173</v>
      </c>
      <c r="B189" s="240">
        <v>60</v>
      </c>
      <c r="C189" s="16">
        <v>300</v>
      </c>
      <c r="D189" s="240">
        <v>0</v>
      </c>
      <c r="E189" s="240">
        <v>0</v>
      </c>
      <c r="F189" s="240">
        <v>0</v>
      </c>
      <c r="G189" s="240">
        <v>0</v>
      </c>
      <c r="H189" s="240">
        <v>0</v>
      </c>
      <c r="I189" s="240">
        <v>0</v>
      </c>
      <c r="J189" s="26">
        <f t="shared" si="24"/>
        <v>0</v>
      </c>
      <c r="K189" s="26">
        <v>0</v>
      </c>
      <c r="L189" s="240">
        <f t="shared" si="26"/>
        <v>0</v>
      </c>
      <c r="M189" s="240" t="s">
        <v>503</v>
      </c>
      <c r="N189" s="30" t="s">
        <v>504</v>
      </c>
    </row>
    <row r="190" spans="1:17" x14ac:dyDescent="0.4">
      <c r="A190" s="16">
        <v>130174</v>
      </c>
      <c r="B190" s="240">
        <v>120</v>
      </c>
      <c r="C190" s="16">
        <v>600</v>
      </c>
      <c r="D190" s="240">
        <v>0</v>
      </c>
      <c r="E190" s="240">
        <v>0</v>
      </c>
      <c r="F190" s="240">
        <v>0</v>
      </c>
      <c r="G190" s="240">
        <v>0</v>
      </c>
      <c r="H190" s="240">
        <v>0</v>
      </c>
      <c r="I190" s="240">
        <v>0</v>
      </c>
      <c r="J190" s="26">
        <f t="shared" si="24"/>
        <v>0</v>
      </c>
      <c r="K190" s="26">
        <v>0</v>
      </c>
      <c r="L190" s="240">
        <f t="shared" si="26"/>
        <v>0</v>
      </c>
      <c r="M190" s="240" t="s">
        <v>505</v>
      </c>
      <c r="N190" s="30" t="s">
        <v>506</v>
      </c>
      <c r="O190" s="16"/>
      <c r="P190" s="16" t="s">
        <v>507</v>
      </c>
      <c r="Q190" s="16"/>
    </row>
    <row r="191" spans="1:17" x14ac:dyDescent="0.4">
      <c r="A191" s="1">
        <v>130175</v>
      </c>
      <c r="B191" s="1"/>
      <c r="C191" s="1"/>
      <c r="D191" s="1" t="s">
        <v>508</v>
      </c>
      <c r="E191" s="1" t="s">
        <v>509</v>
      </c>
      <c r="F191" s="1" t="s">
        <v>17</v>
      </c>
      <c r="G191" s="1" t="s">
        <v>18</v>
      </c>
      <c r="H191" s="1" t="s">
        <v>510</v>
      </c>
      <c r="I191" s="1"/>
      <c r="J191" s="1"/>
      <c r="K191" s="1"/>
      <c r="L191" s="1"/>
      <c r="M191" s="239" t="s">
        <v>511</v>
      </c>
      <c r="N191" s="1"/>
    </row>
    <row r="192" spans="1:17" x14ac:dyDescent="0.4">
      <c r="A192" s="1">
        <v>130176</v>
      </c>
      <c r="B192" s="239">
        <v>60</v>
      </c>
      <c r="C192" s="1">
        <f>B192*5</f>
        <v>300</v>
      </c>
      <c r="D192" s="239">
        <v>0</v>
      </c>
      <c r="E192" s="239">
        <v>0</v>
      </c>
      <c r="F192" s="239">
        <v>0</v>
      </c>
      <c r="G192" s="239">
        <v>0</v>
      </c>
      <c r="H192" s="239">
        <v>0</v>
      </c>
      <c r="I192" s="239">
        <v>1</v>
      </c>
      <c r="J192" s="140">
        <f t="shared" ref="J192:J203" si="27">SUM(D192:I192)</f>
        <v>1</v>
      </c>
      <c r="K192" s="140">
        <f>J192-1</f>
        <v>0</v>
      </c>
      <c r="L192" s="239">
        <f t="shared" ref="L192:L203" si="28">K192*B192</f>
        <v>0</v>
      </c>
      <c r="M192" s="239" t="s">
        <v>511</v>
      </c>
      <c r="N192" s="141" t="s">
        <v>512</v>
      </c>
    </row>
    <row r="193" spans="1:17" x14ac:dyDescent="0.4">
      <c r="A193" s="1">
        <v>130177</v>
      </c>
      <c r="B193" s="239">
        <v>45</v>
      </c>
      <c r="C193" s="1">
        <f>B193*5</f>
        <v>225</v>
      </c>
      <c r="D193" s="239">
        <v>0</v>
      </c>
      <c r="E193" s="239">
        <v>0</v>
      </c>
      <c r="F193" s="239">
        <v>0</v>
      </c>
      <c r="G193" s="239">
        <v>0</v>
      </c>
      <c r="H193" s="239">
        <v>0</v>
      </c>
      <c r="I193" s="239">
        <v>1</v>
      </c>
      <c r="J193" s="140">
        <f t="shared" si="27"/>
        <v>1</v>
      </c>
      <c r="K193" s="140">
        <f>J193-1</f>
        <v>0</v>
      </c>
      <c r="L193" s="239">
        <f t="shared" si="28"/>
        <v>0</v>
      </c>
      <c r="M193" s="239" t="s">
        <v>501</v>
      </c>
      <c r="N193" s="141" t="s">
        <v>502</v>
      </c>
    </row>
    <row r="194" spans="1:17" x14ac:dyDescent="0.4">
      <c r="A194" s="16">
        <v>130178</v>
      </c>
      <c r="B194" s="240">
        <v>60</v>
      </c>
      <c r="C194" s="16">
        <f>B194*5</f>
        <v>300</v>
      </c>
      <c r="D194" s="240">
        <v>0</v>
      </c>
      <c r="E194" s="240">
        <v>0</v>
      </c>
      <c r="F194" s="240">
        <v>0</v>
      </c>
      <c r="G194" s="240">
        <v>0</v>
      </c>
      <c r="H194" s="240">
        <v>0</v>
      </c>
      <c r="I194" s="240">
        <v>0</v>
      </c>
      <c r="J194" s="26">
        <f t="shared" si="27"/>
        <v>0</v>
      </c>
      <c r="K194" s="26">
        <v>0</v>
      </c>
      <c r="L194" s="240">
        <f t="shared" si="28"/>
        <v>0</v>
      </c>
      <c r="M194" s="240" t="s">
        <v>513</v>
      </c>
      <c r="N194" s="30" t="s">
        <v>514</v>
      </c>
    </row>
    <row r="195" spans="1:17" x14ac:dyDescent="0.4">
      <c r="A195" s="16">
        <v>130179</v>
      </c>
      <c r="B195" s="240" t="s">
        <v>28</v>
      </c>
      <c r="C195" s="16">
        <v>225</v>
      </c>
      <c r="D195" s="240">
        <v>0</v>
      </c>
      <c r="E195" s="240">
        <v>0</v>
      </c>
      <c r="F195" s="240">
        <v>0</v>
      </c>
      <c r="G195" s="240">
        <v>0</v>
      </c>
      <c r="H195" s="240">
        <v>0</v>
      </c>
      <c r="I195" s="240">
        <v>0</v>
      </c>
      <c r="J195" s="26">
        <f t="shared" si="27"/>
        <v>0</v>
      </c>
      <c r="K195" s="26">
        <v>0</v>
      </c>
      <c r="L195" s="240">
        <v>0</v>
      </c>
      <c r="M195" s="240" t="s">
        <v>515</v>
      </c>
      <c r="N195" s="30" t="s">
        <v>516</v>
      </c>
      <c r="O195" s="16"/>
      <c r="P195" s="16" t="s">
        <v>517</v>
      </c>
      <c r="Q195" s="16"/>
    </row>
    <row r="196" spans="1:17" x14ac:dyDescent="0.4">
      <c r="A196" s="16">
        <v>130180</v>
      </c>
      <c r="B196" s="240">
        <v>45</v>
      </c>
      <c r="C196" s="16">
        <v>225</v>
      </c>
      <c r="D196" s="240">
        <v>0</v>
      </c>
      <c r="E196" s="240">
        <v>0</v>
      </c>
      <c r="F196" s="240">
        <v>0</v>
      </c>
      <c r="G196" s="240">
        <v>0</v>
      </c>
      <c r="H196" s="240">
        <v>0</v>
      </c>
      <c r="I196" s="240">
        <v>0</v>
      </c>
      <c r="J196" s="26">
        <f t="shared" si="27"/>
        <v>0</v>
      </c>
      <c r="K196" s="26">
        <v>0</v>
      </c>
      <c r="L196" s="240">
        <f t="shared" si="28"/>
        <v>0</v>
      </c>
      <c r="M196" s="240" t="s">
        <v>515</v>
      </c>
      <c r="N196" s="30" t="s">
        <v>516</v>
      </c>
    </row>
    <row r="197" spans="1:17" x14ac:dyDescent="0.4">
      <c r="A197" s="16">
        <v>130181</v>
      </c>
      <c r="B197" s="287">
        <v>60</v>
      </c>
      <c r="C197" s="16">
        <f>B197*5</f>
        <v>300</v>
      </c>
      <c r="D197" s="287">
        <v>0</v>
      </c>
      <c r="E197" s="287">
        <v>0</v>
      </c>
      <c r="F197" s="287">
        <v>0</v>
      </c>
      <c r="G197" s="287">
        <v>0</v>
      </c>
      <c r="H197" s="287">
        <v>0</v>
      </c>
      <c r="I197" s="287">
        <v>0</v>
      </c>
      <c r="J197" s="26">
        <f t="shared" si="27"/>
        <v>0</v>
      </c>
      <c r="K197" s="26">
        <v>0</v>
      </c>
      <c r="L197" s="287">
        <f t="shared" si="28"/>
        <v>0</v>
      </c>
      <c r="M197" s="287" t="s">
        <v>518</v>
      </c>
      <c r="N197" s="30" t="s">
        <v>519</v>
      </c>
    </row>
    <row r="198" spans="1:17" x14ac:dyDescent="0.4">
      <c r="A198" s="16">
        <v>130182</v>
      </c>
      <c r="B198" s="240">
        <v>45</v>
      </c>
      <c r="C198" s="16">
        <v>225</v>
      </c>
      <c r="D198" s="240">
        <v>0</v>
      </c>
      <c r="E198" s="240">
        <v>0</v>
      </c>
      <c r="F198" s="240">
        <v>0</v>
      </c>
      <c r="G198" s="240">
        <v>0</v>
      </c>
      <c r="H198" s="240">
        <v>0</v>
      </c>
      <c r="I198" s="240">
        <v>0</v>
      </c>
      <c r="J198" s="26">
        <f t="shared" si="27"/>
        <v>0</v>
      </c>
      <c r="K198" s="26">
        <v>0</v>
      </c>
      <c r="L198" s="240">
        <f t="shared" si="28"/>
        <v>0</v>
      </c>
      <c r="M198" s="240" t="s">
        <v>520</v>
      </c>
      <c r="N198" s="30" t="s">
        <v>521</v>
      </c>
    </row>
    <row r="199" spans="1:17" x14ac:dyDescent="0.4">
      <c r="A199" s="1">
        <v>130183</v>
      </c>
      <c r="B199" s="239">
        <v>45</v>
      </c>
      <c r="C199" s="1">
        <v>225</v>
      </c>
      <c r="D199" s="239">
        <v>0</v>
      </c>
      <c r="E199" s="239">
        <v>0</v>
      </c>
      <c r="F199" s="239">
        <v>0</v>
      </c>
      <c r="G199" s="239">
        <v>0</v>
      </c>
      <c r="H199" s="239">
        <v>0</v>
      </c>
      <c r="I199" s="239">
        <v>1</v>
      </c>
      <c r="J199" s="140">
        <f t="shared" si="27"/>
        <v>1</v>
      </c>
      <c r="K199" s="140">
        <f>J199-1</f>
        <v>0</v>
      </c>
      <c r="L199" s="239">
        <f t="shared" si="28"/>
        <v>0</v>
      </c>
      <c r="M199" s="239" t="s">
        <v>522</v>
      </c>
      <c r="N199" s="141" t="s">
        <v>523</v>
      </c>
    </row>
    <row r="200" spans="1:17" x14ac:dyDescent="0.4">
      <c r="A200" s="16">
        <v>130184</v>
      </c>
      <c r="B200" s="240">
        <v>60</v>
      </c>
      <c r="C200" s="16">
        <f>B200*5</f>
        <v>300</v>
      </c>
      <c r="D200" s="240">
        <v>0</v>
      </c>
      <c r="E200" s="240">
        <v>0</v>
      </c>
      <c r="F200" s="240">
        <v>0</v>
      </c>
      <c r="G200" s="240">
        <v>0</v>
      </c>
      <c r="H200" s="240">
        <v>0</v>
      </c>
      <c r="I200" s="240">
        <v>0</v>
      </c>
      <c r="J200" s="26">
        <f t="shared" si="27"/>
        <v>0</v>
      </c>
      <c r="K200" s="26">
        <v>0</v>
      </c>
      <c r="L200" s="240">
        <f t="shared" si="28"/>
        <v>0</v>
      </c>
      <c r="M200" s="240" t="s">
        <v>524</v>
      </c>
      <c r="N200" s="30" t="s">
        <v>525</v>
      </c>
    </row>
    <row r="201" spans="1:17" x14ac:dyDescent="0.4">
      <c r="A201" s="16">
        <v>130185</v>
      </c>
      <c r="B201" s="240">
        <v>45</v>
      </c>
      <c r="C201" s="16">
        <v>225</v>
      </c>
      <c r="D201" s="240">
        <v>0</v>
      </c>
      <c r="E201" s="240">
        <v>0</v>
      </c>
      <c r="F201" s="240">
        <v>0</v>
      </c>
      <c r="G201" s="240">
        <v>0</v>
      </c>
      <c r="H201" s="240">
        <v>0</v>
      </c>
      <c r="I201" s="240">
        <v>0</v>
      </c>
      <c r="J201" s="26">
        <f t="shared" si="27"/>
        <v>0</v>
      </c>
      <c r="K201" s="26">
        <v>0</v>
      </c>
      <c r="L201" s="240">
        <f t="shared" si="28"/>
        <v>0</v>
      </c>
      <c r="M201" s="240" t="s">
        <v>526</v>
      </c>
      <c r="N201" s="30" t="s">
        <v>527</v>
      </c>
    </row>
    <row r="202" spans="1:17" x14ac:dyDescent="0.4">
      <c r="A202" s="16">
        <v>130186</v>
      </c>
      <c r="B202" s="240">
        <v>45</v>
      </c>
      <c r="C202" s="16">
        <v>225</v>
      </c>
      <c r="D202" s="240">
        <v>0</v>
      </c>
      <c r="E202" s="240">
        <v>0</v>
      </c>
      <c r="F202" s="240">
        <v>0</v>
      </c>
      <c r="G202" s="240">
        <v>0</v>
      </c>
      <c r="H202" s="240">
        <v>0</v>
      </c>
      <c r="I202" s="240">
        <v>0</v>
      </c>
      <c r="J202" s="26">
        <f t="shared" si="27"/>
        <v>0</v>
      </c>
      <c r="K202" s="26">
        <v>0</v>
      </c>
      <c r="L202" s="240">
        <f t="shared" si="28"/>
        <v>0</v>
      </c>
      <c r="M202" s="240" t="s">
        <v>528</v>
      </c>
      <c r="N202" s="30" t="s">
        <v>529</v>
      </c>
    </row>
    <row r="203" spans="1:17" x14ac:dyDescent="0.4">
      <c r="A203" s="16">
        <v>130187</v>
      </c>
      <c r="B203" s="240">
        <v>60</v>
      </c>
      <c r="C203" s="16">
        <f>B203*5</f>
        <v>300</v>
      </c>
      <c r="D203" s="240">
        <v>0</v>
      </c>
      <c r="E203" s="240">
        <v>0</v>
      </c>
      <c r="F203" s="240">
        <v>0</v>
      </c>
      <c r="G203" s="240">
        <v>0</v>
      </c>
      <c r="H203" s="240">
        <v>0</v>
      </c>
      <c r="I203" s="240">
        <v>0</v>
      </c>
      <c r="J203" s="26">
        <f t="shared" si="27"/>
        <v>0</v>
      </c>
      <c r="K203" s="26">
        <v>0</v>
      </c>
      <c r="L203" s="240">
        <f t="shared" si="28"/>
        <v>0</v>
      </c>
      <c r="M203" s="240" t="s">
        <v>528</v>
      </c>
      <c r="N203" s="30" t="s">
        <v>529</v>
      </c>
    </row>
    <row r="204" spans="1:17" x14ac:dyDescent="0.4">
      <c r="A204" s="16">
        <v>130188</v>
      </c>
      <c r="B204" s="240"/>
      <c r="C204" s="16"/>
      <c r="D204" s="240" t="s">
        <v>15</v>
      </c>
      <c r="E204" s="240" t="s">
        <v>16</v>
      </c>
      <c r="F204" s="240" t="s">
        <v>17</v>
      </c>
      <c r="G204" s="240" t="s">
        <v>18</v>
      </c>
      <c r="H204" s="240" t="s">
        <v>19</v>
      </c>
      <c r="I204" s="240" t="s">
        <v>20</v>
      </c>
      <c r="J204" s="26"/>
      <c r="K204" s="26"/>
      <c r="L204" s="240"/>
      <c r="M204" s="240" t="s">
        <v>530</v>
      </c>
      <c r="N204" s="30"/>
      <c r="O204" s="2033" t="s">
        <v>531</v>
      </c>
      <c r="P204" s="2033"/>
      <c r="Q204" s="2033"/>
    </row>
    <row r="205" spans="1:17" x14ac:dyDescent="0.4">
      <c r="A205" s="16">
        <v>130189</v>
      </c>
      <c r="B205" s="240"/>
      <c r="C205" s="16"/>
      <c r="D205" s="240" t="s">
        <v>15</v>
      </c>
      <c r="E205" s="240" t="s">
        <v>16</v>
      </c>
      <c r="F205" s="240" t="s">
        <v>17</v>
      </c>
      <c r="G205" s="240" t="s">
        <v>18</v>
      </c>
      <c r="H205" s="240" t="s">
        <v>19</v>
      </c>
      <c r="I205" s="240" t="s">
        <v>20</v>
      </c>
      <c r="J205" s="26"/>
      <c r="K205" s="26"/>
      <c r="L205" s="240"/>
      <c r="M205" s="240" t="s">
        <v>530</v>
      </c>
      <c r="N205" s="30"/>
      <c r="O205" s="2033" t="s">
        <v>532</v>
      </c>
      <c r="P205" s="2033"/>
      <c r="Q205" s="2033"/>
    </row>
    <row r="206" spans="1:17" x14ac:dyDescent="0.4">
      <c r="A206" s="16">
        <v>130190</v>
      </c>
      <c r="B206" s="240">
        <v>45</v>
      </c>
      <c r="C206" s="16">
        <f t="shared" ref="C206:C220" si="29">B206*5</f>
        <v>225</v>
      </c>
      <c r="D206" s="240">
        <v>0</v>
      </c>
      <c r="E206" s="240">
        <v>0</v>
      </c>
      <c r="F206" s="240">
        <v>0</v>
      </c>
      <c r="G206" s="240">
        <v>0</v>
      </c>
      <c r="H206" s="240">
        <v>0</v>
      </c>
      <c r="I206" s="240">
        <v>0</v>
      </c>
      <c r="J206" s="26">
        <f t="shared" ref="J206:J220" si="30">SUM(D206:I206)</f>
        <v>0</v>
      </c>
      <c r="K206" s="26">
        <v>0</v>
      </c>
      <c r="L206" s="240">
        <f t="shared" ref="L206:L220" si="31">K206*B206</f>
        <v>0</v>
      </c>
      <c r="M206" s="240" t="s">
        <v>533</v>
      </c>
      <c r="N206" s="30" t="s">
        <v>534</v>
      </c>
    </row>
    <row r="207" spans="1:17" x14ac:dyDescent="0.4">
      <c r="A207" s="16">
        <v>130191</v>
      </c>
      <c r="B207" s="240">
        <v>60</v>
      </c>
      <c r="C207" s="16">
        <f t="shared" si="29"/>
        <v>300</v>
      </c>
      <c r="D207" s="240">
        <v>0</v>
      </c>
      <c r="E207" s="240">
        <v>0</v>
      </c>
      <c r="F207" s="240">
        <v>0</v>
      </c>
      <c r="G207" s="240">
        <v>0</v>
      </c>
      <c r="H207" s="240">
        <v>0</v>
      </c>
      <c r="I207" s="240">
        <v>0</v>
      </c>
      <c r="J207" s="26">
        <f t="shared" si="30"/>
        <v>0</v>
      </c>
      <c r="K207" s="26">
        <v>0</v>
      </c>
      <c r="L207" s="240">
        <f t="shared" si="31"/>
        <v>0</v>
      </c>
      <c r="M207" s="240" t="s">
        <v>535</v>
      </c>
      <c r="N207" s="30" t="s">
        <v>536</v>
      </c>
    </row>
    <row r="208" spans="1:17" x14ac:dyDescent="0.4">
      <c r="A208" s="16">
        <v>130193</v>
      </c>
      <c r="B208" s="240">
        <v>60</v>
      </c>
      <c r="C208" s="16">
        <f t="shared" si="29"/>
        <v>300</v>
      </c>
      <c r="D208" s="240">
        <v>0</v>
      </c>
      <c r="E208" s="240">
        <v>0</v>
      </c>
      <c r="F208" s="240">
        <v>0</v>
      </c>
      <c r="G208" s="240">
        <v>0</v>
      </c>
      <c r="H208" s="240">
        <v>0</v>
      </c>
      <c r="I208" s="240">
        <v>0</v>
      </c>
      <c r="J208" s="26">
        <f t="shared" si="30"/>
        <v>0</v>
      </c>
      <c r="K208" s="26">
        <v>0</v>
      </c>
      <c r="L208" s="240">
        <f t="shared" si="31"/>
        <v>0</v>
      </c>
      <c r="M208" s="240" t="s">
        <v>537</v>
      </c>
      <c r="N208" s="30" t="s">
        <v>538</v>
      </c>
    </row>
    <row r="209" spans="1:16" x14ac:dyDescent="0.4">
      <c r="A209" s="1">
        <v>130194</v>
      </c>
      <c r="B209" s="239">
        <v>45</v>
      </c>
      <c r="C209" s="1">
        <f t="shared" si="29"/>
        <v>225</v>
      </c>
      <c r="D209" s="239">
        <v>0</v>
      </c>
      <c r="E209" s="239">
        <v>0</v>
      </c>
      <c r="F209" s="239">
        <v>0</v>
      </c>
      <c r="G209" s="239">
        <v>0</v>
      </c>
      <c r="H209" s="239">
        <v>0</v>
      </c>
      <c r="I209" s="239">
        <v>1</v>
      </c>
      <c r="J209" s="140">
        <f t="shared" si="30"/>
        <v>1</v>
      </c>
      <c r="K209" s="140">
        <f t="shared" ref="K209:K219" si="32">J209-1</f>
        <v>0</v>
      </c>
      <c r="L209" s="239">
        <f t="shared" si="31"/>
        <v>0</v>
      </c>
      <c r="M209" s="239" t="s">
        <v>537</v>
      </c>
      <c r="N209" s="141" t="s">
        <v>538</v>
      </c>
    </row>
    <row r="210" spans="1:16" x14ac:dyDescent="0.4">
      <c r="A210" s="16">
        <v>130195</v>
      </c>
      <c r="B210" s="240">
        <v>60</v>
      </c>
      <c r="C210" s="16">
        <f t="shared" si="29"/>
        <v>300</v>
      </c>
      <c r="D210" s="240">
        <v>0</v>
      </c>
      <c r="E210" s="240">
        <v>0</v>
      </c>
      <c r="F210" s="240">
        <v>0</v>
      </c>
      <c r="G210" s="240">
        <v>0</v>
      </c>
      <c r="H210" s="240">
        <v>0</v>
      </c>
      <c r="I210" s="240">
        <v>0</v>
      </c>
      <c r="J210" s="26">
        <f t="shared" si="30"/>
        <v>0</v>
      </c>
      <c r="K210" s="26">
        <v>0</v>
      </c>
      <c r="L210" s="240">
        <f t="shared" si="31"/>
        <v>0</v>
      </c>
      <c r="M210" s="240" t="s">
        <v>539</v>
      </c>
      <c r="N210" s="30" t="s">
        <v>540</v>
      </c>
    </row>
    <row r="211" spans="1:16" x14ac:dyDescent="0.4">
      <c r="A211" s="16">
        <v>130196</v>
      </c>
      <c r="B211" s="240">
        <v>60</v>
      </c>
      <c r="C211" s="16">
        <f t="shared" si="29"/>
        <v>300</v>
      </c>
      <c r="D211" s="240">
        <v>0</v>
      </c>
      <c r="E211" s="240">
        <v>0</v>
      </c>
      <c r="F211" s="240">
        <v>0</v>
      </c>
      <c r="G211" s="240">
        <v>0</v>
      </c>
      <c r="H211" s="240">
        <v>0</v>
      </c>
      <c r="I211" s="240">
        <v>0</v>
      </c>
      <c r="J211" s="26">
        <f t="shared" si="30"/>
        <v>0</v>
      </c>
      <c r="K211" s="26">
        <v>0</v>
      </c>
      <c r="L211" s="240">
        <f t="shared" si="31"/>
        <v>0</v>
      </c>
      <c r="M211" s="240" t="s">
        <v>541</v>
      </c>
      <c r="N211" s="30" t="s">
        <v>542</v>
      </c>
    </row>
    <row r="212" spans="1:16" x14ac:dyDescent="0.4">
      <c r="A212" s="16">
        <v>130197</v>
      </c>
      <c r="B212" s="240">
        <v>45</v>
      </c>
      <c r="C212" s="16">
        <f t="shared" si="29"/>
        <v>225</v>
      </c>
      <c r="D212" s="240">
        <v>0</v>
      </c>
      <c r="E212" s="240">
        <v>0</v>
      </c>
      <c r="F212" s="240">
        <v>0</v>
      </c>
      <c r="G212" s="240">
        <v>0</v>
      </c>
      <c r="H212" s="240">
        <v>0</v>
      </c>
      <c r="I212" s="240">
        <v>0</v>
      </c>
      <c r="J212" s="26">
        <f t="shared" si="30"/>
        <v>0</v>
      </c>
      <c r="K212" s="26">
        <v>0</v>
      </c>
      <c r="L212" s="240">
        <f t="shared" si="31"/>
        <v>0</v>
      </c>
      <c r="M212" s="240" t="s">
        <v>543</v>
      </c>
      <c r="N212" s="30" t="s">
        <v>544</v>
      </c>
    </row>
    <row r="213" spans="1:16" x14ac:dyDescent="0.4">
      <c r="A213" s="16">
        <v>130198</v>
      </c>
      <c r="B213" s="240">
        <v>45</v>
      </c>
      <c r="C213" s="16">
        <f t="shared" si="29"/>
        <v>225</v>
      </c>
      <c r="D213" s="240">
        <v>0</v>
      </c>
      <c r="E213" s="240">
        <v>0</v>
      </c>
      <c r="F213" s="240">
        <v>0</v>
      </c>
      <c r="G213" s="240">
        <v>0</v>
      </c>
      <c r="H213" s="240">
        <v>0</v>
      </c>
      <c r="I213" s="240">
        <v>0</v>
      </c>
      <c r="J213" s="26">
        <f t="shared" si="30"/>
        <v>0</v>
      </c>
      <c r="K213" s="26">
        <v>0</v>
      </c>
      <c r="L213" s="240">
        <f t="shared" si="31"/>
        <v>0</v>
      </c>
      <c r="M213" s="240" t="s">
        <v>543</v>
      </c>
      <c r="N213" s="30" t="s">
        <v>544</v>
      </c>
    </row>
    <row r="214" spans="1:16" x14ac:dyDescent="0.4">
      <c r="A214" s="1">
        <v>130199</v>
      </c>
      <c r="B214" s="239">
        <v>45</v>
      </c>
      <c r="C214" s="1">
        <f t="shared" si="29"/>
        <v>225</v>
      </c>
      <c r="D214" s="239">
        <v>0</v>
      </c>
      <c r="E214" s="239">
        <v>0</v>
      </c>
      <c r="F214" s="239">
        <v>0</v>
      </c>
      <c r="G214" s="239">
        <v>0</v>
      </c>
      <c r="H214" s="239">
        <v>0</v>
      </c>
      <c r="I214" s="239">
        <v>1</v>
      </c>
      <c r="J214" s="140">
        <f t="shared" si="30"/>
        <v>1</v>
      </c>
      <c r="K214" s="140">
        <f t="shared" si="32"/>
        <v>0</v>
      </c>
      <c r="L214" s="239">
        <f t="shared" si="31"/>
        <v>0</v>
      </c>
      <c r="M214" s="239" t="s">
        <v>545</v>
      </c>
      <c r="N214" s="141" t="s">
        <v>546</v>
      </c>
    </row>
    <row r="215" spans="1:16" x14ac:dyDescent="0.4">
      <c r="A215" s="1">
        <v>130200</v>
      </c>
      <c r="B215" s="239">
        <v>45</v>
      </c>
      <c r="C215" s="1">
        <f t="shared" si="29"/>
        <v>225</v>
      </c>
      <c r="D215" s="239">
        <v>0</v>
      </c>
      <c r="E215" s="239">
        <v>0</v>
      </c>
      <c r="F215" s="239">
        <v>0</v>
      </c>
      <c r="G215" s="239">
        <v>0</v>
      </c>
      <c r="H215" s="239">
        <v>0</v>
      </c>
      <c r="I215" s="239">
        <v>1</v>
      </c>
      <c r="J215" s="140">
        <f t="shared" si="30"/>
        <v>1</v>
      </c>
      <c r="K215" s="140">
        <f t="shared" si="32"/>
        <v>0</v>
      </c>
      <c r="L215" s="239">
        <f t="shared" si="31"/>
        <v>0</v>
      </c>
      <c r="M215" s="239" t="s">
        <v>547</v>
      </c>
      <c r="N215" s="141" t="s">
        <v>548</v>
      </c>
    </row>
    <row r="216" spans="1:16" x14ac:dyDescent="0.4">
      <c r="A216" s="1">
        <v>130201</v>
      </c>
      <c r="B216" s="239">
        <v>50</v>
      </c>
      <c r="C216" s="1">
        <f t="shared" si="29"/>
        <v>250</v>
      </c>
      <c r="D216" s="239">
        <v>0</v>
      </c>
      <c r="E216" s="239">
        <v>0</v>
      </c>
      <c r="F216" s="239">
        <v>0</v>
      </c>
      <c r="G216" s="239">
        <v>0</v>
      </c>
      <c r="H216" s="239">
        <v>0</v>
      </c>
      <c r="I216" s="239">
        <v>1</v>
      </c>
      <c r="J216" s="140">
        <f t="shared" si="30"/>
        <v>1</v>
      </c>
      <c r="K216" s="140">
        <f t="shared" si="32"/>
        <v>0</v>
      </c>
      <c r="L216" s="239">
        <f t="shared" si="31"/>
        <v>0</v>
      </c>
      <c r="M216" s="239" t="s">
        <v>549</v>
      </c>
      <c r="N216" s="141" t="s">
        <v>550</v>
      </c>
    </row>
    <row r="217" spans="1:16" x14ac:dyDescent="0.4">
      <c r="A217" s="1">
        <v>130202</v>
      </c>
      <c r="B217" s="239">
        <v>45</v>
      </c>
      <c r="C217" s="1">
        <f t="shared" si="29"/>
        <v>225</v>
      </c>
      <c r="D217" s="239">
        <v>0</v>
      </c>
      <c r="E217" s="239">
        <v>0</v>
      </c>
      <c r="F217" s="239">
        <v>0</v>
      </c>
      <c r="G217" s="239">
        <v>1</v>
      </c>
      <c r="H217" s="239">
        <v>1</v>
      </c>
      <c r="I217" s="239">
        <v>1</v>
      </c>
      <c r="J217" s="140">
        <f t="shared" si="30"/>
        <v>3</v>
      </c>
      <c r="K217" s="140">
        <f t="shared" si="32"/>
        <v>2</v>
      </c>
      <c r="L217" s="239">
        <f t="shared" si="31"/>
        <v>90</v>
      </c>
      <c r="M217" s="239" t="s">
        <v>549</v>
      </c>
      <c r="N217" s="141" t="s">
        <v>550</v>
      </c>
    </row>
    <row r="218" spans="1:16" x14ac:dyDescent="0.4">
      <c r="A218" s="1">
        <v>130203</v>
      </c>
      <c r="B218" s="239">
        <v>60</v>
      </c>
      <c r="C218" s="1">
        <f t="shared" si="29"/>
        <v>300</v>
      </c>
      <c r="D218" s="239">
        <v>0</v>
      </c>
      <c r="E218" s="239">
        <v>0</v>
      </c>
      <c r="F218" s="239">
        <v>0</v>
      </c>
      <c r="G218" s="239">
        <v>1</v>
      </c>
      <c r="H218" s="239">
        <v>1</v>
      </c>
      <c r="I218" s="239">
        <v>1</v>
      </c>
      <c r="J218" s="140">
        <f t="shared" si="30"/>
        <v>3</v>
      </c>
      <c r="K218" s="140">
        <f t="shared" si="32"/>
        <v>2</v>
      </c>
      <c r="L218" s="239">
        <f t="shared" si="31"/>
        <v>120</v>
      </c>
      <c r="M218" s="239" t="s">
        <v>549</v>
      </c>
      <c r="N218" s="141" t="s">
        <v>550</v>
      </c>
    </row>
    <row r="219" spans="1:16" x14ac:dyDescent="0.4">
      <c r="A219" s="1">
        <v>130204</v>
      </c>
      <c r="B219" s="239">
        <v>60</v>
      </c>
      <c r="C219" s="1">
        <f t="shared" si="29"/>
        <v>300</v>
      </c>
      <c r="D219" s="239">
        <v>0</v>
      </c>
      <c r="E219" s="239">
        <v>0</v>
      </c>
      <c r="F219" s="239">
        <v>0</v>
      </c>
      <c r="G219" s="239">
        <v>1</v>
      </c>
      <c r="H219" s="239">
        <v>1</v>
      </c>
      <c r="I219" s="239">
        <v>1</v>
      </c>
      <c r="J219" s="140">
        <f t="shared" si="30"/>
        <v>3</v>
      </c>
      <c r="K219" s="140">
        <f t="shared" si="32"/>
        <v>2</v>
      </c>
      <c r="L219" s="239">
        <f t="shared" si="31"/>
        <v>120</v>
      </c>
      <c r="M219" s="239" t="s">
        <v>551</v>
      </c>
      <c r="N219" s="141" t="s">
        <v>552</v>
      </c>
    </row>
    <row r="220" spans="1:16" x14ac:dyDescent="0.4">
      <c r="A220" s="16">
        <v>130205</v>
      </c>
      <c r="B220" s="240">
        <v>45</v>
      </c>
      <c r="C220" s="16">
        <f t="shared" si="29"/>
        <v>225</v>
      </c>
      <c r="D220" s="240">
        <v>0</v>
      </c>
      <c r="E220" s="240">
        <v>0</v>
      </c>
      <c r="F220" s="240">
        <v>0</v>
      </c>
      <c r="G220" s="240">
        <v>0</v>
      </c>
      <c r="H220" s="240">
        <v>0</v>
      </c>
      <c r="I220" s="240">
        <v>0</v>
      </c>
      <c r="J220" s="26">
        <f t="shared" si="30"/>
        <v>0</v>
      </c>
      <c r="K220" s="26">
        <v>0</v>
      </c>
      <c r="L220" s="240">
        <f t="shared" si="31"/>
        <v>0</v>
      </c>
      <c r="M220" s="240" t="s">
        <v>551</v>
      </c>
      <c r="N220" s="30" t="s">
        <v>552</v>
      </c>
    </row>
    <row r="221" spans="1:16" x14ac:dyDescent="0.4">
      <c r="A221" s="16">
        <v>130206</v>
      </c>
      <c r="B221" s="16"/>
      <c r="C221" s="16"/>
      <c r="D221" s="2033" t="s">
        <v>553</v>
      </c>
      <c r="E221" s="2033"/>
      <c r="F221" s="2033"/>
      <c r="G221" s="2033"/>
      <c r="H221" s="2033"/>
      <c r="I221" s="2033"/>
      <c r="J221" s="16"/>
      <c r="K221" s="16"/>
      <c r="L221" s="16"/>
      <c r="M221" s="16"/>
      <c r="N221" s="16"/>
      <c r="O221" t="s">
        <v>652</v>
      </c>
      <c r="P221" s="56">
        <v>40982</v>
      </c>
    </row>
    <row r="222" spans="1:16" x14ac:dyDescent="0.4">
      <c r="A222" s="16">
        <v>130207</v>
      </c>
      <c r="B222" s="240">
        <v>45</v>
      </c>
      <c r="C222" s="16">
        <f t="shared" ref="C222:C232" si="33">B222*5</f>
        <v>225</v>
      </c>
      <c r="D222" s="240">
        <v>0</v>
      </c>
      <c r="E222" s="240">
        <v>0</v>
      </c>
      <c r="F222" s="240">
        <v>0</v>
      </c>
      <c r="G222" s="240">
        <v>0</v>
      </c>
      <c r="H222" s="240">
        <v>0</v>
      </c>
      <c r="I222" s="240">
        <v>0</v>
      </c>
      <c r="J222" s="26">
        <f t="shared" ref="J222:J239" si="34">SUM(D222:I222)</f>
        <v>0</v>
      </c>
      <c r="K222" s="26">
        <v>0</v>
      </c>
      <c r="L222" s="240">
        <f t="shared" ref="L222:L239" si="35">K222*B222</f>
        <v>0</v>
      </c>
      <c r="M222" s="240" t="s">
        <v>554</v>
      </c>
      <c r="N222" s="30" t="s">
        <v>555</v>
      </c>
    </row>
    <row r="223" spans="1:16" x14ac:dyDescent="0.4">
      <c r="A223" s="1">
        <v>130208</v>
      </c>
      <c r="B223" s="239">
        <v>70</v>
      </c>
      <c r="C223" s="1">
        <f t="shared" si="33"/>
        <v>350</v>
      </c>
      <c r="D223" s="239">
        <v>0</v>
      </c>
      <c r="E223" s="239">
        <v>1</v>
      </c>
      <c r="F223" s="239">
        <v>1</v>
      </c>
      <c r="G223" s="239">
        <v>1</v>
      </c>
      <c r="H223" s="239">
        <v>1</v>
      </c>
      <c r="I223" s="239">
        <v>1</v>
      </c>
      <c r="J223" s="140">
        <f t="shared" si="34"/>
        <v>5</v>
      </c>
      <c r="K223" s="140">
        <f>J223-1</f>
        <v>4</v>
      </c>
      <c r="L223" s="239">
        <f t="shared" si="35"/>
        <v>280</v>
      </c>
      <c r="M223" s="239" t="s">
        <v>556</v>
      </c>
      <c r="N223" s="141" t="s">
        <v>557</v>
      </c>
    </row>
    <row r="224" spans="1:16" x14ac:dyDescent="0.4">
      <c r="A224" s="16">
        <v>130209</v>
      </c>
      <c r="B224" s="240">
        <v>45</v>
      </c>
      <c r="C224" s="16">
        <f t="shared" si="33"/>
        <v>225</v>
      </c>
      <c r="D224" s="240">
        <v>0</v>
      </c>
      <c r="E224" s="240">
        <v>0</v>
      </c>
      <c r="F224" s="240">
        <v>0</v>
      </c>
      <c r="G224" s="240">
        <v>0</v>
      </c>
      <c r="H224" s="240">
        <v>0</v>
      </c>
      <c r="I224" s="240">
        <v>0</v>
      </c>
      <c r="J224" s="26">
        <f t="shared" si="34"/>
        <v>0</v>
      </c>
      <c r="K224" s="26">
        <v>0</v>
      </c>
      <c r="L224" s="240">
        <f t="shared" si="35"/>
        <v>0</v>
      </c>
      <c r="M224" s="240" t="s">
        <v>556</v>
      </c>
      <c r="N224" s="30" t="s">
        <v>557</v>
      </c>
    </row>
    <row r="225" spans="1:20" x14ac:dyDescent="0.4">
      <c r="A225" s="1">
        <v>140210</v>
      </c>
      <c r="B225" s="239">
        <v>50</v>
      </c>
      <c r="C225" s="1">
        <f t="shared" si="33"/>
        <v>250</v>
      </c>
      <c r="D225" s="239">
        <v>0</v>
      </c>
      <c r="E225" s="239">
        <v>0</v>
      </c>
      <c r="F225" s="239">
        <v>0</v>
      </c>
      <c r="G225" s="239">
        <v>0</v>
      </c>
      <c r="H225" s="239">
        <v>0</v>
      </c>
      <c r="I225" s="239">
        <v>1</v>
      </c>
      <c r="J225" s="140">
        <f t="shared" si="34"/>
        <v>1</v>
      </c>
      <c r="K225" s="140">
        <f>J225-1</f>
        <v>0</v>
      </c>
      <c r="L225" s="239">
        <f t="shared" si="35"/>
        <v>0</v>
      </c>
      <c r="M225" s="239" t="s">
        <v>556</v>
      </c>
      <c r="N225" s="141" t="s">
        <v>557</v>
      </c>
    </row>
    <row r="226" spans="1:20" x14ac:dyDescent="0.4">
      <c r="A226" s="16">
        <v>140211</v>
      </c>
      <c r="B226" s="240">
        <v>60</v>
      </c>
      <c r="C226" s="16">
        <f t="shared" si="33"/>
        <v>300</v>
      </c>
      <c r="D226" s="240">
        <v>0</v>
      </c>
      <c r="E226" s="240">
        <v>0</v>
      </c>
      <c r="F226" s="240">
        <v>0</v>
      </c>
      <c r="G226" s="240">
        <v>0</v>
      </c>
      <c r="H226" s="240">
        <v>0</v>
      </c>
      <c r="I226" s="240">
        <v>0</v>
      </c>
      <c r="J226" s="26">
        <f t="shared" si="34"/>
        <v>0</v>
      </c>
      <c r="K226" s="26">
        <v>0</v>
      </c>
      <c r="L226" s="240">
        <f t="shared" si="35"/>
        <v>0</v>
      </c>
      <c r="M226" s="240" t="s">
        <v>558</v>
      </c>
      <c r="N226" s="30" t="s">
        <v>559</v>
      </c>
    </row>
    <row r="227" spans="1:20" x14ac:dyDescent="0.4">
      <c r="A227" s="16">
        <v>140212</v>
      </c>
      <c r="B227" s="240">
        <v>45</v>
      </c>
      <c r="C227" s="16">
        <f t="shared" si="33"/>
        <v>225</v>
      </c>
      <c r="D227" s="240">
        <v>0</v>
      </c>
      <c r="E227" s="240">
        <v>0</v>
      </c>
      <c r="F227" s="240">
        <v>0</v>
      </c>
      <c r="G227" s="240">
        <v>0</v>
      </c>
      <c r="H227" s="240">
        <v>0</v>
      </c>
      <c r="I227" s="240">
        <v>0</v>
      </c>
      <c r="J227" s="26">
        <f t="shared" si="34"/>
        <v>0</v>
      </c>
      <c r="K227" s="26">
        <v>0</v>
      </c>
      <c r="L227" s="240">
        <f t="shared" si="35"/>
        <v>0</v>
      </c>
      <c r="M227" s="240" t="s">
        <v>558</v>
      </c>
      <c r="N227" s="30" t="s">
        <v>559</v>
      </c>
    </row>
    <row r="228" spans="1:20" x14ac:dyDescent="0.4">
      <c r="A228" s="16">
        <v>140213</v>
      </c>
      <c r="B228" s="240">
        <v>45</v>
      </c>
      <c r="C228" s="16">
        <f t="shared" si="33"/>
        <v>225</v>
      </c>
      <c r="D228" s="240">
        <v>0</v>
      </c>
      <c r="E228" s="240">
        <v>0</v>
      </c>
      <c r="F228" s="240">
        <v>0</v>
      </c>
      <c r="G228" s="240">
        <v>0</v>
      </c>
      <c r="H228" s="240">
        <v>0</v>
      </c>
      <c r="I228" s="240">
        <v>0</v>
      </c>
      <c r="J228" s="26">
        <f t="shared" si="34"/>
        <v>0</v>
      </c>
      <c r="K228" s="26">
        <v>0</v>
      </c>
      <c r="L228" s="240">
        <f t="shared" si="35"/>
        <v>0</v>
      </c>
      <c r="M228" s="240" t="s">
        <v>560</v>
      </c>
      <c r="N228" s="30" t="s">
        <v>561</v>
      </c>
      <c r="T228" t="s">
        <v>602</v>
      </c>
    </row>
    <row r="229" spans="1:20" x14ac:dyDescent="0.4">
      <c r="A229" s="1">
        <v>140214</v>
      </c>
      <c r="B229" s="239">
        <v>40</v>
      </c>
      <c r="C229" s="1">
        <f t="shared" si="33"/>
        <v>200</v>
      </c>
      <c r="D229" s="239">
        <v>0</v>
      </c>
      <c r="E229" s="239">
        <v>0</v>
      </c>
      <c r="F229" s="239">
        <v>0</v>
      </c>
      <c r="G229" s="239">
        <v>0</v>
      </c>
      <c r="H229" s="239">
        <v>0</v>
      </c>
      <c r="I229" s="239">
        <v>1</v>
      </c>
      <c r="J229" s="140">
        <f t="shared" si="34"/>
        <v>1</v>
      </c>
      <c r="K229" s="140">
        <f>J229-1</f>
        <v>0</v>
      </c>
      <c r="L229" s="239">
        <f t="shared" si="35"/>
        <v>0</v>
      </c>
      <c r="M229" s="239" t="s">
        <v>560</v>
      </c>
      <c r="N229" s="141" t="s">
        <v>561</v>
      </c>
    </row>
    <row r="230" spans="1:20" x14ac:dyDescent="0.4">
      <c r="A230" s="1">
        <v>140215</v>
      </c>
      <c r="B230" s="239">
        <v>60</v>
      </c>
      <c r="C230" s="1">
        <f t="shared" si="33"/>
        <v>300</v>
      </c>
      <c r="D230" s="239">
        <v>0</v>
      </c>
      <c r="E230" s="239">
        <v>0</v>
      </c>
      <c r="F230" s="239">
        <v>0</v>
      </c>
      <c r="G230" s="239">
        <v>0</v>
      </c>
      <c r="H230" s="239">
        <v>0</v>
      </c>
      <c r="I230" s="239">
        <v>1</v>
      </c>
      <c r="J230" s="140">
        <f t="shared" si="34"/>
        <v>1</v>
      </c>
      <c r="K230" s="140">
        <f>J230-1</f>
        <v>0</v>
      </c>
      <c r="L230" s="239">
        <f t="shared" si="35"/>
        <v>0</v>
      </c>
      <c r="M230" s="239" t="s">
        <v>560</v>
      </c>
      <c r="N230" s="141" t="s">
        <v>561</v>
      </c>
    </row>
    <row r="231" spans="1:20" x14ac:dyDescent="0.4">
      <c r="A231" s="16">
        <v>140216</v>
      </c>
      <c r="B231" s="240">
        <v>45</v>
      </c>
      <c r="C231" s="16">
        <f t="shared" si="33"/>
        <v>225</v>
      </c>
      <c r="D231" s="240">
        <v>0</v>
      </c>
      <c r="E231" s="240">
        <v>0</v>
      </c>
      <c r="F231" s="240">
        <v>0</v>
      </c>
      <c r="G231" s="240">
        <v>0</v>
      </c>
      <c r="H231" s="240">
        <v>0</v>
      </c>
      <c r="I231" s="240">
        <v>0</v>
      </c>
      <c r="J231" s="26">
        <f t="shared" si="34"/>
        <v>0</v>
      </c>
      <c r="K231" s="26">
        <v>0</v>
      </c>
      <c r="L231" s="240">
        <f t="shared" si="35"/>
        <v>0</v>
      </c>
      <c r="M231" s="240" t="s">
        <v>560</v>
      </c>
      <c r="N231" s="30" t="s">
        <v>561</v>
      </c>
    </row>
    <row r="232" spans="1:20" x14ac:dyDescent="0.4">
      <c r="A232" s="16">
        <v>140217</v>
      </c>
      <c r="B232" s="240">
        <v>90</v>
      </c>
      <c r="C232" s="16">
        <f t="shared" si="33"/>
        <v>450</v>
      </c>
      <c r="D232" s="240">
        <v>0</v>
      </c>
      <c r="E232" s="240">
        <v>0</v>
      </c>
      <c r="F232" s="240">
        <v>0</v>
      </c>
      <c r="G232" s="240">
        <v>0</v>
      </c>
      <c r="H232" s="240">
        <v>0</v>
      </c>
      <c r="I232" s="240">
        <v>0</v>
      </c>
      <c r="J232" s="26">
        <f t="shared" si="34"/>
        <v>0</v>
      </c>
      <c r="K232" s="26">
        <v>0</v>
      </c>
      <c r="L232" s="240">
        <f t="shared" si="35"/>
        <v>0</v>
      </c>
      <c r="M232" s="240" t="s">
        <v>562</v>
      </c>
      <c r="N232" s="30" t="s">
        <v>563</v>
      </c>
      <c r="O232" s="16" t="s">
        <v>864</v>
      </c>
    </row>
    <row r="233" spans="1:20" x14ac:dyDescent="0.4">
      <c r="A233" s="16">
        <v>140218</v>
      </c>
      <c r="B233" s="240">
        <v>45</v>
      </c>
      <c r="C233" s="16">
        <v>45</v>
      </c>
      <c r="D233" s="240">
        <v>0</v>
      </c>
      <c r="E233" s="240">
        <v>0</v>
      </c>
      <c r="F233" s="240">
        <v>0</v>
      </c>
      <c r="G233" s="240">
        <v>0</v>
      </c>
      <c r="H233" s="240">
        <v>0</v>
      </c>
      <c r="I233" s="240">
        <v>0</v>
      </c>
      <c r="J233" s="26">
        <f t="shared" si="34"/>
        <v>0</v>
      </c>
      <c r="K233" s="26">
        <v>0</v>
      </c>
      <c r="L233" s="240">
        <f t="shared" si="35"/>
        <v>0</v>
      </c>
      <c r="M233" s="240" t="s">
        <v>562</v>
      </c>
      <c r="N233" s="30" t="s">
        <v>563</v>
      </c>
    </row>
    <row r="234" spans="1:20" x14ac:dyDescent="0.4">
      <c r="A234" s="16">
        <v>140219</v>
      </c>
      <c r="B234" s="240">
        <v>60</v>
      </c>
      <c r="C234" s="16">
        <v>60</v>
      </c>
      <c r="D234" s="240">
        <v>0</v>
      </c>
      <c r="E234" s="240">
        <v>0</v>
      </c>
      <c r="F234" s="240">
        <v>0</v>
      </c>
      <c r="G234" s="240">
        <v>0</v>
      </c>
      <c r="H234" s="240">
        <v>0</v>
      </c>
      <c r="I234" s="240">
        <v>0</v>
      </c>
      <c r="J234" s="26">
        <f t="shared" si="34"/>
        <v>0</v>
      </c>
      <c r="K234" s="26">
        <v>0</v>
      </c>
      <c r="L234" s="240">
        <f t="shared" si="35"/>
        <v>0</v>
      </c>
      <c r="M234" s="240" t="s">
        <v>562</v>
      </c>
      <c r="N234" s="30" t="s">
        <v>563</v>
      </c>
    </row>
    <row r="235" spans="1:20" x14ac:dyDescent="0.4">
      <c r="A235" s="16">
        <v>140220</v>
      </c>
      <c r="B235" s="240">
        <v>45</v>
      </c>
      <c r="C235" s="16">
        <f>B235*5</f>
        <v>225</v>
      </c>
      <c r="D235" s="240">
        <v>0</v>
      </c>
      <c r="E235" s="240">
        <v>0</v>
      </c>
      <c r="F235" s="240">
        <v>0</v>
      </c>
      <c r="G235" s="240">
        <v>0</v>
      </c>
      <c r="H235" s="240">
        <v>0</v>
      </c>
      <c r="I235" s="240">
        <v>0</v>
      </c>
      <c r="J235" s="26">
        <f t="shared" si="34"/>
        <v>0</v>
      </c>
      <c r="K235" s="26">
        <v>0</v>
      </c>
      <c r="L235" s="240">
        <f t="shared" si="35"/>
        <v>0</v>
      </c>
      <c r="M235" s="240" t="s">
        <v>564</v>
      </c>
      <c r="N235" s="30" t="s">
        <v>565</v>
      </c>
    </row>
    <row r="236" spans="1:20" x14ac:dyDescent="0.4">
      <c r="A236" s="16">
        <v>140221</v>
      </c>
      <c r="B236" s="240">
        <v>45</v>
      </c>
      <c r="C236" s="16">
        <f>B236*5</f>
        <v>225</v>
      </c>
      <c r="D236" s="240">
        <v>0</v>
      </c>
      <c r="E236" s="240">
        <v>0</v>
      </c>
      <c r="F236" s="240">
        <v>0</v>
      </c>
      <c r="G236" s="240">
        <v>0</v>
      </c>
      <c r="H236" s="240">
        <v>0</v>
      </c>
      <c r="I236" s="240">
        <v>0</v>
      </c>
      <c r="J236" s="26">
        <f t="shared" si="34"/>
        <v>0</v>
      </c>
      <c r="K236" s="26">
        <v>0</v>
      </c>
      <c r="L236" s="240">
        <f t="shared" si="35"/>
        <v>0</v>
      </c>
      <c r="M236" s="240" t="s">
        <v>564</v>
      </c>
      <c r="N236" s="30" t="s">
        <v>565</v>
      </c>
    </row>
    <row r="237" spans="1:20" x14ac:dyDescent="0.4">
      <c r="A237" s="16">
        <v>140222</v>
      </c>
      <c r="B237" s="240">
        <v>45</v>
      </c>
      <c r="C237" s="16">
        <f>B237*5</f>
        <v>225</v>
      </c>
      <c r="D237" s="240">
        <v>0</v>
      </c>
      <c r="E237" s="240">
        <v>0</v>
      </c>
      <c r="F237" s="240">
        <v>0</v>
      </c>
      <c r="G237" s="240">
        <v>0</v>
      </c>
      <c r="H237" s="240">
        <v>0</v>
      </c>
      <c r="I237" s="240">
        <v>0</v>
      </c>
      <c r="J237" s="26">
        <f t="shared" si="34"/>
        <v>0</v>
      </c>
      <c r="K237" s="26">
        <v>0</v>
      </c>
      <c r="L237" s="240">
        <f t="shared" si="35"/>
        <v>0</v>
      </c>
      <c r="M237" s="240" t="s">
        <v>564</v>
      </c>
      <c r="N237" s="30" t="s">
        <v>565</v>
      </c>
    </row>
    <row r="238" spans="1:20" x14ac:dyDescent="0.4">
      <c r="A238" s="16">
        <v>140223</v>
      </c>
      <c r="B238" s="240">
        <v>60</v>
      </c>
      <c r="C238" s="16">
        <f>B238*5</f>
        <v>300</v>
      </c>
      <c r="D238" s="240">
        <v>0</v>
      </c>
      <c r="E238" s="240">
        <v>0</v>
      </c>
      <c r="F238" s="240">
        <v>0</v>
      </c>
      <c r="G238" s="240">
        <v>0</v>
      </c>
      <c r="H238" s="240">
        <v>0</v>
      </c>
      <c r="I238" s="240">
        <v>0</v>
      </c>
      <c r="J238" s="26">
        <f t="shared" si="34"/>
        <v>0</v>
      </c>
      <c r="K238" s="26">
        <v>0</v>
      </c>
      <c r="L238" s="240">
        <f t="shared" si="35"/>
        <v>0</v>
      </c>
      <c r="M238" s="240" t="s">
        <v>566</v>
      </c>
      <c r="N238" s="30" t="s">
        <v>567</v>
      </c>
    </row>
    <row r="239" spans="1:20" x14ac:dyDescent="0.4">
      <c r="A239" s="1">
        <v>140224</v>
      </c>
      <c r="B239" s="239">
        <v>45</v>
      </c>
      <c r="C239" s="1">
        <v>45</v>
      </c>
      <c r="D239" s="239">
        <v>1</v>
      </c>
      <c r="E239" s="239">
        <v>0</v>
      </c>
      <c r="F239" s="239">
        <v>0</v>
      </c>
      <c r="G239" s="239">
        <v>0</v>
      </c>
      <c r="H239" s="239">
        <v>0</v>
      </c>
      <c r="I239" s="239">
        <v>0</v>
      </c>
      <c r="J239" s="140">
        <f t="shared" si="34"/>
        <v>1</v>
      </c>
      <c r="K239" s="140">
        <f>J239-1</f>
        <v>0</v>
      </c>
      <c r="L239" s="239">
        <f t="shared" si="35"/>
        <v>0</v>
      </c>
      <c r="M239" s="239" t="s">
        <v>568</v>
      </c>
      <c r="N239" s="141" t="s">
        <v>569</v>
      </c>
    </row>
    <row r="240" spans="1:20" x14ac:dyDescent="0.4">
      <c r="A240" s="16">
        <v>140225</v>
      </c>
      <c r="B240" s="240">
        <v>0</v>
      </c>
      <c r="C240" s="16">
        <v>0</v>
      </c>
      <c r="D240" s="2033" t="s">
        <v>553</v>
      </c>
      <c r="E240" s="2033"/>
      <c r="F240" s="2033"/>
      <c r="G240" s="2033"/>
      <c r="H240" s="2033"/>
      <c r="I240" s="2033"/>
      <c r="J240" s="16"/>
      <c r="K240" s="16"/>
      <c r="L240" s="16"/>
      <c r="M240" s="2033" t="s">
        <v>584</v>
      </c>
      <c r="N240" s="2033"/>
      <c r="O240" s="16" t="s">
        <v>570</v>
      </c>
      <c r="P240" s="2033" t="s">
        <v>571</v>
      </c>
      <c r="Q240" s="2033"/>
      <c r="R240" s="2033" t="s">
        <v>572</v>
      </c>
      <c r="S240" s="2033"/>
      <c r="T240" s="2033"/>
    </row>
    <row r="241" spans="1:14" x14ac:dyDescent="0.4">
      <c r="A241" s="1">
        <v>140226</v>
      </c>
      <c r="B241" s="239">
        <v>45</v>
      </c>
      <c r="C241" s="1">
        <f>B241*5</f>
        <v>225</v>
      </c>
      <c r="D241" s="239">
        <v>0</v>
      </c>
      <c r="E241" s="239">
        <v>0</v>
      </c>
      <c r="F241" s="239">
        <v>0</v>
      </c>
      <c r="G241" s="239">
        <v>0</v>
      </c>
      <c r="H241" s="239">
        <v>0</v>
      </c>
      <c r="I241" s="239">
        <v>1</v>
      </c>
      <c r="J241" s="140">
        <f>SUM(D241:I241)</f>
        <v>1</v>
      </c>
      <c r="K241" s="140">
        <f>J241-1</f>
        <v>0</v>
      </c>
      <c r="L241" s="239">
        <f>K241*B241</f>
        <v>0</v>
      </c>
      <c r="M241" s="239" t="s">
        <v>568</v>
      </c>
      <c r="N241" s="141" t="s">
        <v>569</v>
      </c>
    </row>
    <row r="242" spans="1:14" x14ac:dyDescent="0.4">
      <c r="A242" s="16">
        <v>140227</v>
      </c>
      <c r="B242" s="240">
        <v>60</v>
      </c>
      <c r="C242" s="16">
        <f>B242*5</f>
        <v>300</v>
      </c>
      <c r="D242" s="240">
        <v>0</v>
      </c>
      <c r="E242" s="240">
        <v>0</v>
      </c>
      <c r="F242" s="240">
        <v>0</v>
      </c>
      <c r="G242" s="240">
        <v>0</v>
      </c>
      <c r="H242" s="240">
        <v>0</v>
      </c>
      <c r="I242" s="240">
        <v>0</v>
      </c>
      <c r="J242" s="26">
        <f>SUM(D242:I242)</f>
        <v>0</v>
      </c>
      <c r="K242" s="26">
        <v>0</v>
      </c>
      <c r="L242" s="240">
        <f>K242*B242</f>
        <v>0</v>
      </c>
      <c r="M242" s="240" t="s">
        <v>573</v>
      </c>
      <c r="N242" s="30" t="s">
        <v>567</v>
      </c>
    </row>
    <row r="243" spans="1:14" x14ac:dyDescent="0.4">
      <c r="A243" s="1">
        <v>140228</v>
      </c>
      <c r="B243" s="239">
        <v>60</v>
      </c>
      <c r="C243" s="1">
        <f>B243*5</f>
        <v>300</v>
      </c>
      <c r="D243" s="239">
        <v>0</v>
      </c>
      <c r="E243" s="239">
        <v>0</v>
      </c>
      <c r="F243" s="239">
        <v>0</v>
      </c>
      <c r="G243" s="239">
        <v>0</v>
      </c>
      <c r="H243" s="239">
        <v>0</v>
      </c>
      <c r="I243" s="239">
        <v>1</v>
      </c>
      <c r="J243" s="140">
        <f>SUM(D243:I243)</f>
        <v>1</v>
      </c>
      <c r="K243" s="140">
        <f>J243-1</f>
        <v>0</v>
      </c>
      <c r="L243" s="239">
        <f>K243*B243</f>
        <v>0</v>
      </c>
      <c r="M243" s="239" t="s">
        <v>573</v>
      </c>
      <c r="N243" s="141" t="s">
        <v>567</v>
      </c>
    </row>
    <row r="244" spans="1:14" x14ac:dyDescent="0.4">
      <c r="A244" s="16">
        <v>140229</v>
      </c>
      <c r="B244" s="240">
        <v>45</v>
      </c>
      <c r="C244" s="16">
        <f>B244*5</f>
        <v>225</v>
      </c>
      <c r="D244" s="240">
        <v>0</v>
      </c>
      <c r="E244" s="240">
        <v>0</v>
      </c>
      <c r="F244" s="240">
        <v>0</v>
      </c>
      <c r="G244" s="240">
        <v>0</v>
      </c>
      <c r="H244" s="240">
        <v>0</v>
      </c>
      <c r="I244" s="240">
        <v>0</v>
      </c>
      <c r="J244" s="26">
        <f>SUM(D244:I244)</f>
        <v>0</v>
      </c>
      <c r="K244" s="26">
        <v>0</v>
      </c>
      <c r="L244" s="240">
        <f>K244*B244</f>
        <v>0</v>
      </c>
      <c r="M244" s="240" t="s">
        <v>574</v>
      </c>
      <c r="N244" s="30" t="s">
        <v>575</v>
      </c>
    </row>
    <row r="245" spans="1:14" x14ac:dyDescent="0.4">
      <c r="A245">
        <v>140230</v>
      </c>
      <c r="B245" s="240">
        <v>45</v>
      </c>
      <c r="C245" s="16">
        <f>B245*5</f>
        <v>225</v>
      </c>
      <c r="D245" s="240">
        <v>0</v>
      </c>
      <c r="E245" s="240">
        <v>0</v>
      </c>
      <c r="F245" s="240">
        <v>0</v>
      </c>
      <c r="G245" s="240">
        <v>0</v>
      </c>
      <c r="H245" s="240">
        <v>0</v>
      </c>
      <c r="I245" s="240">
        <v>0</v>
      </c>
      <c r="J245" s="26">
        <f>SUM(D245:I245)</f>
        <v>0</v>
      </c>
      <c r="K245" s="26">
        <v>0</v>
      </c>
      <c r="L245" s="240">
        <f>K245*B245</f>
        <v>0</v>
      </c>
      <c r="M245" s="240" t="s">
        <v>576</v>
      </c>
      <c r="N245" s="30" t="s">
        <v>577</v>
      </c>
    </row>
    <row r="249" spans="1:14" x14ac:dyDescent="0.4">
      <c r="A249" t="s">
        <v>402</v>
      </c>
      <c r="B249" s="3"/>
      <c r="C249" s="3"/>
      <c r="D249" s="3"/>
      <c r="E249" s="3"/>
      <c r="F249" s="3"/>
      <c r="G249" s="3"/>
      <c r="H249" s="3"/>
      <c r="I249" s="3"/>
      <c r="J249" s="7"/>
      <c r="K249" s="7"/>
    </row>
    <row r="250" spans="1:14" x14ac:dyDescent="0.4">
      <c r="A250" s="2037" t="s">
        <v>403</v>
      </c>
      <c r="B250" s="2037"/>
      <c r="C250" s="2037"/>
    </row>
    <row r="251" spans="1:14" x14ac:dyDescent="0.4">
      <c r="A251" s="2037" t="s">
        <v>404</v>
      </c>
      <c r="B251" s="2037"/>
      <c r="C251" s="2037"/>
    </row>
    <row r="252" spans="1:14" x14ac:dyDescent="0.4">
      <c r="A252" s="2037" t="s">
        <v>405</v>
      </c>
      <c r="B252" s="2037"/>
      <c r="C252" s="2037"/>
    </row>
    <row r="253" spans="1:14" x14ac:dyDescent="0.4">
      <c r="A253" s="2037" t="s">
        <v>406</v>
      </c>
      <c r="B253" s="2037"/>
      <c r="C253" s="2037"/>
    </row>
  </sheetData>
  <mergeCells count="32">
    <mergeCell ref="A250:C250"/>
    <mergeCell ref="A251:C251"/>
    <mergeCell ref="A252:C252"/>
    <mergeCell ref="A253:C253"/>
    <mergeCell ref="D5:I5"/>
    <mergeCell ref="D148:I148"/>
    <mergeCell ref="Q70:R70"/>
    <mergeCell ref="Q71:R71"/>
    <mergeCell ref="R100:S100"/>
    <mergeCell ref="D122:I122"/>
    <mergeCell ref="M122:N122"/>
    <mergeCell ref="O121:P121"/>
    <mergeCell ref="O120:P120"/>
    <mergeCell ref="O124:O125"/>
    <mergeCell ref="D134:I134"/>
    <mergeCell ref="O134:R134"/>
    <mergeCell ref="D143:I143"/>
    <mergeCell ref="D144:I144"/>
    <mergeCell ref="O148:P148"/>
    <mergeCell ref="R156:AG160"/>
    <mergeCell ref="G164:I164"/>
    <mergeCell ref="O164:T164"/>
    <mergeCell ref="F175:H175"/>
    <mergeCell ref="P175:Q175"/>
    <mergeCell ref="R240:T240"/>
    <mergeCell ref="O177:Q177"/>
    <mergeCell ref="O204:Q204"/>
    <mergeCell ref="O205:Q205"/>
    <mergeCell ref="D221:I221"/>
    <mergeCell ref="D240:I240"/>
    <mergeCell ref="M240:N240"/>
    <mergeCell ref="P240:Q240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308"/>
  <sheetViews>
    <sheetView zoomScale="115" zoomScaleNormal="115" workbookViewId="0">
      <pane ySplit="5" topLeftCell="A84" activePane="bottomLeft" state="frozen"/>
      <selection pane="bottomLeft" activeCell="C3" sqref="C3"/>
    </sheetView>
  </sheetViews>
  <sheetFormatPr defaultRowHeight="17.399999999999999" x14ac:dyDescent="0.4"/>
  <cols>
    <col min="4" max="9" width="5.59765625" customWidth="1"/>
    <col min="12" max="12" width="9.8984375" customWidth="1"/>
    <col min="13" max="14" width="10.3984375" customWidth="1"/>
  </cols>
  <sheetData>
    <row r="1" spans="1:19" x14ac:dyDescent="0.4">
      <c r="A1" s="5"/>
      <c r="B1" s="6"/>
      <c r="C1" s="6" t="s">
        <v>171</v>
      </c>
      <c r="D1" s="6"/>
      <c r="E1" s="6"/>
      <c r="F1" s="6"/>
      <c r="G1" s="6"/>
      <c r="H1" s="6"/>
      <c r="I1" s="6"/>
      <c r="J1" s="5"/>
      <c r="K1" s="5"/>
      <c r="L1" s="1021" t="s">
        <v>171</v>
      </c>
      <c r="M1" s="278"/>
      <c r="N1" s="278" t="s">
        <v>1487</v>
      </c>
      <c r="O1" s="6"/>
      <c r="P1" s="6"/>
      <c r="Q1" s="6"/>
    </row>
    <row r="2" spans="1:19" x14ac:dyDescent="0.4">
      <c r="A2" s="5" t="s">
        <v>172</v>
      </c>
      <c r="B2" s="6"/>
      <c r="C2" s="6" t="s">
        <v>173</v>
      </c>
      <c r="D2" s="6" t="s">
        <v>174</v>
      </c>
      <c r="E2" s="6"/>
      <c r="F2" s="6"/>
      <c r="G2" s="6"/>
      <c r="H2" s="6"/>
      <c r="I2" s="6"/>
      <c r="J2" s="5"/>
      <c r="K2" s="5"/>
      <c r="L2" s="1021" t="s">
        <v>2924</v>
      </c>
      <c r="M2" s="279"/>
      <c r="N2" s="279" t="s">
        <v>2925</v>
      </c>
      <c r="O2" s="6"/>
      <c r="P2" s="6"/>
      <c r="Q2" s="6"/>
      <c r="R2" s="3"/>
      <c r="S2" s="3"/>
    </row>
    <row r="3" spans="1:19" x14ac:dyDescent="0.4">
      <c r="A3" s="36"/>
      <c r="B3" s="37"/>
      <c r="C3" s="250">
        <f>SUM(C7:C305)</f>
        <v>71420</v>
      </c>
      <c r="D3" s="37"/>
      <c r="E3" s="37"/>
      <c r="F3" s="37"/>
      <c r="G3" s="37"/>
      <c r="H3" s="37"/>
      <c r="I3" s="37"/>
      <c r="J3" s="36"/>
      <c r="K3" s="36"/>
      <c r="L3" s="250">
        <f>SUM(L7:L305)</f>
        <v>4740</v>
      </c>
      <c r="M3" s="250"/>
      <c r="N3" s="1027">
        <f>L3/C3</f>
        <v>6.6367964155698678E-2</v>
      </c>
      <c r="O3" s="37"/>
      <c r="P3" s="37"/>
      <c r="Q3" s="37"/>
      <c r="R3" s="3"/>
      <c r="S3" s="3"/>
    </row>
    <row r="4" spans="1:19" x14ac:dyDescent="0.4">
      <c r="A4" s="2035" t="s">
        <v>182</v>
      </c>
      <c r="B4" s="32" t="s">
        <v>176</v>
      </c>
      <c r="C4" s="32" t="s">
        <v>177</v>
      </c>
      <c r="D4" s="2041"/>
      <c r="E4" s="2042"/>
      <c r="F4" s="2042"/>
      <c r="G4" s="2042"/>
      <c r="H4" s="2042"/>
      <c r="I4" s="2043"/>
      <c r="J4" s="33" t="s">
        <v>178</v>
      </c>
      <c r="K4" s="33" t="s">
        <v>179</v>
      </c>
      <c r="L4" s="33" t="s">
        <v>896</v>
      </c>
      <c r="M4" s="2035" t="s">
        <v>187</v>
      </c>
      <c r="N4" s="2035" t="s">
        <v>188</v>
      </c>
      <c r="O4" s="32" t="s">
        <v>180</v>
      </c>
      <c r="P4" s="2035" t="s">
        <v>1468</v>
      </c>
      <c r="Q4" s="2035" t="s">
        <v>190</v>
      </c>
    </row>
    <row r="5" spans="1:19" x14ac:dyDescent="0.4">
      <c r="A5" s="2036"/>
      <c r="B5" s="32" t="s">
        <v>183</v>
      </c>
      <c r="C5" s="32" t="s">
        <v>183</v>
      </c>
      <c r="D5" s="2039" t="s">
        <v>184</v>
      </c>
      <c r="E5" s="2039"/>
      <c r="F5" s="2039"/>
      <c r="G5" s="2039"/>
      <c r="H5" s="2039"/>
      <c r="I5" s="2039"/>
      <c r="J5" s="34" t="s">
        <v>185</v>
      </c>
      <c r="K5" s="34" t="s">
        <v>185</v>
      </c>
      <c r="L5" s="34" t="s">
        <v>407</v>
      </c>
      <c r="M5" s="2036"/>
      <c r="N5" s="2036"/>
      <c r="O5" s="32" t="s">
        <v>189</v>
      </c>
      <c r="P5" s="2036"/>
      <c r="Q5" s="2036"/>
    </row>
    <row r="6" spans="1:19" x14ac:dyDescent="0.4">
      <c r="A6" s="2037" t="s">
        <v>1338</v>
      </c>
      <c r="B6" s="2037"/>
      <c r="J6" s="7"/>
      <c r="K6" s="7"/>
      <c r="R6" s="3"/>
      <c r="S6" s="3"/>
    </row>
    <row r="7" spans="1:19" x14ac:dyDescent="0.4">
      <c r="A7" s="16">
        <v>140231</v>
      </c>
      <c r="B7" s="88">
        <v>60</v>
      </c>
      <c r="C7" s="16">
        <f>SUM(B7*5)</f>
        <v>300</v>
      </c>
      <c r="D7" s="88">
        <v>0</v>
      </c>
      <c r="E7" s="88">
        <v>0</v>
      </c>
      <c r="F7" s="88">
        <v>0</v>
      </c>
      <c r="G7" s="88">
        <v>0</v>
      </c>
      <c r="H7" s="88">
        <v>0</v>
      </c>
      <c r="I7" s="88">
        <v>0</v>
      </c>
      <c r="J7" s="26">
        <f t="shared" ref="J7:J12" si="0">SUM(D7:I7)</f>
        <v>0</v>
      </c>
      <c r="K7" s="26">
        <f t="shared" ref="K7:K12" si="1">SUM(D7:H7)</f>
        <v>0</v>
      </c>
      <c r="L7" s="88">
        <f t="shared" ref="L7:L12" si="2">B7*K7</f>
        <v>0</v>
      </c>
      <c r="M7" s="88" t="s">
        <v>582</v>
      </c>
      <c r="N7" s="30" t="s">
        <v>583</v>
      </c>
    </row>
    <row r="8" spans="1:19" s="36" customFormat="1" x14ac:dyDescent="0.4">
      <c r="A8" s="1">
        <v>140232</v>
      </c>
      <c r="B8" s="237">
        <v>60</v>
      </c>
      <c r="C8" s="1">
        <f>SUM(B8*5)</f>
        <v>300</v>
      </c>
      <c r="D8" s="237">
        <v>0</v>
      </c>
      <c r="E8" s="237">
        <v>0</v>
      </c>
      <c r="F8" s="237">
        <v>0</v>
      </c>
      <c r="G8" s="237">
        <v>0</v>
      </c>
      <c r="H8" s="237">
        <v>0</v>
      </c>
      <c r="I8" s="237">
        <v>1</v>
      </c>
      <c r="J8" s="140">
        <f t="shared" si="0"/>
        <v>1</v>
      </c>
      <c r="K8" s="140">
        <f t="shared" si="1"/>
        <v>0</v>
      </c>
      <c r="L8" s="237">
        <f t="shared" si="2"/>
        <v>0</v>
      </c>
      <c r="M8" s="237" t="s">
        <v>582</v>
      </c>
      <c r="N8" s="141" t="s">
        <v>583</v>
      </c>
    </row>
    <row r="9" spans="1:19" s="36" customFormat="1" x14ac:dyDescent="0.4">
      <c r="A9" s="16">
        <v>140233</v>
      </c>
      <c r="B9" s="115">
        <v>45</v>
      </c>
      <c r="C9" s="16">
        <f>SUM(B9*5)</f>
        <v>225</v>
      </c>
      <c r="D9" s="115">
        <v>0</v>
      </c>
      <c r="E9" s="115">
        <v>0</v>
      </c>
      <c r="F9" s="115">
        <v>0</v>
      </c>
      <c r="G9" s="115">
        <v>0</v>
      </c>
      <c r="H9" s="115">
        <v>0</v>
      </c>
      <c r="I9" s="115">
        <v>0</v>
      </c>
      <c r="J9" s="26">
        <f t="shared" si="0"/>
        <v>0</v>
      </c>
      <c r="K9" s="26">
        <f t="shared" si="1"/>
        <v>0</v>
      </c>
      <c r="L9" s="115">
        <f t="shared" si="2"/>
        <v>0</v>
      </c>
      <c r="M9" s="115" t="s">
        <v>585</v>
      </c>
      <c r="N9" s="30" t="s">
        <v>586</v>
      </c>
    </row>
    <row r="10" spans="1:19" s="36" customFormat="1" x14ac:dyDescent="0.4">
      <c r="A10" s="16">
        <v>140234</v>
      </c>
      <c r="B10" s="238">
        <v>45</v>
      </c>
      <c r="C10" s="16">
        <f>SUM(B10*5)</f>
        <v>225</v>
      </c>
      <c r="D10" s="238">
        <v>0</v>
      </c>
      <c r="E10" s="238">
        <v>0</v>
      </c>
      <c r="F10" s="238">
        <v>0</v>
      </c>
      <c r="G10" s="238">
        <v>0</v>
      </c>
      <c r="H10" s="238">
        <v>0</v>
      </c>
      <c r="I10" s="238">
        <v>0</v>
      </c>
      <c r="J10" s="26">
        <f t="shared" si="0"/>
        <v>0</v>
      </c>
      <c r="K10" s="26">
        <f t="shared" si="1"/>
        <v>0</v>
      </c>
      <c r="L10" s="238">
        <f t="shared" si="2"/>
        <v>0</v>
      </c>
      <c r="M10" s="238" t="s">
        <v>585</v>
      </c>
      <c r="N10" s="30" t="s">
        <v>586</v>
      </c>
    </row>
    <row r="11" spans="1:19" s="36" customFormat="1" x14ac:dyDescent="0.4">
      <c r="A11" s="16">
        <v>140235</v>
      </c>
      <c r="B11" s="238">
        <v>45</v>
      </c>
      <c r="C11" s="16">
        <f>SUM(B11*5)</f>
        <v>225</v>
      </c>
      <c r="D11" s="238">
        <v>0</v>
      </c>
      <c r="E11" s="238">
        <v>0</v>
      </c>
      <c r="F11" s="238">
        <v>0</v>
      </c>
      <c r="G11" s="238">
        <v>0</v>
      </c>
      <c r="H11" s="238">
        <v>0</v>
      </c>
      <c r="I11" s="238">
        <v>0</v>
      </c>
      <c r="J11" s="26">
        <f t="shared" si="0"/>
        <v>0</v>
      </c>
      <c r="K11" s="26">
        <f t="shared" si="1"/>
        <v>0</v>
      </c>
      <c r="L11" s="238">
        <f t="shared" si="2"/>
        <v>0</v>
      </c>
      <c r="M11" s="238" t="s">
        <v>587</v>
      </c>
      <c r="N11" s="30" t="s">
        <v>588</v>
      </c>
    </row>
    <row r="12" spans="1:19" s="36" customFormat="1" x14ac:dyDescent="0.4">
      <c r="A12" s="16">
        <v>140236</v>
      </c>
      <c r="B12" s="62">
        <v>90</v>
      </c>
      <c r="C12" s="16">
        <v>90</v>
      </c>
      <c r="D12" s="62"/>
      <c r="E12" s="62"/>
      <c r="F12" s="62"/>
      <c r="G12" s="62"/>
      <c r="H12" s="62"/>
      <c r="I12" s="62">
        <v>0</v>
      </c>
      <c r="J12" s="26">
        <f t="shared" si="0"/>
        <v>0</v>
      </c>
      <c r="K12" s="26">
        <f t="shared" si="1"/>
        <v>0</v>
      </c>
      <c r="L12" s="62">
        <f t="shared" si="2"/>
        <v>0</v>
      </c>
      <c r="M12" s="62" t="s">
        <v>589</v>
      </c>
      <c r="N12" s="30" t="s">
        <v>590</v>
      </c>
      <c r="O12" s="16" t="s">
        <v>591</v>
      </c>
    </row>
    <row r="13" spans="1:19" s="36" customFormat="1" x14ac:dyDescent="0.4">
      <c r="A13" s="16">
        <v>140237</v>
      </c>
      <c r="B13" s="151">
        <v>45</v>
      </c>
      <c r="C13" s="16">
        <f>SUM(B13*5)</f>
        <v>225</v>
      </c>
      <c r="D13" s="151">
        <v>0</v>
      </c>
      <c r="E13" s="151">
        <v>0</v>
      </c>
      <c r="F13" s="151">
        <v>0</v>
      </c>
      <c r="G13" s="151">
        <v>0</v>
      </c>
      <c r="H13" s="151">
        <v>0</v>
      </c>
      <c r="I13" s="151">
        <v>0</v>
      </c>
      <c r="J13" s="26">
        <f>SUM(D13:I13)</f>
        <v>0</v>
      </c>
      <c r="K13" s="26">
        <f>SUM(D13:H13)</f>
        <v>0</v>
      </c>
      <c r="L13" s="151">
        <f>B13*K13</f>
        <v>0</v>
      </c>
      <c r="M13" s="151" t="s">
        <v>653</v>
      </c>
      <c r="N13" s="30" t="s">
        <v>654</v>
      </c>
      <c r="O13" s="16"/>
    </row>
    <row r="14" spans="1:19" s="36" customFormat="1" x14ac:dyDescent="0.4">
      <c r="A14" s="16">
        <v>140238</v>
      </c>
      <c r="B14" s="238">
        <v>45</v>
      </c>
      <c r="C14" s="16">
        <f>SUM(B14*5)</f>
        <v>225</v>
      </c>
      <c r="D14" s="238">
        <v>0</v>
      </c>
      <c r="E14" s="238">
        <v>0</v>
      </c>
      <c r="F14" s="238">
        <v>0</v>
      </c>
      <c r="G14" s="238">
        <v>0</v>
      </c>
      <c r="H14" s="238">
        <v>0</v>
      </c>
      <c r="I14" s="238">
        <v>0</v>
      </c>
      <c r="J14" s="26">
        <f>SUM(D14:I14)</f>
        <v>0</v>
      </c>
      <c r="K14" s="26">
        <f>SUM(D14:H14)</f>
        <v>0</v>
      </c>
      <c r="L14" s="238">
        <f>B14*K14</f>
        <v>0</v>
      </c>
      <c r="M14" s="238" t="s">
        <v>655</v>
      </c>
      <c r="N14" s="30" t="s">
        <v>656</v>
      </c>
    </row>
    <row r="15" spans="1:19" s="36" customFormat="1" x14ac:dyDescent="0.4">
      <c r="A15" s="16">
        <v>140239</v>
      </c>
      <c r="B15" s="257">
        <v>45</v>
      </c>
      <c r="C15" s="16">
        <f t="shared" ref="C15:C20" si="3">SUM(B15*5)</f>
        <v>225</v>
      </c>
      <c r="D15" s="257">
        <v>0</v>
      </c>
      <c r="E15" s="257">
        <v>0</v>
      </c>
      <c r="F15" s="257">
        <v>0</v>
      </c>
      <c r="G15" s="257">
        <v>0</v>
      </c>
      <c r="H15" s="257">
        <v>0</v>
      </c>
      <c r="I15" s="257">
        <v>0</v>
      </c>
      <c r="J15" s="26">
        <f t="shared" ref="J15:J20" si="4">SUM(D15:I15)</f>
        <v>0</v>
      </c>
      <c r="K15" s="26">
        <f t="shared" ref="K15:K20" si="5">SUM(D15:H15)</f>
        <v>0</v>
      </c>
      <c r="L15" s="257">
        <f t="shared" ref="L15:L20" si="6">B15*K15</f>
        <v>0</v>
      </c>
      <c r="M15" s="257" t="s">
        <v>593</v>
      </c>
      <c r="N15" s="30" t="s">
        <v>594</v>
      </c>
      <c r="O15" s="36" t="s">
        <v>595</v>
      </c>
    </row>
    <row r="16" spans="1:19" s="36" customFormat="1" x14ac:dyDescent="0.4">
      <c r="A16" s="18">
        <v>140240</v>
      </c>
      <c r="B16" s="19">
        <v>45</v>
      </c>
      <c r="C16" s="18">
        <f t="shared" si="3"/>
        <v>225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28">
        <f t="shared" si="4"/>
        <v>0</v>
      </c>
      <c r="K16" s="28">
        <f t="shared" si="5"/>
        <v>0</v>
      </c>
      <c r="L16" s="19">
        <f t="shared" si="6"/>
        <v>0</v>
      </c>
      <c r="M16" s="19" t="s">
        <v>596</v>
      </c>
      <c r="N16" s="67" t="s">
        <v>597</v>
      </c>
    </row>
    <row r="17" spans="1:18" s="36" customFormat="1" x14ac:dyDescent="0.4">
      <c r="A17" s="1">
        <v>140241</v>
      </c>
      <c r="B17" s="258">
        <v>45</v>
      </c>
      <c r="C17" s="1">
        <f t="shared" si="3"/>
        <v>225</v>
      </c>
      <c r="D17" s="258">
        <v>0</v>
      </c>
      <c r="E17" s="258">
        <v>0</v>
      </c>
      <c r="F17" s="258">
        <v>1</v>
      </c>
      <c r="G17" s="258">
        <v>1</v>
      </c>
      <c r="H17" s="258">
        <v>1</v>
      </c>
      <c r="I17" s="258">
        <v>1</v>
      </c>
      <c r="J17" s="140">
        <f t="shared" si="4"/>
        <v>4</v>
      </c>
      <c r="K17" s="140">
        <f t="shared" si="5"/>
        <v>3</v>
      </c>
      <c r="L17" s="258">
        <f t="shared" si="6"/>
        <v>135</v>
      </c>
      <c r="M17" s="258" t="s">
        <v>598</v>
      </c>
      <c r="N17" s="141" t="s">
        <v>599</v>
      </c>
      <c r="P17" s="39"/>
      <c r="Q17" s="39"/>
      <c r="R17" s="39"/>
    </row>
    <row r="18" spans="1:18" s="36" customFormat="1" x14ac:dyDescent="0.4">
      <c r="A18" s="1">
        <v>140242</v>
      </c>
      <c r="B18" s="258">
        <v>60</v>
      </c>
      <c r="C18" s="1">
        <f t="shared" si="3"/>
        <v>300</v>
      </c>
      <c r="D18" s="258">
        <v>0</v>
      </c>
      <c r="E18" s="258">
        <v>0</v>
      </c>
      <c r="F18" s="258">
        <v>0</v>
      </c>
      <c r="G18" s="258">
        <v>1</v>
      </c>
      <c r="H18" s="258">
        <v>1</v>
      </c>
      <c r="I18" s="258">
        <v>1</v>
      </c>
      <c r="J18" s="140">
        <f t="shared" si="4"/>
        <v>3</v>
      </c>
      <c r="K18" s="140">
        <f t="shared" si="5"/>
        <v>2</v>
      </c>
      <c r="L18" s="258">
        <f t="shared" si="6"/>
        <v>120</v>
      </c>
      <c r="M18" s="258" t="s">
        <v>600</v>
      </c>
      <c r="N18" s="141" t="s">
        <v>601</v>
      </c>
    </row>
    <row r="19" spans="1:18" s="36" customFormat="1" x14ac:dyDescent="0.4">
      <c r="A19" s="1">
        <v>140243</v>
      </c>
      <c r="B19" s="261">
        <v>45</v>
      </c>
      <c r="C19" s="1">
        <f t="shared" si="3"/>
        <v>225</v>
      </c>
      <c r="D19" s="261">
        <v>0</v>
      </c>
      <c r="E19" s="261">
        <v>0</v>
      </c>
      <c r="F19" s="261">
        <v>1</v>
      </c>
      <c r="G19" s="261">
        <v>1</v>
      </c>
      <c r="H19" s="261">
        <v>1</v>
      </c>
      <c r="I19" s="261">
        <v>1</v>
      </c>
      <c r="J19" s="140">
        <f t="shared" si="4"/>
        <v>4</v>
      </c>
      <c r="K19" s="140">
        <f t="shared" si="5"/>
        <v>3</v>
      </c>
      <c r="L19" s="261">
        <f t="shared" si="6"/>
        <v>135</v>
      </c>
      <c r="M19" s="261" t="s">
        <v>603</v>
      </c>
      <c r="N19" s="141" t="s">
        <v>604</v>
      </c>
    </row>
    <row r="20" spans="1:18" s="36" customFormat="1" x14ac:dyDescent="0.4">
      <c r="A20" s="1">
        <v>140244</v>
      </c>
      <c r="B20" s="261">
        <v>45</v>
      </c>
      <c r="C20" s="1">
        <f t="shared" si="3"/>
        <v>225</v>
      </c>
      <c r="D20" s="261">
        <v>0</v>
      </c>
      <c r="E20" s="261">
        <v>0</v>
      </c>
      <c r="F20" s="261">
        <v>0</v>
      </c>
      <c r="G20" s="261">
        <v>1</v>
      </c>
      <c r="H20" s="261">
        <v>1</v>
      </c>
      <c r="I20" s="261">
        <v>1</v>
      </c>
      <c r="J20" s="140">
        <f t="shared" si="4"/>
        <v>3</v>
      </c>
      <c r="K20" s="140">
        <f t="shared" si="5"/>
        <v>2</v>
      </c>
      <c r="L20" s="261">
        <f t="shared" si="6"/>
        <v>90</v>
      </c>
      <c r="M20" s="261" t="s">
        <v>603</v>
      </c>
      <c r="N20" s="141" t="s">
        <v>604</v>
      </c>
    </row>
    <row r="21" spans="1:18" s="36" customFormat="1" x14ac:dyDescent="0.4">
      <c r="A21" s="1">
        <v>140245</v>
      </c>
      <c r="B21" s="261">
        <v>60</v>
      </c>
      <c r="C21" s="1">
        <f t="shared" ref="C21:C28" si="7">SUM(B21*5)</f>
        <v>300</v>
      </c>
      <c r="D21" s="261">
        <v>0</v>
      </c>
      <c r="E21" s="261">
        <v>0</v>
      </c>
      <c r="F21" s="261">
        <v>0</v>
      </c>
      <c r="G21" s="261">
        <v>1</v>
      </c>
      <c r="H21" s="261">
        <v>1</v>
      </c>
      <c r="I21" s="261">
        <v>1</v>
      </c>
      <c r="J21" s="140">
        <f t="shared" ref="J21:J28" si="8">SUM(D21:I21)</f>
        <v>3</v>
      </c>
      <c r="K21" s="140">
        <f t="shared" ref="K21:K28" si="9">SUM(D21:H21)</f>
        <v>2</v>
      </c>
      <c r="L21" s="261">
        <f t="shared" ref="L21:L28" si="10">B21*K21</f>
        <v>120</v>
      </c>
      <c r="M21" s="261" t="s">
        <v>605</v>
      </c>
      <c r="N21" s="141" t="s">
        <v>606</v>
      </c>
    </row>
    <row r="22" spans="1:18" s="36" customFormat="1" x14ac:dyDescent="0.4">
      <c r="A22" s="16">
        <v>140246</v>
      </c>
      <c r="B22" s="105">
        <v>45</v>
      </c>
      <c r="C22" s="16">
        <f t="shared" si="7"/>
        <v>225</v>
      </c>
      <c r="D22" s="105">
        <v>0</v>
      </c>
      <c r="E22" s="105">
        <v>0</v>
      </c>
      <c r="F22" s="105">
        <v>0</v>
      </c>
      <c r="G22" s="105">
        <v>0</v>
      </c>
      <c r="H22" s="105">
        <v>0</v>
      </c>
      <c r="I22" s="105">
        <v>0</v>
      </c>
      <c r="J22" s="26">
        <f t="shared" si="8"/>
        <v>0</v>
      </c>
      <c r="K22" s="26">
        <f t="shared" si="9"/>
        <v>0</v>
      </c>
      <c r="L22" s="105">
        <f t="shared" si="10"/>
        <v>0</v>
      </c>
      <c r="M22" s="105" t="s">
        <v>607</v>
      </c>
      <c r="N22" s="30" t="s">
        <v>608</v>
      </c>
    </row>
    <row r="23" spans="1:18" s="36" customFormat="1" x14ac:dyDescent="0.4">
      <c r="A23" s="1">
        <v>140247</v>
      </c>
      <c r="B23" s="271">
        <v>45</v>
      </c>
      <c r="C23" s="1">
        <f t="shared" si="7"/>
        <v>225</v>
      </c>
      <c r="D23" s="271">
        <v>0</v>
      </c>
      <c r="E23" s="271">
        <v>0</v>
      </c>
      <c r="F23" s="271">
        <v>0</v>
      </c>
      <c r="G23" s="271">
        <v>0</v>
      </c>
      <c r="H23" s="271">
        <v>0</v>
      </c>
      <c r="I23" s="271">
        <v>1</v>
      </c>
      <c r="J23" s="140">
        <f t="shared" si="8"/>
        <v>1</v>
      </c>
      <c r="K23" s="140">
        <f t="shared" si="9"/>
        <v>0</v>
      </c>
      <c r="L23" s="271">
        <f t="shared" si="10"/>
        <v>0</v>
      </c>
      <c r="M23" s="271" t="s">
        <v>609</v>
      </c>
      <c r="N23" s="141" t="s">
        <v>608</v>
      </c>
    </row>
    <row r="24" spans="1:18" s="36" customFormat="1" x14ac:dyDescent="0.4">
      <c r="A24" s="16">
        <v>140248</v>
      </c>
      <c r="B24" s="238">
        <v>60</v>
      </c>
      <c r="C24" s="16">
        <f t="shared" si="7"/>
        <v>300</v>
      </c>
      <c r="D24" s="238">
        <v>0</v>
      </c>
      <c r="E24" s="238">
        <v>0</v>
      </c>
      <c r="F24" s="238">
        <v>0</v>
      </c>
      <c r="G24" s="238">
        <v>0</v>
      </c>
      <c r="H24" s="238">
        <v>0</v>
      </c>
      <c r="I24" s="238">
        <v>0</v>
      </c>
      <c r="J24" s="26">
        <f t="shared" si="8"/>
        <v>0</v>
      </c>
      <c r="K24" s="26">
        <f t="shared" si="9"/>
        <v>0</v>
      </c>
      <c r="L24" s="238">
        <f t="shared" si="10"/>
        <v>0</v>
      </c>
      <c r="M24" s="238" t="s">
        <v>610</v>
      </c>
      <c r="N24" s="30" t="s">
        <v>611</v>
      </c>
    </row>
    <row r="25" spans="1:18" s="36" customFormat="1" x14ac:dyDescent="0.4">
      <c r="A25" s="16">
        <v>140249</v>
      </c>
      <c r="B25" s="238">
        <v>45</v>
      </c>
      <c r="C25" s="16">
        <f t="shared" si="7"/>
        <v>225</v>
      </c>
      <c r="D25" s="238">
        <v>0</v>
      </c>
      <c r="E25" s="238">
        <v>0</v>
      </c>
      <c r="F25" s="238">
        <v>0</v>
      </c>
      <c r="G25" s="238">
        <v>0</v>
      </c>
      <c r="H25" s="238">
        <v>0</v>
      </c>
      <c r="I25" s="238">
        <v>0</v>
      </c>
      <c r="J25" s="26">
        <f t="shared" si="8"/>
        <v>0</v>
      </c>
      <c r="K25" s="26">
        <f t="shared" si="9"/>
        <v>0</v>
      </c>
      <c r="L25" s="238">
        <f t="shared" si="10"/>
        <v>0</v>
      </c>
      <c r="M25" s="238" t="s">
        <v>610</v>
      </c>
      <c r="N25" s="30" t="s">
        <v>611</v>
      </c>
    </row>
    <row r="26" spans="1:18" s="36" customFormat="1" x14ac:dyDescent="0.4">
      <c r="A26" s="16">
        <v>140250</v>
      </c>
      <c r="B26" s="69">
        <v>45</v>
      </c>
      <c r="C26" s="16">
        <f t="shared" si="7"/>
        <v>225</v>
      </c>
      <c r="D26" s="69">
        <v>0</v>
      </c>
      <c r="E26" s="69">
        <v>0</v>
      </c>
      <c r="F26" s="69">
        <v>0</v>
      </c>
      <c r="G26" s="69">
        <v>0</v>
      </c>
      <c r="H26" s="69">
        <v>0</v>
      </c>
      <c r="I26" s="69">
        <v>0</v>
      </c>
      <c r="J26" s="26">
        <f t="shared" si="8"/>
        <v>0</v>
      </c>
      <c r="K26" s="26">
        <f t="shared" si="9"/>
        <v>0</v>
      </c>
      <c r="L26" s="69">
        <f t="shared" si="10"/>
        <v>0</v>
      </c>
      <c r="M26" s="69" t="s">
        <v>610</v>
      </c>
      <c r="N26" s="30" t="s">
        <v>611</v>
      </c>
    </row>
    <row r="27" spans="1:18" s="36" customFormat="1" x14ac:dyDescent="0.4">
      <c r="A27" s="16">
        <v>140251</v>
      </c>
      <c r="B27" s="68">
        <v>45</v>
      </c>
      <c r="C27" s="16">
        <f t="shared" si="7"/>
        <v>225</v>
      </c>
      <c r="D27" s="68">
        <v>0</v>
      </c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26">
        <f t="shared" si="8"/>
        <v>0</v>
      </c>
      <c r="K27" s="26">
        <f t="shared" si="9"/>
        <v>0</v>
      </c>
      <c r="L27" s="68">
        <f t="shared" si="10"/>
        <v>0</v>
      </c>
      <c r="M27" s="68" t="s">
        <v>612</v>
      </c>
      <c r="N27" s="30" t="s">
        <v>613</v>
      </c>
    </row>
    <row r="28" spans="1:18" s="36" customFormat="1" x14ac:dyDescent="0.4">
      <c r="A28" s="1">
        <v>140252</v>
      </c>
      <c r="B28" s="271">
        <v>45</v>
      </c>
      <c r="C28" s="1">
        <f t="shared" si="7"/>
        <v>225</v>
      </c>
      <c r="D28" s="271">
        <v>0</v>
      </c>
      <c r="E28" s="271">
        <v>0</v>
      </c>
      <c r="F28" s="271">
        <v>0</v>
      </c>
      <c r="G28" s="271">
        <v>0</v>
      </c>
      <c r="H28" s="271">
        <v>1</v>
      </c>
      <c r="I28" s="271">
        <v>1</v>
      </c>
      <c r="J28" s="140">
        <f t="shared" si="8"/>
        <v>2</v>
      </c>
      <c r="K28" s="140">
        <f t="shared" si="9"/>
        <v>1</v>
      </c>
      <c r="L28" s="271">
        <f t="shared" si="10"/>
        <v>45</v>
      </c>
      <c r="M28" s="271" t="s">
        <v>614</v>
      </c>
      <c r="N28" s="141" t="s">
        <v>615</v>
      </c>
    </row>
    <row r="29" spans="1:18" s="36" customFormat="1" x14ac:dyDescent="0.4">
      <c r="A29" s="16">
        <v>140253</v>
      </c>
      <c r="B29" s="58">
        <v>45</v>
      </c>
      <c r="C29" s="16">
        <f t="shared" ref="C29:C38" si="11">SUM(B29*5)</f>
        <v>225</v>
      </c>
      <c r="D29" s="58">
        <v>0</v>
      </c>
      <c r="E29" s="58">
        <v>0</v>
      </c>
      <c r="F29" s="58">
        <v>0</v>
      </c>
      <c r="G29" s="58">
        <v>0</v>
      </c>
      <c r="H29" s="58">
        <v>0</v>
      </c>
      <c r="I29" s="58">
        <v>0</v>
      </c>
      <c r="J29" s="26">
        <f t="shared" ref="J29:J38" si="12">SUM(D29:I29)</f>
        <v>0</v>
      </c>
      <c r="K29" s="26">
        <f t="shared" ref="K29:K38" si="13">SUM(D29:H29)</f>
        <v>0</v>
      </c>
      <c r="L29" s="58">
        <f t="shared" ref="L29:L38" si="14">B29*K29</f>
        <v>0</v>
      </c>
      <c r="M29" s="58" t="s">
        <v>614</v>
      </c>
      <c r="N29" s="30" t="s">
        <v>615</v>
      </c>
    </row>
    <row r="30" spans="1:18" s="36" customFormat="1" x14ac:dyDescent="0.4">
      <c r="A30" s="1">
        <v>140254</v>
      </c>
      <c r="B30" s="275">
        <v>60</v>
      </c>
      <c r="C30" s="1">
        <f t="shared" si="11"/>
        <v>300</v>
      </c>
      <c r="D30" s="275">
        <v>0</v>
      </c>
      <c r="E30" s="275">
        <v>0</v>
      </c>
      <c r="F30" s="275">
        <v>0</v>
      </c>
      <c r="G30" s="275">
        <v>0</v>
      </c>
      <c r="H30" s="275">
        <v>1</v>
      </c>
      <c r="I30" s="275">
        <v>1</v>
      </c>
      <c r="J30" s="140">
        <f t="shared" si="12"/>
        <v>2</v>
      </c>
      <c r="K30" s="140">
        <f t="shared" si="13"/>
        <v>1</v>
      </c>
      <c r="L30" s="275">
        <f t="shared" si="14"/>
        <v>60</v>
      </c>
      <c r="M30" s="275" t="s">
        <v>616</v>
      </c>
      <c r="N30" s="141" t="s">
        <v>617</v>
      </c>
    </row>
    <row r="31" spans="1:18" s="36" customFormat="1" x14ac:dyDescent="0.4">
      <c r="A31" s="16">
        <v>140255</v>
      </c>
      <c r="B31" s="105">
        <v>45</v>
      </c>
      <c r="C31" s="16">
        <f t="shared" si="11"/>
        <v>225</v>
      </c>
      <c r="D31" s="105">
        <v>0</v>
      </c>
      <c r="E31" s="105">
        <v>0</v>
      </c>
      <c r="F31" s="105">
        <v>0</v>
      </c>
      <c r="G31" s="105">
        <v>0</v>
      </c>
      <c r="H31" s="105">
        <v>0</v>
      </c>
      <c r="I31" s="105">
        <v>0</v>
      </c>
      <c r="J31" s="26">
        <f t="shared" si="12"/>
        <v>0</v>
      </c>
      <c r="K31" s="26">
        <f t="shared" si="13"/>
        <v>0</v>
      </c>
      <c r="L31" s="105">
        <f t="shared" si="14"/>
        <v>0</v>
      </c>
      <c r="M31" s="105" t="s">
        <v>618</v>
      </c>
      <c r="N31" s="30" t="s">
        <v>615</v>
      </c>
      <c r="O31" s="2040"/>
      <c r="P31" s="2040"/>
    </row>
    <row r="32" spans="1:18" s="36" customFormat="1" x14ac:dyDescent="0.4">
      <c r="A32" s="1">
        <v>140256</v>
      </c>
      <c r="B32" s="275">
        <v>45</v>
      </c>
      <c r="C32" s="1">
        <f t="shared" si="11"/>
        <v>225</v>
      </c>
      <c r="D32" s="275">
        <v>0</v>
      </c>
      <c r="E32" s="275">
        <v>0</v>
      </c>
      <c r="F32" s="275">
        <v>0</v>
      </c>
      <c r="G32" s="275">
        <v>0</v>
      </c>
      <c r="H32" s="275">
        <v>0</v>
      </c>
      <c r="I32" s="275">
        <v>1</v>
      </c>
      <c r="J32" s="140">
        <f t="shared" si="12"/>
        <v>1</v>
      </c>
      <c r="K32" s="140">
        <f t="shared" si="13"/>
        <v>0</v>
      </c>
      <c r="L32" s="275">
        <f t="shared" si="14"/>
        <v>0</v>
      </c>
      <c r="M32" s="275" t="s">
        <v>618</v>
      </c>
      <c r="N32" s="141" t="s">
        <v>621</v>
      </c>
    </row>
    <row r="33" spans="1:33" s="36" customFormat="1" x14ac:dyDescent="0.4">
      <c r="A33" s="16">
        <v>140257</v>
      </c>
      <c r="B33" s="238">
        <v>45</v>
      </c>
      <c r="C33" s="16">
        <f t="shared" si="11"/>
        <v>225</v>
      </c>
      <c r="D33" s="238">
        <v>0</v>
      </c>
      <c r="E33" s="238">
        <v>0</v>
      </c>
      <c r="F33" s="238">
        <v>0</v>
      </c>
      <c r="G33" s="238">
        <v>0</v>
      </c>
      <c r="H33" s="238">
        <v>0</v>
      </c>
      <c r="I33" s="238">
        <v>0</v>
      </c>
      <c r="J33" s="26">
        <f t="shared" si="12"/>
        <v>0</v>
      </c>
      <c r="K33" s="26">
        <f t="shared" si="13"/>
        <v>0</v>
      </c>
      <c r="L33" s="238">
        <f t="shared" si="14"/>
        <v>0</v>
      </c>
      <c r="M33" s="238" t="s">
        <v>619</v>
      </c>
      <c r="N33" s="30" t="s">
        <v>620</v>
      </c>
    </row>
    <row r="34" spans="1:33" s="36" customFormat="1" x14ac:dyDescent="0.4">
      <c r="A34" s="16">
        <v>140258</v>
      </c>
      <c r="B34" s="119">
        <v>60</v>
      </c>
      <c r="C34" s="16">
        <f t="shared" si="11"/>
        <v>300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26">
        <f t="shared" si="12"/>
        <v>0</v>
      </c>
      <c r="K34" s="26">
        <f t="shared" si="13"/>
        <v>0</v>
      </c>
      <c r="L34" s="119">
        <f t="shared" si="14"/>
        <v>0</v>
      </c>
      <c r="M34" s="119" t="s">
        <v>624</v>
      </c>
      <c r="N34" s="30" t="s">
        <v>617</v>
      </c>
    </row>
    <row r="35" spans="1:33" s="36" customFormat="1" x14ac:dyDescent="0.4">
      <c r="A35" s="1">
        <v>140259</v>
      </c>
      <c r="B35" s="275">
        <v>60</v>
      </c>
      <c r="C35" s="1">
        <f t="shared" si="11"/>
        <v>300</v>
      </c>
      <c r="D35" s="275">
        <v>0</v>
      </c>
      <c r="E35" s="275">
        <v>0</v>
      </c>
      <c r="F35" s="275">
        <v>0</v>
      </c>
      <c r="G35" s="275">
        <v>0</v>
      </c>
      <c r="H35" s="275">
        <v>0</v>
      </c>
      <c r="I35" s="275">
        <v>1</v>
      </c>
      <c r="J35" s="140">
        <f t="shared" si="12"/>
        <v>1</v>
      </c>
      <c r="K35" s="140">
        <f t="shared" si="13"/>
        <v>0</v>
      </c>
      <c r="L35" s="275">
        <f t="shared" si="14"/>
        <v>0</v>
      </c>
      <c r="M35" s="275" t="s">
        <v>624</v>
      </c>
      <c r="N35" s="141" t="s">
        <v>617</v>
      </c>
    </row>
    <row r="36" spans="1:33" s="36" customFormat="1" x14ac:dyDescent="0.4">
      <c r="A36" s="1">
        <v>140260</v>
      </c>
      <c r="B36" s="275">
        <v>60</v>
      </c>
      <c r="C36" s="1">
        <f t="shared" si="11"/>
        <v>300</v>
      </c>
      <c r="D36" s="275">
        <v>0</v>
      </c>
      <c r="E36" s="275">
        <v>0</v>
      </c>
      <c r="F36" s="275">
        <v>0</v>
      </c>
      <c r="G36" s="275">
        <v>0</v>
      </c>
      <c r="H36" s="275">
        <v>0</v>
      </c>
      <c r="I36" s="275">
        <v>1</v>
      </c>
      <c r="J36" s="140">
        <f t="shared" si="12"/>
        <v>1</v>
      </c>
      <c r="K36" s="140">
        <f t="shared" si="13"/>
        <v>0</v>
      </c>
      <c r="L36" s="275">
        <f t="shared" si="14"/>
        <v>0</v>
      </c>
      <c r="M36" s="275" t="s">
        <v>625</v>
      </c>
      <c r="N36" s="141" t="s">
        <v>626</v>
      </c>
    </row>
    <row r="37" spans="1:33" s="36" customFormat="1" x14ac:dyDescent="0.4">
      <c r="A37" s="16">
        <v>140261</v>
      </c>
      <c r="B37" s="99">
        <v>45</v>
      </c>
      <c r="C37" s="16">
        <f t="shared" si="11"/>
        <v>225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26">
        <f t="shared" si="12"/>
        <v>0</v>
      </c>
      <c r="K37" s="26">
        <f t="shared" si="13"/>
        <v>0</v>
      </c>
      <c r="L37" s="99">
        <f t="shared" si="14"/>
        <v>0</v>
      </c>
      <c r="M37" s="99" t="s">
        <v>630</v>
      </c>
      <c r="N37" s="30" t="s">
        <v>631</v>
      </c>
    </row>
    <row r="38" spans="1:33" s="36" customFormat="1" x14ac:dyDescent="0.4">
      <c r="A38" s="16">
        <v>140262</v>
      </c>
      <c r="B38" s="105">
        <v>60</v>
      </c>
      <c r="C38" s="16">
        <f t="shared" si="11"/>
        <v>300</v>
      </c>
      <c r="D38" s="105">
        <v>0</v>
      </c>
      <c r="E38" s="105">
        <v>0</v>
      </c>
      <c r="F38" s="105">
        <v>0</v>
      </c>
      <c r="G38" s="105">
        <v>0</v>
      </c>
      <c r="H38" s="105">
        <v>0</v>
      </c>
      <c r="I38" s="105">
        <v>0</v>
      </c>
      <c r="J38" s="26">
        <f t="shared" si="12"/>
        <v>0</v>
      </c>
      <c r="K38" s="26">
        <f t="shared" si="13"/>
        <v>0</v>
      </c>
      <c r="L38" s="105">
        <f t="shared" si="14"/>
        <v>0</v>
      </c>
      <c r="M38" s="105" t="s">
        <v>630</v>
      </c>
      <c r="N38" s="30" t="s">
        <v>631</v>
      </c>
    </row>
    <row r="39" spans="1:33" s="36" customFormat="1" x14ac:dyDescent="0.4">
      <c r="A39" s="16">
        <v>140263</v>
      </c>
      <c r="B39" s="31"/>
      <c r="C39" s="31"/>
      <c r="D39" s="2033" t="s">
        <v>627</v>
      </c>
      <c r="E39" s="2033"/>
      <c r="F39" s="2033"/>
      <c r="G39" s="2033"/>
      <c r="H39" s="2033"/>
      <c r="I39" s="2033"/>
      <c r="J39" s="31"/>
      <c r="K39" s="31"/>
      <c r="L39" s="31"/>
      <c r="M39" s="79" t="s">
        <v>628</v>
      </c>
      <c r="N39" s="30" t="s">
        <v>629</v>
      </c>
      <c r="O39" s="31"/>
      <c r="P39" s="31" t="s">
        <v>785</v>
      </c>
      <c r="Q39" s="31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</row>
    <row r="40" spans="1:33" s="36" customFormat="1" x14ac:dyDescent="0.4">
      <c r="A40" s="16">
        <v>140264</v>
      </c>
      <c r="B40" s="238">
        <v>45</v>
      </c>
      <c r="C40" s="16">
        <f t="shared" ref="C40:C55" si="15">SUM(B40*5)</f>
        <v>225</v>
      </c>
      <c r="D40" s="238">
        <v>0</v>
      </c>
      <c r="E40" s="238">
        <v>0</v>
      </c>
      <c r="F40" s="238">
        <v>0</v>
      </c>
      <c r="G40" s="238">
        <v>0</v>
      </c>
      <c r="H40" s="238">
        <v>0</v>
      </c>
      <c r="I40" s="238">
        <v>0</v>
      </c>
      <c r="J40" s="26">
        <f t="shared" ref="J40:J55" si="16">SUM(D40:I40)</f>
        <v>0</v>
      </c>
      <c r="K40" s="26">
        <f t="shared" ref="K40:K55" si="17">SUM(D40:H40)</f>
        <v>0</v>
      </c>
      <c r="L40" s="238">
        <f t="shared" ref="L40:L55" si="18">B40*K40</f>
        <v>0</v>
      </c>
      <c r="M40" s="238" t="s">
        <v>632</v>
      </c>
      <c r="N40" s="30" t="s">
        <v>633</v>
      </c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</row>
    <row r="41" spans="1:33" s="36" customFormat="1" x14ac:dyDescent="0.4">
      <c r="A41" s="16">
        <v>140265</v>
      </c>
      <c r="B41" s="105">
        <v>60</v>
      </c>
      <c r="C41" s="16">
        <f t="shared" si="15"/>
        <v>300</v>
      </c>
      <c r="D41" s="105">
        <v>0</v>
      </c>
      <c r="E41" s="105">
        <v>0</v>
      </c>
      <c r="F41" s="105">
        <v>0</v>
      </c>
      <c r="G41" s="105">
        <v>0</v>
      </c>
      <c r="H41" s="105">
        <v>0</v>
      </c>
      <c r="I41" s="105">
        <v>0</v>
      </c>
      <c r="J41" s="26">
        <f t="shared" si="16"/>
        <v>0</v>
      </c>
      <c r="K41" s="26">
        <f t="shared" si="17"/>
        <v>0</v>
      </c>
      <c r="L41" s="105">
        <f t="shared" si="18"/>
        <v>0</v>
      </c>
      <c r="M41" s="105" t="s">
        <v>634</v>
      </c>
      <c r="N41" s="30" t="s">
        <v>635</v>
      </c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</row>
    <row r="42" spans="1:33" s="36" customFormat="1" x14ac:dyDescent="0.4">
      <c r="A42" s="1">
        <v>140266</v>
      </c>
      <c r="B42" s="283">
        <v>45</v>
      </c>
      <c r="C42" s="1">
        <f t="shared" si="15"/>
        <v>225</v>
      </c>
      <c r="D42" s="283">
        <v>0</v>
      </c>
      <c r="E42" s="283">
        <v>0</v>
      </c>
      <c r="F42" s="283">
        <v>0</v>
      </c>
      <c r="G42" s="283">
        <v>0</v>
      </c>
      <c r="H42" s="283">
        <v>0</v>
      </c>
      <c r="I42" s="283">
        <v>1</v>
      </c>
      <c r="J42" s="140">
        <f t="shared" si="16"/>
        <v>1</v>
      </c>
      <c r="K42" s="140">
        <f t="shared" si="17"/>
        <v>0</v>
      </c>
      <c r="L42" s="283">
        <f t="shared" si="18"/>
        <v>0</v>
      </c>
      <c r="M42" s="283" t="s">
        <v>634</v>
      </c>
      <c r="N42" s="141" t="s">
        <v>635</v>
      </c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</row>
    <row r="43" spans="1:33" s="36" customFormat="1" x14ac:dyDescent="0.4">
      <c r="A43" s="16">
        <v>140267</v>
      </c>
      <c r="B43" s="190">
        <v>45</v>
      </c>
      <c r="C43" s="16">
        <f t="shared" si="15"/>
        <v>225</v>
      </c>
      <c r="D43" s="190">
        <v>0</v>
      </c>
      <c r="E43" s="190">
        <v>0</v>
      </c>
      <c r="F43" s="190">
        <v>0</v>
      </c>
      <c r="G43" s="190">
        <v>0</v>
      </c>
      <c r="H43" s="190">
        <v>0</v>
      </c>
      <c r="I43" s="190">
        <v>0</v>
      </c>
      <c r="J43" s="26">
        <f t="shared" si="16"/>
        <v>0</v>
      </c>
      <c r="K43" s="26">
        <f t="shared" si="17"/>
        <v>0</v>
      </c>
      <c r="L43" s="190">
        <f t="shared" si="18"/>
        <v>0</v>
      </c>
      <c r="M43" s="190" t="s">
        <v>634</v>
      </c>
      <c r="N43" s="30" t="s">
        <v>635</v>
      </c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</row>
    <row r="44" spans="1:33" s="36" customFormat="1" x14ac:dyDescent="0.4">
      <c r="A44" s="16">
        <v>140268</v>
      </c>
      <c r="B44" s="158">
        <v>70</v>
      </c>
      <c r="C44" s="16">
        <f t="shared" si="15"/>
        <v>350</v>
      </c>
      <c r="D44" s="158">
        <v>0</v>
      </c>
      <c r="E44" s="158">
        <v>0</v>
      </c>
      <c r="F44" s="158">
        <v>0</v>
      </c>
      <c r="G44" s="158">
        <v>0</v>
      </c>
      <c r="H44" s="158">
        <v>0</v>
      </c>
      <c r="I44" s="158">
        <v>0</v>
      </c>
      <c r="J44" s="26">
        <f t="shared" si="16"/>
        <v>0</v>
      </c>
      <c r="K44" s="26">
        <f t="shared" si="17"/>
        <v>0</v>
      </c>
      <c r="L44" s="158">
        <f t="shared" si="18"/>
        <v>0</v>
      </c>
      <c r="M44" s="158" t="s">
        <v>636</v>
      </c>
      <c r="N44" s="30" t="s">
        <v>637</v>
      </c>
    </row>
    <row r="45" spans="1:33" s="36" customFormat="1" x14ac:dyDescent="0.4">
      <c r="A45" s="16">
        <v>140269</v>
      </c>
      <c r="B45" s="91">
        <v>45</v>
      </c>
      <c r="C45" s="16">
        <f t="shared" si="15"/>
        <v>225</v>
      </c>
      <c r="D45" s="91">
        <v>0</v>
      </c>
      <c r="E45" s="91">
        <v>0</v>
      </c>
      <c r="F45" s="91">
        <v>0</v>
      </c>
      <c r="G45" s="91">
        <v>0</v>
      </c>
      <c r="H45" s="91">
        <v>0</v>
      </c>
      <c r="I45" s="91">
        <v>0</v>
      </c>
      <c r="J45" s="26">
        <f t="shared" si="16"/>
        <v>0</v>
      </c>
      <c r="K45" s="26">
        <f t="shared" si="17"/>
        <v>0</v>
      </c>
      <c r="L45" s="91">
        <f t="shared" si="18"/>
        <v>0</v>
      </c>
      <c r="M45" s="91" t="s">
        <v>638</v>
      </c>
      <c r="N45" s="30" t="s">
        <v>639</v>
      </c>
    </row>
    <row r="46" spans="1:33" s="36" customFormat="1" x14ac:dyDescent="0.4">
      <c r="A46" s="16">
        <v>140270</v>
      </c>
      <c r="B46" s="105">
        <v>50</v>
      </c>
      <c r="C46" s="16">
        <f t="shared" si="15"/>
        <v>250</v>
      </c>
      <c r="D46" s="105">
        <v>0</v>
      </c>
      <c r="E46" s="105">
        <v>0</v>
      </c>
      <c r="F46" s="105">
        <v>0</v>
      </c>
      <c r="G46" s="105">
        <v>0</v>
      </c>
      <c r="H46" s="105">
        <v>0</v>
      </c>
      <c r="I46" s="105">
        <v>0</v>
      </c>
      <c r="J46" s="26">
        <f t="shared" si="16"/>
        <v>0</v>
      </c>
      <c r="K46" s="26">
        <f t="shared" si="17"/>
        <v>0</v>
      </c>
      <c r="L46" s="105">
        <f t="shared" si="18"/>
        <v>0</v>
      </c>
      <c r="M46" s="105" t="s">
        <v>640</v>
      </c>
      <c r="N46" s="30" t="s">
        <v>641</v>
      </c>
    </row>
    <row r="47" spans="1:33" s="36" customFormat="1" x14ac:dyDescent="0.4">
      <c r="A47" s="16">
        <v>140271</v>
      </c>
      <c r="B47" s="105">
        <v>45</v>
      </c>
      <c r="C47" s="16">
        <f t="shared" si="15"/>
        <v>225</v>
      </c>
      <c r="D47" s="105">
        <v>0</v>
      </c>
      <c r="E47" s="105">
        <v>0</v>
      </c>
      <c r="F47" s="105">
        <v>0</v>
      </c>
      <c r="G47" s="105">
        <v>0</v>
      </c>
      <c r="H47" s="105">
        <v>0</v>
      </c>
      <c r="I47" s="105">
        <v>0</v>
      </c>
      <c r="J47" s="26">
        <f t="shared" si="16"/>
        <v>0</v>
      </c>
      <c r="K47" s="26">
        <f t="shared" si="17"/>
        <v>0</v>
      </c>
      <c r="L47" s="105">
        <f t="shared" si="18"/>
        <v>0</v>
      </c>
      <c r="M47" s="105" t="s">
        <v>642</v>
      </c>
      <c r="N47" s="30" t="s">
        <v>643</v>
      </c>
      <c r="O47" s="2040"/>
      <c r="P47" s="2040"/>
      <c r="Q47" s="2040"/>
      <c r="R47" s="2040"/>
      <c r="S47" s="2040"/>
      <c r="T47" s="2040"/>
    </row>
    <row r="48" spans="1:33" s="36" customFormat="1" x14ac:dyDescent="0.4">
      <c r="A48" s="16">
        <v>140272</v>
      </c>
      <c r="B48" s="84">
        <v>60</v>
      </c>
      <c r="C48" s="16">
        <f t="shared" si="15"/>
        <v>300</v>
      </c>
      <c r="D48" s="84">
        <v>0</v>
      </c>
      <c r="E48" s="84">
        <v>0</v>
      </c>
      <c r="F48" s="84">
        <v>0</v>
      </c>
      <c r="G48" s="84">
        <v>0</v>
      </c>
      <c r="H48" s="84">
        <v>0</v>
      </c>
      <c r="I48" s="84">
        <v>0</v>
      </c>
      <c r="J48" s="26">
        <f t="shared" si="16"/>
        <v>0</v>
      </c>
      <c r="K48" s="26">
        <f t="shared" si="17"/>
        <v>0</v>
      </c>
      <c r="L48" s="84">
        <f t="shared" si="18"/>
        <v>0</v>
      </c>
      <c r="M48" s="84" t="s">
        <v>644</v>
      </c>
      <c r="N48" s="30" t="s">
        <v>645</v>
      </c>
    </row>
    <row r="49" spans="1:17" s="36" customFormat="1" x14ac:dyDescent="0.4">
      <c r="A49" s="16">
        <v>140273</v>
      </c>
      <c r="B49" s="109">
        <v>45</v>
      </c>
      <c r="C49" s="16">
        <f t="shared" si="15"/>
        <v>225</v>
      </c>
      <c r="D49" s="109">
        <v>0</v>
      </c>
      <c r="E49" s="109">
        <v>0</v>
      </c>
      <c r="F49" s="109">
        <v>0</v>
      </c>
      <c r="G49" s="109">
        <v>0</v>
      </c>
      <c r="H49" s="109">
        <v>0</v>
      </c>
      <c r="I49" s="109">
        <v>0</v>
      </c>
      <c r="J49" s="26">
        <f t="shared" si="16"/>
        <v>0</v>
      </c>
      <c r="K49" s="26">
        <f t="shared" si="17"/>
        <v>0</v>
      </c>
      <c r="L49" s="109">
        <f t="shared" si="18"/>
        <v>0</v>
      </c>
      <c r="M49" s="109" t="s">
        <v>644</v>
      </c>
      <c r="N49" s="30" t="s">
        <v>645</v>
      </c>
    </row>
    <row r="50" spans="1:17" s="36" customFormat="1" x14ac:dyDescent="0.4">
      <c r="A50" s="123">
        <v>140274</v>
      </c>
      <c r="B50" s="289">
        <v>45</v>
      </c>
      <c r="C50" s="1">
        <f t="shared" si="15"/>
        <v>225</v>
      </c>
      <c r="D50" s="289">
        <v>0</v>
      </c>
      <c r="E50" s="289">
        <v>0</v>
      </c>
      <c r="F50" s="289">
        <v>0</v>
      </c>
      <c r="G50" s="289">
        <v>0</v>
      </c>
      <c r="H50" s="289">
        <v>1</v>
      </c>
      <c r="I50" s="289">
        <v>1</v>
      </c>
      <c r="J50" s="140">
        <f t="shared" si="16"/>
        <v>2</v>
      </c>
      <c r="K50" s="140">
        <f t="shared" si="17"/>
        <v>1</v>
      </c>
      <c r="L50" s="289">
        <f t="shared" si="18"/>
        <v>45</v>
      </c>
      <c r="M50" s="289" t="s">
        <v>644</v>
      </c>
      <c r="N50" s="141" t="s">
        <v>645</v>
      </c>
      <c r="O50" s="53">
        <v>45</v>
      </c>
    </row>
    <row r="51" spans="1:17" s="36" customFormat="1" x14ac:dyDescent="0.4">
      <c r="A51" s="123">
        <v>140275</v>
      </c>
      <c r="B51" s="90">
        <v>60</v>
      </c>
      <c r="C51" s="16">
        <f t="shared" si="15"/>
        <v>300</v>
      </c>
      <c r="D51" s="90">
        <v>0</v>
      </c>
      <c r="E51" s="90">
        <v>0</v>
      </c>
      <c r="F51" s="90">
        <v>0</v>
      </c>
      <c r="G51" s="90">
        <v>0</v>
      </c>
      <c r="H51" s="90">
        <v>0</v>
      </c>
      <c r="I51" s="90">
        <v>0</v>
      </c>
      <c r="J51" s="26">
        <f t="shared" si="16"/>
        <v>0</v>
      </c>
      <c r="K51" s="26">
        <f t="shared" si="17"/>
        <v>0</v>
      </c>
      <c r="L51" s="90">
        <f t="shared" si="18"/>
        <v>0</v>
      </c>
      <c r="M51" s="90" t="s">
        <v>646</v>
      </c>
      <c r="N51" s="30" t="s">
        <v>647</v>
      </c>
    </row>
    <row r="52" spans="1:17" s="36" customFormat="1" x14ac:dyDescent="0.4">
      <c r="A52" s="123">
        <v>140276</v>
      </c>
      <c r="B52" s="107">
        <v>60</v>
      </c>
      <c r="C52" s="16">
        <f t="shared" si="15"/>
        <v>300</v>
      </c>
      <c r="D52" s="107">
        <v>0</v>
      </c>
      <c r="E52" s="107">
        <v>0</v>
      </c>
      <c r="F52" s="107">
        <v>0</v>
      </c>
      <c r="G52" s="107">
        <v>0</v>
      </c>
      <c r="H52" s="107">
        <v>0</v>
      </c>
      <c r="I52" s="107">
        <v>0</v>
      </c>
      <c r="J52" s="26">
        <f t="shared" si="16"/>
        <v>0</v>
      </c>
      <c r="K52" s="26">
        <f t="shared" si="17"/>
        <v>0</v>
      </c>
      <c r="L52" s="107">
        <f t="shared" si="18"/>
        <v>0</v>
      </c>
      <c r="M52" s="107" t="s">
        <v>648</v>
      </c>
      <c r="N52" s="30" t="s">
        <v>649</v>
      </c>
    </row>
    <row r="53" spans="1:17" s="36" customFormat="1" x14ac:dyDescent="0.4">
      <c r="A53" s="123">
        <v>140277</v>
      </c>
      <c r="B53" s="89">
        <v>45</v>
      </c>
      <c r="C53" s="16">
        <f t="shared" si="15"/>
        <v>225</v>
      </c>
      <c r="D53" s="89">
        <v>0</v>
      </c>
      <c r="E53" s="89">
        <v>0</v>
      </c>
      <c r="F53" s="89">
        <v>0</v>
      </c>
      <c r="G53" s="89">
        <v>0</v>
      </c>
      <c r="H53" s="89">
        <v>0</v>
      </c>
      <c r="I53" s="89">
        <v>0</v>
      </c>
      <c r="J53" s="26">
        <f t="shared" si="16"/>
        <v>0</v>
      </c>
      <c r="K53" s="26">
        <f t="shared" si="17"/>
        <v>0</v>
      </c>
      <c r="L53" s="89">
        <f t="shared" si="18"/>
        <v>0</v>
      </c>
      <c r="M53" s="89" t="s">
        <v>650</v>
      </c>
      <c r="N53" s="30" t="s">
        <v>651</v>
      </c>
    </row>
    <row r="54" spans="1:17" s="36" customFormat="1" x14ac:dyDescent="0.4">
      <c r="A54" s="123">
        <v>140278</v>
      </c>
      <c r="B54" s="122">
        <v>45</v>
      </c>
      <c r="C54" s="16">
        <f t="shared" si="15"/>
        <v>225</v>
      </c>
      <c r="D54" s="122">
        <v>0</v>
      </c>
      <c r="E54" s="122">
        <v>0</v>
      </c>
      <c r="F54" s="122">
        <v>0</v>
      </c>
      <c r="G54" s="122">
        <v>0</v>
      </c>
      <c r="H54" s="122">
        <v>0</v>
      </c>
      <c r="I54" s="122">
        <v>0</v>
      </c>
      <c r="J54" s="26">
        <f t="shared" si="16"/>
        <v>0</v>
      </c>
      <c r="K54" s="26">
        <f t="shared" si="17"/>
        <v>0</v>
      </c>
      <c r="L54" s="122">
        <f t="shared" si="18"/>
        <v>0</v>
      </c>
      <c r="M54" s="122" t="s">
        <v>650</v>
      </c>
      <c r="N54" s="30" t="s">
        <v>651</v>
      </c>
    </row>
    <row r="55" spans="1:17" s="36" customFormat="1" x14ac:dyDescent="0.4">
      <c r="A55" s="16">
        <v>140279</v>
      </c>
      <c r="B55" s="122">
        <v>45</v>
      </c>
      <c r="C55" s="16">
        <f t="shared" si="15"/>
        <v>225</v>
      </c>
      <c r="D55" s="122">
        <v>0</v>
      </c>
      <c r="E55" s="122">
        <v>0</v>
      </c>
      <c r="F55" s="122">
        <v>0</v>
      </c>
      <c r="G55" s="122">
        <v>0</v>
      </c>
      <c r="H55" s="122">
        <v>0</v>
      </c>
      <c r="I55" s="122">
        <v>0</v>
      </c>
      <c r="J55" s="26">
        <f t="shared" si="16"/>
        <v>0</v>
      </c>
      <c r="K55" s="26">
        <f t="shared" si="17"/>
        <v>0</v>
      </c>
      <c r="L55" s="122">
        <f t="shared" si="18"/>
        <v>0</v>
      </c>
      <c r="M55" s="122" t="s">
        <v>657</v>
      </c>
      <c r="N55" s="30" t="s">
        <v>658</v>
      </c>
    </row>
    <row r="56" spans="1:17" s="36" customFormat="1" x14ac:dyDescent="0.4">
      <c r="A56" s="16">
        <v>140280</v>
      </c>
      <c r="B56" s="85">
        <v>60</v>
      </c>
      <c r="C56" s="16">
        <f t="shared" ref="C56:C71" si="19">SUM(B56*5)</f>
        <v>300</v>
      </c>
      <c r="D56" s="85">
        <v>0</v>
      </c>
      <c r="E56" s="85">
        <v>0</v>
      </c>
      <c r="F56" s="85">
        <v>0</v>
      </c>
      <c r="G56" s="85">
        <v>0</v>
      </c>
      <c r="H56" s="85">
        <v>0</v>
      </c>
      <c r="I56" s="85">
        <v>0</v>
      </c>
      <c r="J56" s="26">
        <f t="shared" ref="J56:J71" si="20">SUM(D56:I56)</f>
        <v>0</v>
      </c>
      <c r="K56" s="26">
        <f t="shared" ref="K56:K71" si="21">SUM(D56:H56)</f>
        <v>0</v>
      </c>
      <c r="L56" s="85">
        <f t="shared" ref="L56:L71" si="22">B56*K56</f>
        <v>0</v>
      </c>
      <c r="M56" s="85" t="s">
        <v>659</v>
      </c>
      <c r="N56" s="30" t="s">
        <v>660</v>
      </c>
    </row>
    <row r="57" spans="1:17" s="36" customFormat="1" x14ac:dyDescent="0.4">
      <c r="A57" s="16">
        <v>140281</v>
      </c>
      <c r="B57" s="273">
        <v>45</v>
      </c>
      <c r="C57" s="16">
        <f t="shared" si="19"/>
        <v>225</v>
      </c>
      <c r="D57" s="273">
        <v>0</v>
      </c>
      <c r="E57" s="273">
        <v>0</v>
      </c>
      <c r="F57" s="273">
        <v>0</v>
      </c>
      <c r="G57" s="273">
        <v>0</v>
      </c>
      <c r="H57" s="273">
        <v>0</v>
      </c>
      <c r="I57" s="273">
        <v>0</v>
      </c>
      <c r="J57" s="26">
        <f t="shared" si="20"/>
        <v>0</v>
      </c>
      <c r="K57" s="26">
        <f t="shared" si="21"/>
        <v>0</v>
      </c>
      <c r="L57" s="273">
        <f t="shared" si="22"/>
        <v>0</v>
      </c>
      <c r="M57" s="273" t="s">
        <v>662</v>
      </c>
      <c r="N57" s="30" t="s">
        <v>663</v>
      </c>
    </row>
    <row r="58" spans="1:17" s="36" customFormat="1" x14ac:dyDescent="0.4">
      <c r="A58" s="16">
        <v>140282</v>
      </c>
      <c r="B58" s="190">
        <v>45</v>
      </c>
      <c r="C58" s="16">
        <f t="shared" si="19"/>
        <v>225</v>
      </c>
      <c r="D58" s="190">
        <v>0</v>
      </c>
      <c r="E58" s="190">
        <v>0</v>
      </c>
      <c r="F58" s="190">
        <v>0</v>
      </c>
      <c r="G58" s="190">
        <v>0</v>
      </c>
      <c r="H58" s="190">
        <v>0</v>
      </c>
      <c r="I58" s="190">
        <v>0</v>
      </c>
      <c r="J58" s="26">
        <f t="shared" si="20"/>
        <v>0</v>
      </c>
      <c r="K58" s="26">
        <f t="shared" si="21"/>
        <v>0</v>
      </c>
      <c r="L58" s="190">
        <f t="shared" si="22"/>
        <v>0</v>
      </c>
      <c r="M58" s="190" t="s">
        <v>664</v>
      </c>
      <c r="N58" s="30" t="s">
        <v>665</v>
      </c>
      <c r="P58" s="2040"/>
      <c r="Q58" s="2040"/>
    </row>
    <row r="59" spans="1:17" s="36" customFormat="1" x14ac:dyDescent="0.4">
      <c r="A59" s="1">
        <v>140283</v>
      </c>
      <c r="B59" s="299">
        <v>45</v>
      </c>
      <c r="C59" s="1">
        <f t="shared" si="19"/>
        <v>225</v>
      </c>
      <c r="D59" s="299">
        <v>0</v>
      </c>
      <c r="E59" s="299">
        <v>0</v>
      </c>
      <c r="F59" s="299">
        <v>0</v>
      </c>
      <c r="G59" s="299">
        <v>0</v>
      </c>
      <c r="H59" s="299">
        <v>0</v>
      </c>
      <c r="I59" s="299">
        <v>1</v>
      </c>
      <c r="J59" s="140">
        <f t="shared" si="20"/>
        <v>1</v>
      </c>
      <c r="K59" s="140">
        <f t="shared" si="21"/>
        <v>0</v>
      </c>
      <c r="L59" s="299">
        <f t="shared" si="22"/>
        <v>0</v>
      </c>
      <c r="M59" s="299" t="s">
        <v>664</v>
      </c>
      <c r="N59" s="141" t="s">
        <v>665</v>
      </c>
      <c r="O59" s="36" t="s">
        <v>2250</v>
      </c>
    </row>
    <row r="60" spans="1:17" s="36" customFormat="1" x14ac:dyDescent="0.4">
      <c r="A60" s="16">
        <v>140284</v>
      </c>
      <c r="B60" s="155">
        <v>45</v>
      </c>
      <c r="C60" s="16">
        <f t="shared" si="19"/>
        <v>225</v>
      </c>
      <c r="D60" s="155">
        <v>0</v>
      </c>
      <c r="E60" s="155">
        <v>0</v>
      </c>
      <c r="F60" s="155">
        <v>0</v>
      </c>
      <c r="G60" s="155">
        <v>0</v>
      </c>
      <c r="H60" s="155">
        <v>0</v>
      </c>
      <c r="I60" s="155">
        <v>0</v>
      </c>
      <c r="J60" s="26">
        <f t="shared" si="20"/>
        <v>0</v>
      </c>
      <c r="K60" s="26">
        <f t="shared" si="21"/>
        <v>0</v>
      </c>
      <c r="L60" s="155">
        <f t="shared" si="22"/>
        <v>0</v>
      </c>
      <c r="M60" s="155" t="s">
        <v>666</v>
      </c>
      <c r="N60" s="30" t="s">
        <v>665</v>
      </c>
      <c r="O60" s="2040"/>
      <c r="P60" s="2040"/>
      <c r="Q60" s="2040"/>
    </row>
    <row r="61" spans="1:17" s="36" customFormat="1" x14ac:dyDescent="0.4">
      <c r="A61" s="16">
        <v>140285</v>
      </c>
      <c r="B61" s="80">
        <v>45</v>
      </c>
      <c r="C61" s="16">
        <f t="shared" si="19"/>
        <v>225</v>
      </c>
      <c r="D61" s="80">
        <v>0</v>
      </c>
      <c r="E61" s="80">
        <v>0</v>
      </c>
      <c r="F61" s="80">
        <v>0</v>
      </c>
      <c r="G61" s="80">
        <v>0</v>
      </c>
      <c r="H61" s="80">
        <v>0</v>
      </c>
      <c r="I61" s="80">
        <v>0</v>
      </c>
      <c r="J61" s="26">
        <f t="shared" si="20"/>
        <v>0</v>
      </c>
      <c r="K61" s="26">
        <f t="shared" si="21"/>
        <v>0</v>
      </c>
      <c r="L61" s="80">
        <f t="shared" si="22"/>
        <v>0</v>
      </c>
      <c r="M61" s="80" t="s">
        <v>669</v>
      </c>
      <c r="N61" s="30" t="s">
        <v>670</v>
      </c>
    </row>
    <row r="62" spans="1:17" s="36" customFormat="1" x14ac:dyDescent="0.4">
      <c r="A62" s="16">
        <v>140286</v>
      </c>
      <c r="B62" s="114">
        <v>45</v>
      </c>
      <c r="C62" s="16">
        <f t="shared" si="19"/>
        <v>225</v>
      </c>
      <c r="D62" s="114">
        <v>0</v>
      </c>
      <c r="E62" s="114">
        <v>0</v>
      </c>
      <c r="F62" s="114">
        <v>0</v>
      </c>
      <c r="G62" s="114">
        <v>0</v>
      </c>
      <c r="H62" s="114">
        <v>0</v>
      </c>
      <c r="I62" s="114">
        <v>0</v>
      </c>
      <c r="J62" s="26">
        <f t="shared" si="20"/>
        <v>0</v>
      </c>
      <c r="K62" s="26">
        <f t="shared" si="21"/>
        <v>0</v>
      </c>
      <c r="L62" s="114">
        <f t="shared" si="22"/>
        <v>0</v>
      </c>
      <c r="M62" s="114" t="s">
        <v>667</v>
      </c>
      <c r="N62" s="30" t="s">
        <v>668</v>
      </c>
    </row>
    <row r="63" spans="1:17" s="36" customFormat="1" x14ac:dyDescent="0.4">
      <c r="A63" s="1">
        <v>140287</v>
      </c>
      <c r="B63" s="302">
        <v>45</v>
      </c>
      <c r="C63" s="1">
        <f t="shared" si="19"/>
        <v>225</v>
      </c>
      <c r="D63" s="302">
        <v>0</v>
      </c>
      <c r="E63" s="302">
        <v>0</v>
      </c>
      <c r="F63" s="302">
        <v>1</v>
      </c>
      <c r="G63" s="302">
        <v>1</v>
      </c>
      <c r="H63" s="302">
        <v>1</v>
      </c>
      <c r="I63" s="302">
        <v>1</v>
      </c>
      <c r="J63" s="140">
        <f t="shared" si="20"/>
        <v>4</v>
      </c>
      <c r="K63" s="140">
        <f t="shared" si="21"/>
        <v>3</v>
      </c>
      <c r="L63" s="302">
        <f t="shared" si="22"/>
        <v>135</v>
      </c>
      <c r="M63" s="302" t="s">
        <v>671</v>
      </c>
      <c r="N63" s="141" t="s">
        <v>672</v>
      </c>
    </row>
    <row r="64" spans="1:17" s="36" customFormat="1" x14ac:dyDescent="0.4">
      <c r="A64" s="16">
        <v>140288</v>
      </c>
      <c r="B64" s="83">
        <v>45</v>
      </c>
      <c r="C64" s="16">
        <f t="shared" si="19"/>
        <v>225</v>
      </c>
      <c r="D64" s="83">
        <v>0</v>
      </c>
      <c r="E64" s="83">
        <v>0</v>
      </c>
      <c r="F64" s="83">
        <v>0</v>
      </c>
      <c r="G64" s="83">
        <v>0</v>
      </c>
      <c r="H64" s="83">
        <v>0</v>
      </c>
      <c r="I64" s="83">
        <v>0</v>
      </c>
      <c r="J64" s="26">
        <f t="shared" si="20"/>
        <v>0</v>
      </c>
      <c r="K64" s="26">
        <f t="shared" si="21"/>
        <v>0</v>
      </c>
      <c r="L64" s="83">
        <f t="shared" si="22"/>
        <v>0</v>
      </c>
      <c r="M64" s="83" t="s">
        <v>673</v>
      </c>
      <c r="N64" s="30" t="s">
        <v>674</v>
      </c>
    </row>
    <row r="65" spans="1:22" s="36" customFormat="1" x14ac:dyDescent="0.4">
      <c r="A65" s="16">
        <v>140289</v>
      </c>
      <c r="B65" s="105">
        <v>45</v>
      </c>
      <c r="C65" s="16">
        <f t="shared" si="19"/>
        <v>225</v>
      </c>
      <c r="D65" s="105">
        <v>0</v>
      </c>
      <c r="E65" s="105">
        <v>0</v>
      </c>
      <c r="F65" s="105">
        <v>0</v>
      </c>
      <c r="G65" s="105">
        <v>0</v>
      </c>
      <c r="H65" s="105">
        <v>0</v>
      </c>
      <c r="I65" s="105">
        <v>0</v>
      </c>
      <c r="J65" s="26">
        <f t="shared" si="20"/>
        <v>0</v>
      </c>
      <c r="K65" s="26">
        <f t="shared" si="21"/>
        <v>0</v>
      </c>
      <c r="L65" s="105">
        <f t="shared" si="22"/>
        <v>0</v>
      </c>
      <c r="M65" s="105" t="s">
        <v>673</v>
      </c>
      <c r="N65" s="30" t="s">
        <v>674</v>
      </c>
    </row>
    <row r="66" spans="1:22" s="36" customFormat="1" x14ac:dyDescent="0.4">
      <c r="A66" s="16">
        <v>140290</v>
      </c>
      <c r="B66" s="94">
        <v>45</v>
      </c>
      <c r="C66" s="16">
        <f t="shared" si="19"/>
        <v>225</v>
      </c>
      <c r="D66" s="94">
        <v>0</v>
      </c>
      <c r="E66" s="94">
        <v>0</v>
      </c>
      <c r="F66" s="94">
        <v>0</v>
      </c>
      <c r="G66" s="94">
        <v>0</v>
      </c>
      <c r="H66" s="94">
        <v>0</v>
      </c>
      <c r="I66" s="94">
        <v>0</v>
      </c>
      <c r="J66" s="26">
        <f t="shared" si="20"/>
        <v>0</v>
      </c>
      <c r="K66" s="26">
        <f t="shared" si="21"/>
        <v>0</v>
      </c>
      <c r="L66" s="94">
        <f t="shared" si="22"/>
        <v>0</v>
      </c>
      <c r="M66" s="94" t="s">
        <v>673</v>
      </c>
      <c r="N66" s="30" t="s">
        <v>674</v>
      </c>
    </row>
    <row r="67" spans="1:22" s="36" customFormat="1" x14ac:dyDescent="0.4">
      <c r="A67" s="1">
        <v>140291</v>
      </c>
      <c r="B67" s="302">
        <v>45</v>
      </c>
      <c r="C67" s="1">
        <f t="shared" si="19"/>
        <v>225</v>
      </c>
      <c r="D67" s="302">
        <v>0</v>
      </c>
      <c r="E67" s="302">
        <v>0</v>
      </c>
      <c r="F67" s="302">
        <v>0</v>
      </c>
      <c r="G67" s="302">
        <v>0</v>
      </c>
      <c r="H67" s="302">
        <v>0</v>
      </c>
      <c r="I67" s="302">
        <v>0</v>
      </c>
      <c r="J67" s="140">
        <f t="shared" si="20"/>
        <v>0</v>
      </c>
      <c r="K67" s="140">
        <f t="shared" si="21"/>
        <v>0</v>
      </c>
      <c r="L67" s="302">
        <f t="shared" si="22"/>
        <v>0</v>
      </c>
      <c r="M67" s="302" t="s">
        <v>675</v>
      </c>
      <c r="N67" s="141" t="s">
        <v>676</v>
      </c>
    </row>
    <row r="68" spans="1:22" s="36" customFormat="1" x14ac:dyDescent="0.4">
      <c r="A68" s="1">
        <v>140292</v>
      </c>
      <c r="B68" s="302">
        <v>45</v>
      </c>
      <c r="C68" s="1">
        <f t="shared" si="19"/>
        <v>225</v>
      </c>
      <c r="D68" s="302">
        <v>0</v>
      </c>
      <c r="E68" s="302">
        <v>0</v>
      </c>
      <c r="F68" s="302">
        <v>0</v>
      </c>
      <c r="G68" s="302">
        <v>0</v>
      </c>
      <c r="H68" s="302">
        <v>0</v>
      </c>
      <c r="I68" s="302">
        <v>1</v>
      </c>
      <c r="J68" s="140">
        <f t="shared" si="20"/>
        <v>1</v>
      </c>
      <c r="K68" s="140">
        <f t="shared" si="21"/>
        <v>0</v>
      </c>
      <c r="L68" s="302">
        <f t="shared" si="22"/>
        <v>0</v>
      </c>
      <c r="M68" s="302" t="s">
        <v>677</v>
      </c>
      <c r="N68" s="141" t="s">
        <v>678</v>
      </c>
    </row>
    <row r="69" spans="1:22" s="36" customFormat="1" x14ac:dyDescent="0.4">
      <c r="A69" s="16">
        <v>140293</v>
      </c>
      <c r="B69" s="286">
        <v>60</v>
      </c>
      <c r="C69" s="16">
        <f t="shared" si="19"/>
        <v>300</v>
      </c>
      <c r="D69" s="286">
        <v>0</v>
      </c>
      <c r="E69" s="286">
        <v>0</v>
      </c>
      <c r="F69" s="286">
        <v>0</v>
      </c>
      <c r="G69" s="286">
        <v>0</v>
      </c>
      <c r="H69" s="286">
        <v>0</v>
      </c>
      <c r="I69" s="286">
        <v>0</v>
      </c>
      <c r="J69" s="26">
        <f t="shared" si="20"/>
        <v>0</v>
      </c>
      <c r="K69" s="26">
        <f t="shared" si="21"/>
        <v>0</v>
      </c>
      <c r="L69" s="286">
        <f t="shared" si="22"/>
        <v>0</v>
      </c>
      <c r="M69" s="286" t="s">
        <v>679</v>
      </c>
      <c r="N69" s="30" t="s">
        <v>680</v>
      </c>
    </row>
    <row r="70" spans="1:22" s="36" customFormat="1" x14ac:dyDescent="0.4">
      <c r="A70" s="16">
        <v>140294</v>
      </c>
      <c r="B70" s="87">
        <v>45</v>
      </c>
      <c r="C70" s="16">
        <f t="shared" si="19"/>
        <v>225</v>
      </c>
      <c r="D70" s="87">
        <v>0</v>
      </c>
      <c r="E70" s="87">
        <v>0</v>
      </c>
      <c r="F70" s="87">
        <v>0</v>
      </c>
      <c r="G70" s="87">
        <v>0</v>
      </c>
      <c r="H70" s="87">
        <v>0</v>
      </c>
      <c r="I70" s="87">
        <v>0</v>
      </c>
      <c r="J70" s="26">
        <f t="shared" si="20"/>
        <v>0</v>
      </c>
      <c r="K70" s="26">
        <f t="shared" si="21"/>
        <v>0</v>
      </c>
      <c r="L70" s="87">
        <f t="shared" si="22"/>
        <v>0</v>
      </c>
      <c r="M70" s="87" t="s">
        <v>679</v>
      </c>
      <c r="N70" s="30" t="s">
        <v>680</v>
      </c>
    </row>
    <row r="71" spans="1:22" s="36" customFormat="1" x14ac:dyDescent="0.4">
      <c r="A71" s="16">
        <v>140295</v>
      </c>
      <c r="B71" s="190">
        <v>45</v>
      </c>
      <c r="C71" s="16">
        <f t="shared" si="19"/>
        <v>225</v>
      </c>
      <c r="D71" s="190">
        <v>0</v>
      </c>
      <c r="E71" s="190">
        <v>0</v>
      </c>
      <c r="F71" s="190">
        <v>0</v>
      </c>
      <c r="G71" s="190">
        <v>0</v>
      </c>
      <c r="H71" s="190">
        <v>0</v>
      </c>
      <c r="I71" s="190">
        <v>0</v>
      </c>
      <c r="J71" s="26">
        <f t="shared" si="20"/>
        <v>0</v>
      </c>
      <c r="K71" s="26">
        <f t="shared" si="21"/>
        <v>0</v>
      </c>
      <c r="L71" s="190">
        <f t="shared" si="22"/>
        <v>0</v>
      </c>
      <c r="M71" s="190" t="s">
        <v>681</v>
      </c>
      <c r="N71" s="30" t="s">
        <v>682</v>
      </c>
    </row>
    <row r="72" spans="1:22" s="36" customFormat="1" x14ac:dyDescent="0.4">
      <c r="A72" s="16">
        <v>140296</v>
      </c>
      <c r="B72" s="31"/>
      <c r="C72" s="31"/>
      <c r="D72" s="31" t="s">
        <v>695</v>
      </c>
      <c r="E72" s="31" t="s">
        <v>696</v>
      </c>
      <c r="F72" s="31" t="s">
        <v>697</v>
      </c>
      <c r="G72" s="31" t="s">
        <v>698</v>
      </c>
      <c r="H72" s="31" t="s">
        <v>699</v>
      </c>
      <c r="I72" s="31" t="s">
        <v>700</v>
      </c>
      <c r="J72" s="31"/>
      <c r="K72" s="31"/>
      <c r="L72" s="31"/>
      <c r="M72" s="75" t="s">
        <v>683</v>
      </c>
      <c r="N72" s="31" t="s">
        <v>684</v>
      </c>
      <c r="O72" s="31"/>
      <c r="P72" s="39" t="s">
        <v>991</v>
      </c>
    </row>
    <row r="73" spans="1:22" s="36" customFormat="1" x14ac:dyDescent="0.4">
      <c r="A73" s="16">
        <v>140297</v>
      </c>
      <c r="B73" s="303">
        <v>45</v>
      </c>
      <c r="C73" s="16">
        <f>SUM(B73*5)</f>
        <v>225</v>
      </c>
      <c r="D73" s="303">
        <v>0</v>
      </c>
      <c r="E73" s="303">
        <v>0</v>
      </c>
      <c r="F73" s="303">
        <v>0</v>
      </c>
      <c r="G73" s="303">
        <v>0</v>
      </c>
      <c r="H73" s="303">
        <v>0</v>
      </c>
      <c r="I73" s="303">
        <v>0</v>
      </c>
      <c r="J73" s="26">
        <f>SUM(D73:I73)</f>
        <v>0</v>
      </c>
      <c r="K73" s="26">
        <f>SUM(D73:H73)</f>
        <v>0</v>
      </c>
      <c r="L73" s="303">
        <f>B73*K73</f>
        <v>0</v>
      </c>
      <c r="M73" s="303" t="s">
        <v>683</v>
      </c>
      <c r="N73" s="30" t="s">
        <v>685</v>
      </c>
    </row>
    <row r="74" spans="1:22" s="36" customFormat="1" x14ac:dyDescent="0.4">
      <c r="A74" s="16">
        <v>140298</v>
      </c>
      <c r="B74" s="113">
        <v>35</v>
      </c>
      <c r="C74" s="16">
        <f>B74*10</f>
        <v>350</v>
      </c>
      <c r="D74" s="113">
        <v>0</v>
      </c>
      <c r="E74" s="113">
        <v>0</v>
      </c>
      <c r="F74" s="113">
        <v>0</v>
      </c>
      <c r="G74" s="113">
        <v>0</v>
      </c>
      <c r="H74" s="113">
        <v>0</v>
      </c>
      <c r="I74" s="113">
        <v>0</v>
      </c>
      <c r="J74" s="26">
        <f>SUM(D74:I75)</f>
        <v>0</v>
      </c>
      <c r="K74" s="26">
        <f>SUM(D74:I75)</f>
        <v>0</v>
      </c>
      <c r="L74" s="113">
        <v>0</v>
      </c>
      <c r="M74" s="113" t="s">
        <v>686</v>
      </c>
      <c r="N74" s="30" t="s">
        <v>687</v>
      </c>
    </row>
    <row r="75" spans="1:22" s="36" customFormat="1" x14ac:dyDescent="0.4">
      <c r="A75" s="16"/>
      <c r="B75" s="113"/>
      <c r="C75" s="16"/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26"/>
      <c r="K75" s="26"/>
      <c r="L75" s="16"/>
      <c r="M75" s="113"/>
      <c r="N75" s="16"/>
    </row>
    <row r="76" spans="1:22" s="36" customFormat="1" x14ac:dyDescent="0.4">
      <c r="A76" s="16">
        <v>140299</v>
      </c>
      <c r="B76" s="105">
        <v>60</v>
      </c>
      <c r="C76" s="16">
        <f>SUM(B76*5)</f>
        <v>300</v>
      </c>
      <c r="D76" s="105">
        <v>0</v>
      </c>
      <c r="E76" s="105">
        <v>0</v>
      </c>
      <c r="F76" s="105">
        <v>0</v>
      </c>
      <c r="G76" s="105">
        <v>0</v>
      </c>
      <c r="H76" s="105">
        <v>0</v>
      </c>
      <c r="I76" s="105">
        <v>0</v>
      </c>
      <c r="J76" s="26">
        <f t="shared" ref="J76:J92" si="23">SUM(D76:I76)</f>
        <v>0</v>
      </c>
      <c r="K76" s="26">
        <f t="shared" ref="K76:K92" si="24">SUM(D76:H76)</f>
        <v>0</v>
      </c>
      <c r="L76" s="105">
        <f t="shared" ref="L76:L82" si="25">B76*K76</f>
        <v>0</v>
      </c>
      <c r="M76" s="105" t="s">
        <v>688</v>
      </c>
      <c r="N76" s="30" t="s">
        <v>689</v>
      </c>
    </row>
    <row r="77" spans="1:22" s="36" customFormat="1" x14ac:dyDescent="0.4">
      <c r="A77" s="16">
        <v>140300</v>
      </c>
      <c r="B77" s="144">
        <v>0</v>
      </c>
      <c r="C77" s="16">
        <f>SUM(B77*5)</f>
        <v>0</v>
      </c>
      <c r="D77" s="144">
        <v>0</v>
      </c>
      <c r="E77" s="144">
        <v>0</v>
      </c>
      <c r="F77" s="144">
        <v>0</v>
      </c>
      <c r="G77" s="144">
        <v>0</v>
      </c>
      <c r="H77" s="144">
        <v>0</v>
      </c>
      <c r="I77" s="144">
        <v>0</v>
      </c>
      <c r="J77" s="26">
        <f t="shared" si="23"/>
        <v>0</v>
      </c>
      <c r="K77" s="26">
        <f t="shared" si="24"/>
        <v>0</v>
      </c>
      <c r="L77" s="144">
        <f t="shared" si="25"/>
        <v>0</v>
      </c>
      <c r="M77" s="144" t="s">
        <v>690</v>
      </c>
      <c r="N77" s="144" t="s">
        <v>691</v>
      </c>
      <c r="O77" s="2040" t="s">
        <v>692</v>
      </c>
      <c r="P77" s="2040"/>
      <c r="Q77" s="2040"/>
      <c r="R77" s="2040"/>
      <c r="S77" s="36" t="s">
        <v>693</v>
      </c>
      <c r="T77" s="2040" t="s">
        <v>694</v>
      </c>
      <c r="U77" s="2040"/>
      <c r="V77" s="2040"/>
    </row>
    <row r="78" spans="1:22" s="36" customFormat="1" x14ac:dyDescent="0.4">
      <c r="A78" s="16">
        <v>140301</v>
      </c>
      <c r="B78" s="233">
        <v>45</v>
      </c>
      <c r="C78" s="16">
        <f>SUM(B78*5)</f>
        <v>225</v>
      </c>
      <c r="D78" s="233">
        <v>0</v>
      </c>
      <c r="E78" s="233">
        <v>0</v>
      </c>
      <c r="F78" s="233">
        <v>0</v>
      </c>
      <c r="G78" s="233">
        <v>0</v>
      </c>
      <c r="H78" s="233">
        <v>0</v>
      </c>
      <c r="I78" s="233">
        <v>0</v>
      </c>
      <c r="J78" s="26">
        <f t="shared" si="23"/>
        <v>0</v>
      </c>
      <c r="K78" s="26">
        <f t="shared" si="24"/>
        <v>0</v>
      </c>
      <c r="L78" s="233">
        <f t="shared" si="25"/>
        <v>0</v>
      </c>
      <c r="M78" s="233" t="s">
        <v>690</v>
      </c>
      <c r="N78" s="233" t="s">
        <v>701</v>
      </c>
    </row>
    <row r="79" spans="1:22" s="36" customFormat="1" x14ac:dyDescent="0.4">
      <c r="A79" s="16">
        <v>140302</v>
      </c>
      <c r="B79" s="303">
        <v>45</v>
      </c>
      <c r="C79" s="16">
        <f>SUM(B79*5)</f>
        <v>225</v>
      </c>
      <c r="D79" s="303">
        <v>0</v>
      </c>
      <c r="E79" s="303">
        <v>0</v>
      </c>
      <c r="F79" s="303">
        <v>0</v>
      </c>
      <c r="G79" s="303">
        <v>0</v>
      </c>
      <c r="H79" s="303">
        <v>0</v>
      </c>
      <c r="I79" s="303">
        <v>0</v>
      </c>
      <c r="J79" s="26">
        <f t="shared" si="23"/>
        <v>0</v>
      </c>
      <c r="K79" s="26">
        <f t="shared" si="24"/>
        <v>0</v>
      </c>
      <c r="L79" s="303">
        <f t="shared" si="25"/>
        <v>0</v>
      </c>
      <c r="M79" s="303" t="s">
        <v>704</v>
      </c>
      <c r="N79" s="303" t="s">
        <v>705</v>
      </c>
    </row>
    <row r="80" spans="1:22" s="36" customFormat="1" x14ac:dyDescent="0.4">
      <c r="A80" s="16">
        <v>140303</v>
      </c>
      <c r="B80" s="82">
        <v>0</v>
      </c>
      <c r="C80" s="16">
        <v>0</v>
      </c>
      <c r="D80" s="82">
        <v>0</v>
      </c>
      <c r="E80" s="82">
        <v>0</v>
      </c>
      <c r="F80" s="82">
        <v>0</v>
      </c>
      <c r="G80" s="82">
        <v>0</v>
      </c>
      <c r="H80" s="82">
        <v>0</v>
      </c>
      <c r="I80" s="82">
        <v>0</v>
      </c>
      <c r="J80" s="26">
        <f t="shared" si="23"/>
        <v>0</v>
      </c>
      <c r="K80" s="26">
        <f t="shared" si="24"/>
        <v>0</v>
      </c>
      <c r="L80" s="82">
        <f t="shared" si="25"/>
        <v>0</v>
      </c>
      <c r="M80" s="82" t="s">
        <v>702</v>
      </c>
      <c r="N80" s="82" t="s">
        <v>703</v>
      </c>
      <c r="O80" s="16" t="s">
        <v>706</v>
      </c>
    </row>
    <row r="81" spans="1:19" s="36" customFormat="1" x14ac:dyDescent="0.4">
      <c r="A81" s="16">
        <v>140304</v>
      </c>
      <c r="B81" s="194">
        <v>60</v>
      </c>
      <c r="C81" s="16">
        <f>SUM(B81*5)</f>
        <v>300</v>
      </c>
      <c r="D81" s="194">
        <v>0</v>
      </c>
      <c r="E81" s="194">
        <v>0</v>
      </c>
      <c r="F81" s="194">
        <v>0</v>
      </c>
      <c r="G81" s="194">
        <v>0</v>
      </c>
      <c r="H81" s="194">
        <v>0</v>
      </c>
      <c r="I81" s="194">
        <v>0</v>
      </c>
      <c r="J81" s="26">
        <f t="shared" si="23"/>
        <v>0</v>
      </c>
      <c r="K81" s="26">
        <f t="shared" si="24"/>
        <v>0</v>
      </c>
      <c r="L81" s="194">
        <f t="shared" si="25"/>
        <v>0</v>
      </c>
      <c r="M81" s="194" t="s">
        <v>710</v>
      </c>
      <c r="N81" s="30" t="s">
        <v>711</v>
      </c>
    </row>
    <row r="82" spans="1:19" s="36" customFormat="1" x14ac:dyDescent="0.4">
      <c r="A82" s="16">
        <v>140305</v>
      </c>
      <c r="B82" s="194">
        <v>60</v>
      </c>
      <c r="C82" s="16">
        <f>SUM(B82*5)</f>
        <v>300</v>
      </c>
      <c r="D82" s="194">
        <v>0</v>
      </c>
      <c r="E82" s="194">
        <v>0</v>
      </c>
      <c r="F82" s="194">
        <v>0</v>
      </c>
      <c r="G82" s="194">
        <v>0</v>
      </c>
      <c r="H82" s="194">
        <v>0</v>
      </c>
      <c r="I82" s="194">
        <v>0</v>
      </c>
      <c r="J82" s="26">
        <f t="shared" si="23"/>
        <v>0</v>
      </c>
      <c r="K82" s="26">
        <f t="shared" si="24"/>
        <v>0</v>
      </c>
      <c r="L82" s="194">
        <f t="shared" si="25"/>
        <v>0</v>
      </c>
      <c r="M82" s="194" t="s">
        <v>732</v>
      </c>
      <c r="N82" s="30" t="s">
        <v>733</v>
      </c>
    </row>
    <row r="83" spans="1:19" s="36" customFormat="1" x14ac:dyDescent="0.4">
      <c r="A83" s="1">
        <v>140306</v>
      </c>
      <c r="B83" s="306">
        <v>0</v>
      </c>
      <c r="C83" s="1">
        <v>0</v>
      </c>
      <c r="D83" s="306">
        <v>1</v>
      </c>
      <c r="E83" s="306">
        <v>0</v>
      </c>
      <c r="F83" s="306">
        <v>0</v>
      </c>
      <c r="G83" s="306">
        <v>0</v>
      </c>
      <c r="H83" s="306">
        <v>0</v>
      </c>
      <c r="I83" s="306">
        <v>0</v>
      </c>
      <c r="J83" s="140">
        <f t="shared" si="23"/>
        <v>1</v>
      </c>
      <c r="K83" s="140">
        <f t="shared" si="24"/>
        <v>1</v>
      </c>
      <c r="L83" s="306">
        <f t="shared" ref="L83:L89" si="26">B83*K83</f>
        <v>0</v>
      </c>
      <c r="M83" s="306" t="s">
        <v>707</v>
      </c>
      <c r="N83" s="306" t="s">
        <v>708</v>
      </c>
      <c r="O83" s="1" t="s">
        <v>706</v>
      </c>
      <c r="P83" s="2032" t="s">
        <v>709</v>
      </c>
      <c r="Q83" s="2032"/>
      <c r="R83" s="2032"/>
      <c r="S83" s="2032"/>
    </row>
    <row r="84" spans="1:19" s="36" customFormat="1" x14ac:dyDescent="0.4">
      <c r="A84" s="16">
        <v>140307</v>
      </c>
      <c r="B84" s="184">
        <v>50</v>
      </c>
      <c r="C84" s="16">
        <f t="shared" ref="C84:C92" si="27">SUM(B84*5)</f>
        <v>250</v>
      </c>
      <c r="D84" s="184">
        <v>0</v>
      </c>
      <c r="E84" s="184">
        <v>0</v>
      </c>
      <c r="F84" s="184">
        <v>0</v>
      </c>
      <c r="G84" s="184">
        <v>0</v>
      </c>
      <c r="H84" s="184">
        <v>0</v>
      </c>
      <c r="I84" s="184">
        <v>0</v>
      </c>
      <c r="J84" s="26">
        <f t="shared" si="23"/>
        <v>0</v>
      </c>
      <c r="K84" s="26">
        <f t="shared" si="24"/>
        <v>0</v>
      </c>
      <c r="L84" s="184">
        <f t="shared" si="26"/>
        <v>0</v>
      </c>
      <c r="M84" s="184" t="s">
        <v>712</v>
      </c>
      <c r="N84" s="30" t="s">
        <v>713</v>
      </c>
    </row>
    <row r="85" spans="1:19" s="36" customFormat="1" x14ac:dyDescent="0.4">
      <c r="A85" s="1">
        <v>140308</v>
      </c>
      <c r="B85" s="308">
        <v>60</v>
      </c>
      <c r="C85" s="1">
        <f t="shared" si="27"/>
        <v>300</v>
      </c>
      <c r="D85" s="308">
        <v>1</v>
      </c>
      <c r="E85" s="308">
        <v>1</v>
      </c>
      <c r="F85" s="308">
        <v>1</v>
      </c>
      <c r="G85" s="308">
        <v>1</v>
      </c>
      <c r="H85" s="308">
        <v>1</v>
      </c>
      <c r="I85" s="308">
        <v>1</v>
      </c>
      <c r="J85" s="140">
        <f t="shared" si="23"/>
        <v>6</v>
      </c>
      <c r="K85" s="140">
        <f t="shared" si="24"/>
        <v>5</v>
      </c>
      <c r="L85" s="308">
        <f t="shared" si="26"/>
        <v>300</v>
      </c>
      <c r="M85" s="308" t="s">
        <v>714</v>
      </c>
      <c r="N85" s="308" t="s">
        <v>715</v>
      </c>
    </row>
    <row r="86" spans="1:19" s="36" customFormat="1" x14ac:dyDescent="0.4">
      <c r="A86" s="16">
        <v>140309</v>
      </c>
      <c r="B86" s="304">
        <v>45</v>
      </c>
      <c r="C86" s="16">
        <f t="shared" si="27"/>
        <v>225</v>
      </c>
      <c r="D86" s="304">
        <v>0</v>
      </c>
      <c r="E86" s="304">
        <v>0</v>
      </c>
      <c r="F86" s="304">
        <v>0</v>
      </c>
      <c r="G86" s="304">
        <v>0</v>
      </c>
      <c r="H86" s="304">
        <v>0</v>
      </c>
      <c r="I86" s="304">
        <v>0</v>
      </c>
      <c r="J86" s="26">
        <f t="shared" si="23"/>
        <v>0</v>
      </c>
      <c r="K86" s="26">
        <f t="shared" si="24"/>
        <v>0</v>
      </c>
      <c r="L86" s="304">
        <f t="shared" si="26"/>
        <v>0</v>
      </c>
      <c r="M86" s="304" t="s">
        <v>716</v>
      </c>
      <c r="N86" s="304" t="s">
        <v>717</v>
      </c>
    </row>
    <row r="87" spans="1:19" s="36" customFormat="1" x14ac:dyDescent="0.4">
      <c r="A87" s="1">
        <v>140310</v>
      </c>
      <c r="B87" s="308">
        <v>45</v>
      </c>
      <c r="C87" s="1">
        <f t="shared" si="27"/>
        <v>225</v>
      </c>
      <c r="D87" s="308">
        <v>0</v>
      </c>
      <c r="E87" s="308">
        <v>0</v>
      </c>
      <c r="F87" s="308">
        <v>0</v>
      </c>
      <c r="G87" s="308">
        <v>1</v>
      </c>
      <c r="H87" s="308">
        <v>1</v>
      </c>
      <c r="I87" s="308">
        <v>1</v>
      </c>
      <c r="J87" s="140">
        <f t="shared" si="23"/>
        <v>3</v>
      </c>
      <c r="K87" s="140">
        <f t="shared" si="24"/>
        <v>2</v>
      </c>
      <c r="L87" s="308">
        <f t="shared" si="26"/>
        <v>90</v>
      </c>
      <c r="M87" s="308" t="s">
        <v>716</v>
      </c>
      <c r="N87" s="308" t="s">
        <v>717</v>
      </c>
    </row>
    <row r="88" spans="1:19" s="36" customFormat="1" x14ac:dyDescent="0.4">
      <c r="A88" s="1">
        <v>140311</v>
      </c>
      <c r="B88" s="308">
        <v>45</v>
      </c>
      <c r="C88" s="1">
        <f t="shared" si="27"/>
        <v>225</v>
      </c>
      <c r="D88" s="308">
        <v>0</v>
      </c>
      <c r="E88" s="308">
        <v>0</v>
      </c>
      <c r="F88" s="308">
        <v>0</v>
      </c>
      <c r="G88" s="308">
        <v>0</v>
      </c>
      <c r="H88" s="308">
        <v>0</v>
      </c>
      <c r="I88" s="308">
        <v>1</v>
      </c>
      <c r="J88" s="140">
        <f t="shared" si="23"/>
        <v>1</v>
      </c>
      <c r="K88" s="140">
        <f t="shared" si="24"/>
        <v>0</v>
      </c>
      <c r="L88" s="308">
        <f t="shared" si="26"/>
        <v>0</v>
      </c>
      <c r="M88" s="308" t="s">
        <v>716</v>
      </c>
      <c r="N88" s="308" t="s">
        <v>717</v>
      </c>
      <c r="O88" s="2040"/>
      <c r="P88" s="2040"/>
      <c r="Q88" s="2040"/>
    </row>
    <row r="89" spans="1:19" s="36" customFormat="1" x14ac:dyDescent="0.4">
      <c r="A89" s="16">
        <v>140312</v>
      </c>
      <c r="B89" s="288">
        <v>50</v>
      </c>
      <c r="C89" s="16">
        <f t="shared" si="27"/>
        <v>250</v>
      </c>
      <c r="D89" s="288">
        <v>0</v>
      </c>
      <c r="E89" s="288">
        <v>0</v>
      </c>
      <c r="F89" s="288">
        <v>0</v>
      </c>
      <c r="G89" s="288">
        <v>0</v>
      </c>
      <c r="H89" s="288">
        <v>0</v>
      </c>
      <c r="I89" s="288">
        <v>0</v>
      </c>
      <c r="J89" s="26">
        <f t="shared" si="23"/>
        <v>0</v>
      </c>
      <c r="K89" s="26">
        <f t="shared" si="24"/>
        <v>0</v>
      </c>
      <c r="L89" s="288">
        <f t="shared" si="26"/>
        <v>0</v>
      </c>
      <c r="M89" s="288" t="s">
        <v>722</v>
      </c>
      <c r="N89" s="30" t="s">
        <v>723</v>
      </c>
      <c r="O89" s="2040"/>
      <c r="P89" s="2040"/>
      <c r="Q89" s="2040"/>
    </row>
    <row r="90" spans="1:19" s="36" customFormat="1" x14ac:dyDescent="0.4">
      <c r="A90" s="1">
        <v>140313</v>
      </c>
      <c r="B90" s="312">
        <v>50</v>
      </c>
      <c r="C90" s="1">
        <f t="shared" si="27"/>
        <v>250</v>
      </c>
      <c r="D90" s="312">
        <v>0</v>
      </c>
      <c r="E90" s="312">
        <v>0</v>
      </c>
      <c r="F90" s="312">
        <v>1</v>
      </c>
      <c r="G90" s="312">
        <v>1</v>
      </c>
      <c r="H90" s="312">
        <v>1</v>
      </c>
      <c r="I90" s="312">
        <v>1</v>
      </c>
      <c r="J90" s="140">
        <f t="shared" si="23"/>
        <v>4</v>
      </c>
      <c r="K90" s="140">
        <f t="shared" si="24"/>
        <v>3</v>
      </c>
      <c r="L90" s="312">
        <f>B90*K90</f>
        <v>150</v>
      </c>
      <c r="M90" s="312" t="s">
        <v>720</v>
      </c>
      <c r="N90" s="141" t="s">
        <v>721</v>
      </c>
    </row>
    <row r="91" spans="1:19" s="36" customFormat="1" x14ac:dyDescent="0.4">
      <c r="A91" s="16">
        <v>140314</v>
      </c>
      <c r="B91" s="92">
        <v>45</v>
      </c>
      <c r="C91" s="16">
        <f t="shared" si="27"/>
        <v>225</v>
      </c>
      <c r="D91" s="92">
        <v>0</v>
      </c>
      <c r="E91" s="92">
        <v>0</v>
      </c>
      <c r="F91" s="92">
        <v>0</v>
      </c>
      <c r="G91" s="92">
        <v>0</v>
      </c>
      <c r="H91" s="92">
        <v>0</v>
      </c>
      <c r="I91" s="92">
        <v>0</v>
      </c>
      <c r="J91" s="26">
        <f t="shared" si="23"/>
        <v>0</v>
      </c>
      <c r="K91" s="26">
        <f t="shared" si="24"/>
        <v>0</v>
      </c>
      <c r="L91" s="92">
        <f>B91*K91</f>
        <v>0</v>
      </c>
      <c r="M91" s="92" t="s">
        <v>718</v>
      </c>
      <c r="N91" s="92" t="s">
        <v>719</v>
      </c>
    </row>
    <row r="92" spans="1:19" s="36" customFormat="1" x14ac:dyDescent="0.4">
      <c r="A92" s="1">
        <v>140315</v>
      </c>
      <c r="B92" s="312">
        <v>45</v>
      </c>
      <c r="C92" s="1">
        <f t="shared" si="27"/>
        <v>225</v>
      </c>
      <c r="D92" s="312">
        <v>0</v>
      </c>
      <c r="E92" s="312">
        <v>1</v>
      </c>
      <c r="F92" s="312">
        <v>1</v>
      </c>
      <c r="G92" s="312">
        <v>1</v>
      </c>
      <c r="H92" s="312">
        <v>1</v>
      </c>
      <c r="I92" s="312">
        <v>1</v>
      </c>
      <c r="J92" s="140">
        <f t="shared" si="23"/>
        <v>5</v>
      </c>
      <c r="K92" s="140">
        <f t="shared" si="24"/>
        <v>4</v>
      </c>
      <c r="L92" s="312">
        <f>B92*K92</f>
        <v>180</v>
      </c>
      <c r="M92" s="312" t="s">
        <v>718</v>
      </c>
      <c r="N92" s="312" t="s">
        <v>719</v>
      </c>
    </row>
    <row r="93" spans="1:19" s="36" customFormat="1" x14ac:dyDescent="0.4">
      <c r="A93" s="22">
        <v>140316</v>
      </c>
      <c r="B93" s="23"/>
      <c r="C93" s="22"/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4"/>
      <c r="K93" s="24"/>
      <c r="L93" s="23"/>
      <c r="M93" s="23" t="s">
        <v>737</v>
      </c>
      <c r="N93" s="29"/>
      <c r="O93" s="22" t="s">
        <v>726</v>
      </c>
      <c r="P93" s="22" t="s">
        <v>727</v>
      </c>
      <c r="Q93" s="22"/>
      <c r="R93" s="22" t="s">
        <v>729</v>
      </c>
    </row>
    <row r="94" spans="1:19" s="36" customFormat="1" x14ac:dyDescent="0.4">
      <c r="B94" s="71"/>
      <c r="D94" s="71">
        <v>0</v>
      </c>
      <c r="E94" s="71">
        <v>0</v>
      </c>
      <c r="F94" s="71">
        <v>1</v>
      </c>
      <c r="G94" s="71">
        <v>1</v>
      </c>
      <c r="H94" s="71"/>
      <c r="I94" s="71"/>
      <c r="J94" s="38"/>
      <c r="K94" s="38"/>
      <c r="L94" s="71"/>
      <c r="M94" s="71" t="s">
        <v>724</v>
      </c>
      <c r="N94" s="71" t="s">
        <v>725</v>
      </c>
      <c r="P94" s="36" t="s">
        <v>728</v>
      </c>
    </row>
    <row r="95" spans="1:19" s="36" customFormat="1" x14ac:dyDescent="0.4">
      <c r="A95" s="1">
        <v>140317</v>
      </c>
      <c r="B95" s="316">
        <v>45</v>
      </c>
      <c r="C95" s="1">
        <f>SUM(B95*5)</f>
        <v>225</v>
      </c>
      <c r="D95" s="316">
        <v>0</v>
      </c>
      <c r="E95" s="316">
        <v>0</v>
      </c>
      <c r="F95" s="316">
        <v>0</v>
      </c>
      <c r="G95" s="316">
        <v>0</v>
      </c>
      <c r="H95" s="316">
        <v>0</v>
      </c>
      <c r="I95" s="316">
        <v>1</v>
      </c>
      <c r="J95" s="140">
        <f t="shared" ref="J95:J104" si="28">SUM(D95:I95)</f>
        <v>1</v>
      </c>
      <c r="K95" s="140">
        <f t="shared" ref="K95:K104" si="29">SUM(D95:H95)</f>
        <v>0</v>
      </c>
      <c r="L95" s="316">
        <f t="shared" ref="L95:L104" si="30">B95*K95</f>
        <v>0</v>
      </c>
      <c r="M95" s="316" t="s">
        <v>730</v>
      </c>
      <c r="N95" s="316" t="s">
        <v>731</v>
      </c>
    </row>
    <row r="96" spans="1:19" s="36" customFormat="1" x14ac:dyDescent="0.4">
      <c r="A96" s="1">
        <v>140318</v>
      </c>
      <c r="B96" s="316">
        <v>30</v>
      </c>
      <c r="C96" s="1">
        <f>SUM(B96*1)</f>
        <v>30</v>
      </c>
      <c r="D96" s="316">
        <v>1</v>
      </c>
      <c r="E96" s="316">
        <v>0</v>
      </c>
      <c r="F96" s="316">
        <v>0</v>
      </c>
      <c r="G96" s="316">
        <v>0</v>
      </c>
      <c r="H96" s="316">
        <v>0</v>
      </c>
      <c r="I96" s="316">
        <v>0</v>
      </c>
      <c r="J96" s="140">
        <f t="shared" si="28"/>
        <v>1</v>
      </c>
      <c r="K96" s="140">
        <f t="shared" si="29"/>
        <v>1</v>
      </c>
      <c r="L96" s="316">
        <f t="shared" si="30"/>
        <v>30</v>
      </c>
      <c r="M96" s="316" t="s">
        <v>734</v>
      </c>
      <c r="N96" s="316" t="s">
        <v>735</v>
      </c>
      <c r="O96" s="36" t="s">
        <v>736</v>
      </c>
    </row>
    <row r="97" spans="1:15" s="36" customFormat="1" x14ac:dyDescent="0.4">
      <c r="A97" s="1">
        <v>140319</v>
      </c>
      <c r="B97" s="316">
        <v>30</v>
      </c>
      <c r="C97" s="1">
        <f>SUM(B97*1)</f>
        <v>30</v>
      </c>
      <c r="D97" s="316">
        <v>1</v>
      </c>
      <c r="E97" s="316">
        <v>0</v>
      </c>
      <c r="F97" s="316">
        <v>0</v>
      </c>
      <c r="G97" s="316">
        <v>0</v>
      </c>
      <c r="H97" s="316">
        <v>0</v>
      </c>
      <c r="I97" s="316">
        <v>0</v>
      </c>
      <c r="J97" s="140">
        <f t="shared" si="28"/>
        <v>1</v>
      </c>
      <c r="K97" s="140">
        <f t="shared" si="29"/>
        <v>1</v>
      </c>
      <c r="L97" s="316">
        <f t="shared" si="30"/>
        <v>30</v>
      </c>
      <c r="M97" s="316" t="s">
        <v>734</v>
      </c>
      <c r="N97" s="316" t="s">
        <v>735</v>
      </c>
      <c r="O97" s="36" t="s">
        <v>736</v>
      </c>
    </row>
    <row r="98" spans="1:15" s="36" customFormat="1" x14ac:dyDescent="0.4">
      <c r="A98" s="1">
        <v>140320</v>
      </c>
      <c r="B98" s="316">
        <v>30</v>
      </c>
      <c r="C98" s="1">
        <f>SUM(B98*1)</f>
        <v>30</v>
      </c>
      <c r="D98" s="316">
        <v>1</v>
      </c>
      <c r="E98" s="316">
        <v>0</v>
      </c>
      <c r="F98" s="316">
        <v>0</v>
      </c>
      <c r="G98" s="316">
        <v>0</v>
      </c>
      <c r="H98" s="316">
        <v>0</v>
      </c>
      <c r="I98" s="316">
        <v>0</v>
      </c>
      <c r="J98" s="140">
        <f t="shared" si="28"/>
        <v>1</v>
      </c>
      <c r="K98" s="140">
        <f t="shared" si="29"/>
        <v>1</v>
      </c>
      <c r="L98" s="316">
        <f t="shared" si="30"/>
        <v>30</v>
      </c>
      <c r="M98" s="316" t="s">
        <v>734</v>
      </c>
      <c r="N98" s="316" t="s">
        <v>735</v>
      </c>
      <c r="O98" s="36" t="s">
        <v>736</v>
      </c>
    </row>
    <row r="99" spans="1:15" s="36" customFormat="1" x14ac:dyDescent="0.4">
      <c r="A99" s="16">
        <v>140321</v>
      </c>
      <c r="B99" s="112">
        <v>120</v>
      </c>
      <c r="C99" s="16">
        <f t="shared" ref="C99:C104" si="31">SUM(B99*5)</f>
        <v>600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26">
        <f t="shared" si="28"/>
        <v>0</v>
      </c>
      <c r="K99" s="26">
        <f t="shared" si="29"/>
        <v>0</v>
      </c>
      <c r="L99" s="112">
        <f t="shared" si="30"/>
        <v>0</v>
      </c>
      <c r="M99" s="112" t="s">
        <v>738</v>
      </c>
      <c r="N99" s="112" t="s">
        <v>739</v>
      </c>
    </row>
    <row r="100" spans="1:15" s="36" customFormat="1" x14ac:dyDescent="0.4">
      <c r="A100" s="16">
        <v>140322</v>
      </c>
      <c r="B100" s="108">
        <v>45</v>
      </c>
      <c r="C100" s="16">
        <f t="shared" si="31"/>
        <v>225</v>
      </c>
      <c r="D100" s="108">
        <v>0</v>
      </c>
      <c r="E100" s="108">
        <v>0</v>
      </c>
      <c r="F100" s="108">
        <v>0</v>
      </c>
      <c r="G100" s="108">
        <v>0</v>
      </c>
      <c r="H100" s="108">
        <v>0</v>
      </c>
      <c r="I100" s="108">
        <v>0</v>
      </c>
      <c r="J100" s="26">
        <f t="shared" si="28"/>
        <v>0</v>
      </c>
      <c r="K100" s="26">
        <f t="shared" si="29"/>
        <v>0</v>
      </c>
      <c r="L100" s="108">
        <f t="shared" si="30"/>
        <v>0</v>
      </c>
      <c r="M100" s="108" t="s">
        <v>738</v>
      </c>
      <c r="N100" s="108" t="s">
        <v>739</v>
      </c>
    </row>
    <row r="101" spans="1:15" s="36" customFormat="1" x14ac:dyDescent="0.4">
      <c r="A101" s="16">
        <v>140323</v>
      </c>
      <c r="B101" s="111">
        <v>60</v>
      </c>
      <c r="C101" s="16">
        <f t="shared" si="31"/>
        <v>300</v>
      </c>
      <c r="D101" s="111">
        <v>0</v>
      </c>
      <c r="E101" s="111">
        <v>0</v>
      </c>
      <c r="F101" s="111">
        <v>0</v>
      </c>
      <c r="G101" s="111">
        <v>0</v>
      </c>
      <c r="H101" s="111">
        <v>0</v>
      </c>
      <c r="I101" s="111">
        <v>0</v>
      </c>
      <c r="J101" s="26">
        <f t="shared" si="28"/>
        <v>0</v>
      </c>
      <c r="K101" s="26">
        <f t="shared" si="29"/>
        <v>0</v>
      </c>
      <c r="L101" s="111">
        <f t="shared" si="30"/>
        <v>0</v>
      </c>
      <c r="M101" s="111" t="s">
        <v>740</v>
      </c>
      <c r="N101" s="111" t="s">
        <v>741</v>
      </c>
    </row>
    <row r="102" spans="1:15" s="36" customFormat="1" x14ac:dyDescent="0.4">
      <c r="A102" s="1">
        <v>140324</v>
      </c>
      <c r="B102" s="318">
        <v>45</v>
      </c>
      <c r="C102" s="1">
        <f t="shared" si="31"/>
        <v>225</v>
      </c>
      <c r="D102" s="318">
        <v>0</v>
      </c>
      <c r="E102" s="318">
        <v>0</v>
      </c>
      <c r="F102" s="318">
        <v>0</v>
      </c>
      <c r="G102" s="318">
        <v>0</v>
      </c>
      <c r="H102" s="318">
        <v>0</v>
      </c>
      <c r="I102" s="318">
        <v>1</v>
      </c>
      <c r="J102" s="140">
        <f t="shared" si="28"/>
        <v>1</v>
      </c>
      <c r="K102" s="140">
        <f t="shared" si="29"/>
        <v>0</v>
      </c>
      <c r="L102" s="318">
        <f t="shared" si="30"/>
        <v>0</v>
      </c>
      <c r="M102" s="318" t="s">
        <v>744</v>
      </c>
      <c r="N102" s="318" t="s">
        <v>743</v>
      </c>
    </row>
    <row r="103" spans="1:15" s="36" customFormat="1" x14ac:dyDescent="0.4">
      <c r="A103" s="1">
        <v>140325</v>
      </c>
      <c r="B103" s="318">
        <v>45</v>
      </c>
      <c r="C103" s="1">
        <f t="shared" si="31"/>
        <v>225</v>
      </c>
      <c r="D103" s="318">
        <v>0</v>
      </c>
      <c r="E103" s="318">
        <v>1</v>
      </c>
      <c r="F103" s="318">
        <v>1</v>
      </c>
      <c r="G103" s="318">
        <v>1</v>
      </c>
      <c r="H103" s="318">
        <v>1</v>
      </c>
      <c r="I103" s="318">
        <v>1</v>
      </c>
      <c r="J103" s="140">
        <f t="shared" si="28"/>
        <v>5</v>
      </c>
      <c r="K103" s="140">
        <f t="shared" si="29"/>
        <v>4</v>
      </c>
      <c r="L103" s="318">
        <f t="shared" si="30"/>
        <v>180</v>
      </c>
      <c r="M103" s="318" t="s">
        <v>744</v>
      </c>
      <c r="N103" s="318" t="s">
        <v>743</v>
      </c>
    </row>
    <row r="104" spans="1:15" s="36" customFormat="1" x14ac:dyDescent="0.4">
      <c r="A104" s="16">
        <v>140326</v>
      </c>
      <c r="B104" s="105">
        <v>45</v>
      </c>
      <c r="C104" s="16">
        <f t="shared" si="31"/>
        <v>225</v>
      </c>
      <c r="D104" s="105">
        <v>0</v>
      </c>
      <c r="E104" s="105">
        <v>0</v>
      </c>
      <c r="F104" s="105">
        <v>0</v>
      </c>
      <c r="G104" s="105">
        <v>0</v>
      </c>
      <c r="H104" s="105">
        <v>0</v>
      </c>
      <c r="I104" s="105">
        <v>0</v>
      </c>
      <c r="J104" s="26">
        <f t="shared" si="28"/>
        <v>0</v>
      </c>
      <c r="K104" s="26">
        <f t="shared" si="29"/>
        <v>0</v>
      </c>
      <c r="L104" s="105">
        <f t="shared" si="30"/>
        <v>0</v>
      </c>
      <c r="M104" s="105" t="s">
        <v>745</v>
      </c>
      <c r="N104" s="105" t="s">
        <v>746</v>
      </c>
    </row>
    <row r="105" spans="1:15" s="36" customFormat="1" x14ac:dyDescent="0.4">
      <c r="A105" s="1">
        <v>140327</v>
      </c>
      <c r="B105" s="318">
        <v>90</v>
      </c>
      <c r="C105" s="1">
        <f t="shared" ref="C105:C139" si="32">SUM(B105*5)</f>
        <v>450</v>
      </c>
      <c r="D105" s="318">
        <v>0</v>
      </c>
      <c r="E105" s="318">
        <v>0</v>
      </c>
      <c r="F105" s="318">
        <v>0</v>
      </c>
      <c r="G105" s="318">
        <v>0</v>
      </c>
      <c r="H105" s="318">
        <v>0</v>
      </c>
      <c r="I105" s="318">
        <v>0</v>
      </c>
      <c r="J105" s="140">
        <f t="shared" ref="J105:J139" si="33">SUM(D105:I105)</f>
        <v>0</v>
      </c>
      <c r="K105" s="140">
        <f t="shared" ref="K105:K139" si="34">SUM(D105:H105)</f>
        <v>0</v>
      </c>
      <c r="L105" s="318">
        <f t="shared" ref="L105:L139" si="35">B105*K105</f>
        <v>0</v>
      </c>
      <c r="M105" s="318" t="s">
        <v>747</v>
      </c>
      <c r="N105" s="318" t="s">
        <v>748</v>
      </c>
    </row>
    <row r="106" spans="1:15" s="36" customFormat="1" x14ac:dyDescent="0.4">
      <c r="A106" s="1">
        <v>140328</v>
      </c>
      <c r="B106" s="318">
        <v>0</v>
      </c>
      <c r="C106" s="1">
        <f t="shared" si="32"/>
        <v>0</v>
      </c>
      <c r="D106" s="318">
        <v>0</v>
      </c>
      <c r="E106" s="318">
        <v>0</v>
      </c>
      <c r="F106" s="318">
        <v>0</v>
      </c>
      <c r="G106" s="318">
        <v>0</v>
      </c>
      <c r="H106" s="318">
        <v>1</v>
      </c>
      <c r="I106" s="318">
        <v>1</v>
      </c>
      <c r="J106" s="140">
        <f t="shared" si="33"/>
        <v>2</v>
      </c>
      <c r="K106" s="140">
        <f t="shared" si="34"/>
        <v>1</v>
      </c>
      <c r="L106" s="318">
        <f t="shared" si="35"/>
        <v>0</v>
      </c>
      <c r="M106" s="318"/>
      <c r="N106" s="141"/>
      <c r="O106" s="36" t="s">
        <v>933</v>
      </c>
    </row>
    <row r="107" spans="1:15" s="36" customFormat="1" x14ac:dyDescent="0.4">
      <c r="A107" s="16">
        <v>140329</v>
      </c>
      <c r="B107" s="238">
        <v>45</v>
      </c>
      <c r="C107" s="16">
        <f>SUM(B107*5)</f>
        <v>225</v>
      </c>
      <c r="D107" s="238">
        <v>0</v>
      </c>
      <c r="E107" s="238">
        <v>0</v>
      </c>
      <c r="F107" s="238">
        <v>0</v>
      </c>
      <c r="G107" s="238">
        <v>0</v>
      </c>
      <c r="H107" s="238">
        <v>0</v>
      </c>
      <c r="I107" s="238">
        <v>0</v>
      </c>
      <c r="J107" s="26">
        <f t="shared" si="33"/>
        <v>0</v>
      </c>
      <c r="K107" s="26">
        <f t="shared" si="34"/>
        <v>0</v>
      </c>
      <c r="L107" s="238">
        <f t="shared" si="35"/>
        <v>0</v>
      </c>
      <c r="M107" s="238" t="s">
        <v>749</v>
      </c>
      <c r="N107" s="238" t="s">
        <v>750</v>
      </c>
    </row>
    <row r="108" spans="1:15" s="36" customFormat="1" x14ac:dyDescent="0.4">
      <c r="A108" s="1">
        <v>140330</v>
      </c>
      <c r="B108" s="327">
        <v>50</v>
      </c>
      <c r="C108" s="1">
        <f t="shared" si="32"/>
        <v>250</v>
      </c>
      <c r="D108" s="327">
        <v>0</v>
      </c>
      <c r="E108" s="327">
        <v>0</v>
      </c>
      <c r="F108" s="327">
        <v>0</v>
      </c>
      <c r="G108" s="327">
        <v>0</v>
      </c>
      <c r="H108" s="327">
        <v>0</v>
      </c>
      <c r="I108" s="327">
        <v>1</v>
      </c>
      <c r="J108" s="140">
        <f t="shared" si="33"/>
        <v>1</v>
      </c>
      <c r="K108" s="140">
        <f t="shared" si="34"/>
        <v>0</v>
      </c>
      <c r="L108" s="327">
        <f t="shared" si="35"/>
        <v>0</v>
      </c>
      <c r="M108" s="327" t="s">
        <v>751</v>
      </c>
      <c r="N108" s="327" t="s">
        <v>752</v>
      </c>
    </row>
    <row r="109" spans="1:15" s="36" customFormat="1" x14ac:dyDescent="0.4">
      <c r="A109" s="1">
        <v>140331</v>
      </c>
      <c r="B109" s="327">
        <v>45</v>
      </c>
      <c r="C109" s="1">
        <f t="shared" si="32"/>
        <v>225</v>
      </c>
      <c r="D109" s="327">
        <v>0</v>
      </c>
      <c r="E109" s="327">
        <v>0</v>
      </c>
      <c r="F109" s="327">
        <v>0</v>
      </c>
      <c r="G109" s="327">
        <v>0</v>
      </c>
      <c r="H109" s="327">
        <v>1</v>
      </c>
      <c r="I109" s="327">
        <v>1</v>
      </c>
      <c r="J109" s="140">
        <f t="shared" si="33"/>
        <v>2</v>
      </c>
      <c r="K109" s="140">
        <f t="shared" si="34"/>
        <v>1</v>
      </c>
      <c r="L109" s="327">
        <f t="shared" si="35"/>
        <v>45</v>
      </c>
      <c r="M109" s="327" t="s">
        <v>753</v>
      </c>
      <c r="N109" s="327" t="s">
        <v>754</v>
      </c>
    </row>
    <row r="110" spans="1:15" s="36" customFormat="1" x14ac:dyDescent="0.4">
      <c r="A110" s="1">
        <v>140332</v>
      </c>
      <c r="B110" s="328">
        <v>45</v>
      </c>
      <c r="C110" s="1">
        <f t="shared" si="32"/>
        <v>225</v>
      </c>
      <c r="D110" s="328">
        <v>0</v>
      </c>
      <c r="E110" s="328">
        <v>0</v>
      </c>
      <c r="F110" s="328">
        <v>0</v>
      </c>
      <c r="G110" s="328">
        <v>0</v>
      </c>
      <c r="H110" s="328">
        <v>0</v>
      </c>
      <c r="I110" s="328">
        <v>1</v>
      </c>
      <c r="J110" s="140">
        <f t="shared" si="33"/>
        <v>1</v>
      </c>
      <c r="K110" s="140">
        <f t="shared" si="34"/>
        <v>0</v>
      </c>
      <c r="L110" s="328">
        <f t="shared" si="35"/>
        <v>0</v>
      </c>
      <c r="M110" s="328" t="s">
        <v>755</v>
      </c>
      <c r="N110" s="328" t="s">
        <v>756</v>
      </c>
    </row>
    <row r="111" spans="1:15" s="36" customFormat="1" x14ac:dyDescent="0.4">
      <c r="A111" s="16">
        <v>140333</v>
      </c>
      <c r="B111" s="163">
        <v>45</v>
      </c>
      <c r="C111" s="16">
        <f t="shared" si="32"/>
        <v>225</v>
      </c>
      <c r="D111" s="163">
        <v>0</v>
      </c>
      <c r="E111" s="163">
        <v>0</v>
      </c>
      <c r="F111" s="163">
        <v>0</v>
      </c>
      <c r="G111" s="163">
        <v>0</v>
      </c>
      <c r="H111" s="163">
        <v>0</v>
      </c>
      <c r="I111" s="163">
        <v>0</v>
      </c>
      <c r="J111" s="26">
        <f t="shared" si="33"/>
        <v>0</v>
      </c>
      <c r="K111" s="26">
        <f t="shared" si="34"/>
        <v>0</v>
      </c>
      <c r="L111" s="163">
        <f t="shared" si="35"/>
        <v>0</v>
      </c>
      <c r="M111" s="163" t="s">
        <v>757</v>
      </c>
      <c r="N111" s="163" t="s">
        <v>758</v>
      </c>
    </row>
    <row r="112" spans="1:15" s="36" customFormat="1" x14ac:dyDescent="0.4">
      <c r="A112" s="1">
        <v>140334</v>
      </c>
      <c r="B112" s="328">
        <v>45</v>
      </c>
      <c r="C112" s="1">
        <f t="shared" si="32"/>
        <v>225</v>
      </c>
      <c r="D112" s="328">
        <v>0</v>
      </c>
      <c r="E112" s="328">
        <v>0</v>
      </c>
      <c r="F112" s="328">
        <v>1</v>
      </c>
      <c r="G112" s="328">
        <v>1</v>
      </c>
      <c r="H112" s="328">
        <v>1</v>
      </c>
      <c r="I112" s="328">
        <v>1</v>
      </c>
      <c r="J112" s="140">
        <f t="shared" si="33"/>
        <v>4</v>
      </c>
      <c r="K112" s="140">
        <f t="shared" si="34"/>
        <v>3</v>
      </c>
      <c r="L112" s="328">
        <f t="shared" si="35"/>
        <v>135</v>
      </c>
      <c r="M112" s="328" t="s">
        <v>757</v>
      </c>
      <c r="N112" s="328" t="s">
        <v>758</v>
      </c>
    </row>
    <row r="113" spans="1:26" s="36" customFormat="1" x14ac:dyDescent="0.4">
      <c r="A113" s="16">
        <v>140335</v>
      </c>
      <c r="B113" s="146">
        <v>45</v>
      </c>
      <c r="C113" s="16">
        <f t="shared" si="32"/>
        <v>225</v>
      </c>
      <c r="D113" s="146">
        <v>0</v>
      </c>
      <c r="E113" s="146">
        <v>0</v>
      </c>
      <c r="F113" s="146">
        <v>0</v>
      </c>
      <c r="G113" s="146">
        <v>0</v>
      </c>
      <c r="H113" s="146">
        <v>0</v>
      </c>
      <c r="I113" s="146">
        <v>0</v>
      </c>
      <c r="J113" s="26">
        <f t="shared" si="33"/>
        <v>0</v>
      </c>
      <c r="K113" s="26">
        <f t="shared" si="34"/>
        <v>0</v>
      </c>
      <c r="L113" s="146">
        <f t="shared" si="35"/>
        <v>0</v>
      </c>
      <c r="M113" s="146" t="s">
        <v>761</v>
      </c>
      <c r="N113" s="146" t="s">
        <v>762</v>
      </c>
      <c r="U113" s="36" t="s">
        <v>790</v>
      </c>
    </row>
    <row r="114" spans="1:26" s="36" customFormat="1" x14ac:dyDescent="0.4">
      <c r="A114" s="1">
        <v>140336</v>
      </c>
      <c r="B114" s="330">
        <v>60</v>
      </c>
      <c r="C114" s="1">
        <f t="shared" si="32"/>
        <v>300</v>
      </c>
      <c r="D114" s="330">
        <v>0</v>
      </c>
      <c r="E114" s="330">
        <v>0</v>
      </c>
      <c r="F114" s="330">
        <v>0</v>
      </c>
      <c r="G114" s="330">
        <v>0</v>
      </c>
      <c r="H114" s="330">
        <v>0</v>
      </c>
      <c r="I114" s="330">
        <v>1</v>
      </c>
      <c r="J114" s="140">
        <f t="shared" si="33"/>
        <v>1</v>
      </c>
      <c r="K114" s="140">
        <f t="shared" si="34"/>
        <v>0</v>
      </c>
      <c r="L114" s="330">
        <f t="shared" si="35"/>
        <v>0</v>
      </c>
      <c r="M114" s="330" t="s">
        <v>761</v>
      </c>
      <c r="N114" s="330" t="s">
        <v>762</v>
      </c>
    </row>
    <row r="115" spans="1:26" s="36" customFormat="1" x14ac:dyDescent="0.4">
      <c r="A115" s="1">
        <v>140337</v>
      </c>
      <c r="B115" s="330">
        <v>60</v>
      </c>
      <c r="C115" s="1">
        <f t="shared" si="32"/>
        <v>300</v>
      </c>
      <c r="D115" s="330">
        <v>0</v>
      </c>
      <c r="E115" s="330">
        <v>0</v>
      </c>
      <c r="F115" s="330">
        <v>0</v>
      </c>
      <c r="G115" s="330">
        <v>0</v>
      </c>
      <c r="H115" s="330">
        <v>0</v>
      </c>
      <c r="I115" s="330">
        <v>1</v>
      </c>
      <c r="J115" s="140">
        <f t="shared" si="33"/>
        <v>1</v>
      </c>
      <c r="K115" s="140">
        <f t="shared" si="34"/>
        <v>0</v>
      </c>
      <c r="L115" s="330">
        <f t="shared" si="35"/>
        <v>0</v>
      </c>
      <c r="M115" s="330" t="s">
        <v>767</v>
      </c>
      <c r="N115" s="330" t="s">
        <v>768</v>
      </c>
    </row>
    <row r="116" spans="1:26" s="36" customFormat="1" x14ac:dyDescent="0.4">
      <c r="A116" s="16">
        <v>140338</v>
      </c>
      <c r="B116" s="93">
        <v>45</v>
      </c>
      <c r="C116" s="16">
        <f t="shared" si="32"/>
        <v>225</v>
      </c>
      <c r="D116" s="93">
        <v>0</v>
      </c>
      <c r="E116" s="93">
        <v>0</v>
      </c>
      <c r="F116" s="93">
        <v>0</v>
      </c>
      <c r="G116" s="93">
        <v>0</v>
      </c>
      <c r="H116" s="93">
        <v>0</v>
      </c>
      <c r="I116" s="93">
        <v>0</v>
      </c>
      <c r="J116" s="26">
        <f t="shared" si="33"/>
        <v>0</v>
      </c>
      <c r="K116" s="26">
        <f t="shared" si="34"/>
        <v>0</v>
      </c>
      <c r="L116" s="93">
        <f t="shared" si="35"/>
        <v>0</v>
      </c>
      <c r="M116" s="93" t="s">
        <v>767</v>
      </c>
      <c r="N116" s="93" t="s">
        <v>768</v>
      </c>
    </row>
    <row r="117" spans="1:26" s="36" customFormat="1" x14ac:dyDescent="0.4">
      <c r="A117" s="16">
        <v>140339</v>
      </c>
      <c r="B117" s="134">
        <v>45</v>
      </c>
      <c r="C117" s="16">
        <f t="shared" si="32"/>
        <v>225</v>
      </c>
      <c r="D117" s="134">
        <v>0</v>
      </c>
      <c r="E117" s="134">
        <v>0</v>
      </c>
      <c r="F117" s="134">
        <v>0</v>
      </c>
      <c r="G117" s="134">
        <v>0</v>
      </c>
      <c r="H117" s="134">
        <v>0</v>
      </c>
      <c r="I117" s="134">
        <v>0</v>
      </c>
      <c r="J117" s="26">
        <f t="shared" si="33"/>
        <v>0</v>
      </c>
      <c r="K117" s="26">
        <f t="shared" si="34"/>
        <v>0</v>
      </c>
      <c r="L117" s="134">
        <f t="shared" si="35"/>
        <v>0</v>
      </c>
      <c r="M117" s="134" t="s">
        <v>769</v>
      </c>
      <c r="N117" s="134" t="s">
        <v>770</v>
      </c>
    </row>
    <row r="118" spans="1:26" s="36" customFormat="1" x14ac:dyDescent="0.4">
      <c r="A118" s="16">
        <v>140340</v>
      </c>
      <c r="B118" s="238">
        <v>50</v>
      </c>
      <c r="C118" s="16">
        <f t="shared" si="32"/>
        <v>250</v>
      </c>
      <c r="D118" s="238">
        <v>0</v>
      </c>
      <c r="E118" s="238">
        <v>0</v>
      </c>
      <c r="F118" s="238">
        <v>0</v>
      </c>
      <c r="G118" s="238">
        <v>0</v>
      </c>
      <c r="H118" s="238">
        <v>0</v>
      </c>
      <c r="I118" s="238">
        <v>0</v>
      </c>
      <c r="J118" s="26">
        <f t="shared" si="33"/>
        <v>0</v>
      </c>
      <c r="K118" s="26">
        <f t="shared" si="34"/>
        <v>0</v>
      </c>
      <c r="L118" s="238">
        <f t="shared" si="35"/>
        <v>0</v>
      </c>
      <c r="M118" s="238" t="s">
        <v>769</v>
      </c>
      <c r="N118" s="238" t="s">
        <v>770</v>
      </c>
    </row>
    <row r="119" spans="1:26" s="36" customFormat="1" x14ac:dyDescent="0.4">
      <c r="A119" s="22">
        <v>140341</v>
      </c>
      <c r="B119" s="23">
        <v>45</v>
      </c>
      <c r="C119" s="22">
        <f t="shared" si="32"/>
        <v>225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4">
        <f t="shared" si="33"/>
        <v>0</v>
      </c>
      <c r="K119" s="24">
        <f t="shared" si="34"/>
        <v>0</v>
      </c>
      <c r="L119" s="23">
        <f t="shared" si="35"/>
        <v>0</v>
      </c>
      <c r="M119" s="23" t="s">
        <v>769</v>
      </c>
      <c r="N119" s="23" t="s">
        <v>770</v>
      </c>
    </row>
    <row r="120" spans="1:26" s="36" customFormat="1" x14ac:dyDescent="0.4">
      <c r="A120" s="16">
        <v>140342</v>
      </c>
      <c r="B120" s="192">
        <v>90</v>
      </c>
      <c r="C120" s="16">
        <f t="shared" si="32"/>
        <v>450</v>
      </c>
      <c r="D120" s="192">
        <v>0</v>
      </c>
      <c r="E120" s="192">
        <v>0</v>
      </c>
      <c r="F120" s="192">
        <v>0</v>
      </c>
      <c r="G120" s="192">
        <v>0</v>
      </c>
      <c r="H120" s="192">
        <v>0</v>
      </c>
      <c r="I120" s="192">
        <v>0</v>
      </c>
      <c r="J120" s="26">
        <f t="shared" si="33"/>
        <v>0</v>
      </c>
      <c r="K120" s="26">
        <f t="shared" si="34"/>
        <v>0</v>
      </c>
      <c r="L120" s="192">
        <f t="shared" si="35"/>
        <v>0</v>
      </c>
      <c r="M120" s="192" t="s">
        <v>769</v>
      </c>
      <c r="N120" s="192" t="s">
        <v>770</v>
      </c>
    </row>
    <row r="121" spans="1:26" s="36" customFormat="1" x14ac:dyDescent="0.4">
      <c r="A121" s="16">
        <v>140343</v>
      </c>
      <c r="B121" s="119">
        <v>60</v>
      </c>
      <c r="C121" s="16">
        <f t="shared" si="32"/>
        <v>300</v>
      </c>
      <c r="D121" s="119">
        <v>0</v>
      </c>
      <c r="E121" s="119">
        <v>0</v>
      </c>
      <c r="F121" s="119">
        <v>0</v>
      </c>
      <c r="G121" s="119">
        <v>0</v>
      </c>
      <c r="H121" s="119">
        <v>0</v>
      </c>
      <c r="I121" s="119">
        <v>0</v>
      </c>
      <c r="J121" s="26">
        <f t="shared" si="33"/>
        <v>0</v>
      </c>
      <c r="K121" s="26">
        <f t="shared" si="34"/>
        <v>0</v>
      </c>
      <c r="L121" s="119">
        <f t="shared" si="35"/>
        <v>0</v>
      </c>
      <c r="M121" s="119" t="s">
        <v>771</v>
      </c>
      <c r="N121" s="119" t="s">
        <v>772</v>
      </c>
    </row>
    <row r="122" spans="1:26" s="36" customFormat="1" x14ac:dyDescent="0.4">
      <c r="A122" s="16">
        <v>140344</v>
      </c>
      <c r="B122" s="105">
        <v>45</v>
      </c>
      <c r="C122" s="16">
        <f t="shared" si="32"/>
        <v>225</v>
      </c>
      <c r="D122" s="105">
        <v>0</v>
      </c>
      <c r="E122" s="105">
        <v>0</v>
      </c>
      <c r="F122" s="105">
        <v>0</v>
      </c>
      <c r="G122" s="105">
        <v>0</v>
      </c>
      <c r="H122" s="105">
        <v>0</v>
      </c>
      <c r="I122" s="105">
        <v>0</v>
      </c>
      <c r="J122" s="26">
        <f t="shared" si="33"/>
        <v>0</v>
      </c>
      <c r="K122" s="26">
        <f t="shared" si="34"/>
        <v>0</v>
      </c>
      <c r="L122" s="105">
        <f t="shared" si="35"/>
        <v>0</v>
      </c>
      <c r="M122" s="105" t="s">
        <v>773</v>
      </c>
      <c r="N122" s="105" t="s">
        <v>774</v>
      </c>
    </row>
    <row r="123" spans="1:26" s="36" customFormat="1" x14ac:dyDescent="0.4">
      <c r="A123" s="22">
        <v>140345</v>
      </c>
      <c r="B123" s="23">
        <v>45</v>
      </c>
      <c r="C123" s="22">
        <f t="shared" si="32"/>
        <v>225</v>
      </c>
      <c r="D123" s="23">
        <v>0</v>
      </c>
      <c r="E123" s="23">
        <v>0</v>
      </c>
      <c r="F123" s="23">
        <v>0</v>
      </c>
      <c r="G123" s="23">
        <v>0</v>
      </c>
      <c r="H123" s="23">
        <v>0</v>
      </c>
      <c r="I123" s="23">
        <v>0</v>
      </c>
      <c r="J123" s="24">
        <f t="shared" si="33"/>
        <v>0</v>
      </c>
      <c r="K123" s="24">
        <f t="shared" si="34"/>
        <v>0</v>
      </c>
      <c r="L123" s="23">
        <f t="shared" si="35"/>
        <v>0</v>
      </c>
      <c r="M123" s="23" t="s">
        <v>775</v>
      </c>
      <c r="N123" s="23" t="s">
        <v>776</v>
      </c>
    </row>
    <row r="124" spans="1:26" s="36" customFormat="1" x14ac:dyDescent="0.4">
      <c r="A124" s="1">
        <v>140346</v>
      </c>
      <c r="B124" s="332">
        <v>60</v>
      </c>
      <c r="C124" s="1">
        <f t="shared" si="32"/>
        <v>300</v>
      </c>
      <c r="D124" s="332">
        <v>0</v>
      </c>
      <c r="E124" s="332">
        <v>0</v>
      </c>
      <c r="F124" s="332">
        <v>0</v>
      </c>
      <c r="G124" s="332">
        <v>0</v>
      </c>
      <c r="H124" s="332">
        <v>1</v>
      </c>
      <c r="I124" s="332">
        <v>1</v>
      </c>
      <c r="J124" s="140">
        <f t="shared" si="33"/>
        <v>2</v>
      </c>
      <c r="K124" s="140">
        <f t="shared" si="34"/>
        <v>1</v>
      </c>
      <c r="L124" s="332">
        <f t="shared" si="35"/>
        <v>60</v>
      </c>
      <c r="M124" s="332" t="s">
        <v>775</v>
      </c>
      <c r="N124" s="332" t="s">
        <v>776</v>
      </c>
    </row>
    <row r="125" spans="1:26" s="36" customFormat="1" x14ac:dyDescent="0.4">
      <c r="A125" s="16">
        <v>140347</v>
      </c>
      <c r="B125" s="118">
        <v>45</v>
      </c>
      <c r="C125" s="16">
        <f t="shared" si="32"/>
        <v>225</v>
      </c>
      <c r="D125" s="118">
        <v>0</v>
      </c>
      <c r="E125" s="118">
        <v>0</v>
      </c>
      <c r="F125" s="118">
        <v>0</v>
      </c>
      <c r="G125" s="118">
        <v>0</v>
      </c>
      <c r="H125" s="118">
        <v>0</v>
      </c>
      <c r="I125" s="118">
        <v>0</v>
      </c>
      <c r="J125" s="26">
        <f t="shared" si="33"/>
        <v>0</v>
      </c>
      <c r="K125" s="26">
        <f t="shared" si="34"/>
        <v>0</v>
      </c>
      <c r="L125" s="118">
        <f t="shared" si="35"/>
        <v>0</v>
      </c>
      <c r="M125" s="118" t="s">
        <v>777</v>
      </c>
      <c r="N125" s="118" t="s">
        <v>778</v>
      </c>
    </row>
    <row r="126" spans="1:26" s="36" customFormat="1" x14ac:dyDescent="0.4">
      <c r="A126" s="1">
        <v>140348</v>
      </c>
      <c r="B126" s="335">
        <v>0</v>
      </c>
      <c r="C126" s="1">
        <f t="shared" si="32"/>
        <v>0</v>
      </c>
      <c r="D126" s="335">
        <v>0</v>
      </c>
      <c r="E126" s="335">
        <v>0</v>
      </c>
      <c r="F126" s="335">
        <v>0</v>
      </c>
      <c r="G126" s="335">
        <v>0</v>
      </c>
      <c r="H126" s="335">
        <v>1</v>
      </c>
      <c r="I126" s="335">
        <v>1</v>
      </c>
      <c r="J126" s="140">
        <f>SUM(D126:I126)</f>
        <v>2</v>
      </c>
      <c r="K126" s="140">
        <f>SUM(D126:H126)</f>
        <v>1</v>
      </c>
      <c r="L126" s="335">
        <f>B126*K126</f>
        <v>0</v>
      </c>
      <c r="M126" s="335" t="s">
        <v>763</v>
      </c>
      <c r="N126" s="335" t="s">
        <v>764</v>
      </c>
      <c r="O126" s="2040" t="s">
        <v>760</v>
      </c>
      <c r="P126" s="2040"/>
      <c r="Q126" s="2040"/>
      <c r="R126" s="2040"/>
      <c r="S126" s="2040"/>
      <c r="T126" s="2040" t="s">
        <v>759</v>
      </c>
      <c r="U126" s="2040"/>
      <c r="V126" s="2040"/>
      <c r="W126" s="2040"/>
      <c r="X126" s="2040"/>
      <c r="Y126" s="2040"/>
      <c r="Z126" s="2040"/>
    </row>
    <row r="127" spans="1:26" s="36" customFormat="1" x14ac:dyDescent="0.4">
      <c r="A127" s="16" t="s">
        <v>766</v>
      </c>
      <c r="B127" s="86">
        <v>60</v>
      </c>
      <c r="C127" s="16">
        <v>60</v>
      </c>
      <c r="D127" s="86">
        <v>0</v>
      </c>
      <c r="E127" s="86"/>
      <c r="F127" s="86"/>
      <c r="G127" s="86"/>
      <c r="H127" s="86"/>
      <c r="I127" s="86"/>
      <c r="J127" s="26">
        <f>SUM(D127:I127)</f>
        <v>0</v>
      </c>
      <c r="K127" s="26">
        <f>SUM(D127:H127)</f>
        <v>0</v>
      </c>
      <c r="L127" s="86">
        <f>B127*K127</f>
        <v>0</v>
      </c>
      <c r="M127" s="86" t="s">
        <v>812</v>
      </c>
      <c r="N127" s="86" t="s">
        <v>811</v>
      </c>
      <c r="O127" s="2040"/>
      <c r="P127" s="2040"/>
      <c r="Q127" s="2040"/>
      <c r="R127" s="2040"/>
      <c r="S127" s="2040"/>
      <c r="T127" s="2040"/>
      <c r="U127" s="2040"/>
      <c r="V127" s="2040"/>
      <c r="W127" s="2040"/>
      <c r="X127" s="2040"/>
      <c r="Y127" s="2040"/>
      <c r="Z127" s="2040"/>
    </row>
    <row r="128" spans="1:26" s="36" customFormat="1" x14ac:dyDescent="0.4">
      <c r="A128" s="1" t="s">
        <v>765</v>
      </c>
      <c r="B128" s="341">
        <v>0</v>
      </c>
      <c r="C128" s="1">
        <f>SUM(B128*5)</f>
        <v>0</v>
      </c>
      <c r="D128" s="341">
        <v>1</v>
      </c>
      <c r="E128" s="341"/>
      <c r="F128" s="341"/>
      <c r="G128" s="341"/>
      <c r="H128" s="341"/>
      <c r="I128" s="341"/>
      <c r="J128" s="140">
        <f>SUM(D128:I128)</f>
        <v>1</v>
      </c>
      <c r="K128" s="140">
        <f>SUM(D128:H128)</f>
        <v>1</v>
      </c>
      <c r="L128" s="341">
        <f>B128*K128</f>
        <v>0</v>
      </c>
      <c r="M128" s="341" t="s">
        <v>763</v>
      </c>
      <c r="N128" s="341" t="s">
        <v>764</v>
      </c>
      <c r="O128" s="2040" t="s">
        <v>760</v>
      </c>
      <c r="P128" s="2040"/>
      <c r="Q128" s="2040"/>
      <c r="R128" s="2040"/>
      <c r="S128" s="2040"/>
      <c r="T128" s="2040" t="s">
        <v>759</v>
      </c>
      <c r="U128" s="2040"/>
      <c r="V128" s="2040"/>
      <c r="W128" s="2040"/>
      <c r="X128" s="2040"/>
      <c r="Y128" s="2040"/>
      <c r="Z128" s="2040"/>
    </row>
    <row r="129" spans="1:15" s="36" customFormat="1" x14ac:dyDescent="0.4">
      <c r="A129" s="1">
        <v>140349</v>
      </c>
      <c r="B129" s="341">
        <v>45</v>
      </c>
      <c r="C129" s="1">
        <f t="shared" si="32"/>
        <v>225</v>
      </c>
      <c r="D129" s="341">
        <v>0</v>
      </c>
      <c r="E129" s="341">
        <v>0</v>
      </c>
      <c r="F129" s="341">
        <v>0</v>
      </c>
      <c r="G129" s="341">
        <v>0</v>
      </c>
      <c r="H129" s="341">
        <v>0</v>
      </c>
      <c r="I129" s="341">
        <v>1</v>
      </c>
      <c r="J129" s="140">
        <f t="shared" si="33"/>
        <v>1</v>
      </c>
      <c r="K129" s="140">
        <f t="shared" si="34"/>
        <v>0</v>
      </c>
      <c r="L129" s="341">
        <f t="shared" si="35"/>
        <v>0</v>
      </c>
      <c r="M129" s="341" t="s">
        <v>779</v>
      </c>
      <c r="N129" s="341" t="s">
        <v>780</v>
      </c>
    </row>
    <row r="130" spans="1:15" s="36" customFormat="1" x14ac:dyDescent="0.4">
      <c r="A130" s="16">
        <v>140350</v>
      </c>
      <c r="B130" s="106">
        <v>45</v>
      </c>
      <c r="C130" s="16">
        <f t="shared" si="32"/>
        <v>225</v>
      </c>
      <c r="D130" s="106">
        <v>0</v>
      </c>
      <c r="E130" s="106">
        <v>0</v>
      </c>
      <c r="F130" s="106">
        <v>0</v>
      </c>
      <c r="G130" s="106">
        <v>0</v>
      </c>
      <c r="H130" s="106">
        <v>0</v>
      </c>
      <c r="I130" s="106">
        <v>0</v>
      </c>
      <c r="J130" s="26">
        <f t="shared" si="33"/>
        <v>0</v>
      </c>
      <c r="K130" s="26">
        <f t="shared" si="34"/>
        <v>0</v>
      </c>
      <c r="L130" s="106">
        <f t="shared" si="35"/>
        <v>0</v>
      </c>
      <c r="M130" s="106" t="s">
        <v>783</v>
      </c>
      <c r="N130" s="106" t="s">
        <v>784</v>
      </c>
    </row>
    <row r="131" spans="1:15" s="36" customFormat="1" x14ac:dyDescent="0.4">
      <c r="A131" s="1">
        <v>140351</v>
      </c>
      <c r="B131" s="341">
        <v>60</v>
      </c>
      <c r="C131" s="1">
        <f t="shared" si="32"/>
        <v>300</v>
      </c>
      <c r="D131" s="341">
        <v>0</v>
      </c>
      <c r="E131" s="341">
        <v>0</v>
      </c>
      <c r="F131" s="341">
        <v>0</v>
      </c>
      <c r="G131" s="341">
        <v>0</v>
      </c>
      <c r="H131" s="341">
        <v>0</v>
      </c>
      <c r="I131" s="341">
        <v>1</v>
      </c>
      <c r="J131" s="140">
        <f t="shared" si="33"/>
        <v>1</v>
      </c>
      <c r="K131" s="140">
        <f t="shared" si="34"/>
        <v>0</v>
      </c>
      <c r="L131" s="341">
        <f t="shared" si="35"/>
        <v>0</v>
      </c>
      <c r="M131" s="341" t="s">
        <v>783</v>
      </c>
      <c r="N131" s="341" t="s">
        <v>784</v>
      </c>
    </row>
    <row r="132" spans="1:15" s="36" customFormat="1" x14ac:dyDescent="0.4">
      <c r="A132" s="1">
        <v>140352</v>
      </c>
      <c r="B132" s="341">
        <v>45</v>
      </c>
      <c r="C132" s="1">
        <f t="shared" si="32"/>
        <v>225</v>
      </c>
      <c r="D132" s="341">
        <v>0</v>
      </c>
      <c r="E132" s="341">
        <v>0</v>
      </c>
      <c r="F132" s="341">
        <v>0</v>
      </c>
      <c r="G132" s="341">
        <v>0</v>
      </c>
      <c r="H132" s="341">
        <v>0</v>
      </c>
      <c r="I132" s="341">
        <v>1</v>
      </c>
      <c r="J132" s="140">
        <f t="shared" si="33"/>
        <v>1</v>
      </c>
      <c r="K132" s="140">
        <f t="shared" si="34"/>
        <v>0</v>
      </c>
      <c r="L132" s="341">
        <f t="shared" si="35"/>
        <v>0</v>
      </c>
      <c r="M132" s="341" t="s">
        <v>781</v>
      </c>
      <c r="N132" s="341" t="s">
        <v>782</v>
      </c>
    </row>
    <row r="133" spans="1:15" s="36" customFormat="1" x14ac:dyDescent="0.4">
      <c r="A133" s="1">
        <v>140353</v>
      </c>
      <c r="B133" s="341">
        <v>60</v>
      </c>
      <c r="C133" s="1">
        <f t="shared" si="32"/>
        <v>300</v>
      </c>
      <c r="D133" s="341">
        <v>0</v>
      </c>
      <c r="E133" s="341">
        <v>0</v>
      </c>
      <c r="F133" s="341">
        <v>1</v>
      </c>
      <c r="G133" s="341">
        <v>1</v>
      </c>
      <c r="H133" s="341">
        <v>1</v>
      </c>
      <c r="I133" s="341">
        <v>1</v>
      </c>
      <c r="J133" s="140">
        <f t="shared" si="33"/>
        <v>4</v>
      </c>
      <c r="K133" s="140">
        <f t="shared" si="34"/>
        <v>3</v>
      </c>
      <c r="L133" s="341">
        <f t="shared" si="35"/>
        <v>180</v>
      </c>
      <c r="M133" s="341" t="s">
        <v>781</v>
      </c>
      <c r="N133" s="341" t="s">
        <v>782</v>
      </c>
    </row>
    <row r="134" spans="1:15" s="36" customFormat="1" x14ac:dyDescent="0.4">
      <c r="A134" s="1">
        <v>140354</v>
      </c>
      <c r="B134" s="341">
        <v>45</v>
      </c>
      <c r="C134" s="1">
        <f t="shared" si="32"/>
        <v>225</v>
      </c>
      <c r="D134" s="341">
        <v>0</v>
      </c>
      <c r="E134" s="341">
        <v>0</v>
      </c>
      <c r="F134" s="341">
        <v>0</v>
      </c>
      <c r="G134" s="341">
        <v>0</v>
      </c>
      <c r="H134" s="341">
        <v>0</v>
      </c>
      <c r="I134" s="341">
        <v>1</v>
      </c>
      <c r="J134" s="140">
        <f t="shared" si="33"/>
        <v>1</v>
      </c>
      <c r="K134" s="140">
        <f t="shared" si="34"/>
        <v>0</v>
      </c>
      <c r="L134" s="341">
        <f t="shared" si="35"/>
        <v>0</v>
      </c>
      <c r="M134" s="341" t="s">
        <v>786</v>
      </c>
      <c r="N134" s="341" t="s">
        <v>787</v>
      </c>
    </row>
    <row r="135" spans="1:15" s="36" customFormat="1" x14ac:dyDescent="0.4">
      <c r="A135" s="16">
        <v>140355</v>
      </c>
      <c r="B135" s="238">
        <v>45</v>
      </c>
      <c r="C135" s="16">
        <f t="shared" si="32"/>
        <v>225</v>
      </c>
      <c r="D135" s="238">
        <v>0</v>
      </c>
      <c r="E135" s="238">
        <v>0</v>
      </c>
      <c r="F135" s="238">
        <v>0</v>
      </c>
      <c r="G135" s="238">
        <v>0</v>
      </c>
      <c r="H135" s="238">
        <v>0</v>
      </c>
      <c r="I135" s="238">
        <v>0</v>
      </c>
      <c r="J135" s="26">
        <f t="shared" si="33"/>
        <v>0</v>
      </c>
      <c r="K135" s="26">
        <f t="shared" si="34"/>
        <v>0</v>
      </c>
      <c r="L135" s="238">
        <f t="shared" si="35"/>
        <v>0</v>
      </c>
      <c r="M135" s="238" t="s">
        <v>788</v>
      </c>
      <c r="N135" s="238" t="s">
        <v>789</v>
      </c>
    </row>
    <row r="136" spans="1:15" s="36" customFormat="1" x14ac:dyDescent="0.4">
      <c r="A136" s="16">
        <v>140356</v>
      </c>
      <c r="B136" s="157">
        <v>45</v>
      </c>
      <c r="C136" s="16">
        <f t="shared" si="32"/>
        <v>225</v>
      </c>
      <c r="D136" s="157">
        <v>0</v>
      </c>
      <c r="E136" s="157">
        <v>0</v>
      </c>
      <c r="F136" s="157">
        <v>0</v>
      </c>
      <c r="G136" s="157">
        <v>0</v>
      </c>
      <c r="H136" s="157">
        <v>0</v>
      </c>
      <c r="I136" s="157">
        <v>0</v>
      </c>
      <c r="J136" s="26">
        <f t="shared" si="33"/>
        <v>0</v>
      </c>
      <c r="K136" s="26">
        <f t="shared" si="34"/>
        <v>0</v>
      </c>
      <c r="L136" s="157">
        <f t="shared" si="35"/>
        <v>0</v>
      </c>
      <c r="M136" s="157" t="s">
        <v>788</v>
      </c>
      <c r="N136" s="157" t="s">
        <v>789</v>
      </c>
    </row>
    <row r="137" spans="1:15" s="36" customFormat="1" x14ac:dyDescent="0.4">
      <c r="A137" s="1">
        <v>140357</v>
      </c>
      <c r="B137" s="341">
        <v>45</v>
      </c>
      <c r="C137" s="1">
        <f t="shared" si="32"/>
        <v>225</v>
      </c>
      <c r="D137" s="341">
        <v>0</v>
      </c>
      <c r="E137" s="341">
        <v>0</v>
      </c>
      <c r="F137" s="341">
        <v>0</v>
      </c>
      <c r="G137" s="341">
        <v>0</v>
      </c>
      <c r="H137" s="341">
        <v>0</v>
      </c>
      <c r="I137" s="341">
        <v>1</v>
      </c>
      <c r="J137" s="140">
        <f t="shared" si="33"/>
        <v>1</v>
      </c>
      <c r="K137" s="140">
        <f t="shared" si="34"/>
        <v>0</v>
      </c>
      <c r="L137" s="341">
        <f t="shared" si="35"/>
        <v>0</v>
      </c>
      <c r="M137" s="341" t="s">
        <v>788</v>
      </c>
      <c r="N137" s="341" t="s">
        <v>789</v>
      </c>
    </row>
    <row r="138" spans="1:15" s="36" customFormat="1" x14ac:dyDescent="0.4">
      <c r="A138" s="1">
        <v>140358</v>
      </c>
      <c r="B138" s="341">
        <v>50</v>
      </c>
      <c r="C138" s="1">
        <f t="shared" si="32"/>
        <v>250</v>
      </c>
      <c r="D138" s="341">
        <v>0</v>
      </c>
      <c r="E138" s="341">
        <v>0</v>
      </c>
      <c r="F138" s="341">
        <v>0</v>
      </c>
      <c r="G138" s="341">
        <v>0</v>
      </c>
      <c r="H138" s="341">
        <v>0</v>
      </c>
      <c r="I138" s="341">
        <v>1</v>
      </c>
      <c r="J138" s="140">
        <f t="shared" si="33"/>
        <v>1</v>
      </c>
      <c r="K138" s="140">
        <f t="shared" si="34"/>
        <v>0</v>
      </c>
      <c r="L138" s="341">
        <f t="shared" si="35"/>
        <v>0</v>
      </c>
      <c r="M138" s="341" t="s">
        <v>791</v>
      </c>
      <c r="N138" s="341" t="s">
        <v>792</v>
      </c>
    </row>
    <row r="139" spans="1:15" s="36" customFormat="1" x14ac:dyDescent="0.4">
      <c r="A139" s="16">
        <v>140359</v>
      </c>
      <c r="B139" s="238">
        <v>0</v>
      </c>
      <c r="C139" s="16">
        <f t="shared" si="32"/>
        <v>0</v>
      </c>
      <c r="D139" s="238" t="s">
        <v>793</v>
      </c>
      <c r="E139" s="238" t="s">
        <v>794</v>
      </c>
      <c r="F139" s="238" t="s">
        <v>795</v>
      </c>
      <c r="G139" s="238" t="s">
        <v>796</v>
      </c>
      <c r="H139" s="238" t="s">
        <v>797</v>
      </c>
      <c r="I139" s="238" t="s">
        <v>798</v>
      </c>
      <c r="J139" s="26">
        <f t="shared" si="33"/>
        <v>0</v>
      </c>
      <c r="K139" s="26">
        <f t="shared" si="34"/>
        <v>0</v>
      </c>
      <c r="L139" s="238">
        <f t="shared" si="35"/>
        <v>0</v>
      </c>
      <c r="M139" s="16"/>
      <c r="N139" s="16"/>
    </row>
    <row r="140" spans="1:15" s="36" customFormat="1" x14ac:dyDescent="0.4">
      <c r="A140" s="16">
        <v>140360</v>
      </c>
      <c r="B140" s="230">
        <v>50</v>
      </c>
      <c r="C140" s="16">
        <f t="shared" ref="C140:C169" si="36">SUM(B140*5)</f>
        <v>250</v>
      </c>
      <c r="D140" s="230">
        <v>0</v>
      </c>
      <c r="E140" s="230">
        <v>0</v>
      </c>
      <c r="F140" s="230">
        <v>0</v>
      </c>
      <c r="G140" s="230">
        <v>0</v>
      </c>
      <c r="H140" s="230">
        <v>0</v>
      </c>
      <c r="I140" s="230">
        <v>0</v>
      </c>
      <c r="J140" s="26">
        <f t="shared" ref="J140:J169" si="37">SUM(D140:I140)</f>
        <v>0</v>
      </c>
      <c r="K140" s="26">
        <f t="shared" ref="K140:K169" si="38">SUM(D140:H140)</f>
        <v>0</v>
      </c>
      <c r="L140" s="230">
        <f t="shared" ref="L140:L169" si="39">B140*K140</f>
        <v>0</v>
      </c>
      <c r="M140" s="230" t="s">
        <v>791</v>
      </c>
      <c r="N140" s="230" t="s">
        <v>800</v>
      </c>
    </row>
    <row r="141" spans="1:15" s="36" customFormat="1" x14ac:dyDescent="0.4">
      <c r="A141" s="16">
        <v>140361</v>
      </c>
      <c r="B141" s="81">
        <v>0</v>
      </c>
      <c r="C141" s="16">
        <f t="shared" si="36"/>
        <v>0</v>
      </c>
      <c r="D141" s="16">
        <f t="shared" ref="D141:I141" si="40">SUM(C141*5)</f>
        <v>0</v>
      </c>
      <c r="E141" s="16">
        <f t="shared" si="40"/>
        <v>0</v>
      </c>
      <c r="F141" s="16">
        <f t="shared" si="40"/>
        <v>0</v>
      </c>
      <c r="G141" s="16">
        <f t="shared" si="40"/>
        <v>0</v>
      </c>
      <c r="H141" s="16">
        <f t="shared" si="40"/>
        <v>0</v>
      </c>
      <c r="I141" s="16">
        <f t="shared" si="40"/>
        <v>0</v>
      </c>
      <c r="J141" s="26">
        <f t="shared" si="37"/>
        <v>0</v>
      </c>
      <c r="K141" s="26">
        <f t="shared" si="38"/>
        <v>0</v>
      </c>
      <c r="L141" s="81">
        <f t="shared" si="39"/>
        <v>0</v>
      </c>
      <c r="M141" s="81" t="s">
        <v>799</v>
      </c>
      <c r="N141" s="81" t="s">
        <v>801</v>
      </c>
      <c r="O141" s="36" t="s">
        <v>806</v>
      </c>
    </row>
    <row r="142" spans="1:15" s="36" customFormat="1" x14ac:dyDescent="0.4">
      <c r="A142" s="16">
        <v>140362</v>
      </c>
      <c r="B142" s="340">
        <v>45</v>
      </c>
      <c r="C142" s="16">
        <f t="shared" si="36"/>
        <v>225</v>
      </c>
      <c r="D142" s="340">
        <v>0</v>
      </c>
      <c r="E142" s="340">
        <v>0</v>
      </c>
      <c r="F142" s="340">
        <v>0</v>
      </c>
      <c r="G142" s="340">
        <v>0</v>
      </c>
      <c r="H142" s="340">
        <v>0</v>
      </c>
      <c r="I142" s="340">
        <v>0</v>
      </c>
      <c r="J142" s="26">
        <f t="shared" si="37"/>
        <v>0</v>
      </c>
      <c r="K142" s="26">
        <f t="shared" si="38"/>
        <v>0</v>
      </c>
      <c r="L142" s="340">
        <f t="shared" si="39"/>
        <v>0</v>
      </c>
      <c r="M142" s="340" t="s">
        <v>802</v>
      </c>
      <c r="N142" s="340" t="s">
        <v>803</v>
      </c>
    </row>
    <row r="143" spans="1:15" s="36" customFormat="1" x14ac:dyDescent="0.4">
      <c r="A143" s="16">
        <v>140363</v>
      </c>
      <c r="B143" s="154">
        <v>60</v>
      </c>
      <c r="C143" s="16">
        <f t="shared" si="36"/>
        <v>300</v>
      </c>
      <c r="D143" s="154">
        <v>0</v>
      </c>
      <c r="E143" s="154">
        <v>0</v>
      </c>
      <c r="F143" s="154">
        <v>0</v>
      </c>
      <c r="G143" s="154">
        <v>0</v>
      </c>
      <c r="H143" s="154">
        <v>0</v>
      </c>
      <c r="I143" s="154">
        <v>0</v>
      </c>
      <c r="J143" s="26">
        <f t="shared" si="37"/>
        <v>0</v>
      </c>
      <c r="K143" s="26">
        <f t="shared" si="38"/>
        <v>0</v>
      </c>
      <c r="L143" s="154">
        <f t="shared" si="39"/>
        <v>0</v>
      </c>
      <c r="M143" s="154" t="s">
        <v>804</v>
      </c>
      <c r="N143" s="154" t="s">
        <v>805</v>
      </c>
    </row>
    <row r="144" spans="1:15" s="36" customFormat="1" x14ac:dyDescent="0.4">
      <c r="A144" s="16">
        <v>140364</v>
      </c>
      <c r="B144" s="238">
        <v>50</v>
      </c>
      <c r="C144" s="16">
        <f t="shared" si="36"/>
        <v>250</v>
      </c>
      <c r="D144" s="238">
        <v>0</v>
      </c>
      <c r="E144" s="238">
        <v>0</v>
      </c>
      <c r="F144" s="238">
        <v>0</v>
      </c>
      <c r="G144" s="238">
        <v>0</v>
      </c>
      <c r="H144" s="238">
        <v>0</v>
      </c>
      <c r="I144" s="238">
        <v>0</v>
      </c>
      <c r="J144" s="26">
        <f t="shared" si="37"/>
        <v>0</v>
      </c>
      <c r="K144" s="26">
        <f t="shared" si="38"/>
        <v>0</v>
      </c>
      <c r="L144" s="238">
        <f t="shared" si="39"/>
        <v>0</v>
      </c>
      <c r="M144" s="238" t="s">
        <v>804</v>
      </c>
      <c r="N144" s="238" t="s">
        <v>805</v>
      </c>
    </row>
    <row r="145" spans="1:14" s="36" customFormat="1" x14ac:dyDescent="0.4">
      <c r="A145" s="1">
        <v>140365</v>
      </c>
      <c r="B145" s="345">
        <v>45</v>
      </c>
      <c r="C145" s="1">
        <f t="shared" si="36"/>
        <v>225</v>
      </c>
      <c r="D145" s="345">
        <v>0</v>
      </c>
      <c r="E145" s="345">
        <v>0</v>
      </c>
      <c r="F145" s="345">
        <v>0</v>
      </c>
      <c r="G145" s="345">
        <v>0</v>
      </c>
      <c r="H145" s="345">
        <v>0</v>
      </c>
      <c r="I145" s="345">
        <v>1</v>
      </c>
      <c r="J145" s="140">
        <f t="shared" si="37"/>
        <v>1</v>
      </c>
      <c r="K145" s="140">
        <f t="shared" si="38"/>
        <v>0</v>
      </c>
      <c r="L145" s="345">
        <f t="shared" si="39"/>
        <v>0</v>
      </c>
      <c r="M145" s="345" t="s">
        <v>807</v>
      </c>
      <c r="N145" s="345" t="s">
        <v>808</v>
      </c>
    </row>
    <row r="146" spans="1:14" s="36" customFormat="1" x14ac:dyDescent="0.4">
      <c r="A146" s="16">
        <v>140366</v>
      </c>
      <c r="B146" s="105">
        <v>45</v>
      </c>
      <c r="C146" s="16">
        <f t="shared" si="36"/>
        <v>225</v>
      </c>
      <c r="D146" s="105">
        <v>0</v>
      </c>
      <c r="E146" s="105">
        <v>0</v>
      </c>
      <c r="F146" s="105">
        <v>0</v>
      </c>
      <c r="G146" s="105">
        <v>0</v>
      </c>
      <c r="H146" s="105">
        <v>0</v>
      </c>
      <c r="I146" s="105">
        <v>0</v>
      </c>
      <c r="J146" s="26">
        <f t="shared" si="37"/>
        <v>0</v>
      </c>
      <c r="K146" s="26">
        <f t="shared" si="38"/>
        <v>0</v>
      </c>
      <c r="L146" s="105">
        <f t="shared" si="39"/>
        <v>0</v>
      </c>
      <c r="M146" s="105" t="s">
        <v>807</v>
      </c>
      <c r="N146" s="105" t="s">
        <v>808</v>
      </c>
    </row>
    <row r="147" spans="1:14" s="36" customFormat="1" x14ac:dyDescent="0.4">
      <c r="A147" s="16">
        <v>140367</v>
      </c>
      <c r="B147" s="159">
        <v>45</v>
      </c>
      <c r="C147" s="16">
        <f t="shared" si="36"/>
        <v>225</v>
      </c>
      <c r="D147" s="159">
        <v>0</v>
      </c>
      <c r="E147" s="159">
        <v>0</v>
      </c>
      <c r="F147" s="159">
        <v>0</v>
      </c>
      <c r="G147" s="159">
        <v>0</v>
      </c>
      <c r="H147" s="159">
        <v>0</v>
      </c>
      <c r="I147" s="159">
        <v>0</v>
      </c>
      <c r="J147" s="26">
        <f t="shared" si="37"/>
        <v>0</v>
      </c>
      <c r="K147" s="26">
        <f t="shared" si="38"/>
        <v>0</v>
      </c>
      <c r="L147" s="159">
        <f t="shared" si="39"/>
        <v>0</v>
      </c>
      <c r="M147" s="159" t="s">
        <v>809</v>
      </c>
      <c r="N147" s="159" t="s">
        <v>810</v>
      </c>
    </row>
    <row r="148" spans="1:14" s="36" customFormat="1" x14ac:dyDescent="0.4">
      <c r="A148" s="1">
        <v>140368</v>
      </c>
      <c r="B148" s="352">
        <v>45</v>
      </c>
      <c r="C148" s="1">
        <f t="shared" si="36"/>
        <v>225</v>
      </c>
      <c r="D148" s="352">
        <v>0</v>
      </c>
      <c r="E148" s="352">
        <v>0</v>
      </c>
      <c r="F148" s="352">
        <v>0</v>
      </c>
      <c r="G148" s="352">
        <v>0</v>
      </c>
      <c r="H148" s="352">
        <v>0</v>
      </c>
      <c r="I148" s="352">
        <v>1</v>
      </c>
      <c r="J148" s="140">
        <f t="shared" si="37"/>
        <v>1</v>
      </c>
      <c r="K148" s="140">
        <f t="shared" si="38"/>
        <v>0</v>
      </c>
      <c r="L148" s="352">
        <f t="shared" si="39"/>
        <v>0</v>
      </c>
      <c r="M148" s="352" t="s">
        <v>812</v>
      </c>
      <c r="N148" s="352" t="s">
        <v>811</v>
      </c>
    </row>
    <row r="149" spans="1:14" s="36" customFormat="1" x14ac:dyDescent="0.4">
      <c r="A149" s="1">
        <v>140369</v>
      </c>
      <c r="B149" s="352">
        <v>60</v>
      </c>
      <c r="C149" s="1">
        <v>300</v>
      </c>
      <c r="D149" s="352">
        <v>0</v>
      </c>
      <c r="E149" s="352">
        <v>0</v>
      </c>
      <c r="F149" s="352">
        <v>0</v>
      </c>
      <c r="G149" s="352">
        <v>0</v>
      </c>
      <c r="H149" s="352">
        <v>1</v>
      </c>
      <c r="I149" s="352">
        <v>1</v>
      </c>
      <c r="J149" s="140">
        <f t="shared" si="37"/>
        <v>2</v>
      </c>
      <c r="K149" s="140">
        <f t="shared" si="38"/>
        <v>1</v>
      </c>
      <c r="L149" s="352">
        <f t="shared" si="39"/>
        <v>60</v>
      </c>
      <c r="M149" s="352" t="s">
        <v>813</v>
      </c>
      <c r="N149" s="352" t="s">
        <v>814</v>
      </c>
    </row>
    <row r="150" spans="1:14" s="36" customFormat="1" x14ac:dyDescent="0.4">
      <c r="A150" s="16">
        <v>140370</v>
      </c>
      <c r="B150" s="145">
        <v>60</v>
      </c>
      <c r="C150" s="16">
        <f t="shared" si="36"/>
        <v>300</v>
      </c>
      <c r="D150" s="145">
        <v>0</v>
      </c>
      <c r="E150" s="145">
        <v>0</v>
      </c>
      <c r="F150" s="145">
        <v>0</v>
      </c>
      <c r="G150" s="145">
        <v>0</v>
      </c>
      <c r="H150" s="145">
        <v>0</v>
      </c>
      <c r="I150" s="145">
        <v>0</v>
      </c>
      <c r="J150" s="26">
        <f t="shared" si="37"/>
        <v>0</v>
      </c>
      <c r="K150" s="26">
        <f t="shared" si="38"/>
        <v>0</v>
      </c>
      <c r="L150" s="145">
        <f t="shared" si="39"/>
        <v>0</v>
      </c>
      <c r="M150" s="145" t="s">
        <v>813</v>
      </c>
      <c r="N150" s="145" t="s">
        <v>814</v>
      </c>
    </row>
    <row r="151" spans="1:14" s="36" customFormat="1" x14ac:dyDescent="0.4">
      <c r="A151" s="16">
        <v>140371</v>
      </c>
      <c r="B151" s="347">
        <v>60</v>
      </c>
      <c r="C151" s="16">
        <f t="shared" si="36"/>
        <v>300</v>
      </c>
      <c r="D151" s="347">
        <v>0</v>
      </c>
      <c r="E151" s="347">
        <v>0</v>
      </c>
      <c r="F151" s="347">
        <v>0</v>
      </c>
      <c r="G151" s="347">
        <v>0</v>
      </c>
      <c r="H151" s="347">
        <v>0</v>
      </c>
      <c r="I151" s="347">
        <v>0</v>
      </c>
      <c r="J151" s="26">
        <f t="shared" si="37"/>
        <v>0</v>
      </c>
      <c r="K151" s="26">
        <f t="shared" si="38"/>
        <v>0</v>
      </c>
      <c r="L151" s="347">
        <f t="shared" si="39"/>
        <v>0</v>
      </c>
      <c r="M151" s="347" t="s">
        <v>813</v>
      </c>
      <c r="N151" s="347" t="s">
        <v>814</v>
      </c>
    </row>
    <row r="152" spans="1:14" s="36" customFormat="1" x14ac:dyDescent="0.4">
      <c r="A152" s="1">
        <v>140372</v>
      </c>
      <c r="B152" s="352">
        <v>60</v>
      </c>
      <c r="C152" s="1">
        <f t="shared" si="36"/>
        <v>300</v>
      </c>
      <c r="D152" s="352">
        <v>0</v>
      </c>
      <c r="E152" s="352">
        <v>0</v>
      </c>
      <c r="F152" s="352">
        <v>0</v>
      </c>
      <c r="G152" s="352">
        <v>0</v>
      </c>
      <c r="H152" s="352">
        <v>1</v>
      </c>
      <c r="I152" s="352">
        <v>1</v>
      </c>
      <c r="J152" s="140">
        <f t="shared" si="37"/>
        <v>2</v>
      </c>
      <c r="K152" s="140">
        <f t="shared" si="38"/>
        <v>1</v>
      </c>
      <c r="L152" s="352">
        <f t="shared" si="39"/>
        <v>60</v>
      </c>
      <c r="M152" s="352" t="s">
        <v>813</v>
      </c>
      <c r="N152" s="352" t="s">
        <v>814</v>
      </c>
    </row>
    <row r="153" spans="1:14" s="36" customFormat="1" x14ac:dyDescent="0.4">
      <c r="A153" s="16">
        <v>140373</v>
      </c>
      <c r="B153" s="94">
        <v>60</v>
      </c>
      <c r="C153" s="16">
        <f t="shared" si="36"/>
        <v>300</v>
      </c>
      <c r="D153" s="94">
        <v>0</v>
      </c>
      <c r="E153" s="94">
        <v>0</v>
      </c>
      <c r="F153" s="94">
        <v>0</v>
      </c>
      <c r="G153" s="94">
        <v>0</v>
      </c>
      <c r="H153" s="94">
        <v>0</v>
      </c>
      <c r="I153" s="94">
        <v>0</v>
      </c>
      <c r="J153" s="26">
        <f t="shared" si="37"/>
        <v>0</v>
      </c>
      <c r="K153" s="26">
        <f t="shared" si="38"/>
        <v>0</v>
      </c>
      <c r="L153" s="94">
        <f t="shared" si="39"/>
        <v>0</v>
      </c>
      <c r="M153" s="94" t="s">
        <v>815</v>
      </c>
      <c r="N153" s="94" t="s">
        <v>816</v>
      </c>
    </row>
    <row r="154" spans="1:14" s="36" customFormat="1" x14ac:dyDescent="0.4">
      <c r="A154" s="16">
        <v>140374</v>
      </c>
      <c r="B154" s="270">
        <v>45</v>
      </c>
      <c r="C154" s="16">
        <f t="shared" si="36"/>
        <v>225</v>
      </c>
      <c r="D154" s="270">
        <v>0</v>
      </c>
      <c r="E154" s="270">
        <v>0</v>
      </c>
      <c r="F154" s="270">
        <v>0</v>
      </c>
      <c r="G154" s="270">
        <v>0</v>
      </c>
      <c r="H154" s="270">
        <v>0</v>
      </c>
      <c r="I154" s="270">
        <v>0</v>
      </c>
      <c r="J154" s="26">
        <f t="shared" si="37"/>
        <v>0</v>
      </c>
      <c r="K154" s="26">
        <f t="shared" si="38"/>
        <v>0</v>
      </c>
      <c r="L154" s="270">
        <f t="shared" si="39"/>
        <v>0</v>
      </c>
      <c r="M154" s="270" t="s">
        <v>815</v>
      </c>
      <c r="N154" s="270" t="s">
        <v>816</v>
      </c>
    </row>
    <row r="155" spans="1:14" s="36" customFormat="1" x14ac:dyDescent="0.4">
      <c r="A155" s="1">
        <v>140375</v>
      </c>
      <c r="B155" s="352">
        <v>45</v>
      </c>
      <c r="C155" s="1">
        <f t="shared" si="36"/>
        <v>225</v>
      </c>
      <c r="D155" s="352">
        <v>0</v>
      </c>
      <c r="E155" s="352">
        <v>0</v>
      </c>
      <c r="F155" s="352">
        <v>0</v>
      </c>
      <c r="G155" s="352">
        <v>0</v>
      </c>
      <c r="H155" s="352">
        <v>1</v>
      </c>
      <c r="I155" s="352">
        <v>1</v>
      </c>
      <c r="J155" s="140">
        <f t="shared" si="37"/>
        <v>2</v>
      </c>
      <c r="K155" s="140">
        <f t="shared" si="38"/>
        <v>1</v>
      </c>
      <c r="L155" s="352">
        <f t="shared" si="39"/>
        <v>45</v>
      </c>
      <c r="M155" s="352" t="s">
        <v>815</v>
      </c>
      <c r="N155" s="352" t="s">
        <v>816</v>
      </c>
    </row>
    <row r="156" spans="1:14" s="36" customFormat="1" x14ac:dyDescent="0.4">
      <c r="A156" s="16">
        <v>140376</v>
      </c>
      <c r="B156" s="224">
        <v>50</v>
      </c>
      <c r="C156" s="16">
        <f t="shared" si="36"/>
        <v>250</v>
      </c>
      <c r="D156" s="224">
        <v>0</v>
      </c>
      <c r="E156" s="224">
        <v>0</v>
      </c>
      <c r="F156" s="224">
        <v>0</v>
      </c>
      <c r="G156" s="224">
        <v>0</v>
      </c>
      <c r="H156" s="224">
        <v>0</v>
      </c>
      <c r="I156" s="224">
        <v>0</v>
      </c>
      <c r="J156" s="26">
        <f t="shared" si="37"/>
        <v>0</v>
      </c>
      <c r="K156" s="26">
        <f t="shared" si="38"/>
        <v>0</v>
      </c>
      <c r="L156" s="224">
        <f t="shared" si="39"/>
        <v>0</v>
      </c>
      <c r="M156" s="224" t="s">
        <v>817</v>
      </c>
      <c r="N156" s="224" t="s">
        <v>818</v>
      </c>
    </row>
    <row r="157" spans="1:14" s="36" customFormat="1" x14ac:dyDescent="0.4">
      <c r="A157" s="16">
        <v>140377</v>
      </c>
      <c r="B157" s="182">
        <v>80</v>
      </c>
      <c r="C157" s="16">
        <f t="shared" si="36"/>
        <v>400</v>
      </c>
      <c r="D157" s="182">
        <v>0</v>
      </c>
      <c r="E157" s="182">
        <v>0</v>
      </c>
      <c r="F157" s="182">
        <v>0</v>
      </c>
      <c r="G157" s="182">
        <v>0</v>
      </c>
      <c r="H157" s="182">
        <v>0</v>
      </c>
      <c r="I157" s="182">
        <v>0</v>
      </c>
      <c r="J157" s="26">
        <f t="shared" si="37"/>
        <v>0</v>
      </c>
      <c r="K157" s="26">
        <f t="shared" si="38"/>
        <v>0</v>
      </c>
      <c r="L157" s="182">
        <f t="shared" si="39"/>
        <v>0</v>
      </c>
      <c r="M157" s="182" t="s">
        <v>819</v>
      </c>
      <c r="N157" s="182" t="s">
        <v>820</v>
      </c>
    </row>
    <row r="158" spans="1:14" s="36" customFormat="1" x14ac:dyDescent="0.4">
      <c r="A158" s="1">
        <v>140378</v>
      </c>
      <c r="B158" s="352">
        <v>45</v>
      </c>
      <c r="C158" s="1">
        <f t="shared" si="36"/>
        <v>225</v>
      </c>
      <c r="D158" s="352">
        <v>0</v>
      </c>
      <c r="E158" s="352">
        <v>0</v>
      </c>
      <c r="F158" s="352">
        <v>0</v>
      </c>
      <c r="G158" s="352">
        <v>1</v>
      </c>
      <c r="H158" s="352">
        <v>1</v>
      </c>
      <c r="I158" s="352">
        <v>1</v>
      </c>
      <c r="J158" s="140">
        <f t="shared" si="37"/>
        <v>3</v>
      </c>
      <c r="K158" s="140">
        <f t="shared" si="38"/>
        <v>2</v>
      </c>
      <c r="L158" s="352">
        <f t="shared" si="39"/>
        <v>90</v>
      </c>
      <c r="M158" s="352" t="s">
        <v>821</v>
      </c>
      <c r="N158" s="352" t="s">
        <v>820</v>
      </c>
    </row>
    <row r="159" spans="1:14" s="36" customFormat="1" x14ac:dyDescent="0.4">
      <c r="A159" s="1">
        <v>140379</v>
      </c>
      <c r="B159" s="352">
        <v>60</v>
      </c>
      <c r="C159" s="1">
        <f>SUM(B159*5)</f>
        <v>300</v>
      </c>
      <c r="D159" s="352">
        <v>0</v>
      </c>
      <c r="E159" s="352">
        <v>0</v>
      </c>
      <c r="F159" s="352">
        <v>0</v>
      </c>
      <c r="G159" s="352">
        <v>1</v>
      </c>
      <c r="H159" s="352">
        <v>1</v>
      </c>
      <c r="I159" s="352">
        <v>1</v>
      </c>
      <c r="J159" s="140">
        <f t="shared" si="37"/>
        <v>3</v>
      </c>
      <c r="K159" s="140">
        <f t="shared" si="38"/>
        <v>2</v>
      </c>
      <c r="L159" s="352">
        <f t="shared" si="39"/>
        <v>120</v>
      </c>
      <c r="M159" s="352" t="s">
        <v>822</v>
      </c>
      <c r="N159" s="352" t="s">
        <v>823</v>
      </c>
    </row>
    <row r="160" spans="1:14" s="36" customFormat="1" x14ac:dyDescent="0.4">
      <c r="A160" s="1">
        <v>140380</v>
      </c>
      <c r="B160" s="352">
        <v>45</v>
      </c>
      <c r="C160" s="1">
        <f t="shared" si="36"/>
        <v>225</v>
      </c>
      <c r="D160" s="352">
        <v>0</v>
      </c>
      <c r="E160" s="352">
        <v>0</v>
      </c>
      <c r="F160" s="352">
        <v>0</v>
      </c>
      <c r="G160" s="352">
        <v>0</v>
      </c>
      <c r="H160" s="352">
        <v>0</v>
      </c>
      <c r="I160" s="352">
        <v>1</v>
      </c>
      <c r="J160" s="140">
        <f t="shared" si="37"/>
        <v>1</v>
      </c>
      <c r="K160" s="140">
        <f t="shared" si="38"/>
        <v>0</v>
      </c>
      <c r="L160" s="352">
        <f t="shared" si="39"/>
        <v>0</v>
      </c>
      <c r="M160" s="352" t="s">
        <v>824</v>
      </c>
      <c r="N160" s="352" t="s">
        <v>825</v>
      </c>
    </row>
    <row r="161" spans="1:14" s="36" customFormat="1" x14ac:dyDescent="0.4">
      <c r="A161" s="1">
        <v>140381</v>
      </c>
      <c r="B161" s="352">
        <v>60</v>
      </c>
      <c r="C161" s="1">
        <f t="shared" si="36"/>
        <v>300</v>
      </c>
      <c r="D161" s="352">
        <v>0</v>
      </c>
      <c r="E161" s="352">
        <v>0</v>
      </c>
      <c r="F161" s="352">
        <v>0</v>
      </c>
      <c r="G161" s="352">
        <v>0</v>
      </c>
      <c r="H161" s="352">
        <v>0</v>
      </c>
      <c r="I161" s="352">
        <v>1</v>
      </c>
      <c r="J161" s="140">
        <f t="shared" si="37"/>
        <v>1</v>
      </c>
      <c r="K161" s="140">
        <f t="shared" si="38"/>
        <v>0</v>
      </c>
      <c r="L161" s="352">
        <f t="shared" si="39"/>
        <v>0</v>
      </c>
      <c r="M161" s="352" t="s">
        <v>826</v>
      </c>
      <c r="N161" s="352" t="s">
        <v>827</v>
      </c>
    </row>
    <row r="162" spans="1:14" s="36" customFormat="1" x14ac:dyDescent="0.4">
      <c r="A162" s="16">
        <v>140382</v>
      </c>
      <c r="B162" s="183">
        <v>45</v>
      </c>
      <c r="C162" s="16">
        <f t="shared" si="36"/>
        <v>225</v>
      </c>
      <c r="D162" s="183">
        <v>0</v>
      </c>
      <c r="E162" s="183">
        <v>0</v>
      </c>
      <c r="F162" s="183">
        <v>0</v>
      </c>
      <c r="G162" s="183">
        <v>0</v>
      </c>
      <c r="H162" s="183">
        <v>0</v>
      </c>
      <c r="I162" s="183">
        <v>0</v>
      </c>
      <c r="J162" s="26">
        <f t="shared" si="37"/>
        <v>0</v>
      </c>
      <c r="K162" s="26">
        <f t="shared" si="38"/>
        <v>0</v>
      </c>
      <c r="L162" s="183">
        <f t="shared" si="39"/>
        <v>0</v>
      </c>
      <c r="M162" s="183" t="s">
        <v>828</v>
      </c>
      <c r="N162" s="183" t="s">
        <v>829</v>
      </c>
    </row>
    <row r="163" spans="1:14" s="36" customFormat="1" x14ac:dyDescent="0.4">
      <c r="A163" s="16">
        <v>140383</v>
      </c>
      <c r="B163" s="146">
        <v>45</v>
      </c>
      <c r="C163" s="16">
        <f t="shared" si="36"/>
        <v>225</v>
      </c>
      <c r="D163" s="146">
        <v>0</v>
      </c>
      <c r="E163" s="146">
        <v>0</v>
      </c>
      <c r="F163" s="146">
        <v>0</v>
      </c>
      <c r="G163" s="146">
        <v>0</v>
      </c>
      <c r="H163" s="146">
        <v>0</v>
      </c>
      <c r="I163" s="146">
        <v>0</v>
      </c>
      <c r="J163" s="26">
        <f t="shared" si="37"/>
        <v>0</v>
      </c>
      <c r="K163" s="26">
        <f t="shared" si="38"/>
        <v>0</v>
      </c>
      <c r="L163" s="146">
        <f t="shared" si="39"/>
        <v>0</v>
      </c>
      <c r="M163" s="146" t="s">
        <v>830</v>
      </c>
      <c r="N163" s="146" t="s">
        <v>831</v>
      </c>
    </row>
    <row r="164" spans="1:14" s="36" customFormat="1" x14ac:dyDescent="0.4">
      <c r="A164" s="16">
        <v>140384</v>
      </c>
      <c r="B164" s="424">
        <v>45</v>
      </c>
      <c r="C164" s="16">
        <f t="shared" si="36"/>
        <v>225</v>
      </c>
      <c r="D164" s="424">
        <v>0</v>
      </c>
      <c r="E164" s="424">
        <v>0</v>
      </c>
      <c r="F164" s="424">
        <v>0</v>
      </c>
      <c r="G164" s="424">
        <v>0</v>
      </c>
      <c r="H164" s="424">
        <v>0</v>
      </c>
      <c r="I164" s="424">
        <v>0</v>
      </c>
      <c r="J164" s="26">
        <f t="shared" si="37"/>
        <v>0</v>
      </c>
      <c r="K164" s="26">
        <f t="shared" si="38"/>
        <v>0</v>
      </c>
      <c r="L164" s="424">
        <f t="shared" si="39"/>
        <v>0</v>
      </c>
      <c r="M164" s="424" t="s">
        <v>830</v>
      </c>
      <c r="N164" s="424" t="s">
        <v>831</v>
      </c>
    </row>
    <row r="165" spans="1:14" s="36" customFormat="1" x14ac:dyDescent="0.4">
      <c r="A165" s="1">
        <v>140385</v>
      </c>
      <c r="B165" s="352">
        <v>60</v>
      </c>
      <c r="C165" s="1">
        <f t="shared" si="36"/>
        <v>300</v>
      </c>
      <c r="D165" s="352">
        <v>0</v>
      </c>
      <c r="E165" s="352">
        <v>0</v>
      </c>
      <c r="F165" s="352">
        <v>0</v>
      </c>
      <c r="G165" s="352">
        <v>0</v>
      </c>
      <c r="H165" s="352">
        <v>0</v>
      </c>
      <c r="I165" s="352">
        <v>1</v>
      </c>
      <c r="J165" s="140">
        <f t="shared" si="37"/>
        <v>1</v>
      </c>
      <c r="K165" s="140">
        <f t="shared" si="38"/>
        <v>0</v>
      </c>
      <c r="L165" s="352">
        <f t="shared" si="39"/>
        <v>0</v>
      </c>
      <c r="M165" s="352" t="s">
        <v>832</v>
      </c>
      <c r="N165" s="352" t="s">
        <v>833</v>
      </c>
    </row>
    <row r="166" spans="1:14" s="36" customFormat="1" x14ac:dyDescent="0.4">
      <c r="A166" s="16">
        <v>140386</v>
      </c>
      <c r="B166" s="172">
        <v>60</v>
      </c>
      <c r="C166" s="16">
        <f t="shared" si="36"/>
        <v>300</v>
      </c>
      <c r="D166" s="172">
        <v>0</v>
      </c>
      <c r="E166" s="172">
        <v>0</v>
      </c>
      <c r="F166" s="172">
        <v>0</v>
      </c>
      <c r="G166" s="172">
        <v>0</v>
      </c>
      <c r="H166" s="172">
        <v>0</v>
      </c>
      <c r="I166" s="172">
        <v>0</v>
      </c>
      <c r="J166" s="26">
        <f t="shared" si="37"/>
        <v>0</v>
      </c>
      <c r="K166" s="26">
        <f t="shared" si="38"/>
        <v>0</v>
      </c>
      <c r="L166" s="172">
        <f t="shared" si="39"/>
        <v>0</v>
      </c>
      <c r="M166" s="172" t="s">
        <v>834</v>
      </c>
      <c r="N166" s="172" t="s">
        <v>835</v>
      </c>
    </row>
    <row r="167" spans="1:14" s="36" customFormat="1" x14ac:dyDescent="0.4">
      <c r="A167" s="16">
        <v>140387</v>
      </c>
      <c r="B167" s="171">
        <v>60</v>
      </c>
      <c r="C167" s="16">
        <f t="shared" si="36"/>
        <v>300</v>
      </c>
      <c r="D167" s="171">
        <v>0</v>
      </c>
      <c r="E167" s="171">
        <v>0</v>
      </c>
      <c r="F167" s="171">
        <v>0</v>
      </c>
      <c r="G167" s="171">
        <v>0</v>
      </c>
      <c r="H167" s="171">
        <v>0</v>
      </c>
      <c r="I167" s="171">
        <v>0</v>
      </c>
      <c r="J167" s="26">
        <f t="shared" si="37"/>
        <v>0</v>
      </c>
      <c r="K167" s="26">
        <f t="shared" si="38"/>
        <v>0</v>
      </c>
      <c r="L167" s="171">
        <f t="shared" si="39"/>
        <v>0</v>
      </c>
      <c r="M167" s="171" t="s">
        <v>834</v>
      </c>
      <c r="N167" s="171" t="s">
        <v>835</v>
      </c>
    </row>
    <row r="168" spans="1:14" s="36" customFormat="1" x14ac:dyDescent="0.4">
      <c r="A168" s="16">
        <v>140388</v>
      </c>
      <c r="B168" s="115">
        <v>45</v>
      </c>
      <c r="C168" s="16">
        <f t="shared" si="36"/>
        <v>225</v>
      </c>
      <c r="D168" s="115">
        <v>0</v>
      </c>
      <c r="E168" s="115">
        <v>0</v>
      </c>
      <c r="F168" s="115">
        <v>0</v>
      </c>
      <c r="G168" s="115">
        <v>0</v>
      </c>
      <c r="H168" s="115">
        <v>0</v>
      </c>
      <c r="I168" s="115">
        <v>0</v>
      </c>
      <c r="J168" s="26">
        <f t="shared" si="37"/>
        <v>0</v>
      </c>
      <c r="K168" s="26">
        <f t="shared" si="38"/>
        <v>0</v>
      </c>
      <c r="L168" s="115">
        <f t="shared" si="39"/>
        <v>0</v>
      </c>
      <c r="M168" s="115" t="s">
        <v>834</v>
      </c>
      <c r="N168" s="115" t="s">
        <v>835</v>
      </c>
    </row>
    <row r="169" spans="1:14" s="36" customFormat="1" x14ac:dyDescent="0.4">
      <c r="A169" s="1">
        <v>140389</v>
      </c>
      <c r="B169" s="352">
        <v>60</v>
      </c>
      <c r="C169" s="1">
        <f t="shared" si="36"/>
        <v>300</v>
      </c>
      <c r="D169" s="352">
        <v>0</v>
      </c>
      <c r="E169" s="352">
        <v>0</v>
      </c>
      <c r="F169" s="352">
        <v>0</v>
      </c>
      <c r="G169" s="352">
        <v>0</v>
      </c>
      <c r="H169" s="352">
        <v>0</v>
      </c>
      <c r="I169" s="352">
        <v>1</v>
      </c>
      <c r="J169" s="140">
        <f t="shared" si="37"/>
        <v>1</v>
      </c>
      <c r="K169" s="140">
        <f t="shared" si="38"/>
        <v>0</v>
      </c>
      <c r="L169" s="352">
        <f t="shared" si="39"/>
        <v>0</v>
      </c>
      <c r="M169" s="352" t="s">
        <v>834</v>
      </c>
      <c r="N169" s="352" t="s">
        <v>835</v>
      </c>
    </row>
    <row r="170" spans="1:14" s="36" customFormat="1" x14ac:dyDescent="0.4">
      <c r="A170" s="1">
        <v>140390</v>
      </c>
      <c r="B170" s="352">
        <v>45</v>
      </c>
      <c r="C170" s="1">
        <f t="shared" ref="C170:C178" si="41">SUM(B170*5)</f>
        <v>225</v>
      </c>
      <c r="D170" s="352">
        <v>0</v>
      </c>
      <c r="E170" s="352">
        <v>0</v>
      </c>
      <c r="F170" s="352">
        <v>0</v>
      </c>
      <c r="G170" s="352">
        <v>0</v>
      </c>
      <c r="H170" s="352">
        <v>0</v>
      </c>
      <c r="I170" s="352">
        <v>1</v>
      </c>
      <c r="J170" s="140">
        <f t="shared" ref="J170:J178" si="42">SUM(D170:I170)</f>
        <v>1</v>
      </c>
      <c r="K170" s="140">
        <f t="shared" ref="K170:K178" si="43">SUM(D170:H170)</f>
        <v>0</v>
      </c>
      <c r="L170" s="352">
        <f t="shared" ref="L170:L178" si="44">B170*K170</f>
        <v>0</v>
      </c>
      <c r="M170" s="352" t="s">
        <v>836</v>
      </c>
      <c r="N170" s="352" t="s">
        <v>837</v>
      </c>
    </row>
    <row r="171" spans="1:14" s="36" customFormat="1" x14ac:dyDescent="0.4">
      <c r="A171" s="1">
        <v>140391</v>
      </c>
      <c r="B171" s="352">
        <v>45</v>
      </c>
      <c r="C171" s="1">
        <f t="shared" si="41"/>
        <v>225</v>
      </c>
      <c r="D171" s="352">
        <v>0</v>
      </c>
      <c r="E171" s="352">
        <v>0</v>
      </c>
      <c r="F171" s="352">
        <v>0</v>
      </c>
      <c r="G171" s="352">
        <v>0</v>
      </c>
      <c r="H171" s="352">
        <v>0</v>
      </c>
      <c r="I171" s="352">
        <v>1</v>
      </c>
      <c r="J171" s="140">
        <f t="shared" si="42"/>
        <v>1</v>
      </c>
      <c r="K171" s="140">
        <f t="shared" si="43"/>
        <v>0</v>
      </c>
      <c r="L171" s="352">
        <f t="shared" si="44"/>
        <v>0</v>
      </c>
      <c r="M171" s="352" t="s">
        <v>836</v>
      </c>
      <c r="N171" s="352" t="s">
        <v>837</v>
      </c>
    </row>
    <row r="172" spans="1:14" s="36" customFormat="1" x14ac:dyDescent="0.4">
      <c r="A172" s="1">
        <v>140392</v>
      </c>
      <c r="B172" s="352">
        <v>45</v>
      </c>
      <c r="C172" s="1">
        <f t="shared" si="41"/>
        <v>225</v>
      </c>
      <c r="D172" s="352">
        <v>0</v>
      </c>
      <c r="E172" s="352">
        <v>0</v>
      </c>
      <c r="F172" s="352">
        <v>1</v>
      </c>
      <c r="G172" s="352">
        <v>1</v>
      </c>
      <c r="H172" s="352">
        <v>1</v>
      </c>
      <c r="I172" s="352">
        <v>1</v>
      </c>
      <c r="J172" s="140">
        <f t="shared" si="42"/>
        <v>4</v>
      </c>
      <c r="K172" s="140">
        <f t="shared" si="43"/>
        <v>3</v>
      </c>
      <c r="L172" s="352">
        <f t="shared" si="44"/>
        <v>135</v>
      </c>
      <c r="M172" s="352" t="s">
        <v>838</v>
      </c>
      <c r="N172" s="352" t="s">
        <v>839</v>
      </c>
    </row>
    <row r="173" spans="1:14" s="36" customFormat="1" x14ac:dyDescent="0.4">
      <c r="A173" s="16">
        <v>140393</v>
      </c>
      <c r="B173" s="96">
        <v>35</v>
      </c>
      <c r="C173" s="16">
        <f t="shared" si="41"/>
        <v>175</v>
      </c>
      <c r="D173" s="96">
        <v>0</v>
      </c>
      <c r="E173" s="96">
        <v>0</v>
      </c>
      <c r="F173" s="96">
        <v>0</v>
      </c>
      <c r="G173" s="96">
        <v>0</v>
      </c>
      <c r="H173" s="96">
        <v>0</v>
      </c>
      <c r="I173" s="96">
        <v>0</v>
      </c>
      <c r="J173" s="26">
        <f t="shared" si="42"/>
        <v>0</v>
      </c>
      <c r="K173" s="26">
        <f t="shared" si="43"/>
        <v>0</v>
      </c>
      <c r="L173" s="96">
        <f t="shared" si="44"/>
        <v>0</v>
      </c>
      <c r="M173" s="96" t="s">
        <v>842</v>
      </c>
      <c r="N173" s="96" t="s">
        <v>843</v>
      </c>
    </row>
    <row r="174" spans="1:14" s="36" customFormat="1" x14ac:dyDescent="0.4">
      <c r="A174" s="16">
        <v>140394</v>
      </c>
      <c r="B174" s="147">
        <v>60</v>
      </c>
      <c r="C174" s="16">
        <f t="shared" si="41"/>
        <v>300</v>
      </c>
      <c r="D174" s="147">
        <v>0</v>
      </c>
      <c r="E174" s="147">
        <v>0</v>
      </c>
      <c r="F174" s="147">
        <v>0</v>
      </c>
      <c r="G174" s="147">
        <v>0</v>
      </c>
      <c r="H174" s="147">
        <v>0</v>
      </c>
      <c r="I174" s="147">
        <v>0</v>
      </c>
      <c r="J174" s="26">
        <f t="shared" si="42"/>
        <v>0</v>
      </c>
      <c r="K174" s="26">
        <f t="shared" si="43"/>
        <v>0</v>
      </c>
      <c r="L174" s="147">
        <f t="shared" si="44"/>
        <v>0</v>
      </c>
      <c r="M174" s="147" t="s">
        <v>840</v>
      </c>
      <c r="N174" s="147" t="s">
        <v>841</v>
      </c>
    </row>
    <row r="175" spans="1:14" s="36" customFormat="1" x14ac:dyDescent="0.4">
      <c r="A175" s="1">
        <v>140395</v>
      </c>
      <c r="B175" s="369">
        <v>75</v>
      </c>
      <c r="C175" s="1">
        <f t="shared" si="41"/>
        <v>375</v>
      </c>
      <c r="D175" s="369">
        <v>0</v>
      </c>
      <c r="E175" s="369">
        <v>0</v>
      </c>
      <c r="F175" s="369">
        <v>0</v>
      </c>
      <c r="G175" s="369">
        <v>0</v>
      </c>
      <c r="H175" s="369">
        <v>0</v>
      </c>
      <c r="I175" s="369">
        <v>1</v>
      </c>
      <c r="J175" s="140">
        <f t="shared" si="42"/>
        <v>1</v>
      </c>
      <c r="K175" s="140">
        <f t="shared" si="43"/>
        <v>0</v>
      </c>
      <c r="L175" s="369">
        <f t="shared" si="44"/>
        <v>0</v>
      </c>
      <c r="M175" s="369" t="s">
        <v>840</v>
      </c>
      <c r="N175" s="369" t="s">
        <v>841</v>
      </c>
    </row>
    <row r="176" spans="1:14" s="36" customFormat="1" x14ac:dyDescent="0.4">
      <c r="A176" s="16">
        <v>140396</v>
      </c>
      <c r="B176" s="298">
        <v>50</v>
      </c>
      <c r="C176" s="16">
        <f t="shared" si="41"/>
        <v>250</v>
      </c>
      <c r="D176" s="298">
        <v>0</v>
      </c>
      <c r="E176" s="298">
        <v>0</v>
      </c>
      <c r="F176" s="298">
        <v>0</v>
      </c>
      <c r="G176" s="298">
        <v>0</v>
      </c>
      <c r="H176" s="298">
        <v>0</v>
      </c>
      <c r="I176" s="298">
        <v>0</v>
      </c>
      <c r="J176" s="26">
        <f t="shared" si="42"/>
        <v>0</v>
      </c>
      <c r="K176" s="26">
        <f t="shared" si="43"/>
        <v>0</v>
      </c>
      <c r="L176" s="298">
        <f t="shared" si="44"/>
        <v>0</v>
      </c>
      <c r="M176" s="298" t="s">
        <v>844</v>
      </c>
      <c r="N176" s="298" t="s">
        <v>845</v>
      </c>
    </row>
    <row r="177" spans="1:14" s="36" customFormat="1" x14ac:dyDescent="0.4">
      <c r="A177" s="16">
        <v>140397</v>
      </c>
      <c r="B177" s="174">
        <v>84</v>
      </c>
      <c r="C177" s="16">
        <f t="shared" si="41"/>
        <v>420</v>
      </c>
      <c r="D177" s="174">
        <v>0</v>
      </c>
      <c r="E177" s="174">
        <v>0</v>
      </c>
      <c r="F177" s="174">
        <v>0</v>
      </c>
      <c r="G177" s="174">
        <v>0</v>
      </c>
      <c r="H177" s="174">
        <v>0</v>
      </c>
      <c r="I177" s="174">
        <v>0</v>
      </c>
      <c r="J177" s="26">
        <f t="shared" si="42"/>
        <v>0</v>
      </c>
      <c r="K177" s="26">
        <f t="shared" si="43"/>
        <v>0</v>
      </c>
      <c r="L177" s="174">
        <f t="shared" si="44"/>
        <v>0</v>
      </c>
      <c r="M177" s="174" t="s">
        <v>844</v>
      </c>
      <c r="N177" s="174" t="s">
        <v>845</v>
      </c>
    </row>
    <row r="178" spans="1:14" s="36" customFormat="1" x14ac:dyDescent="0.4">
      <c r="A178" s="16">
        <v>140398</v>
      </c>
      <c r="B178" s="370">
        <v>60</v>
      </c>
      <c r="C178" s="16">
        <f t="shared" si="41"/>
        <v>300</v>
      </c>
      <c r="D178" s="370">
        <v>0</v>
      </c>
      <c r="E178" s="370">
        <v>0</v>
      </c>
      <c r="F178" s="370">
        <v>0</v>
      </c>
      <c r="G178" s="370">
        <v>0</v>
      </c>
      <c r="H178" s="370">
        <v>0</v>
      </c>
      <c r="I178" s="370">
        <v>0</v>
      </c>
      <c r="J178" s="26">
        <f t="shared" si="42"/>
        <v>0</v>
      </c>
      <c r="K178" s="26">
        <f t="shared" si="43"/>
        <v>0</v>
      </c>
      <c r="L178" s="370">
        <f t="shared" si="44"/>
        <v>0</v>
      </c>
      <c r="M178" s="370" t="s">
        <v>844</v>
      </c>
      <c r="N178" s="370" t="s">
        <v>845</v>
      </c>
    </row>
    <row r="179" spans="1:14" s="36" customFormat="1" x14ac:dyDescent="0.4">
      <c r="A179" s="16">
        <v>140399</v>
      </c>
      <c r="B179" s="183">
        <v>60</v>
      </c>
      <c r="C179" s="16">
        <f t="shared" ref="C179:C199" si="45">SUM(B179*5)</f>
        <v>300</v>
      </c>
      <c r="D179" s="183">
        <v>0</v>
      </c>
      <c r="E179" s="183">
        <v>0</v>
      </c>
      <c r="F179" s="183">
        <v>0</v>
      </c>
      <c r="G179" s="183">
        <v>0</v>
      </c>
      <c r="H179" s="183">
        <v>0</v>
      </c>
      <c r="I179" s="183">
        <v>0</v>
      </c>
      <c r="J179" s="26">
        <f t="shared" ref="J179:J199" si="46">SUM(D179:I179)</f>
        <v>0</v>
      </c>
      <c r="K179" s="26">
        <f t="shared" ref="K179:K199" si="47">SUM(D179:H179)</f>
        <v>0</v>
      </c>
      <c r="L179" s="183">
        <f t="shared" ref="L179:L199" si="48">B179*K179</f>
        <v>0</v>
      </c>
      <c r="M179" s="183" t="s">
        <v>846</v>
      </c>
      <c r="N179" s="183" t="s">
        <v>847</v>
      </c>
    </row>
    <row r="180" spans="1:14" x14ac:dyDescent="0.4">
      <c r="A180" s="16">
        <v>140400</v>
      </c>
      <c r="B180" s="143">
        <v>60</v>
      </c>
      <c r="C180" s="16">
        <f t="shared" si="45"/>
        <v>300</v>
      </c>
      <c r="D180" s="143">
        <v>0</v>
      </c>
      <c r="E180" s="143">
        <v>0</v>
      </c>
      <c r="F180" s="143">
        <v>0</v>
      </c>
      <c r="G180" s="143">
        <v>0</v>
      </c>
      <c r="H180" s="143">
        <v>0</v>
      </c>
      <c r="I180" s="143">
        <v>0</v>
      </c>
      <c r="J180" s="26">
        <f t="shared" si="46"/>
        <v>0</v>
      </c>
      <c r="K180" s="26">
        <f t="shared" si="47"/>
        <v>0</v>
      </c>
      <c r="L180" s="143">
        <f t="shared" si="48"/>
        <v>0</v>
      </c>
      <c r="M180" s="143" t="s">
        <v>848</v>
      </c>
      <c r="N180" s="143" t="s">
        <v>849</v>
      </c>
    </row>
    <row r="181" spans="1:14" x14ac:dyDescent="0.4">
      <c r="A181" s="16">
        <v>140401</v>
      </c>
      <c r="B181" s="132">
        <v>60</v>
      </c>
      <c r="C181" s="16">
        <f t="shared" si="45"/>
        <v>300</v>
      </c>
      <c r="D181" s="132">
        <v>0</v>
      </c>
      <c r="E181" s="132">
        <v>0</v>
      </c>
      <c r="F181" s="132">
        <v>0</v>
      </c>
      <c r="G181" s="132">
        <v>0</v>
      </c>
      <c r="H181" s="132">
        <v>0</v>
      </c>
      <c r="I181" s="132">
        <v>0</v>
      </c>
      <c r="J181" s="26">
        <f t="shared" si="46"/>
        <v>0</v>
      </c>
      <c r="K181" s="26">
        <f t="shared" si="47"/>
        <v>0</v>
      </c>
      <c r="L181" s="132">
        <f t="shared" si="48"/>
        <v>0</v>
      </c>
      <c r="M181" s="132" t="s">
        <v>850</v>
      </c>
      <c r="N181" s="132" t="s">
        <v>851</v>
      </c>
    </row>
    <row r="182" spans="1:14" x14ac:dyDescent="0.4">
      <c r="A182" s="16">
        <v>140402</v>
      </c>
      <c r="B182" s="370">
        <v>50</v>
      </c>
      <c r="C182" s="16">
        <f t="shared" si="45"/>
        <v>250</v>
      </c>
      <c r="D182" s="370">
        <v>0</v>
      </c>
      <c r="E182" s="370">
        <v>0</v>
      </c>
      <c r="F182" s="370">
        <v>0</v>
      </c>
      <c r="G182" s="370">
        <v>0</v>
      </c>
      <c r="H182" s="370">
        <v>0</v>
      </c>
      <c r="I182" s="370">
        <v>0</v>
      </c>
      <c r="J182" s="26">
        <f t="shared" si="46"/>
        <v>0</v>
      </c>
      <c r="K182" s="26">
        <f t="shared" si="47"/>
        <v>0</v>
      </c>
      <c r="L182" s="370">
        <f t="shared" si="48"/>
        <v>0</v>
      </c>
      <c r="M182" s="370" t="s">
        <v>852</v>
      </c>
      <c r="N182" s="370" t="s">
        <v>853</v>
      </c>
    </row>
    <row r="183" spans="1:14" x14ac:dyDescent="0.4">
      <c r="A183" s="1">
        <v>140403</v>
      </c>
      <c r="B183" s="369">
        <v>60</v>
      </c>
      <c r="C183" s="1">
        <f t="shared" si="45"/>
        <v>300</v>
      </c>
      <c r="D183" s="369">
        <v>0</v>
      </c>
      <c r="E183" s="369">
        <v>0</v>
      </c>
      <c r="F183" s="369">
        <v>0</v>
      </c>
      <c r="G183" s="369">
        <v>0</v>
      </c>
      <c r="H183" s="369">
        <v>1</v>
      </c>
      <c r="I183" s="369">
        <v>1</v>
      </c>
      <c r="J183" s="140">
        <f t="shared" si="46"/>
        <v>2</v>
      </c>
      <c r="K183" s="140">
        <f t="shared" si="47"/>
        <v>1</v>
      </c>
      <c r="L183" s="369">
        <f t="shared" si="48"/>
        <v>60</v>
      </c>
      <c r="M183" s="369" t="s">
        <v>854</v>
      </c>
      <c r="N183" s="369" t="s">
        <v>855</v>
      </c>
    </row>
    <row r="184" spans="1:14" x14ac:dyDescent="0.4">
      <c r="A184" s="16">
        <v>140404</v>
      </c>
      <c r="B184" s="309">
        <v>60</v>
      </c>
      <c r="C184" s="16">
        <f t="shared" si="45"/>
        <v>300</v>
      </c>
      <c r="D184" s="309">
        <v>0</v>
      </c>
      <c r="E184" s="309">
        <v>0</v>
      </c>
      <c r="F184" s="309">
        <v>0</v>
      </c>
      <c r="G184" s="309">
        <v>0</v>
      </c>
      <c r="H184" s="309">
        <v>0</v>
      </c>
      <c r="I184" s="309">
        <v>0</v>
      </c>
      <c r="J184" s="26">
        <f t="shared" si="46"/>
        <v>0</v>
      </c>
      <c r="K184" s="26">
        <f t="shared" si="47"/>
        <v>0</v>
      </c>
      <c r="L184" s="309">
        <f t="shared" si="48"/>
        <v>0</v>
      </c>
      <c r="M184" s="309" t="s">
        <v>854</v>
      </c>
      <c r="N184" s="309" t="s">
        <v>855</v>
      </c>
    </row>
    <row r="185" spans="1:14" x14ac:dyDescent="0.4">
      <c r="A185" s="1">
        <v>140405</v>
      </c>
      <c r="B185" s="369">
        <v>50</v>
      </c>
      <c r="C185" s="1">
        <f t="shared" si="45"/>
        <v>250</v>
      </c>
      <c r="D185" s="369">
        <v>0</v>
      </c>
      <c r="E185" s="369">
        <v>0</v>
      </c>
      <c r="F185" s="369">
        <v>0</v>
      </c>
      <c r="G185" s="369">
        <v>0</v>
      </c>
      <c r="H185" s="369">
        <v>0</v>
      </c>
      <c r="I185" s="369">
        <v>1</v>
      </c>
      <c r="J185" s="140">
        <f t="shared" si="46"/>
        <v>1</v>
      </c>
      <c r="K185" s="140">
        <f t="shared" si="47"/>
        <v>0</v>
      </c>
      <c r="L185" s="369">
        <f t="shared" si="48"/>
        <v>0</v>
      </c>
      <c r="M185" s="369" t="s">
        <v>854</v>
      </c>
      <c r="N185" s="369" t="s">
        <v>855</v>
      </c>
    </row>
    <row r="186" spans="1:14" x14ac:dyDescent="0.4">
      <c r="A186" s="16">
        <v>140406</v>
      </c>
      <c r="B186" s="172">
        <v>45</v>
      </c>
      <c r="C186" s="16">
        <f t="shared" si="45"/>
        <v>225</v>
      </c>
      <c r="D186" s="172">
        <v>0</v>
      </c>
      <c r="E186" s="172">
        <v>0</v>
      </c>
      <c r="F186" s="172">
        <v>0</v>
      </c>
      <c r="G186" s="172">
        <v>0</v>
      </c>
      <c r="H186" s="172">
        <v>0</v>
      </c>
      <c r="I186" s="172">
        <v>0</v>
      </c>
      <c r="J186" s="26">
        <f t="shared" si="46"/>
        <v>0</v>
      </c>
      <c r="K186" s="26">
        <f t="shared" si="47"/>
        <v>0</v>
      </c>
      <c r="L186" s="172">
        <f t="shared" si="48"/>
        <v>0</v>
      </c>
      <c r="M186" s="172" t="s">
        <v>854</v>
      </c>
      <c r="N186" s="172" t="s">
        <v>855</v>
      </c>
    </row>
    <row r="187" spans="1:14" x14ac:dyDescent="0.4">
      <c r="A187" s="16">
        <v>140407</v>
      </c>
      <c r="B187" s="200">
        <v>45</v>
      </c>
      <c r="C187" s="16">
        <f t="shared" si="45"/>
        <v>225</v>
      </c>
      <c r="D187" s="200">
        <v>0</v>
      </c>
      <c r="E187" s="200">
        <v>0</v>
      </c>
      <c r="F187" s="200">
        <v>0</v>
      </c>
      <c r="G187" s="200">
        <v>0</v>
      </c>
      <c r="H187" s="200">
        <v>0</v>
      </c>
      <c r="I187" s="200">
        <v>0</v>
      </c>
      <c r="J187" s="26">
        <f t="shared" si="46"/>
        <v>0</v>
      </c>
      <c r="K187" s="26">
        <f t="shared" si="47"/>
        <v>0</v>
      </c>
      <c r="L187" s="200">
        <f t="shared" si="48"/>
        <v>0</v>
      </c>
      <c r="M187" s="200" t="s">
        <v>856</v>
      </c>
      <c r="N187" s="200" t="s">
        <v>857</v>
      </c>
    </row>
    <row r="188" spans="1:14" x14ac:dyDescent="0.4">
      <c r="A188" s="247">
        <v>140408</v>
      </c>
      <c r="B188" s="248">
        <v>45</v>
      </c>
      <c r="C188" s="247">
        <f t="shared" si="45"/>
        <v>225</v>
      </c>
      <c r="D188" s="248">
        <v>0</v>
      </c>
      <c r="E188" s="248">
        <v>0</v>
      </c>
      <c r="F188" s="248">
        <v>0</v>
      </c>
      <c r="G188" s="248">
        <v>0</v>
      </c>
      <c r="H188" s="248">
        <v>0</v>
      </c>
      <c r="I188" s="248">
        <v>0</v>
      </c>
      <c r="J188" s="249">
        <f t="shared" si="46"/>
        <v>0</v>
      </c>
      <c r="K188" s="249">
        <f t="shared" si="47"/>
        <v>0</v>
      </c>
      <c r="L188" s="248">
        <f t="shared" si="48"/>
        <v>0</v>
      </c>
      <c r="M188" s="248" t="s">
        <v>858</v>
      </c>
      <c r="N188" s="248" t="s">
        <v>859</v>
      </c>
    </row>
    <row r="189" spans="1:14" x14ac:dyDescent="0.4">
      <c r="A189" s="1">
        <v>140409</v>
      </c>
      <c r="B189" s="369">
        <v>45</v>
      </c>
      <c r="C189" s="1">
        <f t="shared" si="45"/>
        <v>225</v>
      </c>
      <c r="D189" s="369">
        <v>0</v>
      </c>
      <c r="E189" s="369">
        <v>0</v>
      </c>
      <c r="F189" s="369">
        <v>0</v>
      </c>
      <c r="G189" s="369">
        <v>1</v>
      </c>
      <c r="H189" s="369">
        <v>1</v>
      </c>
      <c r="I189" s="369">
        <v>1</v>
      </c>
      <c r="J189" s="140">
        <f t="shared" si="46"/>
        <v>3</v>
      </c>
      <c r="K189" s="140">
        <f t="shared" si="47"/>
        <v>2</v>
      </c>
      <c r="L189" s="369">
        <f t="shared" si="48"/>
        <v>90</v>
      </c>
      <c r="M189" s="369" t="s">
        <v>858</v>
      </c>
      <c r="N189" s="369" t="s">
        <v>859</v>
      </c>
    </row>
    <row r="190" spans="1:14" x14ac:dyDescent="0.4">
      <c r="A190" s="16">
        <v>140410</v>
      </c>
      <c r="B190" s="130">
        <v>60</v>
      </c>
      <c r="C190" s="16">
        <f t="shared" si="45"/>
        <v>300</v>
      </c>
      <c r="D190" s="130">
        <v>0</v>
      </c>
      <c r="E190" s="130">
        <v>0</v>
      </c>
      <c r="F190" s="130">
        <v>0</v>
      </c>
      <c r="G190" s="130">
        <v>0</v>
      </c>
      <c r="H190" s="130">
        <v>0</v>
      </c>
      <c r="I190" s="130">
        <v>0</v>
      </c>
      <c r="J190" s="26">
        <f t="shared" si="46"/>
        <v>0</v>
      </c>
      <c r="K190" s="26">
        <f t="shared" si="47"/>
        <v>0</v>
      </c>
      <c r="L190" s="130">
        <f t="shared" si="48"/>
        <v>0</v>
      </c>
      <c r="M190" s="130" t="s">
        <v>860</v>
      </c>
      <c r="N190" s="130" t="s">
        <v>861</v>
      </c>
    </row>
    <row r="191" spans="1:14" x14ac:dyDescent="0.4">
      <c r="A191" s="16">
        <v>140411</v>
      </c>
      <c r="B191" s="149">
        <v>45</v>
      </c>
      <c r="C191" s="16">
        <f t="shared" si="45"/>
        <v>225</v>
      </c>
      <c r="D191" s="149">
        <v>0</v>
      </c>
      <c r="E191" s="149">
        <v>0</v>
      </c>
      <c r="F191" s="149">
        <v>0</v>
      </c>
      <c r="G191" s="149">
        <v>0</v>
      </c>
      <c r="H191" s="149">
        <v>0</v>
      </c>
      <c r="I191" s="149">
        <v>0</v>
      </c>
      <c r="J191" s="26">
        <f t="shared" si="46"/>
        <v>0</v>
      </c>
      <c r="K191" s="26">
        <f t="shared" si="47"/>
        <v>0</v>
      </c>
      <c r="L191" s="149">
        <f t="shared" si="48"/>
        <v>0</v>
      </c>
      <c r="M191" s="149" t="s">
        <v>860</v>
      </c>
      <c r="N191" s="149" t="s">
        <v>861</v>
      </c>
    </row>
    <row r="192" spans="1:14" x14ac:dyDescent="0.4">
      <c r="A192" s="1">
        <v>140412</v>
      </c>
      <c r="B192" s="369">
        <v>60</v>
      </c>
      <c r="C192" s="1">
        <f t="shared" si="45"/>
        <v>300</v>
      </c>
      <c r="D192" s="369">
        <v>0</v>
      </c>
      <c r="E192" s="369">
        <v>0</v>
      </c>
      <c r="F192" s="369">
        <v>0</v>
      </c>
      <c r="G192" s="369">
        <v>0</v>
      </c>
      <c r="H192" s="369">
        <v>0</v>
      </c>
      <c r="I192" s="369">
        <v>1</v>
      </c>
      <c r="J192" s="140">
        <f t="shared" si="46"/>
        <v>1</v>
      </c>
      <c r="K192" s="140">
        <f t="shared" si="47"/>
        <v>0</v>
      </c>
      <c r="L192" s="369">
        <f t="shared" si="48"/>
        <v>0</v>
      </c>
      <c r="M192" s="369" t="s">
        <v>860</v>
      </c>
      <c r="N192" s="369" t="s">
        <v>861</v>
      </c>
    </row>
    <row r="193" spans="1:14" x14ac:dyDescent="0.4">
      <c r="A193" s="16">
        <v>140413</v>
      </c>
      <c r="B193" s="274">
        <v>60</v>
      </c>
      <c r="C193" s="16">
        <f t="shared" si="45"/>
        <v>300</v>
      </c>
      <c r="D193" s="274">
        <v>0</v>
      </c>
      <c r="E193" s="274">
        <v>0</v>
      </c>
      <c r="F193" s="274">
        <v>0</v>
      </c>
      <c r="G193" s="274">
        <v>0</v>
      </c>
      <c r="H193" s="274">
        <v>0</v>
      </c>
      <c r="I193" s="274">
        <v>0</v>
      </c>
      <c r="J193" s="26">
        <f t="shared" si="46"/>
        <v>0</v>
      </c>
      <c r="K193" s="26">
        <f t="shared" si="47"/>
        <v>0</v>
      </c>
      <c r="L193" s="274">
        <f t="shared" si="48"/>
        <v>0</v>
      </c>
      <c r="M193" s="274" t="s">
        <v>862</v>
      </c>
      <c r="N193" s="274" t="s">
        <v>863</v>
      </c>
    </row>
    <row r="194" spans="1:14" x14ac:dyDescent="0.4">
      <c r="A194" s="16">
        <v>140414</v>
      </c>
      <c r="B194" s="209">
        <v>45</v>
      </c>
      <c r="C194" s="16">
        <f t="shared" si="45"/>
        <v>225</v>
      </c>
      <c r="D194" s="209">
        <v>0</v>
      </c>
      <c r="E194" s="209">
        <v>0</v>
      </c>
      <c r="F194" s="209">
        <v>0</v>
      </c>
      <c r="G194" s="209">
        <v>0</v>
      </c>
      <c r="H194" s="209">
        <v>0</v>
      </c>
      <c r="I194" s="209">
        <v>0</v>
      </c>
      <c r="J194" s="26">
        <f t="shared" si="46"/>
        <v>0</v>
      </c>
      <c r="K194" s="26">
        <f t="shared" si="47"/>
        <v>0</v>
      </c>
      <c r="L194" s="209">
        <f t="shared" si="48"/>
        <v>0</v>
      </c>
      <c r="M194" s="209" t="s">
        <v>862</v>
      </c>
      <c r="N194" s="209" t="s">
        <v>863</v>
      </c>
    </row>
    <row r="195" spans="1:14" x14ac:dyDescent="0.4">
      <c r="A195" s="1">
        <v>140415</v>
      </c>
      <c r="B195" s="369">
        <v>45</v>
      </c>
      <c r="C195" s="1">
        <f t="shared" si="45"/>
        <v>225</v>
      </c>
      <c r="D195" s="369">
        <v>0</v>
      </c>
      <c r="E195" s="369">
        <v>0</v>
      </c>
      <c r="F195" s="369">
        <v>0</v>
      </c>
      <c r="G195" s="369">
        <v>0</v>
      </c>
      <c r="H195" s="369">
        <v>0</v>
      </c>
      <c r="I195" s="369">
        <v>0</v>
      </c>
      <c r="J195" s="140">
        <f t="shared" si="46"/>
        <v>0</v>
      </c>
      <c r="K195" s="140">
        <f t="shared" si="47"/>
        <v>0</v>
      </c>
      <c r="L195" s="369">
        <f t="shared" si="48"/>
        <v>0</v>
      </c>
      <c r="M195" s="369" t="s">
        <v>865</v>
      </c>
      <c r="N195" s="369" t="s">
        <v>866</v>
      </c>
    </row>
    <row r="196" spans="1:14" x14ac:dyDescent="0.4">
      <c r="A196" s="16">
        <v>140416</v>
      </c>
      <c r="B196" s="206">
        <v>60</v>
      </c>
      <c r="C196" s="16">
        <f t="shared" si="45"/>
        <v>300</v>
      </c>
      <c r="D196" s="206">
        <v>0</v>
      </c>
      <c r="E196" s="206">
        <v>0</v>
      </c>
      <c r="F196" s="206">
        <v>0</v>
      </c>
      <c r="G196" s="206">
        <v>0</v>
      </c>
      <c r="H196" s="206">
        <v>0</v>
      </c>
      <c r="I196" s="206">
        <v>0</v>
      </c>
      <c r="J196" s="26">
        <f t="shared" si="46"/>
        <v>0</v>
      </c>
      <c r="K196" s="26">
        <f t="shared" si="47"/>
        <v>0</v>
      </c>
      <c r="L196" s="206">
        <f t="shared" si="48"/>
        <v>0</v>
      </c>
      <c r="M196" s="206" t="s">
        <v>867</v>
      </c>
      <c r="N196" s="206" t="s">
        <v>868</v>
      </c>
    </row>
    <row r="197" spans="1:14" x14ac:dyDescent="0.4">
      <c r="A197" s="16">
        <v>140417</v>
      </c>
      <c r="B197" s="169">
        <v>45</v>
      </c>
      <c r="C197" s="16">
        <f t="shared" si="45"/>
        <v>225</v>
      </c>
      <c r="D197" s="169">
        <v>0</v>
      </c>
      <c r="E197" s="169">
        <v>0</v>
      </c>
      <c r="F197" s="169">
        <v>0</v>
      </c>
      <c r="G197" s="169">
        <v>0</v>
      </c>
      <c r="H197" s="169">
        <v>0</v>
      </c>
      <c r="I197" s="169">
        <v>0</v>
      </c>
      <c r="J197" s="26">
        <f t="shared" si="46"/>
        <v>0</v>
      </c>
      <c r="K197" s="26">
        <f t="shared" si="47"/>
        <v>0</v>
      </c>
      <c r="L197" s="169">
        <f t="shared" si="48"/>
        <v>0</v>
      </c>
      <c r="M197" s="169" t="s">
        <v>869</v>
      </c>
      <c r="N197" s="169" t="s">
        <v>870</v>
      </c>
    </row>
    <row r="198" spans="1:14" x14ac:dyDescent="0.4">
      <c r="A198" s="16">
        <v>140418</v>
      </c>
      <c r="B198" s="214">
        <v>50</v>
      </c>
      <c r="C198" s="16">
        <f t="shared" si="45"/>
        <v>250</v>
      </c>
      <c r="D198" s="214">
        <v>0</v>
      </c>
      <c r="E198" s="214">
        <v>0</v>
      </c>
      <c r="F198" s="214">
        <v>0</v>
      </c>
      <c r="G198" s="214">
        <v>0</v>
      </c>
      <c r="H198" s="214">
        <v>0</v>
      </c>
      <c r="I198" s="214">
        <v>0</v>
      </c>
      <c r="J198" s="26">
        <f t="shared" si="46"/>
        <v>0</v>
      </c>
      <c r="K198" s="26">
        <f t="shared" si="47"/>
        <v>0</v>
      </c>
      <c r="L198" s="214">
        <f t="shared" si="48"/>
        <v>0</v>
      </c>
      <c r="M198" s="214" t="s">
        <v>869</v>
      </c>
      <c r="N198" s="214" t="s">
        <v>870</v>
      </c>
    </row>
    <row r="199" spans="1:14" x14ac:dyDescent="0.4">
      <c r="A199" s="16">
        <v>140419</v>
      </c>
      <c r="B199" s="105">
        <v>45</v>
      </c>
      <c r="C199" s="16">
        <f t="shared" si="45"/>
        <v>225</v>
      </c>
      <c r="D199" s="105">
        <v>0</v>
      </c>
      <c r="E199" s="105">
        <v>0</v>
      </c>
      <c r="F199" s="105">
        <v>0</v>
      </c>
      <c r="G199" s="105">
        <v>0</v>
      </c>
      <c r="H199" s="105">
        <v>0</v>
      </c>
      <c r="I199" s="105">
        <v>0</v>
      </c>
      <c r="J199" s="26">
        <f t="shared" si="46"/>
        <v>0</v>
      </c>
      <c r="K199" s="26">
        <f t="shared" si="47"/>
        <v>0</v>
      </c>
      <c r="L199" s="105">
        <f t="shared" si="48"/>
        <v>0</v>
      </c>
      <c r="M199" s="105" t="s">
        <v>869</v>
      </c>
      <c r="N199" s="105" t="s">
        <v>870</v>
      </c>
    </row>
    <row r="200" spans="1:14" x14ac:dyDescent="0.4">
      <c r="A200" s="16">
        <v>140420</v>
      </c>
      <c r="B200" s="238">
        <v>45</v>
      </c>
      <c r="C200" s="16">
        <f t="shared" ref="C200:C229" si="49">SUM(B200*5)</f>
        <v>225</v>
      </c>
      <c r="D200" s="238">
        <v>0</v>
      </c>
      <c r="E200" s="238">
        <v>0</v>
      </c>
      <c r="F200" s="238">
        <v>0</v>
      </c>
      <c r="G200" s="238">
        <v>0</v>
      </c>
      <c r="H200" s="238">
        <v>0</v>
      </c>
      <c r="I200" s="238">
        <v>0</v>
      </c>
      <c r="J200" s="26">
        <f t="shared" ref="J200:J229" si="50">SUM(D200:I200)</f>
        <v>0</v>
      </c>
      <c r="K200" s="26">
        <f t="shared" ref="K200:K229" si="51">SUM(D200:H200)</f>
        <v>0</v>
      </c>
      <c r="L200" s="238">
        <f t="shared" ref="L200:L229" si="52">B200*K200</f>
        <v>0</v>
      </c>
      <c r="M200" s="238" t="s">
        <v>871</v>
      </c>
      <c r="N200" s="238" t="s">
        <v>872</v>
      </c>
    </row>
    <row r="201" spans="1:14" x14ac:dyDescent="0.4">
      <c r="A201" s="16">
        <v>140421</v>
      </c>
      <c r="B201" s="170">
        <v>45</v>
      </c>
      <c r="C201" s="16">
        <f t="shared" si="49"/>
        <v>225</v>
      </c>
      <c r="D201" s="170">
        <v>0</v>
      </c>
      <c r="E201" s="170">
        <v>0</v>
      </c>
      <c r="F201" s="170">
        <v>0</v>
      </c>
      <c r="G201" s="170">
        <v>0</v>
      </c>
      <c r="H201" s="170">
        <v>0</v>
      </c>
      <c r="I201" s="170">
        <v>0</v>
      </c>
      <c r="J201" s="26">
        <f t="shared" si="50"/>
        <v>0</v>
      </c>
      <c r="K201" s="26">
        <f t="shared" si="51"/>
        <v>0</v>
      </c>
      <c r="L201" s="170">
        <f t="shared" si="52"/>
        <v>0</v>
      </c>
      <c r="M201" s="170" t="s">
        <v>871</v>
      </c>
      <c r="N201" s="170" t="s">
        <v>872</v>
      </c>
    </row>
    <row r="202" spans="1:14" x14ac:dyDescent="0.4">
      <c r="A202" s="16">
        <v>140422</v>
      </c>
      <c r="B202" s="121">
        <v>45</v>
      </c>
      <c r="C202" s="16">
        <f t="shared" si="49"/>
        <v>225</v>
      </c>
      <c r="D202" s="121">
        <v>0</v>
      </c>
      <c r="E202" s="121">
        <v>0</v>
      </c>
      <c r="F202" s="121">
        <v>0</v>
      </c>
      <c r="G202" s="121">
        <v>0</v>
      </c>
      <c r="H202" s="121">
        <v>0</v>
      </c>
      <c r="I202" s="121">
        <v>0</v>
      </c>
      <c r="J202" s="26">
        <f t="shared" si="50"/>
        <v>0</v>
      </c>
      <c r="K202" s="26">
        <f t="shared" si="51"/>
        <v>0</v>
      </c>
      <c r="L202" s="121">
        <f t="shared" si="52"/>
        <v>0</v>
      </c>
      <c r="M202" s="121" t="s">
        <v>874</v>
      </c>
      <c r="N202" s="121" t="s">
        <v>875</v>
      </c>
    </row>
    <row r="203" spans="1:14" x14ac:dyDescent="0.4">
      <c r="A203" s="16">
        <v>140423</v>
      </c>
      <c r="B203" s="127">
        <v>45</v>
      </c>
      <c r="C203" s="16">
        <f t="shared" si="49"/>
        <v>225</v>
      </c>
      <c r="D203" s="127">
        <v>0</v>
      </c>
      <c r="E203" s="127">
        <v>0</v>
      </c>
      <c r="F203" s="127">
        <v>0</v>
      </c>
      <c r="G203" s="127">
        <v>0</v>
      </c>
      <c r="H203" s="127">
        <v>0</v>
      </c>
      <c r="I203" s="127">
        <v>0</v>
      </c>
      <c r="J203" s="26">
        <f t="shared" si="50"/>
        <v>0</v>
      </c>
      <c r="K203" s="26">
        <f t="shared" si="51"/>
        <v>0</v>
      </c>
      <c r="L203" s="127">
        <f t="shared" si="52"/>
        <v>0</v>
      </c>
      <c r="M203" s="127" t="s">
        <v>876</v>
      </c>
      <c r="N203" s="127" t="s">
        <v>877</v>
      </c>
    </row>
    <row r="204" spans="1:14" x14ac:dyDescent="0.4">
      <c r="A204" s="16">
        <v>140424</v>
      </c>
      <c r="B204" s="144">
        <v>45</v>
      </c>
      <c r="C204" s="16">
        <f t="shared" si="49"/>
        <v>225</v>
      </c>
      <c r="D204" s="144">
        <v>0</v>
      </c>
      <c r="E204" s="144">
        <v>0</v>
      </c>
      <c r="F204" s="144">
        <v>0</v>
      </c>
      <c r="G204" s="144">
        <v>0</v>
      </c>
      <c r="H204" s="144">
        <v>0</v>
      </c>
      <c r="I204" s="144">
        <v>0</v>
      </c>
      <c r="J204" s="26">
        <f t="shared" si="50"/>
        <v>0</v>
      </c>
      <c r="K204" s="26">
        <f t="shared" si="51"/>
        <v>0</v>
      </c>
      <c r="L204" s="144">
        <f t="shared" si="52"/>
        <v>0</v>
      </c>
      <c r="M204" s="144" t="s">
        <v>876</v>
      </c>
      <c r="N204" s="144" t="s">
        <v>877</v>
      </c>
    </row>
    <row r="205" spans="1:14" x14ac:dyDescent="0.4">
      <c r="A205" s="16">
        <v>140425</v>
      </c>
      <c r="B205" s="160">
        <v>45</v>
      </c>
      <c r="C205" s="16">
        <f t="shared" si="49"/>
        <v>225</v>
      </c>
      <c r="D205" s="160">
        <v>0</v>
      </c>
      <c r="E205" s="160">
        <v>0</v>
      </c>
      <c r="F205" s="160">
        <v>0</v>
      </c>
      <c r="G205" s="160">
        <v>0</v>
      </c>
      <c r="H205" s="160">
        <v>0</v>
      </c>
      <c r="I205" s="160">
        <v>0</v>
      </c>
      <c r="J205" s="26">
        <f t="shared" si="50"/>
        <v>0</v>
      </c>
      <c r="K205" s="26">
        <f t="shared" si="51"/>
        <v>0</v>
      </c>
      <c r="L205" s="160">
        <f t="shared" si="52"/>
        <v>0</v>
      </c>
      <c r="M205" s="160" t="s">
        <v>878</v>
      </c>
      <c r="N205" s="160" t="s">
        <v>879</v>
      </c>
    </row>
    <row r="206" spans="1:14" x14ac:dyDescent="0.4">
      <c r="A206" s="16">
        <v>140426</v>
      </c>
      <c r="B206" s="148">
        <v>60</v>
      </c>
      <c r="C206" s="16">
        <f t="shared" si="49"/>
        <v>300</v>
      </c>
      <c r="D206" s="148">
        <v>0</v>
      </c>
      <c r="E206" s="148">
        <v>0</v>
      </c>
      <c r="F206" s="148">
        <v>0</v>
      </c>
      <c r="G206" s="148">
        <v>0</v>
      </c>
      <c r="H206" s="148">
        <v>0</v>
      </c>
      <c r="I206" s="148">
        <v>0</v>
      </c>
      <c r="J206" s="26">
        <f t="shared" si="50"/>
        <v>0</v>
      </c>
      <c r="K206" s="26">
        <f t="shared" si="51"/>
        <v>0</v>
      </c>
      <c r="L206" s="148">
        <f t="shared" si="52"/>
        <v>0</v>
      </c>
      <c r="M206" s="148" t="s">
        <v>878</v>
      </c>
      <c r="N206" s="148" t="s">
        <v>879</v>
      </c>
    </row>
    <row r="207" spans="1:14" x14ac:dyDescent="0.4">
      <c r="A207" s="16">
        <v>140427</v>
      </c>
      <c r="B207" s="96">
        <v>90</v>
      </c>
      <c r="C207" s="16">
        <f t="shared" si="49"/>
        <v>450</v>
      </c>
      <c r="D207" s="96">
        <v>0</v>
      </c>
      <c r="E207" s="96">
        <v>0</v>
      </c>
      <c r="F207" s="96">
        <v>0</v>
      </c>
      <c r="G207" s="96">
        <v>0</v>
      </c>
      <c r="H207" s="96">
        <v>0</v>
      </c>
      <c r="I207" s="96">
        <v>0</v>
      </c>
      <c r="J207" s="26">
        <f t="shared" si="50"/>
        <v>0</v>
      </c>
      <c r="K207" s="26">
        <f t="shared" si="51"/>
        <v>0</v>
      </c>
      <c r="L207" s="96">
        <f t="shared" si="52"/>
        <v>0</v>
      </c>
      <c r="M207" s="96" t="s">
        <v>878</v>
      </c>
      <c r="N207" s="96" t="s">
        <v>879</v>
      </c>
    </row>
    <row r="208" spans="1:14" x14ac:dyDescent="0.4">
      <c r="A208" s="1">
        <v>140428</v>
      </c>
      <c r="B208" s="369">
        <v>60</v>
      </c>
      <c r="C208" s="1">
        <f t="shared" si="49"/>
        <v>300</v>
      </c>
      <c r="D208" s="369">
        <v>0</v>
      </c>
      <c r="E208" s="369">
        <v>0</v>
      </c>
      <c r="F208" s="369">
        <v>0</v>
      </c>
      <c r="G208" s="369">
        <v>0</v>
      </c>
      <c r="H208" s="369">
        <v>0</v>
      </c>
      <c r="I208" s="369">
        <v>1</v>
      </c>
      <c r="J208" s="140">
        <f t="shared" si="50"/>
        <v>1</v>
      </c>
      <c r="K208" s="140">
        <f t="shared" si="51"/>
        <v>0</v>
      </c>
      <c r="L208" s="369">
        <f t="shared" si="52"/>
        <v>0</v>
      </c>
      <c r="M208" s="369" t="s">
        <v>880</v>
      </c>
      <c r="N208" s="369" t="s">
        <v>881</v>
      </c>
    </row>
    <row r="209" spans="1:16" x14ac:dyDescent="0.4">
      <c r="A209" s="1">
        <v>140429</v>
      </c>
      <c r="B209" s="369">
        <v>45</v>
      </c>
      <c r="C209" s="1">
        <f t="shared" si="49"/>
        <v>225</v>
      </c>
      <c r="D209" s="369">
        <v>0</v>
      </c>
      <c r="E209" s="369">
        <v>0</v>
      </c>
      <c r="F209" s="369">
        <v>0</v>
      </c>
      <c r="G209" s="369">
        <v>0</v>
      </c>
      <c r="H209" s="369">
        <v>0</v>
      </c>
      <c r="I209" s="369">
        <v>1</v>
      </c>
      <c r="J209" s="140">
        <f t="shared" si="50"/>
        <v>1</v>
      </c>
      <c r="K209" s="140">
        <f t="shared" si="51"/>
        <v>0</v>
      </c>
      <c r="L209" s="369">
        <f t="shared" si="52"/>
        <v>0</v>
      </c>
      <c r="M209" s="369" t="s">
        <v>880</v>
      </c>
      <c r="N209" s="369" t="s">
        <v>881</v>
      </c>
    </row>
    <row r="210" spans="1:16" x14ac:dyDescent="0.4">
      <c r="A210" s="16">
        <v>140430</v>
      </c>
      <c r="B210" s="166">
        <v>60</v>
      </c>
      <c r="C210" s="16">
        <f t="shared" si="49"/>
        <v>300</v>
      </c>
      <c r="D210" s="166">
        <v>0</v>
      </c>
      <c r="E210" s="166">
        <v>0</v>
      </c>
      <c r="F210" s="166">
        <v>0</v>
      </c>
      <c r="G210" s="166">
        <v>0</v>
      </c>
      <c r="H210" s="166">
        <v>0</v>
      </c>
      <c r="I210" s="166">
        <v>0</v>
      </c>
      <c r="J210" s="26">
        <f t="shared" si="50"/>
        <v>0</v>
      </c>
      <c r="K210" s="26">
        <f t="shared" si="51"/>
        <v>0</v>
      </c>
      <c r="L210" s="166">
        <f t="shared" si="52"/>
        <v>0</v>
      </c>
      <c r="M210" s="166" t="s">
        <v>880</v>
      </c>
      <c r="N210" s="166" t="s">
        <v>881</v>
      </c>
    </row>
    <row r="211" spans="1:16" x14ac:dyDescent="0.4">
      <c r="A211" s="16">
        <v>140431</v>
      </c>
      <c r="B211" s="238">
        <v>45</v>
      </c>
      <c r="C211" s="16">
        <f t="shared" si="49"/>
        <v>225</v>
      </c>
      <c r="D211" s="238">
        <v>0</v>
      </c>
      <c r="E211" s="238">
        <v>0</v>
      </c>
      <c r="F211" s="238">
        <v>0</v>
      </c>
      <c r="G211" s="238">
        <v>0</v>
      </c>
      <c r="H211" s="238">
        <v>0</v>
      </c>
      <c r="I211" s="238">
        <v>0</v>
      </c>
      <c r="J211" s="26">
        <f t="shared" si="50"/>
        <v>0</v>
      </c>
      <c r="K211" s="26">
        <f t="shared" si="51"/>
        <v>0</v>
      </c>
      <c r="L211" s="238">
        <f t="shared" si="52"/>
        <v>0</v>
      </c>
      <c r="M211" s="238" t="s">
        <v>882</v>
      </c>
      <c r="N211" s="238" t="s">
        <v>883</v>
      </c>
    </row>
    <row r="212" spans="1:16" x14ac:dyDescent="0.4">
      <c r="A212" s="16">
        <v>140432</v>
      </c>
      <c r="B212" s="238">
        <v>50</v>
      </c>
      <c r="C212" s="16">
        <f t="shared" si="49"/>
        <v>250</v>
      </c>
      <c r="D212" s="238">
        <v>0</v>
      </c>
      <c r="E212" s="238">
        <v>0</v>
      </c>
      <c r="F212" s="238">
        <v>0</v>
      </c>
      <c r="G212" s="238">
        <v>0</v>
      </c>
      <c r="H212" s="238">
        <v>0</v>
      </c>
      <c r="I212" s="238">
        <v>0</v>
      </c>
      <c r="J212" s="26">
        <f t="shared" si="50"/>
        <v>0</v>
      </c>
      <c r="K212" s="26">
        <f t="shared" si="51"/>
        <v>0</v>
      </c>
      <c r="L212" s="238">
        <f t="shared" si="52"/>
        <v>0</v>
      </c>
      <c r="M212" s="238" t="s">
        <v>882</v>
      </c>
      <c r="N212" s="238" t="s">
        <v>883</v>
      </c>
    </row>
    <row r="213" spans="1:16" x14ac:dyDescent="0.4">
      <c r="A213" s="1">
        <v>140433</v>
      </c>
      <c r="B213" s="369">
        <v>45</v>
      </c>
      <c r="C213" s="1">
        <f t="shared" si="49"/>
        <v>225</v>
      </c>
      <c r="D213" s="369">
        <v>0</v>
      </c>
      <c r="E213" s="369">
        <v>0</v>
      </c>
      <c r="F213" s="369">
        <v>0</v>
      </c>
      <c r="G213" s="369">
        <v>0</v>
      </c>
      <c r="H213" s="369">
        <v>0</v>
      </c>
      <c r="I213" s="369">
        <v>1</v>
      </c>
      <c r="J213" s="140">
        <f t="shared" si="50"/>
        <v>1</v>
      </c>
      <c r="K213" s="140">
        <f t="shared" si="51"/>
        <v>0</v>
      </c>
      <c r="L213" s="369">
        <f t="shared" si="52"/>
        <v>0</v>
      </c>
      <c r="M213" s="369" t="s">
        <v>884</v>
      </c>
      <c r="N213" s="369" t="s">
        <v>885</v>
      </c>
    </row>
    <row r="214" spans="1:16" x14ac:dyDescent="0.4">
      <c r="A214" s="1">
        <v>140434</v>
      </c>
      <c r="B214" s="369">
        <v>60</v>
      </c>
      <c r="C214" s="1">
        <f t="shared" si="49"/>
        <v>300</v>
      </c>
      <c r="D214" s="369">
        <v>0</v>
      </c>
      <c r="E214" s="369">
        <v>0</v>
      </c>
      <c r="F214" s="369">
        <v>0</v>
      </c>
      <c r="G214" s="369">
        <v>0</v>
      </c>
      <c r="H214" s="369">
        <v>1</v>
      </c>
      <c r="I214" s="369">
        <v>1</v>
      </c>
      <c r="J214" s="140">
        <f t="shared" si="50"/>
        <v>2</v>
      </c>
      <c r="K214" s="140">
        <f t="shared" si="51"/>
        <v>1</v>
      </c>
      <c r="L214" s="369">
        <f t="shared" si="52"/>
        <v>60</v>
      </c>
      <c r="M214" s="369" t="s">
        <v>886</v>
      </c>
      <c r="N214" s="369" t="s">
        <v>887</v>
      </c>
    </row>
    <row r="215" spans="1:16" x14ac:dyDescent="0.4">
      <c r="A215" s="16">
        <v>140435</v>
      </c>
      <c r="B215" s="331">
        <v>60</v>
      </c>
      <c r="C215" s="16">
        <f t="shared" si="49"/>
        <v>300</v>
      </c>
      <c r="D215" s="331">
        <v>0</v>
      </c>
      <c r="E215" s="331">
        <v>0</v>
      </c>
      <c r="F215" s="331">
        <v>0</v>
      </c>
      <c r="G215" s="331">
        <v>0</v>
      </c>
      <c r="H215" s="331">
        <v>0</v>
      </c>
      <c r="I215" s="331">
        <v>0</v>
      </c>
      <c r="J215" s="26">
        <v>2</v>
      </c>
      <c r="K215" s="26">
        <v>1</v>
      </c>
      <c r="L215" s="331">
        <v>60</v>
      </c>
      <c r="M215" s="331" t="s">
        <v>1651</v>
      </c>
      <c r="N215" s="331" t="s">
        <v>1652</v>
      </c>
    </row>
    <row r="216" spans="1:16" x14ac:dyDescent="0.4">
      <c r="A216" s="16">
        <v>140436</v>
      </c>
      <c r="B216" s="348">
        <v>45</v>
      </c>
      <c r="C216" s="16">
        <f t="shared" si="49"/>
        <v>225</v>
      </c>
      <c r="D216" s="348">
        <v>0</v>
      </c>
      <c r="E216" s="348">
        <v>0</v>
      </c>
      <c r="F216" s="348">
        <v>0</v>
      </c>
      <c r="G216" s="348">
        <v>0</v>
      </c>
      <c r="H216" s="348">
        <v>0</v>
      </c>
      <c r="I216" s="348">
        <v>0</v>
      </c>
      <c r="J216" s="26">
        <f t="shared" si="50"/>
        <v>0</v>
      </c>
      <c r="K216" s="26">
        <f t="shared" si="51"/>
        <v>0</v>
      </c>
      <c r="L216" s="348">
        <f t="shared" si="52"/>
        <v>0</v>
      </c>
      <c r="M216" s="348" t="s">
        <v>888</v>
      </c>
      <c r="N216" s="348" t="s">
        <v>889</v>
      </c>
    </row>
    <row r="217" spans="1:16" x14ac:dyDescent="0.4">
      <c r="A217" s="16">
        <v>140437</v>
      </c>
      <c r="B217" s="178">
        <v>60</v>
      </c>
      <c r="C217" s="16">
        <f t="shared" si="49"/>
        <v>300</v>
      </c>
      <c r="D217" s="178">
        <v>0</v>
      </c>
      <c r="E217" s="178">
        <v>0</v>
      </c>
      <c r="F217" s="178">
        <v>0</v>
      </c>
      <c r="G217" s="178">
        <v>0</v>
      </c>
      <c r="H217" s="178">
        <v>0</v>
      </c>
      <c r="I217" s="178">
        <v>0</v>
      </c>
      <c r="J217" s="26">
        <f t="shared" si="50"/>
        <v>0</v>
      </c>
      <c r="K217" s="26">
        <f t="shared" si="51"/>
        <v>0</v>
      </c>
      <c r="L217" s="178">
        <f t="shared" si="52"/>
        <v>0</v>
      </c>
      <c r="M217" s="178" t="s">
        <v>888</v>
      </c>
      <c r="N217" s="178" t="s">
        <v>889</v>
      </c>
    </row>
    <row r="218" spans="1:16" x14ac:dyDescent="0.4">
      <c r="A218" s="16">
        <v>140438</v>
      </c>
      <c r="B218" s="641">
        <v>60</v>
      </c>
      <c r="C218" s="16">
        <f t="shared" si="49"/>
        <v>300</v>
      </c>
      <c r="D218" s="641">
        <v>0</v>
      </c>
      <c r="E218" s="641">
        <v>0</v>
      </c>
      <c r="F218" s="641">
        <v>0</v>
      </c>
      <c r="G218" s="641">
        <v>0</v>
      </c>
      <c r="H218" s="641">
        <v>0</v>
      </c>
      <c r="I218" s="641">
        <v>0</v>
      </c>
      <c r="J218" s="642">
        <f t="shared" si="50"/>
        <v>0</v>
      </c>
      <c r="K218" s="642">
        <f t="shared" si="51"/>
        <v>0</v>
      </c>
      <c r="L218" s="641">
        <f t="shared" si="52"/>
        <v>0</v>
      </c>
      <c r="M218" s="641" t="s">
        <v>890</v>
      </c>
      <c r="N218" s="641" t="s">
        <v>891</v>
      </c>
    </row>
    <row r="219" spans="1:16" x14ac:dyDescent="0.4">
      <c r="A219" s="1">
        <v>140439</v>
      </c>
      <c r="B219" s="369">
        <v>60</v>
      </c>
      <c r="C219" s="1">
        <f t="shared" si="49"/>
        <v>300</v>
      </c>
      <c r="D219" s="369">
        <v>0</v>
      </c>
      <c r="E219" s="369">
        <v>0</v>
      </c>
      <c r="F219" s="369">
        <v>0</v>
      </c>
      <c r="G219" s="369">
        <v>0</v>
      </c>
      <c r="H219" s="369">
        <v>1</v>
      </c>
      <c r="I219" s="369">
        <v>1</v>
      </c>
      <c r="J219" s="140">
        <f t="shared" si="50"/>
        <v>2</v>
      </c>
      <c r="K219" s="140">
        <f t="shared" si="51"/>
        <v>1</v>
      </c>
      <c r="L219" s="369">
        <f t="shared" si="52"/>
        <v>60</v>
      </c>
      <c r="M219" s="369" t="s">
        <v>892</v>
      </c>
      <c r="N219" s="369" t="s">
        <v>893</v>
      </c>
    </row>
    <row r="220" spans="1:16" x14ac:dyDescent="0.4">
      <c r="A220" s="16">
        <v>140440</v>
      </c>
      <c r="B220" s="177">
        <v>45</v>
      </c>
      <c r="C220" s="16">
        <f t="shared" si="49"/>
        <v>225</v>
      </c>
      <c r="D220" s="177">
        <v>0</v>
      </c>
      <c r="E220" s="177">
        <v>0</v>
      </c>
      <c r="F220" s="177">
        <v>0</v>
      </c>
      <c r="G220" s="177">
        <v>0</v>
      </c>
      <c r="H220" s="177">
        <v>0</v>
      </c>
      <c r="I220" s="177">
        <v>0</v>
      </c>
      <c r="J220" s="26">
        <f t="shared" si="50"/>
        <v>0</v>
      </c>
      <c r="K220" s="26">
        <f t="shared" si="51"/>
        <v>0</v>
      </c>
      <c r="L220" s="177">
        <f t="shared" si="52"/>
        <v>0</v>
      </c>
      <c r="M220" s="177" t="s">
        <v>894</v>
      </c>
      <c r="N220" s="177" t="s">
        <v>895</v>
      </c>
    </row>
    <row r="221" spans="1:16" x14ac:dyDescent="0.4">
      <c r="A221" s="1">
        <v>140441</v>
      </c>
      <c r="B221" s="369">
        <v>60</v>
      </c>
      <c r="C221" s="1">
        <f t="shared" si="49"/>
        <v>300</v>
      </c>
      <c r="D221" s="369">
        <v>0</v>
      </c>
      <c r="E221" s="369">
        <v>0</v>
      </c>
      <c r="F221" s="369">
        <v>0</v>
      </c>
      <c r="G221" s="369">
        <v>0</v>
      </c>
      <c r="H221" s="369">
        <v>0</v>
      </c>
      <c r="I221" s="369">
        <v>1</v>
      </c>
      <c r="J221" s="140">
        <f t="shared" si="50"/>
        <v>1</v>
      </c>
      <c r="K221" s="140">
        <f t="shared" si="51"/>
        <v>0</v>
      </c>
      <c r="L221" s="369">
        <f t="shared" si="52"/>
        <v>0</v>
      </c>
      <c r="M221" s="369" t="s">
        <v>894</v>
      </c>
      <c r="N221" s="369" t="s">
        <v>895</v>
      </c>
    </row>
    <row r="222" spans="1:16" x14ac:dyDescent="0.4">
      <c r="A222" s="1">
        <v>140442</v>
      </c>
      <c r="B222" s="369">
        <v>45</v>
      </c>
      <c r="C222" s="1">
        <f t="shared" si="49"/>
        <v>225</v>
      </c>
      <c r="D222" s="369">
        <v>0</v>
      </c>
      <c r="E222" s="369">
        <v>0</v>
      </c>
      <c r="F222" s="369">
        <v>0</v>
      </c>
      <c r="G222" s="369">
        <v>0</v>
      </c>
      <c r="H222" s="369">
        <v>0</v>
      </c>
      <c r="I222" s="369">
        <v>0</v>
      </c>
      <c r="J222" s="140">
        <f t="shared" si="50"/>
        <v>0</v>
      </c>
      <c r="K222" s="140">
        <f t="shared" si="51"/>
        <v>0</v>
      </c>
      <c r="L222" s="369">
        <f t="shared" si="52"/>
        <v>0</v>
      </c>
      <c r="M222" s="369" t="s">
        <v>894</v>
      </c>
      <c r="N222" s="369" t="s">
        <v>895</v>
      </c>
    </row>
    <row r="223" spans="1:16" x14ac:dyDescent="0.4">
      <c r="A223" s="16">
        <v>140443</v>
      </c>
      <c r="B223" s="336">
        <v>50</v>
      </c>
      <c r="C223" s="16">
        <f t="shared" si="49"/>
        <v>250</v>
      </c>
      <c r="D223" s="336">
        <v>0</v>
      </c>
      <c r="E223" s="336">
        <v>0</v>
      </c>
      <c r="F223" s="336">
        <v>0</v>
      </c>
      <c r="G223" s="336">
        <v>0</v>
      </c>
      <c r="H223" s="336">
        <v>0</v>
      </c>
      <c r="I223" s="336">
        <v>0</v>
      </c>
      <c r="J223" s="26">
        <f t="shared" si="50"/>
        <v>0</v>
      </c>
      <c r="K223" s="26">
        <f t="shared" si="51"/>
        <v>0</v>
      </c>
      <c r="L223" s="336">
        <f t="shared" si="52"/>
        <v>0</v>
      </c>
      <c r="M223" s="336" t="s">
        <v>897</v>
      </c>
      <c r="N223" s="336" t="s">
        <v>898</v>
      </c>
    </row>
    <row r="224" spans="1:16" x14ac:dyDescent="0.4">
      <c r="A224" s="1">
        <v>140444</v>
      </c>
      <c r="B224" s="369">
        <v>40</v>
      </c>
      <c r="C224" s="1">
        <f t="shared" si="49"/>
        <v>200</v>
      </c>
      <c r="D224" s="369">
        <v>0</v>
      </c>
      <c r="E224" s="369">
        <v>0</v>
      </c>
      <c r="F224" s="369">
        <v>0</v>
      </c>
      <c r="G224" s="369">
        <v>0</v>
      </c>
      <c r="H224" s="369">
        <v>0</v>
      </c>
      <c r="I224" s="369">
        <v>1</v>
      </c>
      <c r="J224" s="140">
        <f t="shared" si="50"/>
        <v>1</v>
      </c>
      <c r="K224" s="140">
        <f t="shared" si="51"/>
        <v>0</v>
      </c>
      <c r="L224" s="369">
        <f t="shared" si="52"/>
        <v>0</v>
      </c>
      <c r="M224" s="369" t="s">
        <v>897</v>
      </c>
      <c r="N224" s="369" t="s">
        <v>898</v>
      </c>
      <c r="O224" s="2037" t="s">
        <v>899</v>
      </c>
      <c r="P224" s="2037"/>
    </row>
    <row r="225" spans="1:18" x14ac:dyDescent="0.4">
      <c r="A225" s="16">
        <v>140445</v>
      </c>
      <c r="B225" s="188">
        <v>45</v>
      </c>
      <c r="C225" s="16">
        <f t="shared" si="49"/>
        <v>225</v>
      </c>
      <c r="D225" s="188">
        <v>0</v>
      </c>
      <c r="E225" s="188">
        <v>0</v>
      </c>
      <c r="F225" s="188">
        <v>0</v>
      </c>
      <c r="G225" s="188">
        <v>0</v>
      </c>
      <c r="H225" s="188">
        <v>0</v>
      </c>
      <c r="I225" s="188">
        <v>0</v>
      </c>
      <c r="J225" s="26">
        <f t="shared" si="50"/>
        <v>0</v>
      </c>
      <c r="K225" s="26">
        <f t="shared" si="51"/>
        <v>0</v>
      </c>
      <c r="L225" s="188">
        <f t="shared" si="52"/>
        <v>0</v>
      </c>
      <c r="M225" s="188" t="s">
        <v>900</v>
      </c>
      <c r="N225" s="188" t="s">
        <v>901</v>
      </c>
    </row>
    <row r="226" spans="1:18" x14ac:dyDescent="0.4">
      <c r="A226" s="16">
        <v>140446</v>
      </c>
      <c r="B226" s="282">
        <v>45</v>
      </c>
      <c r="C226" s="16">
        <f t="shared" si="49"/>
        <v>225</v>
      </c>
      <c r="D226" s="282">
        <v>0</v>
      </c>
      <c r="E226" s="282">
        <v>0</v>
      </c>
      <c r="F226" s="282">
        <v>0</v>
      </c>
      <c r="G226" s="282">
        <v>0</v>
      </c>
      <c r="H226" s="282">
        <v>0</v>
      </c>
      <c r="I226" s="282">
        <v>0</v>
      </c>
      <c r="J226" s="26">
        <f t="shared" si="50"/>
        <v>0</v>
      </c>
      <c r="K226" s="26">
        <f t="shared" si="51"/>
        <v>0</v>
      </c>
      <c r="L226" s="282">
        <f t="shared" si="52"/>
        <v>0</v>
      </c>
      <c r="M226" s="282" t="s">
        <v>900</v>
      </c>
      <c r="N226" s="282" t="s">
        <v>901</v>
      </c>
    </row>
    <row r="227" spans="1:18" x14ac:dyDescent="0.4">
      <c r="A227" s="16">
        <v>140447</v>
      </c>
      <c r="B227" s="145">
        <v>45</v>
      </c>
      <c r="C227" s="16">
        <f t="shared" si="49"/>
        <v>225</v>
      </c>
      <c r="D227" s="145">
        <v>0</v>
      </c>
      <c r="E227" s="145">
        <v>0</v>
      </c>
      <c r="F227" s="145">
        <v>0</v>
      </c>
      <c r="G227" s="145">
        <v>0</v>
      </c>
      <c r="H227" s="145">
        <v>0</v>
      </c>
      <c r="I227" s="145">
        <v>0</v>
      </c>
      <c r="J227" s="26">
        <f t="shared" si="50"/>
        <v>0</v>
      </c>
      <c r="K227" s="26">
        <f t="shared" si="51"/>
        <v>0</v>
      </c>
      <c r="L227" s="145">
        <f t="shared" si="52"/>
        <v>0</v>
      </c>
      <c r="M227" s="145" t="s">
        <v>900</v>
      </c>
      <c r="N227" s="145" t="s">
        <v>901</v>
      </c>
    </row>
    <row r="228" spans="1:18" x14ac:dyDescent="0.4">
      <c r="A228" s="1">
        <v>140448</v>
      </c>
      <c r="B228" s="369">
        <v>45</v>
      </c>
      <c r="C228" s="1">
        <f t="shared" si="49"/>
        <v>225</v>
      </c>
      <c r="D228" s="369">
        <v>0</v>
      </c>
      <c r="E228" s="369">
        <v>0</v>
      </c>
      <c r="F228" s="369">
        <v>0</v>
      </c>
      <c r="G228" s="369">
        <v>0</v>
      </c>
      <c r="H228" s="369">
        <v>0</v>
      </c>
      <c r="I228" s="369">
        <v>1</v>
      </c>
      <c r="J228" s="140">
        <f t="shared" si="50"/>
        <v>1</v>
      </c>
      <c r="K228" s="140">
        <f t="shared" si="51"/>
        <v>0</v>
      </c>
      <c r="L228" s="369">
        <f t="shared" si="52"/>
        <v>0</v>
      </c>
      <c r="M228" s="369" t="s">
        <v>900</v>
      </c>
      <c r="N228" s="369" t="s">
        <v>901</v>
      </c>
    </row>
    <row r="229" spans="1:18" x14ac:dyDescent="0.4">
      <c r="A229" s="16">
        <v>140449</v>
      </c>
      <c r="B229" s="298">
        <v>45</v>
      </c>
      <c r="C229" s="16">
        <f t="shared" si="49"/>
        <v>225</v>
      </c>
      <c r="D229" s="298">
        <v>0</v>
      </c>
      <c r="E229" s="298">
        <v>0</v>
      </c>
      <c r="F229" s="298">
        <v>0</v>
      </c>
      <c r="G229" s="298">
        <v>0</v>
      </c>
      <c r="H229" s="298">
        <v>0</v>
      </c>
      <c r="I229" s="298">
        <v>0</v>
      </c>
      <c r="J229" s="26">
        <f t="shared" si="50"/>
        <v>0</v>
      </c>
      <c r="K229" s="26">
        <f t="shared" si="51"/>
        <v>0</v>
      </c>
      <c r="L229" s="298">
        <f t="shared" si="52"/>
        <v>0</v>
      </c>
      <c r="M229" s="298" t="s">
        <v>902</v>
      </c>
      <c r="N229" s="298" t="s">
        <v>903</v>
      </c>
    </row>
    <row r="230" spans="1:18" x14ac:dyDescent="0.4">
      <c r="A230" s="16">
        <v>140450</v>
      </c>
      <c r="B230" s="366">
        <v>60</v>
      </c>
      <c r="C230" s="16">
        <f t="shared" ref="C230:C259" si="53">SUM(B230*5)</f>
        <v>300</v>
      </c>
      <c r="D230" s="366">
        <v>0</v>
      </c>
      <c r="E230" s="366">
        <v>0</v>
      </c>
      <c r="F230" s="366">
        <v>0</v>
      </c>
      <c r="G230" s="366">
        <v>0</v>
      </c>
      <c r="H230" s="366">
        <v>0</v>
      </c>
      <c r="I230" s="366">
        <v>0</v>
      </c>
      <c r="J230" s="26">
        <f t="shared" ref="J230:J259" si="54">SUM(D230:I230)</f>
        <v>0</v>
      </c>
      <c r="K230" s="26">
        <f t="shared" ref="K230:K259" si="55">SUM(D230:H230)</f>
        <v>0</v>
      </c>
      <c r="L230" s="366">
        <f t="shared" ref="L230:L259" si="56">B230*K230</f>
        <v>0</v>
      </c>
      <c r="M230" s="366" t="s">
        <v>902</v>
      </c>
      <c r="N230" s="366" t="s">
        <v>903</v>
      </c>
    </row>
    <row r="231" spans="1:18" x14ac:dyDescent="0.4">
      <c r="A231" s="16">
        <v>140451</v>
      </c>
      <c r="B231" s="294">
        <v>80</v>
      </c>
      <c r="C231" s="16">
        <f t="shared" si="53"/>
        <v>400</v>
      </c>
      <c r="D231" s="294">
        <v>0</v>
      </c>
      <c r="E231" s="294">
        <v>0</v>
      </c>
      <c r="F231" s="294">
        <v>0</v>
      </c>
      <c r="G231" s="294">
        <v>0</v>
      </c>
      <c r="H231" s="294">
        <v>0</v>
      </c>
      <c r="I231" s="294">
        <v>0</v>
      </c>
      <c r="J231" s="26">
        <f t="shared" si="54"/>
        <v>0</v>
      </c>
      <c r="K231" s="26">
        <f t="shared" si="55"/>
        <v>0</v>
      </c>
      <c r="L231" s="294">
        <f t="shared" si="56"/>
        <v>0</v>
      </c>
      <c r="M231" s="294" t="s">
        <v>902</v>
      </c>
      <c r="N231" s="294" t="s">
        <v>903</v>
      </c>
    </row>
    <row r="232" spans="1:18" x14ac:dyDescent="0.4">
      <c r="A232" s="1">
        <v>140452</v>
      </c>
      <c r="B232" s="369">
        <v>60</v>
      </c>
      <c r="C232" s="1">
        <f t="shared" si="53"/>
        <v>300</v>
      </c>
      <c r="D232" s="369">
        <v>0</v>
      </c>
      <c r="E232" s="369">
        <v>0</v>
      </c>
      <c r="F232" s="369">
        <v>0</v>
      </c>
      <c r="G232" s="369">
        <v>1</v>
      </c>
      <c r="H232" s="369">
        <v>1</v>
      </c>
      <c r="I232" s="369">
        <v>1</v>
      </c>
      <c r="J232" s="140">
        <f t="shared" si="54"/>
        <v>3</v>
      </c>
      <c r="K232" s="140">
        <f t="shared" si="55"/>
        <v>2</v>
      </c>
      <c r="L232" s="369">
        <f t="shared" si="56"/>
        <v>120</v>
      </c>
      <c r="M232" s="369" t="s">
        <v>902</v>
      </c>
      <c r="N232" s="369" t="s">
        <v>903</v>
      </c>
    </row>
    <row r="233" spans="1:18" x14ac:dyDescent="0.4">
      <c r="A233" s="16">
        <v>140453</v>
      </c>
      <c r="B233" s="234">
        <v>45</v>
      </c>
      <c r="C233" s="16">
        <f t="shared" si="53"/>
        <v>225</v>
      </c>
      <c r="D233" s="234">
        <v>0</v>
      </c>
      <c r="E233" s="234">
        <v>0</v>
      </c>
      <c r="F233" s="234">
        <v>0</v>
      </c>
      <c r="G233" s="234">
        <v>0</v>
      </c>
      <c r="H233" s="234">
        <v>0</v>
      </c>
      <c r="I233" s="234">
        <v>0</v>
      </c>
      <c r="J233" s="26">
        <f t="shared" si="54"/>
        <v>0</v>
      </c>
      <c r="K233" s="26">
        <f t="shared" si="55"/>
        <v>0</v>
      </c>
      <c r="L233" s="234">
        <f t="shared" si="56"/>
        <v>0</v>
      </c>
      <c r="M233" s="234" t="s">
        <v>904</v>
      </c>
      <c r="N233" s="234" t="s">
        <v>905</v>
      </c>
    </row>
    <row r="234" spans="1:18" x14ac:dyDescent="0.4">
      <c r="A234" s="1">
        <v>140454</v>
      </c>
      <c r="B234" s="391">
        <v>60</v>
      </c>
      <c r="C234" s="1">
        <f t="shared" si="53"/>
        <v>300</v>
      </c>
      <c r="D234" s="391">
        <v>0</v>
      </c>
      <c r="E234" s="391">
        <v>0</v>
      </c>
      <c r="F234" s="391">
        <v>1</v>
      </c>
      <c r="G234" s="391">
        <v>1</v>
      </c>
      <c r="H234" s="391">
        <v>1</v>
      </c>
      <c r="I234" s="391">
        <v>1</v>
      </c>
      <c r="J234" s="140">
        <f t="shared" si="54"/>
        <v>4</v>
      </c>
      <c r="K234" s="140">
        <f t="shared" si="55"/>
        <v>3</v>
      </c>
      <c r="L234" s="391">
        <f t="shared" si="56"/>
        <v>180</v>
      </c>
      <c r="M234" s="391" t="s">
        <v>906</v>
      </c>
      <c r="N234" s="391" t="s">
        <v>907</v>
      </c>
    </row>
    <row r="235" spans="1:18" x14ac:dyDescent="0.4">
      <c r="A235" s="16">
        <v>140455</v>
      </c>
      <c r="B235" s="262">
        <v>45</v>
      </c>
      <c r="C235" s="16">
        <f t="shared" si="53"/>
        <v>225</v>
      </c>
      <c r="D235" s="262">
        <v>0</v>
      </c>
      <c r="E235" s="262">
        <v>0</v>
      </c>
      <c r="F235" s="262">
        <v>0</v>
      </c>
      <c r="G235" s="262">
        <v>0</v>
      </c>
      <c r="H235" s="262">
        <v>0</v>
      </c>
      <c r="I235" s="262">
        <v>0</v>
      </c>
      <c r="J235" s="26">
        <f t="shared" si="54"/>
        <v>0</v>
      </c>
      <c r="K235" s="26">
        <f t="shared" si="55"/>
        <v>0</v>
      </c>
      <c r="L235" s="262">
        <f t="shared" si="56"/>
        <v>0</v>
      </c>
      <c r="M235" s="262" t="s">
        <v>906</v>
      </c>
      <c r="N235" s="262" t="s">
        <v>907</v>
      </c>
    </row>
    <row r="236" spans="1:18" x14ac:dyDescent="0.4">
      <c r="A236" s="1">
        <v>140456</v>
      </c>
      <c r="B236" s="391">
        <v>60</v>
      </c>
      <c r="C236" s="1">
        <f t="shared" si="53"/>
        <v>300</v>
      </c>
      <c r="D236" s="391">
        <v>0</v>
      </c>
      <c r="E236" s="391">
        <v>0</v>
      </c>
      <c r="F236" s="391">
        <v>0</v>
      </c>
      <c r="G236" s="391">
        <v>0</v>
      </c>
      <c r="H236" s="391">
        <v>0</v>
      </c>
      <c r="I236" s="391">
        <v>1</v>
      </c>
      <c r="J236" s="140">
        <f t="shared" si="54"/>
        <v>1</v>
      </c>
      <c r="K236" s="140">
        <f t="shared" si="55"/>
        <v>0</v>
      </c>
      <c r="L236" s="391">
        <f t="shared" si="56"/>
        <v>0</v>
      </c>
      <c r="M236" s="391" t="s">
        <v>908</v>
      </c>
      <c r="N236" s="391" t="s">
        <v>909</v>
      </c>
    </row>
    <row r="237" spans="1:18" x14ac:dyDescent="0.4">
      <c r="A237" s="16">
        <v>140457</v>
      </c>
      <c r="B237" s="198">
        <v>45</v>
      </c>
      <c r="C237" s="16">
        <f t="shared" si="53"/>
        <v>225</v>
      </c>
      <c r="D237" s="198">
        <v>0</v>
      </c>
      <c r="E237" s="198">
        <v>0</v>
      </c>
      <c r="F237" s="198">
        <v>0</v>
      </c>
      <c r="G237" s="198">
        <v>0</v>
      </c>
      <c r="H237" s="198">
        <v>0</v>
      </c>
      <c r="I237" s="198">
        <v>0</v>
      </c>
      <c r="J237" s="26">
        <f t="shared" si="54"/>
        <v>0</v>
      </c>
      <c r="K237" s="26">
        <f t="shared" si="55"/>
        <v>0</v>
      </c>
      <c r="L237" s="198">
        <f t="shared" si="56"/>
        <v>0</v>
      </c>
      <c r="M237" s="198" t="s">
        <v>908</v>
      </c>
      <c r="N237" s="198" t="s">
        <v>909</v>
      </c>
    </row>
    <row r="238" spans="1:18" x14ac:dyDescent="0.4">
      <c r="A238" s="16">
        <v>140458</v>
      </c>
      <c r="B238" s="188">
        <v>45</v>
      </c>
      <c r="C238" s="16">
        <f t="shared" si="53"/>
        <v>225</v>
      </c>
      <c r="D238" s="188">
        <v>0</v>
      </c>
      <c r="E238" s="188">
        <v>0</v>
      </c>
      <c r="F238" s="188">
        <v>0</v>
      </c>
      <c r="G238" s="188">
        <v>0</v>
      </c>
      <c r="H238" s="188">
        <v>0</v>
      </c>
      <c r="I238" s="188">
        <v>0</v>
      </c>
      <c r="J238" s="26">
        <f t="shared" si="54"/>
        <v>0</v>
      </c>
      <c r="K238" s="26">
        <f t="shared" si="55"/>
        <v>0</v>
      </c>
      <c r="L238" s="188">
        <f t="shared" si="56"/>
        <v>0</v>
      </c>
      <c r="M238" s="188" t="s">
        <v>910</v>
      </c>
      <c r="N238" s="188" t="s">
        <v>911</v>
      </c>
      <c r="O238" s="97"/>
      <c r="P238" s="97"/>
      <c r="Q238" s="97"/>
      <c r="R238" s="97"/>
    </row>
    <row r="239" spans="1:18" x14ac:dyDescent="0.4">
      <c r="A239" s="1">
        <v>140459</v>
      </c>
      <c r="B239" s="391"/>
      <c r="C239" s="1">
        <v>0</v>
      </c>
      <c r="D239" s="391">
        <v>1</v>
      </c>
      <c r="E239" s="391">
        <v>1</v>
      </c>
      <c r="F239" s="391">
        <v>1</v>
      </c>
      <c r="G239" s="391">
        <v>1</v>
      </c>
      <c r="H239" s="391">
        <v>1</v>
      </c>
      <c r="I239" s="391">
        <v>1</v>
      </c>
      <c r="J239" s="140">
        <f t="shared" si="54"/>
        <v>6</v>
      </c>
      <c r="K239" s="140">
        <f t="shared" si="55"/>
        <v>5</v>
      </c>
      <c r="L239" s="391">
        <f t="shared" si="56"/>
        <v>0</v>
      </c>
      <c r="M239" s="391"/>
      <c r="N239" s="391"/>
      <c r="O239" s="2037" t="s">
        <v>1526</v>
      </c>
      <c r="P239" s="2037"/>
      <c r="Q239" s="2037"/>
    </row>
    <row r="240" spans="1:18" x14ac:dyDescent="0.4">
      <c r="A240" s="1">
        <v>140460</v>
      </c>
      <c r="B240" s="391">
        <v>45</v>
      </c>
      <c r="C240" s="1">
        <f t="shared" si="53"/>
        <v>225</v>
      </c>
      <c r="D240" s="391">
        <v>0</v>
      </c>
      <c r="E240" s="391">
        <v>0</v>
      </c>
      <c r="F240" s="391">
        <v>0</v>
      </c>
      <c r="G240" s="391">
        <v>1</v>
      </c>
      <c r="H240" s="391">
        <v>1</v>
      </c>
      <c r="I240" s="391">
        <v>1</v>
      </c>
      <c r="J240" s="140">
        <f t="shared" si="54"/>
        <v>3</v>
      </c>
      <c r="K240" s="140">
        <f t="shared" si="55"/>
        <v>2</v>
      </c>
      <c r="L240" s="391">
        <f t="shared" si="56"/>
        <v>90</v>
      </c>
      <c r="M240" s="391" t="s">
        <v>910</v>
      </c>
      <c r="N240" s="391" t="s">
        <v>911</v>
      </c>
    </row>
    <row r="241" spans="1:19" x14ac:dyDescent="0.4">
      <c r="A241" s="1">
        <v>140461</v>
      </c>
      <c r="B241" s="391">
        <v>45</v>
      </c>
      <c r="C241" s="1">
        <f t="shared" si="53"/>
        <v>225</v>
      </c>
      <c r="D241" s="391">
        <v>0</v>
      </c>
      <c r="E241" s="391">
        <v>0</v>
      </c>
      <c r="F241" s="391">
        <v>0</v>
      </c>
      <c r="G241" s="391">
        <v>0</v>
      </c>
      <c r="H241" s="391">
        <v>0</v>
      </c>
      <c r="I241" s="391">
        <v>1</v>
      </c>
      <c r="J241" s="140">
        <f t="shared" si="54"/>
        <v>1</v>
      </c>
      <c r="K241" s="140">
        <f t="shared" si="55"/>
        <v>0</v>
      </c>
      <c r="L241" s="391">
        <f t="shared" si="56"/>
        <v>0</v>
      </c>
      <c r="M241" s="391" t="s">
        <v>912</v>
      </c>
      <c r="N241" s="391" t="s">
        <v>913</v>
      </c>
    </row>
    <row r="242" spans="1:19" x14ac:dyDescent="0.4">
      <c r="A242" s="1">
        <v>140462</v>
      </c>
      <c r="B242" s="391">
        <v>60</v>
      </c>
      <c r="C242" s="1">
        <f t="shared" si="53"/>
        <v>300</v>
      </c>
      <c r="D242" s="391">
        <v>0</v>
      </c>
      <c r="E242" s="391">
        <v>0</v>
      </c>
      <c r="F242" s="391">
        <v>0</v>
      </c>
      <c r="G242" s="391">
        <v>1</v>
      </c>
      <c r="H242" s="391">
        <v>1</v>
      </c>
      <c r="I242" s="391">
        <v>1</v>
      </c>
      <c r="J242" s="140">
        <f t="shared" si="54"/>
        <v>3</v>
      </c>
      <c r="K242" s="140">
        <f t="shared" si="55"/>
        <v>2</v>
      </c>
      <c r="L242" s="391">
        <f t="shared" si="56"/>
        <v>120</v>
      </c>
      <c r="M242" s="391" t="s">
        <v>914</v>
      </c>
      <c r="N242" s="391" t="s">
        <v>915</v>
      </c>
    </row>
    <row r="243" spans="1:19" x14ac:dyDescent="0.4">
      <c r="A243" s="16">
        <v>140463</v>
      </c>
      <c r="B243" s="225">
        <v>45</v>
      </c>
      <c r="C243" s="16">
        <f t="shared" si="53"/>
        <v>225</v>
      </c>
      <c r="D243" s="225">
        <v>0</v>
      </c>
      <c r="E243" s="225">
        <v>0</v>
      </c>
      <c r="F243" s="225">
        <v>0</v>
      </c>
      <c r="G243" s="225">
        <v>0</v>
      </c>
      <c r="H243" s="225">
        <v>0</v>
      </c>
      <c r="I243" s="225">
        <v>0</v>
      </c>
      <c r="J243" s="26">
        <f t="shared" si="54"/>
        <v>0</v>
      </c>
      <c r="K243" s="26">
        <f t="shared" si="55"/>
        <v>0</v>
      </c>
      <c r="L243" s="225">
        <f t="shared" si="56"/>
        <v>0</v>
      </c>
      <c r="M243" s="225" t="s">
        <v>916</v>
      </c>
      <c r="N243" s="225" t="s">
        <v>917</v>
      </c>
    </row>
    <row r="244" spans="1:19" x14ac:dyDescent="0.4">
      <c r="A244" s="16">
        <v>140464</v>
      </c>
      <c r="B244" s="150">
        <v>45</v>
      </c>
      <c r="C244" s="16">
        <f t="shared" si="53"/>
        <v>225</v>
      </c>
      <c r="D244" s="150">
        <v>0</v>
      </c>
      <c r="E244" s="150">
        <v>0</v>
      </c>
      <c r="F244" s="150">
        <v>0</v>
      </c>
      <c r="G244" s="150">
        <v>0</v>
      </c>
      <c r="H244" s="150">
        <v>0</v>
      </c>
      <c r="I244" s="150">
        <v>0</v>
      </c>
      <c r="J244" s="26">
        <f t="shared" si="54"/>
        <v>0</v>
      </c>
      <c r="K244" s="26">
        <f t="shared" si="55"/>
        <v>0</v>
      </c>
      <c r="L244" s="150">
        <f t="shared" si="56"/>
        <v>0</v>
      </c>
      <c r="M244" s="150" t="s">
        <v>916</v>
      </c>
      <c r="N244" s="150" t="s">
        <v>917</v>
      </c>
    </row>
    <row r="245" spans="1:19" x14ac:dyDescent="0.4">
      <c r="A245" s="1">
        <v>140465</v>
      </c>
      <c r="B245" s="391">
        <v>60</v>
      </c>
      <c r="C245" s="1">
        <f t="shared" si="53"/>
        <v>300</v>
      </c>
      <c r="D245" s="391">
        <v>0</v>
      </c>
      <c r="E245" s="391">
        <v>0</v>
      </c>
      <c r="F245" s="391">
        <v>0</v>
      </c>
      <c r="G245" s="391">
        <v>0</v>
      </c>
      <c r="H245" s="391">
        <v>1</v>
      </c>
      <c r="I245" s="391">
        <v>1</v>
      </c>
      <c r="J245" s="140">
        <f t="shared" si="54"/>
        <v>2</v>
      </c>
      <c r="K245" s="140">
        <f t="shared" si="55"/>
        <v>1</v>
      </c>
      <c r="L245" s="391">
        <f t="shared" si="56"/>
        <v>60</v>
      </c>
      <c r="M245" s="391" t="s">
        <v>918</v>
      </c>
      <c r="N245" s="391" t="s">
        <v>919</v>
      </c>
    </row>
    <row r="246" spans="1:19" x14ac:dyDescent="0.4">
      <c r="A246" s="16">
        <v>140466</v>
      </c>
      <c r="B246" s="197">
        <v>60</v>
      </c>
      <c r="C246" s="16">
        <f t="shared" si="53"/>
        <v>300</v>
      </c>
      <c r="D246" s="197">
        <v>0</v>
      </c>
      <c r="E246" s="197">
        <v>0</v>
      </c>
      <c r="F246" s="197">
        <v>0</v>
      </c>
      <c r="G246" s="197">
        <v>0</v>
      </c>
      <c r="H246" s="197">
        <v>0</v>
      </c>
      <c r="I246" s="197">
        <v>0</v>
      </c>
      <c r="J246" s="26">
        <f t="shared" si="54"/>
        <v>0</v>
      </c>
      <c r="K246" s="26">
        <f t="shared" si="55"/>
        <v>0</v>
      </c>
      <c r="L246" s="197">
        <f t="shared" si="56"/>
        <v>0</v>
      </c>
      <c r="M246" s="197" t="s">
        <v>920</v>
      </c>
      <c r="N246" s="197" t="s">
        <v>921</v>
      </c>
    </row>
    <row r="247" spans="1:19" x14ac:dyDescent="0.4">
      <c r="A247" s="16">
        <v>140467</v>
      </c>
      <c r="B247" s="125">
        <v>45</v>
      </c>
      <c r="C247" s="16">
        <f t="shared" si="53"/>
        <v>225</v>
      </c>
      <c r="D247" s="125">
        <v>0</v>
      </c>
      <c r="E247" s="125">
        <v>0</v>
      </c>
      <c r="F247" s="125">
        <v>0</v>
      </c>
      <c r="G247" s="125">
        <v>0</v>
      </c>
      <c r="H247" s="125">
        <v>0</v>
      </c>
      <c r="I247" s="125">
        <v>0</v>
      </c>
      <c r="J247" s="26">
        <f t="shared" si="54"/>
        <v>0</v>
      </c>
      <c r="K247" s="26">
        <f t="shared" si="55"/>
        <v>0</v>
      </c>
      <c r="L247" s="125">
        <f t="shared" si="56"/>
        <v>0</v>
      </c>
      <c r="M247" s="125" t="s">
        <v>920</v>
      </c>
      <c r="N247" s="125" t="s">
        <v>921</v>
      </c>
    </row>
    <row r="248" spans="1:19" x14ac:dyDescent="0.4">
      <c r="A248" s="16">
        <v>140468</v>
      </c>
      <c r="B248" s="190">
        <v>60</v>
      </c>
      <c r="C248" s="16">
        <f t="shared" si="53"/>
        <v>300</v>
      </c>
      <c r="D248" s="190">
        <v>0</v>
      </c>
      <c r="E248" s="190">
        <v>0</v>
      </c>
      <c r="F248" s="190">
        <v>0</v>
      </c>
      <c r="G248" s="190">
        <v>0</v>
      </c>
      <c r="H248" s="190">
        <v>0</v>
      </c>
      <c r="I248" s="190">
        <v>0</v>
      </c>
      <c r="J248" s="26">
        <f t="shared" si="54"/>
        <v>0</v>
      </c>
      <c r="K248" s="26">
        <f t="shared" si="55"/>
        <v>0</v>
      </c>
      <c r="L248" s="190">
        <f t="shared" si="56"/>
        <v>0</v>
      </c>
      <c r="M248" s="190" t="s">
        <v>920</v>
      </c>
      <c r="N248" s="190" t="s">
        <v>921</v>
      </c>
    </row>
    <row r="249" spans="1:19" x14ac:dyDescent="0.4">
      <c r="A249" s="16">
        <v>140469</v>
      </c>
      <c r="B249" s="291">
        <v>60</v>
      </c>
      <c r="C249" s="16">
        <f t="shared" si="53"/>
        <v>300</v>
      </c>
      <c r="D249" s="291">
        <v>0</v>
      </c>
      <c r="E249" s="291">
        <v>0</v>
      </c>
      <c r="F249" s="291">
        <v>0</v>
      </c>
      <c r="G249" s="291">
        <v>0</v>
      </c>
      <c r="H249" s="291">
        <v>0</v>
      </c>
      <c r="I249" s="291">
        <v>0</v>
      </c>
      <c r="J249" s="26">
        <f t="shared" si="54"/>
        <v>0</v>
      </c>
      <c r="K249" s="26">
        <f t="shared" si="55"/>
        <v>0</v>
      </c>
      <c r="L249" s="291">
        <f t="shared" si="56"/>
        <v>0</v>
      </c>
      <c r="M249" s="291" t="s">
        <v>922</v>
      </c>
      <c r="N249" s="291" t="s">
        <v>923</v>
      </c>
    </row>
    <row r="250" spans="1:19" x14ac:dyDescent="0.4">
      <c r="A250" s="16">
        <v>140470</v>
      </c>
      <c r="B250" s="162">
        <v>45</v>
      </c>
      <c r="C250" s="16">
        <f t="shared" si="53"/>
        <v>225</v>
      </c>
      <c r="D250" s="162">
        <v>0</v>
      </c>
      <c r="E250" s="162">
        <v>0</v>
      </c>
      <c r="F250" s="162">
        <v>0</v>
      </c>
      <c r="G250" s="162">
        <v>0</v>
      </c>
      <c r="H250" s="162">
        <v>0</v>
      </c>
      <c r="I250" s="162">
        <v>0</v>
      </c>
      <c r="J250" s="26">
        <f t="shared" si="54"/>
        <v>0</v>
      </c>
      <c r="K250" s="26">
        <f t="shared" si="55"/>
        <v>0</v>
      </c>
      <c r="L250" s="162">
        <f t="shared" si="56"/>
        <v>0</v>
      </c>
      <c r="M250" s="162" t="s">
        <v>922</v>
      </c>
      <c r="N250" s="162" t="s">
        <v>923</v>
      </c>
    </row>
    <row r="251" spans="1:19" x14ac:dyDescent="0.4">
      <c r="A251" s="1">
        <v>140471</v>
      </c>
      <c r="B251" s="417">
        <v>60</v>
      </c>
      <c r="C251" s="1">
        <f t="shared" si="53"/>
        <v>300</v>
      </c>
      <c r="D251" s="417">
        <v>0</v>
      </c>
      <c r="E251" s="417">
        <v>0</v>
      </c>
      <c r="F251" s="417">
        <v>0</v>
      </c>
      <c r="G251" s="417">
        <v>0</v>
      </c>
      <c r="H251" s="417">
        <v>1</v>
      </c>
      <c r="I251" s="417">
        <v>1</v>
      </c>
      <c r="J251" s="140">
        <f t="shared" si="54"/>
        <v>2</v>
      </c>
      <c r="K251" s="140">
        <f t="shared" si="55"/>
        <v>1</v>
      </c>
      <c r="L251" s="417">
        <f t="shared" si="56"/>
        <v>60</v>
      </c>
      <c r="M251" s="417" t="s">
        <v>924</v>
      </c>
      <c r="N251" s="417" t="s">
        <v>925</v>
      </c>
    </row>
    <row r="252" spans="1:19" x14ac:dyDescent="0.4">
      <c r="A252" s="16">
        <v>140472</v>
      </c>
      <c r="B252" s="116">
        <v>0</v>
      </c>
      <c r="C252" s="16">
        <f t="shared" si="53"/>
        <v>0</v>
      </c>
      <c r="D252" s="116">
        <v>0</v>
      </c>
      <c r="E252" s="116" t="s">
        <v>928</v>
      </c>
      <c r="F252" s="116" t="s">
        <v>929</v>
      </c>
      <c r="G252" s="116" t="s">
        <v>930</v>
      </c>
      <c r="H252" s="116" t="s">
        <v>931</v>
      </c>
      <c r="I252" s="116"/>
      <c r="J252" s="26">
        <f t="shared" si="54"/>
        <v>0</v>
      </c>
      <c r="K252" s="26">
        <f t="shared" si="55"/>
        <v>0</v>
      </c>
      <c r="L252" s="116">
        <f t="shared" si="56"/>
        <v>0</v>
      </c>
      <c r="M252" s="116" t="s">
        <v>926</v>
      </c>
      <c r="N252" s="116" t="s">
        <v>927</v>
      </c>
      <c r="O252" s="2033" t="s">
        <v>932</v>
      </c>
      <c r="P252" s="2033"/>
      <c r="Q252" s="2033"/>
      <c r="R252" s="2033"/>
      <c r="S252" s="2033"/>
    </row>
    <row r="253" spans="1:19" x14ac:dyDescent="0.4">
      <c r="A253" s="16">
        <v>140473</v>
      </c>
      <c r="B253" s="385">
        <v>45</v>
      </c>
      <c r="C253" s="16">
        <f t="shared" si="53"/>
        <v>225</v>
      </c>
      <c r="D253" s="385">
        <v>0</v>
      </c>
      <c r="E253" s="385">
        <v>0</v>
      </c>
      <c r="F253" s="385">
        <v>0</v>
      </c>
      <c r="G253" s="385">
        <v>0</v>
      </c>
      <c r="H253" s="385">
        <v>0</v>
      </c>
      <c r="I253" s="385">
        <v>0</v>
      </c>
      <c r="J253" s="26">
        <f t="shared" si="54"/>
        <v>0</v>
      </c>
      <c r="K253" s="26">
        <f t="shared" si="55"/>
        <v>0</v>
      </c>
      <c r="L253" s="385">
        <f t="shared" si="56"/>
        <v>0</v>
      </c>
      <c r="M253" s="385" t="s">
        <v>934</v>
      </c>
      <c r="N253" s="385" t="s">
        <v>935</v>
      </c>
      <c r="O253" s="16"/>
    </row>
    <row r="254" spans="1:19" x14ac:dyDescent="0.4">
      <c r="A254" s="1">
        <v>140474</v>
      </c>
      <c r="B254" s="417">
        <v>60</v>
      </c>
      <c r="C254" s="1">
        <f t="shared" si="53"/>
        <v>300</v>
      </c>
      <c r="D254" s="417">
        <v>0</v>
      </c>
      <c r="E254" s="417">
        <v>0</v>
      </c>
      <c r="F254" s="417">
        <v>0</v>
      </c>
      <c r="G254" s="417">
        <v>1</v>
      </c>
      <c r="H254" s="417">
        <v>1</v>
      </c>
      <c r="I254" s="417">
        <v>1</v>
      </c>
      <c r="J254" s="140">
        <f t="shared" si="54"/>
        <v>3</v>
      </c>
      <c r="K254" s="140">
        <f t="shared" si="55"/>
        <v>2</v>
      </c>
      <c r="L254" s="417">
        <f t="shared" si="56"/>
        <v>120</v>
      </c>
      <c r="M254" s="417" t="s">
        <v>936</v>
      </c>
      <c r="N254" s="417" t="s">
        <v>937</v>
      </c>
    </row>
    <row r="255" spans="1:19" x14ac:dyDescent="0.4">
      <c r="A255" s="16">
        <v>140475</v>
      </c>
      <c r="B255" s="350">
        <v>60</v>
      </c>
      <c r="C255" s="16">
        <f t="shared" si="53"/>
        <v>300</v>
      </c>
      <c r="D255" s="350">
        <v>0</v>
      </c>
      <c r="E255" s="350">
        <v>0</v>
      </c>
      <c r="F255" s="350">
        <v>0</v>
      </c>
      <c r="G255" s="350">
        <v>0</v>
      </c>
      <c r="H255" s="350">
        <v>0</v>
      </c>
      <c r="I255" s="350">
        <v>0</v>
      </c>
      <c r="J255" s="26">
        <f t="shared" si="54"/>
        <v>0</v>
      </c>
      <c r="K255" s="26">
        <f t="shared" si="55"/>
        <v>0</v>
      </c>
      <c r="L255" s="350">
        <f t="shared" si="56"/>
        <v>0</v>
      </c>
      <c r="M255" s="350" t="s">
        <v>936</v>
      </c>
      <c r="N255" s="350" t="s">
        <v>937</v>
      </c>
    </row>
    <row r="256" spans="1:19" x14ac:dyDescent="0.4">
      <c r="A256" s="22">
        <v>140476</v>
      </c>
      <c r="B256" s="23">
        <v>45</v>
      </c>
      <c r="C256" s="22">
        <f t="shared" si="53"/>
        <v>225</v>
      </c>
      <c r="D256" s="23">
        <v>0</v>
      </c>
      <c r="E256" s="23">
        <v>0</v>
      </c>
      <c r="F256" s="23">
        <v>0</v>
      </c>
      <c r="G256" s="23">
        <v>0</v>
      </c>
      <c r="H256" s="23">
        <v>0</v>
      </c>
      <c r="I256" s="23">
        <v>0</v>
      </c>
      <c r="J256" s="24">
        <f t="shared" si="54"/>
        <v>0</v>
      </c>
      <c r="K256" s="24">
        <f t="shared" si="55"/>
        <v>0</v>
      </c>
      <c r="L256" s="23">
        <f t="shared" si="56"/>
        <v>0</v>
      </c>
      <c r="M256" s="23" t="s">
        <v>938</v>
      </c>
      <c r="N256" s="23" t="s">
        <v>939</v>
      </c>
    </row>
    <row r="257" spans="1:20" x14ac:dyDescent="0.4">
      <c r="A257" s="16">
        <v>140477</v>
      </c>
      <c r="B257" s="320">
        <v>60</v>
      </c>
      <c r="C257" s="16">
        <f t="shared" si="53"/>
        <v>300</v>
      </c>
      <c r="D257" s="320">
        <v>0</v>
      </c>
      <c r="E257" s="320">
        <v>0</v>
      </c>
      <c r="F257" s="320">
        <v>0</v>
      </c>
      <c r="G257" s="320">
        <v>0</v>
      </c>
      <c r="H257" s="320">
        <v>0</v>
      </c>
      <c r="I257" s="320">
        <v>0</v>
      </c>
      <c r="J257" s="26">
        <f t="shared" si="54"/>
        <v>0</v>
      </c>
      <c r="K257" s="26">
        <f t="shared" si="55"/>
        <v>0</v>
      </c>
      <c r="L257" s="320">
        <f t="shared" si="56"/>
        <v>0</v>
      </c>
      <c r="M257" s="320" t="s">
        <v>938</v>
      </c>
      <c r="N257" s="320" t="s">
        <v>939</v>
      </c>
    </row>
    <row r="258" spans="1:20" x14ac:dyDescent="0.4">
      <c r="A258" s="16">
        <v>140478</v>
      </c>
      <c r="B258" s="451">
        <v>45</v>
      </c>
      <c r="C258" s="16">
        <f t="shared" si="53"/>
        <v>225</v>
      </c>
      <c r="D258" s="451">
        <v>0</v>
      </c>
      <c r="E258" s="451">
        <v>0</v>
      </c>
      <c r="F258" s="451">
        <v>0</v>
      </c>
      <c r="G258" s="451">
        <v>0</v>
      </c>
      <c r="H258" s="451">
        <v>0</v>
      </c>
      <c r="I258" s="451">
        <v>0</v>
      </c>
      <c r="J258" s="26">
        <f t="shared" si="54"/>
        <v>0</v>
      </c>
      <c r="K258" s="26">
        <f t="shared" si="55"/>
        <v>0</v>
      </c>
      <c r="L258" s="451">
        <f t="shared" si="56"/>
        <v>0</v>
      </c>
      <c r="M258" s="451" t="s">
        <v>938</v>
      </c>
      <c r="N258" s="451" t="s">
        <v>939</v>
      </c>
      <c r="O258" t="s">
        <v>1769</v>
      </c>
    </row>
    <row r="259" spans="1:20" x14ac:dyDescent="0.4">
      <c r="A259" s="16">
        <v>140479</v>
      </c>
      <c r="B259" s="349">
        <v>45</v>
      </c>
      <c r="C259" s="16">
        <f t="shared" si="53"/>
        <v>225</v>
      </c>
      <c r="D259" s="349">
        <v>0</v>
      </c>
      <c r="E259" s="349">
        <v>0</v>
      </c>
      <c r="F259" s="349">
        <v>0</v>
      </c>
      <c r="G259" s="349">
        <v>0</v>
      </c>
      <c r="H259" s="349">
        <v>0</v>
      </c>
      <c r="I259" s="349">
        <v>0</v>
      </c>
      <c r="J259" s="26">
        <f t="shared" si="54"/>
        <v>0</v>
      </c>
      <c r="K259" s="26">
        <f t="shared" si="55"/>
        <v>0</v>
      </c>
      <c r="L259" s="349">
        <f t="shared" si="56"/>
        <v>0</v>
      </c>
      <c r="M259" s="349" t="s">
        <v>940</v>
      </c>
      <c r="N259" s="349" t="s">
        <v>941</v>
      </c>
    </row>
    <row r="260" spans="1:20" x14ac:dyDescent="0.4">
      <c r="A260" s="16">
        <v>140480</v>
      </c>
      <c r="B260" s="238">
        <v>60</v>
      </c>
      <c r="C260" s="16">
        <f t="shared" ref="C260:C289" si="57">SUM(B260*5)</f>
        <v>300</v>
      </c>
      <c r="D260" s="238">
        <v>0</v>
      </c>
      <c r="E260" s="238">
        <v>0</v>
      </c>
      <c r="F260" s="238">
        <v>0</v>
      </c>
      <c r="G260" s="238">
        <v>0</v>
      </c>
      <c r="H260" s="238">
        <v>0</v>
      </c>
      <c r="I260" s="238">
        <v>0</v>
      </c>
      <c r="J260" s="26">
        <f t="shared" ref="J260:J289" si="58">SUM(D260:I260)</f>
        <v>0</v>
      </c>
      <c r="K260" s="26">
        <f t="shared" ref="K260:K289" si="59">SUM(D260:H260)</f>
        <v>0</v>
      </c>
      <c r="L260" s="238">
        <f t="shared" ref="L260:L289" si="60">B260*K260</f>
        <v>0</v>
      </c>
      <c r="M260" s="238" t="s">
        <v>944</v>
      </c>
      <c r="N260" s="238" t="s">
        <v>945</v>
      </c>
    </row>
    <row r="261" spans="1:20" x14ac:dyDescent="0.4">
      <c r="A261" s="1">
        <v>140481</v>
      </c>
      <c r="B261" s="417">
        <v>50</v>
      </c>
      <c r="C261" s="1">
        <f t="shared" si="57"/>
        <v>250</v>
      </c>
      <c r="D261" s="417">
        <v>0</v>
      </c>
      <c r="E261" s="417">
        <v>0</v>
      </c>
      <c r="F261" s="417">
        <v>0</v>
      </c>
      <c r="G261" s="417">
        <v>0</v>
      </c>
      <c r="H261" s="417">
        <v>0</v>
      </c>
      <c r="I261" s="417">
        <v>1</v>
      </c>
      <c r="J261" s="140">
        <f t="shared" si="58"/>
        <v>1</v>
      </c>
      <c r="K261" s="140">
        <f t="shared" si="59"/>
        <v>0</v>
      </c>
      <c r="L261" s="417">
        <f t="shared" si="60"/>
        <v>0</v>
      </c>
      <c r="M261" s="417" t="s">
        <v>946</v>
      </c>
      <c r="N261" s="417" t="s">
        <v>947</v>
      </c>
    </row>
    <row r="262" spans="1:20" x14ac:dyDescent="0.4">
      <c r="A262" s="1">
        <v>140482</v>
      </c>
      <c r="B262" s="417">
        <v>60</v>
      </c>
      <c r="C262" s="1">
        <f t="shared" si="57"/>
        <v>300</v>
      </c>
      <c r="D262" s="417">
        <v>0</v>
      </c>
      <c r="E262" s="417">
        <v>0</v>
      </c>
      <c r="F262" s="417">
        <v>0</v>
      </c>
      <c r="G262" s="417">
        <v>1</v>
      </c>
      <c r="H262" s="417">
        <v>1</v>
      </c>
      <c r="I262" s="417">
        <v>1</v>
      </c>
      <c r="J262" s="140">
        <f t="shared" si="58"/>
        <v>3</v>
      </c>
      <c r="K262" s="140">
        <f t="shared" si="59"/>
        <v>2</v>
      </c>
      <c r="L262" s="417">
        <f t="shared" si="60"/>
        <v>120</v>
      </c>
      <c r="M262" s="417" t="s">
        <v>942</v>
      </c>
      <c r="N262" s="417" t="s">
        <v>943</v>
      </c>
    </row>
    <row r="263" spans="1:20" x14ac:dyDescent="0.4">
      <c r="A263" s="1">
        <v>140483</v>
      </c>
      <c r="B263" s="417">
        <v>60</v>
      </c>
      <c r="C263" s="1">
        <f t="shared" si="57"/>
        <v>300</v>
      </c>
      <c r="D263" s="417">
        <v>0</v>
      </c>
      <c r="E263" s="417">
        <v>0</v>
      </c>
      <c r="F263" s="417">
        <v>0</v>
      </c>
      <c r="G263" s="417">
        <v>0</v>
      </c>
      <c r="H263" s="417">
        <v>0</v>
      </c>
      <c r="I263" s="417">
        <v>1</v>
      </c>
      <c r="J263" s="140">
        <f t="shared" si="58"/>
        <v>1</v>
      </c>
      <c r="K263" s="140">
        <f t="shared" si="59"/>
        <v>0</v>
      </c>
      <c r="L263" s="417">
        <f t="shared" si="60"/>
        <v>0</v>
      </c>
      <c r="M263" s="417" t="s">
        <v>948</v>
      </c>
      <c r="N263" s="417" t="s">
        <v>949</v>
      </c>
    </row>
    <row r="264" spans="1:20" x14ac:dyDescent="0.4">
      <c r="A264" s="16">
        <v>140484</v>
      </c>
      <c r="B264" s="127">
        <v>45</v>
      </c>
      <c r="C264" s="16">
        <f t="shared" si="57"/>
        <v>225</v>
      </c>
      <c r="D264" s="127">
        <v>0</v>
      </c>
      <c r="E264" s="127">
        <v>0</v>
      </c>
      <c r="F264" s="127">
        <v>0</v>
      </c>
      <c r="G264" s="127">
        <v>0</v>
      </c>
      <c r="H264" s="127">
        <v>0</v>
      </c>
      <c r="I264" s="127">
        <v>0</v>
      </c>
      <c r="J264" s="26">
        <f t="shared" si="58"/>
        <v>0</v>
      </c>
      <c r="K264" s="26">
        <f t="shared" si="59"/>
        <v>0</v>
      </c>
      <c r="L264" s="127">
        <f t="shared" si="60"/>
        <v>0</v>
      </c>
      <c r="M264" s="127" t="s">
        <v>948</v>
      </c>
      <c r="N264" s="127" t="s">
        <v>949</v>
      </c>
    </row>
    <row r="265" spans="1:20" x14ac:dyDescent="0.4">
      <c r="A265" s="16">
        <v>140485</v>
      </c>
      <c r="B265" s="133">
        <v>45</v>
      </c>
      <c r="C265" s="16">
        <f t="shared" si="57"/>
        <v>225</v>
      </c>
      <c r="D265" s="133">
        <v>0</v>
      </c>
      <c r="E265" s="133">
        <v>0</v>
      </c>
      <c r="F265" s="133">
        <v>0</v>
      </c>
      <c r="G265" s="133">
        <v>0</v>
      </c>
      <c r="H265" s="133">
        <v>0</v>
      </c>
      <c r="I265" s="133">
        <v>0</v>
      </c>
      <c r="J265" s="26">
        <f t="shared" si="58"/>
        <v>0</v>
      </c>
      <c r="K265" s="26">
        <f t="shared" si="59"/>
        <v>0</v>
      </c>
      <c r="L265" s="133">
        <f t="shared" si="60"/>
        <v>0</v>
      </c>
      <c r="M265" s="133" t="s">
        <v>950</v>
      </c>
      <c r="N265" s="133" t="s">
        <v>951</v>
      </c>
    </row>
    <row r="266" spans="1:20" x14ac:dyDescent="0.4">
      <c r="A266" s="1">
        <v>140486</v>
      </c>
      <c r="B266" s="417">
        <v>45</v>
      </c>
      <c r="C266" s="1">
        <f t="shared" si="57"/>
        <v>225</v>
      </c>
      <c r="D266" s="417">
        <v>0</v>
      </c>
      <c r="E266" s="417">
        <v>0</v>
      </c>
      <c r="F266" s="417">
        <v>1</v>
      </c>
      <c r="G266" s="417">
        <v>1</v>
      </c>
      <c r="H266" s="417">
        <v>1</v>
      </c>
      <c r="I266" s="417">
        <v>1</v>
      </c>
      <c r="J266" s="140">
        <f t="shared" si="58"/>
        <v>4</v>
      </c>
      <c r="K266" s="140">
        <f t="shared" si="59"/>
        <v>3</v>
      </c>
      <c r="L266" s="417">
        <f t="shared" si="60"/>
        <v>135</v>
      </c>
      <c r="M266" s="417" t="s">
        <v>950</v>
      </c>
      <c r="N266" s="417" t="s">
        <v>951</v>
      </c>
    </row>
    <row r="267" spans="1:20" x14ac:dyDescent="0.4">
      <c r="A267" s="16">
        <v>140487</v>
      </c>
      <c r="B267" s="266">
        <v>45</v>
      </c>
      <c r="C267" s="16">
        <f t="shared" si="57"/>
        <v>225</v>
      </c>
      <c r="D267" s="266">
        <v>0</v>
      </c>
      <c r="E267" s="266">
        <v>0</v>
      </c>
      <c r="F267" s="266">
        <v>0</v>
      </c>
      <c r="G267" s="266">
        <v>1</v>
      </c>
      <c r="H267" s="266">
        <v>1</v>
      </c>
      <c r="I267" s="266">
        <v>1</v>
      </c>
      <c r="J267" s="26">
        <f t="shared" si="58"/>
        <v>3</v>
      </c>
      <c r="K267" s="26">
        <f t="shared" si="59"/>
        <v>2</v>
      </c>
      <c r="L267" s="266">
        <f t="shared" si="60"/>
        <v>90</v>
      </c>
      <c r="M267" s="266" t="s">
        <v>952</v>
      </c>
      <c r="N267" s="266" t="s">
        <v>953</v>
      </c>
      <c r="O267" s="2045" t="s">
        <v>1454</v>
      </c>
      <c r="P267" s="2045"/>
      <c r="Q267" s="2045"/>
      <c r="R267" s="2045"/>
      <c r="S267" s="2045"/>
      <c r="T267" s="2045"/>
    </row>
    <row r="268" spans="1:20" x14ac:dyDescent="0.4">
      <c r="A268" s="1">
        <v>140488</v>
      </c>
      <c r="B268" s="417">
        <v>45</v>
      </c>
      <c r="C268" s="1">
        <f t="shared" si="57"/>
        <v>225</v>
      </c>
      <c r="D268" s="417">
        <v>0</v>
      </c>
      <c r="E268" s="417">
        <v>0</v>
      </c>
      <c r="F268" s="417">
        <v>1</v>
      </c>
      <c r="G268" s="417">
        <v>1</v>
      </c>
      <c r="H268" s="417">
        <v>1</v>
      </c>
      <c r="I268" s="417">
        <v>1</v>
      </c>
      <c r="J268" s="140">
        <f t="shared" si="58"/>
        <v>4</v>
      </c>
      <c r="K268" s="140">
        <f t="shared" si="59"/>
        <v>3</v>
      </c>
      <c r="L268" s="417">
        <f t="shared" si="60"/>
        <v>135</v>
      </c>
      <c r="M268" s="417" t="s">
        <v>952</v>
      </c>
      <c r="N268" s="417" t="s">
        <v>953</v>
      </c>
    </row>
    <row r="269" spans="1:20" x14ac:dyDescent="0.4">
      <c r="A269" s="1">
        <v>140489</v>
      </c>
      <c r="B269" s="417">
        <v>45</v>
      </c>
      <c r="C269" s="1">
        <f t="shared" si="57"/>
        <v>225</v>
      </c>
      <c r="D269" s="417">
        <v>0</v>
      </c>
      <c r="E269" s="417">
        <v>0</v>
      </c>
      <c r="F269" s="417">
        <v>0</v>
      </c>
      <c r="G269" s="417">
        <v>0</v>
      </c>
      <c r="H269" s="417">
        <v>0</v>
      </c>
      <c r="I269" s="417">
        <v>0</v>
      </c>
      <c r="J269" s="140">
        <f t="shared" si="58"/>
        <v>0</v>
      </c>
      <c r="K269" s="140">
        <f t="shared" si="59"/>
        <v>0</v>
      </c>
      <c r="L269" s="417">
        <f t="shared" si="60"/>
        <v>0</v>
      </c>
      <c r="M269" s="417" t="s">
        <v>954</v>
      </c>
      <c r="N269" s="417" t="s">
        <v>955</v>
      </c>
    </row>
    <row r="270" spans="1:20" x14ac:dyDescent="0.4">
      <c r="A270" s="16">
        <v>140490</v>
      </c>
      <c r="B270" s="175">
        <v>45</v>
      </c>
      <c r="C270" s="16">
        <f t="shared" si="57"/>
        <v>225</v>
      </c>
      <c r="D270" s="175">
        <v>0</v>
      </c>
      <c r="E270" s="175">
        <v>0</v>
      </c>
      <c r="F270" s="175">
        <v>0</v>
      </c>
      <c r="G270" s="175">
        <v>0</v>
      </c>
      <c r="H270" s="175">
        <v>0</v>
      </c>
      <c r="I270" s="175">
        <v>0</v>
      </c>
      <c r="J270" s="26">
        <f t="shared" si="58"/>
        <v>0</v>
      </c>
      <c r="K270" s="26">
        <f t="shared" si="59"/>
        <v>0</v>
      </c>
      <c r="L270" s="175">
        <f t="shared" si="60"/>
        <v>0</v>
      </c>
      <c r="M270" s="175" t="s">
        <v>954</v>
      </c>
      <c r="N270" s="175" t="s">
        <v>955</v>
      </c>
    </row>
    <row r="271" spans="1:20" x14ac:dyDescent="0.4">
      <c r="A271" s="16">
        <v>140491</v>
      </c>
      <c r="B271" s="230">
        <v>45</v>
      </c>
      <c r="C271" s="16">
        <f t="shared" si="57"/>
        <v>225</v>
      </c>
      <c r="D271" s="230">
        <v>0</v>
      </c>
      <c r="E271" s="230">
        <v>0</v>
      </c>
      <c r="F271" s="230">
        <v>0</v>
      </c>
      <c r="G271" s="230">
        <v>0</v>
      </c>
      <c r="H271" s="230">
        <v>0</v>
      </c>
      <c r="I271" s="230">
        <v>0</v>
      </c>
      <c r="J271" s="26">
        <f t="shared" si="58"/>
        <v>0</v>
      </c>
      <c r="K271" s="26">
        <f t="shared" si="59"/>
        <v>0</v>
      </c>
      <c r="L271" s="230">
        <f t="shared" si="60"/>
        <v>0</v>
      </c>
      <c r="M271" s="230" t="s">
        <v>956</v>
      </c>
      <c r="N271" s="230" t="s">
        <v>957</v>
      </c>
    </row>
    <row r="272" spans="1:20" x14ac:dyDescent="0.4">
      <c r="A272" s="16">
        <v>140492</v>
      </c>
      <c r="B272" s="199">
        <v>60</v>
      </c>
      <c r="C272" s="16">
        <f t="shared" si="57"/>
        <v>300</v>
      </c>
      <c r="D272" s="199">
        <v>0</v>
      </c>
      <c r="E272" s="199">
        <v>0</v>
      </c>
      <c r="F272" s="199">
        <v>0</v>
      </c>
      <c r="G272" s="199">
        <v>0</v>
      </c>
      <c r="H272" s="199">
        <v>0</v>
      </c>
      <c r="I272" s="199">
        <v>0</v>
      </c>
      <c r="J272" s="26">
        <f t="shared" si="58"/>
        <v>0</v>
      </c>
      <c r="K272" s="26">
        <f t="shared" si="59"/>
        <v>0</v>
      </c>
      <c r="L272" s="199">
        <f t="shared" si="60"/>
        <v>0</v>
      </c>
      <c r="M272" s="199" t="s">
        <v>958</v>
      </c>
      <c r="N272" s="199" t="s">
        <v>959</v>
      </c>
    </row>
    <row r="273" spans="1:20" x14ac:dyDescent="0.4">
      <c r="A273" s="16">
        <v>140493</v>
      </c>
      <c r="B273" s="116">
        <v>45</v>
      </c>
      <c r="C273" s="16">
        <f t="shared" si="57"/>
        <v>225</v>
      </c>
      <c r="D273" s="116">
        <v>0</v>
      </c>
      <c r="E273" s="116">
        <v>0</v>
      </c>
      <c r="F273" s="116">
        <v>0</v>
      </c>
      <c r="G273" s="116">
        <v>0</v>
      </c>
      <c r="H273" s="116">
        <v>0</v>
      </c>
      <c r="I273" s="116">
        <v>0</v>
      </c>
      <c r="J273" s="26">
        <f t="shared" si="58"/>
        <v>0</v>
      </c>
      <c r="K273" s="26">
        <f t="shared" si="59"/>
        <v>0</v>
      </c>
      <c r="L273" s="116">
        <f t="shared" si="60"/>
        <v>0</v>
      </c>
      <c r="M273" s="116" t="s">
        <v>958</v>
      </c>
      <c r="N273" s="116" t="s">
        <v>959</v>
      </c>
    </row>
    <row r="274" spans="1:20" x14ac:dyDescent="0.4">
      <c r="A274" s="1">
        <v>140494</v>
      </c>
      <c r="B274" s="417">
        <v>45</v>
      </c>
      <c r="C274" s="1">
        <f t="shared" si="57"/>
        <v>225</v>
      </c>
      <c r="D274" s="417">
        <v>0</v>
      </c>
      <c r="E274" s="417">
        <v>0</v>
      </c>
      <c r="F274" s="417">
        <v>0</v>
      </c>
      <c r="G274" s="417">
        <v>1</v>
      </c>
      <c r="H274" s="417">
        <v>1</v>
      </c>
      <c r="I274" s="417">
        <v>1</v>
      </c>
      <c r="J274" s="140">
        <f t="shared" si="58"/>
        <v>3</v>
      </c>
      <c r="K274" s="140">
        <f t="shared" si="59"/>
        <v>2</v>
      </c>
      <c r="L274" s="417">
        <f t="shared" si="60"/>
        <v>90</v>
      </c>
      <c r="M274" s="417" t="s">
        <v>960</v>
      </c>
      <c r="N274" s="417" t="s">
        <v>961</v>
      </c>
    </row>
    <row r="275" spans="1:20" x14ac:dyDescent="0.4">
      <c r="A275" s="16">
        <v>140495</v>
      </c>
      <c r="B275" s="210">
        <v>45</v>
      </c>
      <c r="C275" s="16">
        <f t="shared" si="57"/>
        <v>225</v>
      </c>
      <c r="D275" s="210">
        <v>0</v>
      </c>
      <c r="E275" s="210">
        <v>0</v>
      </c>
      <c r="F275" s="210">
        <v>0</v>
      </c>
      <c r="G275" s="210">
        <v>0</v>
      </c>
      <c r="H275" s="210">
        <v>0</v>
      </c>
      <c r="I275" s="210">
        <v>0</v>
      </c>
      <c r="J275" s="26">
        <f t="shared" si="58"/>
        <v>0</v>
      </c>
      <c r="K275" s="26">
        <f t="shared" si="59"/>
        <v>0</v>
      </c>
      <c r="L275" s="210">
        <f t="shared" si="60"/>
        <v>0</v>
      </c>
      <c r="M275" s="210" t="s">
        <v>960</v>
      </c>
      <c r="N275" s="210" t="s">
        <v>961</v>
      </c>
    </row>
    <row r="276" spans="1:20" x14ac:dyDescent="0.4">
      <c r="A276" s="16">
        <v>140496</v>
      </c>
      <c r="B276" s="167">
        <v>45</v>
      </c>
      <c r="C276" s="16">
        <f t="shared" si="57"/>
        <v>225</v>
      </c>
      <c r="D276" s="167">
        <v>0</v>
      </c>
      <c r="E276" s="167">
        <v>0</v>
      </c>
      <c r="F276" s="167">
        <v>0</v>
      </c>
      <c r="G276" s="167">
        <v>0</v>
      </c>
      <c r="H276" s="167">
        <v>0</v>
      </c>
      <c r="I276" s="167">
        <v>0</v>
      </c>
      <c r="J276" s="26">
        <f t="shared" si="58"/>
        <v>0</v>
      </c>
      <c r="K276" s="26">
        <f t="shared" si="59"/>
        <v>0</v>
      </c>
      <c r="L276" s="167">
        <f t="shared" si="60"/>
        <v>0</v>
      </c>
      <c r="M276" s="167" t="s">
        <v>960</v>
      </c>
      <c r="N276" s="167" t="s">
        <v>961</v>
      </c>
    </row>
    <row r="277" spans="1:20" x14ac:dyDescent="0.4">
      <c r="A277" s="16">
        <v>140497</v>
      </c>
      <c r="B277" s="172">
        <v>45</v>
      </c>
      <c r="C277" s="16">
        <f t="shared" si="57"/>
        <v>225</v>
      </c>
      <c r="D277" s="172">
        <v>0</v>
      </c>
      <c r="E277" s="172">
        <v>0</v>
      </c>
      <c r="F277" s="172">
        <v>0</v>
      </c>
      <c r="G277" s="172">
        <v>0</v>
      </c>
      <c r="H277" s="172">
        <v>0</v>
      </c>
      <c r="I277" s="172">
        <v>0</v>
      </c>
      <c r="J277" s="26">
        <f t="shared" si="58"/>
        <v>0</v>
      </c>
      <c r="K277" s="26">
        <f t="shared" si="59"/>
        <v>0</v>
      </c>
      <c r="L277" s="172">
        <f t="shared" si="60"/>
        <v>0</v>
      </c>
      <c r="M277" s="172" t="s">
        <v>962</v>
      </c>
      <c r="N277" s="172" t="s">
        <v>963</v>
      </c>
    </row>
    <row r="278" spans="1:20" x14ac:dyDescent="0.4">
      <c r="A278" s="16">
        <v>140498</v>
      </c>
      <c r="B278" s="193">
        <v>45</v>
      </c>
      <c r="C278" s="16">
        <f t="shared" si="57"/>
        <v>225</v>
      </c>
      <c r="D278" s="193">
        <v>0</v>
      </c>
      <c r="E278" s="193">
        <v>0</v>
      </c>
      <c r="F278" s="193">
        <v>0</v>
      </c>
      <c r="G278" s="193">
        <v>0</v>
      </c>
      <c r="H278" s="193">
        <v>0</v>
      </c>
      <c r="I278" s="193">
        <v>0</v>
      </c>
      <c r="J278" s="26">
        <f t="shared" si="58"/>
        <v>0</v>
      </c>
      <c r="K278" s="26">
        <f t="shared" si="59"/>
        <v>0</v>
      </c>
      <c r="L278" s="193">
        <f t="shared" si="60"/>
        <v>0</v>
      </c>
      <c r="M278" s="193" t="s">
        <v>964</v>
      </c>
      <c r="N278" s="193" t="s">
        <v>965</v>
      </c>
    </row>
    <row r="279" spans="1:20" x14ac:dyDescent="0.4">
      <c r="A279" s="16">
        <v>140499</v>
      </c>
      <c r="B279" s="131">
        <v>45</v>
      </c>
      <c r="C279" s="16">
        <f t="shared" si="57"/>
        <v>225</v>
      </c>
      <c r="D279" s="131">
        <v>0</v>
      </c>
      <c r="E279" s="131">
        <v>0</v>
      </c>
      <c r="F279" s="131">
        <v>0</v>
      </c>
      <c r="G279" s="131">
        <v>0</v>
      </c>
      <c r="H279" s="131">
        <v>0</v>
      </c>
      <c r="I279" s="131">
        <v>0</v>
      </c>
      <c r="J279" s="26">
        <f t="shared" si="58"/>
        <v>0</v>
      </c>
      <c r="K279" s="26">
        <f t="shared" si="59"/>
        <v>0</v>
      </c>
      <c r="L279" s="131">
        <f t="shared" si="60"/>
        <v>0</v>
      </c>
      <c r="M279" s="131" t="s">
        <v>966</v>
      </c>
      <c r="N279" s="131" t="s">
        <v>967</v>
      </c>
    </row>
    <row r="280" spans="1:20" x14ac:dyDescent="0.4">
      <c r="A280" s="16">
        <v>140500</v>
      </c>
      <c r="B280" s="149">
        <v>45</v>
      </c>
      <c r="C280" s="16">
        <f t="shared" si="57"/>
        <v>225</v>
      </c>
      <c r="D280" s="149">
        <v>0</v>
      </c>
      <c r="E280" s="149">
        <v>0</v>
      </c>
      <c r="F280" s="149">
        <v>0</v>
      </c>
      <c r="G280" s="149">
        <v>0</v>
      </c>
      <c r="H280" s="149">
        <v>0</v>
      </c>
      <c r="I280" s="149">
        <v>0</v>
      </c>
      <c r="J280" s="26">
        <f t="shared" si="58"/>
        <v>0</v>
      </c>
      <c r="K280" s="26">
        <f t="shared" si="59"/>
        <v>0</v>
      </c>
      <c r="L280" s="149">
        <f t="shared" si="60"/>
        <v>0</v>
      </c>
      <c r="M280" s="149" t="s">
        <v>968</v>
      </c>
      <c r="N280" s="149" t="s">
        <v>969</v>
      </c>
    </row>
    <row r="281" spans="1:20" x14ac:dyDescent="0.4">
      <c r="A281" s="16">
        <v>140501</v>
      </c>
      <c r="B281" s="190">
        <v>45</v>
      </c>
      <c r="C281" s="16">
        <f t="shared" si="57"/>
        <v>225</v>
      </c>
      <c r="D281" s="190">
        <v>0</v>
      </c>
      <c r="E281" s="190">
        <v>0</v>
      </c>
      <c r="F281" s="190">
        <v>0</v>
      </c>
      <c r="G281" s="190">
        <v>0</v>
      </c>
      <c r="H281" s="190">
        <v>0</v>
      </c>
      <c r="I281" s="190">
        <v>0</v>
      </c>
      <c r="J281" s="26">
        <f t="shared" si="58"/>
        <v>0</v>
      </c>
      <c r="K281" s="26">
        <f t="shared" si="59"/>
        <v>0</v>
      </c>
      <c r="L281" s="190">
        <f t="shared" si="60"/>
        <v>0</v>
      </c>
      <c r="M281" s="190" t="s">
        <v>968</v>
      </c>
      <c r="N281" s="190" t="s">
        <v>969</v>
      </c>
    </row>
    <row r="282" spans="1:20" x14ac:dyDescent="0.4">
      <c r="A282" s="1">
        <v>140502</v>
      </c>
      <c r="B282" s="417">
        <v>60</v>
      </c>
      <c r="C282" s="1">
        <f t="shared" si="57"/>
        <v>300</v>
      </c>
      <c r="D282" s="417">
        <v>0</v>
      </c>
      <c r="E282" s="417">
        <v>0</v>
      </c>
      <c r="F282" s="417">
        <v>0</v>
      </c>
      <c r="G282" s="417">
        <v>0</v>
      </c>
      <c r="H282" s="417">
        <v>0</v>
      </c>
      <c r="I282" s="417">
        <v>0</v>
      </c>
      <c r="J282" s="140">
        <f t="shared" si="58"/>
        <v>0</v>
      </c>
      <c r="K282" s="140">
        <f t="shared" si="59"/>
        <v>0</v>
      </c>
      <c r="L282" s="417">
        <f t="shared" si="60"/>
        <v>0</v>
      </c>
      <c r="M282" s="417" t="s">
        <v>970</v>
      </c>
      <c r="N282" s="417" t="s">
        <v>971</v>
      </c>
    </row>
    <row r="283" spans="1:20" x14ac:dyDescent="0.4">
      <c r="A283" s="1">
        <v>140503</v>
      </c>
      <c r="B283" s="417">
        <v>60</v>
      </c>
      <c r="C283" s="1">
        <f t="shared" si="57"/>
        <v>300</v>
      </c>
      <c r="D283" s="417">
        <v>0</v>
      </c>
      <c r="E283" s="417">
        <v>0</v>
      </c>
      <c r="F283" s="417">
        <v>0</v>
      </c>
      <c r="G283" s="417">
        <v>0</v>
      </c>
      <c r="H283" s="417">
        <v>1</v>
      </c>
      <c r="I283" s="417">
        <v>1</v>
      </c>
      <c r="J283" s="140">
        <f t="shared" si="58"/>
        <v>2</v>
      </c>
      <c r="K283" s="140">
        <f t="shared" si="59"/>
        <v>1</v>
      </c>
      <c r="L283" s="417">
        <f t="shared" si="60"/>
        <v>60</v>
      </c>
      <c r="M283" s="417" t="s">
        <v>972</v>
      </c>
      <c r="N283" s="417" t="s">
        <v>973</v>
      </c>
    </row>
    <row r="284" spans="1:20" x14ac:dyDescent="0.4">
      <c r="A284" s="1">
        <v>140504</v>
      </c>
      <c r="B284" s="417">
        <v>81</v>
      </c>
      <c r="C284" s="1">
        <f t="shared" si="57"/>
        <v>405</v>
      </c>
      <c r="D284" s="417">
        <v>0</v>
      </c>
      <c r="E284" s="417">
        <v>0</v>
      </c>
      <c r="F284" s="417">
        <v>0</v>
      </c>
      <c r="G284" s="417">
        <v>0</v>
      </c>
      <c r="H284" s="417">
        <v>0</v>
      </c>
      <c r="I284" s="417">
        <v>1</v>
      </c>
      <c r="J284" s="140">
        <f t="shared" si="58"/>
        <v>1</v>
      </c>
      <c r="K284" s="140">
        <f t="shared" si="59"/>
        <v>0</v>
      </c>
      <c r="L284" s="417">
        <f t="shared" si="60"/>
        <v>0</v>
      </c>
      <c r="M284" s="417" t="s">
        <v>974</v>
      </c>
      <c r="N284" s="417" t="s">
        <v>975</v>
      </c>
    </row>
    <row r="285" spans="1:20" x14ac:dyDescent="0.4">
      <c r="A285" s="16">
        <v>140505</v>
      </c>
      <c r="B285" s="238"/>
      <c r="C285" s="16">
        <f t="shared" si="57"/>
        <v>0</v>
      </c>
      <c r="D285" s="238" t="s">
        <v>976</v>
      </c>
      <c r="E285" s="238" t="s">
        <v>977</v>
      </c>
      <c r="F285" s="238" t="s">
        <v>978</v>
      </c>
      <c r="G285" s="238" t="s">
        <v>979</v>
      </c>
      <c r="H285" s="238"/>
      <c r="I285" s="238"/>
      <c r="J285" s="26">
        <f t="shared" si="58"/>
        <v>0</v>
      </c>
      <c r="K285" s="26">
        <f t="shared" si="59"/>
        <v>0</v>
      </c>
      <c r="L285" s="238">
        <f t="shared" si="60"/>
        <v>0</v>
      </c>
      <c r="M285" s="238" t="s">
        <v>974</v>
      </c>
      <c r="N285" s="238" t="s">
        <v>975</v>
      </c>
      <c r="O285" s="2037" t="s">
        <v>980</v>
      </c>
      <c r="P285" s="2037"/>
      <c r="Q285" s="2037"/>
      <c r="R285" s="2037"/>
      <c r="S285" s="2037"/>
      <c r="T285" s="2037"/>
    </row>
    <row r="286" spans="1:20" x14ac:dyDescent="0.4">
      <c r="A286" s="16">
        <v>140506</v>
      </c>
      <c r="B286" s="329">
        <v>45</v>
      </c>
      <c r="C286" s="16">
        <f t="shared" si="57"/>
        <v>225</v>
      </c>
      <c r="D286" s="329">
        <v>0</v>
      </c>
      <c r="E286" s="329">
        <v>0</v>
      </c>
      <c r="F286" s="329">
        <v>0</v>
      </c>
      <c r="G286" s="329">
        <v>0</v>
      </c>
      <c r="H286" s="329">
        <v>0</v>
      </c>
      <c r="I286" s="329">
        <v>0</v>
      </c>
      <c r="J286" s="26">
        <f t="shared" si="58"/>
        <v>0</v>
      </c>
      <c r="K286" s="26">
        <f t="shared" si="59"/>
        <v>0</v>
      </c>
      <c r="L286" s="329">
        <f t="shared" si="60"/>
        <v>0</v>
      </c>
      <c r="M286" s="329" t="s">
        <v>974</v>
      </c>
      <c r="N286" s="329" t="s">
        <v>975</v>
      </c>
    </row>
    <row r="287" spans="1:20" x14ac:dyDescent="0.4">
      <c r="A287" s="1">
        <v>140507</v>
      </c>
      <c r="B287" s="417">
        <v>60</v>
      </c>
      <c r="C287" s="1">
        <f t="shared" si="57"/>
        <v>300</v>
      </c>
      <c r="D287" s="417">
        <v>0</v>
      </c>
      <c r="E287" s="417">
        <v>0</v>
      </c>
      <c r="F287" s="417">
        <v>0</v>
      </c>
      <c r="G287" s="417">
        <v>0</v>
      </c>
      <c r="H287" s="417">
        <v>0</v>
      </c>
      <c r="I287" s="417">
        <v>1</v>
      </c>
      <c r="J287" s="140">
        <f t="shared" si="58"/>
        <v>1</v>
      </c>
      <c r="K287" s="140">
        <f t="shared" si="59"/>
        <v>0</v>
      </c>
      <c r="L287" s="417">
        <f t="shared" si="60"/>
        <v>0</v>
      </c>
      <c r="M287" s="417" t="s">
        <v>981</v>
      </c>
      <c r="N287" s="417" t="s">
        <v>982</v>
      </c>
    </row>
    <row r="288" spans="1:20" x14ac:dyDescent="0.4">
      <c r="A288" s="16">
        <v>140508</v>
      </c>
      <c r="B288" s="228">
        <v>45</v>
      </c>
      <c r="C288" s="16">
        <f t="shared" si="57"/>
        <v>225</v>
      </c>
      <c r="D288" s="228">
        <v>0</v>
      </c>
      <c r="E288" s="228">
        <v>0</v>
      </c>
      <c r="F288" s="228">
        <v>0</v>
      </c>
      <c r="G288" s="228">
        <v>0</v>
      </c>
      <c r="H288" s="228">
        <v>0</v>
      </c>
      <c r="I288" s="228">
        <v>0</v>
      </c>
      <c r="J288" s="26">
        <f t="shared" si="58"/>
        <v>0</v>
      </c>
      <c r="K288" s="26">
        <f t="shared" si="59"/>
        <v>0</v>
      </c>
      <c r="L288" s="228">
        <f t="shared" si="60"/>
        <v>0</v>
      </c>
      <c r="M288" s="228" t="s">
        <v>983</v>
      </c>
      <c r="N288" s="228" t="s">
        <v>984</v>
      </c>
    </row>
    <row r="289" spans="1:15" x14ac:dyDescent="0.4">
      <c r="A289" s="16">
        <v>140509</v>
      </c>
      <c r="B289" s="117"/>
      <c r="C289" s="16">
        <f t="shared" si="57"/>
        <v>0</v>
      </c>
      <c r="D289" s="117" t="s">
        <v>985</v>
      </c>
      <c r="E289" s="117" t="s">
        <v>986</v>
      </c>
      <c r="F289" s="117" t="s">
        <v>987</v>
      </c>
      <c r="G289" s="117" t="s">
        <v>988</v>
      </c>
      <c r="H289" s="117" t="s">
        <v>989</v>
      </c>
      <c r="I289" s="117" t="s">
        <v>990</v>
      </c>
      <c r="J289" s="26">
        <f t="shared" si="58"/>
        <v>0</v>
      </c>
      <c r="K289" s="26">
        <f t="shared" si="59"/>
        <v>0</v>
      </c>
      <c r="L289" s="117">
        <f t="shared" si="60"/>
        <v>0</v>
      </c>
      <c r="M289" s="16"/>
      <c r="N289" s="16"/>
      <c r="O289" t="s">
        <v>2262</v>
      </c>
    </row>
    <row r="290" spans="1:15" x14ac:dyDescent="0.4">
      <c r="A290" s="16">
        <v>140510</v>
      </c>
      <c r="B290" s="307">
        <v>90</v>
      </c>
      <c r="C290" s="16">
        <f t="shared" ref="C290:C305" si="61">SUM(B290*5)</f>
        <v>450</v>
      </c>
      <c r="D290" s="307">
        <v>0</v>
      </c>
      <c r="E290" s="307">
        <v>0</v>
      </c>
      <c r="F290" s="307">
        <v>0</v>
      </c>
      <c r="G290" s="307">
        <v>0</v>
      </c>
      <c r="H290" s="307">
        <v>0</v>
      </c>
      <c r="I290" s="307">
        <v>0</v>
      </c>
      <c r="J290" s="26">
        <f t="shared" ref="J290:J305" si="62">SUM(D290:I290)</f>
        <v>0</v>
      </c>
      <c r="K290" s="26">
        <f t="shared" ref="K290:K305" si="63">SUM(D290:H290)</f>
        <v>0</v>
      </c>
      <c r="L290" s="307">
        <f t="shared" ref="L290:L305" si="64">B290*K290</f>
        <v>0</v>
      </c>
      <c r="M290" s="307" t="s">
        <v>992</v>
      </c>
      <c r="N290" s="307" t="s">
        <v>993</v>
      </c>
    </row>
    <row r="291" spans="1:15" x14ac:dyDescent="0.4">
      <c r="A291" s="16">
        <v>140511</v>
      </c>
      <c r="B291" s="238">
        <v>45</v>
      </c>
      <c r="C291" s="16">
        <f t="shared" si="61"/>
        <v>225</v>
      </c>
      <c r="D291" s="238">
        <v>0</v>
      </c>
      <c r="E291" s="238">
        <v>0</v>
      </c>
      <c r="F291" s="238">
        <v>0</v>
      </c>
      <c r="G291" s="238">
        <v>0</v>
      </c>
      <c r="H291" s="238">
        <v>0</v>
      </c>
      <c r="I291" s="238">
        <v>0</v>
      </c>
      <c r="J291" s="26">
        <f t="shared" si="62"/>
        <v>0</v>
      </c>
      <c r="K291" s="26">
        <f t="shared" si="63"/>
        <v>0</v>
      </c>
      <c r="L291" s="238">
        <f t="shared" si="64"/>
        <v>0</v>
      </c>
      <c r="M291" s="238" t="s">
        <v>992</v>
      </c>
      <c r="N291" s="238" t="s">
        <v>993</v>
      </c>
    </row>
    <row r="292" spans="1:15" x14ac:dyDescent="0.4">
      <c r="A292" s="1">
        <v>140512</v>
      </c>
      <c r="B292" s="417">
        <v>70</v>
      </c>
      <c r="C292" s="1">
        <v>70</v>
      </c>
      <c r="D292" s="417">
        <v>0</v>
      </c>
      <c r="E292" s="417">
        <v>0</v>
      </c>
      <c r="F292" s="417">
        <v>0</v>
      </c>
      <c r="G292" s="417">
        <v>0</v>
      </c>
      <c r="H292" s="417">
        <v>0</v>
      </c>
      <c r="I292" s="417">
        <v>1</v>
      </c>
      <c r="J292" s="140">
        <f t="shared" si="62"/>
        <v>1</v>
      </c>
      <c r="K292" s="140">
        <f t="shared" si="63"/>
        <v>0</v>
      </c>
      <c r="L292" s="417">
        <f t="shared" si="64"/>
        <v>0</v>
      </c>
      <c r="M292" s="417" t="s">
        <v>994</v>
      </c>
      <c r="N292" s="417" t="s">
        <v>995</v>
      </c>
      <c r="O292" t="s">
        <v>996</v>
      </c>
    </row>
    <row r="293" spans="1:15" x14ac:dyDescent="0.4">
      <c r="A293" s="16">
        <v>140513</v>
      </c>
      <c r="B293" s="399">
        <v>84</v>
      </c>
      <c r="C293" s="16">
        <f t="shared" si="61"/>
        <v>420</v>
      </c>
      <c r="D293" s="399">
        <v>0</v>
      </c>
      <c r="E293" s="399">
        <v>0</v>
      </c>
      <c r="F293" s="399">
        <v>0</v>
      </c>
      <c r="G293" s="399">
        <v>0</v>
      </c>
      <c r="H293" s="399">
        <v>0</v>
      </c>
      <c r="I293" s="399">
        <v>0</v>
      </c>
      <c r="J293" s="26">
        <f t="shared" si="62"/>
        <v>0</v>
      </c>
      <c r="K293" s="26">
        <f t="shared" si="63"/>
        <v>0</v>
      </c>
      <c r="L293" s="399">
        <f t="shared" si="64"/>
        <v>0</v>
      </c>
      <c r="M293" s="399" t="s">
        <v>1069</v>
      </c>
      <c r="N293" s="399" t="s">
        <v>1070</v>
      </c>
    </row>
    <row r="294" spans="1:15" x14ac:dyDescent="0.4">
      <c r="A294" s="1">
        <v>140514</v>
      </c>
      <c r="B294" s="417">
        <v>60</v>
      </c>
      <c r="C294" s="1">
        <f t="shared" si="61"/>
        <v>300</v>
      </c>
      <c r="D294" s="417">
        <v>0</v>
      </c>
      <c r="E294" s="417">
        <v>0</v>
      </c>
      <c r="F294" s="417">
        <v>0</v>
      </c>
      <c r="G294" s="417">
        <v>0</v>
      </c>
      <c r="H294" s="417">
        <v>0</v>
      </c>
      <c r="I294" s="417">
        <v>1</v>
      </c>
      <c r="J294" s="140">
        <f t="shared" si="62"/>
        <v>1</v>
      </c>
      <c r="K294" s="140">
        <f t="shared" si="63"/>
        <v>0</v>
      </c>
      <c r="L294" s="417">
        <f t="shared" si="64"/>
        <v>0</v>
      </c>
      <c r="M294" s="417" t="s">
        <v>997</v>
      </c>
      <c r="N294" s="417" t="s">
        <v>998</v>
      </c>
    </row>
    <row r="295" spans="1:15" x14ac:dyDescent="0.4">
      <c r="A295" s="16">
        <v>140515</v>
      </c>
      <c r="B295" s="415">
        <v>60</v>
      </c>
      <c r="C295" s="16">
        <f t="shared" si="61"/>
        <v>300</v>
      </c>
      <c r="D295" s="415">
        <v>0</v>
      </c>
      <c r="E295" s="415">
        <v>0</v>
      </c>
      <c r="F295" s="415">
        <v>0</v>
      </c>
      <c r="G295" s="415">
        <v>0</v>
      </c>
      <c r="H295" s="415">
        <v>0</v>
      </c>
      <c r="I295" s="415">
        <v>0</v>
      </c>
      <c r="J295" s="26">
        <f t="shared" si="62"/>
        <v>0</v>
      </c>
      <c r="K295" s="26">
        <f t="shared" si="63"/>
        <v>0</v>
      </c>
      <c r="L295" s="415">
        <f t="shared" si="64"/>
        <v>0</v>
      </c>
      <c r="M295" s="415" t="s">
        <v>997</v>
      </c>
      <c r="N295" s="415" t="s">
        <v>998</v>
      </c>
    </row>
    <row r="296" spans="1:15" x14ac:dyDescent="0.4">
      <c r="A296" s="16">
        <v>140516</v>
      </c>
      <c r="B296" s="434">
        <v>60</v>
      </c>
      <c r="C296" s="16">
        <f t="shared" si="61"/>
        <v>300</v>
      </c>
      <c r="D296" s="434">
        <v>0</v>
      </c>
      <c r="E296" s="434">
        <v>0</v>
      </c>
      <c r="F296" s="434">
        <v>0</v>
      </c>
      <c r="G296" s="434">
        <v>0</v>
      </c>
      <c r="H296" s="434">
        <v>0</v>
      </c>
      <c r="I296" s="434">
        <v>0</v>
      </c>
      <c r="J296" s="26">
        <f t="shared" si="62"/>
        <v>0</v>
      </c>
      <c r="K296" s="26">
        <f t="shared" si="63"/>
        <v>0</v>
      </c>
      <c r="L296" s="434">
        <f t="shared" si="64"/>
        <v>0</v>
      </c>
      <c r="M296" s="434" t="s">
        <v>999</v>
      </c>
      <c r="N296" s="434" t="s">
        <v>1000</v>
      </c>
    </row>
    <row r="297" spans="1:15" x14ac:dyDescent="0.4">
      <c r="A297" s="1">
        <v>140517</v>
      </c>
      <c r="B297" s="417">
        <v>45</v>
      </c>
      <c r="C297" s="1">
        <f t="shared" si="61"/>
        <v>225</v>
      </c>
      <c r="D297" s="417">
        <v>0</v>
      </c>
      <c r="E297" s="417">
        <v>0</v>
      </c>
      <c r="F297" s="417">
        <v>0</v>
      </c>
      <c r="G297" s="417">
        <v>0</v>
      </c>
      <c r="H297" s="417">
        <v>0</v>
      </c>
      <c r="I297" s="417">
        <v>0</v>
      </c>
      <c r="J297" s="140">
        <f t="shared" si="62"/>
        <v>0</v>
      </c>
      <c r="K297" s="140">
        <f t="shared" si="63"/>
        <v>0</v>
      </c>
      <c r="L297" s="417">
        <f t="shared" si="64"/>
        <v>0</v>
      </c>
      <c r="M297" s="417" t="s">
        <v>1001</v>
      </c>
      <c r="N297" s="417" t="s">
        <v>1002</v>
      </c>
    </row>
    <row r="298" spans="1:15" x14ac:dyDescent="0.4">
      <c r="A298" s="1">
        <v>140518</v>
      </c>
      <c r="B298" s="417"/>
      <c r="C298" s="1">
        <f t="shared" si="61"/>
        <v>0</v>
      </c>
      <c r="D298" s="417">
        <v>1</v>
      </c>
      <c r="E298" s="417">
        <v>1</v>
      </c>
      <c r="F298" s="417">
        <v>1</v>
      </c>
      <c r="G298" s="417">
        <v>1</v>
      </c>
      <c r="H298" s="417">
        <v>1</v>
      </c>
      <c r="I298" s="417">
        <v>1</v>
      </c>
      <c r="J298" s="140">
        <f t="shared" si="62"/>
        <v>6</v>
      </c>
      <c r="K298" s="140">
        <f t="shared" si="63"/>
        <v>5</v>
      </c>
      <c r="L298" s="417">
        <f t="shared" si="64"/>
        <v>0</v>
      </c>
      <c r="M298" s="1"/>
      <c r="N298" s="1"/>
    </row>
    <row r="299" spans="1:15" x14ac:dyDescent="0.4">
      <c r="A299" s="1">
        <v>140519</v>
      </c>
      <c r="B299" s="417">
        <v>45</v>
      </c>
      <c r="C299" s="1">
        <f t="shared" si="61"/>
        <v>225</v>
      </c>
      <c r="D299" s="417">
        <v>0</v>
      </c>
      <c r="E299" s="417">
        <v>0</v>
      </c>
      <c r="F299" s="417">
        <v>1</v>
      </c>
      <c r="G299" s="417">
        <v>1</v>
      </c>
      <c r="H299" s="417">
        <v>1</v>
      </c>
      <c r="I299" s="417">
        <v>1</v>
      </c>
      <c r="J299" s="140">
        <f t="shared" si="62"/>
        <v>4</v>
      </c>
      <c r="K299" s="140">
        <f t="shared" si="63"/>
        <v>3</v>
      </c>
      <c r="L299" s="417">
        <f t="shared" si="64"/>
        <v>135</v>
      </c>
      <c r="M299" s="417" t="s">
        <v>1003</v>
      </c>
      <c r="N299" s="417" t="s">
        <v>1004</v>
      </c>
    </row>
    <row r="300" spans="1:15" x14ac:dyDescent="0.4">
      <c r="A300" s="16">
        <v>140520</v>
      </c>
      <c r="B300" s="235">
        <v>45</v>
      </c>
      <c r="C300" s="16">
        <f t="shared" si="61"/>
        <v>225</v>
      </c>
      <c r="D300" s="235">
        <v>0</v>
      </c>
      <c r="E300" s="235">
        <v>0</v>
      </c>
      <c r="F300" s="235">
        <v>0</v>
      </c>
      <c r="G300" s="235">
        <v>0</v>
      </c>
      <c r="H300" s="235">
        <v>0</v>
      </c>
      <c r="I300" s="235">
        <v>0</v>
      </c>
      <c r="J300" s="26">
        <f t="shared" si="62"/>
        <v>0</v>
      </c>
      <c r="K300" s="26">
        <f t="shared" si="63"/>
        <v>0</v>
      </c>
      <c r="L300" s="235">
        <f t="shared" si="64"/>
        <v>0</v>
      </c>
      <c r="M300" s="235" t="s">
        <v>1003</v>
      </c>
      <c r="N300" s="235" t="s">
        <v>1004</v>
      </c>
    </row>
    <row r="301" spans="1:15" x14ac:dyDescent="0.4">
      <c r="A301" s="16">
        <v>140521</v>
      </c>
      <c r="B301" s="231">
        <v>45</v>
      </c>
      <c r="C301" s="16">
        <v>90</v>
      </c>
      <c r="D301" s="231">
        <v>0</v>
      </c>
      <c r="E301" s="231">
        <v>0</v>
      </c>
      <c r="F301" s="231"/>
      <c r="G301" s="231"/>
      <c r="H301" s="231"/>
      <c r="I301" s="231"/>
      <c r="J301" s="26">
        <v>2</v>
      </c>
      <c r="K301" s="26">
        <v>2</v>
      </c>
      <c r="L301" s="231">
        <v>90</v>
      </c>
      <c r="M301" s="231" t="s">
        <v>1003</v>
      </c>
      <c r="N301" s="231" t="s">
        <v>1004</v>
      </c>
      <c r="O301" s="16" t="s">
        <v>1005</v>
      </c>
    </row>
    <row r="302" spans="1:15" x14ac:dyDescent="0.4">
      <c r="A302" s="16">
        <v>140522</v>
      </c>
      <c r="B302" s="383">
        <v>45</v>
      </c>
      <c r="C302" s="16">
        <f t="shared" si="61"/>
        <v>225</v>
      </c>
      <c r="D302" s="383">
        <v>0</v>
      </c>
      <c r="E302" s="383">
        <v>0</v>
      </c>
      <c r="F302" s="383">
        <v>0</v>
      </c>
      <c r="G302" s="383">
        <v>0</v>
      </c>
      <c r="H302" s="383">
        <v>0</v>
      </c>
      <c r="I302" s="383">
        <v>0</v>
      </c>
      <c r="J302" s="26">
        <f t="shared" si="62"/>
        <v>0</v>
      </c>
      <c r="K302" s="26">
        <f t="shared" si="63"/>
        <v>0</v>
      </c>
      <c r="L302" s="383">
        <f t="shared" si="64"/>
        <v>0</v>
      </c>
      <c r="M302" s="383" t="s">
        <v>1006</v>
      </c>
      <c r="N302" s="383" t="s">
        <v>1007</v>
      </c>
    </row>
    <row r="303" spans="1:15" x14ac:dyDescent="0.4">
      <c r="A303" s="16">
        <v>140523</v>
      </c>
      <c r="B303" s="440">
        <v>100</v>
      </c>
      <c r="C303" s="16">
        <f t="shared" si="61"/>
        <v>500</v>
      </c>
      <c r="D303" s="440">
        <v>0</v>
      </c>
      <c r="E303" s="440">
        <v>0</v>
      </c>
      <c r="F303" s="440">
        <v>0</v>
      </c>
      <c r="G303" s="440">
        <v>0</v>
      </c>
      <c r="H303" s="440">
        <v>0</v>
      </c>
      <c r="I303" s="440">
        <v>0</v>
      </c>
      <c r="J303" s="26">
        <f t="shared" si="62"/>
        <v>0</v>
      </c>
      <c r="K303" s="26">
        <f t="shared" si="63"/>
        <v>0</v>
      </c>
      <c r="L303" s="440">
        <f t="shared" si="64"/>
        <v>0</v>
      </c>
      <c r="M303" s="440" t="s">
        <v>1008</v>
      </c>
      <c r="N303" s="440" t="s">
        <v>1009</v>
      </c>
    </row>
    <row r="304" spans="1:15" x14ac:dyDescent="0.4">
      <c r="A304" s="16">
        <v>140524</v>
      </c>
      <c r="B304" s="208">
        <v>45</v>
      </c>
      <c r="C304" s="16">
        <f t="shared" si="61"/>
        <v>225</v>
      </c>
      <c r="D304" s="208">
        <v>0</v>
      </c>
      <c r="E304" s="208">
        <v>0</v>
      </c>
      <c r="F304" s="208">
        <v>0</v>
      </c>
      <c r="G304" s="208">
        <v>0</v>
      </c>
      <c r="H304" s="208">
        <v>0</v>
      </c>
      <c r="I304" s="208">
        <v>0</v>
      </c>
      <c r="J304" s="26">
        <f t="shared" si="62"/>
        <v>0</v>
      </c>
      <c r="K304" s="26">
        <f t="shared" si="63"/>
        <v>0</v>
      </c>
      <c r="L304" s="208">
        <f t="shared" si="64"/>
        <v>0</v>
      </c>
      <c r="M304" s="208" t="s">
        <v>1010</v>
      </c>
      <c r="N304" s="208" t="s">
        <v>1011</v>
      </c>
    </row>
    <row r="305" spans="1:14" x14ac:dyDescent="0.4">
      <c r="A305" s="16">
        <v>140525</v>
      </c>
      <c r="B305" s="313">
        <v>45</v>
      </c>
      <c r="C305" s="16">
        <f t="shared" si="61"/>
        <v>225</v>
      </c>
      <c r="D305" s="313">
        <v>0</v>
      </c>
      <c r="E305" s="313">
        <v>0</v>
      </c>
      <c r="F305" s="313">
        <v>0</v>
      </c>
      <c r="G305" s="313">
        <v>0</v>
      </c>
      <c r="H305" s="313">
        <v>0</v>
      </c>
      <c r="I305" s="313">
        <v>0</v>
      </c>
      <c r="J305" s="26">
        <f t="shared" si="62"/>
        <v>0</v>
      </c>
      <c r="K305" s="26">
        <f t="shared" si="63"/>
        <v>0</v>
      </c>
      <c r="L305" s="313">
        <f t="shared" si="64"/>
        <v>0</v>
      </c>
      <c r="M305" s="313" t="s">
        <v>1010</v>
      </c>
      <c r="N305" s="313" t="s">
        <v>1011</v>
      </c>
    </row>
    <row r="307" spans="1:14" x14ac:dyDescent="0.4">
      <c r="A307" s="2044" t="s">
        <v>578</v>
      </c>
      <c r="B307" s="2044"/>
      <c r="C307" s="2044"/>
      <c r="D307" s="2044"/>
      <c r="E307" s="2044"/>
      <c r="F307" s="2044"/>
      <c r="H307" s="2044" t="s">
        <v>579</v>
      </c>
      <c r="I307" s="2044"/>
      <c r="J307" s="2044"/>
      <c r="K307" s="2044"/>
    </row>
    <row r="308" spans="1:14" x14ac:dyDescent="0.4">
      <c r="A308" s="2044" t="s">
        <v>580</v>
      </c>
      <c r="B308" s="2044"/>
      <c r="C308" s="2044"/>
      <c r="D308" s="2044"/>
      <c r="E308" s="2044"/>
      <c r="F308" s="2044"/>
      <c r="H308" s="2044" t="s">
        <v>581</v>
      </c>
      <c r="I308" s="2044"/>
      <c r="J308" s="2044"/>
      <c r="K308" s="2044"/>
    </row>
  </sheetData>
  <mergeCells count="33">
    <mergeCell ref="A308:F308"/>
    <mergeCell ref="H308:K308"/>
    <mergeCell ref="O128:S128"/>
    <mergeCell ref="T128:Z128"/>
    <mergeCell ref="O126:S126"/>
    <mergeCell ref="O127:S127"/>
    <mergeCell ref="T127:Z127"/>
    <mergeCell ref="T126:Z126"/>
    <mergeCell ref="O224:P224"/>
    <mergeCell ref="O252:S252"/>
    <mergeCell ref="O285:T285"/>
    <mergeCell ref="O239:Q239"/>
    <mergeCell ref="D39:I39"/>
    <mergeCell ref="A307:F307"/>
    <mergeCell ref="H307:K307"/>
    <mergeCell ref="O47:T47"/>
    <mergeCell ref="P58:Q58"/>
    <mergeCell ref="O60:Q60"/>
    <mergeCell ref="O88:Q88"/>
    <mergeCell ref="O89:Q89"/>
    <mergeCell ref="O77:R77"/>
    <mergeCell ref="T77:V77"/>
    <mergeCell ref="P83:S83"/>
    <mergeCell ref="O267:T267"/>
    <mergeCell ref="Q4:Q5"/>
    <mergeCell ref="D5:I5"/>
    <mergeCell ref="O31:P31"/>
    <mergeCell ref="A4:A5"/>
    <mergeCell ref="D4:I4"/>
    <mergeCell ref="M4:M5"/>
    <mergeCell ref="N4:N5"/>
    <mergeCell ref="P4:P5"/>
    <mergeCell ref="A6:B6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334"/>
  <sheetViews>
    <sheetView workbookViewId="0">
      <selection activeCell="C3" sqref="C3"/>
    </sheetView>
  </sheetViews>
  <sheetFormatPr defaultRowHeight="17.399999999999999" x14ac:dyDescent="0.4"/>
  <cols>
    <col min="4" max="9" width="5.59765625" customWidth="1"/>
    <col min="10" max="11" width="9" customWidth="1"/>
    <col min="12" max="12" width="9.8984375" customWidth="1"/>
    <col min="13" max="14" width="11.3984375" customWidth="1"/>
    <col min="15" max="15" width="8.3984375" customWidth="1"/>
    <col min="16" max="17" width="9" customWidth="1"/>
    <col min="18" max="18" width="15.8984375" customWidth="1"/>
  </cols>
  <sheetData>
    <row r="1" spans="1:26" x14ac:dyDescent="0.4">
      <c r="A1" s="5"/>
      <c r="B1" s="100"/>
      <c r="C1" s="100" t="s">
        <v>171</v>
      </c>
      <c r="D1" s="100"/>
      <c r="E1" s="100"/>
      <c r="F1" s="100"/>
      <c r="G1" s="100"/>
      <c r="H1" s="100"/>
      <c r="I1" s="100"/>
      <c r="J1" s="5"/>
      <c r="K1" s="5"/>
      <c r="L1" s="1021" t="s">
        <v>171</v>
      </c>
      <c r="M1" s="278"/>
      <c r="N1" s="278" t="s">
        <v>1487</v>
      </c>
      <c r="O1" s="100"/>
      <c r="P1" s="100"/>
      <c r="Q1" s="100"/>
    </row>
    <row r="2" spans="1:26" x14ac:dyDescent="0.4">
      <c r="A2" s="5" t="s">
        <v>172</v>
      </c>
      <c r="B2" s="100"/>
      <c r="C2" s="100" t="s">
        <v>173</v>
      </c>
      <c r="D2" s="100" t="s">
        <v>174</v>
      </c>
      <c r="E2" s="100"/>
      <c r="F2" s="100"/>
      <c r="G2" s="100"/>
      <c r="H2" s="100"/>
      <c r="I2" s="100"/>
      <c r="J2" s="5"/>
      <c r="K2" s="5"/>
      <c r="L2" s="1021" t="s">
        <v>2924</v>
      </c>
      <c r="M2" s="279"/>
      <c r="N2" s="279" t="s">
        <v>2925</v>
      </c>
      <c r="O2" s="100"/>
      <c r="P2" s="100"/>
      <c r="Q2" s="100"/>
      <c r="R2" s="98"/>
      <c r="S2" s="98"/>
    </row>
    <row r="3" spans="1:26" x14ac:dyDescent="0.4">
      <c r="A3" s="36"/>
      <c r="B3" s="102"/>
      <c r="C3" s="250">
        <f>SUM(C7:C332)</f>
        <v>78825</v>
      </c>
      <c r="D3" s="102"/>
      <c r="E3" s="102"/>
      <c r="F3" s="102"/>
      <c r="G3" s="102"/>
      <c r="H3" s="102"/>
      <c r="I3" s="102"/>
      <c r="J3" s="36"/>
      <c r="K3" s="36"/>
      <c r="L3" s="250">
        <f>SUM(L7:L332)-180</f>
        <v>4909</v>
      </c>
      <c r="M3" s="250"/>
      <c r="N3" s="1027">
        <f>L3/C3</f>
        <v>6.2277196320964158E-2</v>
      </c>
      <c r="O3" s="102"/>
      <c r="P3" s="102"/>
      <c r="Q3" s="102"/>
      <c r="R3" s="98"/>
      <c r="S3" s="98"/>
    </row>
    <row r="4" spans="1:26" x14ac:dyDescent="0.4">
      <c r="A4" s="2035" t="s">
        <v>182</v>
      </c>
      <c r="B4" s="101" t="s">
        <v>176</v>
      </c>
      <c r="C4" s="101" t="s">
        <v>177</v>
      </c>
      <c r="D4" s="2041"/>
      <c r="E4" s="2042"/>
      <c r="F4" s="2042"/>
      <c r="G4" s="2042"/>
      <c r="H4" s="2042"/>
      <c r="I4" s="2043"/>
      <c r="J4" s="33" t="s">
        <v>178</v>
      </c>
      <c r="K4" s="33" t="s">
        <v>179</v>
      </c>
      <c r="L4" s="33" t="s">
        <v>896</v>
      </c>
      <c r="M4" s="2035" t="s">
        <v>187</v>
      </c>
      <c r="N4" s="2035" t="s">
        <v>188</v>
      </c>
      <c r="O4" s="101" t="s">
        <v>180</v>
      </c>
      <c r="P4" s="2035" t="s">
        <v>181</v>
      </c>
      <c r="Q4" s="2035" t="s">
        <v>1369</v>
      </c>
    </row>
    <row r="5" spans="1:26" x14ac:dyDescent="0.4">
      <c r="A5" s="2036"/>
      <c r="B5" s="101" t="s">
        <v>183</v>
      </c>
      <c r="C5" s="101" t="s">
        <v>183</v>
      </c>
      <c r="D5" s="2039" t="s">
        <v>184</v>
      </c>
      <c r="E5" s="2039"/>
      <c r="F5" s="2039"/>
      <c r="G5" s="2039"/>
      <c r="H5" s="2039"/>
      <c r="I5" s="2039"/>
      <c r="J5" s="34" t="s">
        <v>185</v>
      </c>
      <c r="K5" s="34" t="s">
        <v>185</v>
      </c>
      <c r="L5" s="34" t="s">
        <v>407</v>
      </c>
      <c r="M5" s="2036"/>
      <c r="N5" s="2036"/>
      <c r="O5" s="101" t="s">
        <v>189</v>
      </c>
      <c r="P5" s="2036"/>
      <c r="Q5" s="2036"/>
    </row>
    <row r="6" spans="1:26" x14ac:dyDescent="0.4">
      <c r="A6" s="2040"/>
      <c r="B6" s="2040"/>
      <c r="C6" s="36"/>
      <c r="D6" s="36"/>
      <c r="E6" s="36"/>
      <c r="F6" s="36"/>
      <c r="G6" s="36"/>
      <c r="H6" s="36"/>
      <c r="I6" s="36"/>
      <c r="J6" s="38"/>
      <c r="K6" s="38"/>
      <c r="L6" s="36"/>
      <c r="M6" s="36"/>
      <c r="N6" s="36"/>
      <c r="O6" s="36"/>
      <c r="P6" s="36"/>
      <c r="Q6" s="36"/>
      <c r="R6" s="103"/>
      <c r="S6" s="103"/>
      <c r="T6" s="36"/>
      <c r="U6" s="36"/>
      <c r="V6" s="36"/>
      <c r="W6" s="36"/>
      <c r="X6" s="36"/>
      <c r="Y6" s="36"/>
      <c r="Z6" s="36"/>
    </row>
    <row r="7" spans="1:26" x14ac:dyDescent="0.4">
      <c r="A7" s="1">
        <v>140526</v>
      </c>
      <c r="B7" s="417">
        <v>60</v>
      </c>
      <c r="C7" s="1">
        <f>SUM(B7*5)</f>
        <v>300</v>
      </c>
      <c r="D7" s="417">
        <v>0</v>
      </c>
      <c r="E7" s="417">
        <v>0</v>
      </c>
      <c r="F7" s="417">
        <v>0</v>
      </c>
      <c r="G7" s="417">
        <v>0</v>
      </c>
      <c r="H7" s="417">
        <v>0</v>
      </c>
      <c r="I7" s="417">
        <v>1</v>
      </c>
      <c r="J7" s="140">
        <f>SUM(D7:I7)</f>
        <v>1</v>
      </c>
      <c r="K7" s="140">
        <f>SUM(D7:H7)</f>
        <v>0</v>
      </c>
      <c r="L7" s="417">
        <f>B7*K7</f>
        <v>0</v>
      </c>
      <c r="M7" s="418" t="s">
        <v>1012</v>
      </c>
      <c r="N7" s="141" t="s">
        <v>1013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s="36" customFormat="1" x14ac:dyDescent="0.4">
      <c r="A8" s="16">
        <v>140527</v>
      </c>
      <c r="B8" s="129">
        <v>50</v>
      </c>
      <c r="C8" s="16">
        <f t="shared" ref="C8:C72" si="0">SUM(B8*5)</f>
        <v>250</v>
      </c>
      <c r="D8" s="129">
        <v>0</v>
      </c>
      <c r="E8" s="129">
        <v>0</v>
      </c>
      <c r="F8" s="129">
        <v>0</v>
      </c>
      <c r="G8" s="129">
        <v>0</v>
      </c>
      <c r="H8" s="129">
        <v>0</v>
      </c>
      <c r="I8" s="129">
        <v>0</v>
      </c>
      <c r="J8" s="26">
        <f t="shared" ref="J8:J72" si="1">SUM(D8:I8)</f>
        <v>0</v>
      </c>
      <c r="K8" s="26">
        <f t="shared" ref="K8:K72" si="2">SUM(D8:H8)</f>
        <v>0</v>
      </c>
      <c r="L8" s="129">
        <f t="shared" ref="L8:L72" si="3">B8*K8</f>
        <v>0</v>
      </c>
      <c r="M8" s="120" t="s">
        <v>1012</v>
      </c>
      <c r="N8" s="30" t="s">
        <v>1013</v>
      </c>
    </row>
    <row r="9" spans="1:26" s="36" customFormat="1" x14ac:dyDescent="0.4">
      <c r="A9" s="1">
        <v>140528</v>
      </c>
      <c r="B9" s="417">
        <v>60</v>
      </c>
      <c r="C9" s="1">
        <f t="shared" si="0"/>
        <v>300</v>
      </c>
      <c r="D9" s="417">
        <v>0</v>
      </c>
      <c r="E9" s="417">
        <v>0</v>
      </c>
      <c r="F9" s="417">
        <v>0</v>
      </c>
      <c r="G9" s="417">
        <v>0</v>
      </c>
      <c r="H9" s="417">
        <v>0</v>
      </c>
      <c r="I9" s="417">
        <v>1</v>
      </c>
      <c r="J9" s="140">
        <f t="shared" si="1"/>
        <v>1</v>
      </c>
      <c r="K9" s="140">
        <f t="shared" si="2"/>
        <v>0</v>
      </c>
      <c r="L9" s="417">
        <f t="shared" si="3"/>
        <v>0</v>
      </c>
      <c r="M9" s="418" t="s">
        <v>1012</v>
      </c>
      <c r="N9" s="141" t="s">
        <v>1013</v>
      </c>
    </row>
    <row r="10" spans="1:26" s="36" customFormat="1" x14ac:dyDescent="0.4">
      <c r="A10" s="1">
        <v>140529</v>
      </c>
      <c r="B10" s="417">
        <v>60</v>
      </c>
      <c r="C10" s="1">
        <f t="shared" si="0"/>
        <v>300</v>
      </c>
      <c r="D10" s="417">
        <v>0</v>
      </c>
      <c r="E10" s="417">
        <v>0</v>
      </c>
      <c r="F10" s="417">
        <v>0</v>
      </c>
      <c r="G10" s="417">
        <v>0</v>
      </c>
      <c r="H10" s="417">
        <v>0</v>
      </c>
      <c r="I10" s="417">
        <v>1</v>
      </c>
      <c r="J10" s="140">
        <f t="shared" si="1"/>
        <v>1</v>
      </c>
      <c r="K10" s="140">
        <f t="shared" si="2"/>
        <v>0</v>
      </c>
      <c r="L10" s="417">
        <f t="shared" si="3"/>
        <v>0</v>
      </c>
      <c r="M10" s="418" t="s">
        <v>1014</v>
      </c>
      <c r="N10" s="141" t="s">
        <v>1015</v>
      </c>
    </row>
    <row r="11" spans="1:26" s="36" customFormat="1" x14ac:dyDescent="0.4">
      <c r="A11" s="16">
        <v>140530</v>
      </c>
      <c r="B11" s="290">
        <v>50</v>
      </c>
      <c r="C11" s="16">
        <f t="shared" si="0"/>
        <v>250</v>
      </c>
      <c r="D11" s="290">
        <v>0</v>
      </c>
      <c r="E11" s="290">
        <v>0</v>
      </c>
      <c r="F11" s="290">
        <v>0</v>
      </c>
      <c r="G11" s="290">
        <v>0</v>
      </c>
      <c r="H11" s="290">
        <v>0</v>
      </c>
      <c r="I11" s="290">
        <v>0</v>
      </c>
      <c r="J11" s="26">
        <f t="shared" si="1"/>
        <v>0</v>
      </c>
      <c r="K11" s="26">
        <f t="shared" si="2"/>
        <v>0</v>
      </c>
      <c r="L11" s="290">
        <f t="shared" si="3"/>
        <v>0</v>
      </c>
      <c r="M11" s="120" t="s">
        <v>1016</v>
      </c>
      <c r="N11" s="30" t="s">
        <v>1017</v>
      </c>
    </row>
    <row r="12" spans="1:26" s="36" customFormat="1" x14ac:dyDescent="0.4">
      <c r="A12" s="16">
        <v>140531</v>
      </c>
      <c r="B12" s="201">
        <v>45</v>
      </c>
      <c r="C12" s="16">
        <f t="shared" si="0"/>
        <v>225</v>
      </c>
      <c r="D12" s="201">
        <v>0</v>
      </c>
      <c r="E12" s="201">
        <v>0</v>
      </c>
      <c r="F12" s="201">
        <v>0</v>
      </c>
      <c r="G12" s="201">
        <v>0</v>
      </c>
      <c r="H12" s="201">
        <v>0</v>
      </c>
      <c r="I12" s="201">
        <v>0</v>
      </c>
      <c r="J12" s="26">
        <f t="shared" si="1"/>
        <v>0</v>
      </c>
      <c r="K12" s="26">
        <f t="shared" si="2"/>
        <v>0</v>
      </c>
      <c r="L12" s="201">
        <f t="shared" si="3"/>
        <v>0</v>
      </c>
      <c r="M12" s="120" t="s">
        <v>1018</v>
      </c>
      <c r="N12" s="30" t="s">
        <v>1019</v>
      </c>
    </row>
    <row r="13" spans="1:26" s="36" customFormat="1" x14ac:dyDescent="0.4">
      <c r="A13" s="1">
        <v>140532</v>
      </c>
      <c r="B13" s="417">
        <v>60</v>
      </c>
      <c r="C13" s="1">
        <f t="shared" si="0"/>
        <v>300</v>
      </c>
      <c r="D13" s="417">
        <v>0</v>
      </c>
      <c r="E13" s="417">
        <v>0</v>
      </c>
      <c r="F13" s="417">
        <v>0</v>
      </c>
      <c r="G13" s="417">
        <v>0</v>
      </c>
      <c r="H13" s="417">
        <v>0</v>
      </c>
      <c r="I13" s="417">
        <v>1</v>
      </c>
      <c r="J13" s="140">
        <f t="shared" si="1"/>
        <v>1</v>
      </c>
      <c r="K13" s="140">
        <f t="shared" si="2"/>
        <v>0</v>
      </c>
      <c r="L13" s="417">
        <f t="shared" si="3"/>
        <v>0</v>
      </c>
      <c r="M13" s="418" t="s">
        <v>1020</v>
      </c>
      <c r="N13" s="141" t="s">
        <v>1021</v>
      </c>
    </row>
    <row r="14" spans="1:26" s="36" customFormat="1" x14ac:dyDescent="0.4">
      <c r="A14" s="16">
        <v>140533</v>
      </c>
      <c r="B14" s="158">
        <v>45</v>
      </c>
      <c r="C14" s="16">
        <f t="shared" si="0"/>
        <v>225</v>
      </c>
      <c r="D14" s="158">
        <v>0</v>
      </c>
      <c r="E14" s="158">
        <v>0</v>
      </c>
      <c r="F14" s="158">
        <v>0</v>
      </c>
      <c r="G14" s="158">
        <v>0</v>
      </c>
      <c r="H14" s="158">
        <v>0</v>
      </c>
      <c r="I14" s="158">
        <v>0</v>
      </c>
      <c r="J14" s="26">
        <f t="shared" si="1"/>
        <v>0</v>
      </c>
      <c r="K14" s="26">
        <f t="shared" si="2"/>
        <v>0</v>
      </c>
      <c r="L14" s="158">
        <f t="shared" si="3"/>
        <v>0</v>
      </c>
      <c r="M14" s="120" t="s">
        <v>1022</v>
      </c>
      <c r="N14" s="30" t="s">
        <v>1023</v>
      </c>
    </row>
    <row r="15" spans="1:26" s="36" customFormat="1" x14ac:dyDescent="0.4">
      <c r="A15" s="16">
        <v>140534</v>
      </c>
      <c r="B15" s="145">
        <v>50</v>
      </c>
      <c r="C15" s="16">
        <f t="shared" si="0"/>
        <v>250</v>
      </c>
      <c r="D15" s="145">
        <v>0</v>
      </c>
      <c r="E15" s="145">
        <v>0</v>
      </c>
      <c r="F15" s="145">
        <v>0</v>
      </c>
      <c r="G15" s="145">
        <v>0</v>
      </c>
      <c r="H15" s="145">
        <v>0</v>
      </c>
      <c r="I15" s="145">
        <v>0</v>
      </c>
      <c r="J15" s="26">
        <f t="shared" si="1"/>
        <v>0</v>
      </c>
      <c r="K15" s="26">
        <f t="shared" si="2"/>
        <v>0</v>
      </c>
      <c r="L15" s="145">
        <f t="shared" si="3"/>
        <v>0</v>
      </c>
      <c r="M15" s="120" t="s">
        <v>1022</v>
      </c>
      <c r="N15" s="30" t="s">
        <v>1023</v>
      </c>
    </row>
    <row r="16" spans="1:26" s="36" customFormat="1" x14ac:dyDescent="0.4">
      <c r="A16" s="16">
        <v>140535</v>
      </c>
      <c r="B16" s="180">
        <v>60</v>
      </c>
      <c r="C16" s="16">
        <f t="shared" si="0"/>
        <v>300</v>
      </c>
      <c r="D16" s="180">
        <v>0</v>
      </c>
      <c r="E16" s="180">
        <v>0</v>
      </c>
      <c r="F16" s="180">
        <v>0</v>
      </c>
      <c r="G16" s="180">
        <v>0</v>
      </c>
      <c r="H16" s="180">
        <v>0</v>
      </c>
      <c r="I16" s="180">
        <v>0</v>
      </c>
      <c r="J16" s="26">
        <f t="shared" si="1"/>
        <v>0</v>
      </c>
      <c r="K16" s="26">
        <f t="shared" si="2"/>
        <v>0</v>
      </c>
      <c r="L16" s="180">
        <f t="shared" si="3"/>
        <v>0</v>
      </c>
      <c r="M16" s="120" t="s">
        <v>1022</v>
      </c>
      <c r="N16" s="30" t="s">
        <v>1023</v>
      </c>
    </row>
    <row r="17" spans="1:25" s="36" customFormat="1" x14ac:dyDescent="0.4">
      <c r="A17" s="16">
        <v>140536</v>
      </c>
      <c r="B17" s="190">
        <v>60</v>
      </c>
      <c r="C17" s="16">
        <f t="shared" si="0"/>
        <v>300</v>
      </c>
      <c r="D17" s="190">
        <v>0</v>
      </c>
      <c r="E17" s="190">
        <v>0</v>
      </c>
      <c r="F17" s="190">
        <v>0</v>
      </c>
      <c r="G17" s="190">
        <v>0</v>
      </c>
      <c r="H17" s="190">
        <v>0</v>
      </c>
      <c r="I17" s="190">
        <v>0</v>
      </c>
      <c r="J17" s="26">
        <f t="shared" si="1"/>
        <v>0</v>
      </c>
      <c r="K17" s="26">
        <f t="shared" si="2"/>
        <v>0</v>
      </c>
      <c r="L17" s="190">
        <f t="shared" si="3"/>
        <v>0</v>
      </c>
      <c r="M17" s="120" t="s">
        <v>1022</v>
      </c>
      <c r="N17" s="30" t="s">
        <v>1023</v>
      </c>
      <c r="P17" s="39"/>
      <c r="Q17" s="39"/>
      <c r="R17" s="39" t="s">
        <v>1317</v>
      </c>
      <c r="Y17" s="251"/>
    </row>
    <row r="18" spans="1:25" s="36" customFormat="1" x14ac:dyDescent="0.4">
      <c r="A18" s="16">
        <v>140537</v>
      </c>
      <c r="B18" s="407">
        <v>45</v>
      </c>
      <c r="C18" s="16">
        <f t="shared" si="0"/>
        <v>225</v>
      </c>
      <c r="D18" s="407">
        <v>0</v>
      </c>
      <c r="E18" s="407">
        <v>0</v>
      </c>
      <c r="F18" s="407">
        <v>0</v>
      </c>
      <c r="G18" s="407">
        <v>0</v>
      </c>
      <c r="H18" s="407">
        <v>0</v>
      </c>
      <c r="I18" s="407">
        <v>0</v>
      </c>
      <c r="J18" s="26">
        <f t="shared" si="1"/>
        <v>0</v>
      </c>
      <c r="K18" s="26">
        <f t="shared" si="2"/>
        <v>0</v>
      </c>
      <c r="L18" s="407">
        <f t="shared" si="3"/>
        <v>0</v>
      </c>
      <c r="M18" s="120" t="s">
        <v>1022</v>
      </c>
      <c r="N18" s="30" t="s">
        <v>1023</v>
      </c>
    </row>
    <row r="19" spans="1:25" s="36" customFormat="1" x14ac:dyDescent="0.4">
      <c r="A19" s="16">
        <v>140538</v>
      </c>
      <c r="B19" s="379">
        <v>45</v>
      </c>
      <c r="C19" s="16">
        <f t="shared" si="0"/>
        <v>225</v>
      </c>
      <c r="D19" s="379">
        <v>0</v>
      </c>
      <c r="E19" s="379">
        <v>0</v>
      </c>
      <c r="F19" s="379">
        <v>0</v>
      </c>
      <c r="G19" s="379">
        <v>0</v>
      </c>
      <c r="H19" s="379">
        <v>0</v>
      </c>
      <c r="I19" s="379">
        <v>0</v>
      </c>
      <c r="J19" s="26">
        <f t="shared" si="1"/>
        <v>0</v>
      </c>
      <c r="K19" s="26">
        <f t="shared" si="2"/>
        <v>0</v>
      </c>
      <c r="L19" s="379">
        <f t="shared" si="3"/>
        <v>0</v>
      </c>
      <c r="M19" s="120" t="s">
        <v>1024</v>
      </c>
      <c r="N19" s="30" t="s">
        <v>1025</v>
      </c>
    </row>
    <row r="20" spans="1:25" s="36" customFormat="1" x14ac:dyDescent="0.4">
      <c r="A20" s="16">
        <v>140539</v>
      </c>
      <c r="B20" s="119"/>
      <c r="C20" s="16">
        <f t="shared" si="0"/>
        <v>0</v>
      </c>
      <c r="D20" s="119">
        <v>0</v>
      </c>
      <c r="E20" s="119">
        <v>0</v>
      </c>
      <c r="F20" s="119">
        <v>0</v>
      </c>
      <c r="G20" s="119"/>
      <c r="H20" s="119"/>
      <c r="I20" s="119"/>
      <c r="J20" s="26">
        <f t="shared" si="1"/>
        <v>0</v>
      </c>
      <c r="K20" s="26">
        <f t="shared" si="2"/>
        <v>0</v>
      </c>
      <c r="L20" s="119">
        <f t="shared" si="3"/>
        <v>0</v>
      </c>
      <c r="M20" s="120" t="s">
        <v>1026</v>
      </c>
      <c r="N20" s="30" t="s">
        <v>1027</v>
      </c>
      <c r="O20" s="36" t="s">
        <v>28</v>
      </c>
    </row>
    <row r="21" spans="1:25" s="36" customFormat="1" x14ac:dyDescent="0.4">
      <c r="A21" s="16">
        <v>150540</v>
      </c>
      <c r="B21" s="202">
        <v>60</v>
      </c>
      <c r="C21" s="16">
        <f t="shared" si="0"/>
        <v>300</v>
      </c>
      <c r="D21" s="202">
        <v>0</v>
      </c>
      <c r="E21" s="202">
        <v>0</v>
      </c>
      <c r="F21" s="202">
        <v>0</v>
      </c>
      <c r="G21" s="202">
        <v>0</v>
      </c>
      <c r="H21" s="202">
        <v>0</v>
      </c>
      <c r="I21" s="202">
        <v>0</v>
      </c>
      <c r="J21" s="26">
        <f t="shared" si="1"/>
        <v>0</v>
      </c>
      <c r="K21" s="26">
        <f t="shared" si="2"/>
        <v>0</v>
      </c>
      <c r="L21" s="202">
        <f t="shared" si="3"/>
        <v>0</v>
      </c>
      <c r="M21" s="120" t="s">
        <v>1026</v>
      </c>
      <c r="N21" s="30" t="s">
        <v>1027</v>
      </c>
    </row>
    <row r="22" spans="1:25" s="36" customFormat="1" x14ac:dyDescent="0.4">
      <c r="A22" s="16">
        <v>150541</v>
      </c>
      <c r="B22" s="307">
        <v>45</v>
      </c>
      <c r="C22" s="16">
        <f t="shared" si="0"/>
        <v>225</v>
      </c>
      <c r="D22" s="307">
        <v>0</v>
      </c>
      <c r="E22" s="307">
        <v>0</v>
      </c>
      <c r="F22" s="307">
        <v>0</v>
      </c>
      <c r="G22" s="307">
        <v>0</v>
      </c>
      <c r="H22" s="307">
        <v>0</v>
      </c>
      <c r="I22" s="307">
        <v>0</v>
      </c>
      <c r="J22" s="26">
        <f t="shared" si="1"/>
        <v>0</v>
      </c>
      <c r="K22" s="26">
        <f t="shared" si="2"/>
        <v>0</v>
      </c>
      <c r="L22" s="307">
        <f t="shared" si="3"/>
        <v>0</v>
      </c>
      <c r="M22" s="120" t="s">
        <v>1026</v>
      </c>
      <c r="N22" s="30" t="s">
        <v>1027</v>
      </c>
    </row>
    <row r="23" spans="1:25" s="36" customFormat="1" x14ac:dyDescent="0.4">
      <c r="A23" s="16">
        <v>150542</v>
      </c>
      <c r="B23" s="236">
        <v>45</v>
      </c>
      <c r="C23" s="16">
        <f t="shared" si="0"/>
        <v>225</v>
      </c>
      <c r="D23" s="236">
        <v>0</v>
      </c>
      <c r="E23" s="236">
        <v>0</v>
      </c>
      <c r="F23" s="236">
        <v>0</v>
      </c>
      <c r="G23" s="236">
        <v>0</v>
      </c>
      <c r="H23" s="236">
        <v>0</v>
      </c>
      <c r="I23" s="236">
        <v>0</v>
      </c>
      <c r="J23" s="26">
        <f t="shared" si="1"/>
        <v>0</v>
      </c>
      <c r="K23" s="26">
        <f t="shared" si="2"/>
        <v>0</v>
      </c>
      <c r="L23" s="236">
        <f t="shared" si="3"/>
        <v>0</v>
      </c>
      <c r="M23" s="120" t="s">
        <v>1026</v>
      </c>
      <c r="N23" s="30" t="s">
        <v>1027</v>
      </c>
    </row>
    <row r="24" spans="1:25" s="36" customFormat="1" x14ac:dyDescent="0.4">
      <c r="A24" s="1">
        <v>150543</v>
      </c>
      <c r="B24" s="423">
        <v>60</v>
      </c>
      <c r="C24" s="1">
        <f t="shared" si="0"/>
        <v>300</v>
      </c>
      <c r="D24" s="423">
        <v>0</v>
      </c>
      <c r="E24" s="423">
        <v>0</v>
      </c>
      <c r="F24" s="423">
        <v>0</v>
      </c>
      <c r="G24" s="423">
        <v>0</v>
      </c>
      <c r="H24" s="423">
        <v>0</v>
      </c>
      <c r="I24" s="423">
        <v>1</v>
      </c>
      <c r="J24" s="140">
        <f t="shared" si="1"/>
        <v>1</v>
      </c>
      <c r="K24" s="140">
        <f t="shared" si="2"/>
        <v>0</v>
      </c>
      <c r="L24" s="423">
        <f t="shared" si="3"/>
        <v>0</v>
      </c>
      <c r="M24" s="418" t="s">
        <v>1028</v>
      </c>
      <c r="N24" s="141" t="s">
        <v>1029</v>
      </c>
    </row>
    <row r="25" spans="1:25" s="36" customFormat="1" x14ac:dyDescent="0.4">
      <c r="A25" s="16">
        <v>150544</v>
      </c>
      <c r="B25" s="190">
        <v>45</v>
      </c>
      <c r="C25" s="16">
        <f t="shared" si="0"/>
        <v>225</v>
      </c>
      <c r="D25" s="190">
        <v>0</v>
      </c>
      <c r="E25" s="190">
        <v>0</v>
      </c>
      <c r="F25" s="190">
        <v>0</v>
      </c>
      <c r="G25" s="190">
        <v>0</v>
      </c>
      <c r="H25" s="190">
        <v>0</v>
      </c>
      <c r="I25" s="190">
        <v>0</v>
      </c>
      <c r="J25" s="26">
        <f t="shared" si="1"/>
        <v>0</v>
      </c>
      <c r="K25" s="26">
        <f t="shared" si="2"/>
        <v>0</v>
      </c>
      <c r="L25" s="190">
        <f t="shared" si="3"/>
        <v>0</v>
      </c>
      <c r="M25" s="120" t="s">
        <v>1030</v>
      </c>
      <c r="N25" s="30" t="s">
        <v>1031</v>
      </c>
    </row>
    <row r="26" spans="1:25" s="36" customFormat="1" x14ac:dyDescent="0.4">
      <c r="A26" s="16">
        <v>150545</v>
      </c>
      <c r="B26" s="238">
        <v>45</v>
      </c>
      <c r="C26" s="16">
        <f t="shared" si="0"/>
        <v>225</v>
      </c>
      <c r="D26" s="238">
        <v>0</v>
      </c>
      <c r="E26" s="238">
        <v>0</v>
      </c>
      <c r="F26" s="238">
        <v>0</v>
      </c>
      <c r="G26" s="238">
        <v>0</v>
      </c>
      <c r="H26" s="238">
        <v>0</v>
      </c>
      <c r="I26" s="238">
        <v>0</v>
      </c>
      <c r="J26" s="26">
        <f t="shared" si="1"/>
        <v>0</v>
      </c>
      <c r="K26" s="26">
        <f t="shared" si="2"/>
        <v>0</v>
      </c>
      <c r="L26" s="238">
        <f t="shared" si="3"/>
        <v>0</v>
      </c>
      <c r="M26" s="120" t="s">
        <v>1032</v>
      </c>
      <c r="N26" s="30" t="s">
        <v>1033</v>
      </c>
    </row>
    <row r="27" spans="1:25" s="36" customFormat="1" x14ac:dyDescent="0.4">
      <c r="A27" s="16">
        <v>150546</v>
      </c>
      <c r="B27" s="346">
        <v>60</v>
      </c>
      <c r="C27" s="16">
        <f t="shared" si="0"/>
        <v>300</v>
      </c>
      <c r="D27" s="346">
        <v>0</v>
      </c>
      <c r="E27" s="346">
        <v>0</v>
      </c>
      <c r="F27" s="346">
        <v>0</v>
      </c>
      <c r="G27" s="346">
        <v>0</v>
      </c>
      <c r="H27" s="346">
        <v>0</v>
      </c>
      <c r="I27" s="346">
        <v>0</v>
      </c>
      <c r="J27" s="26">
        <f t="shared" si="1"/>
        <v>0</v>
      </c>
      <c r="K27" s="26">
        <f t="shared" si="2"/>
        <v>0</v>
      </c>
      <c r="L27" s="346">
        <f t="shared" si="3"/>
        <v>0</v>
      </c>
      <c r="M27" s="120" t="s">
        <v>1032</v>
      </c>
      <c r="N27" s="30" t="s">
        <v>1033</v>
      </c>
    </row>
    <row r="28" spans="1:25" s="36" customFormat="1" x14ac:dyDescent="0.4">
      <c r="A28" s="1">
        <v>150547</v>
      </c>
      <c r="B28" s="477">
        <v>60</v>
      </c>
      <c r="C28" s="1">
        <f t="shared" si="0"/>
        <v>300</v>
      </c>
      <c r="D28" s="477">
        <v>0</v>
      </c>
      <c r="E28" s="477">
        <v>0</v>
      </c>
      <c r="F28" s="477">
        <v>0</v>
      </c>
      <c r="G28" s="477">
        <v>0</v>
      </c>
      <c r="H28" s="477">
        <v>0</v>
      </c>
      <c r="I28" s="477">
        <v>1</v>
      </c>
      <c r="J28" s="140">
        <f t="shared" si="1"/>
        <v>1</v>
      </c>
      <c r="K28" s="140">
        <f t="shared" si="2"/>
        <v>0</v>
      </c>
      <c r="L28" s="477">
        <f t="shared" si="3"/>
        <v>0</v>
      </c>
      <c r="M28" s="418" t="s">
        <v>1034</v>
      </c>
      <c r="N28" s="141" t="s">
        <v>1035</v>
      </c>
    </row>
    <row r="29" spans="1:25" s="36" customFormat="1" x14ac:dyDescent="0.4">
      <c r="A29" s="16">
        <v>150548</v>
      </c>
      <c r="B29" s="259">
        <v>60</v>
      </c>
      <c r="C29" s="16">
        <f t="shared" si="0"/>
        <v>300</v>
      </c>
      <c r="D29" s="259">
        <v>0</v>
      </c>
      <c r="E29" s="259">
        <v>0</v>
      </c>
      <c r="F29" s="259">
        <v>0</v>
      </c>
      <c r="G29" s="259">
        <v>0</v>
      </c>
      <c r="H29" s="259">
        <v>0</v>
      </c>
      <c r="I29" s="259">
        <v>0</v>
      </c>
      <c r="J29" s="26">
        <f t="shared" si="1"/>
        <v>0</v>
      </c>
      <c r="K29" s="26">
        <f t="shared" si="2"/>
        <v>0</v>
      </c>
      <c r="L29" s="259">
        <f t="shared" si="3"/>
        <v>0</v>
      </c>
      <c r="M29" s="120" t="s">
        <v>1034</v>
      </c>
      <c r="N29" s="30" t="s">
        <v>1035</v>
      </c>
    </row>
    <row r="30" spans="1:25" s="36" customFormat="1" x14ac:dyDescent="0.4">
      <c r="A30" s="1">
        <v>150549</v>
      </c>
      <c r="B30" s="477">
        <v>60</v>
      </c>
      <c r="C30" s="1">
        <f t="shared" si="0"/>
        <v>300</v>
      </c>
      <c r="D30" s="477">
        <v>0</v>
      </c>
      <c r="E30" s="477">
        <v>0</v>
      </c>
      <c r="F30" s="477">
        <v>0</v>
      </c>
      <c r="G30" s="477">
        <v>0</v>
      </c>
      <c r="H30" s="477">
        <v>0</v>
      </c>
      <c r="I30" s="477">
        <v>1</v>
      </c>
      <c r="J30" s="140">
        <f t="shared" si="1"/>
        <v>1</v>
      </c>
      <c r="K30" s="140">
        <f t="shared" si="2"/>
        <v>0</v>
      </c>
      <c r="L30" s="477">
        <f t="shared" si="3"/>
        <v>0</v>
      </c>
      <c r="M30" s="418" t="s">
        <v>1034</v>
      </c>
      <c r="N30" s="141" t="s">
        <v>1035</v>
      </c>
    </row>
    <row r="31" spans="1:25" s="36" customFormat="1" x14ac:dyDescent="0.4">
      <c r="A31" s="16">
        <v>150550</v>
      </c>
      <c r="B31" s="201">
        <v>50</v>
      </c>
      <c r="C31" s="16">
        <f t="shared" si="0"/>
        <v>250</v>
      </c>
      <c r="D31" s="201">
        <v>0</v>
      </c>
      <c r="E31" s="201">
        <v>0</v>
      </c>
      <c r="F31" s="201">
        <v>0</v>
      </c>
      <c r="G31" s="201">
        <v>0</v>
      </c>
      <c r="H31" s="201">
        <v>0</v>
      </c>
      <c r="I31" s="201">
        <v>0</v>
      </c>
      <c r="J31" s="26">
        <f t="shared" si="1"/>
        <v>0</v>
      </c>
      <c r="K31" s="26">
        <f t="shared" si="2"/>
        <v>0</v>
      </c>
      <c r="L31" s="201">
        <f t="shared" si="3"/>
        <v>0</v>
      </c>
      <c r="M31" s="120" t="s">
        <v>1034</v>
      </c>
      <c r="N31" s="30" t="s">
        <v>1035</v>
      </c>
      <c r="O31" s="2040"/>
      <c r="P31" s="2040"/>
    </row>
    <row r="32" spans="1:25" s="36" customFormat="1" x14ac:dyDescent="0.4">
      <c r="A32" s="16">
        <v>150551</v>
      </c>
      <c r="B32" s="238">
        <v>45</v>
      </c>
      <c r="C32" s="16">
        <f t="shared" si="0"/>
        <v>225</v>
      </c>
      <c r="D32" s="238">
        <v>0</v>
      </c>
      <c r="E32" s="238">
        <v>0</v>
      </c>
      <c r="F32" s="238">
        <v>0</v>
      </c>
      <c r="G32" s="238">
        <v>0</v>
      </c>
      <c r="H32" s="238">
        <v>0</v>
      </c>
      <c r="I32" s="238">
        <v>0</v>
      </c>
      <c r="J32" s="26">
        <f t="shared" si="1"/>
        <v>0</v>
      </c>
      <c r="K32" s="26">
        <f t="shared" si="2"/>
        <v>0</v>
      </c>
      <c r="L32" s="238">
        <f t="shared" si="3"/>
        <v>0</v>
      </c>
      <c r="M32" s="120" t="s">
        <v>1036</v>
      </c>
      <c r="N32" s="30" t="s">
        <v>1037</v>
      </c>
    </row>
    <row r="33" spans="1:33" s="36" customFormat="1" x14ac:dyDescent="0.4">
      <c r="A33" s="1">
        <v>150552</v>
      </c>
      <c r="B33" s="477">
        <v>45</v>
      </c>
      <c r="C33" s="1">
        <f t="shared" si="0"/>
        <v>225</v>
      </c>
      <c r="D33" s="477">
        <v>0</v>
      </c>
      <c r="E33" s="477">
        <v>0</v>
      </c>
      <c r="F33" s="477">
        <v>0</v>
      </c>
      <c r="G33" s="477">
        <v>0</v>
      </c>
      <c r="H33" s="477">
        <v>0</v>
      </c>
      <c r="I33" s="477">
        <v>1</v>
      </c>
      <c r="J33" s="140">
        <f t="shared" si="1"/>
        <v>1</v>
      </c>
      <c r="K33" s="140">
        <f t="shared" si="2"/>
        <v>0</v>
      </c>
      <c r="L33" s="477">
        <f t="shared" si="3"/>
        <v>0</v>
      </c>
      <c r="M33" s="418" t="s">
        <v>1036</v>
      </c>
      <c r="N33" s="141" t="s">
        <v>1037</v>
      </c>
    </row>
    <row r="34" spans="1:33" s="36" customFormat="1" x14ac:dyDescent="0.4">
      <c r="A34" s="1">
        <v>150553</v>
      </c>
      <c r="B34" s="477">
        <v>45</v>
      </c>
      <c r="C34" s="1">
        <f t="shared" si="0"/>
        <v>225</v>
      </c>
      <c r="D34" s="477">
        <v>0</v>
      </c>
      <c r="E34" s="477">
        <v>0</v>
      </c>
      <c r="F34" s="477">
        <v>0</v>
      </c>
      <c r="G34" s="477">
        <v>1</v>
      </c>
      <c r="H34" s="477">
        <v>1</v>
      </c>
      <c r="I34" s="477">
        <v>1</v>
      </c>
      <c r="J34" s="140">
        <f t="shared" si="1"/>
        <v>3</v>
      </c>
      <c r="K34" s="140">
        <f t="shared" si="2"/>
        <v>2</v>
      </c>
      <c r="L34" s="477">
        <f t="shared" si="3"/>
        <v>90</v>
      </c>
      <c r="M34" s="418" t="s">
        <v>1036</v>
      </c>
      <c r="N34" s="141" t="s">
        <v>1037</v>
      </c>
    </row>
    <row r="35" spans="1:33" s="36" customFormat="1" x14ac:dyDescent="0.4">
      <c r="A35" s="16">
        <v>150554</v>
      </c>
      <c r="B35" s="190">
        <v>45</v>
      </c>
      <c r="C35" s="16">
        <f t="shared" si="0"/>
        <v>225</v>
      </c>
      <c r="D35" s="190">
        <v>0</v>
      </c>
      <c r="E35" s="190">
        <v>0</v>
      </c>
      <c r="F35" s="190">
        <v>0</v>
      </c>
      <c r="G35" s="190">
        <v>0</v>
      </c>
      <c r="H35" s="190">
        <v>0</v>
      </c>
      <c r="I35" s="190">
        <v>0</v>
      </c>
      <c r="J35" s="26">
        <f t="shared" si="1"/>
        <v>0</v>
      </c>
      <c r="K35" s="26">
        <f t="shared" si="2"/>
        <v>0</v>
      </c>
      <c r="L35" s="190">
        <f t="shared" si="3"/>
        <v>0</v>
      </c>
      <c r="M35" s="120" t="s">
        <v>1038</v>
      </c>
      <c r="N35" s="120" t="s">
        <v>1039</v>
      </c>
    </row>
    <row r="36" spans="1:33" s="36" customFormat="1" x14ac:dyDescent="0.4">
      <c r="A36" s="16">
        <v>150555</v>
      </c>
      <c r="B36" s="211">
        <v>60</v>
      </c>
      <c r="C36" s="16">
        <f t="shared" si="0"/>
        <v>300</v>
      </c>
      <c r="D36" s="211">
        <v>0</v>
      </c>
      <c r="E36" s="211">
        <v>0</v>
      </c>
      <c r="F36" s="211">
        <v>0</v>
      </c>
      <c r="G36" s="211">
        <v>0</v>
      </c>
      <c r="H36" s="211">
        <v>0</v>
      </c>
      <c r="I36" s="211">
        <v>0</v>
      </c>
      <c r="J36" s="26">
        <f t="shared" si="1"/>
        <v>0</v>
      </c>
      <c r="K36" s="26">
        <f t="shared" si="2"/>
        <v>0</v>
      </c>
      <c r="L36" s="211">
        <f t="shared" si="3"/>
        <v>0</v>
      </c>
      <c r="M36" s="120" t="s">
        <v>1038</v>
      </c>
      <c r="N36" s="120" t="s">
        <v>1039</v>
      </c>
    </row>
    <row r="37" spans="1:33" s="36" customFormat="1" x14ac:dyDescent="0.4">
      <c r="A37" s="1">
        <v>150556</v>
      </c>
      <c r="B37" s="477">
        <v>45</v>
      </c>
      <c r="C37" s="1">
        <f t="shared" si="0"/>
        <v>225</v>
      </c>
      <c r="D37" s="477">
        <v>0</v>
      </c>
      <c r="E37" s="477">
        <v>0</v>
      </c>
      <c r="F37" s="477">
        <v>0</v>
      </c>
      <c r="G37" s="477">
        <v>0</v>
      </c>
      <c r="H37" s="477">
        <v>0</v>
      </c>
      <c r="I37" s="477">
        <v>1</v>
      </c>
      <c r="J37" s="140">
        <f t="shared" si="1"/>
        <v>1</v>
      </c>
      <c r="K37" s="140">
        <f t="shared" si="2"/>
        <v>0</v>
      </c>
      <c r="L37" s="477">
        <f t="shared" si="3"/>
        <v>0</v>
      </c>
      <c r="M37" s="418" t="s">
        <v>1040</v>
      </c>
      <c r="N37" s="418" t="s">
        <v>1041</v>
      </c>
    </row>
    <row r="38" spans="1:33" s="36" customFormat="1" x14ac:dyDescent="0.4">
      <c r="A38" s="16">
        <v>150557</v>
      </c>
      <c r="B38" s="189">
        <v>45</v>
      </c>
      <c r="C38" s="16">
        <f t="shared" si="0"/>
        <v>225</v>
      </c>
      <c r="D38" s="189">
        <v>0</v>
      </c>
      <c r="E38" s="189">
        <v>0</v>
      </c>
      <c r="F38" s="189">
        <v>0</v>
      </c>
      <c r="G38" s="189">
        <v>0</v>
      </c>
      <c r="H38" s="189">
        <v>0</v>
      </c>
      <c r="I38" s="189">
        <v>0</v>
      </c>
      <c r="J38" s="26">
        <f t="shared" si="1"/>
        <v>0</v>
      </c>
      <c r="K38" s="26">
        <f t="shared" si="2"/>
        <v>0</v>
      </c>
      <c r="L38" s="189">
        <f t="shared" si="3"/>
        <v>0</v>
      </c>
      <c r="M38" s="120" t="s">
        <v>1040</v>
      </c>
      <c r="N38" s="120" t="s">
        <v>1041</v>
      </c>
    </row>
    <row r="39" spans="1:33" s="36" customFormat="1" x14ac:dyDescent="0.4">
      <c r="A39" s="16">
        <v>150558</v>
      </c>
      <c r="B39" s="201">
        <v>60</v>
      </c>
      <c r="C39" s="16">
        <f t="shared" si="0"/>
        <v>300</v>
      </c>
      <c r="D39" s="201">
        <v>0</v>
      </c>
      <c r="E39" s="201">
        <v>0</v>
      </c>
      <c r="F39" s="201">
        <v>0</v>
      </c>
      <c r="G39" s="201">
        <v>0</v>
      </c>
      <c r="H39" s="201">
        <v>0</v>
      </c>
      <c r="I39" s="201">
        <v>0</v>
      </c>
      <c r="J39" s="26">
        <f t="shared" si="1"/>
        <v>0</v>
      </c>
      <c r="K39" s="26">
        <f t="shared" si="2"/>
        <v>0</v>
      </c>
      <c r="L39" s="201">
        <f t="shared" si="3"/>
        <v>0</v>
      </c>
      <c r="M39" s="120" t="s">
        <v>1040</v>
      </c>
      <c r="N39" s="120" t="s">
        <v>1041</v>
      </c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</row>
    <row r="40" spans="1:33" s="36" customFormat="1" x14ac:dyDescent="0.4">
      <c r="A40" s="18">
        <v>150559</v>
      </c>
      <c r="B40" s="19">
        <v>60</v>
      </c>
      <c r="C40" s="18">
        <f t="shared" si="0"/>
        <v>300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28">
        <f t="shared" si="1"/>
        <v>0</v>
      </c>
      <c r="K40" s="28">
        <f t="shared" si="2"/>
        <v>0</v>
      </c>
      <c r="L40" s="19">
        <f t="shared" si="3"/>
        <v>0</v>
      </c>
      <c r="M40" s="213" t="s">
        <v>1040</v>
      </c>
      <c r="N40" s="213" t="s">
        <v>1041</v>
      </c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</row>
    <row r="41" spans="1:33" s="36" customFormat="1" x14ac:dyDescent="0.4">
      <c r="A41" s="1">
        <v>150560</v>
      </c>
      <c r="B41" s="477">
        <v>45</v>
      </c>
      <c r="C41" s="1">
        <f t="shared" si="0"/>
        <v>225</v>
      </c>
      <c r="D41" s="477">
        <v>0</v>
      </c>
      <c r="E41" s="477">
        <v>0</v>
      </c>
      <c r="F41" s="477">
        <v>0</v>
      </c>
      <c r="G41" s="477">
        <v>1</v>
      </c>
      <c r="H41" s="477">
        <v>1</v>
      </c>
      <c r="I41" s="477">
        <v>1</v>
      </c>
      <c r="J41" s="140">
        <f t="shared" si="1"/>
        <v>3</v>
      </c>
      <c r="K41" s="140">
        <f t="shared" si="2"/>
        <v>2</v>
      </c>
      <c r="L41" s="477">
        <f t="shared" si="3"/>
        <v>90</v>
      </c>
      <c r="M41" s="418" t="s">
        <v>1042</v>
      </c>
      <c r="N41" s="418" t="s">
        <v>1043</v>
      </c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</row>
    <row r="42" spans="1:33" s="36" customFormat="1" x14ac:dyDescent="0.4">
      <c r="A42" s="16">
        <v>150561</v>
      </c>
      <c r="B42" s="179">
        <v>45</v>
      </c>
      <c r="C42" s="16">
        <f t="shared" si="0"/>
        <v>225</v>
      </c>
      <c r="D42" s="179">
        <v>0</v>
      </c>
      <c r="E42" s="179">
        <v>0</v>
      </c>
      <c r="F42" s="179">
        <v>0</v>
      </c>
      <c r="G42" s="179">
        <v>0</v>
      </c>
      <c r="H42" s="179">
        <v>0</v>
      </c>
      <c r="I42" s="179">
        <v>0</v>
      </c>
      <c r="J42" s="26">
        <f t="shared" si="1"/>
        <v>0</v>
      </c>
      <c r="K42" s="26">
        <f t="shared" si="2"/>
        <v>0</v>
      </c>
      <c r="L42" s="179">
        <f t="shared" si="3"/>
        <v>0</v>
      </c>
      <c r="M42" s="120" t="s">
        <v>1044</v>
      </c>
      <c r="N42" s="120" t="s">
        <v>1045</v>
      </c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</row>
    <row r="43" spans="1:33" s="36" customFormat="1" x14ac:dyDescent="0.4">
      <c r="A43" s="16">
        <v>150562</v>
      </c>
      <c r="B43" s="232">
        <v>45</v>
      </c>
      <c r="C43" s="16">
        <f t="shared" si="0"/>
        <v>225</v>
      </c>
      <c r="D43" s="232">
        <v>0</v>
      </c>
      <c r="E43" s="232">
        <v>0</v>
      </c>
      <c r="F43" s="232">
        <v>0</v>
      </c>
      <c r="G43" s="232">
        <v>0</v>
      </c>
      <c r="H43" s="232">
        <v>0</v>
      </c>
      <c r="I43" s="232">
        <v>0</v>
      </c>
      <c r="J43" s="26">
        <f t="shared" si="1"/>
        <v>0</v>
      </c>
      <c r="K43" s="26">
        <f t="shared" si="2"/>
        <v>0</v>
      </c>
      <c r="L43" s="232">
        <f t="shared" si="3"/>
        <v>0</v>
      </c>
      <c r="M43" s="120" t="s">
        <v>1046</v>
      </c>
      <c r="N43" s="120" t="s">
        <v>1047</v>
      </c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</row>
    <row r="44" spans="1:33" s="36" customFormat="1" x14ac:dyDescent="0.4">
      <c r="A44" s="1">
        <v>150563</v>
      </c>
      <c r="B44" s="477">
        <v>45</v>
      </c>
      <c r="C44" s="1">
        <f t="shared" si="0"/>
        <v>225</v>
      </c>
      <c r="D44" s="477">
        <v>0</v>
      </c>
      <c r="E44" s="477">
        <v>0</v>
      </c>
      <c r="F44" s="477">
        <v>0</v>
      </c>
      <c r="G44" s="477">
        <v>1</v>
      </c>
      <c r="H44" s="477">
        <v>1</v>
      </c>
      <c r="I44" s="477">
        <v>1</v>
      </c>
      <c r="J44" s="140">
        <f t="shared" si="1"/>
        <v>3</v>
      </c>
      <c r="K44" s="140">
        <f t="shared" si="2"/>
        <v>2</v>
      </c>
      <c r="L44" s="477">
        <f t="shared" si="3"/>
        <v>90</v>
      </c>
      <c r="M44" s="418" t="s">
        <v>1046</v>
      </c>
      <c r="N44" s="418" t="s">
        <v>1047</v>
      </c>
    </row>
    <row r="45" spans="1:33" s="36" customFormat="1" x14ac:dyDescent="0.4">
      <c r="A45" s="16">
        <v>150564</v>
      </c>
      <c r="B45" s="173">
        <v>60</v>
      </c>
      <c r="C45" s="16">
        <f t="shared" si="0"/>
        <v>300</v>
      </c>
      <c r="D45" s="173">
        <v>0</v>
      </c>
      <c r="E45" s="173">
        <v>0</v>
      </c>
      <c r="F45" s="173">
        <v>0</v>
      </c>
      <c r="G45" s="173">
        <v>0</v>
      </c>
      <c r="H45" s="173">
        <v>0</v>
      </c>
      <c r="I45" s="173">
        <v>0</v>
      </c>
      <c r="J45" s="26">
        <f t="shared" si="1"/>
        <v>0</v>
      </c>
      <c r="K45" s="26">
        <f t="shared" si="2"/>
        <v>0</v>
      </c>
      <c r="L45" s="173">
        <f t="shared" si="3"/>
        <v>0</v>
      </c>
      <c r="M45" s="120" t="s">
        <v>1048</v>
      </c>
      <c r="N45" s="120" t="s">
        <v>1049</v>
      </c>
    </row>
    <row r="46" spans="1:33" s="36" customFormat="1" x14ac:dyDescent="0.4">
      <c r="A46" s="16">
        <v>150565</v>
      </c>
      <c r="B46" s="415">
        <v>60</v>
      </c>
      <c r="C46" s="16">
        <f t="shared" si="0"/>
        <v>300</v>
      </c>
      <c r="D46" s="415">
        <v>0</v>
      </c>
      <c r="E46" s="415">
        <v>0</v>
      </c>
      <c r="F46" s="415">
        <v>0</v>
      </c>
      <c r="G46" s="415">
        <v>0</v>
      </c>
      <c r="H46" s="415">
        <v>0</v>
      </c>
      <c r="I46" s="415">
        <v>0</v>
      </c>
      <c r="J46" s="26">
        <f t="shared" si="1"/>
        <v>0</v>
      </c>
      <c r="K46" s="26">
        <f t="shared" si="2"/>
        <v>0</v>
      </c>
      <c r="L46" s="415">
        <f t="shared" si="3"/>
        <v>0</v>
      </c>
      <c r="M46" s="415" t="s">
        <v>1050</v>
      </c>
      <c r="N46" s="30" t="s">
        <v>1051</v>
      </c>
    </row>
    <row r="47" spans="1:33" s="36" customFormat="1" x14ac:dyDescent="0.4">
      <c r="A47" s="16">
        <v>150566</v>
      </c>
      <c r="B47" s="281">
        <v>45</v>
      </c>
      <c r="C47" s="16">
        <f t="shared" si="0"/>
        <v>225</v>
      </c>
      <c r="D47" s="281">
        <v>0</v>
      </c>
      <c r="E47" s="281">
        <v>0</v>
      </c>
      <c r="F47" s="281">
        <v>0</v>
      </c>
      <c r="G47" s="281">
        <v>0</v>
      </c>
      <c r="H47" s="281">
        <v>0</v>
      </c>
      <c r="I47" s="281">
        <v>0</v>
      </c>
      <c r="J47" s="26">
        <f t="shared" si="1"/>
        <v>0</v>
      </c>
      <c r="K47" s="26">
        <f t="shared" si="2"/>
        <v>0</v>
      </c>
      <c r="L47" s="281">
        <f t="shared" si="3"/>
        <v>0</v>
      </c>
      <c r="M47" s="281" t="s">
        <v>1052</v>
      </c>
      <c r="N47" s="30" t="s">
        <v>1053</v>
      </c>
      <c r="O47" s="2040"/>
      <c r="P47" s="2040"/>
      <c r="Q47" s="2040"/>
      <c r="R47" s="2040"/>
      <c r="S47" s="2040"/>
      <c r="T47" s="2040"/>
    </row>
    <row r="48" spans="1:33" s="36" customFormat="1" x14ac:dyDescent="0.4">
      <c r="A48" s="16">
        <v>150567</v>
      </c>
      <c r="B48" s="218">
        <v>120</v>
      </c>
      <c r="C48" s="16">
        <f>SUM(B48*5)</f>
        <v>600</v>
      </c>
      <c r="D48" s="218">
        <v>0</v>
      </c>
      <c r="E48" s="218">
        <v>0</v>
      </c>
      <c r="F48" s="218">
        <v>0</v>
      </c>
      <c r="G48" s="218">
        <v>0</v>
      </c>
      <c r="H48" s="218">
        <v>0</v>
      </c>
      <c r="I48" s="218">
        <v>0</v>
      </c>
      <c r="J48" s="26">
        <f t="shared" si="1"/>
        <v>0</v>
      </c>
      <c r="K48" s="26">
        <f t="shared" si="2"/>
        <v>0</v>
      </c>
      <c r="L48" s="218">
        <f t="shared" si="3"/>
        <v>0</v>
      </c>
      <c r="M48" s="218" t="s">
        <v>1054</v>
      </c>
      <c r="N48" s="30" t="s">
        <v>1055</v>
      </c>
    </row>
    <row r="49" spans="1:17" s="36" customFormat="1" x14ac:dyDescent="0.4">
      <c r="A49" s="16">
        <v>150568</v>
      </c>
      <c r="B49" s="436">
        <v>60</v>
      </c>
      <c r="C49" s="16">
        <f>SUM(B49*5)</f>
        <v>300</v>
      </c>
      <c r="D49" s="436">
        <v>0</v>
      </c>
      <c r="E49" s="436">
        <v>0</v>
      </c>
      <c r="F49" s="436">
        <v>0</v>
      </c>
      <c r="G49" s="436">
        <v>0</v>
      </c>
      <c r="H49" s="436">
        <v>0</v>
      </c>
      <c r="I49" s="436">
        <v>0</v>
      </c>
      <c r="J49" s="26">
        <f t="shared" si="1"/>
        <v>0</v>
      </c>
      <c r="K49" s="26">
        <f t="shared" si="2"/>
        <v>0</v>
      </c>
      <c r="L49" s="436">
        <f t="shared" si="3"/>
        <v>0</v>
      </c>
      <c r="M49" s="436" t="s">
        <v>1054</v>
      </c>
      <c r="N49" s="30" t="s">
        <v>1055</v>
      </c>
    </row>
    <row r="50" spans="1:17" s="36" customFormat="1" x14ac:dyDescent="0.4">
      <c r="A50" s="16">
        <v>150569</v>
      </c>
      <c r="B50" s="382">
        <v>60</v>
      </c>
      <c r="C50" s="16">
        <f t="shared" si="0"/>
        <v>300</v>
      </c>
      <c r="D50" s="382">
        <v>0</v>
      </c>
      <c r="E50" s="382">
        <v>0</v>
      </c>
      <c r="F50" s="382">
        <v>0</v>
      </c>
      <c r="G50" s="382">
        <v>0</v>
      </c>
      <c r="H50" s="382">
        <v>0</v>
      </c>
      <c r="I50" s="382">
        <v>0</v>
      </c>
      <c r="J50" s="26">
        <f t="shared" si="1"/>
        <v>0</v>
      </c>
      <c r="K50" s="26">
        <f t="shared" si="2"/>
        <v>0</v>
      </c>
      <c r="L50" s="382">
        <f t="shared" si="3"/>
        <v>0</v>
      </c>
      <c r="M50" s="382" t="s">
        <v>1056</v>
      </c>
      <c r="N50" s="30" t="s">
        <v>1057</v>
      </c>
      <c r="O50" s="53"/>
    </row>
    <row r="51" spans="1:17" s="36" customFormat="1" x14ac:dyDescent="0.4">
      <c r="A51" s="1">
        <v>150570</v>
      </c>
      <c r="B51" s="477">
        <v>36</v>
      </c>
      <c r="C51" s="1">
        <f>B51*10</f>
        <v>360</v>
      </c>
      <c r="D51" s="477">
        <v>0</v>
      </c>
      <c r="E51" s="477">
        <v>0</v>
      </c>
      <c r="F51" s="477">
        <v>0</v>
      </c>
      <c r="G51" s="477">
        <v>0</v>
      </c>
      <c r="H51" s="477">
        <v>0</v>
      </c>
      <c r="I51" s="477">
        <v>1</v>
      </c>
      <c r="J51" s="140">
        <f>SUM(D51:I52)</f>
        <v>7</v>
      </c>
      <c r="K51" s="140">
        <f>SUM(D51:I52)</f>
        <v>7</v>
      </c>
      <c r="L51" s="477">
        <f>315</f>
        <v>315</v>
      </c>
      <c r="M51" s="477" t="s">
        <v>1058</v>
      </c>
      <c r="N51" s="141" t="s">
        <v>1059</v>
      </c>
    </row>
    <row r="52" spans="1:17" s="36" customFormat="1" x14ac:dyDescent="0.4">
      <c r="A52" s="1"/>
      <c r="B52" s="477"/>
      <c r="C52" s="1"/>
      <c r="D52" s="477">
        <v>1</v>
      </c>
      <c r="E52" s="477">
        <v>1</v>
      </c>
      <c r="F52" s="477">
        <v>1</v>
      </c>
      <c r="G52" s="477">
        <v>1</v>
      </c>
      <c r="H52" s="477">
        <v>1</v>
      </c>
      <c r="I52" s="477">
        <v>1</v>
      </c>
      <c r="J52" s="140"/>
      <c r="K52" s="140"/>
      <c r="L52" s="1"/>
      <c r="M52" s="477"/>
      <c r="N52" s="1"/>
    </row>
    <row r="53" spans="1:17" s="36" customFormat="1" x14ac:dyDescent="0.4">
      <c r="A53" s="16">
        <v>150571</v>
      </c>
      <c r="B53" s="235">
        <v>45</v>
      </c>
      <c r="C53" s="16">
        <f t="shared" si="0"/>
        <v>225</v>
      </c>
      <c r="D53" s="235">
        <v>0</v>
      </c>
      <c r="E53" s="235">
        <v>0</v>
      </c>
      <c r="F53" s="235">
        <v>0</v>
      </c>
      <c r="G53" s="235">
        <v>0</v>
      </c>
      <c r="H53" s="235">
        <v>0</v>
      </c>
      <c r="I53" s="235">
        <v>0</v>
      </c>
      <c r="J53" s="26">
        <f t="shared" si="1"/>
        <v>0</v>
      </c>
      <c r="K53" s="26">
        <f t="shared" si="2"/>
        <v>0</v>
      </c>
      <c r="L53" s="235">
        <f t="shared" si="3"/>
        <v>0</v>
      </c>
      <c r="M53" s="235" t="s">
        <v>1060</v>
      </c>
      <c r="N53" s="30" t="s">
        <v>1061</v>
      </c>
    </row>
    <row r="54" spans="1:17" s="36" customFormat="1" x14ac:dyDescent="0.4">
      <c r="A54" s="1">
        <v>150572</v>
      </c>
      <c r="B54" s="477">
        <v>45</v>
      </c>
      <c r="C54" s="1">
        <f t="shared" si="0"/>
        <v>225</v>
      </c>
      <c r="D54" s="477">
        <v>0</v>
      </c>
      <c r="E54" s="477">
        <v>1</v>
      </c>
      <c r="F54" s="477">
        <v>1</v>
      </c>
      <c r="G54" s="477">
        <v>1</v>
      </c>
      <c r="H54" s="477">
        <v>1</v>
      </c>
      <c r="I54" s="477">
        <v>1</v>
      </c>
      <c r="J54" s="140">
        <f t="shared" si="1"/>
        <v>5</v>
      </c>
      <c r="K54" s="140">
        <f t="shared" si="2"/>
        <v>4</v>
      </c>
      <c r="L54" s="477">
        <f t="shared" si="3"/>
        <v>180</v>
      </c>
      <c r="M54" s="477" t="s">
        <v>1060</v>
      </c>
      <c r="N54" s="141" t="s">
        <v>1061</v>
      </c>
    </row>
    <row r="55" spans="1:17" s="36" customFormat="1" x14ac:dyDescent="0.4">
      <c r="A55" s="1">
        <v>150573</v>
      </c>
      <c r="B55" s="477">
        <v>60</v>
      </c>
      <c r="C55" s="1">
        <f t="shared" si="0"/>
        <v>300</v>
      </c>
      <c r="D55" s="477">
        <v>0</v>
      </c>
      <c r="E55" s="477">
        <v>0</v>
      </c>
      <c r="F55" s="477">
        <v>0</v>
      </c>
      <c r="G55" s="477">
        <v>0</v>
      </c>
      <c r="H55" s="477">
        <v>1</v>
      </c>
      <c r="I55" s="477">
        <v>1</v>
      </c>
      <c r="J55" s="140">
        <f t="shared" si="1"/>
        <v>2</v>
      </c>
      <c r="K55" s="140">
        <f t="shared" si="2"/>
        <v>1</v>
      </c>
      <c r="L55" s="477">
        <f t="shared" si="3"/>
        <v>60</v>
      </c>
      <c r="M55" s="477" t="s">
        <v>1062</v>
      </c>
      <c r="N55" s="141" t="s">
        <v>1063</v>
      </c>
    </row>
    <row r="56" spans="1:17" s="36" customFormat="1" x14ac:dyDescent="0.4">
      <c r="A56" s="1">
        <v>150574</v>
      </c>
      <c r="B56" s="477">
        <v>45</v>
      </c>
      <c r="C56" s="1">
        <f t="shared" si="0"/>
        <v>225</v>
      </c>
      <c r="D56" s="477">
        <v>0</v>
      </c>
      <c r="E56" s="477">
        <v>0</v>
      </c>
      <c r="F56" s="477">
        <v>0</v>
      </c>
      <c r="G56" s="477">
        <v>0</v>
      </c>
      <c r="H56" s="477">
        <v>0</v>
      </c>
      <c r="I56" s="477">
        <v>0</v>
      </c>
      <c r="J56" s="140">
        <f t="shared" si="1"/>
        <v>0</v>
      </c>
      <c r="K56" s="140">
        <f t="shared" si="2"/>
        <v>0</v>
      </c>
      <c r="L56" s="477">
        <f t="shared" si="3"/>
        <v>0</v>
      </c>
      <c r="M56" s="477" t="s">
        <v>1062</v>
      </c>
      <c r="N56" s="141" t="s">
        <v>1063</v>
      </c>
    </row>
    <row r="57" spans="1:17" s="36" customFormat="1" x14ac:dyDescent="0.4">
      <c r="A57" s="16">
        <v>150575</v>
      </c>
      <c r="B57" s="187"/>
      <c r="C57" s="16">
        <f t="shared" si="0"/>
        <v>0</v>
      </c>
      <c r="D57" s="187">
        <v>0</v>
      </c>
      <c r="E57" s="187">
        <v>0</v>
      </c>
      <c r="F57" s="187">
        <v>0</v>
      </c>
      <c r="G57" s="187">
        <v>0</v>
      </c>
      <c r="H57" s="187">
        <v>0</v>
      </c>
      <c r="I57" s="187">
        <v>0</v>
      </c>
      <c r="J57" s="26">
        <f t="shared" si="1"/>
        <v>0</v>
      </c>
      <c r="K57" s="26">
        <f t="shared" si="2"/>
        <v>0</v>
      </c>
      <c r="L57" s="187">
        <f t="shared" si="3"/>
        <v>0</v>
      </c>
      <c r="M57" s="2033" t="s">
        <v>1064</v>
      </c>
      <c r="N57" s="2033"/>
      <c r="O57" s="16" t="s">
        <v>1257</v>
      </c>
      <c r="P57" s="16"/>
    </row>
    <row r="58" spans="1:17" s="36" customFormat="1" x14ac:dyDescent="0.4">
      <c r="A58" s="16">
        <v>150576</v>
      </c>
      <c r="B58" s="238">
        <v>45</v>
      </c>
      <c r="C58" s="16">
        <f t="shared" si="0"/>
        <v>225</v>
      </c>
      <c r="D58" s="238">
        <v>0</v>
      </c>
      <c r="E58" s="238">
        <v>0</v>
      </c>
      <c r="F58" s="238">
        <v>0</v>
      </c>
      <c r="G58" s="238">
        <v>0</v>
      </c>
      <c r="H58" s="238">
        <v>0</v>
      </c>
      <c r="I58" s="238">
        <v>0</v>
      </c>
      <c r="J58" s="26">
        <f t="shared" si="1"/>
        <v>0</v>
      </c>
      <c r="K58" s="26">
        <f t="shared" si="2"/>
        <v>0</v>
      </c>
      <c r="L58" s="238">
        <f t="shared" si="3"/>
        <v>0</v>
      </c>
      <c r="M58" s="238" t="s">
        <v>1065</v>
      </c>
      <c r="N58" s="30" t="s">
        <v>1066</v>
      </c>
    </row>
    <row r="59" spans="1:17" s="36" customFormat="1" x14ac:dyDescent="0.4">
      <c r="A59" s="1">
        <v>150577</v>
      </c>
      <c r="B59" s="477">
        <v>60</v>
      </c>
      <c r="C59" s="1">
        <f t="shared" si="0"/>
        <v>300</v>
      </c>
      <c r="D59" s="477">
        <v>0</v>
      </c>
      <c r="E59" s="477">
        <v>0</v>
      </c>
      <c r="F59" s="477">
        <v>0</v>
      </c>
      <c r="G59" s="477">
        <v>0</v>
      </c>
      <c r="H59" s="477">
        <v>0</v>
      </c>
      <c r="I59" s="477">
        <v>1</v>
      </c>
      <c r="J59" s="140">
        <f t="shared" si="1"/>
        <v>1</v>
      </c>
      <c r="K59" s="140">
        <f t="shared" si="2"/>
        <v>0</v>
      </c>
      <c r="L59" s="477">
        <f t="shared" si="3"/>
        <v>0</v>
      </c>
      <c r="M59" s="477" t="s">
        <v>1065</v>
      </c>
      <c r="N59" s="141" t="s">
        <v>1066</v>
      </c>
      <c r="O59" s="39" t="s">
        <v>1067</v>
      </c>
      <c r="P59" s="2040"/>
      <c r="Q59" s="2040"/>
    </row>
    <row r="60" spans="1:17" s="36" customFormat="1" x14ac:dyDescent="0.4">
      <c r="A60" s="16">
        <v>150578</v>
      </c>
      <c r="B60" s="230">
        <v>45</v>
      </c>
      <c r="C60" s="16">
        <f t="shared" si="0"/>
        <v>225</v>
      </c>
      <c r="D60" s="230">
        <v>0</v>
      </c>
      <c r="E60" s="230">
        <v>0</v>
      </c>
      <c r="F60" s="230">
        <v>0</v>
      </c>
      <c r="G60" s="230">
        <v>0</v>
      </c>
      <c r="H60" s="230">
        <v>0</v>
      </c>
      <c r="I60" s="230">
        <v>0</v>
      </c>
      <c r="J60" s="26">
        <f t="shared" si="1"/>
        <v>0</v>
      </c>
      <c r="K60" s="26">
        <f t="shared" si="2"/>
        <v>0</v>
      </c>
      <c r="L60" s="230">
        <f t="shared" si="3"/>
        <v>0</v>
      </c>
      <c r="M60" s="230" t="s">
        <v>1065</v>
      </c>
      <c r="N60" s="30" t="s">
        <v>1066</v>
      </c>
      <c r="O60" s="39" t="s">
        <v>1068</v>
      </c>
    </row>
    <row r="61" spans="1:17" s="36" customFormat="1" x14ac:dyDescent="0.4">
      <c r="A61" s="16">
        <v>150579</v>
      </c>
      <c r="B61" s="190">
        <v>45</v>
      </c>
      <c r="C61" s="16">
        <f t="shared" si="0"/>
        <v>225</v>
      </c>
      <c r="D61" s="190">
        <v>0</v>
      </c>
      <c r="E61" s="190">
        <v>0</v>
      </c>
      <c r="F61" s="190">
        <v>0</v>
      </c>
      <c r="G61" s="190">
        <v>0</v>
      </c>
      <c r="H61" s="190">
        <v>0</v>
      </c>
      <c r="I61" s="190">
        <v>0</v>
      </c>
      <c r="J61" s="26">
        <f t="shared" si="1"/>
        <v>0</v>
      </c>
      <c r="K61" s="26">
        <f t="shared" si="2"/>
        <v>0</v>
      </c>
      <c r="L61" s="190">
        <f t="shared" si="3"/>
        <v>0</v>
      </c>
      <c r="M61" s="190" t="s">
        <v>1065</v>
      </c>
      <c r="N61" s="30" t="s">
        <v>1066</v>
      </c>
      <c r="O61" s="2040"/>
      <c r="P61" s="2040"/>
      <c r="Q61" s="2040"/>
    </row>
    <row r="62" spans="1:17" s="36" customFormat="1" x14ac:dyDescent="0.4">
      <c r="A62" s="16">
        <v>150580</v>
      </c>
      <c r="B62" s="384">
        <v>45</v>
      </c>
      <c r="C62" s="16">
        <f t="shared" si="0"/>
        <v>225</v>
      </c>
      <c r="D62" s="384">
        <v>0</v>
      </c>
      <c r="E62" s="384">
        <v>0</v>
      </c>
      <c r="F62" s="384">
        <v>0</v>
      </c>
      <c r="G62" s="384">
        <v>0</v>
      </c>
      <c r="H62" s="384">
        <v>0</v>
      </c>
      <c r="I62" s="384">
        <v>0</v>
      </c>
      <c r="J62" s="26">
        <f t="shared" si="1"/>
        <v>0</v>
      </c>
      <c r="K62" s="26">
        <f t="shared" si="2"/>
        <v>0</v>
      </c>
      <c r="L62" s="384">
        <f t="shared" si="3"/>
        <v>0</v>
      </c>
      <c r="M62" s="384" t="s">
        <v>1071</v>
      </c>
      <c r="N62" s="30" t="s">
        <v>1072</v>
      </c>
    </row>
    <row r="63" spans="1:17" s="36" customFormat="1" x14ac:dyDescent="0.4">
      <c r="A63" s="16">
        <v>150581</v>
      </c>
      <c r="B63" s="305">
        <v>45</v>
      </c>
      <c r="C63" s="16">
        <f t="shared" si="0"/>
        <v>225</v>
      </c>
      <c r="D63" s="305">
        <v>0</v>
      </c>
      <c r="E63" s="305">
        <v>0</v>
      </c>
      <c r="F63" s="305">
        <v>0</v>
      </c>
      <c r="G63" s="305">
        <v>0</v>
      </c>
      <c r="H63" s="305">
        <v>0</v>
      </c>
      <c r="I63" s="305">
        <v>0</v>
      </c>
      <c r="J63" s="26">
        <f t="shared" si="1"/>
        <v>0</v>
      </c>
      <c r="K63" s="26">
        <f t="shared" si="2"/>
        <v>0</v>
      </c>
      <c r="L63" s="305">
        <f t="shared" si="3"/>
        <v>0</v>
      </c>
      <c r="M63" s="305" t="s">
        <v>1071</v>
      </c>
      <c r="N63" s="30" t="s">
        <v>1072</v>
      </c>
    </row>
    <row r="64" spans="1:17" s="36" customFormat="1" x14ac:dyDescent="0.4">
      <c r="A64" s="16">
        <v>150582</v>
      </c>
      <c r="B64" s="238">
        <v>45</v>
      </c>
      <c r="C64" s="16">
        <f t="shared" si="0"/>
        <v>225</v>
      </c>
      <c r="D64" s="238">
        <v>0</v>
      </c>
      <c r="E64" s="238">
        <v>0</v>
      </c>
      <c r="F64" s="238">
        <v>0</v>
      </c>
      <c r="G64" s="238">
        <v>0</v>
      </c>
      <c r="H64" s="238">
        <v>0</v>
      </c>
      <c r="I64" s="238">
        <v>0</v>
      </c>
      <c r="J64" s="26">
        <f t="shared" si="1"/>
        <v>0</v>
      </c>
      <c r="K64" s="26">
        <f t="shared" si="2"/>
        <v>0</v>
      </c>
      <c r="L64" s="238">
        <f t="shared" si="3"/>
        <v>0</v>
      </c>
      <c r="M64" s="238" t="s">
        <v>1073</v>
      </c>
      <c r="N64" s="30" t="s">
        <v>1074</v>
      </c>
    </row>
    <row r="65" spans="1:22" s="36" customFormat="1" x14ac:dyDescent="0.4">
      <c r="A65" s="16">
        <v>150583</v>
      </c>
      <c r="B65" s="240">
        <v>45</v>
      </c>
      <c r="C65" s="16">
        <f t="shared" si="0"/>
        <v>225</v>
      </c>
      <c r="D65" s="240">
        <v>0</v>
      </c>
      <c r="E65" s="240">
        <v>0</v>
      </c>
      <c r="F65" s="240">
        <v>0</v>
      </c>
      <c r="G65" s="240">
        <v>0</v>
      </c>
      <c r="H65" s="240">
        <v>0</v>
      </c>
      <c r="I65" s="240">
        <v>0</v>
      </c>
      <c r="J65" s="26">
        <f t="shared" si="1"/>
        <v>0</v>
      </c>
      <c r="K65" s="26">
        <f t="shared" si="2"/>
        <v>0</v>
      </c>
      <c r="L65" s="240">
        <f t="shared" si="3"/>
        <v>0</v>
      </c>
      <c r="M65" s="240" t="s">
        <v>1075</v>
      </c>
      <c r="N65" s="30" t="s">
        <v>1076</v>
      </c>
    </row>
    <row r="66" spans="1:22" s="36" customFormat="1" x14ac:dyDescent="0.4">
      <c r="A66" s="16">
        <v>150584</v>
      </c>
      <c r="B66" s="167">
        <v>60</v>
      </c>
      <c r="C66" s="16">
        <f t="shared" si="0"/>
        <v>300</v>
      </c>
      <c r="D66" s="167">
        <v>0</v>
      </c>
      <c r="E66" s="167">
        <v>0</v>
      </c>
      <c r="F66" s="167">
        <v>0</v>
      </c>
      <c r="G66" s="167">
        <v>0</v>
      </c>
      <c r="H66" s="167">
        <v>0</v>
      </c>
      <c r="I66" s="167">
        <v>0</v>
      </c>
      <c r="J66" s="26">
        <f t="shared" si="1"/>
        <v>0</v>
      </c>
      <c r="K66" s="26">
        <f t="shared" si="2"/>
        <v>0</v>
      </c>
      <c r="L66" s="167">
        <f t="shared" si="3"/>
        <v>0</v>
      </c>
      <c r="M66" s="167" t="s">
        <v>1077</v>
      </c>
      <c r="N66" s="30" t="s">
        <v>1078</v>
      </c>
    </row>
    <row r="67" spans="1:22" s="36" customFormat="1" x14ac:dyDescent="0.4">
      <c r="A67" s="16">
        <v>150585</v>
      </c>
      <c r="B67" s="377">
        <v>50</v>
      </c>
      <c r="C67" s="16">
        <f t="shared" si="0"/>
        <v>250</v>
      </c>
      <c r="D67" s="377">
        <v>0</v>
      </c>
      <c r="E67" s="377">
        <v>0</v>
      </c>
      <c r="F67" s="377">
        <v>0</v>
      </c>
      <c r="G67" s="377">
        <v>0</v>
      </c>
      <c r="H67" s="377">
        <v>0</v>
      </c>
      <c r="I67" s="377">
        <v>0</v>
      </c>
      <c r="J67" s="26">
        <f t="shared" si="1"/>
        <v>0</v>
      </c>
      <c r="K67" s="26">
        <f t="shared" si="2"/>
        <v>0</v>
      </c>
      <c r="L67" s="377">
        <f t="shared" si="3"/>
        <v>0</v>
      </c>
      <c r="M67" s="377" t="s">
        <v>1079</v>
      </c>
      <c r="N67" s="30" t="s">
        <v>1080</v>
      </c>
    </row>
    <row r="68" spans="1:22" s="36" customFormat="1" x14ac:dyDescent="0.4">
      <c r="A68" s="16">
        <v>150586</v>
      </c>
      <c r="B68" s="272">
        <v>60</v>
      </c>
      <c r="C68" s="16">
        <f t="shared" si="0"/>
        <v>300</v>
      </c>
      <c r="D68" s="272">
        <v>0</v>
      </c>
      <c r="E68" s="272">
        <v>0</v>
      </c>
      <c r="F68" s="272">
        <v>0</v>
      </c>
      <c r="G68" s="272">
        <v>0</v>
      </c>
      <c r="H68" s="272">
        <v>0</v>
      </c>
      <c r="I68" s="272">
        <v>0</v>
      </c>
      <c r="J68" s="26">
        <f t="shared" si="1"/>
        <v>0</v>
      </c>
      <c r="K68" s="26">
        <f t="shared" si="2"/>
        <v>0</v>
      </c>
      <c r="L68" s="272">
        <f t="shared" si="3"/>
        <v>0</v>
      </c>
      <c r="M68" s="272" t="s">
        <v>1079</v>
      </c>
      <c r="N68" s="30" t="s">
        <v>1080</v>
      </c>
      <c r="O68" s="36" t="s">
        <v>1428</v>
      </c>
    </row>
    <row r="69" spans="1:22" s="36" customFormat="1" x14ac:dyDescent="0.4">
      <c r="A69" s="16">
        <v>150587</v>
      </c>
      <c r="B69" s="191">
        <v>45</v>
      </c>
      <c r="C69" s="16">
        <f t="shared" si="0"/>
        <v>225</v>
      </c>
      <c r="D69" s="191">
        <v>0</v>
      </c>
      <c r="E69" s="191">
        <v>0</v>
      </c>
      <c r="F69" s="191">
        <v>0</v>
      </c>
      <c r="G69" s="191">
        <v>0</v>
      </c>
      <c r="H69" s="191">
        <v>0</v>
      </c>
      <c r="I69" s="191">
        <v>0</v>
      </c>
      <c r="J69" s="26">
        <f t="shared" si="1"/>
        <v>0</v>
      </c>
      <c r="K69" s="26">
        <f t="shared" si="2"/>
        <v>0</v>
      </c>
      <c r="L69" s="191">
        <f t="shared" si="3"/>
        <v>0</v>
      </c>
      <c r="M69" s="191" t="s">
        <v>1081</v>
      </c>
      <c r="N69" s="30" t="s">
        <v>1082</v>
      </c>
    </row>
    <row r="70" spans="1:22" s="36" customFormat="1" x14ac:dyDescent="0.4">
      <c r="A70" s="16">
        <v>150588</v>
      </c>
      <c r="B70" s="291">
        <v>45</v>
      </c>
      <c r="C70" s="16">
        <f t="shared" si="0"/>
        <v>225</v>
      </c>
      <c r="D70" s="291">
        <v>0</v>
      </c>
      <c r="E70" s="291">
        <v>0</v>
      </c>
      <c r="F70" s="291">
        <v>0</v>
      </c>
      <c r="G70" s="291">
        <v>0</v>
      </c>
      <c r="H70" s="291">
        <v>0</v>
      </c>
      <c r="I70" s="291">
        <v>0</v>
      </c>
      <c r="J70" s="26">
        <f t="shared" si="1"/>
        <v>0</v>
      </c>
      <c r="K70" s="26">
        <f t="shared" si="2"/>
        <v>0</v>
      </c>
      <c r="L70" s="291">
        <f t="shared" si="3"/>
        <v>0</v>
      </c>
      <c r="M70" s="291" t="s">
        <v>1083</v>
      </c>
      <c r="N70" s="30" t="s">
        <v>1084</v>
      </c>
    </row>
    <row r="71" spans="1:22" s="36" customFormat="1" x14ac:dyDescent="0.4">
      <c r="A71" s="1">
        <v>150589</v>
      </c>
      <c r="B71" s="477">
        <v>60</v>
      </c>
      <c r="C71" s="1">
        <f t="shared" si="0"/>
        <v>300</v>
      </c>
      <c r="D71" s="477">
        <v>0</v>
      </c>
      <c r="E71" s="477">
        <v>0</v>
      </c>
      <c r="F71" s="477">
        <v>0</v>
      </c>
      <c r="G71" s="477">
        <v>0</v>
      </c>
      <c r="H71" s="477">
        <v>0</v>
      </c>
      <c r="I71" s="477">
        <v>1</v>
      </c>
      <c r="J71" s="140">
        <f t="shared" si="1"/>
        <v>1</v>
      </c>
      <c r="K71" s="140">
        <f t="shared" si="2"/>
        <v>0</v>
      </c>
      <c r="L71" s="477">
        <f t="shared" si="3"/>
        <v>0</v>
      </c>
      <c r="M71" s="477" t="s">
        <v>1083</v>
      </c>
      <c r="N71" s="141" t="s">
        <v>1084</v>
      </c>
      <c r="U71" s="36" t="s">
        <v>154</v>
      </c>
    </row>
    <row r="72" spans="1:22" s="36" customFormat="1" x14ac:dyDescent="0.4">
      <c r="A72" s="16">
        <v>150590</v>
      </c>
      <c r="B72" s="220">
        <v>45</v>
      </c>
      <c r="C72" s="16">
        <f t="shared" si="0"/>
        <v>225</v>
      </c>
      <c r="D72" s="220">
        <v>0</v>
      </c>
      <c r="E72" s="220">
        <v>0</v>
      </c>
      <c r="F72" s="220">
        <v>0</v>
      </c>
      <c r="G72" s="220">
        <v>0</v>
      </c>
      <c r="H72" s="220">
        <v>0</v>
      </c>
      <c r="I72" s="220">
        <v>0</v>
      </c>
      <c r="J72" s="26">
        <f t="shared" si="1"/>
        <v>0</v>
      </c>
      <c r="K72" s="26">
        <f t="shared" si="2"/>
        <v>0</v>
      </c>
      <c r="L72" s="220">
        <f t="shared" si="3"/>
        <v>0</v>
      </c>
      <c r="M72" s="220" t="s">
        <v>1085</v>
      </c>
      <c r="N72" s="30" t="s">
        <v>1086</v>
      </c>
    </row>
    <row r="73" spans="1:22" s="36" customFormat="1" x14ac:dyDescent="0.4">
      <c r="A73" s="1">
        <v>150591</v>
      </c>
      <c r="B73" s="477">
        <v>45</v>
      </c>
      <c r="C73" s="1">
        <f t="shared" ref="C73:C136" si="4">SUM(B73*5)</f>
        <v>225</v>
      </c>
      <c r="D73" s="477">
        <v>0</v>
      </c>
      <c r="E73" s="477">
        <v>0</v>
      </c>
      <c r="F73" s="477">
        <v>0</v>
      </c>
      <c r="G73" s="477">
        <v>0</v>
      </c>
      <c r="H73" s="477">
        <v>0</v>
      </c>
      <c r="I73" s="477">
        <v>1</v>
      </c>
      <c r="J73" s="140">
        <f t="shared" ref="J73:J136" si="5">SUM(D73:I73)</f>
        <v>1</v>
      </c>
      <c r="K73" s="140">
        <f t="shared" ref="K73:K136" si="6">SUM(D73:H73)</f>
        <v>0</v>
      </c>
      <c r="L73" s="477">
        <f t="shared" ref="L73:L136" si="7">B73*K73</f>
        <v>0</v>
      </c>
      <c r="M73" s="477" t="s">
        <v>1085</v>
      </c>
      <c r="N73" s="141" t="s">
        <v>1086</v>
      </c>
      <c r="O73" s="39"/>
      <c r="P73" s="39"/>
    </row>
    <row r="74" spans="1:22" s="36" customFormat="1" x14ac:dyDescent="0.4">
      <c r="A74" s="16">
        <v>150592</v>
      </c>
      <c r="B74" s="362">
        <v>45</v>
      </c>
      <c r="C74" s="16">
        <f t="shared" si="4"/>
        <v>225</v>
      </c>
      <c r="D74" s="362">
        <v>0</v>
      </c>
      <c r="E74" s="362">
        <v>0</v>
      </c>
      <c r="F74" s="362">
        <v>0</v>
      </c>
      <c r="G74" s="362">
        <v>0</v>
      </c>
      <c r="H74" s="362">
        <v>0</v>
      </c>
      <c r="I74" s="362">
        <v>0</v>
      </c>
      <c r="J74" s="26">
        <f t="shared" si="5"/>
        <v>0</v>
      </c>
      <c r="K74" s="26">
        <f t="shared" si="6"/>
        <v>0</v>
      </c>
      <c r="L74" s="362">
        <f t="shared" si="7"/>
        <v>0</v>
      </c>
      <c r="M74" s="362" t="s">
        <v>1085</v>
      </c>
      <c r="N74" s="30" t="s">
        <v>1086</v>
      </c>
    </row>
    <row r="75" spans="1:22" s="36" customFormat="1" x14ac:dyDescent="0.4">
      <c r="A75" s="16">
        <v>150593</v>
      </c>
      <c r="B75" s="478">
        <v>60</v>
      </c>
      <c r="C75" s="16">
        <f t="shared" si="4"/>
        <v>300</v>
      </c>
      <c r="D75" s="478">
        <v>0</v>
      </c>
      <c r="E75" s="478">
        <v>0</v>
      </c>
      <c r="F75" s="478">
        <v>0</v>
      </c>
      <c r="G75" s="478">
        <v>0</v>
      </c>
      <c r="H75" s="478">
        <v>0</v>
      </c>
      <c r="I75" s="478">
        <v>0</v>
      </c>
      <c r="J75" s="26">
        <f t="shared" si="5"/>
        <v>0</v>
      </c>
      <c r="K75" s="26">
        <f t="shared" si="6"/>
        <v>0</v>
      </c>
      <c r="L75" s="478">
        <f t="shared" si="7"/>
        <v>0</v>
      </c>
      <c r="M75" s="478" t="s">
        <v>1087</v>
      </c>
      <c r="N75" s="30" t="s">
        <v>1088</v>
      </c>
    </row>
    <row r="76" spans="1:22" s="36" customFormat="1" x14ac:dyDescent="0.4">
      <c r="A76" s="16">
        <v>150594</v>
      </c>
      <c r="B76" s="238"/>
      <c r="C76" s="16">
        <f t="shared" si="4"/>
        <v>0</v>
      </c>
      <c r="D76" s="238">
        <v>0</v>
      </c>
      <c r="E76" s="238" t="s">
        <v>1089</v>
      </c>
      <c r="F76" s="238"/>
      <c r="G76" s="238"/>
      <c r="H76" s="238"/>
      <c r="I76" s="238"/>
      <c r="J76" s="26">
        <f t="shared" si="5"/>
        <v>0</v>
      </c>
      <c r="K76" s="26">
        <f t="shared" si="6"/>
        <v>0</v>
      </c>
      <c r="L76" s="238">
        <f t="shared" si="7"/>
        <v>0</v>
      </c>
      <c r="M76" s="238" t="s">
        <v>1087</v>
      </c>
      <c r="N76" s="30" t="s">
        <v>1090</v>
      </c>
      <c r="O76" s="16" t="s">
        <v>1563</v>
      </c>
      <c r="P76" s="16"/>
    </row>
    <row r="77" spans="1:22" s="36" customFormat="1" x14ac:dyDescent="0.4">
      <c r="A77" s="16">
        <v>150595</v>
      </c>
      <c r="B77" s="226">
        <v>45</v>
      </c>
      <c r="C77" s="16">
        <f t="shared" si="4"/>
        <v>225</v>
      </c>
      <c r="D77" s="226">
        <v>0</v>
      </c>
      <c r="E77" s="226">
        <v>0</v>
      </c>
      <c r="F77" s="226">
        <v>0</v>
      </c>
      <c r="G77" s="226">
        <v>0</v>
      </c>
      <c r="H77" s="226">
        <v>0</v>
      </c>
      <c r="I77" s="226">
        <v>0</v>
      </c>
      <c r="J77" s="26">
        <f t="shared" si="5"/>
        <v>0</v>
      </c>
      <c r="K77" s="26">
        <f t="shared" si="6"/>
        <v>0</v>
      </c>
      <c r="L77" s="226">
        <f t="shared" si="7"/>
        <v>0</v>
      </c>
      <c r="M77" s="226" t="s">
        <v>1091</v>
      </c>
      <c r="N77" s="30" t="s">
        <v>1092</v>
      </c>
    </row>
    <row r="78" spans="1:22" s="36" customFormat="1" x14ac:dyDescent="0.4">
      <c r="A78" s="16">
        <v>150596</v>
      </c>
      <c r="B78" s="478">
        <v>50</v>
      </c>
      <c r="C78" s="16">
        <f t="shared" si="4"/>
        <v>250</v>
      </c>
      <c r="D78" s="478">
        <v>0</v>
      </c>
      <c r="E78" s="478">
        <v>0</v>
      </c>
      <c r="F78" s="478">
        <v>0</v>
      </c>
      <c r="G78" s="478">
        <v>0</v>
      </c>
      <c r="H78" s="478">
        <v>0</v>
      </c>
      <c r="I78" s="478">
        <v>0</v>
      </c>
      <c r="J78" s="26">
        <f t="shared" si="5"/>
        <v>0</v>
      </c>
      <c r="K78" s="26">
        <f t="shared" si="6"/>
        <v>0</v>
      </c>
      <c r="L78" s="478">
        <f t="shared" si="7"/>
        <v>0</v>
      </c>
      <c r="M78" s="478" t="s">
        <v>1095</v>
      </c>
      <c r="N78" s="30" t="s">
        <v>1096</v>
      </c>
      <c r="O78" s="2040"/>
      <c r="P78" s="2040"/>
      <c r="Q78" s="2040"/>
      <c r="R78" s="2040"/>
      <c r="T78" s="2040"/>
      <c r="U78" s="2040"/>
      <c r="V78" s="2040"/>
    </row>
    <row r="79" spans="1:22" s="36" customFormat="1" x14ac:dyDescent="0.4">
      <c r="A79" s="16">
        <v>150597</v>
      </c>
      <c r="B79" s="219">
        <v>45</v>
      </c>
      <c r="C79" s="16">
        <f t="shared" si="4"/>
        <v>225</v>
      </c>
      <c r="D79" s="219">
        <v>0</v>
      </c>
      <c r="E79" s="219">
        <v>0</v>
      </c>
      <c r="F79" s="219">
        <v>0</v>
      </c>
      <c r="G79" s="219">
        <v>1</v>
      </c>
      <c r="H79" s="219">
        <v>0</v>
      </c>
      <c r="I79" s="219">
        <v>0</v>
      </c>
      <c r="J79" s="26">
        <f t="shared" si="5"/>
        <v>1</v>
      </c>
      <c r="K79" s="26">
        <f t="shared" si="6"/>
        <v>1</v>
      </c>
      <c r="L79" s="219">
        <f t="shared" si="7"/>
        <v>45</v>
      </c>
      <c r="M79" s="219" t="s">
        <v>1095</v>
      </c>
      <c r="N79" s="30" t="s">
        <v>1096</v>
      </c>
    </row>
    <row r="80" spans="1:22" s="36" customFormat="1" x14ac:dyDescent="0.4">
      <c r="A80" s="16">
        <v>150598</v>
      </c>
      <c r="B80" s="167">
        <v>45</v>
      </c>
      <c r="C80" s="16">
        <f t="shared" si="4"/>
        <v>225</v>
      </c>
      <c r="D80" s="167">
        <v>0</v>
      </c>
      <c r="E80" s="167">
        <v>0</v>
      </c>
      <c r="F80" s="167">
        <v>0</v>
      </c>
      <c r="G80" s="167">
        <v>0</v>
      </c>
      <c r="H80" s="167">
        <v>0</v>
      </c>
      <c r="I80" s="167">
        <v>0</v>
      </c>
      <c r="J80" s="26">
        <f t="shared" si="5"/>
        <v>0</v>
      </c>
      <c r="K80" s="26">
        <f t="shared" si="6"/>
        <v>0</v>
      </c>
      <c r="L80" s="167">
        <f t="shared" si="7"/>
        <v>0</v>
      </c>
      <c r="M80" s="167" t="s">
        <v>1093</v>
      </c>
      <c r="N80" s="30" t="s">
        <v>1094</v>
      </c>
    </row>
    <row r="81" spans="1:27" s="36" customFormat="1" x14ac:dyDescent="0.4">
      <c r="A81" s="16">
        <v>150599</v>
      </c>
      <c r="B81" s="217">
        <v>100</v>
      </c>
      <c r="C81" s="16">
        <f t="shared" si="4"/>
        <v>500</v>
      </c>
      <c r="D81" s="217">
        <v>0</v>
      </c>
      <c r="E81" s="217">
        <v>0</v>
      </c>
      <c r="F81" s="217">
        <v>0</v>
      </c>
      <c r="G81" s="217">
        <v>0</v>
      </c>
      <c r="H81" s="217">
        <v>0</v>
      </c>
      <c r="I81" s="217">
        <v>0</v>
      </c>
      <c r="J81" s="26">
        <f t="shared" si="5"/>
        <v>0</v>
      </c>
      <c r="K81" s="26">
        <f t="shared" si="6"/>
        <v>0</v>
      </c>
      <c r="L81" s="217">
        <f t="shared" si="7"/>
        <v>0</v>
      </c>
      <c r="M81" s="217" t="s">
        <v>1097</v>
      </c>
      <c r="N81" s="30" t="s">
        <v>1098</v>
      </c>
    </row>
    <row r="82" spans="1:27" s="36" customFormat="1" x14ac:dyDescent="0.4">
      <c r="A82" s="16">
        <v>150600</v>
      </c>
      <c r="B82" s="438">
        <v>60</v>
      </c>
      <c r="C82" s="16">
        <f t="shared" si="4"/>
        <v>300</v>
      </c>
      <c r="D82" s="438">
        <v>0</v>
      </c>
      <c r="E82" s="438">
        <v>0</v>
      </c>
      <c r="F82" s="438">
        <v>0</v>
      </c>
      <c r="G82" s="438">
        <v>0</v>
      </c>
      <c r="H82" s="438">
        <v>0</v>
      </c>
      <c r="I82" s="438">
        <v>0</v>
      </c>
      <c r="J82" s="26">
        <f t="shared" si="5"/>
        <v>0</v>
      </c>
      <c r="K82" s="26">
        <f t="shared" si="6"/>
        <v>0</v>
      </c>
      <c r="L82" s="438">
        <f t="shared" si="7"/>
        <v>0</v>
      </c>
      <c r="M82" s="438" t="s">
        <v>1097</v>
      </c>
      <c r="N82" s="30" t="s">
        <v>1098</v>
      </c>
    </row>
    <row r="83" spans="1:27" s="36" customFormat="1" x14ac:dyDescent="0.4">
      <c r="A83" s="16">
        <v>150601</v>
      </c>
      <c r="B83" s="238"/>
      <c r="C83" s="16">
        <f>SUM(B83*5)</f>
        <v>0</v>
      </c>
      <c r="D83" s="238">
        <v>0</v>
      </c>
      <c r="E83" s="238" t="s">
        <v>28</v>
      </c>
      <c r="F83" s="238"/>
      <c r="G83" s="238"/>
      <c r="H83" s="238"/>
      <c r="I83" s="238"/>
      <c r="J83" s="26">
        <f t="shared" si="5"/>
        <v>0</v>
      </c>
      <c r="K83" s="26">
        <f t="shared" si="6"/>
        <v>0</v>
      </c>
      <c r="L83" s="238">
        <f t="shared" si="7"/>
        <v>0</v>
      </c>
      <c r="M83" s="238" t="s">
        <v>1097</v>
      </c>
      <c r="N83" s="30" t="s">
        <v>1099</v>
      </c>
    </row>
    <row r="84" spans="1:27" s="36" customFormat="1" x14ac:dyDescent="0.4">
      <c r="A84" s="1">
        <v>150602</v>
      </c>
      <c r="B84" s="477">
        <v>60</v>
      </c>
      <c r="C84" s="1">
        <f t="shared" si="4"/>
        <v>300</v>
      </c>
      <c r="D84" s="477">
        <v>1</v>
      </c>
      <c r="E84" s="477">
        <v>1</v>
      </c>
      <c r="F84" s="477">
        <v>1</v>
      </c>
      <c r="G84" s="477">
        <v>1</v>
      </c>
      <c r="H84" s="477">
        <v>1</v>
      </c>
      <c r="I84" s="477">
        <v>1</v>
      </c>
      <c r="J84" s="140">
        <f t="shared" si="5"/>
        <v>6</v>
      </c>
      <c r="K84" s="140">
        <f t="shared" si="6"/>
        <v>5</v>
      </c>
      <c r="L84" s="477">
        <f t="shared" si="7"/>
        <v>300</v>
      </c>
      <c r="M84" s="477" t="s">
        <v>1100</v>
      </c>
      <c r="N84" s="477" t="s">
        <v>1101</v>
      </c>
      <c r="P84" s="2040"/>
      <c r="Q84" s="2040"/>
      <c r="R84" s="2040"/>
      <c r="S84" s="2040"/>
    </row>
    <row r="85" spans="1:27" s="36" customFormat="1" x14ac:dyDescent="0.4">
      <c r="A85" s="16">
        <v>150603</v>
      </c>
      <c r="B85" s="238"/>
      <c r="C85" s="16">
        <f t="shared" si="4"/>
        <v>0</v>
      </c>
      <c r="D85" s="2033" t="s">
        <v>1108</v>
      </c>
      <c r="E85" s="2033"/>
      <c r="F85" s="2033"/>
      <c r="G85" s="2033"/>
      <c r="H85" s="2033"/>
      <c r="I85" s="2033"/>
      <c r="J85" s="26">
        <f t="shared" si="5"/>
        <v>0</v>
      </c>
      <c r="K85" s="26">
        <f t="shared" si="6"/>
        <v>0</v>
      </c>
      <c r="L85" s="238">
        <f t="shared" si="7"/>
        <v>0</v>
      </c>
      <c r="M85" s="238" t="s">
        <v>1102</v>
      </c>
      <c r="N85" s="30" t="s">
        <v>1109</v>
      </c>
      <c r="O85" s="2033" t="s">
        <v>1110</v>
      </c>
      <c r="P85" s="2033"/>
    </row>
    <row r="86" spans="1:27" s="36" customFormat="1" x14ac:dyDescent="0.4">
      <c r="A86" s="16">
        <v>150604</v>
      </c>
      <c r="B86" s="387">
        <v>60</v>
      </c>
      <c r="C86" s="16">
        <f>SUM(B86*5)</f>
        <v>300</v>
      </c>
      <c r="D86" s="387">
        <v>0</v>
      </c>
      <c r="E86" s="387">
        <v>0</v>
      </c>
      <c r="F86" s="387">
        <v>0</v>
      </c>
      <c r="G86" s="387">
        <v>0</v>
      </c>
      <c r="H86" s="387">
        <v>0</v>
      </c>
      <c r="I86" s="387">
        <v>0</v>
      </c>
      <c r="J86" s="26">
        <f>SUM(D86:I86)</f>
        <v>0</v>
      </c>
      <c r="K86" s="26">
        <f>SUM(D86:H86)</f>
        <v>0</v>
      </c>
      <c r="L86" s="387">
        <f>B86*K86</f>
        <v>0</v>
      </c>
      <c r="M86" s="387" t="s">
        <v>1102</v>
      </c>
      <c r="N86" s="30" t="s">
        <v>1103</v>
      </c>
      <c r="Q86" s="2040"/>
      <c r="R86" s="2040"/>
      <c r="S86" s="2040"/>
      <c r="T86" s="2040"/>
      <c r="U86" s="2040"/>
      <c r="V86" s="2040"/>
      <c r="W86" s="38"/>
      <c r="X86" s="38"/>
      <c r="Y86" s="128"/>
      <c r="Z86" s="2040"/>
      <c r="AA86" s="2040"/>
    </row>
    <row r="87" spans="1:27" s="36" customFormat="1" x14ac:dyDescent="0.4">
      <c r="A87" s="16">
        <v>150605</v>
      </c>
      <c r="B87" s="387">
        <v>45</v>
      </c>
      <c r="C87" s="16">
        <f t="shared" si="4"/>
        <v>225</v>
      </c>
      <c r="D87" s="387">
        <v>0</v>
      </c>
      <c r="E87" s="387">
        <v>0</v>
      </c>
      <c r="F87" s="387">
        <v>0</v>
      </c>
      <c r="G87" s="387">
        <v>0</v>
      </c>
      <c r="H87" s="387">
        <v>0</v>
      </c>
      <c r="I87" s="387">
        <v>0</v>
      </c>
      <c r="J87" s="26">
        <f t="shared" si="5"/>
        <v>0</v>
      </c>
      <c r="K87" s="26">
        <f t="shared" si="6"/>
        <v>0</v>
      </c>
      <c r="L87" s="387">
        <f t="shared" si="7"/>
        <v>0</v>
      </c>
      <c r="M87" s="387" t="s">
        <v>1104</v>
      </c>
      <c r="N87" s="30" t="s">
        <v>1105</v>
      </c>
    </row>
    <row r="88" spans="1:27" s="36" customFormat="1" x14ac:dyDescent="0.4">
      <c r="A88" s="16">
        <v>150606</v>
      </c>
      <c r="B88" s="190">
        <v>45</v>
      </c>
      <c r="C88" s="16">
        <f t="shared" si="4"/>
        <v>225</v>
      </c>
      <c r="D88" s="190">
        <v>0</v>
      </c>
      <c r="E88" s="190">
        <v>0</v>
      </c>
      <c r="F88" s="190">
        <v>0</v>
      </c>
      <c r="G88" s="190">
        <v>0</v>
      </c>
      <c r="H88" s="190">
        <v>0</v>
      </c>
      <c r="I88" s="190">
        <v>0</v>
      </c>
      <c r="J88" s="26">
        <f t="shared" si="5"/>
        <v>0</v>
      </c>
      <c r="K88" s="26">
        <f t="shared" si="6"/>
        <v>0</v>
      </c>
      <c r="L88" s="190">
        <f t="shared" si="7"/>
        <v>0</v>
      </c>
      <c r="M88" s="190" t="s">
        <v>1104</v>
      </c>
      <c r="N88" s="30" t="s">
        <v>1105</v>
      </c>
    </row>
    <row r="89" spans="1:27" s="36" customFormat="1" x14ac:dyDescent="0.4">
      <c r="A89" s="16">
        <v>150607</v>
      </c>
      <c r="B89" s="168">
        <v>45</v>
      </c>
      <c r="C89" s="16">
        <f t="shared" si="4"/>
        <v>225</v>
      </c>
      <c r="D89" s="168">
        <v>0</v>
      </c>
      <c r="E89" s="168">
        <v>0</v>
      </c>
      <c r="F89" s="168">
        <v>0</v>
      </c>
      <c r="G89" s="168">
        <v>0</v>
      </c>
      <c r="H89" s="168">
        <v>0</v>
      </c>
      <c r="I89" s="168">
        <v>0</v>
      </c>
      <c r="J89" s="26">
        <f t="shared" si="5"/>
        <v>0</v>
      </c>
      <c r="K89" s="26">
        <f t="shared" si="6"/>
        <v>0</v>
      </c>
      <c r="L89" s="168">
        <f t="shared" si="7"/>
        <v>0</v>
      </c>
      <c r="M89" s="168" t="s">
        <v>1106</v>
      </c>
      <c r="N89" s="168" t="s">
        <v>1107</v>
      </c>
      <c r="O89" s="2040"/>
      <c r="P89" s="2040"/>
      <c r="Q89" s="2040"/>
    </row>
    <row r="90" spans="1:27" s="36" customFormat="1" x14ac:dyDescent="0.4">
      <c r="A90" s="16">
        <v>150608</v>
      </c>
      <c r="B90" s="185">
        <v>45</v>
      </c>
      <c r="C90" s="16">
        <f t="shared" si="4"/>
        <v>225</v>
      </c>
      <c r="D90" s="185">
        <v>0</v>
      </c>
      <c r="E90" s="185">
        <v>0</v>
      </c>
      <c r="F90" s="185">
        <v>0</v>
      </c>
      <c r="G90" s="185">
        <v>0</v>
      </c>
      <c r="H90" s="185">
        <v>0</v>
      </c>
      <c r="I90" s="185">
        <v>0</v>
      </c>
      <c r="J90" s="26">
        <f t="shared" si="5"/>
        <v>0</v>
      </c>
      <c r="K90" s="26">
        <f t="shared" si="6"/>
        <v>0</v>
      </c>
      <c r="L90" s="185">
        <f t="shared" si="7"/>
        <v>0</v>
      </c>
      <c r="M90" s="185" t="s">
        <v>1111</v>
      </c>
      <c r="N90" s="185" t="s">
        <v>1112</v>
      </c>
      <c r="O90" s="2040"/>
      <c r="P90" s="2040"/>
      <c r="Q90" s="2040"/>
    </row>
    <row r="91" spans="1:27" s="36" customFormat="1" x14ac:dyDescent="0.4">
      <c r="A91" s="16">
        <v>150609</v>
      </c>
      <c r="B91" s="238">
        <v>60</v>
      </c>
      <c r="C91" s="16">
        <f t="shared" si="4"/>
        <v>300</v>
      </c>
      <c r="D91" s="238">
        <v>0</v>
      </c>
      <c r="E91" s="238">
        <v>0</v>
      </c>
      <c r="F91" s="238">
        <v>0</v>
      </c>
      <c r="G91" s="238">
        <v>0</v>
      </c>
      <c r="H91" s="238">
        <v>0</v>
      </c>
      <c r="I91" s="238">
        <v>0</v>
      </c>
      <c r="J91" s="26">
        <f t="shared" si="5"/>
        <v>0</v>
      </c>
      <c r="K91" s="26">
        <f t="shared" si="6"/>
        <v>0</v>
      </c>
      <c r="L91" s="238">
        <f t="shared" si="7"/>
        <v>0</v>
      </c>
      <c r="M91" s="238" t="s">
        <v>1113</v>
      </c>
      <c r="N91" s="238" t="s">
        <v>1114</v>
      </c>
    </row>
    <row r="92" spans="1:27" s="36" customFormat="1" x14ac:dyDescent="0.4">
      <c r="A92" s="16">
        <v>150610</v>
      </c>
      <c r="B92" s="448">
        <v>60</v>
      </c>
      <c r="C92" s="16">
        <f t="shared" si="4"/>
        <v>300</v>
      </c>
      <c r="D92" s="448">
        <v>0</v>
      </c>
      <c r="E92" s="448">
        <v>0</v>
      </c>
      <c r="F92" s="448">
        <v>0</v>
      </c>
      <c r="G92" s="448">
        <v>0</v>
      </c>
      <c r="H92" s="448">
        <v>0</v>
      </c>
      <c r="I92" s="448">
        <v>0</v>
      </c>
      <c r="J92" s="26">
        <f t="shared" si="5"/>
        <v>0</v>
      </c>
      <c r="K92" s="26">
        <f t="shared" si="6"/>
        <v>0</v>
      </c>
      <c r="L92" s="448">
        <f t="shared" si="7"/>
        <v>0</v>
      </c>
      <c r="M92" s="448" t="s">
        <v>1117</v>
      </c>
      <c r="N92" s="448" t="s">
        <v>1118</v>
      </c>
    </row>
    <row r="93" spans="1:27" s="36" customFormat="1" x14ac:dyDescent="0.4">
      <c r="A93" s="16">
        <v>150611</v>
      </c>
      <c r="B93" s="221">
        <v>60</v>
      </c>
      <c r="C93" s="16">
        <f t="shared" si="4"/>
        <v>300</v>
      </c>
      <c r="D93" s="221">
        <v>0</v>
      </c>
      <c r="E93" s="221">
        <v>0</v>
      </c>
      <c r="F93" s="221">
        <v>0</v>
      </c>
      <c r="G93" s="221">
        <v>0</v>
      </c>
      <c r="H93" s="221">
        <v>0</v>
      </c>
      <c r="I93" s="221">
        <v>0</v>
      </c>
      <c r="J93" s="26">
        <f t="shared" si="5"/>
        <v>0</v>
      </c>
      <c r="K93" s="26">
        <f t="shared" si="6"/>
        <v>0</v>
      </c>
      <c r="L93" s="221">
        <f t="shared" si="7"/>
        <v>0</v>
      </c>
      <c r="M93" s="221" t="s">
        <v>1115</v>
      </c>
      <c r="N93" s="221" t="s">
        <v>1116</v>
      </c>
    </row>
    <row r="94" spans="1:27" s="36" customFormat="1" x14ac:dyDescent="0.4">
      <c r="A94" s="16">
        <v>150612</v>
      </c>
      <c r="B94" s="238">
        <v>60</v>
      </c>
      <c r="C94" s="16">
        <f t="shared" si="4"/>
        <v>300</v>
      </c>
      <c r="D94" s="238">
        <v>0</v>
      </c>
      <c r="E94" s="238">
        <v>0</v>
      </c>
      <c r="F94" s="238">
        <v>0</v>
      </c>
      <c r="G94" s="238">
        <v>0</v>
      </c>
      <c r="H94" s="238">
        <v>0</v>
      </c>
      <c r="I94" s="238">
        <v>0</v>
      </c>
      <c r="J94" s="26">
        <f t="shared" si="5"/>
        <v>0</v>
      </c>
      <c r="K94" s="26">
        <f t="shared" si="6"/>
        <v>0</v>
      </c>
      <c r="L94" s="238">
        <f t="shared" si="7"/>
        <v>0</v>
      </c>
      <c r="M94" s="238" t="s">
        <v>1119</v>
      </c>
      <c r="N94" s="238" t="s">
        <v>1120</v>
      </c>
    </row>
    <row r="95" spans="1:27" s="36" customFormat="1" x14ac:dyDescent="0.4">
      <c r="A95" s="16">
        <v>150613</v>
      </c>
      <c r="B95" s="300">
        <v>45</v>
      </c>
      <c r="C95" s="16">
        <f t="shared" si="4"/>
        <v>225</v>
      </c>
      <c r="D95" s="300">
        <v>0</v>
      </c>
      <c r="E95" s="300">
        <v>0</v>
      </c>
      <c r="F95" s="300">
        <v>0</v>
      </c>
      <c r="G95" s="300">
        <v>0</v>
      </c>
      <c r="H95" s="300">
        <v>0</v>
      </c>
      <c r="I95" s="300">
        <v>0</v>
      </c>
      <c r="J95" s="26">
        <f t="shared" si="5"/>
        <v>0</v>
      </c>
      <c r="K95" s="26">
        <f t="shared" si="6"/>
        <v>0</v>
      </c>
      <c r="L95" s="300">
        <f t="shared" si="7"/>
        <v>0</v>
      </c>
      <c r="M95" s="300" t="s">
        <v>1121</v>
      </c>
      <c r="N95" s="300" t="s">
        <v>1122</v>
      </c>
      <c r="O95" s="16"/>
    </row>
    <row r="96" spans="1:27" s="36" customFormat="1" x14ac:dyDescent="0.4">
      <c r="A96" s="1">
        <v>150614</v>
      </c>
      <c r="B96" s="477">
        <v>45</v>
      </c>
      <c r="C96" s="1">
        <f t="shared" si="4"/>
        <v>225</v>
      </c>
      <c r="D96" s="477">
        <v>0</v>
      </c>
      <c r="E96" s="477">
        <v>0</v>
      </c>
      <c r="F96" s="477">
        <v>0</v>
      </c>
      <c r="G96" s="477">
        <v>0</v>
      </c>
      <c r="H96" s="477">
        <v>1</v>
      </c>
      <c r="I96" s="477">
        <v>1</v>
      </c>
      <c r="J96" s="140">
        <f t="shared" si="5"/>
        <v>2</v>
      </c>
      <c r="K96" s="140">
        <f t="shared" si="6"/>
        <v>1</v>
      </c>
      <c r="L96" s="477">
        <f t="shared" si="7"/>
        <v>45</v>
      </c>
      <c r="M96" s="477" t="s">
        <v>1123</v>
      </c>
      <c r="N96" s="477" t="s">
        <v>1124</v>
      </c>
    </row>
    <row r="97" spans="1:15" s="36" customFormat="1" x14ac:dyDescent="0.4">
      <c r="A97" s="16">
        <v>150615</v>
      </c>
      <c r="B97" s="176">
        <v>35</v>
      </c>
      <c r="C97" s="16">
        <f t="shared" si="4"/>
        <v>175</v>
      </c>
      <c r="D97" s="176">
        <v>0</v>
      </c>
      <c r="E97" s="176">
        <v>0</v>
      </c>
      <c r="F97" s="176">
        <v>0</v>
      </c>
      <c r="G97" s="176">
        <v>0</v>
      </c>
      <c r="H97" s="176">
        <v>0</v>
      </c>
      <c r="I97" s="176">
        <v>0</v>
      </c>
      <c r="J97" s="26">
        <f t="shared" si="5"/>
        <v>0</v>
      </c>
      <c r="K97" s="26">
        <f t="shared" si="6"/>
        <v>0</v>
      </c>
      <c r="L97" s="176">
        <f t="shared" si="7"/>
        <v>0</v>
      </c>
      <c r="M97" s="176" t="s">
        <v>1125</v>
      </c>
      <c r="N97" s="176" t="s">
        <v>1126</v>
      </c>
    </row>
    <row r="98" spans="1:15" s="36" customFormat="1" x14ac:dyDescent="0.4">
      <c r="A98" s="22">
        <v>150616</v>
      </c>
      <c r="B98" s="23">
        <v>60</v>
      </c>
      <c r="C98" s="22">
        <f t="shared" si="4"/>
        <v>300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4">
        <f t="shared" si="5"/>
        <v>0</v>
      </c>
      <c r="K98" s="24">
        <f t="shared" si="6"/>
        <v>0</v>
      </c>
      <c r="L98" s="23">
        <f t="shared" si="7"/>
        <v>0</v>
      </c>
      <c r="M98" s="23" t="s">
        <v>1127</v>
      </c>
      <c r="N98" s="23" t="s">
        <v>1128</v>
      </c>
    </row>
    <row r="99" spans="1:15" s="36" customFormat="1" x14ac:dyDescent="0.4">
      <c r="A99" s="16">
        <v>150617</v>
      </c>
      <c r="B99" s="317">
        <v>45</v>
      </c>
      <c r="C99" s="16">
        <f t="shared" si="4"/>
        <v>225</v>
      </c>
      <c r="D99" s="317">
        <v>0</v>
      </c>
      <c r="E99" s="317">
        <v>0</v>
      </c>
      <c r="F99" s="317">
        <v>0</v>
      </c>
      <c r="G99" s="317">
        <v>0</v>
      </c>
      <c r="H99" s="317">
        <v>0</v>
      </c>
      <c r="I99" s="317">
        <v>0</v>
      </c>
      <c r="J99" s="26">
        <f t="shared" si="5"/>
        <v>0</v>
      </c>
      <c r="K99" s="26">
        <f t="shared" si="6"/>
        <v>0</v>
      </c>
      <c r="L99" s="317">
        <f t="shared" si="7"/>
        <v>0</v>
      </c>
      <c r="M99" s="317" t="s">
        <v>1129</v>
      </c>
      <c r="N99" s="317" t="s">
        <v>1130</v>
      </c>
    </row>
    <row r="100" spans="1:15" s="36" customFormat="1" x14ac:dyDescent="0.4">
      <c r="A100" s="16">
        <v>150618</v>
      </c>
      <c r="B100" s="458">
        <v>45</v>
      </c>
      <c r="C100" s="16">
        <f t="shared" si="4"/>
        <v>225</v>
      </c>
      <c r="D100" s="458">
        <v>0</v>
      </c>
      <c r="E100" s="458">
        <v>0</v>
      </c>
      <c r="F100" s="458">
        <v>0</v>
      </c>
      <c r="G100" s="458">
        <v>0</v>
      </c>
      <c r="H100" s="458">
        <v>0</v>
      </c>
      <c r="I100" s="458">
        <v>0</v>
      </c>
      <c r="J100" s="26">
        <f t="shared" si="5"/>
        <v>0</v>
      </c>
      <c r="K100" s="26">
        <f t="shared" si="6"/>
        <v>0</v>
      </c>
      <c r="L100" s="458">
        <f t="shared" si="7"/>
        <v>0</v>
      </c>
      <c r="M100" s="458" t="s">
        <v>1129</v>
      </c>
      <c r="N100" s="458" t="s">
        <v>1130</v>
      </c>
    </row>
    <row r="101" spans="1:15" s="36" customFormat="1" x14ac:dyDescent="0.4">
      <c r="A101" s="16">
        <v>150619</v>
      </c>
      <c r="B101" s="202">
        <v>50</v>
      </c>
      <c r="C101" s="16">
        <f t="shared" si="4"/>
        <v>250</v>
      </c>
      <c r="D101" s="202">
        <v>0</v>
      </c>
      <c r="E101" s="202">
        <v>0</v>
      </c>
      <c r="F101" s="202">
        <v>0</v>
      </c>
      <c r="G101" s="202">
        <v>0</v>
      </c>
      <c r="H101" s="202">
        <v>0</v>
      </c>
      <c r="I101" s="202">
        <v>0</v>
      </c>
      <c r="J101" s="26">
        <f t="shared" si="5"/>
        <v>0</v>
      </c>
      <c r="K101" s="26">
        <f t="shared" si="6"/>
        <v>0</v>
      </c>
      <c r="L101" s="202">
        <f t="shared" si="7"/>
        <v>0</v>
      </c>
      <c r="M101" s="202" t="s">
        <v>1131</v>
      </c>
      <c r="N101" s="202" t="s">
        <v>1132</v>
      </c>
    </row>
    <row r="102" spans="1:15" s="36" customFormat="1" x14ac:dyDescent="0.4">
      <c r="A102" s="1">
        <v>150620</v>
      </c>
      <c r="B102" s="477">
        <v>60</v>
      </c>
      <c r="C102" s="1">
        <f t="shared" si="4"/>
        <v>300</v>
      </c>
      <c r="D102" s="477">
        <v>0</v>
      </c>
      <c r="E102" s="477">
        <v>0</v>
      </c>
      <c r="F102" s="477">
        <v>0</v>
      </c>
      <c r="G102" s="477">
        <v>1</v>
      </c>
      <c r="H102" s="477">
        <v>1</v>
      </c>
      <c r="I102" s="477">
        <v>1</v>
      </c>
      <c r="J102" s="140">
        <f t="shared" si="5"/>
        <v>3</v>
      </c>
      <c r="K102" s="140">
        <f t="shared" si="6"/>
        <v>2</v>
      </c>
      <c r="L102" s="477">
        <f t="shared" si="7"/>
        <v>120</v>
      </c>
      <c r="M102" s="477" t="s">
        <v>1131</v>
      </c>
      <c r="N102" s="477" t="s">
        <v>1132</v>
      </c>
    </row>
    <row r="103" spans="1:15" s="36" customFormat="1" x14ac:dyDescent="0.4">
      <c r="A103" s="16">
        <v>150621</v>
      </c>
      <c r="B103" s="366">
        <v>45</v>
      </c>
      <c r="C103" s="16">
        <f t="shared" si="4"/>
        <v>225</v>
      </c>
      <c r="D103" s="366">
        <v>0</v>
      </c>
      <c r="E103" s="366">
        <v>0</v>
      </c>
      <c r="F103" s="366">
        <v>0</v>
      </c>
      <c r="G103" s="366">
        <v>0</v>
      </c>
      <c r="H103" s="366">
        <v>0</v>
      </c>
      <c r="I103" s="366">
        <v>0</v>
      </c>
      <c r="J103" s="26">
        <f t="shared" si="5"/>
        <v>0</v>
      </c>
      <c r="K103" s="26">
        <f t="shared" si="6"/>
        <v>0</v>
      </c>
      <c r="L103" s="366">
        <f t="shared" si="7"/>
        <v>0</v>
      </c>
      <c r="M103" s="366" t="s">
        <v>1131</v>
      </c>
      <c r="N103" s="366" t="s">
        <v>1132</v>
      </c>
    </row>
    <row r="104" spans="1:15" s="36" customFormat="1" x14ac:dyDescent="0.4">
      <c r="A104" s="16">
        <v>150622</v>
      </c>
      <c r="B104" s="314">
        <v>60</v>
      </c>
      <c r="C104" s="16">
        <f t="shared" si="4"/>
        <v>300</v>
      </c>
      <c r="D104" s="314">
        <v>0</v>
      </c>
      <c r="E104" s="314">
        <v>0</v>
      </c>
      <c r="F104" s="314">
        <v>0</v>
      </c>
      <c r="G104" s="314">
        <v>0</v>
      </c>
      <c r="H104" s="314">
        <v>0</v>
      </c>
      <c r="I104" s="314">
        <v>0</v>
      </c>
      <c r="J104" s="26">
        <f t="shared" si="5"/>
        <v>0</v>
      </c>
      <c r="K104" s="26">
        <f t="shared" si="6"/>
        <v>0</v>
      </c>
      <c r="L104" s="314">
        <f t="shared" si="7"/>
        <v>0</v>
      </c>
      <c r="M104" s="314" t="s">
        <v>1131</v>
      </c>
      <c r="N104" s="314" t="s">
        <v>1132</v>
      </c>
    </row>
    <row r="105" spans="1:15" s="36" customFormat="1" x14ac:dyDescent="0.4">
      <c r="A105" s="16">
        <v>150623</v>
      </c>
      <c r="B105" s="208">
        <v>60</v>
      </c>
      <c r="C105" s="16">
        <f t="shared" si="4"/>
        <v>300</v>
      </c>
      <c r="D105" s="208">
        <v>0</v>
      </c>
      <c r="E105" s="208">
        <v>0</v>
      </c>
      <c r="F105" s="208">
        <v>0</v>
      </c>
      <c r="G105" s="208">
        <v>0</v>
      </c>
      <c r="H105" s="208">
        <v>0</v>
      </c>
      <c r="I105" s="208">
        <v>0</v>
      </c>
      <c r="J105" s="26">
        <f t="shared" si="5"/>
        <v>0</v>
      </c>
      <c r="K105" s="26">
        <f t="shared" si="6"/>
        <v>0</v>
      </c>
      <c r="L105" s="208">
        <f t="shared" si="7"/>
        <v>0</v>
      </c>
      <c r="M105" s="208" t="s">
        <v>1137</v>
      </c>
      <c r="N105" s="208" t="s">
        <v>1138</v>
      </c>
    </row>
    <row r="106" spans="1:15" s="36" customFormat="1" x14ac:dyDescent="0.4">
      <c r="A106" s="1">
        <v>150624</v>
      </c>
      <c r="B106" s="477">
        <v>75</v>
      </c>
      <c r="C106" s="1">
        <f>B106*2</f>
        <v>150</v>
      </c>
      <c r="D106" s="477">
        <v>0</v>
      </c>
      <c r="E106" s="477">
        <v>0</v>
      </c>
      <c r="F106" s="477">
        <v>0</v>
      </c>
      <c r="G106" s="477">
        <v>0</v>
      </c>
      <c r="H106" s="477"/>
      <c r="I106" s="477"/>
      <c r="J106" s="140">
        <f t="shared" si="5"/>
        <v>0</v>
      </c>
      <c r="K106" s="140">
        <f t="shared" si="6"/>
        <v>0</v>
      </c>
      <c r="L106" s="477">
        <f t="shared" si="7"/>
        <v>0</v>
      </c>
      <c r="M106" s="477" t="s">
        <v>1133</v>
      </c>
      <c r="N106" s="477" t="s">
        <v>1134</v>
      </c>
      <c r="O106" s="36" t="s">
        <v>2303</v>
      </c>
    </row>
    <row r="107" spans="1:15" s="36" customFormat="1" x14ac:dyDescent="0.4">
      <c r="A107" s="16">
        <v>150625</v>
      </c>
      <c r="B107" s="337">
        <v>45</v>
      </c>
      <c r="C107" s="16">
        <f t="shared" si="4"/>
        <v>225</v>
      </c>
      <c r="D107" s="337">
        <v>0</v>
      </c>
      <c r="E107" s="337">
        <v>0</v>
      </c>
      <c r="F107" s="337">
        <v>0</v>
      </c>
      <c r="G107" s="337">
        <v>0</v>
      </c>
      <c r="H107" s="337">
        <v>0</v>
      </c>
      <c r="I107" s="337">
        <v>0</v>
      </c>
      <c r="J107" s="26">
        <f t="shared" si="5"/>
        <v>0</v>
      </c>
      <c r="K107" s="26">
        <f t="shared" si="6"/>
        <v>0</v>
      </c>
      <c r="L107" s="337">
        <f t="shared" si="7"/>
        <v>0</v>
      </c>
      <c r="M107" s="337" t="s">
        <v>1133</v>
      </c>
      <c r="N107" s="337" t="s">
        <v>1134</v>
      </c>
    </row>
    <row r="108" spans="1:15" s="36" customFormat="1" x14ac:dyDescent="0.4">
      <c r="A108" s="1">
        <v>150626</v>
      </c>
      <c r="B108" s="477">
        <v>41</v>
      </c>
      <c r="C108" s="1">
        <f t="shared" si="4"/>
        <v>205</v>
      </c>
      <c r="D108" s="477">
        <v>0</v>
      </c>
      <c r="E108" s="477">
        <v>0</v>
      </c>
      <c r="F108" s="477">
        <v>0</v>
      </c>
      <c r="G108" s="477">
        <v>0</v>
      </c>
      <c r="H108" s="477">
        <v>0</v>
      </c>
      <c r="I108" s="477">
        <v>1</v>
      </c>
      <c r="J108" s="140">
        <f t="shared" si="5"/>
        <v>1</v>
      </c>
      <c r="K108" s="140">
        <f t="shared" si="6"/>
        <v>0</v>
      </c>
      <c r="L108" s="477">
        <f t="shared" si="7"/>
        <v>0</v>
      </c>
      <c r="M108" s="477" t="s">
        <v>1135</v>
      </c>
      <c r="N108" s="477" t="s">
        <v>1136</v>
      </c>
    </row>
    <row r="109" spans="1:15" s="36" customFormat="1" x14ac:dyDescent="0.4">
      <c r="A109" s="16">
        <v>150627</v>
      </c>
      <c r="B109" s="321">
        <v>45</v>
      </c>
      <c r="C109" s="16">
        <f t="shared" si="4"/>
        <v>225</v>
      </c>
      <c r="D109" s="321">
        <v>0</v>
      </c>
      <c r="E109" s="321">
        <v>0</v>
      </c>
      <c r="F109" s="321">
        <v>0</v>
      </c>
      <c r="G109" s="321">
        <v>0</v>
      </c>
      <c r="H109" s="321">
        <v>0</v>
      </c>
      <c r="I109" s="321">
        <v>0</v>
      </c>
      <c r="J109" s="26">
        <f t="shared" si="5"/>
        <v>0</v>
      </c>
      <c r="K109" s="26">
        <f t="shared" si="6"/>
        <v>0</v>
      </c>
      <c r="L109" s="321">
        <f t="shared" si="7"/>
        <v>0</v>
      </c>
      <c r="M109" s="321" t="s">
        <v>1139</v>
      </c>
      <c r="N109" s="321" t="s">
        <v>1140</v>
      </c>
    </row>
    <row r="110" spans="1:15" s="36" customFormat="1" x14ac:dyDescent="0.4">
      <c r="A110" s="1">
        <v>150628</v>
      </c>
      <c r="B110" s="477">
        <v>45</v>
      </c>
      <c r="C110" s="1">
        <f t="shared" si="4"/>
        <v>225</v>
      </c>
      <c r="D110" s="477">
        <v>1</v>
      </c>
      <c r="E110" s="477">
        <v>1</v>
      </c>
      <c r="F110" s="477">
        <v>1</v>
      </c>
      <c r="G110" s="477">
        <v>1</v>
      </c>
      <c r="H110" s="477">
        <v>1</v>
      </c>
      <c r="I110" s="477">
        <v>1</v>
      </c>
      <c r="J110" s="140">
        <f t="shared" si="5"/>
        <v>6</v>
      </c>
      <c r="K110" s="140">
        <f t="shared" si="6"/>
        <v>5</v>
      </c>
      <c r="L110" s="477">
        <f t="shared" si="7"/>
        <v>225</v>
      </c>
      <c r="M110" s="477" t="s">
        <v>1141</v>
      </c>
      <c r="N110" s="477" t="s">
        <v>1142</v>
      </c>
    </row>
    <row r="111" spans="1:15" s="36" customFormat="1" x14ac:dyDescent="0.4">
      <c r="A111" s="1">
        <v>150629</v>
      </c>
      <c r="B111" s="477">
        <v>60</v>
      </c>
      <c r="C111" s="1">
        <f t="shared" si="4"/>
        <v>300</v>
      </c>
      <c r="D111" s="477">
        <v>1</v>
      </c>
      <c r="E111" s="477">
        <v>1</v>
      </c>
      <c r="F111" s="477">
        <v>1</v>
      </c>
      <c r="G111" s="477">
        <v>1</v>
      </c>
      <c r="H111" s="477">
        <v>1</v>
      </c>
      <c r="I111" s="477">
        <v>1</v>
      </c>
      <c r="J111" s="140">
        <f t="shared" si="5"/>
        <v>6</v>
      </c>
      <c r="K111" s="140">
        <f t="shared" si="6"/>
        <v>5</v>
      </c>
      <c r="L111" s="477">
        <f t="shared" si="7"/>
        <v>300</v>
      </c>
      <c r="M111" s="477" t="s">
        <v>1141</v>
      </c>
      <c r="N111" s="477" t="s">
        <v>1142</v>
      </c>
    </row>
    <row r="112" spans="1:15" s="36" customFormat="1" x14ac:dyDescent="0.4">
      <c r="A112" s="16">
        <v>150630</v>
      </c>
      <c r="B112" s="236">
        <v>60</v>
      </c>
      <c r="C112" s="16">
        <f t="shared" si="4"/>
        <v>300</v>
      </c>
      <c r="D112" s="236">
        <v>0</v>
      </c>
      <c r="E112" s="236">
        <v>0</v>
      </c>
      <c r="F112" s="236">
        <v>0</v>
      </c>
      <c r="G112" s="236">
        <v>0</v>
      </c>
      <c r="H112" s="236">
        <v>0</v>
      </c>
      <c r="I112" s="236">
        <v>0</v>
      </c>
      <c r="J112" s="26">
        <f t="shared" si="5"/>
        <v>0</v>
      </c>
      <c r="K112" s="26">
        <f t="shared" si="6"/>
        <v>0</v>
      </c>
      <c r="L112" s="236">
        <f t="shared" si="7"/>
        <v>0</v>
      </c>
      <c r="M112" s="236" t="s">
        <v>1147</v>
      </c>
      <c r="N112" s="236" t="s">
        <v>1148</v>
      </c>
    </row>
    <row r="113" spans="1:26" s="36" customFormat="1" x14ac:dyDescent="0.4">
      <c r="A113" s="16">
        <v>150631</v>
      </c>
      <c r="B113" s="238">
        <v>45</v>
      </c>
      <c r="C113" s="16">
        <f t="shared" si="4"/>
        <v>225</v>
      </c>
      <c r="D113" s="238">
        <v>0</v>
      </c>
      <c r="E113" s="238">
        <v>0</v>
      </c>
      <c r="F113" s="238">
        <v>0</v>
      </c>
      <c r="G113" s="238">
        <v>0</v>
      </c>
      <c r="H113" s="238">
        <v>0</v>
      </c>
      <c r="I113" s="238">
        <v>0</v>
      </c>
      <c r="J113" s="26">
        <f t="shared" si="5"/>
        <v>0</v>
      </c>
      <c r="K113" s="26">
        <f t="shared" si="6"/>
        <v>0</v>
      </c>
      <c r="L113" s="238">
        <f t="shared" si="7"/>
        <v>0</v>
      </c>
      <c r="M113" s="238" t="s">
        <v>1143</v>
      </c>
      <c r="N113" s="238" t="s">
        <v>1144</v>
      </c>
    </row>
    <row r="114" spans="1:26" s="36" customFormat="1" x14ac:dyDescent="0.4">
      <c r="A114" s="1">
        <v>150632</v>
      </c>
      <c r="B114" s="477">
        <v>60</v>
      </c>
      <c r="C114" s="1">
        <f t="shared" si="4"/>
        <v>300</v>
      </c>
      <c r="D114" s="477">
        <v>0</v>
      </c>
      <c r="E114" s="477">
        <v>0</v>
      </c>
      <c r="F114" s="477">
        <v>0</v>
      </c>
      <c r="G114" s="477">
        <v>0</v>
      </c>
      <c r="H114" s="477">
        <v>0</v>
      </c>
      <c r="I114" s="477">
        <v>1</v>
      </c>
      <c r="J114" s="140">
        <f t="shared" si="5"/>
        <v>1</v>
      </c>
      <c r="K114" s="140">
        <f t="shared" si="6"/>
        <v>0</v>
      </c>
      <c r="L114" s="477">
        <f t="shared" si="7"/>
        <v>0</v>
      </c>
      <c r="M114" s="477" t="s">
        <v>1145</v>
      </c>
      <c r="N114" s="477" t="s">
        <v>1146</v>
      </c>
    </row>
    <row r="115" spans="1:26" s="36" customFormat="1" x14ac:dyDescent="0.4">
      <c r="A115" s="16">
        <v>150633</v>
      </c>
      <c r="B115" s="163"/>
      <c r="C115" s="16">
        <f t="shared" si="4"/>
        <v>0</v>
      </c>
      <c r="D115" s="163">
        <v>0</v>
      </c>
      <c r="E115" s="163" t="s">
        <v>729</v>
      </c>
      <c r="F115" s="163" t="s">
        <v>1149</v>
      </c>
      <c r="G115" s="163" t="s">
        <v>1150</v>
      </c>
      <c r="H115" s="163" t="s">
        <v>1151</v>
      </c>
      <c r="I115" s="163"/>
      <c r="J115" s="26">
        <f t="shared" si="5"/>
        <v>0</v>
      </c>
      <c r="K115" s="26">
        <f t="shared" si="6"/>
        <v>0</v>
      </c>
      <c r="L115" s="163">
        <f t="shared" si="7"/>
        <v>0</v>
      </c>
      <c r="M115" s="163" t="s">
        <v>1152</v>
      </c>
      <c r="N115" s="163" t="s">
        <v>1153</v>
      </c>
      <c r="O115" s="16" t="s">
        <v>1154</v>
      </c>
      <c r="P115" s="16"/>
    </row>
    <row r="116" spans="1:26" s="36" customFormat="1" x14ac:dyDescent="0.4">
      <c r="A116" s="16">
        <v>150634</v>
      </c>
      <c r="B116" s="480">
        <v>45</v>
      </c>
      <c r="C116" s="16">
        <f t="shared" si="4"/>
        <v>225</v>
      </c>
      <c r="D116" s="480">
        <v>0</v>
      </c>
      <c r="E116" s="480">
        <v>0</v>
      </c>
      <c r="F116" s="480">
        <v>0</v>
      </c>
      <c r="G116" s="480">
        <v>0</v>
      </c>
      <c r="H116" s="480">
        <v>0</v>
      </c>
      <c r="I116" s="480">
        <v>0</v>
      </c>
      <c r="J116" s="26">
        <f t="shared" si="5"/>
        <v>0</v>
      </c>
      <c r="K116" s="26">
        <f t="shared" si="6"/>
        <v>0</v>
      </c>
      <c r="L116" s="480">
        <f t="shared" si="7"/>
        <v>0</v>
      </c>
      <c r="M116" s="480" t="s">
        <v>1155</v>
      </c>
      <c r="N116" s="480" t="s">
        <v>1156</v>
      </c>
    </row>
    <row r="117" spans="1:26" s="36" customFormat="1" x14ac:dyDescent="0.4">
      <c r="A117" s="1">
        <v>150635</v>
      </c>
      <c r="B117" s="477">
        <v>45</v>
      </c>
      <c r="C117" s="1">
        <f t="shared" si="4"/>
        <v>225</v>
      </c>
      <c r="D117" s="477">
        <v>0</v>
      </c>
      <c r="E117" s="477">
        <v>0</v>
      </c>
      <c r="F117" s="477">
        <v>0</v>
      </c>
      <c r="G117" s="477">
        <v>0</v>
      </c>
      <c r="H117" s="477">
        <v>1</v>
      </c>
      <c r="I117" s="477">
        <v>1</v>
      </c>
      <c r="J117" s="140">
        <f t="shared" si="5"/>
        <v>2</v>
      </c>
      <c r="K117" s="140">
        <f t="shared" si="6"/>
        <v>1</v>
      </c>
      <c r="L117" s="477">
        <f t="shared" si="7"/>
        <v>45</v>
      </c>
      <c r="M117" s="477" t="s">
        <v>1157</v>
      </c>
      <c r="N117" s="477" t="s">
        <v>1158</v>
      </c>
    </row>
    <row r="118" spans="1:26" s="36" customFormat="1" x14ac:dyDescent="0.4">
      <c r="A118" s="16">
        <v>150636</v>
      </c>
      <c r="B118" s="230">
        <v>45</v>
      </c>
      <c r="C118" s="16">
        <f t="shared" si="4"/>
        <v>225</v>
      </c>
      <c r="D118" s="230">
        <v>0</v>
      </c>
      <c r="E118" s="230">
        <v>0</v>
      </c>
      <c r="F118" s="230">
        <v>0</v>
      </c>
      <c r="G118" s="230">
        <v>0</v>
      </c>
      <c r="H118" s="230">
        <v>0</v>
      </c>
      <c r="I118" s="230">
        <v>0</v>
      </c>
      <c r="J118" s="26">
        <f t="shared" si="5"/>
        <v>0</v>
      </c>
      <c r="K118" s="26">
        <f t="shared" si="6"/>
        <v>0</v>
      </c>
      <c r="L118" s="230">
        <f t="shared" si="7"/>
        <v>0</v>
      </c>
      <c r="M118" s="230" t="s">
        <v>1161</v>
      </c>
      <c r="N118" s="230" t="s">
        <v>1162</v>
      </c>
    </row>
    <row r="119" spans="1:26" s="36" customFormat="1" x14ac:dyDescent="0.4">
      <c r="A119" s="16">
        <v>150637</v>
      </c>
      <c r="B119" s="315">
        <v>45</v>
      </c>
      <c r="C119" s="16">
        <f t="shared" si="4"/>
        <v>225</v>
      </c>
      <c r="D119" s="315">
        <v>0</v>
      </c>
      <c r="E119" s="315">
        <v>0</v>
      </c>
      <c r="F119" s="315">
        <v>0</v>
      </c>
      <c r="G119" s="315">
        <v>0</v>
      </c>
      <c r="H119" s="315">
        <v>0</v>
      </c>
      <c r="I119" s="315">
        <v>0</v>
      </c>
      <c r="J119" s="26">
        <f t="shared" si="5"/>
        <v>0</v>
      </c>
      <c r="K119" s="26">
        <f t="shared" si="6"/>
        <v>0</v>
      </c>
      <c r="L119" s="315">
        <f t="shared" si="7"/>
        <v>0</v>
      </c>
      <c r="M119" s="315" t="s">
        <v>1159</v>
      </c>
      <c r="N119" s="315" t="s">
        <v>1160</v>
      </c>
    </row>
    <row r="120" spans="1:26" s="36" customFormat="1" x14ac:dyDescent="0.4">
      <c r="A120" s="16">
        <v>150638</v>
      </c>
      <c r="B120" s="291">
        <v>45</v>
      </c>
      <c r="C120" s="16">
        <f t="shared" si="4"/>
        <v>225</v>
      </c>
      <c r="D120" s="291">
        <v>0</v>
      </c>
      <c r="E120" s="291">
        <v>0</v>
      </c>
      <c r="F120" s="291">
        <v>0</v>
      </c>
      <c r="G120" s="291">
        <v>0</v>
      </c>
      <c r="H120" s="291">
        <v>0</v>
      </c>
      <c r="I120" s="291">
        <v>0</v>
      </c>
      <c r="J120" s="26">
        <f t="shared" si="5"/>
        <v>0</v>
      </c>
      <c r="K120" s="26">
        <f t="shared" si="6"/>
        <v>0</v>
      </c>
      <c r="L120" s="291">
        <f t="shared" si="7"/>
        <v>0</v>
      </c>
      <c r="M120" s="291" t="s">
        <v>1163</v>
      </c>
      <c r="N120" s="291" t="s">
        <v>1164</v>
      </c>
    </row>
    <row r="121" spans="1:26" s="36" customFormat="1" x14ac:dyDescent="0.4">
      <c r="A121" s="1">
        <v>150639</v>
      </c>
      <c r="B121" s="477">
        <v>60</v>
      </c>
      <c r="C121" s="1">
        <f t="shared" si="4"/>
        <v>300</v>
      </c>
      <c r="D121" s="477">
        <v>0</v>
      </c>
      <c r="E121" s="477">
        <v>0</v>
      </c>
      <c r="F121" s="477">
        <v>0</v>
      </c>
      <c r="G121" s="477">
        <v>0</v>
      </c>
      <c r="H121" s="477">
        <v>0</v>
      </c>
      <c r="I121" s="477">
        <v>0</v>
      </c>
      <c r="J121" s="140">
        <f t="shared" si="5"/>
        <v>0</v>
      </c>
      <c r="K121" s="140">
        <f t="shared" si="6"/>
        <v>0</v>
      </c>
      <c r="L121" s="477">
        <f t="shared" si="7"/>
        <v>0</v>
      </c>
      <c r="M121" s="477" t="s">
        <v>1165</v>
      </c>
      <c r="N121" s="477" t="s">
        <v>1166</v>
      </c>
    </row>
    <row r="122" spans="1:26" s="36" customFormat="1" x14ac:dyDescent="0.4">
      <c r="A122" s="16">
        <v>150640</v>
      </c>
      <c r="B122" s="342">
        <v>45</v>
      </c>
      <c r="C122" s="16">
        <f t="shared" si="4"/>
        <v>225</v>
      </c>
      <c r="D122" s="342">
        <v>0</v>
      </c>
      <c r="E122" s="342">
        <v>0</v>
      </c>
      <c r="F122" s="342">
        <v>0</v>
      </c>
      <c r="G122" s="342">
        <v>0</v>
      </c>
      <c r="H122" s="342">
        <v>0</v>
      </c>
      <c r="I122" s="342">
        <v>0</v>
      </c>
      <c r="J122" s="26">
        <f t="shared" si="5"/>
        <v>0</v>
      </c>
      <c r="K122" s="26">
        <f t="shared" si="6"/>
        <v>0</v>
      </c>
      <c r="L122" s="342">
        <f t="shared" si="7"/>
        <v>0</v>
      </c>
      <c r="M122" s="342" t="s">
        <v>1165</v>
      </c>
      <c r="N122" s="342" t="s">
        <v>1166</v>
      </c>
    </row>
    <row r="123" spans="1:26" s="36" customFormat="1" x14ac:dyDescent="0.4">
      <c r="A123" s="1">
        <v>150641</v>
      </c>
      <c r="B123" s="477">
        <v>45</v>
      </c>
      <c r="C123" s="1">
        <f t="shared" si="4"/>
        <v>225</v>
      </c>
      <c r="D123" s="477">
        <v>0</v>
      </c>
      <c r="E123" s="477">
        <v>0</v>
      </c>
      <c r="F123" s="477">
        <v>0</v>
      </c>
      <c r="G123" s="477">
        <v>0</v>
      </c>
      <c r="H123" s="477">
        <v>0</v>
      </c>
      <c r="I123" s="477">
        <v>1</v>
      </c>
      <c r="J123" s="140">
        <f t="shared" si="5"/>
        <v>1</v>
      </c>
      <c r="K123" s="140">
        <f t="shared" si="6"/>
        <v>0</v>
      </c>
      <c r="L123" s="477">
        <f t="shared" si="7"/>
        <v>0</v>
      </c>
      <c r="M123" s="477" t="s">
        <v>1165</v>
      </c>
      <c r="N123" s="477" t="s">
        <v>1166</v>
      </c>
    </row>
    <row r="124" spans="1:26" s="36" customFormat="1" x14ac:dyDescent="0.4">
      <c r="A124" s="16">
        <v>150642</v>
      </c>
      <c r="B124" s="479">
        <v>60</v>
      </c>
      <c r="C124" s="16">
        <f t="shared" si="4"/>
        <v>300</v>
      </c>
      <c r="D124" s="479">
        <v>0</v>
      </c>
      <c r="E124" s="479">
        <v>0</v>
      </c>
      <c r="F124" s="479">
        <v>0</v>
      </c>
      <c r="G124" s="479">
        <v>0</v>
      </c>
      <c r="H124" s="479">
        <v>0</v>
      </c>
      <c r="I124" s="479">
        <v>0</v>
      </c>
      <c r="J124" s="26">
        <f t="shared" si="5"/>
        <v>0</v>
      </c>
      <c r="K124" s="26">
        <f t="shared" si="6"/>
        <v>0</v>
      </c>
      <c r="L124" s="479">
        <f t="shared" si="7"/>
        <v>0</v>
      </c>
      <c r="M124" s="479" t="s">
        <v>1165</v>
      </c>
      <c r="N124" s="479" t="s">
        <v>1166</v>
      </c>
    </row>
    <row r="125" spans="1:26" s="36" customFormat="1" x14ac:dyDescent="0.4">
      <c r="A125" s="1">
        <v>150643</v>
      </c>
      <c r="B125" s="492">
        <v>45</v>
      </c>
      <c r="C125" s="1">
        <f t="shared" si="4"/>
        <v>225</v>
      </c>
      <c r="D125" s="492">
        <v>0</v>
      </c>
      <c r="E125" s="492">
        <v>0</v>
      </c>
      <c r="F125" s="492">
        <v>0</v>
      </c>
      <c r="G125" s="492">
        <v>0</v>
      </c>
      <c r="H125" s="492">
        <v>0</v>
      </c>
      <c r="I125" s="492">
        <v>1</v>
      </c>
      <c r="J125" s="140">
        <f t="shared" si="5"/>
        <v>1</v>
      </c>
      <c r="K125" s="140">
        <f t="shared" si="6"/>
        <v>0</v>
      </c>
      <c r="L125" s="492">
        <f t="shared" si="7"/>
        <v>0</v>
      </c>
      <c r="M125" s="492" t="s">
        <v>1171</v>
      </c>
      <c r="N125" s="492" t="s">
        <v>1172</v>
      </c>
    </row>
    <row r="126" spans="1:26" s="36" customFormat="1" x14ac:dyDescent="0.4">
      <c r="A126" s="16">
        <v>150644</v>
      </c>
      <c r="B126" s="276">
        <v>60</v>
      </c>
      <c r="C126" s="16">
        <f t="shared" si="4"/>
        <v>300</v>
      </c>
      <c r="D126" s="276">
        <v>0</v>
      </c>
      <c r="E126" s="276">
        <v>0</v>
      </c>
      <c r="F126" s="276">
        <v>0</v>
      </c>
      <c r="G126" s="276">
        <v>0</v>
      </c>
      <c r="H126" s="276">
        <v>0</v>
      </c>
      <c r="I126" s="276">
        <v>0</v>
      </c>
      <c r="J126" s="26">
        <f t="shared" si="5"/>
        <v>0</v>
      </c>
      <c r="K126" s="26">
        <f t="shared" si="6"/>
        <v>0</v>
      </c>
      <c r="L126" s="276">
        <f t="shared" si="7"/>
        <v>0</v>
      </c>
      <c r="M126" s="276" t="s">
        <v>1171</v>
      </c>
      <c r="N126" s="276" t="s">
        <v>1172</v>
      </c>
    </row>
    <row r="127" spans="1:26" s="36" customFormat="1" x14ac:dyDescent="0.4">
      <c r="A127" s="1">
        <v>150645</v>
      </c>
      <c r="B127" s="492">
        <v>45</v>
      </c>
      <c r="C127" s="1">
        <f t="shared" si="4"/>
        <v>225</v>
      </c>
      <c r="D127" s="492">
        <v>0</v>
      </c>
      <c r="E127" s="492">
        <v>0</v>
      </c>
      <c r="F127" s="492">
        <v>0</v>
      </c>
      <c r="G127" s="492">
        <v>0</v>
      </c>
      <c r="H127" s="492">
        <v>0</v>
      </c>
      <c r="I127" s="492">
        <v>1</v>
      </c>
      <c r="J127" s="140">
        <f t="shared" si="5"/>
        <v>1</v>
      </c>
      <c r="K127" s="140">
        <f t="shared" si="6"/>
        <v>0</v>
      </c>
      <c r="L127" s="492">
        <f t="shared" si="7"/>
        <v>0</v>
      </c>
      <c r="M127" s="492" t="s">
        <v>1167</v>
      </c>
      <c r="N127" s="492" t="s">
        <v>1168</v>
      </c>
      <c r="O127" s="2040"/>
      <c r="P127" s="2040"/>
      <c r="Q127" s="2040"/>
      <c r="R127" s="2040"/>
      <c r="S127" s="2040"/>
      <c r="T127" s="2040"/>
      <c r="U127" s="2040"/>
      <c r="V127" s="2040"/>
      <c r="W127" s="2040"/>
      <c r="X127" s="2040"/>
      <c r="Y127" s="2040"/>
      <c r="Z127" s="2040"/>
    </row>
    <row r="128" spans="1:26" s="36" customFormat="1" x14ac:dyDescent="0.4">
      <c r="A128" s="16">
        <v>150646</v>
      </c>
      <c r="B128" s="483">
        <v>60</v>
      </c>
      <c r="C128" s="16">
        <f t="shared" si="4"/>
        <v>300</v>
      </c>
      <c r="D128" s="483">
        <v>0</v>
      </c>
      <c r="E128" s="483">
        <v>0</v>
      </c>
      <c r="F128" s="483">
        <v>0</v>
      </c>
      <c r="G128" s="483">
        <v>0</v>
      </c>
      <c r="H128" s="483">
        <v>0</v>
      </c>
      <c r="I128" s="483">
        <v>0</v>
      </c>
      <c r="J128" s="26">
        <f t="shared" si="5"/>
        <v>0</v>
      </c>
      <c r="K128" s="26">
        <f t="shared" si="6"/>
        <v>0</v>
      </c>
      <c r="L128" s="483">
        <f t="shared" si="7"/>
        <v>0</v>
      </c>
      <c r="M128" s="483" t="s">
        <v>1169</v>
      </c>
      <c r="N128" s="483" t="s">
        <v>1170</v>
      </c>
      <c r="O128" s="2040"/>
      <c r="P128" s="2040"/>
      <c r="Q128" s="2040"/>
      <c r="R128" s="2040"/>
      <c r="S128" s="2040"/>
      <c r="T128" s="2040"/>
      <c r="U128" s="2040"/>
      <c r="V128" s="2040"/>
      <c r="W128" s="2040"/>
      <c r="X128" s="2040"/>
      <c r="Y128" s="2040"/>
      <c r="Z128" s="2040"/>
    </row>
    <row r="129" spans="1:26" s="36" customFormat="1" x14ac:dyDescent="0.4">
      <c r="A129" s="16">
        <v>150647</v>
      </c>
      <c r="B129" s="284">
        <v>60</v>
      </c>
      <c r="C129" s="16">
        <f t="shared" si="4"/>
        <v>300</v>
      </c>
      <c r="D129" s="284">
        <v>0</v>
      </c>
      <c r="E129" s="284">
        <v>0</v>
      </c>
      <c r="F129" s="284">
        <v>0</v>
      </c>
      <c r="G129" s="284">
        <v>0</v>
      </c>
      <c r="H129" s="284">
        <v>0</v>
      </c>
      <c r="I129" s="284">
        <v>0</v>
      </c>
      <c r="J129" s="26">
        <f t="shared" si="5"/>
        <v>0</v>
      </c>
      <c r="K129" s="26">
        <f t="shared" si="6"/>
        <v>0</v>
      </c>
      <c r="L129" s="284">
        <f t="shared" si="7"/>
        <v>0</v>
      </c>
      <c r="M129" s="284" t="s">
        <v>1169</v>
      </c>
      <c r="N129" s="284" t="s">
        <v>1170</v>
      </c>
      <c r="O129" s="2040"/>
      <c r="P129" s="2040"/>
      <c r="Q129" s="2040"/>
      <c r="R129" s="2040"/>
      <c r="S129" s="2040"/>
      <c r="T129" s="2040"/>
      <c r="U129" s="2040"/>
      <c r="V129" s="2040"/>
      <c r="W129" s="2040"/>
      <c r="X129" s="2040"/>
      <c r="Y129" s="2040"/>
      <c r="Z129" s="2040"/>
    </row>
    <row r="130" spans="1:26" s="36" customFormat="1" x14ac:dyDescent="0.4">
      <c r="A130" s="1">
        <v>150648</v>
      </c>
      <c r="B130" s="492">
        <v>60</v>
      </c>
      <c r="C130" s="1">
        <f t="shared" si="4"/>
        <v>300</v>
      </c>
      <c r="D130" s="492">
        <v>0</v>
      </c>
      <c r="E130" s="492">
        <v>0</v>
      </c>
      <c r="F130" s="492">
        <v>0</v>
      </c>
      <c r="G130" s="492">
        <v>0</v>
      </c>
      <c r="H130" s="492">
        <v>0</v>
      </c>
      <c r="I130" s="492">
        <v>1</v>
      </c>
      <c r="J130" s="140">
        <f t="shared" si="5"/>
        <v>1</v>
      </c>
      <c r="K130" s="140">
        <f t="shared" si="6"/>
        <v>0</v>
      </c>
      <c r="L130" s="492">
        <f t="shared" si="7"/>
        <v>0</v>
      </c>
      <c r="M130" s="492" t="s">
        <v>1169</v>
      </c>
      <c r="N130" s="492" t="s">
        <v>1170</v>
      </c>
    </row>
    <row r="131" spans="1:26" s="36" customFormat="1" x14ac:dyDescent="0.4">
      <c r="A131" s="1">
        <v>150649</v>
      </c>
      <c r="B131" s="492">
        <v>45</v>
      </c>
      <c r="C131" s="1">
        <f t="shared" si="4"/>
        <v>225</v>
      </c>
      <c r="D131" s="492">
        <v>0</v>
      </c>
      <c r="E131" s="492">
        <v>0</v>
      </c>
      <c r="F131" s="492">
        <v>0</v>
      </c>
      <c r="G131" s="492">
        <v>1</v>
      </c>
      <c r="H131" s="492">
        <v>1</v>
      </c>
      <c r="I131" s="492">
        <v>1</v>
      </c>
      <c r="J131" s="140">
        <f t="shared" si="5"/>
        <v>3</v>
      </c>
      <c r="K131" s="140">
        <f t="shared" si="6"/>
        <v>2</v>
      </c>
      <c r="L131" s="492">
        <f t="shared" si="7"/>
        <v>90</v>
      </c>
      <c r="M131" s="492" t="s">
        <v>1169</v>
      </c>
      <c r="N131" s="492" t="s">
        <v>1170</v>
      </c>
    </row>
    <row r="132" spans="1:26" s="36" customFormat="1" x14ac:dyDescent="0.4">
      <c r="A132" s="18">
        <v>150650</v>
      </c>
      <c r="B132" s="19">
        <v>45</v>
      </c>
      <c r="C132" s="18">
        <f t="shared" si="4"/>
        <v>225</v>
      </c>
      <c r="D132" s="19">
        <v>0</v>
      </c>
      <c r="E132" s="19">
        <v>0</v>
      </c>
      <c r="F132" s="19">
        <v>0</v>
      </c>
      <c r="G132" s="19">
        <v>0</v>
      </c>
      <c r="H132" s="19">
        <v>0</v>
      </c>
      <c r="I132" s="19">
        <v>0</v>
      </c>
      <c r="J132" s="28">
        <f t="shared" si="5"/>
        <v>0</v>
      </c>
      <c r="K132" s="28">
        <f t="shared" si="6"/>
        <v>0</v>
      </c>
      <c r="L132" s="19">
        <f t="shared" si="7"/>
        <v>0</v>
      </c>
      <c r="M132" s="19" t="s">
        <v>1169</v>
      </c>
      <c r="N132" s="19" t="s">
        <v>1170</v>
      </c>
    </row>
    <row r="133" spans="1:26" s="36" customFormat="1" x14ac:dyDescent="0.4">
      <c r="A133" s="1">
        <v>150651</v>
      </c>
      <c r="B133" s="492">
        <v>45</v>
      </c>
      <c r="C133" s="1">
        <f t="shared" si="4"/>
        <v>225</v>
      </c>
      <c r="D133" s="492">
        <v>0</v>
      </c>
      <c r="E133" s="492">
        <v>0</v>
      </c>
      <c r="F133" s="492">
        <v>0</v>
      </c>
      <c r="G133" s="492">
        <v>0</v>
      </c>
      <c r="H133" s="492">
        <v>0</v>
      </c>
      <c r="I133" s="492">
        <v>1</v>
      </c>
      <c r="J133" s="140">
        <f t="shared" si="5"/>
        <v>1</v>
      </c>
      <c r="K133" s="140">
        <f t="shared" si="6"/>
        <v>0</v>
      </c>
      <c r="L133" s="492">
        <f t="shared" si="7"/>
        <v>0</v>
      </c>
      <c r="M133" s="492" t="s">
        <v>1173</v>
      </c>
      <c r="N133" s="492" t="s">
        <v>1174</v>
      </c>
    </row>
    <row r="134" spans="1:26" s="36" customFormat="1" x14ac:dyDescent="0.4">
      <c r="A134" s="16">
        <v>150652</v>
      </c>
      <c r="B134" s="319">
        <v>45</v>
      </c>
      <c r="C134" s="16">
        <f t="shared" si="4"/>
        <v>225</v>
      </c>
      <c r="D134" s="319">
        <v>0</v>
      </c>
      <c r="E134" s="319">
        <v>0</v>
      </c>
      <c r="F134" s="319">
        <v>0</v>
      </c>
      <c r="G134" s="319">
        <v>0</v>
      </c>
      <c r="H134" s="319">
        <v>0</v>
      </c>
      <c r="I134" s="319">
        <v>0</v>
      </c>
      <c r="J134" s="26">
        <f t="shared" si="5"/>
        <v>0</v>
      </c>
      <c r="K134" s="26">
        <f t="shared" si="6"/>
        <v>0</v>
      </c>
      <c r="L134" s="319">
        <f t="shared" si="7"/>
        <v>0</v>
      </c>
      <c r="M134" s="319" t="s">
        <v>1175</v>
      </c>
      <c r="N134" s="319" t="s">
        <v>1176</v>
      </c>
    </row>
    <row r="135" spans="1:26" s="36" customFormat="1" x14ac:dyDescent="0.4">
      <c r="A135" s="16">
        <v>150653</v>
      </c>
      <c r="B135" s="298">
        <v>45</v>
      </c>
      <c r="C135" s="16">
        <f t="shared" si="4"/>
        <v>225</v>
      </c>
      <c r="D135" s="298">
        <v>0</v>
      </c>
      <c r="E135" s="298">
        <v>0</v>
      </c>
      <c r="F135" s="298">
        <v>0</v>
      </c>
      <c r="G135" s="298">
        <v>0</v>
      </c>
      <c r="H135" s="298">
        <v>0</v>
      </c>
      <c r="I135" s="298">
        <v>0</v>
      </c>
      <c r="J135" s="26">
        <f t="shared" si="5"/>
        <v>0</v>
      </c>
      <c r="K135" s="26">
        <f t="shared" si="6"/>
        <v>0</v>
      </c>
      <c r="L135" s="298">
        <f t="shared" si="7"/>
        <v>0</v>
      </c>
      <c r="M135" s="298" t="s">
        <v>1177</v>
      </c>
      <c r="N135" s="298" t="s">
        <v>1178</v>
      </c>
    </row>
    <row r="136" spans="1:26" s="36" customFormat="1" x14ac:dyDescent="0.4">
      <c r="A136" s="1">
        <v>150654</v>
      </c>
      <c r="B136" s="492">
        <v>45</v>
      </c>
      <c r="C136" s="1">
        <f t="shared" si="4"/>
        <v>225</v>
      </c>
      <c r="D136" s="492">
        <v>0</v>
      </c>
      <c r="E136" s="492">
        <v>0</v>
      </c>
      <c r="F136" s="492">
        <v>0</v>
      </c>
      <c r="G136" s="492">
        <v>0</v>
      </c>
      <c r="H136" s="492">
        <v>1</v>
      </c>
      <c r="I136" s="492">
        <v>1</v>
      </c>
      <c r="J136" s="140">
        <f t="shared" si="5"/>
        <v>2</v>
      </c>
      <c r="K136" s="140">
        <f t="shared" si="6"/>
        <v>1</v>
      </c>
      <c r="L136" s="492">
        <f t="shared" si="7"/>
        <v>45</v>
      </c>
      <c r="M136" s="492" t="s">
        <v>1179</v>
      </c>
      <c r="N136" s="492" t="s">
        <v>1180</v>
      </c>
    </row>
    <row r="137" spans="1:26" s="36" customFormat="1" x14ac:dyDescent="0.4">
      <c r="A137" s="16">
        <v>150655</v>
      </c>
      <c r="B137" s="304">
        <v>60</v>
      </c>
      <c r="C137" s="16">
        <f t="shared" ref="C137:C200" si="8">SUM(B137*5)</f>
        <v>300</v>
      </c>
      <c r="D137" s="304">
        <v>0</v>
      </c>
      <c r="E137" s="304">
        <v>0</v>
      </c>
      <c r="F137" s="304">
        <v>0</v>
      </c>
      <c r="G137" s="304">
        <v>0</v>
      </c>
      <c r="H137" s="304">
        <v>0</v>
      </c>
      <c r="I137" s="304">
        <v>0</v>
      </c>
      <c r="J137" s="26">
        <f t="shared" ref="J137:J200" si="9">SUM(D137:I137)</f>
        <v>0</v>
      </c>
      <c r="K137" s="26">
        <f t="shared" ref="K137:K200" si="10">SUM(D137:H137)</f>
        <v>0</v>
      </c>
      <c r="L137" s="304">
        <f t="shared" ref="L137:L200" si="11">B137*K137</f>
        <v>0</v>
      </c>
      <c r="M137" s="304" t="s">
        <v>1179</v>
      </c>
      <c r="N137" s="304" t="s">
        <v>1180</v>
      </c>
    </row>
    <row r="138" spans="1:26" s="36" customFormat="1" x14ac:dyDescent="0.4">
      <c r="A138" s="1">
        <v>150656</v>
      </c>
      <c r="B138" s="492">
        <v>60</v>
      </c>
      <c r="C138" s="1">
        <f t="shared" si="8"/>
        <v>300</v>
      </c>
      <c r="D138" s="492">
        <v>0</v>
      </c>
      <c r="E138" s="492">
        <v>0</v>
      </c>
      <c r="F138" s="492">
        <v>0</v>
      </c>
      <c r="G138" s="492">
        <v>0</v>
      </c>
      <c r="H138" s="492">
        <v>1</v>
      </c>
      <c r="I138" s="492">
        <v>1</v>
      </c>
      <c r="J138" s="140">
        <f t="shared" si="9"/>
        <v>2</v>
      </c>
      <c r="K138" s="140">
        <f t="shared" si="10"/>
        <v>1</v>
      </c>
      <c r="L138" s="492">
        <f t="shared" si="11"/>
        <v>60</v>
      </c>
      <c r="M138" s="492" t="s">
        <v>1181</v>
      </c>
      <c r="N138" s="492" t="s">
        <v>1182</v>
      </c>
    </row>
    <row r="139" spans="1:26" s="36" customFormat="1" x14ac:dyDescent="0.4">
      <c r="A139" s="16">
        <v>150657</v>
      </c>
      <c r="B139" s="467">
        <v>45</v>
      </c>
      <c r="C139" s="16">
        <f t="shared" si="8"/>
        <v>225</v>
      </c>
      <c r="D139" s="467">
        <v>0</v>
      </c>
      <c r="E139" s="467">
        <v>0</v>
      </c>
      <c r="F139" s="467">
        <v>0</v>
      </c>
      <c r="G139" s="467">
        <v>0</v>
      </c>
      <c r="H139" s="467">
        <v>0</v>
      </c>
      <c r="I139" s="467">
        <v>0</v>
      </c>
      <c r="J139" s="26">
        <f t="shared" si="9"/>
        <v>0</v>
      </c>
      <c r="K139" s="26">
        <f t="shared" si="10"/>
        <v>0</v>
      </c>
      <c r="L139" s="467">
        <f t="shared" si="11"/>
        <v>0</v>
      </c>
      <c r="M139" s="467" t="s">
        <v>1183</v>
      </c>
      <c r="N139" s="467" t="s">
        <v>1184</v>
      </c>
    </row>
    <row r="140" spans="1:26" s="36" customFormat="1" x14ac:dyDescent="0.4">
      <c r="A140" s="16">
        <v>150658</v>
      </c>
      <c r="B140" s="230">
        <v>45</v>
      </c>
      <c r="C140" s="16">
        <f t="shared" si="8"/>
        <v>225</v>
      </c>
      <c r="D140" s="230">
        <v>0</v>
      </c>
      <c r="E140" s="230">
        <v>0</v>
      </c>
      <c r="F140" s="230">
        <v>0</v>
      </c>
      <c r="G140" s="230">
        <v>0</v>
      </c>
      <c r="H140" s="230">
        <v>0</v>
      </c>
      <c r="I140" s="230">
        <v>0</v>
      </c>
      <c r="J140" s="26">
        <f t="shared" si="9"/>
        <v>0</v>
      </c>
      <c r="K140" s="26">
        <f t="shared" si="10"/>
        <v>0</v>
      </c>
      <c r="L140" s="230">
        <f t="shared" si="11"/>
        <v>0</v>
      </c>
      <c r="M140" s="230" t="s">
        <v>1183</v>
      </c>
      <c r="N140" s="230" t="s">
        <v>1184</v>
      </c>
    </row>
    <row r="141" spans="1:26" s="36" customFormat="1" x14ac:dyDescent="0.4">
      <c r="A141" s="16">
        <v>150659</v>
      </c>
      <c r="B141" s="268">
        <v>60</v>
      </c>
      <c r="C141" s="16">
        <f t="shared" si="8"/>
        <v>300</v>
      </c>
      <c r="D141" s="268">
        <v>0</v>
      </c>
      <c r="E141" s="268">
        <v>0</v>
      </c>
      <c r="F141" s="268">
        <v>0</v>
      </c>
      <c r="G141" s="268">
        <v>0</v>
      </c>
      <c r="H141" s="268">
        <v>0</v>
      </c>
      <c r="I141" s="268">
        <v>0</v>
      </c>
      <c r="J141" s="26">
        <f t="shared" si="9"/>
        <v>0</v>
      </c>
      <c r="K141" s="26">
        <f t="shared" si="10"/>
        <v>0</v>
      </c>
      <c r="L141" s="268">
        <f t="shared" si="11"/>
        <v>0</v>
      </c>
      <c r="M141" s="268" t="s">
        <v>1183</v>
      </c>
      <c r="N141" s="268" t="s">
        <v>1184</v>
      </c>
    </row>
    <row r="142" spans="1:26" s="36" customFormat="1" x14ac:dyDescent="0.4">
      <c r="A142" s="1">
        <v>150660</v>
      </c>
      <c r="B142" s="492">
        <v>60</v>
      </c>
      <c r="C142" s="1">
        <f t="shared" si="8"/>
        <v>300</v>
      </c>
      <c r="D142" s="492">
        <v>0</v>
      </c>
      <c r="E142" s="492">
        <v>1</v>
      </c>
      <c r="F142" s="492">
        <v>1</v>
      </c>
      <c r="G142" s="492">
        <v>1</v>
      </c>
      <c r="H142" s="492">
        <v>1</v>
      </c>
      <c r="I142" s="492">
        <v>1</v>
      </c>
      <c r="J142" s="140">
        <f t="shared" si="9"/>
        <v>5</v>
      </c>
      <c r="K142" s="140">
        <f t="shared" si="10"/>
        <v>4</v>
      </c>
      <c r="L142" s="492">
        <f t="shared" si="11"/>
        <v>240</v>
      </c>
      <c r="M142" s="492" t="s">
        <v>1183</v>
      </c>
      <c r="N142" s="492" t="s">
        <v>1184</v>
      </c>
    </row>
    <row r="143" spans="1:26" s="36" customFormat="1" x14ac:dyDescent="0.4">
      <c r="A143" s="1">
        <v>150661</v>
      </c>
      <c r="B143" s="492">
        <v>45</v>
      </c>
      <c r="C143" s="1">
        <f t="shared" si="8"/>
        <v>225</v>
      </c>
      <c r="D143" s="492">
        <v>0</v>
      </c>
      <c r="E143" s="492">
        <v>0</v>
      </c>
      <c r="F143" s="492">
        <v>0</v>
      </c>
      <c r="G143" s="492">
        <v>0</v>
      </c>
      <c r="H143" s="492">
        <v>0</v>
      </c>
      <c r="I143" s="492">
        <v>1</v>
      </c>
      <c r="J143" s="140">
        <f t="shared" si="9"/>
        <v>1</v>
      </c>
      <c r="K143" s="140">
        <f t="shared" si="10"/>
        <v>0</v>
      </c>
      <c r="L143" s="492">
        <f t="shared" si="11"/>
        <v>0</v>
      </c>
      <c r="M143" s="492" t="s">
        <v>1183</v>
      </c>
      <c r="N143" s="492" t="s">
        <v>1184</v>
      </c>
    </row>
    <row r="144" spans="1:26" s="36" customFormat="1" x14ac:dyDescent="0.4">
      <c r="A144" s="16">
        <v>150662</v>
      </c>
      <c r="B144" s="334">
        <v>60</v>
      </c>
      <c r="C144" s="16">
        <f t="shared" si="8"/>
        <v>300</v>
      </c>
      <c r="D144" s="334">
        <v>0</v>
      </c>
      <c r="E144" s="334">
        <v>0</v>
      </c>
      <c r="F144" s="334">
        <v>0</v>
      </c>
      <c r="G144" s="334">
        <v>0</v>
      </c>
      <c r="H144" s="334">
        <v>0</v>
      </c>
      <c r="I144" s="334">
        <v>0</v>
      </c>
      <c r="J144" s="26">
        <f t="shared" si="9"/>
        <v>0</v>
      </c>
      <c r="K144" s="26">
        <f t="shared" si="10"/>
        <v>0</v>
      </c>
      <c r="L144" s="334">
        <f t="shared" si="11"/>
        <v>0</v>
      </c>
      <c r="M144" s="334" t="s">
        <v>1186</v>
      </c>
      <c r="N144" s="334" t="s">
        <v>1187</v>
      </c>
    </row>
    <row r="145" spans="1:19" s="36" customFormat="1" x14ac:dyDescent="0.4">
      <c r="A145" s="16">
        <v>150663</v>
      </c>
      <c r="B145" s="489">
        <v>45</v>
      </c>
      <c r="C145" s="16">
        <f t="shared" si="8"/>
        <v>225</v>
      </c>
      <c r="D145" s="489">
        <v>0</v>
      </c>
      <c r="E145" s="489">
        <v>0</v>
      </c>
      <c r="F145" s="489">
        <v>0</v>
      </c>
      <c r="G145" s="489">
        <v>0</v>
      </c>
      <c r="H145" s="489">
        <v>0</v>
      </c>
      <c r="I145" s="489">
        <v>0</v>
      </c>
      <c r="J145" s="26">
        <f t="shared" si="9"/>
        <v>0</v>
      </c>
      <c r="K145" s="26">
        <f t="shared" si="10"/>
        <v>0</v>
      </c>
      <c r="L145" s="489">
        <f t="shared" si="11"/>
        <v>0</v>
      </c>
      <c r="M145" s="489" t="s">
        <v>1188</v>
      </c>
      <c r="N145" s="489" t="s">
        <v>1189</v>
      </c>
    </row>
    <row r="146" spans="1:19" s="36" customFormat="1" x14ac:dyDescent="0.4">
      <c r="A146" s="1">
        <v>150664</v>
      </c>
      <c r="B146" s="497">
        <v>60</v>
      </c>
      <c r="C146" s="1">
        <f t="shared" si="8"/>
        <v>300</v>
      </c>
      <c r="D146" s="497">
        <v>0</v>
      </c>
      <c r="E146" s="497">
        <v>1</v>
      </c>
      <c r="F146" s="497">
        <v>1</v>
      </c>
      <c r="G146" s="497">
        <v>1</v>
      </c>
      <c r="H146" s="497">
        <v>1</v>
      </c>
      <c r="I146" s="497">
        <v>1</v>
      </c>
      <c r="J146" s="140">
        <f t="shared" si="9"/>
        <v>5</v>
      </c>
      <c r="K146" s="140">
        <f t="shared" si="10"/>
        <v>4</v>
      </c>
      <c r="L146" s="497">
        <f t="shared" si="11"/>
        <v>240</v>
      </c>
      <c r="M146" s="497" t="s">
        <v>1190</v>
      </c>
      <c r="N146" s="497" t="s">
        <v>1191</v>
      </c>
    </row>
    <row r="147" spans="1:19" s="36" customFormat="1" x14ac:dyDescent="0.4">
      <c r="A147" s="16">
        <v>150665</v>
      </c>
      <c r="B147" s="402">
        <v>60</v>
      </c>
      <c r="C147" s="16">
        <f t="shared" si="8"/>
        <v>300</v>
      </c>
      <c r="D147" s="402">
        <v>0</v>
      </c>
      <c r="E147" s="402">
        <v>0</v>
      </c>
      <c r="F147" s="402">
        <v>0</v>
      </c>
      <c r="G147" s="402">
        <v>0</v>
      </c>
      <c r="H147" s="402">
        <v>0</v>
      </c>
      <c r="I147" s="402">
        <v>0</v>
      </c>
      <c r="J147" s="26">
        <f t="shared" si="9"/>
        <v>0</v>
      </c>
      <c r="K147" s="26">
        <f t="shared" si="10"/>
        <v>0</v>
      </c>
      <c r="L147" s="402">
        <f t="shared" si="11"/>
        <v>0</v>
      </c>
      <c r="M147" s="402" t="s">
        <v>1192</v>
      </c>
      <c r="N147" s="402" t="s">
        <v>1193</v>
      </c>
    </row>
    <row r="148" spans="1:19" s="36" customFormat="1" x14ac:dyDescent="0.4">
      <c r="A148" s="16">
        <v>150666</v>
      </c>
      <c r="B148" s="227">
        <v>45</v>
      </c>
      <c r="C148" s="16">
        <f t="shared" si="8"/>
        <v>225</v>
      </c>
      <c r="D148" s="227">
        <v>0</v>
      </c>
      <c r="E148" s="227">
        <v>0</v>
      </c>
      <c r="F148" s="227">
        <v>0</v>
      </c>
      <c r="G148" s="227">
        <v>0</v>
      </c>
      <c r="H148" s="227">
        <v>0</v>
      </c>
      <c r="I148" s="227">
        <v>0</v>
      </c>
      <c r="J148" s="26">
        <f t="shared" si="9"/>
        <v>0</v>
      </c>
      <c r="K148" s="26">
        <f t="shared" si="10"/>
        <v>0</v>
      </c>
      <c r="L148" s="227">
        <f t="shared" si="11"/>
        <v>0</v>
      </c>
      <c r="M148" s="227" t="s">
        <v>1192</v>
      </c>
      <c r="N148" s="227" t="s">
        <v>1193</v>
      </c>
    </row>
    <row r="149" spans="1:19" s="36" customFormat="1" x14ac:dyDescent="0.4">
      <c r="A149" s="16">
        <v>150667</v>
      </c>
      <c r="B149" s="498">
        <v>45</v>
      </c>
      <c r="C149" s="16">
        <f t="shared" si="8"/>
        <v>225</v>
      </c>
      <c r="D149" s="498">
        <v>0</v>
      </c>
      <c r="E149" s="498">
        <v>0</v>
      </c>
      <c r="F149" s="498">
        <v>0</v>
      </c>
      <c r="G149" s="498">
        <v>0</v>
      </c>
      <c r="H149" s="498">
        <v>0</v>
      </c>
      <c r="I149" s="498">
        <v>0</v>
      </c>
      <c r="J149" s="499">
        <f t="shared" si="9"/>
        <v>0</v>
      </c>
      <c r="K149" s="499">
        <f t="shared" si="10"/>
        <v>0</v>
      </c>
      <c r="L149" s="498">
        <f t="shared" si="11"/>
        <v>0</v>
      </c>
      <c r="M149" s="498" t="s">
        <v>1195</v>
      </c>
      <c r="N149" s="498" t="s">
        <v>1196</v>
      </c>
    </row>
    <row r="150" spans="1:19" s="36" customFormat="1" x14ac:dyDescent="0.4">
      <c r="A150" s="16">
        <v>150668</v>
      </c>
      <c r="B150" s="293">
        <v>60</v>
      </c>
      <c r="C150" s="16">
        <f t="shared" si="8"/>
        <v>300</v>
      </c>
      <c r="D150" s="293">
        <v>0</v>
      </c>
      <c r="E150" s="293">
        <v>0</v>
      </c>
      <c r="F150" s="293">
        <v>0</v>
      </c>
      <c r="G150" s="293">
        <v>0</v>
      </c>
      <c r="H150" s="293">
        <v>0</v>
      </c>
      <c r="I150" s="293">
        <v>0</v>
      </c>
      <c r="J150" s="26">
        <f t="shared" si="9"/>
        <v>0</v>
      </c>
      <c r="K150" s="26">
        <f t="shared" si="10"/>
        <v>0</v>
      </c>
      <c r="L150" s="293">
        <f t="shared" si="11"/>
        <v>0</v>
      </c>
      <c r="M150" s="293" t="s">
        <v>1195</v>
      </c>
      <c r="N150" s="293" t="s">
        <v>1196</v>
      </c>
    </row>
    <row r="151" spans="1:19" s="36" customFormat="1" x14ac:dyDescent="0.4">
      <c r="A151" s="16">
        <v>150669</v>
      </c>
      <c r="B151" s="508">
        <v>60</v>
      </c>
      <c r="C151" s="16">
        <f t="shared" si="8"/>
        <v>300</v>
      </c>
      <c r="D151" s="508">
        <v>0</v>
      </c>
      <c r="E151" s="508">
        <v>0</v>
      </c>
      <c r="F151" s="508">
        <v>0</v>
      </c>
      <c r="G151" s="508">
        <v>0</v>
      </c>
      <c r="H151" s="508">
        <v>0</v>
      </c>
      <c r="I151" s="508">
        <v>0</v>
      </c>
      <c r="J151" s="509">
        <f t="shared" si="9"/>
        <v>0</v>
      </c>
      <c r="K151" s="509">
        <f t="shared" si="10"/>
        <v>0</v>
      </c>
      <c r="L151" s="508">
        <f t="shared" si="11"/>
        <v>0</v>
      </c>
      <c r="M151" s="508" t="s">
        <v>1195</v>
      </c>
      <c r="N151" s="508" t="s">
        <v>1196</v>
      </c>
      <c r="S151" s="36" t="s">
        <v>154</v>
      </c>
    </row>
    <row r="152" spans="1:19" s="36" customFormat="1" x14ac:dyDescent="0.4">
      <c r="A152" s="16">
        <v>150670</v>
      </c>
      <c r="B152" s="229">
        <v>45</v>
      </c>
      <c r="C152" s="16">
        <f t="shared" si="8"/>
        <v>225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6">
        <f t="shared" si="9"/>
        <v>0</v>
      </c>
      <c r="K152" s="26">
        <f t="shared" si="10"/>
        <v>0</v>
      </c>
      <c r="L152" s="229">
        <f t="shared" si="11"/>
        <v>0</v>
      </c>
      <c r="M152" s="229" t="s">
        <v>1197</v>
      </c>
      <c r="N152" s="229" t="s">
        <v>1198</v>
      </c>
    </row>
    <row r="153" spans="1:19" s="36" customFormat="1" x14ac:dyDescent="0.4">
      <c r="A153" s="16">
        <v>150671</v>
      </c>
      <c r="B153" s="290">
        <v>60</v>
      </c>
      <c r="C153" s="16">
        <f t="shared" si="8"/>
        <v>300</v>
      </c>
      <c r="D153" s="290">
        <v>0</v>
      </c>
      <c r="E153" s="290">
        <v>0</v>
      </c>
      <c r="F153" s="290">
        <v>0</v>
      </c>
      <c r="G153" s="290">
        <v>0</v>
      </c>
      <c r="H153" s="290">
        <v>0</v>
      </c>
      <c r="I153" s="290">
        <v>0</v>
      </c>
      <c r="J153" s="26">
        <f t="shared" si="9"/>
        <v>0</v>
      </c>
      <c r="K153" s="26">
        <f t="shared" si="10"/>
        <v>0</v>
      </c>
      <c r="L153" s="290">
        <f t="shared" si="11"/>
        <v>0</v>
      </c>
      <c r="M153" s="290" t="s">
        <v>1197</v>
      </c>
      <c r="N153" s="290" t="s">
        <v>1198</v>
      </c>
    </row>
    <row r="154" spans="1:19" s="36" customFormat="1" x14ac:dyDescent="0.4">
      <c r="A154" s="16">
        <v>150672</v>
      </c>
      <c r="B154" s="441">
        <v>60</v>
      </c>
      <c r="C154" s="16">
        <f t="shared" si="8"/>
        <v>300</v>
      </c>
      <c r="D154" s="441">
        <v>0</v>
      </c>
      <c r="E154" s="441">
        <v>0</v>
      </c>
      <c r="F154" s="441">
        <v>0</v>
      </c>
      <c r="G154" s="441">
        <v>0</v>
      </c>
      <c r="H154" s="441">
        <v>0</v>
      </c>
      <c r="I154" s="441">
        <v>0</v>
      </c>
      <c r="J154" s="26">
        <f t="shared" si="9"/>
        <v>0</v>
      </c>
      <c r="K154" s="26">
        <f t="shared" si="10"/>
        <v>0</v>
      </c>
      <c r="L154" s="441">
        <f t="shared" si="11"/>
        <v>0</v>
      </c>
      <c r="M154" s="441" t="s">
        <v>1199</v>
      </c>
      <c r="N154" s="441" t="s">
        <v>1200</v>
      </c>
    </row>
    <row r="155" spans="1:19" s="36" customFormat="1" x14ac:dyDescent="0.4">
      <c r="A155" s="16">
        <v>150673</v>
      </c>
      <c r="B155" s="257">
        <v>45</v>
      </c>
      <c r="C155" s="16">
        <f t="shared" si="8"/>
        <v>225</v>
      </c>
      <c r="D155" s="257">
        <v>0</v>
      </c>
      <c r="E155" s="257">
        <v>0</v>
      </c>
      <c r="F155" s="257">
        <v>0</v>
      </c>
      <c r="G155" s="257">
        <v>0</v>
      </c>
      <c r="H155" s="257">
        <v>0</v>
      </c>
      <c r="I155" s="257">
        <v>0</v>
      </c>
      <c r="J155" s="26">
        <f t="shared" si="9"/>
        <v>0</v>
      </c>
      <c r="K155" s="26">
        <f t="shared" si="10"/>
        <v>0</v>
      </c>
      <c r="L155" s="257">
        <f t="shared" si="11"/>
        <v>0</v>
      </c>
      <c r="M155" s="257" t="s">
        <v>1199</v>
      </c>
      <c r="N155" s="257" t="s">
        <v>1200</v>
      </c>
    </row>
    <row r="156" spans="1:19" s="36" customFormat="1" x14ac:dyDescent="0.4">
      <c r="A156" s="16">
        <v>150674</v>
      </c>
      <c r="B156" s="284">
        <v>45</v>
      </c>
      <c r="C156" s="16">
        <f t="shared" si="8"/>
        <v>225</v>
      </c>
      <c r="D156" s="284">
        <v>0</v>
      </c>
      <c r="E156" s="284">
        <v>0</v>
      </c>
      <c r="F156" s="284">
        <v>0</v>
      </c>
      <c r="G156" s="284">
        <v>0</v>
      </c>
      <c r="H156" s="284">
        <v>0</v>
      </c>
      <c r="I156" s="284">
        <v>0</v>
      </c>
      <c r="J156" s="26">
        <f t="shared" si="9"/>
        <v>0</v>
      </c>
      <c r="K156" s="26">
        <f t="shared" si="10"/>
        <v>0</v>
      </c>
      <c r="L156" s="284">
        <f t="shared" si="11"/>
        <v>0</v>
      </c>
      <c r="M156" s="284" t="s">
        <v>1201</v>
      </c>
      <c r="N156" s="284" t="s">
        <v>1202</v>
      </c>
    </row>
    <row r="157" spans="1:19" s="36" customFormat="1" x14ac:dyDescent="0.4">
      <c r="A157" s="16">
        <v>150675</v>
      </c>
      <c r="B157" s="269">
        <v>50</v>
      </c>
      <c r="C157" s="16">
        <f t="shared" si="8"/>
        <v>250</v>
      </c>
      <c r="D157" s="269">
        <v>0</v>
      </c>
      <c r="E157" s="269">
        <v>0</v>
      </c>
      <c r="F157" s="269">
        <v>0</v>
      </c>
      <c r="G157" s="269">
        <v>0</v>
      </c>
      <c r="H157" s="269">
        <v>0</v>
      </c>
      <c r="I157" s="269">
        <v>0</v>
      </c>
      <c r="J157" s="26">
        <f t="shared" si="9"/>
        <v>0</v>
      </c>
      <c r="K157" s="26">
        <f t="shared" si="10"/>
        <v>0</v>
      </c>
      <c r="L157" s="269">
        <f t="shared" si="11"/>
        <v>0</v>
      </c>
      <c r="M157" s="269" t="s">
        <v>1203</v>
      </c>
      <c r="N157" s="269" t="s">
        <v>1204</v>
      </c>
    </row>
    <row r="158" spans="1:19" s="36" customFormat="1" x14ac:dyDescent="0.4">
      <c r="A158" s="16">
        <v>150676</v>
      </c>
      <c r="B158" s="230">
        <v>60</v>
      </c>
      <c r="C158" s="16">
        <f t="shared" si="8"/>
        <v>300</v>
      </c>
      <c r="D158" s="230">
        <v>0</v>
      </c>
      <c r="E158" s="230">
        <v>0</v>
      </c>
      <c r="F158" s="230">
        <v>0</v>
      </c>
      <c r="G158" s="230">
        <v>0</v>
      </c>
      <c r="H158" s="230">
        <v>0</v>
      </c>
      <c r="I158" s="230">
        <v>0</v>
      </c>
      <c r="J158" s="26">
        <f t="shared" si="9"/>
        <v>0</v>
      </c>
      <c r="K158" s="26">
        <f t="shared" si="10"/>
        <v>0</v>
      </c>
      <c r="L158" s="230">
        <f t="shared" si="11"/>
        <v>0</v>
      </c>
      <c r="M158" s="230" t="s">
        <v>1203</v>
      </c>
      <c r="N158" s="230" t="s">
        <v>1204</v>
      </c>
    </row>
    <row r="159" spans="1:19" s="36" customFormat="1" x14ac:dyDescent="0.4">
      <c r="A159" s="16">
        <v>150677</v>
      </c>
      <c r="B159" s="281">
        <v>45</v>
      </c>
      <c r="C159" s="16">
        <f t="shared" si="8"/>
        <v>225</v>
      </c>
      <c r="D159" s="281">
        <v>0</v>
      </c>
      <c r="E159" s="281">
        <v>0</v>
      </c>
      <c r="F159" s="281">
        <v>0</v>
      </c>
      <c r="G159" s="281">
        <v>0</v>
      </c>
      <c r="H159" s="281">
        <v>0</v>
      </c>
      <c r="I159" s="281">
        <v>0</v>
      </c>
      <c r="J159" s="26">
        <f t="shared" si="9"/>
        <v>0</v>
      </c>
      <c r="K159" s="26">
        <f t="shared" si="10"/>
        <v>0</v>
      </c>
      <c r="L159" s="281">
        <f t="shared" si="11"/>
        <v>0</v>
      </c>
      <c r="M159" s="281" t="s">
        <v>1205</v>
      </c>
      <c r="N159" s="281" t="s">
        <v>1206</v>
      </c>
    </row>
    <row r="160" spans="1:19" s="36" customFormat="1" x14ac:dyDescent="0.4">
      <c r="A160" s="1">
        <v>150678</v>
      </c>
      <c r="B160" s="691">
        <v>45</v>
      </c>
      <c r="C160" s="1">
        <f t="shared" si="8"/>
        <v>225</v>
      </c>
      <c r="D160" s="691">
        <v>0</v>
      </c>
      <c r="E160" s="691">
        <v>0</v>
      </c>
      <c r="F160" s="691">
        <v>0</v>
      </c>
      <c r="G160" s="691">
        <v>0</v>
      </c>
      <c r="H160" s="691">
        <v>0</v>
      </c>
      <c r="I160" s="691">
        <v>0</v>
      </c>
      <c r="J160" s="140">
        <f t="shared" si="9"/>
        <v>0</v>
      </c>
      <c r="K160" s="140">
        <f t="shared" si="10"/>
        <v>0</v>
      </c>
      <c r="L160" s="691">
        <f t="shared" si="11"/>
        <v>0</v>
      </c>
      <c r="M160" s="691" t="s">
        <v>1205</v>
      </c>
      <c r="N160" s="691" t="s">
        <v>1206</v>
      </c>
      <c r="O160" s="36" t="s">
        <v>2597</v>
      </c>
    </row>
    <row r="161" spans="1:20" s="36" customFormat="1" x14ac:dyDescent="0.4">
      <c r="A161" s="16">
        <v>150679</v>
      </c>
      <c r="B161" s="692">
        <v>45</v>
      </c>
      <c r="C161" s="16">
        <f t="shared" si="8"/>
        <v>225</v>
      </c>
      <c r="D161" s="692">
        <v>0</v>
      </c>
      <c r="E161" s="692">
        <v>0</v>
      </c>
      <c r="F161" s="692">
        <v>0</v>
      </c>
      <c r="G161" s="692">
        <v>0</v>
      </c>
      <c r="H161" s="692">
        <v>0</v>
      </c>
      <c r="I161" s="692">
        <v>0</v>
      </c>
      <c r="J161" s="693">
        <f t="shared" si="9"/>
        <v>0</v>
      </c>
      <c r="K161" s="693">
        <f t="shared" si="10"/>
        <v>0</v>
      </c>
      <c r="L161" s="692">
        <f t="shared" si="11"/>
        <v>0</v>
      </c>
      <c r="M161" s="692" t="s">
        <v>1207</v>
      </c>
      <c r="N161" s="692" t="s">
        <v>1208</v>
      </c>
    </row>
    <row r="162" spans="1:20" s="36" customFormat="1" x14ac:dyDescent="0.4">
      <c r="A162" s="16">
        <v>150680</v>
      </c>
      <c r="B162" s="361">
        <v>45</v>
      </c>
      <c r="C162" s="16">
        <f t="shared" si="8"/>
        <v>225</v>
      </c>
      <c r="D162" s="361">
        <v>0</v>
      </c>
      <c r="E162" s="361">
        <v>0</v>
      </c>
      <c r="F162" s="361">
        <v>0</v>
      </c>
      <c r="G162" s="361">
        <v>0</v>
      </c>
      <c r="H162" s="361">
        <v>0</v>
      </c>
      <c r="I162" s="361">
        <v>0</v>
      </c>
      <c r="J162" s="26">
        <f t="shared" si="9"/>
        <v>0</v>
      </c>
      <c r="K162" s="26">
        <f t="shared" si="10"/>
        <v>0</v>
      </c>
      <c r="L162" s="361">
        <f t="shared" si="11"/>
        <v>0</v>
      </c>
      <c r="M162" s="361" t="s">
        <v>1209</v>
      </c>
      <c r="N162" s="361" t="s">
        <v>1210</v>
      </c>
    </row>
    <row r="163" spans="1:20" s="36" customFormat="1" x14ac:dyDescent="0.4">
      <c r="A163" s="16">
        <v>150681</v>
      </c>
      <c r="B163" s="351">
        <v>45</v>
      </c>
      <c r="C163" s="16">
        <f t="shared" si="8"/>
        <v>225</v>
      </c>
      <c r="D163" s="351">
        <v>0</v>
      </c>
      <c r="E163" s="351">
        <v>0</v>
      </c>
      <c r="F163" s="351">
        <v>0</v>
      </c>
      <c r="G163" s="351">
        <v>0</v>
      </c>
      <c r="H163" s="351">
        <v>0</v>
      </c>
      <c r="I163" s="351">
        <v>0</v>
      </c>
      <c r="J163" s="26">
        <f t="shared" si="9"/>
        <v>0</v>
      </c>
      <c r="K163" s="26">
        <f t="shared" si="10"/>
        <v>0</v>
      </c>
      <c r="L163" s="351">
        <f t="shared" si="11"/>
        <v>0</v>
      </c>
      <c r="M163" s="351" t="s">
        <v>1211</v>
      </c>
      <c r="N163" s="351" t="s">
        <v>1212</v>
      </c>
    </row>
    <row r="164" spans="1:20" s="36" customFormat="1" x14ac:dyDescent="0.4">
      <c r="A164" s="16">
        <v>150682</v>
      </c>
      <c r="B164" s="422">
        <v>45</v>
      </c>
      <c r="C164" s="16">
        <f t="shared" si="8"/>
        <v>225</v>
      </c>
      <c r="D164" s="422">
        <v>0</v>
      </c>
      <c r="E164" s="422">
        <v>0</v>
      </c>
      <c r="F164" s="422">
        <v>0</v>
      </c>
      <c r="G164" s="422">
        <v>0</v>
      </c>
      <c r="H164" s="422">
        <v>0</v>
      </c>
      <c r="I164" s="422">
        <v>0</v>
      </c>
      <c r="J164" s="26">
        <f t="shared" si="9"/>
        <v>0</v>
      </c>
      <c r="K164" s="26">
        <f t="shared" si="10"/>
        <v>0</v>
      </c>
      <c r="L164" s="422">
        <f t="shared" si="11"/>
        <v>0</v>
      </c>
      <c r="M164" s="422" t="s">
        <v>1211</v>
      </c>
      <c r="N164" s="422" t="s">
        <v>1212</v>
      </c>
    </row>
    <row r="165" spans="1:20" s="36" customFormat="1" x14ac:dyDescent="0.4">
      <c r="A165" s="16">
        <v>150683</v>
      </c>
      <c r="B165" s="692">
        <v>45</v>
      </c>
      <c r="C165" s="16">
        <f t="shared" si="8"/>
        <v>225</v>
      </c>
      <c r="D165" s="692">
        <v>0</v>
      </c>
      <c r="E165" s="692">
        <v>0</v>
      </c>
      <c r="F165" s="692">
        <v>0</v>
      </c>
      <c r="G165" s="692">
        <v>0</v>
      </c>
      <c r="H165" s="692">
        <v>0</v>
      </c>
      <c r="I165" s="692">
        <v>0</v>
      </c>
      <c r="J165" s="693">
        <f t="shared" si="9"/>
        <v>0</v>
      </c>
      <c r="K165" s="693">
        <f t="shared" si="10"/>
        <v>0</v>
      </c>
      <c r="L165" s="692">
        <f t="shared" si="11"/>
        <v>0</v>
      </c>
      <c r="M165" s="692" t="s">
        <v>1213</v>
      </c>
      <c r="N165" s="692" t="s">
        <v>1214</v>
      </c>
    </row>
    <row r="166" spans="1:20" s="36" customFormat="1" x14ac:dyDescent="0.4">
      <c r="A166" s="16">
        <v>150684</v>
      </c>
      <c r="B166" s="481">
        <v>84</v>
      </c>
      <c r="C166" s="16">
        <f t="shared" si="8"/>
        <v>420</v>
      </c>
      <c r="D166" s="481">
        <v>0</v>
      </c>
      <c r="E166" s="481">
        <v>0</v>
      </c>
      <c r="F166" s="481">
        <v>0</v>
      </c>
      <c r="G166" s="481">
        <v>0</v>
      </c>
      <c r="H166" s="481">
        <v>0</v>
      </c>
      <c r="I166" s="481">
        <v>0</v>
      </c>
      <c r="J166" s="26">
        <f t="shared" si="9"/>
        <v>0</v>
      </c>
      <c r="K166" s="26">
        <f t="shared" si="10"/>
        <v>0</v>
      </c>
      <c r="L166" s="481">
        <f t="shared" si="11"/>
        <v>0</v>
      </c>
      <c r="M166" s="481" t="s">
        <v>1215</v>
      </c>
      <c r="N166" s="481" t="s">
        <v>1216</v>
      </c>
    </row>
    <row r="167" spans="1:20" s="36" customFormat="1" x14ac:dyDescent="0.4">
      <c r="A167" s="1">
        <v>150685</v>
      </c>
      <c r="B167" s="691">
        <v>45</v>
      </c>
      <c r="C167" s="1">
        <f t="shared" si="8"/>
        <v>225</v>
      </c>
      <c r="D167" s="691">
        <v>0</v>
      </c>
      <c r="E167" s="691">
        <v>0</v>
      </c>
      <c r="F167" s="691">
        <v>0</v>
      </c>
      <c r="G167" s="691">
        <v>0</v>
      </c>
      <c r="H167" s="691">
        <v>1</v>
      </c>
      <c r="I167" s="691">
        <v>1</v>
      </c>
      <c r="J167" s="140">
        <f t="shared" si="9"/>
        <v>2</v>
      </c>
      <c r="K167" s="140">
        <f t="shared" si="10"/>
        <v>1</v>
      </c>
      <c r="L167" s="691">
        <f t="shared" si="11"/>
        <v>45</v>
      </c>
      <c r="M167" s="691" t="s">
        <v>1215</v>
      </c>
      <c r="N167" s="691" t="s">
        <v>1216</v>
      </c>
    </row>
    <row r="168" spans="1:20" s="36" customFormat="1" x14ac:dyDescent="0.4">
      <c r="A168" s="16">
        <v>150686</v>
      </c>
      <c r="B168" s="362">
        <v>45</v>
      </c>
      <c r="C168" s="16">
        <f t="shared" si="8"/>
        <v>225</v>
      </c>
      <c r="D168" s="362">
        <v>0</v>
      </c>
      <c r="E168" s="362">
        <v>0</v>
      </c>
      <c r="F168" s="362">
        <v>0</v>
      </c>
      <c r="G168" s="362">
        <v>0</v>
      </c>
      <c r="H168" s="362">
        <v>0</v>
      </c>
      <c r="I168" s="362">
        <v>0</v>
      </c>
      <c r="J168" s="26">
        <f t="shared" si="9"/>
        <v>0</v>
      </c>
      <c r="K168" s="26">
        <f t="shared" si="10"/>
        <v>0</v>
      </c>
      <c r="L168" s="362">
        <f t="shared" si="11"/>
        <v>0</v>
      </c>
      <c r="M168" s="362" t="s">
        <v>1217</v>
      </c>
      <c r="N168" s="362" t="s">
        <v>1218</v>
      </c>
    </row>
    <row r="169" spans="1:20" s="36" customFormat="1" x14ac:dyDescent="0.4">
      <c r="A169" s="1">
        <v>150687</v>
      </c>
      <c r="B169" s="691">
        <v>60</v>
      </c>
      <c r="C169" s="1">
        <f t="shared" si="8"/>
        <v>300</v>
      </c>
      <c r="D169" s="691">
        <v>0</v>
      </c>
      <c r="E169" s="691">
        <v>0</v>
      </c>
      <c r="F169" s="691">
        <v>0</v>
      </c>
      <c r="G169" s="691">
        <v>0</v>
      </c>
      <c r="H169" s="691">
        <v>0</v>
      </c>
      <c r="I169" s="691">
        <v>1</v>
      </c>
      <c r="J169" s="140">
        <f t="shared" si="9"/>
        <v>1</v>
      </c>
      <c r="K169" s="140">
        <f t="shared" si="10"/>
        <v>0</v>
      </c>
      <c r="L169" s="691">
        <f t="shared" si="11"/>
        <v>0</v>
      </c>
      <c r="M169" s="691" t="s">
        <v>1219</v>
      </c>
      <c r="N169" s="691" t="s">
        <v>1220</v>
      </c>
    </row>
    <row r="170" spans="1:20" s="36" customFormat="1" x14ac:dyDescent="0.4">
      <c r="A170" s="16">
        <v>150688</v>
      </c>
      <c r="B170" s="293">
        <v>45</v>
      </c>
      <c r="C170" s="16">
        <f t="shared" si="8"/>
        <v>225</v>
      </c>
      <c r="D170" s="293">
        <v>0</v>
      </c>
      <c r="E170" s="293">
        <v>0</v>
      </c>
      <c r="F170" s="293">
        <v>0</v>
      </c>
      <c r="G170" s="293">
        <v>0</v>
      </c>
      <c r="H170" s="293">
        <v>0</v>
      </c>
      <c r="I170" s="293">
        <v>0</v>
      </c>
      <c r="J170" s="26">
        <f t="shared" si="9"/>
        <v>0</v>
      </c>
      <c r="K170" s="26">
        <f t="shared" si="10"/>
        <v>0</v>
      </c>
      <c r="L170" s="293">
        <f t="shared" si="11"/>
        <v>0</v>
      </c>
      <c r="M170" s="293" t="s">
        <v>1219</v>
      </c>
      <c r="N170" s="293" t="s">
        <v>1220</v>
      </c>
    </row>
    <row r="171" spans="1:20" s="36" customFormat="1" x14ac:dyDescent="0.4">
      <c r="A171" s="16">
        <v>150689</v>
      </c>
      <c r="B171" s="504">
        <v>45</v>
      </c>
      <c r="C171" s="16">
        <f t="shared" si="8"/>
        <v>225</v>
      </c>
      <c r="D171" s="504">
        <v>0</v>
      </c>
      <c r="E171" s="504">
        <v>0</v>
      </c>
      <c r="F171" s="504">
        <v>0</v>
      </c>
      <c r="G171" s="504">
        <v>0</v>
      </c>
      <c r="H171" s="504">
        <v>0</v>
      </c>
      <c r="I171" s="504">
        <v>0</v>
      </c>
      <c r="J171" s="505">
        <f t="shared" si="9"/>
        <v>0</v>
      </c>
      <c r="K171" s="505">
        <f t="shared" si="10"/>
        <v>0</v>
      </c>
      <c r="L171" s="504">
        <f t="shared" si="11"/>
        <v>0</v>
      </c>
      <c r="M171" s="504" t="s">
        <v>1219</v>
      </c>
      <c r="N171" s="504" t="s">
        <v>1220</v>
      </c>
    </row>
    <row r="172" spans="1:20" s="36" customFormat="1" x14ac:dyDescent="0.4">
      <c r="A172" s="16">
        <v>150690</v>
      </c>
      <c r="B172" s="398">
        <v>45</v>
      </c>
      <c r="C172" s="16">
        <f t="shared" si="8"/>
        <v>225</v>
      </c>
      <c r="D172" s="398">
        <v>0</v>
      </c>
      <c r="E172" s="398">
        <v>0</v>
      </c>
      <c r="F172" s="398">
        <v>0</v>
      </c>
      <c r="G172" s="398">
        <v>0</v>
      </c>
      <c r="H172" s="398">
        <v>0</v>
      </c>
      <c r="I172" s="398">
        <v>0</v>
      </c>
      <c r="J172" s="26">
        <f t="shared" si="9"/>
        <v>0</v>
      </c>
      <c r="K172" s="26">
        <f t="shared" si="10"/>
        <v>0</v>
      </c>
      <c r="L172" s="398">
        <f t="shared" si="11"/>
        <v>0</v>
      </c>
      <c r="M172" s="398" t="s">
        <v>1221</v>
      </c>
      <c r="N172" s="398" t="s">
        <v>1222</v>
      </c>
    </row>
    <row r="173" spans="1:20" s="36" customFormat="1" x14ac:dyDescent="0.4">
      <c r="A173" s="16">
        <v>150691</v>
      </c>
      <c r="B173" s="216">
        <v>45</v>
      </c>
      <c r="C173" s="16">
        <f t="shared" si="8"/>
        <v>225</v>
      </c>
      <c r="D173" s="216">
        <v>0</v>
      </c>
      <c r="E173" s="216">
        <v>0</v>
      </c>
      <c r="F173" s="216">
        <v>0</v>
      </c>
      <c r="G173" s="216">
        <v>0</v>
      </c>
      <c r="H173" s="216">
        <v>0</v>
      </c>
      <c r="I173" s="216">
        <v>0</v>
      </c>
      <c r="J173" s="26">
        <f t="shared" si="9"/>
        <v>0</v>
      </c>
      <c r="K173" s="26">
        <f t="shared" si="10"/>
        <v>0</v>
      </c>
      <c r="L173" s="216">
        <f t="shared" si="11"/>
        <v>0</v>
      </c>
      <c r="M173" s="216" t="s">
        <v>1221</v>
      </c>
      <c r="N173" s="216" t="s">
        <v>1222</v>
      </c>
      <c r="T173" s="36" t="s">
        <v>154</v>
      </c>
    </row>
    <row r="174" spans="1:20" s="36" customFormat="1" x14ac:dyDescent="0.4">
      <c r="A174" s="1">
        <v>150692</v>
      </c>
      <c r="B174" s="691">
        <v>45</v>
      </c>
      <c r="C174" s="1">
        <f t="shared" si="8"/>
        <v>225</v>
      </c>
      <c r="D174" s="691">
        <v>0</v>
      </c>
      <c r="E174" s="691">
        <v>0</v>
      </c>
      <c r="F174" s="691">
        <v>0</v>
      </c>
      <c r="G174" s="691">
        <v>0</v>
      </c>
      <c r="H174" s="691">
        <v>0</v>
      </c>
      <c r="I174" s="691">
        <v>1</v>
      </c>
      <c r="J174" s="140">
        <f t="shared" si="9"/>
        <v>1</v>
      </c>
      <c r="K174" s="140">
        <f t="shared" si="10"/>
        <v>0</v>
      </c>
      <c r="L174" s="691">
        <f t="shared" si="11"/>
        <v>0</v>
      </c>
      <c r="M174" s="691" t="s">
        <v>1223</v>
      </c>
      <c r="N174" s="691" t="s">
        <v>1226</v>
      </c>
    </row>
    <row r="175" spans="1:20" s="36" customFormat="1" x14ac:dyDescent="0.4">
      <c r="A175" s="1">
        <v>150693</v>
      </c>
      <c r="B175" s="691">
        <v>60</v>
      </c>
      <c r="C175" s="1">
        <f t="shared" si="8"/>
        <v>300</v>
      </c>
      <c r="D175" s="691">
        <v>0</v>
      </c>
      <c r="E175" s="691">
        <v>0</v>
      </c>
      <c r="F175" s="691">
        <v>0</v>
      </c>
      <c r="G175" s="691">
        <v>0</v>
      </c>
      <c r="H175" s="691">
        <v>0</v>
      </c>
      <c r="I175" s="691">
        <v>1</v>
      </c>
      <c r="J175" s="140">
        <f t="shared" si="9"/>
        <v>1</v>
      </c>
      <c r="K175" s="140">
        <f t="shared" si="10"/>
        <v>0</v>
      </c>
      <c r="L175" s="691">
        <f t="shared" si="11"/>
        <v>0</v>
      </c>
      <c r="M175" s="691" t="s">
        <v>1224</v>
      </c>
      <c r="N175" s="691" t="s">
        <v>1225</v>
      </c>
    </row>
    <row r="176" spans="1:20" s="36" customFormat="1" x14ac:dyDescent="0.4">
      <c r="A176" s="1">
        <v>150694</v>
      </c>
      <c r="B176" s="691">
        <v>60</v>
      </c>
      <c r="C176" s="1">
        <f t="shared" si="8"/>
        <v>300</v>
      </c>
      <c r="D176" s="691">
        <v>0</v>
      </c>
      <c r="E176" s="691">
        <v>1</v>
      </c>
      <c r="F176" s="691">
        <v>1</v>
      </c>
      <c r="G176" s="691">
        <v>1</v>
      </c>
      <c r="H176" s="691">
        <v>1</v>
      </c>
      <c r="I176" s="691">
        <v>1</v>
      </c>
      <c r="J176" s="140">
        <f t="shared" si="9"/>
        <v>5</v>
      </c>
      <c r="K176" s="140">
        <f t="shared" si="10"/>
        <v>4</v>
      </c>
      <c r="L176" s="691">
        <f t="shared" si="11"/>
        <v>240</v>
      </c>
      <c r="M176" s="691" t="s">
        <v>1224</v>
      </c>
      <c r="N176" s="691" t="s">
        <v>1225</v>
      </c>
    </row>
    <row r="177" spans="1:26" s="36" customFormat="1" x14ac:dyDescent="0.4">
      <c r="A177" s="16">
        <v>150695</v>
      </c>
      <c r="B177" s="442">
        <v>45</v>
      </c>
      <c r="C177" s="16">
        <f t="shared" si="8"/>
        <v>225</v>
      </c>
      <c r="D177" s="442">
        <v>0</v>
      </c>
      <c r="E177" s="442">
        <v>0</v>
      </c>
      <c r="F177" s="442">
        <v>0</v>
      </c>
      <c r="G177" s="442">
        <v>0</v>
      </c>
      <c r="H177" s="442">
        <v>0</v>
      </c>
      <c r="I177" s="442">
        <v>1</v>
      </c>
      <c r="J177" s="26">
        <f t="shared" si="9"/>
        <v>1</v>
      </c>
      <c r="K177" s="26">
        <f t="shared" si="10"/>
        <v>0</v>
      </c>
      <c r="L177" s="442">
        <f t="shared" si="11"/>
        <v>0</v>
      </c>
      <c r="M177" s="442" t="s">
        <v>1227</v>
      </c>
      <c r="N177" s="442" t="s">
        <v>1228</v>
      </c>
    </row>
    <row r="178" spans="1:26" s="36" customFormat="1" x14ac:dyDescent="0.4">
      <c r="A178" s="1">
        <v>150696</v>
      </c>
      <c r="B178" s="691">
        <v>45</v>
      </c>
      <c r="C178" s="1">
        <f t="shared" si="8"/>
        <v>225</v>
      </c>
      <c r="D178" s="691">
        <v>0</v>
      </c>
      <c r="E178" s="691">
        <v>0</v>
      </c>
      <c r="F178" s="691">
        <v>0</v>
      </c>
      <c r="G178" s="691">
        <v>0</v>
      </c>
      <c r="H178" s="691">
        <v>0</v>
      </c>
      <c r="I178" s="691">
        <v>1</v>
      </c>
      <c r="J178" s="140">
        <f t="shared" si="9"/>
        <v>1</v>
      </c>
      <c r="K178" s="140">
        <f t="shared" si="10"/>
        <v>0</v>
      </c>
      <c r="L178" s="691">
        <f t="shared" si="11"/>
        <v>0</v>
      </c>
      <c r="M178" s="691" t="s">
        <v>1229</v>
      </c>
      <c r="N178" s="691" t="s">
        <v>1230</v>
      </c>
    </row>
    <row r="179" spans="1:26" s="36" customFormat="1" x14ac:dyDescent="0.4">
      <c r="A179" s="16">
        <v>150697</v>
      </c>
      <c r="B179" s="357">
        <v>45</v>
      </c>
      <c r="C179" s="16">
        <f t="shared" si="8"/>
        <v>225</v>
      </c>
      <c r="D179" s="357">
        <v>0</v>
      </c>
      <c r="E179" s="357">
        <v>0</v>
      </c>
      <c r="F179" s="357">
        <v>0</v>
      </c>
      <c r="G179" s="357">
        <v>0</v>
      </c>
      <c r="H179" s="357">
        <v>0</v>
      </c>
      <c r="I179" s="357">
        <v>0</v>
      </c>
      <c r="J179" s="26">
        <f t="shared" si="9"/>
        <v>0</v>
      </c>
      <c r="K179" s="26">
        <f t="shared" si="10"/>
        <v>0</v>
      </c>
      <c r="L179" s="357">
        <f t="shared" si="11"/>
        <v>0</v>
      </c>
      <c r="M179" s="357" t="s">
        <v>1231</v>
      </c>
      <c r="N179" s="357" t="s">
        <v>1232</v>
      </c>
    </row>
    <row r="180" spans="1:26" s="36" customFormat="1" x14ac:dyDescent="0.4">
      <c r="A180" s="16">
        <v>150698</v>
      </c>
      <c r="B180" s="373">
        <v>60</v>
      </c>
      <c r="C180" s="16">
        <f t="shared" si="8"/>
        <v>300</v>
      </c>
      <c r="D180" s="373">
        <v>0</v>
      </c>
      <c r="E180" s="373">
        <v>0</v>
      </c>
      <c r="F180" s="373">
        <v>0</v>
      </c>
      <c r="G180" s="373">
        <v>0</v>
      </c>
      <c r="H180" s="373">
        <v>0</v>
      </c>
      <c r="I180" s="373">
        <v>0</v>
      </c>
      <c r="J180" s="26">
        <f t="shared" si="9"/>
        <v>0</v>
      </c>
      <c r="K180" s="26">
        <f t="shared" si="10"/>
        <v>0</v>
      </c>
      <c r="L180" s="373">
        <f t="shared" si="11"/>
        <v>0</v>
      </c>
      <c r="M180" s="373" t="s">
        <v>1231</v>
      </c>
      <c r="N180" s="373" t="s">
        <v>1232</v>
      </c>
    </row>
    <row r="181" spans="1:26" x14ac:dyDescent="0.4">
      <c r="A181" s="16">
        <v>150699</v>
      </c>
      <c r="B181" s="483">
        <v>45</v>
      </c>
      <c r="C181" s="16">
        <f t="shared" si="8"/>
        <v>225</v>
      </c>
      <c r="D181" s="483">
        <v>0</v>
      </c>
      <c r="E181" s="483">
        <v>0</v>
      </c>
      <c r="F181" s="483">
        <v>0</v>
      </c>
      <c r="G181" s="483">
        <v>0</v>
      </c>
      <c r="H181" s="483">
        <v>0</v>
      </c>
      <c r="I181" s="483">
        <v>0</v>
      </c>
      <c r="J181" s="26">
        <f t="shared" si="9"/>
        <v>0</v>
      </c>
      <c r="K181" s="26">
        <f t="shared" si="10"/>
        <v>0</v>
      </c>
      <c r="L181" s="483">
        <f t="shared" si="11"/>
        <v>0</v>
      </c>
      <c r="M181" s="483" t="s">
        <v>1233</v>
      </c>
      <c r="N181" s="483" t="s">
        <v>1234</v>
      </c>
      <c r="O181" s="36"/>
      <c r="P181" s="36" t="s">
        <v>1235</v>
      </c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x14ac:dyDescent="0.4">
      <c r="A182" s="16">
        <v>150700</v>
      </c>
      <c r="B182" s="426">
        <v>60</v>
      </c>
      <c r="C182" s="16">
        <f t="shared" si="8"/>
        <v>300</v>
      </c>
      <c r="D182" s="426">
        <v>0</v>
      </c>
      <c r="E182" s="426">
        <v>0</v>
      </c>
      <c r="F182" s="426">
        <v>0</v>
      </c>
      <c r="G182" s="426">
        <v>0</v>
      </c>
      <c r="H182" s="426">
        <v>0</v>
      </c>
      <c r="I182" s="426">
        <v>0</v>
      </c>
      <c r="J182" s="26">
        <f t="shared" si="9"/>
        <v>0</v>
      </c>
      <c r="K182" s="26">
        <f t="shared" si="10"/>
        <v>0</v>
      </c>
      <c r="L182" s="426">
        <f t="shared" si="11"/>
        <v>0</v>
      </c>
      <c r="M182" s="426" t="s">
        <v>1236</v>
      </c>
      <c r="N182" s="426" t="s">
        <v>1237</v>
      </c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x14ac:dyDescent="0.4">
      <c r="A183" s="16">
        <v>150701</v>
      </c>
      <c r="B183" s="281">
        <v>50</v>
      </c>
      <c r="C183" s="16">
        <f t="shared" si="8"/>
        <v>250</v>
      </c>
      <c r="D183" s="281">
        <v>0</v>
      </c>
      <c r="E183" s="281">
        <v>0</v>
      </c>
      <c r="F183" s="281">
        <v>0</v>
      </c>
      <c r="G183" s="281">
        <v>0</v>
      </c>
      <c r="H183" s="281">
        <v>0</v>
      </c>
      <c r="I183" s="281">
        <v>0</v>
      </c>
      <c r="J183" s="26">
        <f t="shared" si="9"/>
        <v>0</v>
      </c>
      <c r="K183" s="26">
        <f t="shared" si="10"/>
        <v>0</v>
      </c>
      <c r="L183" s="281">
        <f t="shared" si="11"/>
        <v>0</v>
      </c>
      <c r="M183" s="281" t="s">
        <v>1236</v>
      </c>
      <c r="N183" s="281" t="s">
        <v>1237</v>
      </c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x14ac:dyDescent="0.4">
      <c r="A184" s="1">
        <v>150702</v>
      </c>
      <c r="B184" s="691">
        <v>45</v>
      </c>
      <c r="C184" s="1">
        <f t="shared" si="8"/>
        <v>225</v>
      </c>
      <c r="D184" s="691">
        <v>0</v>
      </c>
      <c r="E184" s="691">
        <v>0</v>
      </c>
      <c r="F184" s="691">
        <v>0</v>
      </c>
      <c r="G184" s="691">
        <v>0</v>
      </c>
      <c r="H184" s="691">
        <v>0</v>
      </c>
      <c r="I184" s="691">
        <v>1</v>
      </c>
      <c r="J184" s="140">
        <f t="shared" si="9"/>
        <v>1</v>
      </c>
      <c r="K184" s="140">
        <f t="shared" si="10"/>
        <v>0</v>
      </c>
      <c r="L184" s="691">
        <f t="shared" si="11"/>
        <v>0</v>
      </c>
      <c r="M184" s="691" t="s">
        <v>1236</v>
      </c>
      <c r="N184" s="691" t="s">
        <v>1237</v>
      </c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x14ac:dyDescent="0.4">
      <c r="A185" s="16">
        <v>150703</v>
      </c>
      <c r="B185" s="464">
        <v>60</v>
      </c>
      <c r="C185" s="16">
        <f t="shared" si="8"/>
        <v>300</v>
      </c>
      <c r="D185" s="464">
        <v>0</v>
      </c>
      <c r="E185" s="464">
        <v>0</v>
      </c>
      <c r="F185" s="464">
        <v>0</v>
      </c>
      <c r="G185" s="464">
        <v>0</v>
      </c>
      <c r="H185" s="464">
        <v>0</v>
      </c>
      <c r="I185" s="464">
        <v>0</v>
      </c>
      <c r="J185" s="26">
        <f t="shared" si="9"/>
        <v>0</v>
      </c>
      <c r="K185" s="26">
        <f t="shared" si="10"/>
        <v>0</v>
      </c>
      <c r="L185" s="464">
        <f t="shared" si="11"/>
        <v>0</v>
      </c>
      <c r="M185" s="464" t="s">
        <v>1241</v>
      </c>
      <c r="N185" s="464" t="s">
        <v>1244</v>
      </c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x14ac:dyDescent="0.4">
      <c r="A186" s="1">
        <v>150704</v>
      </c>
      <c r="B186" s="691">
        <v>90</v>
      </c>
      <c r="C186" s="1">
        <f t="shared" si="8"/>
        <v>450</v>
      </c>
      <c r="D186" s="691">
        <v>0</v>
      </c>
      <c r="E186" s="691">
        <v>0</v>
      </c>
      <c r="F186" s="691">
        <v>0</v>
      </c>
      <c r="G186" s="691">
        <v>0</v>
      </c>
      <c r="H186" s="691">
        <v>0</v>
      </c>
      <c r="I186" s="691">
        <v>1</v>
      </c>
      <c r="J186" s="140">
        <f t="shared" si="9"/>
        <v>1</v>
      </c>
      <c r="K186" s="140">
        <f t="shared" si="10"/>
        <v>0</v>
      </c>
      <c r="L186" s="691">
        <f t="shared" si="11"/>
        <v>0</v>
      </c>
      <c r="M186" s="691" t="s">
        <v>1241</v>
      </c>
      <c r="N186" s="691" t="s">
        <v>1244</v>
      </c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x14ac:dyDescent="0.4">
      <c r="A187" s="1">
        <v>150705</v>
      </c>
      <c r="B187" s="691">
        <v>0</v>
      </c>
      <c r="C187" s="1">
        <f t="shared" si="8"/>
        <v>0</v>
      </c>
      <c r="D187" s="691">
        <v>0</v>
      </c>
      <c r="E187" s="691">
        <v>0</v>
      </c>
      <c r="F187" s="691">
        <v>0</v>
      </c>
      <c r="G187" s="691">
        <v>0</v>
      </c>
      <c r="H187" s="691">
        <v>0</v>
      </c>
      <c r="I187" s="691">
        <v>1</v>
      </c>
      <c r="J187" s="140">
        <f t="shared" si="9"/>
        <v>1</v>
      </c>
      <c r="K187" s="140">
        <f t="shared" si="10"/>
        <v>0</v>
      </c>
      <c r="L187" s="691">
        <f t="shared" si="11"/>
        <v>0</v>
      </c>
      <c r="M187" s="691" t="s">
        <v>1241</v>
      </c>
      <c r="N187" s="181" t="s">
        <v>1245</v>
      </c>
      <c r="O187" s="2047" t="s">
        <v>1238</v>
      </c>
      <c r="P187" s="2047"/>
      <c r="Q187" s="36" t="s">
        <v>1239</v>
      </c>
      <c r="R187" s="36"/>
      <c r="S187" s="36"/>
      <c r="T187" s="36" t="s">
        <v>1240</v>
      </c>
      <c r="U187" s="36"/>
      <c r="V187" s="36"/>
      <c r="W187" s="36" t="s">
        <v>1243</v>
      </c>
      <c r="X187" s="36"/>
      <c r="Y187" s="36"/>
      <c r="Z187" s="36"/>
    </row>
    <row r="188" spans="1:26" x14ac:dyDescent="0.4">
      <c r="A188" s="1">
        <v>150706</v>
      </c>
      <c r="B188" s="691">
        <v>0</v>
      </c>
      <c r="C188" s="1">
        <f t="shared" si="8"/>
        <v>0</v>
      </c>
      <c r="D188" s="691">
        <v>0</v>
      </c>
      <c r="E188" s="691">
        <v>0</v>
      </c>
      <c r="F188" s="691">
        <v>0</v>
      </c>
      <c r="G188" s="691">
        <v>0</v>
      </c>
      <c r="H188" s="691">
        <v>0</v>
      </c>
      <c r="I188" s="691">
        <v>1</v>
      </c>
      <c r="J188" s="140">
        <f t="shared" si="9"/>
        <v>1</v>
      </c>
      <c r="K188" s="140">
        <f t="shared" si="10"/>
        <v>0</v>
      </c>
      <c r="L188" s="691">
        <f t="shared" si="11"/>
        <v>0</v>
      </c>
      <c r="M188" s="691" t="s">
        <v>1241</v>
      </c>
      <c r="N188" s="181" t="s">
        <v>1245</v>
      </c>
      <c r="O188" s="2047" t="s">
        <v>1238</v>
      </c>
      <c r="P188" s="2047"/>
      <c r="Q188" s="36" t="s">
        <v>1239</v>
      </c>
      <c r="R188" s="36"/>
      <c r="S188" s="36"/>
      <c r="T188" s="36" t="s">
        <v>1240</v>
      </c>
      <c r="U188" s="36"/>
      <c r="V188" s="36"/>
      <c r="W188" s="36" t="s">
        <v>1242</v>
      </c>
      <c r="X188" s="36"/>
      <c r="Y188" s="36"/>
      <c r="Z188" s="36"/>
    </row>
    <row r="189" spans="1:26" x14ac:dyDescent="0.4">
      <c r="A189" s="16">
        <v>150707</v>
      </c>
      <c r="B189" s="255">
        <v>60</v>
      </c>
      <c r="C189" s="16">
        <f t="shared" si="8"/>
        <v>300</v>
      </c>
      <c r="D189" s="255">
        <v>0</v>
      </c>
      <c r="E189" s="255">
        <v>0</v>
      </c>
      <c r="F189" s="255">
        <v>0</v>
      </c>
      <c r="G189" s="255">
        <v>0</v>
      </c>
      <c r="H189" s="255">
        <v>0</v>
      </c>
      <c r="I189" s="255">
        <v>0</v>
      </c>
      <c r="J189" s="26">
        <f t="shared" si="9"/>
        <v>0</v>
      </c>
      <c r="K189" s="26">
        <f t="shared" si="10"/>
        <v>0</v>
      </c>
      <c r="L189" s="255">
        <f t="shared" si="11"/>
        <v>0</v>
      </c>
      <c r="M189" s="255" t="s">
        <v>1246</v>
      </c>
      <c r="N189" s="255" t="s">
        <v>1247</v>
      </c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x14ac:dyDescent="0.4">
      <c r="A190" s="1">
        <v>150708</v>
      </c>
      <c r="B190" s="691">
        <v>45</v>
      </c>
      <c r="C190" s="1">
        <f t="shared" si="8"/>
        <v>225</v>
      </c>
      <c r="D190" s="691">
        <v>0</v>
      </c>
      <c r="E190" s="691">
        <v>1</v>
      </c>
      <c r="F190" s="691">
        <v>1</v>
      </c>
      <c r="G190" s="691">
        <v>1</v>
      </c>
      <c r="H190" s="691">
        <v>1</v>
      </c>
      <c r="I190" s="691">
        <v>1</v>
      </c>
      <c r="J190" s="140">
        <f t="shared" si="9"/>
        <v>5</v>
      </c>
      <c r="K190" s="140">
        <f t="shared" si="10"/>
        <v>4</v>
      </c>
      <c r="L190" s="691">
        <f t="shared" si="11"/>
        <v>180</v>
      </c>
      <c r="M190" s="691" t="s">
        <v>1248</v>
      </c>
      <c r="N190" s="691" t="s">
        <v>1249</v>
      </c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x14ac:dyDescent="0.4">
      <c r="A191" s="16">
        <v>150709</v>
      </c>
      <c r="B191" s="368">
        <v>60</v>
      </c>
      <c r="C191" s="16">
        <f t="shared" si="8"/>
        <v>300</v>
      </c>
      <c r="D191" s="368">
        <v>0</v>
      </c>
      <c r="E191" s="368">
        <v>0</v>
      </c>
      <c r="F191" s="368">
        <v>0</v>
      </c>
      <c r="G191" s="368">
        <v>0</v>
      </c>
      <c r="H191" s="368">
        <v>0</v>
      </c>
      <c r="I191" s="368">
        <v>0</v>
      </c>
      <c r="J191" s="26">
        <f t="shared" si="9"/>
        <v>0</v>
      </c>
      <c r="K191" s="26">
        <f t="shared" si="10"/>
        <v>0</v>
      </c>
      <c r="L191" s="368">
        <f t="shared" si="11"/>
        <v>0</v>
      </c>
      <c r="M191" s="368" t="s">
        <v>1248</v>
      </c>
      <c r="N191" s="368" t="s">
        <v>1249</v>
      </c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x14ac:dyDescent="0.4">
      <c r="A192" s="16">
        <v>150710</v>
      </c>
      <c r="B192" s="313">
        <v>45</v>
      </c>
      <c r="C192" s="16">
        <f t="shared" si="8"/>
        <v>225</v>
      </c>
      <c r="D192" s="313">
        <v>0</v>
      </c>
      <c r="E192" s="313">
        <v>0</v>
      </c>
      <c r="F192" s="313">
        <v>0</v>
      </c>
      <c r="G192" s="313">
        <v>0</v>
      </c>
      <c r="H192" s="313">
        <v>0</v>
      </c>
      <c r="I192" s="313">
        <v>0</v>
      </c>
      <c r="J192" s="26">
        <f t="shared" si="9"/>
        <v>0</v>
      </c>
      <c r="K192" s="26">
        <f t="shared" si="10"/>
        <v>0</v>
      </c>
      <c r="L192" s="313">
        <f t="shared" si="11"/>
        <v>0</v>
      </c>
      <c r="M192" s="313" t="s">
        <v>1248</v>
      </c>
      <c r="N192" s="313" t="s">
        <v>1249</v>
      </c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x14ac:dyDescent="0.4">
      <c r="A193" s="16">
        <v>150711</v>
      </c>
      <c r="B193" s="535">
        <v>50</v>
      </c>
      <c r="C193" s="16">
        <f t="shared" si="8"/>
        <v>250</v>
      </c>
      <c r="D193" s="535">
        <v>0</v>
      </c>
      <c r="E193" s="535">
        <v>0</v>
      </c>
      <c r="F193" s="535">
        <v>0</v>
      </c>
      <c r="G193" s="535">
        <v>0</v>
      </c>
      <c r="H193" s="535">
        <v>0</v>
      </c>
      <c r="I193" s="535">
        <v>0</v>
      </c>
      <c r="J193" s="536">
        <f t="shared" si="9"/>
        <v>0</v>
      </c>
      <c r="K193" s="536">
        <f t="shared" si="10"/>
        <v>0</v>
      </c>
      <c r="L193" s="535">
        <f t="shared" si="11"/>
        <v>0</v>
      </c>
      <c r="M193" s="535" t="s">
        <v>1250</v>
      </c>
      <c r="N193" s="535" t="s">
        <v>1251</v>
      </c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x14ac:dyDescent="0.4">
      <c r="A194" s="16">
        <v>150712</v>
      </c>
      <c r="B194" s="397">
        <v>60</v>
      </c>
      <c r="C194" s="16">
        <f t="shared" si="8"/>
        <v>300</v>
      </c>
      <c r="D194" s="397">
        <v>0</v>
      </c>
      <c r="E194" s="397">
        <v>0</v>
      </c>
      <c r="F194" s="397">
        <v>0</v>
      </c>
      <c r="G194" s="397">
        <v>0</v>
      </c>
      <c r="H194" s="397">
        <v>0</v>
      </c>
      <c r="I194" s="397">
        <v>0</v>
      </c>
      <c r="J194" s="26">
        <f t="shared" si="9"/>
        <v>0</v>
      </c>
      <c r="K194" s="26">
        <f t="shared" si="10"/>
        <v>0</v>
      </c>
      <c r="L194" s="397">
        <f t="shared" si="11"/>
        <v>0</v>
      </c>
      <c r="M194" s="397" t="s">
        <v>1254</v>
      </c>
      <c r="N194" s="397" t="s">
        <v>1255</v>
      </c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x14ac:dyDescent="0.4">
      <c r="A195" s="1">
        <v>150713</v>
      </c>
      <c r="B195" s="691">
        <v>45</v>
      </c>
      <c r="C195" s="1">
        <f t="shared" si="8"/>
        <v>225</v>
      </c>
      <c r="D195" s="691">
        <v>0</v>
      </c>
      <c r="E195" s="691">
        <v>0</v>
      </c>
      <c r="F195" s="691">
        <v>0</v>
      </c>
      <c r="G195" s="691">
        <v>1</v>
      </c>
      <c r="H195" s="691">
        <v>1</v>
      </c>
      <c r="I195" s="691">
        <v>1</v>
      </c>
      <c r="J195" s="140">
        <f t="shared" si="9"/>
        <v>3</v>
      </c>
      <c r="K195" s="140">
        <f t="shared" si="10"/>
        <v>2</v>
      </c>
      <c r="L195" s="691">
        <f t="shared" si="11"/>
        <v>90</v>
      </c>
      <c r="M195" s="691" t="s">
        <v>1254</v>
      </c>
      <c r="N195" s="691" t="s">
        <v>1255</v>
      </c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x14ac:dyDescent="0.4">
      <c r="A196" s="16">
        <v>150714</v>
      </c>
      <c r="B196" s="216">
        <v>60</v>
      </c>
      <c r="C196" s="16">
        <v>60</v>
      </c>
      <c r="D196" s="216">
        <v>0</v>
      </c>
      <c r="E196" s="216"/>
      <c r="F196" s="216"/>
      <c r="G196" s="216"/>
      <c r="H196" s="216"/>
      <c r="I196" s="216"/>
      <c r="J196" s="26">
        <f t="shared" si="9"/>
        <v>0</v>
      </c>
      <c r="K196" s="26">
        <f t="shared" si="10"/>
        <v>0</v>
      </c>
      <c r="L196" s="216">
        <f t="shared" si="11"/>
        <v>0</v>
      </c>
      <c r="M196" s="216" t="s">
        <v>1254</v>
      </c>
      <c r="N196" s="216" t="s">
        <v>1256</v>
      </c>
      <c r="O196" s="16" t="s">
        <v>706</v>
      </c>
      <c r="P196" s="18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x14ac:dyDescent="0.4">
      <c r="A197" s="16">
        <v>150715</v>
      </c>
      <c r="B197" s="408">
        <v>60</v>
      </c>
      <c r="C197" s="16">
        <f t="shared" si="8"/>
        <v>300</v>
      </c>
      <c r="D197" s="408">
        <v>0</v>
      </c>
      <c r="E197" s="408">
        <v>0</v>
      </c>
      <c r="F197" s="408">
        <v>0</v>
      </c>
      <c r="G197" s="408">
        <v>0</v>
      </c>
      <c r="H197" s="408">
        <v>0</v>
      </c>
      <c r="I197" s="408">
        <v>0</v>
      </c>
      <c r="J197" s="26">
        <f t="shared" si="9"/>
        <v>0</v>
      </c>
      <c r="K197" s="26">
        <f t="shared" si="10"/>
        <v>0</v>
      </c>
      <c r="L197" s="408">
        <f t="shared" si="11"/>
        <v>0</v>
      </c>
      <c r="M197" s="408" t="s">
        <v>1254</v>
      </c>
      <c r="N197" s="408" t="s">
        <v>1256</v>
      </c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x14ac:dyDescent="0.4">
      <c r="A198" s="16">
        <v>150716</v>
      </c>
      <c r="B198" s="319">
        <v>60</v>
      </c>
      <c r="C198" s="16">
        <f t="shared" si="8"/>
        <v>300</v>
      </c>
      <c r="D198" s="319">
        <v>0</v>
      </c>
      <c r="E198" s="319">
        <v>0</v>
      </c>
      <c r="F198" s="319">
        <v>0</v>
      </c>
      <c r="G198" s="319">
        <v>0</v>
      </c>
      <c r="H198" s="319">
        <v>0</v>
      </c>
      <c r="I198" s="319">
        <v>0</v>
      </c>
      <c r="J198" s="26">
        <f t="shared" si="9"/>
        <v>0</v>
      </c>
      <c r="K198" s="26">
        <f t="shared" si="10"/>
        <v>0</v>
      </c>
      <c r="L198" s="319">
        <f t="shared" si="11"/>
        <v>0</v>
      </c>
      <c r="M198" s="319" t="s">
        <v>1252</v>
      </c>
      <c r="N198" s="319" t="s">
        <v>1253</v>
      </c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x14ac:dyDescent="0.4">
      <c r="A199" s="16">
        <v>150717</v>
      </c>
      <c r="B199" s="355">
        <v>45</v>
      </c>
      <c r="C199" s="16">
        <f t="shared" si="8"/>
        <v>225</v>
      </c>
      <c r="D199" s="355">
        <v>0</v>
      </c>
      <c r="E199" s="355">
        <v>0</v>
      </c>
      <c r="F199" s="355">
        <v>0</v>
      </c>
      <c r="G199" s="355">
        <v>0</v>
      </c>
      <c r="H199" s="355">
        <v>0</v>
      </c>
      <c r="I199" s="355">
        <v>0</v>
      </c>
      <c r="J199" s="26">
        <f t="shared" si="9"/>
        <v>0</v>
      </c>
      <c r="K199" s="26">
        <f t="shared" si="10"/>
        <v>0</v>
      </c>
      <c r="L199" s="355">
        <f t="shared" si="11"/>
        <v>0</v>
      </c>
      <c r="M199" s="355" t="s">
        <v>1265</v>
      </c>
      <c r="N199" s="355" t="s">
        <v>1266</v>
      </c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x14ac:dyDescent="0.4">
      <c r="A200" s="16">
        <v>150718</v>
      </c>
      <c r="B200" s="692">
        <v>60</v>
      </c>
      <c r="C200" s="16">
        <f t="shared" si="8"/>
        <v>300</v>
      </c>
      <c r="D200" s="692">
        <v>0</v>
      </c>
      <c r="E200" s="692">
        <v>0</v>
      </c>
      <c r="F200" s="692">
        <v>0</v>
      </c>
      <c r="G200" s="692">
        <v>0</v>
      </c>
      <c r="H200" s="692">
        <v>0</v>
      </c>
      <c r="I200" s="692">
        <v>0</v>
      </c>
      <c r="J200" s="693">
        <f t="shared" si="9"/>
        <v>0</v>
      </c>
      <c r="K200" s="693">
        <f t="shared" si="10"/>
        <v>0</v>
      </c>
      <c r="L200" s="692">
        <f t="shared" si="11"/>
        <v>0</v>
      </c>
      <c r="M200" s="692" t="s">
        <v>1258</v>
      </c>
      <c r="N200" s="692" t="s">
        <v>1259</v>
      </c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x14ac:dyDescent="0.4">
      <c r="A201" s="16">
        <v>150719</v>
      </c>
      <c r="B201" s="473">
        <v>45</v>
      </c>
      <c r="C201" s="16">
        <f t="shared" ref="C201:C264" si="12">SUM(B201*5)</f>
        <v>225</v>
      </c>
      <c r="D201" s="473">
        <v>0</v>
      </c>
      <c r="E201" s="473">
        <v>0</v>
      </c>
      <c r="F201" s="473">
        <v>0</v>
      </c>
      <c r="G201" s="473">
        <v>0</v>
      </c>
      <c r="H201" s="473">
        <v>0</v>
      </c>
      <c r="I201" s="473">
        <v>0</v>
      </c>
      <c r="J201" s="26">
        <f t="shared" ref="J201:J264" si="13">SUM(D201:I201)</f>
        <v>0</v>
      </c>
      <c r="K201" s="26">
        <f t="shared" ref="K201:K264" si="14">SUM(D201:H201)</f>
        <v>0</v>
      </c>
      <c r="L201" s="473">
        <f t="shared" ref="L201:L264" si="15">B201*K201</f>
        <v>0</v>
      </c>
      <c r="M201" s="473" t="s">
        <v>1260</v>
      </c>
      <c r="N201" s="473" t="s">
        <v>1262</v>
      </c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x14ac:dyDescent="0.4">
      <c r="A202" s="1">
        <v>150720</v>
      </c>
      <c r="B202" s="691">
        <v>45</v>
      </c>
      <c r="C202" s="1">
        <f t="shared" si="12"/>
        <v>225</v>
      </c>
      <c r="D202" s="691">
        <v>0</v>
      </c>
      <c r="E202" s="691">
        <v>1</v>
      </c>
      <c r="F202" s="691">
        <v>1</v>
      </c>
      <c r="G202" s="691">
        <v>1</v>
      </c>
      <c r="H202" s="691">
        <v>1</v>
      </c>
      <c r="I202" s="691">
        <v>1</v>
      </c>
      <c r="J202" s="140">
        <f t="shared" si="13"/>
        <v>5</v>
      </c>
      <c r="K202" s="140">
        <f t="shared" si="14"/>
        <v>4</v>
      </c>
      <c r="L202" s="691">
        <f t="shared" si="15"/>
        <v>180</v>
      </c>
      <c r="M202" s="691" t="s">
        <v>1261</v>
      </c>
      <c r="N202" s="691" t="s">
        <v>1262</v>
      </c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x14ac:dyDescent="0.4">
      <c r="A203" s="16">
        <v>150721</v>
      </c>
      <c r="B203" s="320">
        <v>45</v>
      </c>
      <c r="C203" s="16">
        <f t="shared" si="12"/>
        <v>225</v>
      </c>
      <c r="D203" s="320">
        <v>0</v>
      </c>
      <c r="E203" s="320">
        <v>0</v>
      </c>
      <c r="F203" s="320">
        <v>0</v>
      </c>
      <c r="G203" s="320">
        <v>0</v>
      </c>
      <c r="H203" s="320">
        <v>0</v>
      </c>
      <c r="I203" s="320">
        <v>0</v>
      </c>
      <c r="J203" s="26">
        <f t="shared" si="13"/>
        <v>0</v>
      </c>
      <c r="K203" s="26">
        <f t="shared" si="14"/>
        <v>0</v>
      </c>
      <c r="L203" s="320">
        <f t="shared" si="15"/>
        <v>0</v>
      </c>
      <c r="M203" s="320" t="s">
        <v>1263</v>
      </c>
      <c r="N203" s="320" t="s">
        <v>1264</v>
      </c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x14ac:dyDescent="0.4">
      <c r="A204" s="1">
        <v>150722</v>
      </c>
      <c r="B204" s="691">
        <v>45</v>
      </c>
      <c r="C204" s="1">
        <f t="shared" si="12"/>
        <v>225</v>
      </c>
      <c r="D204" s="691">
        <v>0</v>
      </c>
      <c r="E204" s="691">
        <v>0</v>
      </c>
      <c r="F204" s="691">
        <v>0</v>
      </c>
      <c r="G204" s="691">
        <v>0</v>
      </c>
      <c r="H204" s="691">
        <v>0</v>
      </c>
      <c r="I204" s="691">
        <v>1</v>
      </c>
      <c r="J204" s="140">
        <f t="shared" si="13"/>
        <v>1</v>
      </c>
      <c r="K204" s="140">
        <f t="shared" si="14"/>
        <v>0</v>
      </c>
      <c r="L204" s="691">
        <f t="shared" si="15"/>
        <v>0</v>
      </c>
      <c r="M204" s="691" t="s">
        <v>1263</v>
      </c>
      <c r="N204" s="691" t="s">
        <v>1264</v>
      </c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x14ac:dyDescent="0.4">
      <c r="A205" s="16">
        <v>150723</v>
      </c>
      <c r="B205" s="388">
        <v>50</v>
      </c>
      <c r="C205" s="16">
        <f t="shared" si="12"/>
        <v>250</v>
      </c>
      <c r="D205" s="388">
        <v>0</v>
      </c>
      <c r="E205" s="388">
        <v>0</v>
      </c>
      <c r="F205" s="388">
        <v>0</v>
      </c>
      <c r="G205" s="388">
        <v>0</v>
      </c>
      <c r="H205" s="388">
        <v>0</v>
      </c>
      <c r="I205" s="388">
        <v>0</v>
      </c>
      <c r="J205" s="26">
        <f t="shared" si="13"/>
        <v>0</v>
      </c>
      <c r="K205" s="26">
        <f t="shared" si="14"/>
        <v>0</v>
      </c>
      <c r="L205" s="388">
        <f t="shared" si="15"/>
        <v>0</v>
      </c>
      <c r="M205" s="388" t="s">
        <v>1263</v>
      </c>
      <c r="N205" s="388" t="s">
        <v>1264</v>
      </c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x14ac:dyDescent="0.4">
      <c r="A206" s="16">
        <v>150724</v>
      </c>
      <c r="B206" s="338">
        <v>45</v>
      </c>
      <c r="C206" s="16">
        <f t="shared" si="12"/>
        <v>225</v>
      </c>
      <c r="D206" s="338">
        <v>0</v>
      </c>
      <c r="E206" s="338">
        <v>0</v>
      </c>
      <c r="F206" s="338">
        <v>0</v>
      </c>
      <c r="G206" s="338">
        <v>0</v>
      </c>
      <c r="H206" s="338">
        <v>0</v>
      </c>
      <c r="I206" s="338">
        <v>0</v>
      </c>
      <c r="J206" s="26">
        <f t="shared" si="13"/>
        <v>0</v>
      </c>
      <c r="K206" s="26">
        <f t="shared" si="14"/>
        <v>0</v>
      </c>
      <c r="L206" s="338">
        <f t="shared" si="15"/>
        <v>0</v>
      </c>
      <c r="M206" s="338" t="s">
        <v>1267</v>
      </c>
      <c r="N206" s="338" t="s">
        <v>1268</v>
      </c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x14ac:dyDescent="0.4">
      <c r="A207" s="1">
        <v>150725</v>
      </c>
      <c r="B207" s="691">
        <v>45</v>
      </c>
      <c r="C207" s="1">
        <f t="shared" si="12"/>
        <v>225</v>
      </c>
      <c r="D207" s="691">
        <v>0</v>
      </c>
      <c r="E207" s="691">
        <v>0</v>
      </c>
      <c r="F207" s="691">
        <v>0</v>
      </c>
      <c r="G207" s="691">
        <v>0</v>
      </c>
      <c r="H207" s="691">
        <v>0</v>
      </c>
      <c r="I207" s="691">
        <v>1</v>
      </c>
      <c r="J207" s="140">
        <f t="shared" si="13"/>
        <v>1</v>
      </c>
      <c r="K207" s="140">
        <f t="shared" si="14"/>
        <v>0</v>
      </c>
      <c r="L207" s="691">
        <f t="shared" si="15"/>
        <v>0</v>
      </c>
      <c r="M207" s="691" t="s">
        <v>1269</v>
      </c>
      <c r="N207" s="691" t="s">
        <v>1270</v>
      </c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x14ac:dyDescent="0.4">
      <c r="A208" s="16">
        <v>150726</v>
      </c>
      <c r="B208" s="435">
        <v>60</v>
      </c>
      <c r="C208" s="16">
        <f t="shared" si="12"/>
        <v>300</v>
      </c>
      <c r="D208" s="435">
        <v>0</v>
      </c>
      <c r="E208" s="435">
        <v>0</v>
      </c>
      <c r="F208" s="435">
        <v>0</v>
      </c>
      <c r="G208" s="435">
        <v>0</v>
      </c>
      <c r="H208" s="435">
        <v>0</v>
      </c>
      <c r="I208" s="435">
        <v>0</v>
      </c>
      <c r="J208" s="26">
        <f t="shared" si="13"/>
        <v>0</v>
      </c>
      <c r="K208" s="26">
        <f t="shared" si="14"/>
        <v>0</v>
      </c>
      <c r="L208" s="435">
        <f t="shared" si="15"/>
        <v>0</v>
      </c>
      <c r="M208" s="435" t="s">
        <v>1269</v>
      </c>
      <c r="N208" s="435" t="s">
        <v>1270</v>
      </c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x14ac:dyDescent="0.4">
      <c r="A209" s="1">
        <v>150727</v>
      </c>
      <c r="B209" s="691">
        <v>45</v>
      </c>
      <c r="C209" s="1">
        <f t="shared" si="12"/>
        <v>225</v>
      </c>
      <c r="D209" s="691">
        <v>0</v>
      </c>
      <c r="E209" s="691">
        <v>0</v>
      </c>
      <c r="F209" s="691">
        <v>0</v>
      </c>
      <c r="G209" s="691">
        <v>0</v>
      </c>
      <c r="H209" s="691">
        <v>0</v>
      </c>
      <c r="I209" s="691">
        <v>0</v>
      </c>
      <c r="J209" s="140">
        <f t="shared" si="13"/>
        <v>0</v>
      </c>
      <c r="K209" s="140">
        <f t="shared" si="14"/>
        <v>0</v>
      </c>
      <c r="L209" s="691">
        <f t="shared" si="15"/>
        <v>0</v>
      </c>
      <c r="M209" s="691" t="s">
        <v>1269</v>
      </c>
      <c r="N209" s="691" t="s">
        <v>1270</v>
      </c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x14ac:dyDescent="0.4">
      <c r="A210" s="16">
        <v>150728</v>
      </c>
      <c r="B210" s="692">
        <v>45</v>
      </c>
      <c r="C210" s="16">
        <f t="shared" si="12"/>
        <v>225</v>
      </c>
      <c r="D210" s="692">
        <v>0</v>
      </c>
      <c r="E210" s="692">
        <v>0</v>
      </c>
      <c r="F210" s="692">
        <v>0</v>
      </c>
      <c r="G210" s="692">
        <v>0</v>
      </c>
      <c r="H210" s="692">
        <v>0</v>
      </c>
      <c r="I210" s="692">
        <v>0</v>
      </c>
      <c r="J210" s="693">
        <f t="shared" si="13"/>
        <v>0</v>
      </c>
      <c r="K210" s="693">
        <f t="shared" si="14"/>
        <v>0</v>
      </c>
      <c r="L210" s="692">
        <f t="shared" si="15"/>
        <v>0</v>
      </c>
      <c r="M210" s="692" t="s">
        <v>1269</v>
      </c>
      <c r="N210" s="692" t="s">
        <v>1270</v>
      </c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x14ac:dyDescent="0.4">
      <c r="A211" s="16">
        <v>150729</v>
      </c>
      <c r="B211" s="272">
        <v>45</v>
      </c>
      <c r="C211" s="16">
        <f t="shared" si="12"/>
        <v>225</v>
      </c>
      <c r="D211" s="272">
        <v>0</v>
      </c>
      <c r="E211" s="272">
        <v>0</v>
      </c>
      <c r="F211" s="272">
        <v>0</v>
      </c>
      <c r="G211" s="272">
        <v>0</v>
      </c>
      <c r="H211" s="272">
        <v>0</v>
      </c>
      <c r="I211" s="272">
        <v>0</v>
      </c>
      <c r="J211" s="26">
        <f t="shared" si="13"/>
        <v>0</v>
      </c>
      <c r="K211" s="26">
        <f t="shared" si="14"/>
        <v>0</v>
      </c>
      <c r="L211" s="272">
        <f t="shared" si="15"/>
        <v>0</v>
      </c>
      <c r="M211" s="272" t="s">
        <v>1271</v>
      </c>
      <c r="N211" s="272" t="s">
        <v>1272</v>
      </c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x14ac:dyDescent="0.4">
      <c r="A212" s="1">
        <v>150730</v>
      </c>
      <c r="B212" s="691">
        <v>45</v>
      </c>
      <c r="C212" s="1">
        <f t="shared" si="12"/>
        <v>225</v>
      </c>
      <c r="D212" s="691">
        <v>0</v>
      </c>
      <c r="E212" s="691">
        <v>0</v>
      </c>
      <c r="F212" s="691">
        <v>0</v>
      </c>
      <c r="G212" s="691">
        <v>0</v>
      </c>
      <c r="H212" s="691">
        <v>0</v>
      </c>
      <c r="I212" s="691">
        <v>1</v>
      </c>
      <c r="J212" s="140">
        <f t="shared" si="13"/>
        <v>1</v>
      </c>
      <c r="K212" s="140">
        <f t="shared" si="14"/>
        <v>0</v>
      </c>
      <c r="L212" s="691">
        <f t="shared" si="15"/>
        <v>0</v>
      </c>
      <c r="M212" s="691" t="s">
        <v>1273</v>
      </c>
      <c r="N212" s="691" t="s">
        <v>1274</v>
      </c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x14ac:dyDescent="0.4">
      <c r="A213" s="16">
        <v>150731</v>
      </c>
      <c r="B213" s="447">
        <v>45</v>
      </c>
      <c r="C213" s="16">
        <f t="shared" si="12"/>
        <v>225</v>
      </c>
      <c r="D213" s="447">
        <v>0</v>
      </c>
      <c r="E213" s="447">
        <v>0</v>
      </c>
      <c r="F213" s="447">
        <v>0</v>
      </c>
      <c r="G213" s="447">
        <v>0</v>
      </c>
      <c r="H213" s="447">
        <v>0</v>
      </c>
      <c r="I213" s="447">
        <v>0</v>
      </c>
      <c r="J213" s="26">
        <f t="shared" si="13"/>
        <v>0</v>
      </c>
      <c r="K213" s="26">
        <f t="shared" si="14"/>
        <v>0</v>
      </c>
      <c r="L213" s="447">
        <f t="shared" si="15"/>
        <v>0</v>
      </c>
      <c r="M213" s="447" t="s">
        <v>1275</v>
      </c>
      <c r="N213" s="447" t="s">
        <v>1276</v>
      </c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x14ac:dyDescent="0.4">
      <c r="A214" s="16">
        <v>150732</v>
      </c>
      <c r="B214" s="286">
        <v>45</v>
      </c>
      <c r="C214" s="16">
        <f t="shared" si="12"/>
        <v>225</v>
      </c>
      <c r="D214" s="286">
        <v>0</v>
      </c>
      <c r="E214" s="286">
        <v>0</v>
      </c>
      <c r="F214" s="286">
        <v>0</v>
      </c>
      <c r="G214" s="286">
        <v>0</v>
      </c>
      <c r="H214" s="286">
        <v>0</v>
      </c>
      <c r="I214" s="286">
        <v>0</v>
      </c>
      <c r="J214" s="26">
        <f t="shared" si="13"/>
        <v>0</v>
      </c>
      <c r="K214" s="26">
        <f t="shared" si="14"/>
        <v>0</v>
      </c>
      <c r="L214" s="286">
        <f t="shared" si="15"/>
        <v>0</v>
      </c>
      <c r="M214" s="286" t="s">
        <v>1275</v>
      </c>
      <c r="N214" s="286" t="s">
        <v>1276</v>
      </c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x14ac:dyDescent="0.4">
      <c r="A215" s="1">
        <v>150733</v>
      </c>
      <c r="B215" s="691">
        <v>84</v>
      </c>
      <c r="C215" s="1">
        <f t="shared" si="12"/>
        <v>420</v>
      </c>
      <c r="D215" s="691">
        <v>0</v>
      </c>
      <c r="E215" s="691">
        <v>0</v>
      </c>
      <c r="F215" s="691">
        <v>0</v>
      </c>
      <c r="G215" s="691">
        <v>1</v>
      </c>
      <c r="H215" s="691">
        <v>1</v>
      </c>
      <c r="I215" s="691">
        <v>1</v>
      </c>
      <c r="J215" s="140">
        <f t="shared" si="13"/>
        <v>3</v>
      </c>
      <c r="K215" s="140">
        <f t="shared" si="14"/>
        <v>2</v>
      </c>
      <c r="L215" s="691">
        <f t="shared" si="15"/>
        <v>168</v>
      </c>
      <c r="M215" s="691" t="s">
        <v>1277</v>
      </c>
      <c r="N215" s="691" t="s">
        <v>1278</v>
      </c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x14ac:dyDescent="0.4">
      <c r="A216" s="16">
        <v>150734</v>
      </c>
      <c r="B216" s="216"/>
      <c r="C216" s="16">
        <f t="shared" si="12"/>
        <v>0</v>
      </c>
      <c r="D216" s="216">
        <v>0</v>
      </c>
      <c r="E216" s="216">
        <v>0</v>
      </c>
      <c r="F216" s="216">
        <v>0</v>
      </c>
      <c r="G216" s="216">
        <v>0</v>
      </c>
      <c r="H216" s="216">
        <v>1</v>
      </c>
      <c r="I216" s="216">
        <v>1</v>
      </c>
      <c r="J216" s="26">
        <f t="shared" si="13"/>
        <v>2</v>
      </c>
      <c r="K216" s="26">
        <f t="shared" si="14"/>
        <v>1</v>
      </c>
      <c r="L216" s="216">
        <f t="shared" si="15"/>
        <v>0</v>
      </c>
      <c r="M216" s="2046" t="s">
        <v>1279</v>
      </c>
      <c r="N216" s="204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x14ac:dyDescent="0.4">
      <c r="A217" s="16">
        <v>150735</v>
      </c>
      <c r="B217" s="216"/>
      <c r="C217" s="16">
        <f t="shared" si="12"/>
        <v>0</v>
      </c>
      <c r="D217" s="216">
        <v>0</v>
      </c>
      <c r="E217" s="216">
        <v>0</v>
      </c>
      <c r="F217" s="216">
        <v>1</v>
      </c>
      <c r="G217" s="216">
        <v>1</v>
      </c>
      <c r="H217" s="216">
        <v>1</v>
      </c>
      <c r="I217" s="216">
        <v>1</v>
      </c>
      <c r="J217" s="26">
        <f t="shared" si="13"/>
        <v>4</v>
      </c>
      <c r="K217" s="26">
        <f t="shared" si="14"/>
        <v>3</v>
      </c>
      <c r="L217" s="216">
        <f t="shared" si="15"/>
        <v>0</v>
      </c>
      <c r="M217" s="2046"/>
      <c r="N217" s="204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x14ac:dyDescent="0.4">
      <c r="A218" s="16">
        <v>150736</v>
      </c>
      <c r="B218" s="216"/>
      <c r="C218" s="16">
        <f t="shared" si="12"/>
        <v>0</v>
      </c>
      <c r="D218" s="216">
        <v>0</v>
      </c>
      <c r="E218" s="216"/>
      <c r="F218" s="216"/>
      <c r="G218" s="216"/>
      <c r="H218" s="216"/>
      <c r="I218" s="216"/>
      <c r="J218" s="26">
        <f t="shared" si="13"/>
        <v>0</v>
      </c>
      <c r="K218" s="26">
        <f t="shared" si="14"/>
        <v>0</v>
      </c>
      <c r="L218" s="216">
        <f t="shared" si="15"/>
        <v>0</v>
      </c>
      <c r="M218" s="2046"/>
      <c r="N218" s="204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x14ac:dyDescent="0.4">
      <c r="A219" s="1">
        <v>150737</v>
      </c>
      <c r="B219" s="365"/>
      <c r="C219" s="1">
        <f t="shared" si="12"/>
        <v>0</v>
      </c>
      <c r="D219" s="365">
        <v>0</v>
      </c>
      <c r="E219" s="365"/>
      <c r="F219" s="365"/>
      <c r="G219" s="365"/>
      <c r="H219" s="365"/>
      <c r="I219" s="365"/>
      <c r="J219" s="140">
        <f t="shared" si="13"/>
        <v>0</v>
      </c>
      <c r="K219" s="140">
        <f t="shared" si="14"/>
        <v>0</v>
      </c>
      <c r="L219" s="365">
        <f t="shared" si="15"/>
        <v>0</v>
      </c>
      <c r="M219" s="2046"/>
      <c r="N219" s="204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x14ac:dyDescent="0.4">
      <c r="A220" s="16">
        <v>150738</v>
      </c>
      <c r="B220" s="216"/>
      <c r="C220" s="16">
        <f t="shared" si="12"/>
        <v>0</v>
      </c>
      <c r="D220" s="216">
        <v>0</v>
      </c>
      <c r="E220" s="252">
        <v>0</v>
      </c>
      <c r="F220" s="252">
        <v>0</v>
      </c>
      <c r="G220" s="216"/>
      <c r="H220" s="216"/>
      <c r="I220" s="216"/>
      <c r="J220" s="26">
        <f t="shared" si="13"/>
        <v>0</v>
      </c>
      <c r="K220" s="26">
        <f t="shared" si="14"/>
        <v>0</v>
      </c>
      <c r="L220" s="216">
        <f t="shared" si="15"/>
        <v>0</v>
      </c>
      <c r="M220" s="2046"/>
      <c r="N220" s="204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x14ac:dyDescent="0.4">
      <c r="A221" s="16">
        <v>150739</v>
      </c>
      <c r="B221" s="216"/>
      <c r="C221" s="16">
        <f t="shared" si="12"/>
        <v>0</v>
      </c>
      <c r="D221" s="216">
        <v>1</v>
      </c>
      <c r="E221" s="216"/>
      <c r="F221" s="216"/>
      <c r="G221" s="216"/>
      <c r="H221" s="216"/>
      <c r="I221" s="216"/>
      <c r="J221" s="26">
        <f t="shared" si="13"/>
        <v>1</v>
      </c>
      <c r="K221" s="26">
        <f t="shared" si="14"/>
        <v>1</v>
      </c>
      <c r="L221" s="216">
        <f t="shared" si="15"/>
        <v>0</v>
      </c>
      <c r="M221" s="2046"/>
      <c r="N221" s="204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x14ac:dyDescent="0.4">
      <c r="A222" s="16">
        <v>150740</v>
      </c>
      <c r="B222" s="216"/>
      <c r="C222" s="16">
        <f t="shared" si="12"/>
        <v>0</v>
      </c>
      <c r="D222" s="216">
        <v>1</v>
      </c>
      <c r="E222" s="216"/>
      <c r="F222" s="216"/>
      <c r="G222" s="216"/>
      <c r="H222" s="216"/>
      <c r="I222" s="216"/>
      <c r="J222" s="26">
        <f t="shared" si="13"/>
        <v>1</v>
      </c>
      <c r="K222" s="26">
        <f t="shared" si="14"/>
        <v>1</v>
      </c>
      <c r="L222" s="216">
        <f t="shared" si="15"/>
        <v>0</v>
      </c>
      <c r="M222" s="2046"/>
      <c r="N222" s="204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x14ac:dyDescent="0.4">
      <c r="A223" s="16">
        <v>150741</v>
      </c>
      <c r="B223" s="216"/>
      <c r="C223" s="16">
        <f t="shared" si="12"/>
        <v>0</v>
      </c>
      <c r="D223" s="216">
        <v>1</v>
      </c>
      <c r="E223" s="216"/>
      <c r="F223" s="216"/>
      <c r="G223" s="216"/>
      <c r="H223" s="216"/>
      <c r="I223" s="216"/>
      <c r="J223" s="26">
        <f t="shared" si="13"/>
        <v>1</v>
      </c>
      <c r="K223" s="26">
        <f t="shared" si="14"/>
        <v>1</v>
      </c>
      <c r="L223" s="216">
        <f t="shared" si="15"/>
        <v>0</v>
      </c>
      <c r="M223" s="2046"/>
      <c r="N223" s="204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x14ac:dyDescent="0.4">
      <c r="A224" s="16">
        <v>150742</v>
      </c>
      <c r="B224" s="216"/>
      <c r="C224" s="16">
        <f t="shared" si="12"/>
        <v>0</v>
      </c>
      <c r="D224" s="216">
        <v>1</v>
      </c>
      <c r="E224" s="216"/>
      <c r="F224" s="216"/>
      <c r="G224" s="216"/>
      <c r="H224" s="216"/>
      <c r="I224" s="216"/>
      <c r="J224" s="26">
        <f t="shared" si="13"/>
        <v>1</v>
      </c>
      <c r="K224" s="26">
        <f t="shared" si="14"/>
        <v>1</v>
      </c>
      <c r="L224" s="216">
        <f t="shared" si="15"/>
        <v>0</v>
      </c>
      <c r="M224" s="2046"/>
      <c r="N224" s="204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x14ac:dyDescent="0.4">
      <c r="A225" s="16">
        <v>150743</v>
      </c>
      <c r="B225" s="216"/>
      <c r="C225" s="16">
        <f t="shared" si="12"/>
        <v>0</v>
      </c>
      <c r="D225" s="216">
        <v>1</v>
      </c>
      <c r="E225" s="216"/>
      <c r="F225" s="216"/>
      <c r="G225" s="216"/>
      <c r="H225" s="216"/>
      <c r="I225" s="216"/>
      <c r="J225" s="26">
        <f t="shared" si="13"/>
        <v>1</v>
      </c>
      <c r="K225" s="26">
        <f t="shared" si="14"/>
        <v>1</v>
      </c>
      <c r="L225" s="216">
        <f t="shared" si="15"/>
        <v>0</v>
      </c>
      <c r="M225" s="2046"/>
      <c r="N225" s="2046"/>
      <c r="O225" s="2040"/>
      <c r="P225" s="2040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x14ac:dyDescent="0.4">
      <c r="A226" s="1">
        <v>150744</v>
      </c>
      <c r="B226" s="691">
        <v>60</v>
      </c>
      <c r="C226" s="1">
        <f t="shared" si="12"/>
        <v>300</v>
      </c>
      <c r="D226" s="691">
        <v>0</v>
      </c>
      <c r="E226" s="691">
        <v>0</v>
      </c>
      <c r="F226" s="691">
        <v>0</v>
      </c>
      <c r="G226" s="691">
        <v>1</v>
      </c>
      <c r="H226" s="691">
        <v>1</v>
      </c>
      <c r="I226" s="691">
        <v>1</v>
      </c>
      <c r="J226" s="140">
        <f t="shared" si="13"/>
        <v>3</v>
      </c>
      <c r="K226" s="140">
        <f t="shared" si="14"/>
        <v>2</v>
      </c>
      <c r="L226" s="691">
        <f t="shared" si="15"/>
        <v>120</v>
      </c>
      <c r="M226" s="691" t="s">
        <v>1281</v>
      </c>
      <c r="N226" s="691" t="s">
        <v>1282</v>
      </c>
      <c r="O226" s="36"/>
      <c r="P226" s="36"/>
      <c r="Q226" s="2040"/>
      <c r="R226" s="2040"/>
      <c r="S226" s="2040"/>
      <c r="T226" s="2040"/>
      <c r="U226" s="2040"/>
      <c r="V226" s="36"/>
      <c r="W226" s="36"/>
      <c r="X226" s="36"/>
      <c r="Y226" s="36"/>
      <c r="Z226" s="36"/>
    </row>
    <row r="227" spans="1:26" x14ac:dyDescent="0.4">
      <c r="A227" s="1">
        <v>150745</v>
      </c>
      <c r="B227" s="215"/>
      <c r="C227" s="1">
        <f>SUM(B227*5)</f>
        <v>0</v>
      </c>
      <c r="D227" s="215">
        <v>0</v>
      </c>
      <c r="E227" s="215">
        <v>0</v>
      </c>
      <c r="F227" s="215">
        <v>0</v>
      </c>
      <c r="G227" s="215">
        <v>0</v>
      </c>
      <c r="H227" s="215">
        <v>0</v>
      </c>
      <c r="I227" s="215">
        <v>0</v>
      </c>
      <c r="J227" s="140">
        <f>SUM(D227:I227)</f>
        <v>0</v>
      </c>
      <c r="K227" s="140">
        <f>SUM(D227:H227)</f>
        <v>0</v>
      </c>
      <c r="L227" s="215">
        <f>B227*K227</f>
        <v>0</v>
      </c>
      <c r="M227" s="215" t="s">
        <v>1281</v>
      </c>
      <c r="N227" s="215" t="s">
        <v>1282</v>
      </c>
      <c r="O227" s="1"/>
      <c r="P227" s="1"/>
      <c r="Q227" s="2032" t="s">
        <v>1280</v>
      </c>
      <c r="R227" s="2032"/>
      <c r="S227" s="2032"/>
      <c r="T227" s="2032"/>
      <c r="U227" s="2032"/>
      <c r="V227" s="36"/>
      <c r="W227" s="36"/>
      <c r="X227" s="36"/>
      <c r="Y227" s="36"/>
      <c r="Z227" s="36"/>
    </row>
    <row r="228" spans="1:26" x14ac:dyDescent="0.4">
      <c r="A228" s="18">
        <v>150746</v>
      </c>
      <c r="B228" s="19">
        <v>60</v>
      </c>
      <c r="C228" s="18">
        <f t="shared" si="12"/>
        <v>300</v>
      </c>
      <c r="D228" s="19">
        <v>0</v>
      </c>
      <c r="E228" s="19">
        <v>0</v>
      </c>
      <c r="F228" s="19">
        <v>0</v>
      </c>
      <c r="G228" s="19">
        <v>0</v>
      </c>
      <c r="H228" s="19">
        <v>0</v>
      </c>
      <c r="I228" s="19">
        <v>0</v>
      </c>
      <c r="J228" s="28">
        <f t="shared" si="13"/>
        <v>0</v>
      </c>
      <c r="K228" s="28">
        <f t="shared" si="14"/>
        <v>0</v>
      </c>
      <c r="L228" s="19">
        <f t="shared" si="15"/>
        <v>0</v>
      </c>
      <c r="M228" s="19" t="s">
        <v>1283</v>
      </c>
      <c r="N228" s="19" t="s">
        <v>1284</v>
      </c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x14ac:dyDescent="0.4">
      <c r="A229" s="1">
        <v>150747</v>
      </c>
      <c r="B229" s="691">
        <v>90</v>
      </c>
      <c r="C229" s="1">
        <f t="shared" si="12"/>
        <v>450</v>
      </c>
      <c r="D229" s="691">
        <v>0</v>
      </c>
      <c r="E229" s="691">
        <v>0</v>
      </c>
      <c r="F229" s="691">
        <v>0</v>
      </c>
      <c r="G229" s="691">
        <v>0</v>
      </c>
      <c r="H229" s="691">
        <v>1</v>
      </c>
      <c r="I229" s="691">
        <v>1</v>
      </c>
      <c r="J229" s="140">
        <f t="shared" si="13"/>
        <v>2</v>
      </c>
      <c r="K229" s="140">
        <f t="shared" si="14"/>
        <v>1</v>
      </c>
      <c r="L229" s="691">
        <f t="shared" si="15"/>
        <v>90</v>
      </c>
      <c r="M229" s="691" t="s">
        <v>1283</v>
      </c>
      <c r="N229" s="691" t="s">
        <v>1284</v>
      </c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x14ac:dyDescent="0.4">
      <c r="A230" s="1">
        <v>150748</v>
      </c>
      <c r="B230" s="691">
        <v>60</v>
      </c>
      <c r="C230" s="1">
        <f t="shared" si="12"/>
        <v>300</v>
      </c>
      <c r="D230" s="691">
        <v>0</v>
      </c>
      <c r="E230" s="691">
        <v>0</v>
      </c>
      <c r="F230" s="691">
        <v>0</v>
      </c>
      <c r="G230" s="691">
        <v>0</v>
      </c>
      <c r="H230" s="691">
        <v>0</v>
      </c>
      <c r="I230" s="691">
        <v>1</v>
      </c>
      <c r="J230" s="140">
        <f t="shared" si="13"/>
        <v>1</v>
      </c>
      <c r="K230" s="140">
        <f t="shared" si="14"/>
        <v>0</v>
      </c>
      <c r="L230" s="691">
        <f t="shared" si="15"/>
        <v>0</v>
      </c>
      <c r="M230" s="691" t="s">
        <v>1285</v>
      </c>
      <c r="N230" s="691" t="s">
        <v>1286</v>
      </c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x14ac:dyDescent="0.4">
      <c r="A231" s="16">
        <v>150749</v>
      </c>
      <c r="B231" s="383">
        <v>60</v>
      </c>
      <c r="C231" s="16">
        <f t="shared" si="12"/>
        <v>300</v>
      </c>
      <c r="D231" s="383">
        <v>0</v>
      </c>
      <c r="E231" s="383">
        <v>0</v>
      </c>
      <c r="F231" s="383">
        <v>0</v>
      </c>
      <c r="G231" s="383">
        <v>0</v>
      </c>
      <c r="H231" s="383">
        <v>0</v>
      </c>
      <c r="I231" s="383">
        <v>0</v>
      </c>
      <c r="J231" s="26">
        <f t="shared" si="13"/>
        <v>0</v>
      </c>
      <c r="K231" s="26">
        <f t="shared" si="14"/>
        <v>0</v>
      </c>
      <c r="L231" s="383">
        <f t="shared" si="15"/>
        <v>0</v>
      </c>
      <c r="M231" s="383" t="s">
        <v>1287</v>
      </c>
      <c r="N231" s="383" t="s">
        <v>1288</v>
      </c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x14ac:dyDescent="0.4">
      <c r="A232" s="16">
        <v>150750</v>
      </c>
      <c r="B232" s="282">
        <v>45</v>
      </c>
      <c r="C232" s="16">
        <f t="shared" si="12"/>
        <v>225</v>
      </c>
      <c r="D232" s="282">
        <v>0</v>
      </c>
      <c r="E232" s="282">
        <v>0</v>
      </c>
      <c r="F232" s="282">
        <v>0</v>
      </c>
      <c r="G232" s="282">
        <v>0</v>
      </c>
      <c r="H232" s="282">
        <v>0</v>
      </c>
      <c r="I232" s="282">
        <v>0</v>
      </c>
      <c r="J232" s="26">
        <f t="shared" si="13"/>
        <v>0</v>
      </c>
      <c r="K232" s="26">
        <f t="shared" si="14"/>
        <v>0</v>
      </c>
      <c r="L232" s="282">
        <f t="shared" si="15"/>
        <v>0</v>
      </c>
      <c r="M232" s="282" t="s">
        <v>1289</v>
      </c>
      <c r="N232" s="282" t="s">
        <v>1290</v>
      </c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x14ac:dyDescent="0.4">
      <c r="A233" s="1">
        <v>150751</v>
      </c>
      <c r="B233" s="691">
        <v>60</v>
      </c>
      <c r="C233" s="1">
        <f t="shared" si="12"/>
        <v>300</v>
      </c>
      <c r="D233" s="691">
        <v>0</v>
      </c>
      <c r="E233" s="691">
        <v>0</v>
      </c>
      <c r="F233" s="691">
        <v>0</v>
      </c>
      <c r="G233" s="691">
        <v>0</v>
      </c>
      <c r="H233" s="691">
        <v>0</v>
      </c>
      <c r="I233" s="691">
        <v>1</v>
      </c>
      <c r="J233" s="140">
        <f t="shared" si="13"/>
        <v>1</v>
      </c>
      <c r="K233" s="140">
        <f t="shared" si="14"/>
        <v>0</v>
      </c>
      <c r="L233" s="691">
        <f t="shared" si="15"/>
        <v>0</v>
      </c>
      <c r="M233" s="691" t="s">
        <v>1291</v>
      </c>
      <c r="N233" s="691" t="s">
        <v>1292</v>
      </c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x14ac:dyDescent="0.4">
      <c r="A234" s="16">
        <v>150752</v>
      </c>
      <c r="B234" s="564">
        <v>45</v>
      </c>
      <c r="C234" s="16">
        <f t="shared" si="12"/>
        <v>225</v>
      </c>
      <c r="D234" s="564">
        <v>0</v>
      </c>
      <c r="E234" s="564">
        <v>0</v>
      </c>
      <c r="F234" s="564">
        <v>0</v>
      </c>
      <c r="G234" s="564">
        <v>0</v>
      </c>
      <c r="H234" s="564">
        <v>0</v>
      </c>
      <c r="I234" s="564">
        <v>0</v>
      </c>
      <c r="J234" s="565">
        <f t="shared" si="13"/>
        <v>0</v>
      </c>
      <c r="K234" s="565">
        <f t="shared" si="14"/>
        <v>0</v>
      </c>
      <c r="L234" s="564">
        <f t="shared" si="15"/>
        <v>0</v>
      </c>
      <c r="M234" s="564" t="s">
        <v>1291</v>
      </c>
      <c r="N234" s="564" t="s">
        <v>1292</v>
      </c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x14ac:dyDescent="0.4">
      <c r="A235" s="16">
        <v>150753</v>
      </c>
      <c r="B235" s="377">
        <v>60</v>
      </c>
      <c r="C235" s="16">
        <f t="shared" si="12"/>
        <v>300</v>
      </c>
      <c r="D235" s="377">
        <v>0</v>
      </c>
      <c r="E235" s="377">
        <v>0</v>
      </c>
      <c r="F235" s="377">
        <v>0</v>
      </c>
      <c r="G235" s="377">
        <v>0</v>
      </c>
      <c r="H235" s="377">
        <v>0</v>
      </c>
      <c r="I235" s="377">
        <v>0</v>
      </c>
      <c r="J235" s="26">
        <f t="shared" si="13"/>
        <v>0</v>
      </c>
      <c r="K235" s="26">
        <f t="shared" si="14"/>
        <v>0</v>
      </c>
      <c r="L235" s="377">
        <f t="shared" si="15"/>
        <v>0</v>
      </c>
      <c r="M235" s="377" t="s">
        <v>1291</v>
      </c>
      <c r="N235" s="377" t="s">
        <v>1292</v>
      </c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x14ac:dyDescent="0.4">
      <c r="A236" s="1">
        <v>150754</v>
      </c>
      <c r="B236" s="691">
        <v>45</v>
      </c>
      <c r="C236" s="1">
        <f t="shared" si="12"/>
        <v>225</v>
      </c>
      <c r="D236" s="691">
        <v>0</v>
      </c>
      <c r="E236" s="691">
        <v>0</v>
      </c>
      <c r="F236" s="691">
        <v>0</v>
      </c>
      <c r="G236" s="691">
        <v>0</v>
      </c>
      <c r="H236" s="691">
        <v>1</v>
      </c>
      <c r="I236" s="691">
        <v>1</v>
      </c>
      <c r="J236" s="140">
        <f t="shared" si="13"/>
        <v>2</v>
      </c>
      <c r="K236" s="140">
        <f t="shared" si="14"/>
        <v>1</v>
      </c>
      <c r="L236" s="691">
        <f t="shared" si="15"/>
        <v>45</v>
      </c>
      <c r="M236" s="691" t="s">
        <v>1293</v>
      </c>
      <c r="N236" s="691" t="s">
        <v>1294</v>
      </c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x14ac:dyDescent="0.4">
      <c r="A237" s="16">
        <v>150755</v>
      </c>
      <c r="B237" s="353">
        <v>45</v>
      </c>
      <c r="C237" s="16">
        <f t="shared" si="12"/>
        <v>225</v>
      </c>
      <c r="D237" s="353">
        <v>0</v>
      </c>
      <c r="E237" s="353">
        <v>0</v>
      </c>
      <c r="F237" s="353">
        <v>0</v>
      </c>
      <c r="G237" s="353">
        <v>0</v>
      </c>
      <c r="H237" s="353">
        <v>0</v>
      </c>
      <c r="I237" s="353">
        <v>0</v>
      </c>
      <c r="J237" s="26">
        <f t="shared" si="13"/>
        <v>0</v>
      </c>
      <c r="K237" s="26">
        <f t="shared" si="14"/>
        <v>0</v>
      </c>
      <c r="L237" s="353">
        <f t="shared" si="15"/>
        <v>0</v>
      </c>
      <c r="M237" s="353" t="s">
        <v>1293</v>
      </c>
      <c r="N237" s="353" t="s">
        <v>1294</v>
      </c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x14ac:dyDescent="0.4">
      <c r="A238" s="16">
        <v>150756</v>
      </c>
      <c r="B238" s="383">
        <v>45</v>
      </c>
      <c r="C238" s="16">
        <f t="shared" si="12"/>
        <v>225</v>
      </c>
      <c r="D238" s="383">
        <v>0</v>
      </c>
      <c r="E238" s="383">
        <v>0</v>
      </c>
      <c r="F238" s="383">
        <v>0</v>
      </c>
      <c r="G238" s="383">
        <v>0</v>
      </c>
      <c r="H238" s="383">
        <v>0</v>
      </c>
      <c r="I238" s="383">
        <v>0</v>
      </c>
      <c r="J238" s="26">
        <f t="shared" si="13"/>
        <v>0</v>
      </c>
      <c r="K238" s="26">
        <f t="shared" si="14"/>
        <v>0</v>
      </c>
      <c r="L238" s="383">
        <f t="shared" si="15"/>
        <v>0</v>
      </c>
      <c r="M238" s="383" t="s">
        <v>1297</v>
      </c>
      <c r="N238" s="383" t="s">
        <v>1298</v>
      </c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x14ac:dyDescent="0.4">
      <c r="A239" s="16">
        <v>150757</v>
      </c>
      <c r="B239" s="433">
        <v>45</v>
      </c>
      <c r="C239" s="16">
        <f t="shared" si="12"/>
        <v>225</v>
      </c>
      <c r="D239" s="433">
        <v>0</v>
      </c>
      <c r="E239" s="433">
        <v>0</v>
      </c>
      <c r="F239" s="433">
        <v>0</v>
      </c>
      <c r="G239" s="433">
        <v>0</v>
      </c>
      <c r="H239" s="433">
        <v>0</v>
      </c>
      <c r="I239" s="433">
        <v>0</v>
      </c>
      <c r="J239" s="26">
        <f t="shared" si="13"/>
        <v>0</v>
      </c>
      <c r="K239" s="26">
        <f t="shared" si="14"/>
        <v>0</v>
      </c>
      <c r="L239" s="433">
        <f t="shared" si="15"/>
        <v>0</v>
      </c>
      <c r="M239" s="433" t="s">
        <v>1295</v>
      </c>
      <c r="N239" s="433" t="s">
        <v>1296</v>
      </c>
      <c r="O239" s="39"/>
      <c r="P239" s="39"/>
      <c r="Q239" s="39"/>
      <c r="R239" s="39"/>
      <c r="S239" s="36"/>
      <c r="T239" s="36"/>
      <c r="U239" s="36"/>
      <c r="V239" s="36"/>
      <c r="W239" s="36"/>
      <c r="X239" s="36"/>
      <c r="Y239" s="36"/>
      <c r="Z239" s="36"/>
    </row>
    <row r="240" spans="1:26" x14ac:dyDescent="0.4">
      <c r="A240" s="16">
        <v>150758</v>
      </c>
      <c r="B240" s="570">
        <v>60</v>
      </c>
      <c r="C240" s="16">
        <f t="shared" si="12"/>
        <v>300</v>
      </c>
      <c r="D240" s="570">
        <v>0</v>
      </c>
      <c r="E240" s="570">
        <v>0</v>
      </c>
      <c r="F240" s="570">
        <v>0</v>
      </c>
      <c r="G240" s="570">
        <v>0</v>
      </c>
      <c r="H240" s="570">
        <v>0</v>
      </c>
      <c r="I240" s="570">
        <v>0</v>
      </c>
      <c r="J240" s="571">
        <f t="shared" si="13"/>
        <v>0</v>
      </c>
      <c r="K240" s="571">
        <f t="shared" si="14"/>
        <v>0</v>
      </c>
      <c r="L240" s="570">
        <f t="shared" si="15"/>
        <v>0</v>
      </c>
      <c r="M240" s="570" t="s">
        <v>1295</v>
      </c>
      <c r="N240" s="570" t="s">
        <v>1296</v>
      </c>
      <c r="O240" s="2040"/>
      <c r="P240" s="2040"/>
      <c r="Q240" s="2040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x14ac:dyDescent="0.4">
      <c r="A241" s="16">
        <v>150759</v>
      </c>
      <c r="B241" s="627">
        <v>45</v>
      </c>
      <c r="C241" s="16">
        <f t="shared" si="12"/>
        <v>225</v>
      </c>
      <c r="D241" s="627">
        <v>0</v>
      </c>
      <c r="E241" s="627">
        <v>0</v>
      </c>
      <c r="F241" s="627">
        <v>0</v>
      </c>
      <c r="G241" s="627">
        <v>0</v>
      </c>
      <c r="H241" s="627">
        <v>0</v>
      </c>
      <c r="I241" s="627">
        <v>0</v>
      </c>
      <c r="J241" s="628">
        <f t="shared" si="13"/>
        <v>0</v>
      </c>
      <c r="K241" s="628">
        <f t="shared" si="14"/>
        <v>0</v>
      </c>
      <c r="L241" s="627">
        <f t="shared" si="15"/>
        <v>0</v>
      </c>
      <c r="M241" s="627" t="s">
        <v>1295</v>
      </c>
      <c r="N241" s="627" t="s">
        <v>1296</v>
      </c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x14ac:dyDescent="0.4">
      <c r="A242" s="16">
        <v>150760</v>
      </c>
      <c r="B242" s="221"/>
      <c r="C242" s="16">
        <f t="shared" si="12"/>
        <v>0</v>
      </c>
      <c r="D242" s="221">
        <v>0</v>
      </c>
      <c r="E242" s="221">
        <v>1</v>
      </c>
      <c r="F242" s="221">
        <v>1</v>
      </c>
      <c r="G242" s="221">
        <v>1</v>
      </c>
      <c r="H242" s="221">
        <v>1</v>
      </c>
      <c r="I242" s="221">
        <v>1</v>
      </c>
      <c r="J242" s="26">
        <f t="shared" si="13"/>
        <v>5</v>
      </c>
      <c r="K242" s="26">
        <f t="shared" si="14"/>
        <v>4</v>
      </c>
      <c r="L242" s="221">
        <f t="shared" si="15"/>
        <v>0</v>
      </c>
      <c r="M242" s="222" t="s">
        <v>1303</v>
      </c>
      <c r="N242" s="223"/>
      <c r="O242" s="124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x14ac:dyDescent="0.4">
      <c r="A243" s="16">
        <v>150761</v>
      </c>
      <c r="B243" s="493">
        <v>45</v>
      </c>
      <c r="C243" s="16">
        <f t="shared" si="12"/>
        <v>225</v>
      </c>
      <c r="D243" s="493">
        <v>0</v>
      </c>
      <c r="E243" s="493">
        <v>0</v>
      </c>
      <c r="F243" s="493">
        <v>0</v>
      </c>
      <c r="G243" s="493">
        <v>0</v>
      </c>
      <c r="H243" s="493">
        <v>0</v>
      </c>
      <c r="I243" s="493">
        <v>0</v>
      </c>
      <c r="J243" s="494">
        <f t="shared" si="13"/>
        <v>0</v>
      </c>
      <c r="K243" s="494">
        <f t="shared" si="14"/>
        <v>0</v>
      </c>
      <c r="L243" s="493">
        <f t="shared" si="15"/>
        <v>0</v>
      </c>
      <c r="M243" s="493" t="s">
        <v>1299</v>
      </c>
      <c r="N243" s="493" t="s">
        <v>1300</v>
      </c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x14ac:dyDescent="0.4">
      <c r="A244" s="16">
        <v>150762</v>
      </c>
      <c r="B244" s="311">
        <v>60</v>
      </c>
      <c r="C244" s="16">
        <f t="shared" si="12"/>
        <v>300</v>
      </c>
      <c r="D244" s="311">
        <v>0</v>
      </c>
      <c r="E244" s="311">
        <v>0</v>
      </c>
      <c r="F244" s="311">
        <v>0</v>
      </c>
      <c r="G244" s="311">
        <v>0</v>
      </c>
      <c r="H244" s="311">
        <v>0</v>
      </c>
      <c r="I244" s="311">
        <v>0</v>
      </c>
      <c r="J244" s="26">
        <f t="shared" si="13"/>
        <v>0</v>
      </c>
      <c r="K244" s="26">
        <f t="shared" si="14"/>
        <v>0</v>
      </c>
      <c r="L244" s="311">
        <f t="shared" si="15"/>
        <v>0</v>
      </c>
      <c r="M244" s="311" t="s">
        <v>1301</v>
      </c>
      <c r="N244" s="311" t="s">
        <v>1302</v>
      </c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x14ac:dyDescent="0.4">
      <c r="A245" s="16">
        <v>150763</v>
      </c>
      <c r="B245" s="574">
        <v>60</v>
      </c>
      <c r="C245" s="16">
        <f t="shared" si="12"/>
        <v>300</v>
      </c>
      <c r="D245" s="574">
        <v>0</v>
      </c>
      <c r="E245" s="574">
        <v>0</v>
      </c>
      <c r="F245" s="574">
        <v>0</v>
      </c>
      <c r="G245" s="574">
        <v>0</v>
      </c>
      <c r="H245" s="574">
        <v>0</v>
      </c>
      <c r="I245" s="574">
        <v>0</v>
      </c>
      <c r="J245" s="575">
        <f t="shared" si="13"/>
        <v>0</v>
      </c>
      <c r="K245" s="575">
        <f t="shared" si="14"/>
        <v>0</v>
      </c>
      <c r="L245" s="574">
        <f t="shared" si="15"/>
        <v>0</v>
      </c>
      <c r="M245" s="574" t="s">
        <v>1301</v>
      </c>
      <c r="N245" s="574" t="s">
        <v>1302</v>
      </c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x14ac:dyDescent="0.4">
      <c r="A246" s="16">
        <v>150764</v>
      </c>
      <c r="B246" s="380">
        <v>45</v>
      </c>
      <c r="C246" s="16">
        <f t="shared" si="12"/>
        <v>225</v>
      </c>
      <c r="D246" s="380">
        <v>0</v>
      </c>
      <c r="E246" s="380">
        <v>0</v>
      </c>
      <c r="F246" s="380">
        <v>0</v>
      </c>
      <c r="G246" s="380">
        <v>0</v>
      </c>
      <c r="H246" s="380">
        <v>0</v>
      </c>
      <c r="I246" s="380">
        <v>0</v>
      </c>
      <c r="J246" s="26">
        <f t="shared" si="13"/>
        <v>0</v>
      </c>
      <c r="K246" s="26">
        <f t="shared" si="14"/>
        <v>0</v>
      </c>
      <c r="L246" s="380">
        <f t="shared" si="15"/>
        <v>0</v>
      </c>
      <c r="M246" s="380" t="s">
        <v>1301</v>
      </c>
      <c r="N246" s="380" t="s">
        <v>1302</v>
      </c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x14ac:dyDescent="0.4">
      <c r="A247" s="1">
        <v>150765</v>
      </c>
      <c r="B247" s="691">
        <v>60</v>
      </c>
      <c r="C247" s="1">
        <f t="shared" si="12"/>
        <v>300</v>
      </c>
      <c r="D247" s="691">
        <v>0</v>
      </c>
      <c r="E247" s="691">
        <v>0</v>
      </c>
      <c r="F247" s="691">
        <v>0</v>
      </c>
      <c r="G247" s="691">
        <v>0</v>
      </c>
      <c r="H247" s="691">
        <v>0</v>
      </c>
      <c r="I247" s="691">
        <v>1</v>
      </c>
      <c r="J247" s="140">
        <f t="shared" si="13"/>
        <v>1</v>
      </c>
      <c r="K247" s="140">
        <f t="shared" si="14"/>
        <v>0</v>
      </c>
      <c r="L247" s="691">
        <f t="shared" si="15"/>
        <v>0</v>
      </c>
      <c r="M247" s="691" t="s">
        <v>1301</v>
      </c>
      <c r="N247" s="691" t="s">
        <v>1302</v>
      </c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x14ac:dyDescent="0.4">
      <c r="A248" s="16">
        <v>150766</v>
      </c>
      <c r="B248" s="367">
        <v>45</v>
      </c>
      <c r="C248" s="16">
        <f t="shared" si="12"/>
        <v>225</v>
      </c>
      <c r="D248" s="367">
        <v>0</v>
      </c>
      <c r="E248" s="367">
        <v>0</v>
      </c>
      <c r="F248" s="367">
        <v>0</v>
      </c>
      <c r="G248" s="367">
        <v>0</v>
      </c>
      <c r="H248" s="367">
        <v>0</v>
      </c>
      <c r="I248" s="367">
        <v>0</v>
      </c>
      <c r="J248" s="26">
        <f t="shared" si="13"/>
        <v>0</v>
      </c>
      <c r="K248" s="26">
        <f t="shared" si="14"/>
        <v>0</v>
      </c>
      <c r="L248" s="367">
        <f t="shared" si="15"/>
        <v>0</v>
      </c>
      <c r="M248" s="367" t="s">
        <v>1301</v>
      </c>
      <c r="N248" s="367" t="s">
        <v>1302</v>
      </c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x14ac:dyDescent="0.4">
      <c r="A249" s="1">
        <v>150767</v>
      </c>
      <c r="B249" s="691">
        <v>45</v>
      </c>
      <c r="C249" s="1">
        <f t="shared" si="12"/>
        <v>225</v>
      </c>
      <c r="D249" s="691">
        <v>0</v>
      </c>
      <c r="E249" s="691">
        <v>0</v>
      </c>
      <c r="F249" s="691">
        <v>0</v>
      </c>
      <c r="G249" s="691">
        <v>0</v>
      </c>
      <c r="H249" s="691">
        <v>1</v>
      </c>
      <c r="I249" s="691">
        <v>1</v>
      </c>
      <c r="J249" s="140">
        <f t="shared" si="13"/>
        <v>2</v>
      </c>
      <c r="K249" s="140">
        <f t="shared" si="14"/>
        <v>1</v>
      </c>
      <c r="L249" s="691">
        <f t="shared" si="15"/>
        <v>45</v>
      </c>
      <c r="M249" s="691" t="s">
        <v>1301</v>
      </c>
      <c r="N249" s="691" t="s">
        <v>1302</v>
      </c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x14ac:dyDescent="0.4">
      <c r="A250" s="16">
        <v>150768</v>
      </c>
      <c r="B250" s="307">
        <v>50</v>
      </c>
      <c r="C250" s="16">
        <f t="shared" si="12"/>
        <v>250</v>
      </c>
      <c r="D250" s="307">
        <v>0</v>
      </c>
      <c r="E250" s="307">
        <v>0</v>
      </c>
      <c r="F250" s="307">
        <v>0</v>
      </c>
      <c r="G250" s="307">
        <v>0</v>
      </c>
      <c r="H250" s="307">
        <v>0</v>
      </c>
      <c r="I250" s="307">
        <v>0</v>
      </c>
      <c r="J250" s="26">
        <f t="shared" si="13"/>
        <v>0</v>
      </c>
      <c r="K250" s="26">
        <f t="shared" si="14"/>
        <v>0</v>
      </c>
      <c r="L250" s="307">
        <f t="shared" si="15"/>
        <v>0</v>
      </c>
      <c r="M250" s="307" t="s">
        <v>1304</v>
      </c>
      <c r="N250" s="307" t="s">
        <v>1305</v>
      </c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x14ac:dyDescent="0.4">
      <c r="A251" s="16">
        <v>150769</v>
      </c>
      <c r="B251" s="256">
        <v>45</v>
      </c>
      <c r="C251" s="16">
        <f t="shared" si="12"/>
        <v>225</v>
      </c>
      <c r="D251" s="256">
        <v>0</v>
      </c>
      <c r="E251" s="256">
        <v>0</v>
      </c>
      <c r="F251" s="256">
        <v>0</v>
      </c>
      <c r="G251" s="256">
        <v>0</v>
      </c>
      <c r="H251" s="256">
        <v>0</v>
      </c>
      <c r="I251" s="256">
        <v>0</v>
      </c>
      <c r="J251" s="26">
        <f t="shared" si="13"/>
        <v>0</v>
      </c>
      <c r="K251" s="26">
        <f t="shared" si="14"/>
        <v>0</v>
      </c>
      <c r="L251" s="256">
        <f t="shared" si="15"/>
        <v>0</v>
      </c>
      <c r="M251" s="256" t="s">
        <v>1304</v>
      </c>
      <c r="N251" s="256" t="s">
        <v>1305</v>
      </c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x14ac:dyDescent="0.4">
      <c r="A252" s="1">
        <v>150770</v>
      </c>
      <c r="B252" s="691">
        <v>45</v>
      </c>
      <c r="C252" s="1">
        <f t="shared" si="12"/>
        <v>225</v>
      </c>
      <c r="D252" s="691">
        <v>0</v>
      </c>
      <c r="E252" s="691">
        <v>0</v>
      </c>
      <c r="F252" s="691">
        <v>0</v>
      </c>
      <c r="G252" s="691">
        <v>0</v>
      </c>
      <c r="H252" s="691">
        <v>0</v>
      </c>
      <c r="I252" s="691">
        <v>1</v>
      </c>
      <c r="J252" s="140">
        <f t="shared" si="13"/>
        <v>1</v>
      </c>
      <c r="K252" s="140">
        <f t="shared" si="14"/>
        <v>0</v>
      </c>
      <c r="L252" s="691">
        <f t="shared" si="15"/>
        <v>0</v>
      </c>
      <c r="M252" s="691" t="s">
        <v>1304</v>
      </c>
      <c r="N252" s="691" t="s">
        <v>1305</v>
      </c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x14ac:dyDescent="0.4">
      <c r="A253" s="16">
        <v>150771</v>
      </c>
      <c r="B253" s="319">
        <v>60</v>
      </c>
      <c r="C253" s="16">
        <f t="shared" si="12"/>
        <v>300</v>
      </c>
      <c r="D253" s="319">
        <v>0</v>
      </c>
      <c r="E253" s="319">
        <v>0</v>
      </c>
      <c r="F253" s="319">
        <v>0</v>
      </c>
      <c r="G253" s="319">
        <v>0</v>
      </c>
      <c r="H253" s="319">
        <v>0</v>
      </c>
      <c r="I253" s="319">
        <v>0</v>
      </c>
      <c r="J253" s="26">
        <f t="shared" si="13"/>
        <v>0</v>
      </c>
      <c r="K253" s="26">
        <f t="shared" si="14"/>
        <v>0</v>
      </c>
      <c r="L253" s="319">
        <f t="shared" si="15"/>
        <v>0</v>
      </c>
      <c r="M253" s="319" t="s">
        <v>1306</v>
      </c>
      <c r="N253" s="319" t="s">
        <v>1307</v>
      </c>
      <c r="O253" s="2040"/>
      <c r="P253" s="2040"/>
      <c r="Q253" s="2040"/>
      <c r="R253" s="2040"/>
      <c r="S253" s="2040"/>
      <c r="T253" s="36"/>
      <c r="U253" s="36"/>
      <c r="V253" s="36"/>
      <c r="W253" s="36"/>
      <c r="X253" s="36"/>
      <c r="Y253" s="36"/>
      <c r="Z253" s="36"/>
    </row>
    <row r="254" spans="1:26" x14ac:dyDescent="0.4">
      <c r="A254" s="16">
        <v>150772</v>
      </c>
      <c r="B254" s="380">
        <v>60</v>
      </c>
      <c r="C254" s="16">
        <f t="shared" si="12"/>
        <v>300</v>
      </c>
      <c r="D254" s="380">
        <v>0</v>
      </c>
      <c r="E254" s="380">
        <v>0</v>
      </c>
      <c r="F254" s="380">
        <v>0</v>
      </c>
      <c r="G254" s="380">
        <v>0</v>
      </c>
      <c r="H254" s="380">
        <v>0</v>
      </c>
      <c r="I254" s="380">
        <v>0</v>
      </c>
      <c r="J254" s="26">
        <f t="shared" si="13"/>
        <v>0</v>
      </c>
      <c r="K254" s="26">
        <f t="shared" si="14"/>
        <v>0</v>
      </c>
      <c r="L254" s="380">
        <f t="shared" si="15"/>
        <v>0</v>
      </c>
      <c r="M254" s="380" t="s">
        <v>1309</v>
      </c>
      <c r="N254" s="380" t="s">
        <v>1311</v>
      </c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x14ac:dyDescent="0.4">
      <c r="A255" s="16">
        <v>150773</v>
      </c>
      <c r="B255" s="280">
        <v>60</v>
      </c>
      <c r="C255" s="16">
        <f t="shared" si="12"/>
        <v>300</v>
      </c>
      <c r="D255" s="280">
        <v>0</v>
      </c>
      <c r="E255" s="280">
        <v>0</v>
      </c>
      <c r="F255" s="280">
        <v>0</v>
      </c>
      <c r="G255" s="280">
        <v>0</v>
      </c>
      <c r="H255" s="280">
        <v>0</v>
      </c>
      <c r="I255" s="280">
        <v>0</v>
      </c>
      <c r="J255" s="26">
        <f t="shared" si="13"/>
        <v>0</v>
      </c>
      <c r="K255" s="26">
        <f t="shared" si="14"/>
        <v>0</v>
      </c>
      <c r="L255" s="280">
        <f t="shared" si="15"/>
        <v>0</v>
      </c>
      <c r="M255" s="280" t="s">
        <v>1310</v>
      </c>
      <c r="N255" s="280" t="s">
        <v>1312</v>
      </c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x14ac:dyDescent="0.4">
      <c r="A256" s="16">
        <v>150774</v>
      </c>
      <c r="B256" s="340">
        <v>45</v>
      </c>
      <c r="C256" s="16">
        <f t="shared" si="12"/>
        <v>225</v>
      </c>
      <c r="D256" s="340">
        <v>0</v>
      </c>
      <c r="E256" s="340">
        <v>0</v>
      </c>
      <c r="F256" s="340">
        <v>0</v>
      </c>
      <c r="G256" s="340">
        <v>0</v>
      </c>
      <c r="H256" s="340">
        <v>0</v>
      </c>
      <c r="I256" s="340">
        <v>0</v>
      </c>
      <c r="J256" s="26">
        <f t="shared" si="13"/>
        <v>0</v>
      </c>
      <c r="K256" s="26">
        <f t="shared" si="14"/>
        <v>0</v>
      </c>
      <c r="L256" s="340">
        <f t="shared" si="15"/>
        <v>0</v>
      </c>
      <c r="M256" s="340" t="s">
        <v>1310</v>
      </c>
      <c r="N256" s="340" t="s">
        <v>1312</v>
      </c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spans="1:26" x14ac:dyDescent="0.4">
      <c r="A257" s="16">
        <v>150775</v>
      </c>
      <c r="B257" s="284">
        <v>45</v>
      </c>
      <c r="C257" s="16">
        <f t="shared" si="12"/>
        <v>225</v>
      </c>
      <c r="D257" s="284">
        <v>0</v>
      </c>
      <c r="E257" s="284">
        <v>0</v>
      </c>
      <c r="F257" s="284">
        <v>0</v>
      </c>
      <c r="G257" s="284">
        <v>0</v>
      </c>
      <c r="H257" s="284">
        <v>0</v>
      </c>
      <c r="I257" s="284">
        <v>0</v>
      </c>
      <c r="J257" s="26">
        <f t="shared" si="13"/>
        <v>0</v>
      </c>
      <c r="K257" s="26">
        <f t="shared" si="14"/>
        <v>0</v>
      </c>
      <c r="L257" s="284">
        <f t="shared" si="15"/>
        <v>0</v>
      </c>
      <c r="M257" s="284" t="s">
        <v>1313</v>
      </c>
      <c r="N257" s="284" t="s">
        <v>1314</v>
      </c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 x14ac:dyDescent="0.4">
      <c r="A258" s="1">
        <v>150776</v>
      </c>
      <c r="B258" s="691">
        <v>51</v>
      </c>
      <c r="C258" s="1">
        <f t="shared" si="12"/>
        <v>255</v>
      </c>
      <c r="D258" s="691">
        <v>0</v>
      </c>
      <c r="E258" s="691">
        <v>0</v>
      </c>
      <c r="F258" s="691">
        <v>0</v>
      </c>
      <c r="G258" s="691">
        <v>0</v>
      </c>
      <c r="H258" s="691">
        <v>1</v>
      </c>
      <c r="I258" s="691">
        <v>1</v>
      </c>
      <c r="J258" s="140">
        <f t="shared" si="13"/>
        <v>2</v>
      </c>
      <c r="K258" s="140">
        <f t="shared" si="14"/>
        <v>1</v>
      </c>
      <c r="L258" s="691">
        <f t="shared" si="15"/>
        <v>51</v>
      </c>
      <c r="M258" s="691" t="s">
        <v>1313</v>
      </c>
      <c r="N258" s="691" t="s">
        <v>1314</v>
      </c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 x14ac:dyDescent="0.4">
      <c r="A259" s="16">
        <v>150777</v>
      </c>
      <c r="B259" s="396">
        <v>45</v>
      </c>
      <c r="C259" s="16">
        <f t="shared" si="12"/>
        <v>225</v>
      </c>
      <c r="D259" s="396">
        <v>0</v>
      </c>
      <c r="E259" s="396">
        <v>0</v>
      </c>
      <c r="F259" s="396">
        <v>0</v>
      </c>
      <c r="G259" s="396">
        <v>0</v>
      </c>
      <c r="H259" s="396">
        <v>0</v>
      </c>
      <c r="I259" s="396">
        <v>0</v>
      </c>
      <c r="J259" s="26">
        <f t="shared" si="13"/>
        <v>0</v>
      </c>
      <c r="K259" s="26">
        <f t="shared" si="14"/>
        <v>0</v>
      </c>
      <c r="L259" s="396">
        <f t="shared" si="15"/>
        <v>0</v>
      </c>
      <c r="M259" s="396" t="s">
        <v>1313</v>
      </c>
      <c r="N259" s="396" t="s">
        <v>1314</v>
      </c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spans="1:26" x14ac:dyDescent="0.4">
      <c r="A260" s="16">
        <v>150778</v>
      </c>
      <c r="B260" s="346">
        <v>60</v>
      </c>
      <c r="C260" s="16">
        <f t="shared" si="12"/>
        <v>300</v>
      </c>
      <c r="D260" s="346">
        <v>0</v>
      </c>
      <c r="E260" s="346">
        <v>0</v>
      </c>
      <c r="F260" s="346">
        <v>0</v>
      </c>
      <c r="G260" s="346">
        <v>0</v>
      </c>
      <c r="H260" s="346">
        <v>0</v>
      </c>
      <c r="I260" s="346">
        <v>0</v>
      </c>
      <c r="J260" s="26">
        <f t="shared" si="13"/>
        <v>0</v>
      </c>
      <c r="K260" s="26">
        <f t="shared" si="14"/>
        <v>0</v>
      </c>
      <c r="L260" s="346">
        <f t="shared" si="15"/>
        <v>0</v>
      </c>
      <c r="M260" s="346" t="s">
        <v>1313</v>
      </c>
      <c r="N260" s="346" t="s">
        <v>1314</v>
      </c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spans="1:26" x14ac:dyDescent="0.4">
      <c r="A261" s="1">
        <v>150779</v>
      </c>
      <c r="B261" s="691">
        <v>60</v>
      </c>
      <c r="C261" s="1">
        <f t="shared" si="12"/>
        <v>300</v>
      </c>
      <c r="D261" s="691">
        <v>0</v>
      </c>
      <c r="E261" s="691">
        <v>0</v>
      </c>
      <c r="F261" s="691">
        <v>0</v>
      </c>
      <c r="G261" s="691">
        <v>0</v>
      </c>
      <c r="H261" s="691">
        <v>0</v>
      </c>
      <c r="I261" s="691">
        <v>1</v>
      </c>
      <c r="J261" s="140">
        <f t="shared" si="13"/>
        <v>1</v>
      </c>
      <c r="K261" s="140">
        <f t="shared" si="14"/>
        <v>0</v>
      </c>
      <c r="L261" s="691">
        <f t="shared" si="15"/>
        <v>0</v>
      </c>
      <c r="M261" s="691" t="s">
        <v>1315</v>
      </c>
      <c r="N261" s="691" t="s">
        <v>1316</v>
      </c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spans="1:26" x14ac:dyDescent="0.4">
      <c r="A262" s="22">
        <v>150780</v>
      </c>
      <c r="B262" s="23">
        <v>45</v>
      </c>
      <c r="C262" s="22">
        <f t="shared" si="12"/>
        <v>225</v>
      </c>
      <c r="D262" s="23">
        <v>0</v>
      </c>
      <c r="E262" s="23">
        <v>0</v>
      </c>
      <c r="F262" s="23">
        <v>0</v>
      </c>
      <c r="G262" s="23">
        <v>0</v>
      </c>
      <c r="H262" s="23">
        <v>0</v>
      </c>
      <c r="I262" s="23">
        <v>0</v>
      </c>
      <c r="J262" s="24">
        <f t="shared" si="13"/>
        <v>0</v>
      </c>
      <c r="K262" s="24">
        <f t="shared" si="14"/>
        <v>0</v>
      </c>
      <c r="L262" s="23">
        <f t="shared" si="15"/>
        <v>0</v>
      </c>
      <c r="M262" s="23" t="s">
        <v>1315</v>
      </c>
      <c r="N262" s="23" t="s">
        <v>1316</v>
      </c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spans="1:26" x14ac:dyDescent="0.4">
      <c r="A263" s="1">
        <v>150781</v>
      </c>
      <c r="B263" s="691">
        <v>45</v>
      </c>
      <c r="C263" s="1">
        <f t="shared" si="12"/>
        <v>225</v>
      </c>
      <c r="D263" s="691">
        <v>0</v>
      </c>
      <c r="E263" s="691">
        <v>0</v>
      </c>
      <c r="F263" s="691">
        <v>0</v>
      </c>
      <c r="G263" s="691">
        <v>0</v>
      </c>
      <c r="H263" s="802">
        <v>1</v>
      </c>
      <c r="I263" s="802">
        <v>1</v>
      </c>
      <c r="J263" s="140">
        <f t="shared" si="13"/>
        <v>2</v>
      </c>
      <c r="K263" s="140">
        <f t="shared" si="14"/>
        <v>1</v>
      </c>
      <c r="L263" s="691">
        <f t="shared" si="15"/>
        <v>45</v>
      </c>
      <c r="M263" s="691" t="s">
        <v>1318</v>
      </c>
      <c r="N263" s="691" t="s">
        <v>1319</v>
      </c>
      <c r="O263" s="36" t="s">
        <v>3312</v>
      </c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spans="1:26" x14ac:dyDescent="0.4">
      <c r="A264" s="16">
        <v>150782</v>
      </c>
      <c r="B264" s="386">
        <v>60</v>
      </c>
      <c r="C264" s="16">
        <f t="shared" si="12"/>
        <v>300</v>
      </c>
      <c r="D264" s="386">
        <v>0</v>
      </c>
      <c r="E264" s="386">
        <v>0</v>
      </c>
      <c r="F264" s="386">
        <v>0</v>
      </c>
      <c r="G264" s="386">
        <v>0</v>
      </c>
      <c r="H264" s="386">
        <v>0</v>
      </c>
      <c r="I264" s="386">
        <v>0</v>
      </c>
      <c r="J264" s="26">
        <f t="shared" si="13"/>
        <v>0</v>
      </c>
      <c r="K264" s="26">
        <f t="shared" si="14"/>
        <v>0</v>
      </c>
      <c r="L264" s="386">
        <f t="shared" si="15"/>
        <v>0</v>
      </c>
      <c r="M264" s="386" t="s">
        <v>1320</v>
      </c>
      <c r="N264" s="386" t="s">
        <v>1321</v>
      </c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spans="1:26" x14ac:dyDescent="0.4">
      <c r="A265" s="1">
        <v>150783</v>
      </c>
      <c r="B265" s="691">
        <v>60</v>
      </c>
      <c r="C265" s="1">
        <f t="shared" ref="C265:C306" si="16">SUM(B265*5)</f>
        <v>300</v>
      </c>
      <c r="D265" s="691">
        <v>0</v>
      </c>
      <c r="E265" s="691">
        <v>0</v>
      </c>
      <c r="F265" s="691">
        <v>0</v>
      </c>
      <c r="G265" s="691">
        <v>0</v>
      </c>
      <c r="H265" s="691">
        <v>0</v>
      </c>
      <c r="I265" s="691">
        <v>1</v>
      </c>
      <c r="J265" s="140">
        <f t="shared" ref="J265:J306" si="17">SUM(D265:I265)</f>
        <v>1</v>
      </c>
      <c r="K265" s="140">
        <f t="shared" ref="K265:K306" si="18">SUM(D265:H265)</f>
        <v>0</v>
      </c>
      <c r="L265" s="691">
        <f t="shared" ref="L265:L306" si="19">B265*K265</f>
        <v>0</v>
      </c>
      <c r="M265" s="691" t="s">
        <v>1322</v>
      </c>
      <c r="N265" s="691" t="s">
        <v>1323</v>
      </c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spans="1:26" x14ac:dyDescent="0.4">
      <c r="A266" s="16">
        <v>150784</v>
      </c>
      <c r="B266" s="343">
        <v>45</v>
      </c>
      <c r="C266" s="16">
        <f t="shared" si="16"/>
        <v>225</v>
      </c>
      <c r="D266" s="343">
        <v>0</v>
      </c>
      <c r="E266" s="343">
        <v>0</v>
      </c>
      <c r="F266" s="343">
        <v>0</v>
      </c>
      <c r="G266" s="343">
        <v>0</v>
      </c>
      <c r="H266" s="343">
        <v>0</v>
      </c>
      <c r="I266" s="343">
        <v>0</v>
      </c>
      <c r="J266" s="26">
        <f t="shared" si="17"/>
        <v>0</v>
      </c>
      <c r="K266" s="26">
        <f t="shared" si="18"/>
        <v>0</v>
      </c>
      <c r="L266" s="343">
        <f t="shared" si="19"/>
        <v>0</v>
      </c>
      <c r="M266" s="343" t="s">
        <v>1324</v>
      </c>
      <c r="N266" s="343" t="s">
        <v>1325</v>
      </c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spans="1:26" x14ac:dyDescent="0.4">
      <c r="A267" s="16">
        <v>150785</v>
      </c>
      <c r="B267" s="282">
        <v>60</v>
      </c>
      <c r="C267" s="16">
        <f t="shared" si="16"/>
        <v>300</v>
      </c>
      <c r="D267" s="282">
        <v>0</v>
      </c>
      <c r="E267" s="282">
        <v>0</v>
      </c>
      <c r="F267" s="282">
        <v>0</v>
      </c>
      <c r="G267" s="282">
        <v>0</v>
      </c>
      <c r="H267" s="282">
        <v>0</v>
      </c>
      <c r="I267" s="282">
        <v>0</v>
      </c>
      <c r="J267" s="26">
        <f t="shared" si="17"/>
        <v>0</v>
      </c>
      <c r="K267" s="26">
        <f t="shared" si="18"/>
        <v>0</v>
      </c>
      <c r="L267" s="282">
        <f t="shared" si="19"/>
        <v>0</v>
      </c>
      <c r="M267" s="282" t="s">
        <v>1324</v>
      </c>
      <c r="N267" s="282" t="s">
        <v>1325</v>
      </c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spans="1:26" x14ac:dyDescent="0.4">
      <c r="A268" s="16">
        <v>150786</v>
      </c>
      <c r="B268" s="254">
        <v>0</v>
      </c>
      <c r="C268" s="16">
        <f t="shared" si="16"/>
        <v>0</v>
      </c>
      <c r="D268" s="254">
        <v>0</v>
      </c>
      <c r="E268" s="254">
        <v>0</v>
      </c>
      <c r="F268" s="254">
        <v>0</v>
      </c>
      <c r="G268" s="254">
        <v>0</v>
      </c>
      <c r="H268" s="254">
        <v>0</v>
      </c>
      <c r="I268" s="254">
        <v>0</v>
      </c>
      <c r="J268" s="26">
        <f t="shared" si="17"/>
        <v>0</v>
      </c>
      <c r="K268" s="26">
        <f t="shared" si="18"/>
        <v>0</v>
      </c>
      <c r="L268" s="254">
        <f t="shared" si="19"/>
        <v>0</v>
      </c>
      <c r="M268" s="254" t="s">
        <v>1326</v>
      </c>
      <c r="N268" s="254" t="s">
        <v>1327</v>
      </c>
      <c r="O268" s="36"/>
      <c r="P268" s="36" t="s">
        <v>1328</v>
      </c>
      <c r="Q268" s="36"/>
      <c r="R268" s="36" t="s">
        <v>1329</v>
      </c>
      <c r="S268" s="36"/>
      <c r="T268" s="36" t="s">
        <v>1334</v>
      </c>
      <c r="U268" s="36"/>
      <c r="V268" s="36"/>
      <c r="W268" s="36"/>
      <c r="X268" s="36"/>
      <c r="Y268" s="36"/>
      <c r="Z268" s="36"/>
    </row>
    <row r="269" spans="1:26" x14ac:dyDescent="0.4">
      <c r="A269" s="16">
        <v>150787</v>
      </c>
      <c r="B269" s="265">
        <v>60</v>
      </c>
      <c r="C269" s="16">
        <f t="shared" si="16"/>
        <v>300</v>
      </c>
      <c r="D269" s="265">
        <v>0</v>
      </c>
      <c r="E269" s="265">
        <v>0</v>
      </c>
      <c r="F269" s="265">
        <v>0</v>
      </c>
      <c r="G269" s="265">
        <v>0</v>
      </c>
      <c r="H269" s="265">
        <v>0</v>
      </c>
      <c r="I269" s="265">
        <v>0</v>
      </c>
      <c r="J269" s="26">
        <f t="shared" si="17"/>
        <v>0</v>
      </c>
      <c r="K269" s="26">
        <f t="shared" si="18"/>
        <v>0</v>
      </c>
      <c r="L269" s="265">
        <f t="shared" si="19"/>
        <v>0</v>
      </c>
      <c r="M269" s="265" t="s">
        <v>1332</v>
      </c>
      <c r="N269" s="265" t="s">
        <v>1335</v>
      </c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spans="1:26" x14ac:dyDescent="0.4">
      <c r="A270" s="16">
        <v>150788</v>
      </c>
      <c r="B270" s="240">
        <v>0</v>
      </c>
      <c r="C270" s="16">
        <f t="shared" si="16"/>
        <v>0</v>
      </c>
      <c r="D270" s="240">
        <v>0</v>
      </c>
      <c r="E270" s="240">
        <v>0</v>
      </c>
      <c r="F270" s="240">
        <v>0</v>
      </c>
      <c r="G270" s="240">
        <v>0</v>
      </c>
      <c r="H270" s="240">
        <v>0</v>
      </c>
      <c r="I270" s="240">
        <v>0</v>
      </c>
      <c r="J270" s="26">
        <f t="shared" si="17"/>
        <v>0</v>
      </c>
      <c r="K270" s="26">
        <f t="shared" si="18"/>
        <v>0</v>
      </c>
      <c r="L270" s="240">
        <f t="shared" si="19"/>
        <v>0</v>
      </c>
      <c r="M270" s="240" t="s">
        <v>1332</v>
      </c>
      <c r="N270" s="240" t="s">
        <v>1333</v>
      </c>
      <c r="O270" s="16"/>
      <c r="P270" s="16" t="s">
        <v>1331</v>
      </c>
      <c r="Q270" s="16"/>
      <c r="R270" s="16" t="s">
        <v>1330</v>
      </c>
      <c r="S270" s="16"/>
      <c r="T270" s="16" t="s">
        <v>1334</v>
      </c>
      <c r="U270" s="36"/>
      <c r="V270" s="36" t="s">
        <v>1427</v>
      </c>
      <c r="W270" s="36"/>
      <c r="X270" s="36"/>
      <c r="Y270" s="36"/>
      <c r="Z270" s="36"/>
    </row>
    <row r="271" spans="1:26" x14ac:dyDescent="0.4">
      <c r="A271" s="16">
        <v>150789</v>
      </c>
      <c r="B271" s="267">
        <v>45</v>
      </c>
      <c r="C271" s="16">
        <f t="shared" si="16"/>
        <v>225</v>
      </c>
      <c r="D271" s="267">
        <v>0</v>
      </c>
      <c r="E271" s="267">
        <v>0</v>
      </c>
      <c r="F271" s="267">
        <v>0</v>
      </c>
      <c r="G271" s="267">
        <v>0</v>
      </c>
      <c r="H271" s="267">
        <v>0</v>
      </c>
      <c r="I271" s="267">
        <v>0</v>
      </c>
      <c r="J271" s="26">
        <f t="shared" si="17"/>
        <v>0</v>
      </c>
      <c r="K271" s="26">
        <f t="shared" si="18"/>
        <v>0</v>
      </c>
      <c r="L271" s="267">
        <f t="shared" si="19"/>
        <v>0</v>
      </c>
      <c r="M271" s="267" t="s">
        <v>1336</v>
      </c>
      <c r="N271" s="267" t="s">
        <v>1337</v>
      </c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spans="1:26" x14ac:dyDescent="0.4">
      <c r="A272" s="16">
        <v>150790</v>
      </c>
      <c r="B272" s="397">
        <v>60</v>
      </c>
      <c r="C272" s="16">
        <f t="shared" si="16"/>
        <v>300</v>
      </c>
      <c r="D272" s="397">
        <v>0</v>
      </c>
      <c r="E272" s="397">
        <v>0</v>
      </c>
      <c r="F272" s="397">
        <v>0</v>
      </c>
      <c r="G272" s="397">
        <v>0</v>
      </c>
      <c r="H272" s="397">
        <v>0</v>
      </c>
      <c r="I272" s="397">
        <v>0</v>
      </c>
      <c r="J272" s="26">
        <f t="shared" si="17"/>
        <v>0</v>
      </c>
      <c r="K272" s="26">
        <f t="shared" si="18"/>
        <v>0</v>
      </c>
      <c r="L272" s="397">
        <f t="shared" si="19"/>
        <v>0</v>
      </c>
      <c r="M272" s="397" t="s">
        <v>1341</v>
      </c>
      <c r="N272" s="397" t="s">
        <v>1342</v>
      </c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spans="1:26" x14ac:dyDescent="0.4">
      <c r="A273" s="16">
        <v>150791</v>
      </c>
      <c r="B273" s="392">
        <v>45</v>
      </c>
      <c r="C273" s="16">
        <f t="shared" si="16"/>
        <v>225</v>
      </c>
      <c r="D273" s="392">
        <v>0</v>
      </c>
      <c r="E273" s="392">
        <v>0</v>
      </c>
      <c r="F273" s="392">
        <v>0</v>
      </c>
      <c r="G273" s="392">
        <v>0</v>
      </c>
      <c r="H273" s="392">
        <v>0</v>
      </c>
      <c r="I273" s="392">
        <v>0</v>
      </c>
      <c r="J273" s="26">
        <f t="shared" si="17"/>
        <v>0</v>
      </c>
      <c r="K273" s="26">
        <f t="shared" si="18"/>
        <v>0</v>
      </c>
      <c r="L273" s="392">
        <f t="shared" si="19"/>
        <v>0</v>
      </c>
      <c r="M273" s="392" t="s">
        <v>1339</v>
      </c>
      <c r="N273" s="392" t="s">
        <v>1340</v>
      </c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spans="1:26" x14ac:dyDescent="0.4">
      <c r="A274" s="16">
        <v>150792</v>
      </c>
      <c r="B274" s="692">
        <v>120</v>
      </c>
      <c r="C274" s="16">
        <f t="shared" si="16"/>
        <v>600</v>
      </c>
      <c r="D274" s="692">
        <v>0</v>
      </c>
      <c r="E274" s="692">
        <v>0</v>
      </c>
      <c r="F274" s="692">
        <v>0</v>
      </c>
      <c r="G274" s="692">
        <v>0</v>
      </c>
      <c r="H274" s="692">
        <v>0</v>
      </c>
      <c r="I274" s="692">
        <v>0</v>
      </c>
      <c r="J274" s="693">
        <f t="shared" si="17"/>
        <v>0</v>
      </c>
      <c r="K274" s="693">
        <f t="shared" si="18"/>
        <v>0</v>
      </c>
      <c r="L274" s="692">
        <f t="shared" si="19"/>
        <v>0</v>
      </c>
      <c r="M274" s="692" t="s">
        <v>1339</v>
      </c>
      <c r="N274" s="692" t="s">
        <v>1340</v>
      </c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spans="1:26" x14ac:dyDescent="0.4">
      <c r="A275" s="16">
        <v>150793</v>
      </c>
      <c r="B275" s="599">
        <v>60</v>
      </c>
      <c r="C275" s="16">
        <f t="shared" si="16"/>
        <v>300</v>
      </c>
      <c r="D275" s="599">
        <v>0</v>
      </c>
      <c r="E275" s="599">
        <v>0</v>
      </c>
      <c r="F275" s="599">
        <v>0</v>
      </c>
      <c r="G275" s="599">
        <v>0</v>
      </c>
      <c r="H275" s="599">
        <v>0</v>
      </c>
      <c r="I275" s="599">
        <v>0</v>
      </c>
      <c r="J275" s="600">
        <f t="shared" si="17"/>
        <v>0</v>
      </c>
      <c r="K275" s="600">
        <f t="shared" si="18"/>
        <v>0</v>
      </c>
      <c r="L275" s="599">
        <f t="shared" si="19"/>
        <v>0</v>
      </c>
      <c r="M275" s="599" t="s">
        <v>1339</v>
      </c>
      <c r="N275" s="599" t="s">
        <v>1340</v>
      </c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spans="1:26" x14ac:dyDescent="0.4">
      <c r="A276" s="16">
        <v>150794</v>
      </c>
      <c r="B276" s="603">
        <v>45</v>
      </c>
      <c r="C276" s="16">
        <f t="shared" si="16"/>
        <v>225</v>
      </c>
      <c r="D276" s="603">
        <v>0</v>
      </c>
      <c r="E276" s="603">
        <v>0</v>
      </c>
      <c r="F276" s="603">
        <v>0</v>
      </c>
      <c r="G276" s="603">
        <v>0</v>
      </c>
      <c r="H276" s="603">
        <v>0</v>
      </c>
      <c r="I276" s="603">
        <v>0</v>
      </c>
      <c r="J276" s="604">
        <f t="shared" si="17"/>
        <v>0</v>
      </c>
      <c r="K276" s="604">
        <f t="shared" si="18"/>
        <v>0</v>
      </c>
      <c r="L276" s="603">
        <f t="shared" si="19"/>
        <v>0</v>
      </c>
      <c r="M276" s="603" t="s">
        <v>1345</v>
      </c>
      <c r="N276" s="603" t="s">
        <v>1346</v>
      </c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spans="1:26" x14ac:dyDescent="0.4">
      <c r="A277" s="16">
        <v>150795</v>
      </c>
      <c r="B277" s="319">
        <v>45</v>
      </c>
      <c r="C277" s="16">
        <f t="shared" si="16"/>
        <v>225</v>
      </c>
      <c r="D277" s="319">
        <v>0</v>
      </c>
      <c r="E277" s="319">
        <v>0</v>
      </c>
      <c r="F277" s="319">
        <v>0</v>
      </c>
      <c r="G277" s="319">
        <v>0</v>
      </c>
      <c r="H277" s="319">
        <v>0</v>
      </c>
      <c r="I277" s="319">
        <v>0</v>
      </c>
      <c r="J277" s="26">
        <f t="shared" si="17"/>
        <v>0</v>
      </c>
      <c r="K277" s="26">
        <f t="shared" si="18"/>
        <v>0</v>
      </c>
      <c r="L277" s="319">
        <f t="shared" si="19"/>
        <v>0</v>
      </c>
      <c r="M277" s="319" t="s">
        <v>1345</v>
      </c>
      <c r="N277" s="319" t="s">
        <v>1346</v>
      </c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spans="1:26" x14ac:dyDescent="0.4">
      <c r="A278" s="16">
        <v>150796</v>
      </c>
      <c r="B278" s="692">
        <v>60</v>
      </c>
      <c r="C278" s="16">
        <f t="shared" si="16"/>
        <v>300</v>
      </c>
      <c r="D278" s="692">
        <v>0</v>
      </c>
      <c r="E278" s="692">
        <v>0</v>
      </c>
      <c r="F278" s="692">
        <v>0</v>
      </c>
      <c r="G278" s="692">
        <v>0</v>
      </c>
      <c r="H278" s="692">
        <v>0</v>
      </c>
      <c r="I278" s="692">
        <v>0</v>
      </c>
      <c r="J278" s="693">
        <f t="shared" si="17"/>
        <v>0</v>
      </c>
      <c r="K278" s="693">
        <f t="shared" si="18"/>
        <v>0</v>
      </c>
      <c r="L278" s="692">
        <f t="shared" si="19"/>
        <v>0</v>
      </c>
      <c r="M278" s="692" t="s">
        <v>1345</v>
      </c>
      <c r="N278" s="692" t="s">
        <v>1346</v>
      </c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spans="1:26" x14ac:dyDescent="0.4">
      <c r="A279" s="16">
        <v>150797</v>
      </c>
      <c r="B279" s="293">
        <v>60</v>
      </c>
      <c r="C279" s="16">
        <f t="shared" si="16"/>
        <v>300</v>
      </c>
      <c r="D279" s="293">
        <v>0</v>
      </c>
      <c r="E279" s="293">
        <v>0</v>
      </c>
      <c r="F279" s="293">
        <v>0</v>
      </c>
      <c r="G279" s="293">
        <v>0</v>
      </c>
      <c r="H279" s="293">
        <v>0</v>
      </c>
      <c r="I279" s="293">
        <v>0</v>
      </c>
      <c r="J279" s="26">
        <f t="shared" si="17"/>
        <v>0</v>
      </c>
      <c r="K279" s="26">
        <f t="shared" si="18"/>
        <v>0</v>
      </c>
      <c r="L279" s="293">
        <f t="shared" si="19"/>
        <v>0</v>
      </c>
      <c r="M279" s="293" t="s">
        <v>1343</v>
      </c>
      <c r="N279" s="293" t="s">
        <v>1344</v>
      </c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spans="1:26" x14ac:dyDescent="0.4">
      <c r="A280" s="16">
        <v>150798</v>
      </c>
      <c r="B280" s="489">
        <v>60</v>
      </c>
      <c r="C280" s="16">
        <f t="shared" si="16"/>
        <v>300</v>
      </c>
      <c r="D280" s="489">
        <v>0</v>
      </c>
      <c r="E280" s="489">
        <v>0</v>
      </c>
      <c r="F280" s="489">
        <v>0</v>
      </c>
      <c r="G280" s="489">
        <v>0</v>
      </c>
      <c r="H280" s="489">
        <v>0</v>
      </c>
      <c r="I280" s="489">
        <v>0</v>
      </c>
      <c r="J280" s="26">
        <f t="shared" si="17"/>
        <v>0</v>
      </c>
      <c r="K280" s="26">
        <f t="shared" si="18"/>
        <v>0</v>
      </c>
      <c r="L280" s="489">
        <f t="shared" si="19"/>
        <v>0</v>
      </c>
      <c r="M280" s="489" t="s">
        <v>1343</v>
      </c>
      <c r="N280" s="489" t="s">
        <v>1344</v>
      </c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spans="1:26" x14ac:dyDescent="0.4">
      <c r="A281" s="16">
        <v>150799</v>
      </c>
      <c r="B281" s="292">
        <v>60</v>
      </c>
      <c r="C281" s="16">
        <f t="shared" si="16"/>
        <v>300</v>
      </c>
      <c r="D281" s="292">
        <v>0</v>
      </c>
      <c r="E281" s="292">
        <v>0</v>
      </c>
      <c r="F281" s="292">
        <v>0</v>
      </c>
      <c r="G281" s="292">
        <v>0</v>
      </c>
      <c r="H281" s="292">
        <v>0</v>
      </c>
      <c r="I281" s="292">
        <v>0</v>
      </c>
      <c r="J281" s="26">
        <f t="shared" si="17"/>
        <v>0</v>
      </c>
      <c r="K281" s="26">
        <f t="shared" si="18"/>
        <v>0</v>
      </c>
      <c r="L281" s="292">
        <f t="shared" si="19"/>
        <v>0</v>
      </c>
      <c r="M281" s="292" t="s">
        <v>1347</v>
      </c>
      <c r="N281" s="292" t="s">
        <v>1348</v>
      </c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spans="1:26" x14ac:dyDescent="0.4">
      <c r="A282" s="16">
        <v>150800</v>
      </c>
      <c r="B282" s="338">
        <v>45</v>
      </c>
      <c r="C282" s="16">
        <f t="shared" si="16"/>
        <v>225</v>
      </c>
      <c r="D282" s="338">
        <v>0</v>
      </c>
      <c r="E282" s="338">
        <v>0</v>
      </c>
      <c r="F282" s="338">
        <v>0</v>
      </c>
      <c r="G282" s="338">
        <v>0</v>
      </c>
      <c r="H282" s="338">
        <v>0</v>
      </c>
      <c r="I282" s="338">
        <v>0</v>
      </c>
      <c r="J282" s="26">
        <f t="shared" si="17"/>
        <v>0</v>
      </c>
      <c r="K282" s="26">
        <f t="shared" si="18"/>
        <v>0</v>
      </c>
      <c r="L282" s="338">
        <f t="shared" si="19"/>
        <v>0</v>
      </c>
      <c r="M282" s="338" t="s">
        <v>1349</v>
      </c>
      <c r="N282" s="338" t="s">
        <v>1350</v>
      </c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spans="1:26" x14ac:dyDescent="0.4">
      <c r="A283" s="1">
        <v>150801</v>
      </c>
      <c r="B283" s="691">
        <v>45</v>
      </c>
      <c r="C283" s="1">
        <f t="shared" si="16"/>
        <v>225</v>
      </c>
      <c r="D283" s="691">
        <v>0</v>
      </c>
      <c r="E283" s="691">
        <v>0</v>
      </c>
      <c r="F283" s="691">
        <v>0</v>
      </c>
      <c r="G283" s="691">
        <v>0</v>
      </c>
      <c r="H283" s="691">
        <v>0</v>
      </c>
      <c r="I283" s="691">
        <v>1</v>
      </c>
      <c r="J283" s="140">
        <f t="shared" si="17"/>
        <v>1</v>
      </c>
      <c r="K283" s="140">
        <f t="shared" si="18"/>
        <v>0</v>
      </c>
      <c r="L283" s="691">
        <f t="shared" si="19"/>
        <v>0</v>
      </c>
      <c r="M283" s="691" t="s">
        <v>1351</v>
      </c>
      <c r="N283" s="691" t="s">
        <v>1352</v>
      </c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spans="1:26" x14ac:dyDescent="0.4">
      <c r="A284" s="1">
        <v>150802</v>
      </c>
      <c r="B284" s="691">
        <v>45</v>
      </c>
      <c r="C284" s="1">
        <f t="shared" si="16"/>
        <v>225</v>
      </c>
      <c r="D284" s="691">
        <v>0</v>
      </c>
      <c r="E284" s="691">
        <v>0</v>
      </c>
      <c r="F284" s="691">
        <v>0</v>
      </c>
      <c r="G284" s="691">
        <v>0</v>
      </c>
      <c r="H284" s="691">
        <v>1</v>
      </c>
      <c r="I284" s="691">
        <v>1</v>
      </c>
      <c r="J284" s="140">
        <f t="shared" si="17"/>
        <v>2</v>
      </c>
      <c r="K284" s="140">
        <f t="shared" si="18"/>
        <v>1</v>
      </c>
      <c r="L284" s="691">
        <f t="shared" si="19"/>
        <v>45</v>
      </c>
      <c r="M284" s="691" t="s">
        <v>1351</v>
      </c>
      <c r="N284" s="691" t="s">
        <v>1352</v>
      </c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spans="1:26" x14ac:dyDescent="0.4">
      <c r="A285" s="16">
        <v>150803</v>
      </c>
      <c r="B285" s="268">
        <v>45</v>
      </c>
      <c r="C285" s="16">
        <f t="shared" si="16"/>
        <v>225</v>
      </c>
      <c r="D285" s="268">
        <v>0</v>
      </c>
      <c r="E285" s="268">
        <v>0</v>
      </c>
      <c r="F285" s="268">
        <v>0</v>
      </c>
      <c r="G285" s="268">
        <v>0</v>
      </c>
      <c r="H285" s="268">
        <v>0</v>
      </c>
      <c r="I285" s="268">
        <v>0</v>
      </c>
      <c r="J285" s="26">
        <f t="shared" si="17"/>
        <v>0</v>
      </c>
      <c r="K285" s="26">
        <f t="shared" si="18"/>
        <v>0</v>
      </c>
      <c r="L285" s="268">
        <f t="shared" si="19"/>
        <v>0</v>
      </c>
      <c r="M285" s="268" t="s">
        <v>1353</v>
      </c>
      <c r="N285" s="268" t="s">
        <v>1354</v>
      </c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spans="1:26" x14ac:dyDescent="0.4">
      <c r="A286" s="16">
        <v>150804</v>
      </c>
      <c r="B286" s="430">
        <v>60</v>
      </c>
      <c r="C286" s="16">
        <f t="shared" si="16"/>
        <v>300</v>
      </c>
      <c r="D286" s="430">
        <v>0</v>
      </c>
      <c r="E286" s="430">
        <v>0</v>
      </c>
      <c r="F286" s="430">
        <v>0</v>
      </c>
      <c r="G286" s="430">
        <v>0</v>
      </c>
      <c r="H286" s="430">
        <v>0</v>
      </c>
      <c r="I286" s="430">
        <v>0</v>
      </c>
      <c r="J286" s="26">
        <f t="shared" si="17"/>
        <v>0</v>
      </c>
      <c r="K286" s="26">
        <f t="shared" si="18"/>
        <v>0</v>
      </c>
      <c r="L286" s="430">
        <f t="shared" si="19"/>
        <v>0</v>
      </c>
      <c r="M286" s="430" t="s">
        <v>1353</v>
      </c>
      <c r="N286" s="430" t="s">
        <v>1354</v>
      </c>
      <c r="O286" s="2040"/>
      <c r="P286" s="2040"/>
      <c r="Q286" s="2040"/>
      <c r="R286" s="2040"/>
      <c r="S286" s="2040"/>
      <c r="T286" s="2040"/>
      <c r="U286" s="36"/>
      <c r="V286" s="36"/>
      <c r="W286" s="36"/>
      <c r="X286" s="36"/>
      <c r="Y286" s="36"/>
      <c r="Z286" s="36"/>
    </row>
    <row r="287" spans="1:26" x14ac:dyDescent="0.4">
      <c r="A287" s="16">
        <v>150805</v>
      </c>
      <c r="B287" s="434">
        <v>60</v>
      </c>
      <c r="C287" s="16">
        <f t="shared" si="16"/>
        <v>300</v>
      </c>
      <c r="D287" s="434">
        <v>0</v>
      </c>
      <c r="E287" s="434">
        <v>0</v>
      </c>
      <c r="F287" s="434">
        <v>0</v>
      </c>
      <c r="G287" s="434">
        <v>0</v>
      </c>
      <c r="H287" s="434">
        <v>0</v>
      </c>
      <c r="I287" s="434">
        <v>0</v>
      </c>
      <c r="J287" s="26">
        <f t="shared" si="17"/>
        <v>0</v>
      </c>
      <c r="K287" s="26">
        <f t="shared" si="18"/>
        <v>0</v>
      </c>
      <c r="L287" s="434">
        <f t="shared" si="19"/>
        <v>0</v>
      </c>
      <c r="M287" s="434" t="s">
        <v>1355</v>
      </c>
      <c r="N287" s="434" t="s">
        <v>1356</v>
      </c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spans="1:26" x14ac:dyDescent="0.4">
      <c r="A288" s="16">
        <v>150806</v>
      </c>
      <c r="B288" s="476">
        <v>50</v>
      </c>
      <c r="C288" s="16">
        <f t="shared" si="16"/>
        <v>250</v>
      </c>
      <c r="D288" s="476">
        <v>0</v>
      </c>
      <c r="E288" s="476">
        <v>0</v>
      </c>
      <c r="F288" s="476">
        <v>0</v>
      </c>
      <c r="G288" s="476">
        <v>0</v>
      </c>
      <c r="H288" s="476">
        <v>0</v>
      </c>
      <c r="I288" s="476">
        <v>0</v>
      </c>
      <c r="J288" s="26">
        <f t="shared" si="17"/>
        <v>0</v>
      </c>
      <c r="K288" s="26">
        <f t="shared" si="18"/>
        <v>0</v>
      </c>
      <c r="L288" s="476">
        <f t="shared" si="19"/>
        <v>0</v>
      </c>
      <c r="M288" s="476" t="s">
        <v>1357</v>
      </c>
      <c r="N288" s="476" t="s">
        <v>1358</v>
      </c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spans="1:26" x14ac:dyDescent="0.4">
      <c r="A289" s="16">
        <v>150807</v>
      </c>
      <c r="B289" s="692">
        <v>90</v>
      </c>
      <c r="C289" s="16">
        <f t="shared" si="16"/>
        <v>450</v>
      </c>
      <c r="D289" s="692">
        <v>0</v>
      </c>
      <c r="E289" s="692">
        <v>0</v>
      </c>
      <c r="F289" s="692">
        <v>0</v>
      </c>
      <c r="G289" s="692">
        <v>0</v>
      </c>
      <c r="H289" s="692">
        <v>0</v>
      </c>
      <c r="I289" s="692">
        <v>0</v>
      </c>
      <c r="J289" s="693">
        <f t="shared" si="17"/>
        <v>0</v>
      </c>
      <c r="K289" s="693">
        <f t="shared" si="18"/>
        <v>0</v>
      </c>
      <c r="L289" s="692">
        <f t="shared" si="19"/>
        <v>0</v>
      </c>
      <c r="M289" s="692" t="s">
        <v>1357</v>
      </c>
      <c r="N289" s="692" t="s">
        <v>1358</v>
      </c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spans="1:26" x14ac:dyDescent="0.4">
      <c r="A290" s="16">
        <v>150808</v>
      </c>
      <c r="B290" s="363">
        <v>45</v>
      </c>
      <c r="C290" s="16">
        <f t="shared" si="16"/>
        <v>225</v>
      </c>
      <c r="D290" s="363">
        <v>0</v>
      </c>
      <c r="E290" s="363">
        <v>0</v>
      </c>
      <c r="F290" s="363">
        <v>0</v>
      </c>
      <c r="G290" s="363">
        <v>0</v>
      </c>
      <c r="H290" s="363">
        <v>0</v>
      </c>
      <c r="I290" s="363">
        <v>0</v>
      </c>
      <c r="J290" s="26">
        <f t="shared" si="17"/>
        <v>0</v>
      </c>
      <c r="K290" s="26">
        <f t="shared" si="18"/>
        <v>0</v>
      </c>
      <c r="L290" s="363">
        <f t="shared" si="19"/>
        <v>0</v>
      </c>
      <c r="M290" s="363" t="s">
        <v>1361</v>
      </c>
      <c r="N290" s="363" t="s">
        <v>1362</v>
      </c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spans="1:26" x14ac:dyDescent="0.4">
      <c r="A291" s="16">
        <v>150809</v>
      </c>
      <c r="B291" s="395">
        <v>45</v>
      </c>
      <c r="C291" s="16">
        <f t="shared" si="16"/>
        <v>225</v>
      </c>
      <c r="D291" s="395">
        <v>0</v>
      </c>
      <c r="E291" s="395">
        <v>0</v>
      </c>
      <c r="F291" s="395">
        <v>0</v>
      </c>
      <c r="G291" s="395">
        <v>0</v>
      </c>
      <c r="H291" s="395">
        <v>0</v>
      </c>
      <c r="I291" s="395">
        <v>0</v>
      </c>
      <c r="J291" s="26">
        <f t="shared" si="17"/>
        <v>0</v>
      </c>
      <c r="K291" s="26">
        <f t="shared" si="18"/>
        <v>0</v>
      </c>
      <c r="L291" s="395">
        <f t="shared" si="19"/>
        <v>0</v>
      </c>
      <c r="M291" s="395" t="s">
        <v>1359</v>
      </c>
      <c r="N291" s="395" t="s">
        <v>1360</v>
      </c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spans="1:26" x14ac:dyDescent="0.4">
      <c r="A292" s="16">
        <v>150810</v>
      </c>
      <c r="B292" s="692">
        <v>120</v>
      </c>
      <c r="C292" s="16">
        <f t="shared" si="16"/>
        <v>600</v>
      </c>
      <c r="D292" s="692">
        <v>0</v>
      </c>
      <c r="E292" s="692">
        <v>0</v>
      </c>
      <c r="F292" s="692">
        <v>0</v>
      </c>
      <c r="G292" s="692">
        <v>0</v>
      </c>
      <c r="H292" s="692">
        <v>0</v>
      </c>
      <c r="I292" s="692">
        <v>0</v>
      </c>
      <c r="J292" s="693">
        <f t="shared" si="17"/>
        <v>0</v>
      </c>
      <c r="K292" s="693">
        <f t="shared" si="18"/>
        <v>0</v>
      </c>
      <c r="L292" s="692">
        <f t="shared" si="19"/>
        <v>0</v>
      </c>
      <c r="M292" s="692" t="s">
        <v>1363</v>
      </c>
      <c r="N292" s="692" t="s">
        <v>1364</v>
      </c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spans="1:26" x14ac:dyDescent="0.4">
      <c r="A293" s="16">
        <v>150811</v>
      </c>
      <c r="B293" s="421">
        <v>50</v>
      </c>
      <c r="C293" s="16">
        <f t="shared" si="16"/>
        <v>250</v>
      </c>
      <c r="D293" s="421">
        <v>0</v>
      </c>
      <c r="E293" s="421">
        <v>0</v>
      </c>
      <c r="F293" s="421">
        <v>0</v>
      </c>
      <c r="G293" s="421">
        <v>0</v>
      </c>
      <c r="H293" s="421">
        <v>0</v>
      </c>
      <c r="I293" s="421">
        <v>0</v>
      </c>
      <c r="J293" s="26">
        <f t="shared" si="17"/>
        <v>0</v>
      </c>
      <c r="K293" s="26">
        <f t="shared" si="18"/>
        <v>0</v>
      </c>
      <c r="L293" s="421">
        <f t="shared" si="19"/>
        <v>0</v>
      </c>
      <c r="M293" s="421" t="s">
        <v>1365</v>
      </c>
      <c r="N293" s="421" t="s">
        <v>1366</v>
      </c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spans="1:26" x14ac:dyDescent="0.4">
      <c r="A294" s="16">
        <v>150812</v>
      </c>
      <c r="B294" s="545">
        <v>45</v>
      </c>
      <c r="C294" s="16">
        <f t="shared" si="16"/>
        <v>225</v>
      </c>
      <c r="D294" s="545">
        <v>0</v>
      </c>
      <c r="E294" s="545">
        <v>0</v>
      </c>
      <c r="F294" s="545">
        <v>0</v>
      </c>
      <c r="G294" s="545">
        <v>0</v>
      </c>
      <c r="H294" s="545">
        <v>0</v>
      </c>
      <c r="I294" s="545">
        <v>0</v>
      </c>
      <c r="J294" s="546">
        <f t="shared" si="17"/>
        <v>0</v>
      </c>
      <c r="K294" s="546">
        <f t="shared" si="18"/>
        <v>0</v>
      </c>
      <c r="L294" s="545">
        <f t="shared" si="19"/>
        <v>0</v>
      </c>
      <c r="M294" s="545" t="s">
        <v>1365</v>
      </c>
      <c r="N294" s="545" t="s">
        <v>1366</v>
      </c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spans="1:26" x14ac:dyDescent="0.4">
      <c r="A295" s="1">
        <v>150813</v>
      </c>
      <c r="B295" s="691">
        <v>60</v>
      </c>
      <c r="C295" s="1">
        <f t="shared" si="16"/>
        <v>300</v>
      </c>
      <c r="D295" s="691">
        <v>0</v>
      </c>
      <c r="E295" s="691">
        <v>0</v>
      </c>
      <c r="F295" s="691">
        <v>0</v>
      </c>
      <c r="G295" s="691">
        <v>0</v>
      </c>
      <c r="H295" s="691">
        <v>0</v>
      </c>
      <c r="I295" s="691">
        <v>1</v>
      </c>
      <c r="J295" s="140">
        <f t="shared" si="17"/>
        <v>1</v>
      </c>
      <c r="K295" s="140">
        <f t="shared" si="18"/>
        <v>0</v>
      </c>
      <c r="L295" s="691">
        <f t="shared" si="19"/>
        <v>0</v>
      </c>
      <c r="M295" s="691" t="s">
        <v>1367</v>
      </c>
      <c r="N295" s="691" t="s">
        <v>1368</v>
      </c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spans="1:26" x14ac:dyDescent="0.4">
      <c r="A296" s="16">
        <v>150814</v>
      </c>
      <c r="B296" s="240">
        <v>0</v>
      </c>
      <c r="C296" s="16">
        <f t="shared" si="16"/>
        <v>0</v>
      </c>
      <c r="D296" s="240">
        <v>0</v>
      </c>
      <c r="E296" s="240">
        <v>0</v>
      </c>
      <c r="F296" s="240">
        <v>0</v>
      </c>
      <c r="G296" s="240">
        <v>0</v>
      </c>
      <c r="H296" s="240">
        <v>0</v>
      </c>
      <c r="I296" s="240">
        <v>0</v>
      </c>
      <c r="J296" s="26">
        <f t="shared" si="17"/>
        <v>0</v>
      </c>
      <c r="K296" s="26">
        <f t="shared" si="18"/>
        <v>0</v>
      </c>
      <c r="L296" s="240">
        <f t="shared" si="19"/>
        <v>0</v>
      </c>
      <c r="M296" s="240" t="s">
        <v>1370</v>
      </c>
      <c r="N296" s="240" t="s">
        <v>1371</v>
      </c>
      <c r="O296" s="16"/>
      <c r="P296" s="16" t="s">
        <v>1372</v>
      </c>
      <c r="Q296" s="16"/>
      <c r="R296" s="16"/>
      <c r="S296" s="16" t="s">
        <v>1373</v>
      </c>
      <c r="T296" s="36"/>
      <c r="U296" s="36"/>
      <c r="V296" s="36"/>
      <c r="W296" s="36"/>
      <c r="X296" s="36"/>
      <c r="Y296" s="36"/>
      <c r="Z296" s="36"/>
    </row>
    <row r="297" spans="1:26" x14ac:dyDescent="0.4">
      <c r="A297" s="16">
        <v>150815</v>
      </c>
      <c r="B297" s="465">
        <v>90</v>
      </c>
      <c r="C297" s="16">
        <f t="shared" si="16"/>
        <v>450</v>
      </c>
      <c r="D297" s="465">
        <v>0</v>
      </c>
      <c r="E297" s="465">
        <v>0</v>
      </c>
      <c r="F297" s="465">
        <v>0</v>
      </c>
      <c r="G297" s="465">
        <v>0</v>
      </c>
      <c r="H297" s="465">
        <v>0</v>
      </c>
      <c r="I297" s="465">
        <v>0</v>
      </c>
      <c r="J297" s="26">
        <f t="shared" si="17"/>
        <v>0</v>
      </c>
      <c r="K297" s="26">
        <f t="shared" si="18"/>
        <v>0</v>
      </c>
      <c r="L297" s="465">
        <f t="shared" si="19"/>
        <v>0</v>
      </c>
      <c r="M297" s="465" t="s">
        <v>1370</v>
      </c>
      <c r="N297" s="465" t="s">
        <v>1371</v>
      </c>
      <c r="O297" s="16"/>
      <c r="P297" s="16"/>
      <c r="Q297" s="16"/>
      <c r="R297" s="16"/>
      <c r="S297" s="16"/>
      <c r="T297" s="36"/>
      <c r="U297" s="36"/>
      <c r="V297" s="36"/>
      <c r="W297" s="36"/>
      <c r="X297" s="36"/>
      <c r="Y297" s="36"/>
      <c r="Z297" s="36"/>
    </row>
    <row r="298" spans="1:26" x14ac:dyDescent="0.4">
      <c r="A298" s="16">
        <v>150816</v>
      </c>
      <c r="B298" s="619">
        <v>45</v>
      </c>
      <c r="C298" s="16">
        <f t="shared" si="16"/>
        <v>225</v>
      </c>
      <c r="D298" s="619">
        <v>0</v>
      </c>
      <c r="E298" s="619">
        <v>0</v>
      </c>
      <c r="F298" s="619">
        <v>0</v>
      </c>
      <c r="G298" s="619">
        <v>0</v>
      </c>
      <c r="H298" s="619">
        <v>0</v>
      </c>
      <c r="I298" s="619">
        <v>0</v>
      </c>
      <c r="J298" s="620">
        <f t="shared" si="17"/>
        <v>0</v>
      </c>
      <c r="K298" s="620">
        <f t="shared" si="18"/>
        <v>0</v>
      </c>
      <c r="L298" s="619">
        <f t="shared" si="19"/>
        <v>0</v>
      </c>
      <c r="M298" s="619" t="s">
        <v>1370</v>
      </c>
      <c r="N298" s="619" t="s">
        <v>1371</v>
      </c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spans="1:26" x14ac:dyDescent="0.4">
      <c r="A299" s="16">
        <v>150817</v>
      </c>
      <c r="B299" s="382">
        <v>45</v>
      </c>
      <c r="C299" s="16">
        <f t="shared" si="16"/>
        <v>225</v>
      </c>
      <c r="D299" s="382">
        <v>0</v>
      </c>
      <c r="E299" s="382">
        <v>0</v>
      </c>
      <c r="F299" s="382">
        <v>0</v>
      </c>
      <c r="G299" s="382">
        <v>0</v>
      </c>
      <c r="H299" s="382">
        <v>0</v>
      </c>
      <c r="I299" s="382">
        <v>0</v>
      </c>
      <c r="J299" s="26">
        <f t="shared" si="17"/>
        <v>0</v>
      </c>
      <c r="K299" s="26">
        <f t="shared" si="18"/>
        <v>0</v>
      </c>
      <c r="L299" s="382">
        <f t="shared" si="19"/>
        <v>0</v>
      </c>
      <c r="M299" s="382" t="s">
        <v>1374</v>
      </c>
      <c r="N299" s="382" t="s">
        <v>1375</v>
      </c>
      <c r="O299" s="1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spans="1:26" x14ac:dyDescent="0.4">
      <c r="A300" s="16">
        <v>150818</v>
      </c>
      <c r="B300" s="621">
        <v>45</v>
      </c>
      <c r="C300" s="16">
        <f t="shared" si="16"/>
        <v>225</v>
      </c>
      <c r="D300" s="621">
        <v>0</v>
      </c>
      <c r="E300" s="621">
        <v>0</v>
      </c>
      <c r="F300" s="621">
        <v>0</v>
      </c>
      <c r="G300" s="621">
        <v>0</v>
      </c>
      <c r="H300" s="621">
        <v>0</v>
      </c>
      <c r="I300" s="621">
        <v>0</v>
      </c>
      <c r="J300" s="622">
        <f t="shared" si="17"/>
        <v>0</v>
      </c>
      <c r="K300" s="622">
        <f t="shared" si="18"/>
        <v>0</v>
      </c>
      <c r="L300" s="621">
        <f t="shared" si="19"/>
        <v>0</v>
      </c>
      <c r="M300" s="621" t="s">
        <v>1376</v>
      </c>
      <c r="N300" s="621" t="s">
        <v>1377</v>
      </c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spans="1:26" x14ac:dyDescent="0.4">
      <c r="A301" s="16">
        <v>150819</v>
      </c>
      <c r="B301" s="420">
        <v>45</v>
      </c>
      <c r="C301" s="16">
        <f t="shared" si="16"/>
        <v>225</v>
      </c>
      <c r="D301" s="420">
        <v>0</v>
      </c>
      <c r="E301" s="420">
        <v>0</v>
      </c>
      <c r="F301" s="420">
        <v>0</v>
      </c>
      <c r="G301" s="420">
        <v>0</v>
      </c>
      <c r="H301" s="420">
        <v>0</v>
      </c>
      <c r="I301" s="420">
        <v>0</v>
      </c>
      <c r="J301" s="26">
        <f t="shared" si="17"/>
        <v>0</v>
      </c>
      <c r="K301" s="26">
        <f t="shared" si="18"/>
        <v>0</v>
      </c>
      <c r="L301" s="420">
        <f t="shared" si="19"/>
        <v>0</v>
      </c>
      <c r="M301" s="420" t="s">
        <v>1376</v>
      </c>
      <c r="N301" s="420" t="s">
        <v>1377</v>
      </c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spans="1:26" x14ac:dyDescent="0.4">
      <c r="A302" s="16">
        <v>150820</v>
      </c>
      <c r="B302" s="692">
        <v>45</v>
      </c>
      <c r="C302" s="16">
        <f t="shared" si="16"/>
        <v>225</v>
      </c>
      <c r="D302" s="692">
        <v>0</v>
      </c>
      <c r="E302" s="692">
        <v>0</v>
      </c>
      <c r="F302" s="692">
        <v>0</v>
      </c>
      <c r="G302" s="692">
        <v>0</v>
      </c>
      <c r="H302" s="692">
        <v>0</v>
      </c>
      <c r="I302" s="692">
        <v>0</v>
      </c>
      <c r="J302" s="693">
        <f t="shared" si="17"/>
        <v>0</v>
      </c>
      <c r="K302" s="693">
        <f t="shared" si="18"/>
        <v>0</v>
      </c>
      <c r="L302" s="692">
        <f t="shared" si="19"/>
        <v>0</v>
      </c>
      <c r="M302" s="692" t="s">
        <v>1376</v>
      </c>
      <c r="N302" s="692" t="s">
        <v>1377</v>
      </c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spans="1:26" x14ac:dyDescent="0.4">
      <c r="A303" s="16">
        <v>150821</v>
      </c>
      <c r="B303" s="301">
        <v>45</v>
      </c>
      <c r="C303" s="16">
        <f t="shared" si="16"/>
        <v>225</v>
      </c>
      <c r="D303" s="301">
        <v>0</v>
      </c>
      <c r="E303" s="301">
        <v>0</v>
      </c>
      <c r="F303" s="301">
        <v>0</v>
      </c>
      <c r="G303" s="301">
        <v>0</v>
      </c>
      <c r="H303" s="301">
        <v>0</v>
      </c>
      <c r="I303" s="301">
        <v>0</v>
      </c>
      <c r="J303" s="26">
        <f t="shared" si="17"/>
        <v>0</v>
      </c>
      <c r="K303" s="26">
        <f t="shared" si="18"/>
        <v>0</v>
      </c>
      <c r="L303" s="301">
        <f t="shared" si="19"/>
        <v>0</v>
      </c>
      <c r="M303" s="301" t="s">
        <v>1376</v>
      </c>
      <c r="N303" s="301" t="s">
        <v>1377</v>
      </c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spans="1:26" x14ac:dyDescent="0.4">
      <c r="A304" s="1">
        <v>150822</v>
      </c>
      <c r="B304" s="691">
        <v>60</v>
      </c>
      <c r="C304" s="1">
        <f t="shared" si="16"/>
        <v>300</v>
      </c>
      <c r="D304" s="691">
        <v>0</v>
      </c>
      <c r="E304" s="691">
        <v>0</v>
      </c>
      <c r="F304" s="691">
        <v>0</v>
      </c>
      <c r="G304" s="691">
        <v>1</v>
      </c>
      <c r="H304" s="691">
        <v>1</v>
      </c>
      <c r="I304" s="691">
        <v>1</v>
      </c>
      <c r="J304" s="140">
        <f t="shared" si="17"/>
        <v>3</v>
      </c>
      <c r="K304" s="140">
        <f t="shared" si="18"/>
        <v>2</v>
      </c>
      <c r="L304" s="691">
        <f t="shared" si="19"/>
        <v>120</v>
      </c>
      <c r="M304" s="691" t="s">
        <v>1381</v>
      </c>
      <c r="N304" s="691" t="s">
        <v>1382</v>
      </c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spans="1:26" x14ac:dyDescent="0.4">
      <c r="A305" s="16">
        <v>150823</v>
      </c>
      <c r="B305" s="580">
        <v>50</v>
      </c>
      <c r="C305" s="16">
        <f t="shared" si="16"/>
        <v>250</v>
      </c>
      <c r="D305" s="580">
        <v>0</v>
      </c>
      <c r="E305" s="580">
        <v>0</v>
      </c>
      <c r="F305" s="580">
        <v>0</v>
      </c>
      <c r="G305" s="580">
        <v>0</v>
      </c>
      <c r="H305" s="580">
        <v>0</v>
      </c>
      <c r="I305" s="580">
        <v>0</v>
      </c>
      <c r="J305" s="581">
        <f t="shared" si="17"/>
        <v>0</v>
      </c>
      <c r="K305" s="581">
        <f t="shared" si="18"/>
        <v>0</v>
      </c>
      <c r="L305" s="580">
        <f t="shared" si="19"/>
        <v>0</v>
      </c>
      <c r="M305" s="580" t="s">
        <v>1378</v>
      </c>
      <c r="N305" s="580" t="s">
        <v>1379</v>
      </c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spans="1:26" x14ac:dyDescent="0.4">
      <c r="A306" s="16">
        <v>150824</v>
      </c>
      <c r="B306" s="580"/>
      <c r="C306" s="16">
        <f t="shared" si="16"/>
        <v>0</v>
      </c>
      <c r="D306" s="580">
        <v>0</v>
      </c>
      <c r="E306" s="580">
        <v>0</v>
      </c>
      <c r="F306" s="580">
        <v>0</v>
      </c>
      <c r="G306" s="580"/>
      <c r="H306" s="580"/>
      <c r="I306" s="580"/>
      <c r="J306" s="581">
        <f t="shared" si="17"/>
        <v>0</v>
      </c>
      <c r="K306" s="581">
        <f t="shared" si="18"/>
        <v>0</v>
      </c>
      <c r="L306" s="580">
        <f t="shared" si="19"/>
        <v>0</v>
      </c>
      <c r="M306" s="580" t="s">
        <v>1378</v>
      </c>
      <c r="N306" s="580" t="s">
        <v>1383</v>
      </c>
      <c r="O306" s="36"/>
      <c r="P306" s="36" t="s">
        <v>1380</v>
      </c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spans="1:26" x14ac:dyDescent="0.4">
      <c r="A307" s="16">
        <v>150825</v>
      </c>
      <c r="B307" s="580"/>
      <c r="C307" s="16">
        <v>45</v>
      </c>
      <c r="D307" s="580">
        <v>0</v>
      </c>
      <c r="E307" s="580">
        <v>0</v>
      </c>
      <c r="F307" s="580">
        <v>0</v>
      </c>
      <c r="G307" s="580">
        <v>0</v>
      </c>
      <c r="H307" s="580">
        <v>0</v>
      </c>
      <c r="I307" s="580">
        <v>0</v>
      </c>
      <c r="J307" s="581">
        <f t="shared" ref="J307:J320" si="20">SUM(D307:I307)</f>
        <v>0</v>
      </c>
      <c r="K307" s="581">
        <f t="shared" ref="K307:K320" si="21">SUM(D307:H307)</f>
        <v>0</v>
      </c>
      <c r="L307" s="580">
        <f t="shared" ref="L307:L320" si="22">B307*K307</f>
        <v>0</v>
      </c>
      <c r="M307" s="580" t="s">
        <v>1384</v>
      </c>
      <c r="N307" s="580" t="s">
        <v>1385</v>
      </c>
      <c r="O307" s="36"/>
      <c r="P307" s="36" t="s">
        <v>1453</v>
      </c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spans="1:26" x14ac:dyDescent="0.4">
      <c r="A308" s="1">
        <v>150826</v>
      </c>
      <c r="B308" s="691">
        <v>120</v>
      </c>
      <c r="C308" s="1">
        <f t="shared" ref="C308:C321" si="23">SUM(B308*5)</f>
        <v>600</v>
      </c>
      <c r="D308" s="691">
        <v>0</v>
      </c>
      <c r="E308" s="691">
        <v>0</v>
      </c>
      <c r="F308" s="691">
        <v>0</v>
      </c>
      <c r="G308" s="691">
        <v>0</v>
      </c>
      <c r="H308" s="691">
        <v>0</v>
      </c>
      <c r="I308" s="691">
        <v>1</v>
      </c>
      <c r="J308" s="140">
        <f t="shared" si="20"/>
        <v>1</v>
      </c>
      <c r="K308" s="140">
        <f t="shared" si="21"/>
        <v>0</v>
      </c>
      <c r="L308" s="691">
        <f t="shared" si="22"/>
        <v>0</v>
      </c>
      <c r="M308" s="1" t="s">
        <v>1397</v>
      </c>
      <c r="N308" s="1" t="s">
        <v>1396</v>
      </c>
    </row>
    <row r="309" spans="1:26" x14ac:dyDescent="0.4">
      <c r="A309" s="1">
        <v>150827</v>
      </c>
      <c r="B309" s="691">
        <v>45</v>
      </c>
      <c r="C309" s="1">
        <f t="shared" si="23"/>
        <v>225</v>
      </c>
      <c r="D309" s="691">
        <v>0</v>
      </c>
      <c r="E309" s="691">
        <v>0</v>
      </c>
      <c r="F309" s="691">
        <v>0</v>
      </c>
      <c r="G309" s="691">
        <v>0</v>
      </c>
      <c r="H309" s="691">
        <v>1</v>
      </c>
      <c r="I309" s="691">
        <v>1</v>
      </c>
      <c r="J309" s="140">
        <f t="shared" si="20"/>
        <v>2</v>
      </c>
      <c r="K309" s="140">
        <f t="shared" si="21"/>
        <v>1</v>
      </c>
      <c r="L309" s="691">
        <f t="shared" si="22"/>
        <v>45</v>
      </c>
      <c r="M309" s="1" t="s">
        <v>1395</v>
      </c>
      <c r="N309" s="1" t="s">
        <v>1396</v>
      </c>
      <c r="P309" t="s">
        <v>2184</v>
      </c>
    </row>
    <row r="310" spans="1:26" x14ac:dyDescent="0.4">
      <c r="A310" s="1">
        <v>150828</v>
      </c>
      <c r="B310" s="691">
        <v>90</v>
      </c>
      <c r="C310" s="1">
        <f>B310*3</f>
        <v>270</v>
      </c>
      <c r="D310" s="691">
        <v>0</v>
      </c>
      <c r="E310" s="691">
        <v>1</v>
      </c>
      <c r="F310" s="691">
        <v>1</v>
      </c>
      <c r="G310" s="691"/>
      <c r="H310" s="691"/>
      <c r="I310" s="691"/>
      <c r="J310" s="140">
        <f t="shared" si="20"/>
        <v>2</v>
      </c>
      <c r="K310" s="140">
        <f t="shared" si="21"/>
        <v>2</v>
      </c>
      <c r="L310" s="691">
        <f t="shared" si="22"/>
        <v>180</v>
      </c>
      <c r="M310" s="1" t="s">
        <v>1395</v>
      </c>
      <c r="N310" s="1" t="s">
        <v>1396</v>
      </c>
      <c r="P310" t="s">
        <v>1398</v>
      </c>
    </row>
    <row r="311" spans="1:26" x14ac:dyDescent="0.4">
      <c r="A311" s="16">
        <v>150829</v>
      </c>
      <c r="B311" s="364">
        <v>120</v>
      </c>
      <c r="C311" s="16">
        <f>SUM(B311*2)</f>
        <v>240</v>
      </c>
      <c r="D311" s="364">
        <v>0</v>
      </c>
      <c r="E311" s="364">
        <v>0</v>
      </c>
      <c r="F311" s="364">
        <v>0</v>
      </c>
      <c r="G311" s="364"/>
      <c r="H311" s="364"/>
      <c r="I311" s="364"/>
      <c r="J311" s="26">
        <f t="shared" si="20"/>
        <v>0</v>
      </c>
      <c r="K311" s="26">
        <v>2</v>
      </c>
      <c r="L311" s="364">
        <v>240</v>
      </c>
      <c r="M311" s="16" t="s">
        <v>1395</v>
      </c>
      <c r="N311" s="16" t="s">
        <v>1396</v>
      </c>
      <c r="O311" s="16"/>
      <c r="P311" s="16" t="s">
        <v>1398</v>
      </c>
      <c r="Q311" s="16"/>
      <c r="R311" s="16"/>
    </row>
    <row r="312" spans="1:26" x14ac:dyDescent="0.4">
      <c r="A312" s="1">
        <v>150830</v>
      </c>
      <c r="B312" s="686">
        <v>60</v>
      </c>
      <c r="C312" s="1">
        <f t="shared" si="23"/>
        <v>300</v>
      </c>
      <c r="D312" s="686">
        <v>0</v>
      </c>
      <c r="E312" s="686">
        <v>0</v>
      </c>
      <c r="F312" s="686">
        <v>0</v>
      </c>
      <c r="G312" s="686">
        <v>0</v>
      </c>
      <c r="H312" s="686">
        <v>1</v>
      </c>
      <c r="I312" s="686">
        <v>1</v>
      </c>
      <c r="J312" s="140">
        <f t="shared" si="20"/>
        <v>2</v>
      </c>
      <c r="K312" s="140">
        <f t="shared" si="21"/>
        <v>1</v>
      </c>
      <c r="L312" s="686">
        <f t="shared" si="22"/>
        <v>60</v>
      </c>
      <c r="M312" s="1" t="s">
        <v>1393</v>
      </c>
      <c r="N312" s="1" t="s">
        <v>1394</v>
      </c>
    </row>
    <row r="313" spans="1:26" x14ac:dyDescent="0.4">
      <c r="A313" s="801">
        <v>150831</v>
      </c>
      <c r="B313" s="802">
        <v>60</v>
      </c>
      <c r="C313" s="801">
        <f t="shared" si="23"/>
        <v>300</v>
      </c>
      <c r="D313" s="802">
        <v>0</v>
      </c>
      <c r="E313" s="802">
        <v>0</v>
      </c>
      <c r="F313" s="802">
        <v>1</v>
      </c>
      <c r="G313" s="802">
        <v>1</v>
      </c>
      <c r="H313" s="802">
        <v>1</v>
      </c>
      <c r="I313" s="802">
        <v>1</v>
      </c>
      <c r="J313" s="803">
        <f t="shared" si="20"/>
        <v>4</v>
      </c>
      <c r="K313" s="803">
        <f t="shared" si="21"/>
        <v>3</v>
      </c>
      <c r="L313" s="802">
        <f t="shared" si="22"/>
        <v>180</v>
      </c>
      <c r="M313" s="801" t="s">
        <v>1391</v>
      </c>
      <c r="N313" s="804" t="s">
        <v>1392</v>
      </c>
      <c r="P313" t="s">
        <v>2523</v>
      </c>
    </row>
    <row r="314" spans="1:26" x14ac:dyDescent="0.4">
      <c r="A314" s="16">
        <v>150832</v>
      </c>
      <c r="B314" s="578">
        <v>45</v>
      </c>
      <c r="C314" s="16">
        <f t="shared" si="23"/>
        <v>225</v>
      </c>
      <c r="D314" s="578">
        <v>0</v>
      </c>
      <c r="E314" s="578">
        <v>0</v>
      </c>
      <c r="F314" s="578">
        <v>0</v>
      </c>
      <c r="G314" s="578">
        <v>0</v>
      </c>
      <c r="H314" s="578">
        <v>0</v>
      </c>
      <c r="I314" s="578">
        <v>0</v>
      </c>
      <c r="J314" s="579">
        <f t="shared" si="20"/>
        <v>0</v>
      </c>
      <c r="K314" s="579">
        <f t="shared" si="21"/>
        <v>0</v>
      </c>
      <c r="L314" s="578">
        <f t="shared" si="22"/>
        <v>0</v>
      </c>
      <c r="M314" s="16" t="s">
        <v>1386</v>
      </c>
      <c r="N314" s="16" t="s">
        <v>1387</v>
      </c>
    </row>
    <row r="315" spans="1:26" x14ac:dyDescent="0.4">
      <c r="A315" s="16">
        <v>150833</v>
      </c>
      <c r="B315" s="339">
        <v>45</v>
      </c>
      <c r="C315" s="16">
        <f t="shared" si="23"/>
        <v>225</v>
      </c>
      <c r="D315" s="339">
        <v>0</v>
      </c>
      <c r="E315" s="339">
        <v>0</v>
      </c>
      <c r="F315" s="339">
        <v>0</v>
      </c>
      <c r="G315" s="339">
        <v>0</v>
      </c>
      <c r="H315" s="339">
        <v>0</v>
      </c>
      <c r="I315" s="339">
        <v>0</v>
      </c>
      <c r="J315" s="26">
        <f t="shared" si="20"/>
        <v>0</v>
      </c>
      <c r="K315" s="26">
        <f t="shared" si="21"/>
        <v>0</v>
      </c>
      <c r="L315" s="339">
        <f t="shared" si="22"/>
        <v>0</v>
      </c>
      <c r="M315" s="16" t="s">
        <v>1386</v>
      </c>
      <c r="N315" s="16" t="s">
        <v>1387</v>
      </c>
    </row>
    <row r="316" spans="1:26" x14ac:dyDescent="0.4">
      <c r="A316" s="1">
        <v>150834</v>
      </c>
      <c r="B316" s="691">
        <v>70</v>
      </c>
      <c r="C316" s="1">
        <f t="shared" si="23"/>
        <v>350</v>
      </c>
      <c r="D316" s="691">
        <v>0</v>
      </c>
      <c r="E316" s="691">
        <v>0</v>
      </c>
      <c r="F316" s="691">
        <v>0</v>
      </c>
      <c r="G316" s="691">
        <v>0</v>
      </c>
      <c r="H316" s="691">
        <v>1</v>
      </c>
      <c r="I316" s="691">
        <v>1</v>
      </c>
      <c r="J316" s="140">
        <f t="shared" si="20"/>
        <v>2</v>
      </c>
      <c r="K316" s="140">
        <f t="shared" si="21"/>
        <v>1</v>
      </c>
      <c r="L316" s="691">
        <f t="shared" si="22"/>
        <v>70</v>
      </c>
      <c r="M316" s="1" t="s">
        <v>1388</v>
      </c>
      <c r="N316" s="1" t="s">
        <v>1387</v>
      </c>
    </row>
    <row r="317" spans="1:26" x14ac:dyDescent="0.4">
      <c r="A317" s="16">
        <v>150835</v>
      </c>
      <c r="B317" s="371">
        <v>45</v>
      </c>
      <c r="C317" s="16">
        <f t="shared" si="23"/>
        <v>225</v>
      </c>
      <c r="D317" s="371">
        <v>0</v>
      </c>
      <c r="E317" s="371">
        <v>0</v>
      </c>
      <c r="F317" s="371">
        <v>0</v>
      </c>
      <c r="G317" s="371">
        <v>0</v>
      </c>
      <c r="H317" s="371">
        <v>0</v>
      </c>
      <c r="I317" s="371">
        <v>0</v>
      </c>
      <c r="J317" s="26">
        <f t="shared" si="20"/>
        <v>0</v>
      </c>
      <c r="K317" s="26">
        <f t="shared" si="21"/>
        <v>0</v>
      </c>
      <c r="L317" s="371">
        <f t="shared" si="22"/>
        <v>0</v>
      </c>
      <c r="M317" s="16" t="s">
        <v>1389</v>
      </c>
      <c r="N317" s="16" t="s">
        <v>1390</v>
      </c>
    </row>
    <row r="318" spans="1:26" x14ac:dyDescent="0.4">
      <c r="A318" s="1">
        <v>150836</v>
      </c>
      <c r="B318" s="691">
        <v>45</v>
      </c>
      <c r="C318" s="1">
        <f t="shared" si="23"/>
        <v>225</v>
      </c>
      <c r="D318" s="691">
        <v>0</v>
      </c>
      <c r="E318" s="691">
        <v>0</v>
      </c>
      <c r="F318" s="691">
        <v>0</v>
      </c>
      <c r="G318" s="691">
        <v>0</v>
      </c>
      <c r="H318" s="691">
        <v>0</v>
      </c>
      <c r="I318" s="691">
        <v>1</v>
      </c>
      <c r="J318" s="140">
        <f t="shared" si="20"/>
        <v>1</v>
      </c>
      <c r="K318" s="140">
        <f t="shared" si="21"/>
        <v>0</v>
      </c>
      <c r="L318" s="691">
        <f t="shared" si="22"/>
        <v>0</v>
      </c>
      <c r="M318" s="1" t="s">
        <v>1399</v>
      </c>
      <c r="N318" s="1" t="s">
        <v>1400</v>
      </c>
    </row>
    <row r="319" spans="1:26" x14ac:dyDescent="0.4">
      <c r="A319" s="1">
        <v>150837</v>
      </c>
      <c r="B319" s="691">
        <v>45</v>
      </c>
      <c r="C319" s="1">
        <f t="shared" si="23"/>
        <v>225</v>
      </c>
      <c r="D319" s="691">
        <v>0</v>
      </c>
      <c r="E319" s="691">
        <v>0</v>
      </c>
      <c r="F319" s="691">
        <v>0</v>
      </c>
      <c r="G319" s="691">
        <v>0</v>
      </c>
      <c r="H319" s="691">
        <v>0</v>
      </c>
      <c r="I319" s="691">
        <v>1</v>
      </c>
      <c r="J319" s="140">
        <f t="shared" si="20"/>
        <v>1</v>
      </c>
      <c r="K319" s="140">
        <f t="shared" si="21"/>
        <v>0</v>
      </c>
      <c r="L319" s="691">
        <f t="shared" si="22"/>
        <v>0</v>
      </c>
      <c r="M319" s="1" t="s">
        <v>1399</v>
      </c>
      <c r="N319" s="1" t="s">
        <v>1400</v>
      </c>
    </row>
    <row r="320" spans="1:26" x14ac:dyDescent="0.4">
      <c r="A320" s="16">
        <v>150838</v>
      </c>
      <c r="B320" s="692">
        <v>45</v>
      </c>
      <c r="C320" s="16">
        <f t="shared" si="23"/>
        <v>225</v>
      </c>
      <c r="D320" s="692">
        <v>0</v>
      </c>
      <c r="E320" s="692">
        <v>0</v>
      </c>
      <c r="F320" s="692">
        <v>0</v>
      </c>
      <c r="G320" s="692">
        <v>0</v>
      </c>
      <c r="H320" s="692">
        <v>0</v>
      </c>
      <c r="I320" s="692">
        <v>0</v>
      </c>
      <c r="J320" s="693">
        <f t="shared" si="20"/>
        <v>0</v>
      </c>
      <c r="K320" s="693">
        <f t="shared" si="21"/>
        <v>0</v>
      </c>
      <c r="L320" s="692">
        <f t="shared" si="22"/>
        <v>0</v>
      </c>
      <c r="M320" s="16" t="s">
        <v>1401</v>
      </c>
      <c r="N320" s="16" t="s">
        <v>1402</v>
      </c>
    </row>
    <row r="321" spans="1:15" x14ac:dyDescent="0.4">
      <c r="A321" s="16">
        <v>150839</v>
      </c>
      <c r="B321" s="692">
        <v>45</v>
      </c>
      <c r="C321" s="16">
        <f t="shared" si="23"/>
        <v>225</v>
      </c>
      <c r="D321" s="692">
        <v>0</v>
      </c>
      <c r="E321" s="692">
        <v>0</v>
      </c>
      <c r="F321" s="692">
        <v>0</v>
      </c>
      <c r="G321" s="692">
        <v>0</v>
      </c>
      <c r="H321" s="692">
        <v>0</v>
      </c>
      <c r="I321" s="692">
        <v>0</v>
      </c>
      <c r="J321" s="693">
        <f>SUM(D321:I321)</f>
        <v>0</v>
      </c>
      <c r="K321" s="693">
        <f>SUM(D321:H321)</f>
        <v>0</v>
      </c>
      <c r="L321" s="692">
        <f>B321*K321</f>
        <v>0</v>
      </c>
      <c r="M321" s="16" t="s">
        <v>1411</v>
      </c>
      <c r="N321" s="16" t="s">
        <v>1412</v>
      </c>
    </row>
    <row r="322" spans="1:15" x14ac:dyDescent="0.4">
      <c r="A322" s="16">
        <v>150840</v>
      </c>
      <c r="B322" s="692">
        <v>60</v>
      </c>
      <c r="C322" s="16">
        <f t="shared" ref="C322:C332" si="24">SUM(B322*5)</f>
        <v>300</v>
      </c>
      <c r="D322" s="692">
        <v>0</v>
      </c>
      <c r="E322" s="692">
        <v>0</v>
      </c>
      <c r="F322" s="692">
        <v>0</v>
      </c>
      <c r="G322" s="692">
        <v>0</v>
      </c>
      <c r="H322" s="692">
        <v>0</v>
      </c>
      <c r="I322" s="692">
        <v>0</v>
      </c>
      <c r="J322" s="693">
        <f t="shared" ref="J322:J332" si="25">SUM(D322:I322)</f>
        <v>0</v>
      </c>
      <c r="K322" s="693">
        <f t="shared" ref="K322:K332" si="26">SUM(D322:H322)</f>
        <v>0</v>
      </c>
      <c r="L322" s="692">
        <f t="shared" ref="L322:L332" si="27">B322*K322</f>
        <v>0</v>
      </c>
      <c r="M322" s="16" t="s">
        <v>1403</v>
      </c>
      <c r="N322" s="16" t="s">
        <v>1404</v>
      </c>
    </row>
    <row r="323" spans="1:15" x14ac:dyDescent="0.4">
      <c r="A323" s="16">
        <v>150841</v>
      </c>
      <c r="B323" s="692">
        <v>45</v>
      </c>
      <c r="C323" s="16">
        <f t="shared" si="24"/>
        <v>225</v>
      </c>
      <c r="D323" s="692">
        <v>0</v>
      </c>
      <c r="E323" s="692">
        <v>0</v>
      </c>
      <c r="F323" s="692">
        <v>0</v>
      </c>
      <c r="G323" s="692">
        <v>0</v>
      </c>
      <c r="H323" s="692">
        <v>0</v>
      </c>
      <c r="I323" s="692">
        <v>0</v>
      </c>
      <c r="J323" s="693">
        <f t="shared" si="25"/>
        <v>0</v>
      </c>
      <c r="K323" s="693">
        <f t="shared" si="26"/>
        <v>0</v>
      </c>
      <c r="L323" s="692">
        <f t="shared" si="27"/>
        <v>0</v>
      </c>
      <c r="M323" s="16" t="s">
        <v>1407</v>
      </c>
      <c r="N323" s="16" t="s">
        <v>1408</v>
      </c>
    </row>
    <row r="324" spans="1:15" x14ac:dyDescent="0.4">
      <c r="A324" s="1">
        <v>150842</v>
      </c>
      <c r="B324" s="691">
        <v>45</v>
      </c>
      <c r="C324" s="1">
        <f>SUM(B324*5)</f>
        <v>225</v>
      </c>
      <c r="D324" s="691">
        <v>0</v>
      </c>
      <c r="E324" s="691">
        <v>0</v>
      </c>
      <c r="F324" s="691">
        <v>0</v>
      </c>
      <c r="G324" s="691">
        <v>0</v>
      </c>
      <c r="H324" s="691">
        <v>0</v>
      </c>
      <c r="I324" s="691">
        <v>1</v>
      </c>
      <c r="J324" s="140">
        <f>SUM(D324:I324)</f>
        <v>1</v>
      </c>
      <c r="K324" s="140">
        <f>SUM(D324:H324)</f>
        <v>0</v>
      </c>
      <c r="L324" s="691">
        <f>B324*K324</f>
        <v>0</v>
      </c>
      <c r="M324" s="1" t="s">
        <v>1405</v>
      </c>
      <c r="N324" s="1" t="s">
        <v>1406</v>
      </c>
    </row>
    <row r="325" spans="1:15" x14ac:dyDescent="0.4">
      <c r="A325" s="1">
        <v>150843</v>
      </c>
      <c r="B325" s="691">
        <v>45</v>
      </c>
      <c r="C325" s="1">
        <f t="shared" si="24"/>
        <v>225</v>
      </c>
      <c r="D325" s="691">
        <v>0</v>
      </c>
      <c r="E325" s="691">
        <v>1</v>
      </c>
      <c r="F325" s="691">
        <v>1</v>
      </c>
      <c r="G325" s="691">
        <v>1</v>
      </c>
      <c r="H325" s="691">
        <v>1</v>
      </c>
      <c r="I325" s="691">
        <v>1</v>
      </c>
      <c r="J325" s="140">
        <f t="shared" si="25"/>
        <v>5</v>
      </c>
      <c r="K325" s="140">
        <f t="shared" si="26"/>
        <v>4</v>
      </c>
      <c r="L325" s="691">
        <f t="shared" si="27"/>
        <v>180</v>
      </c>
      <c r="M325" s="1" t="s">
        <v>1409</v>
      </c>
      <c r="N325" s="1" t="s">
        <v>1410</v>
      </c>
    </row>
    <row r="326" spans="1:15" x14ac:dyDescent="0.4">
      <c r="A326" s="1">
        <v>150844</v>
      </c>
      <c r="B326" s="691">
        <v>45</v>
      </c>
      <c r="C326" s="1">
        <f t="shared" si="24"/>
        <v>225</v>
      </c>
      <c r="D326" s="691">
        <v>0</v>
      </c>
      <c r="E326" s="691">
        <v>0</v>
      </c>
      <c r="F326" s="691">
        <v>0</v>
      </c>
      <c r="G326" s="691">
        <v>1</v>
      </c>
      <c r="H326" s="691">
        <v>1</v>
      </c>
      <c r="I326" s="691">
        <v>1</v>
      </c>
      <c r="J326" s="140">
        <f t="shared" si="25"/>
        <v>3</v>
      </c>
      <c r="K326" s="140">
        <f t="shared" si="26"/>
        <v>2</v>
      </c>
      <c r="L326" s="691">
        <f t="shared" si="27"/>
        <v>90</v>
      </c>
      <c r="M326" s="1" t="s">
        <v>1423</v>
      </c>
      <c r="N326" s="1" t="s">
        <v>1424</v>
      </c>
    </row>
    <row r="327" spans="1:15" x14ac:dyDescent="0.4">
      <c r="A327" s="1">
        <v>150845</v>
      </c>
      <c r="B327" s="691">
        <v>45</v>
      </c>
      <c r="C327" s="1">
        <f t="shared" si="24"/>
        <v>225</v>
      </c>
      <c r="D327" s="691">
        <v>0</v>
      </c>
      <c r="E327" s="691">
        <v>0</v>
      </c>
      <c r="F327" s="691">
        <v>0</v>
      </c>
      <c r="G327" s="691">
        <v>0</v>
      </c>
      <c r="H327" s="691">
        <v>0</v>
      </c>
      <c r="I327" s="691">
        <v>1</v>
      </c>
      <c r="J327" s="140">
        <f t="shared" si="25"/>
        <v>1</v>
      </c>
      <c r="K327" s="140">
        <f t="shared" si="26"/>
        <v>0</v>
      </c>
      <c r="L327" s="691">
        <f t="shared" si="27"/>
        <v>0</v>
      </c>
      <c r="M327" s="1" t="s">
        <v>1423</v>
      </c>
      <c r="N327" s="1" t="s">
        <v>1424</v>
      </c>
      <c r="O327" t="s">
        <v>2550</v>
      </c>
    </row>
    <row r="328" spans="1:15" x14ac:dyDescent="0.4">
      <c r="A328" s="16">
        <v>150846</v>
      </c>
      <c r="B328" s="394">
        <v>45</v>
      </c>
      <c r="C328" s="16">
        <f t="shared" si="24"/>
        <v>225</v>
      </c>
      <c r="D328" s="394">
        <v>0</v>
      </c>
      <c r="E328" s="394">
        <v>0</v>
      </c>
      <c r="F328" s="394">
        <v>0</v>
      </c>
      <c r="G328" s="394">
        <v>0</v>
      </c>
      <c r="H328" s="394">
        <v>0</v>
      </c>
      <c r="I328" s="394">
        <v>0</v>
      </c>
      <c r="J328" s="26">
        <f t="shared" si="25"/>
        <v>0</v>
      </c>
      <c r="K328" s="26">
        <f t="shared" si="26"/>
        <v>0</v>
      </c>
      <c r="L328" s="394">
        <f t="shared" si="27"/>
        <v>0</v>
      </c>
      <c r="M328" s="16" t="s">
        <v>1417</v>
      </c>
      <c r="N328" s="16" t="s">
        <v>1418</v>
      </c>
    </row>
    <row r="329" spans="1:15" x14ac:dyDescent="0.4">
      <c r="A329" s="16">
        <v>150847</v>
      </c>
      <c r="B329" s="394">
        <v>45</v>
      </c>
      <c r="C329" s="16">
        <f t="shared" si="24"/>
        <v>225</v>
      </c>
      <c r="D329" s="394">
        <v>0</v>
      </c>
      <c r="E329" s="394">
        <v>0</v>
      </c>
      <c r="F329" s="394">
        <v>0</v>
      </c>
      <c r="G329" s="394">
        <v>0</v>
      </c>
      <c r="H329" s="394">
        <v>0</v>
      </c>
      <c r="I329" s="394">
        <v>0</v>
      </c>
      <c r="J329" s="26">
        <f t="shared" si="25"/>
        <v>0</v>
      </c>
      <c r="K329" s="26">
        <f t="shared" si="26"/>
        <v>0</v>
      </c>
      <c r="L329" s="394">
        <f t="shared" si="27"/>
        <v>0</v>
      </c>
      <c r="M329" s="16" t="s">
        <v>1419</v>
      </c>
      <c r="N329" s="16" t="s">
        <v>1420</v>
      </c>
    </row>
    <row r="330" spans="1:15" x14ac:dyDescent="0.4">
      <c r="A330" s="16">
        <v>150848</v>
      </c>
      <c r="B330" s="463">
        <v>60</v>
      </c>
      <c r="C330" s="16">
        <f t="shared" si="24"/>
        <v>300</v>
      </c>
      <c r="D330" s="463">
        <v>0</v>
      </c>
      <c r="E330" s="463">
        <v>0</v>
      </c>
      <c r="F330" s="463">
        <v>0</v>
      </c>
      <c r="G330" s="463">
        <v>0</v>
      </c>
      <c r="H330" s="463">
        <v>0</v>
      </c>
      <c r="I330" s="463">
        <v>0</v>
      </c>
      <c r="J330" s="26">
        <f t="shared" si="25"/>
        <v>0</v>
      </c>
      <c r="K330" s="26">
        <f t="shared" si="26"/>
        <v>0</v>
      </c>
      <c r="L330" s="463">
        <f t="shared" si="27"/>
        <v>0</v>
      </c>
      <c r="M330" s="16" t="s">
        <v>1417</v>
      </c>
      <c r="N330" s="16" t="s">
        <v>1418</v>
      </c>
    </row>
    <row r="331" spans="1:15" x14ac:dyDescent="0.4">
      <c r="A331" s="16">
        <v>150849</v>
      </c>
      <c r="B331" s="692">
        <v>60</v>
      </c>
      <c r="C331" s="16">
        <f t="shared" si="24"/>
        <v>300</v>
      </c>
      <c r="D331" s="692">
        <v>0</v>
      </c>
      <c r="E331" s="692">
        <v>0</v>
      </c>
      <c r="F331" s="692">
        <v>0</v>
      </c>
      <c r="G331" s="692">
        <v>0</v>
      </c>
      <c r="H331" s="692">
        <v>0</v>
      </c>
      <c r="I331" s="692">
        <v>0</v>
      </c>
      <c r="J331" s="693">
        <f t="shared" si="25"/>
        <v>0</v>
      </c>
      <c r="K331" s="693">
        <f t="shared" si="26"/>
        <v>0</v>
      </c>
      <c r="L331" s="692">
        <f t="shared" si="27"/>
        <v>0</v>
      </c>
      <c r="M331" s="16" t="s">
        <v>1415</v>
      </c>
      <c r="N331" s="16" t="s">
        <v>1416</v>
      </c>
    </row>
    <row r="332" spans="1:15" x14ac:dyDescent="0.4">
      <c r="A332" s="16">
        <v>150850</v>
      </c>
      <c r="B332" s="310">
        <v>45</v>
      </c>
      <c r="C332" s="16">
        <f t="shared" si="24"/>
        <v>225</v>
      </c>
      <c r="D332" s="310">
        <v>0</v>
      </c>
      <c r="E332" s="310">
        <v>0</v>
      </c>
      <c r="F332" s="310">
        <v>0</v>
      </c>
      <c r="G332" s="310">
        <v>0</v>
      </c>
      <c r="H332" s="310">
        <v>0</v>
      </c>
      <c r="I332" s="310">
        <v>0</v>
      </c>
      <c r="J332" s="26">
        <f t="shared" si="25"/>
        <v>0</v>
      </c>
      <c r="K332" s="26">
        <f t="shared" si="26"/>
        <v>0</v>
      </c>
      <c r="L332" s="310">
        <f t="shared" si="27"/>
        <v>0</v>
      </c>
      <c r="M332" s="16" t="s">
        <v>1413</v>
      </c>
      <c r="N332" s="16" t="s">
        <v>1414</v>
      </c>
    </row>
    <row r="333" spans="1:15" x14ac:dyDescent="0.4">
      <c r="C333" s="36"/>
      <c r="E333" s="260"/>
    </row>
    <row r="334" spans="1:15" x14ac:dyDescent="0.4">
      <c r="C334" s="36"/>
    </row>
  </sheetData>
  <mergeCells count="37">
    <mergeCell ref="O253:S253"/>
    <mergeCell ref="O286:T286"/>
    <mergeCell ref="O240:Q240"/>
    <mergeCell ref="O78:R78"/>
    <mergeCell ref="T78:V78"/>
    <mergeCell ref="P84:S84"/>
    <mergeCell ref="O89:Q89"/>
    <mergeCell ref="O90:Q90"/>
    <mergeCell ref="O127:S127"/>
    <mergeCell ref="T127:Z127"/>
    <mergeCell ref="O128:S128"/>
    <mergeCell ref="T128:Z128"/>
    <mergeCell ref="O129:S129"/>
    <mergeCell ref="O187:P187"/>
    <mergeCell ref="Z86:AA86"/>
    <mergeCell ref="Q227:U227"/>
    <mergeCell ref="Q226:U226"/>
    <mergeCell ref="M216:N225"/>
    <mergeCell ref="O225:P225"/>
    <mergeCell ref="A4:A5"/>
    <mergeCell ref="D4:I4"/>
    <mergeCell ref="M4:M5"/>
    <mergeCell ref="N4:N5"/>
    <mergeCell ref="P4:P5"/>
    <mergeCell ref="D5:I5"/>
    <mergeCell ref="A6:B6"/>
    <mergeCell ref="O31:P31"/>
    <mergeCell ref="O47:T47"/>
    <mergeCell ref="P59:Q59"/>
    <mergeCell ref="M57:N57"/>
    <mergeCell ref="Q4:Q5"/>
    <mergeCell ref="O188:P188"/>
    <mergeCell ref="T129:Z129"/>
    <mergeCell ref="D85:I85"/>
    <mergeCell ref="O85:P85"/>
    <mergeCell ref="O61:Q61"/>
    <mergeCell ref="Q86:V86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371"/>
  <sheetViews>
    <sheetView zoomScale="115" zoomScaleNormal="115" workbookViewId="0">
      <selection activeCell="C3" sqref="C3"/>
    </sheetView>
  </sheetViews>
  <sheetFormatPr defaultRowHeight="17.399999999999999" x14ac:dyDescent="0.4"/>
  <cols>
    <col min="4" max="9" width="5.59765625" customWidth="1"/>
    <col min="13" max="13" width="11.8984375" customWidth="1"/>
    <col min="14" max="14" width="12.3984375" customWidth="1"/>
    <col min="16" max="16" width="9.3984375" customWidth="1"/>
    <col min="17" max="17" width="9.8984375" bestFit="1" customWidth="1"/>
    <col min="27" max="27" width="13.19921875" customWidth="1"/>
  </cols>
  <sheetData>
    <row r="1" spans="1:17" x14ac:dyDescent="0.4">
      <c r="A1" s="5"/>
      <c r="B1" s="242"/>
      <c r="C1" s="242" t="s">
        <v>171</v>
      </c>
      <c r="D1" s="242"/>
      <c r="E1" s="242"/>
      <c r="F1" s="242"/>
      <c r="G1" s="242"/>
      <c r="H1" s="242"/>
      <c r="I1" s="242"/>
      <c r="J1" s="5"/>
      <c r="K1" s="5"/>
      <c r="L1" s="1021" t="s">
        <v>171</v>
      </c>
      <c r="M1" s="278"/>
      <c r="N1" s="278" t="s">
        <v>1487</v>
      </c>
      <c r="O1" s="242"/>
      <c r="P1" s="242"/>
      <c r="Q1" s="242"/>
    </row>
    <row r="2" spans="1:17" x14ac:dyDescent="0.4">
      <c r="A2" s="5" t="s">
        <v>172</v>
      </c>
      <c r="B2" s="242"/>
      <c r="C2" s="242" t="s">
        <v>173</v>
      </c>
      <c r="D2" s="242" t="s">
        <v>174</v>
      </c>
      <c r="E2" s="242"/>
      <c r="F2" s="242"/>
      <c r="G2" s="242"/>
      <c r="H2" s="242"/>
      <c r="I2" s="242"/>
      <c r="J2" s="5"/>
      <c r="K2" s="5"/>
      <c r="L2" s="1021" t="s">
        <v>2924</v>
      </c>
      <c r="M2" s="279"/>
      <c r="N2" s="279" t="s">
        <v>2925</v>
      </c>
      <c r="O2" s="242"/>
      <c r="P2" s="242"/>
      <c r="Q2" s="242"/>
    </row>
    <row r="3" spans="1:17" x14ac:dyDescent="0.4">
      <c r="A3" s="36"/>
      <c r="B3" s="243"/>
      <c r="C3" s="250">
        <f>SUM(C6:C371)</f>
        <v>84775</v>
      </c>
      <c r="D3" s="243"/>
      <c r="E3" s="243"/>
      <c r="F3" s="243"/>
      <c r="G3" s="243"/>
      <c r="H3" s="243"/>
      <c r="I3" s="243"/>
      <c r="J3" s="36"/>
      <c r="K3" s="36"/>
      <c r="L3" s="250">
        <f>SUM(L6:L371)</f>
        <v>6530</v>
      </c>
      <c r="M3" s="250"/>
      <c r="N3" s="1027">
        <f>L3/C3</f>
        <v>7.7027425538189323E-2</v>
      </c>
      <c r="O3" s="243"/>
      <c r="P3" s="243"/>
      <c r="Q3" s="243"/>
    </row>
    <row r="4" spans="1:17" x14ac:dyDescent="0.4">
      <c r="A4" s="2035" t="s">
        <v>182</v>
      </c>
      <c r="B4" s="241" t="s">
        <v>176</v>
      </c>
      <c r="C4" s="241" t="s">
        <v>177</v>
      </c>
      <c r="D4" s="2041"/>
      <c r="E4" s="2042"/>
      <c r="F4" s="2042"/>
      <c r="G4" s="2042"/>
      <c r="H4" s="2042"/>
      <c r="I4" s="2043"/>
      <c r="J4" s="33" t="s">
        <v>178</v>
      </c>
      <c r="K4" s="33" t="s">
        <v>179</v>
      </c>
      <c r="L4" s="33" t="s">
        <v>896</v>
      </c>
      <c r="M4" s="2035" t="s">
        <v>187</v>
      </c>
      <c r="N4" s="2035" t="s">
        <v>188</v>
      </c>
      <c r="O4" s="241" t="s">
        <v>180</v>
      </c>
      <c r="P4" s="2035" t="s">
        <v>181</v>
      </c>
      <c r="Q4" s="2035" t="s">
        <v>35</v>
      </c>
    </row>
    <row r="5" spans="1:17" x14ac:dyDescent="0.4">
      <c r="A5" s="2036"/>
      <c r="B5" s="241" t="s">
        <v>183</v>
      </c>
      <c r="C5" s="241" t="s">
        <v>183</v>
      </c>
      <c r="D5" s="2039" t="s">
        <v>184</v>
      </c>
      <c r="E5" s="2039"/>
      <c r="F5" s="2039"/>
      <c r="G5" s="2039"/>
      <c r="H5" s="2039"/>
      <c r="I5" s="2039"/>
      <c r="J5" s="34" t="s">
        <v>185</v>
      </c>
      <c r="K5" s="34" t="s">
        <v>185</v>
      </c>
      <c r="L5" s="34" t="s">
        <v>49</v>
      </c>
      <c r="M5" s="2036"/>
      <c r="N5" s="2036"/>
      <c r="O5" s="241" t="s">
        <v>189</v>
      </c>
      <c r="P5" s="2036"/>
      <c r="Q5" s="2036"/>
    </row>
    <row r="6" spans="1:17" x14ac:dyDescent="0.4">
      <c r="A6" s="1">
        <v>150851</v>
      </c>
      <c r="B6" s="691">
        <v>60</v>
      </c>
      <c r="C6" s="1">
        <f t="shared" ref="C6:C24" si="0">SUM(B6*5)</f>
        <v>300</v>
      </c>
      <c r="D6" s="691">
        <v>0</v>
      </c>
      <c r="E6" s="691">
        <v>0</v>
      </c>
      <c r="F6" s="691">
        <v>1</v>
      </c>
      <c r="G6" s="691">
        <v>1</v>
      </c>
      <c r="H6" s="691">
        <v>1</v>
      </c>
      <c r="I6" s="691">
        <v>1</v>
      </c>
      <c r="J6" s="140">
        <f t="shared" ref="J6:J24" si="1">SUM(D6:I6)</f>
        <v>4</v>
      </c>
      <c r="K6" s="140">
        <f t="shared" ref="K6:K24" si="2">SUM(D6:H6)</f>
        <v>3</v>
      </c>
      <c r="L6" s="691">
        <f t="shared" ref="L6:L24" si="3">B6*K6</f>
        <v>180</v>
      </c>
      <c r="M6" s="1" t="s">
        <v>1421</v>
      </c>
      <c r="N6" s="1" t="s">
        <v>1422</v>
      </c>
      <c r="O6" t="s">
        <v>1514</v>
      </c>
    </row>
    <row r="7" spans="1:17" x14ac:dyDescent="0.4">
      <c r="A7" s="16">
        <v>150852</v>
      </c>
      <c r="B7" s="576">
        <v>60</v>
      </c>
      <c r="C7" s="16">
        <f t="shared" si="0"/>
        <v>300</v>
      </c>
      <c r="D7" s="576">
        <v>0</v>
      </c>
      <c r="E7" s="576">
        <v>0</v>
      </c>
      <c r="F7" s="576">
        <v>0</v>
      </c>
      <c r="G7" s="576">
        <v>0</v>
      </c>
      <c r="H7" s="576">
        <v>0</v>
      </c>
      <c r="I7" s="576">
        <v>0</v>
      </c>
      <c r="J7" s="577">
        <f t="shared" si="1"/>
        <v>0</v>
      </c>
      <c r="K7" s="577">
        <f t="shared" si="2"/>
        <v>0</v>
      </c>
      <c r="L7" s="576">
        <f t="shared" si="3"/>
        <v>0</v>
      </c>
      <c r="M7" s="16" t="s">
        <v>1593</v>
      </c>
      <c r="N7" s="16" t="s">
        <v>1593</v>
      </c>
    </row>
    <row r="8" spans="1:17" x14ac:dyDescent="0.4">
      <c r="A8" s="1">
        <v>150853</v>
      </c>
      <c r="B8" s="691">
        <v>45</v>
      </c>
      <c r="C8" s="1">
        <f t="shared" si="0"/>
        <v>225</v>
      </c>
      <c r="D8" s="691">
        <v>0</v>
      </c>
      <c r="E8" s="691">
        <v>0</v>
      </c>
      <c r="F8" s="691">
        <v>0</v>
      </c>
      <c r="G8" s="691">
        <v>0</v>
      </c>
      <c r="H8" s="691">
        <v>0</v>
      </c>
      <c r="I8" s="691">
        <v>1</v>
      </c>
      <c r="J8" s="140">
        <f t="shared" si="1"/>
        <v>1</v>
      </c>
      <c r="K8" s="140">
        <f t="shared" si="2"/>
        <v>0</v>
      </c>
      <c r="L8" s="691">
        <f t="shared" si="3"/>
        <v>0</v>
      </c>
      <c r="M8" s="1" t="s">
        <v>1425</v>
      </c>
      <c r="N8" s="1" t="s">
        <v>1426</v>
      </c>
    </row>
    <row r="9" spans="1:17" x14ac:dyDescent="0.4">
      <c r="A9" s="1">
        <v>150854</v>
      </c>
      <c r="B9" s="444">
        <v>45</v>
      </c>
      <c r="C9" s="1">
        <f t="shared" si="0"/>
        <v>225</v>
      </c>
      <c r="D9" s="444">
        <v>0</v>
      </c>
      <c r="E9" s="444">
        <v>0</v>
      </c>
      <c r="F9" s="444">
        <v>0</v>
      </c>
      <c r="G9" s="444">
        <v>0</v>
      </c>
      <c r="H9" s="444">
        <v>0</v>
      </c>
      <c r="I9" s="444">
        <v>0</v>
      </c>
      <c r="J9" s="140">
        <f t="shared" si="1"/>
        <v>0</v>
      </c>
      <c r="K9" s="140">
        <f t="shared" si="2"/>
        <v>0</v>
      </c>
      <c r="L9" s="444">
        <f t="shared" si="3"/>
        <v>0</v>
      </c>
      <c r="M9" s="1" t="s">
        <v>1425</v>
      </c>
      <c r="N9" s="1" t="s">
        <v>1426</v>
      </c>
    </row>
    <row r="10" spans="1:17" x14ac:dyDescent="0.4">
      <c r="A10" s="1">
        <v>150855</v>
      </c>
      <c r="B10" s="753">
        <v>50</v>
      </c>
      <c r="C10" s="1">
        <f t="shared" si="0"/>
        <v>250</v>
      </c>
      <c r="D10" s="753">
        <v>0</v>
      </c>
      <c r="E10" s="753">
        <v>0</v>
      </c>
      <c r="F10" s="753">
        <v>0</v>
      </c>
      <c r="G10" s="753">
        <v>0</v>
      </c>
      <c r="H10" s="753">
        <v>0</v>
      </c>
      <c r="I10" s="753">
        <v>0</v>
      </c>
      <c r="J10" s="140">
        <f t="shared" si="1"/>
        <v>0</v>
      </c>
      <c r="K10" s="140">
        <f t="shared" si="2"/>
        <v>0</v>
      </c>
      <c r="L10" s="753">
        <f t="shared" si="3"/>
        <v>0</v>
      </c>
      <c r="M10" s="1" t="s">
        <v>1429</v>
      </c>
      <c r="N10" s="1" t="s">
        <v>1430</v>
      </c>
      <c r="O10" s="36" t="s">
        <v>2462</v>
      </c>
      <c r="P10" s="36"/>
    </row>
    <row r="11" spans="1:17" x14ac:dyDescent="0.4">
      <c r="A11" s="16">
        <v>150856</v>
      </c>
      <c r="B11" s="480">
        <v>45</v>
      </c>
      <c r="C11" s="16">
        <f t="shared" si="0"/>
        <v>225</v>
      </c>
      <c r="D11" s="480">
        <v>0</v>
      </c>
      <c r="E11" s="480">
        <v>0</v>
      </c>
      <c r="F11" s="480">
        <v>0</v>
      </c>
      <c r="G11" s="480">
        <v>0</v>
      </c>
      <c r="H11" s="480">
        <v>0</v>
      </c>
      <c r="I11" s="480">
        <v>0</v>
      </c>
      <c r="J11" s="26">
        <f t="shared" si="1"/>
        <v>0</v>
      </c>
      <c r="K11" s="26">
        <f t="shared" si="2"/>
        <v>0</v>
      </c>
      <c r="L11" s="480">
        <f t="shared" si="3"/>
        <v>0</v>
      </c>
      <c r="M11" s="16" t="s">
        <v>1433</v>
      </c>
      <c r="N11" s="16" t="s">
        <v>1434</v>
      </c>
    </row>
    <row r="12" spans="1:17" x14ac:dyDescent="0.4">
      <c r="A12" s="16">
        <v>150857</v>
      </c>
      <c r="B12" s="425">
        <v>45</v>
      </c>
      <c r="C12" s="16">
        <f t="shared" si="0"/>
        <v>225</v>
      </c>
      <c r="D12" s="425">
        <v>0</v>
      </c>
      <c r="E12" s="425">
        <v>0</v>
      </c>
      <c r="F12" s="425">
        <v>0</v>
      </c>
      <c r="G12" s="425">
        <v>0</v>
      </c>
      <c r="H12" s="425">
        <v>0</v>
      </c>
      <c r="I12" s="425">
        <v>0</v>
      </c>
      <c r="J12" s="26">
        <f t="shared" si="1"/>
        <v>0</v>
      </c>
      <c r="K12" s="26">
        <f t="shared" si="2"/>
        <v>0</v>
      </c>
      <c r="L12" s="425">
        <f t="shared" si="3"/>
        <v>0</v>
      </c>
      <c r="M12" s="16" t="s">
        <v>1433</v>
      </c>
      <c r="N12" s="16" t="s">
        <v>1434</v>
      </c>
    </row>
    <row r="13" spans="1:17" x14ac:dyDescent="0.4">
      <c r="A13" s="16">
        <v>150858</v>
      </c>
      <c r="B13" s="382">
        <v>60</v>
      </c>
      <c r="C13" s="16">
        <f t="shared" si="0"/>
        <v>300</v>
      </c>
      <c r="D13" s="382">
        <v>0</v>
      </c>
      <c r="E13" s="382">
        <v>0</v>
      </c>
      <c r="F13" s="382">
        <v>0</v>
      </c>
      <c r="G13" s="382">
        <v>0</v>
      </c>
      <c r="H13" s="382">
        <v>0</v>
      </c>
      <c r="I13" s="382">
        <v>0</v>
      </c>
      <c r="J13" s="26">
        <f t="shared" si="1"/>
        <v>0</v>
      </c>
      <c r="K13" s="26">
        <f t="shared" si="2"/>
        <v>0</v>
      </c>
      <c r="L13" s="382">
        <f t="shared" si="3"/>
        <v>0</v>
      </c>
      <c r="M13" s="16" t="s">
        <v>1435</v>
      </c>
      <c r="N13" s="16" t="s">
        <v>1436</v>
      </c>
    </row>
    <row r="14" spans="1:17" x14ac:dyDescent="0.4">
      <c r="A14" s="16">
        <v>150859</v>
      </c>
      <c r="B14" s="382">
        <v>45</v>
      </c>
      <c r="C14" s="16">
        <f t="shared" si="0"/>
        <v>225</v>
      </c>
      <c r="D14" s="382">
        <v>0</v>
      </c>
      <c r="E14" s="382">
        <v>0</v>
      </c>
      <c r="F14" s="382">
        <v>0</v>
      </c>
      <c r="G14" s="382">
        <v>0</v>
      </c>
      <c r="H14" s="382">
        <v>0</v>
      </c>
      <c r="I14" s="382">
        <v>0</v>
      </c>
      <c r="J14" s="26">
        <f t="shared" si="1"/>
        <v>0</v>
      </c>
      <c r="K14" s="26">
        <f t="shared" si="2"/>
        <v>0</v>
      </c>
      <c r="L14" s="382">
        <f t="shared" si="3"/>
        <v>0</v>
      </c>
      <c r="M14" s="16" t="s">
        <v>1437</v>
      </c>
      <c r="N14" s="16" t="s">
        <v>1438</v>
      </c>
    </row>
    <row r="15" spans="1:17" x14ac:dyDescent="0.4">
      <c r="A15" s="123">
        <v>150860</v>
      </c>
      <c r="B15" s="252"/>
      <c r="C15" s="123">
        <f t="shared" si="0"/>
        <v>0</v>
      </c>
      <c r="D15" s="252">
        <v>1</v>
      </c>
      <c r="E15" s="252">
        <v>1</v>
      </c>
      <c r="F15" s="252">
        <v>1</v>
      </c>
      <c r="G15" s="252">
        <v>1</v>
      </c>
      <c r="H15" s="252">
        <v>1</v>
      </c>
      <c r="I15" s="252">
        <v>1</v>
      </c>
      <c r="J15" s="253">
        <f t="shared" si="1"/>
        <v>6</v>
      </c>
      <c r="K15" s="253">
        <f t="shared" si="2"/>
        <v>5</v>
      </c>
      <c r="L15" s="252">
        <f t="shared" si="3"/>
        <v>0</v>
      </c>
      <c r="M15" s="123"/>
      <c r="N15" s="123"/>
      <c r="O15" s="123"/>
      <c r="P15" s="123"/>
      <c r="Q15" t="s">
        <v>1432</v>
      </c>
    </row>
    <row r="16" spans="1:17" x14ac:dyDescent="0.4">
      <c r="A16" s="123">
        <v>150861</v>
      </c>
      <c r="B16" s="252"/>
      <c r="C16" s="123">
        <f t="shared" si="0"/>
        <v>0</v>
      </c>
      <c r="D16" s="252">
        <v>1</v>
      </c>
      <c r="E16" s="252">
        <v>1</v>
      </c>
      <c r="F16" s="252">
        <v>1</v>
      </c>
      <c r="G16" s="252">
        <v>1</v>
      </c>
      <c r="H16" s="252">
        <v>1</v>
      </c>
      <c r="I16" s="252">
        <v>1</v>
      </c>
      <c r="J16" s="253">
        <f t="shared" si="1"/>
        <v>6</v>
      </c>
      <c r="K16" s="253">
        <f t="shared" si="2"/>
        <v>5</v>
      </c>
      <c r="L16" s="252">
        <f t="shared" si="3"/>
        <v>0</v>
      </c>
      <c r="M16" s="123"/>
      <c r="N16" s="123"/>
      <c r="O16" s="123"/>
      <c r="P16" s="123"/>
      <c r="Q16" t="s">
        <v>1431</v>
      </c>
    </row>
    <row r="17" spans="1:17" x14ac:dyDescent="0.4">
      <c r="A17" s="123">
        <v>150862</v>
      </c>
      <c r="B17" s="252"/>
      <c r="C17" s="123">
        <f t="shared" si="0"/>
        <v>0</v>
      </c>
      <c r="D17" s="252">
        <v>1</v>
      </c>
      <c r="E17" s="252">
        <v>1</v>
      </c>
      <c r="F17" s="252">
        <v>1</v>
      </c>
      <c r="G17" s="252">
        <v>1</v>
      </c>
      <c r="H17" s="252">
        <v>1</v>
      </c>
      <c r="I17" s="252">
        <v>1</v>
      </c>
      <c r="J17" s="253">
        <f t="shared" si="1"/>
        <v>6</v>
      </c>
      <c r="K17" s="253">
        <f t="shared" si="2"/>
        <v>5</v>
      </c>
      <c r="L17" s="252">
        <f t="shared" si="3"/>
        <v>0</v>
      </c>
      <c r="M17" s="123"/>
      <c r="N17" s="123"/>
      <c r="O17" s="123"/>
      <c r="P17" s="123"/>
      <c r="Q17" t="s">
        <v>1431</v>
      </c>
    </row>
    <row r="18" spans="1:17" x14ac:dyDescent="0.4">
      <c r="A18" s="123">
        <v>150863</v>
      </c>
      <c r="B18" s="252"/>
      <c r="C18" s="123">
        <f t="shared" si="0"/>
        <v>0</v>
      </c>
      <c r="D18" s="252">
        <v>0</v>
      </c>
      <c r="E18" s="252">
        <v>0</v>
      </c>
      <c r="F18" s="252">
        <v>0</v>
      </c>
      <c r="G18" s="252">
        <v>0</v>
      </c>
      <c r="H18" s="252">
        <v>0</v>
      </c>
      <c r="I18" s="252">
        <v>1</v>
      </c>
      <c r="J18" s="253">
        <f t="shared" si="1"/>
        <v>1</v>
      </c>
      <c r="K18" s="253">
        <f t="shared" si="2"/>
        <v>0</v>
      </c>
      <c r="L18" s="252">
        <f t="shared" si="3"/>
        <v>0</v>
      </c>
      <c r="M18" s="123"/>
      <c r="N18" s="123"/>
      <c r="O18" s="123"/>
      <c r="P18" s="123"/>
      <c r="Q18" t="s">
        <v>1431</v>
      </c>
    </row>
    <row r="19" spans="1:17" x14ac:dyDescent="0.4">
      <c r="A19" s="123">
        <v>150864</v>
      </c>
      <c r="B19" s="252"/>
      <c r="C19" s="123">
        <f t="shared" si="0"/>
        <v>0</v>
      </c>
      <c r="D19" s="252">
        <v>1</v>
      </c>
      <c r="E19" s="252">
        <v>1</v>
      </c>
      <c r="F19" s="252">
        <v>1</v>
      </c>
      <c r="G19" s="252">
        <v>1</v>
      </c>
      <c r="H19" s="252">
        <v>1</v>
      </c>
      <c r="I19" s="252">
        <v>1</v>
      </c>
      <c r="J19" s="253">
        <f t="shared" si="1"/>
        <v>6</v>
      </c>
      <c r="K19" s="253">
        <f t="shared" si="2"/>
        <v>5</v>
      </c>
      <c r="L19" s="252">
        <f t="shared" si="3"/>
        <v>0</v>
      </c>
      <c r="M19" s="123"/>
      <c r="N19" s="123"/>
      <c r="O19" s="123"/>
      <c r="P19" s="123"/>
      <c r="Q19" t="s">
        <v>1431</v>
      </c>
    </row>
    <row r="20" spans="1:17" x14ac:dyDescent="0.4">
      <c r="A20" s="123">
        <v>150865</v>
      </c>
      <c r="B20" s="252"/>
      <c r="C20" s="123">
        <f t="shared" si="0"/>
        <v>0</v>
      </c>
      <c r="D20" s="252">
        <v>1</v>
      </c>
      <c r="E20" s="252">
        <v>1</v>
      </c>
      <c r="F20" s="252">
        <v>1</v>
      </c>
      <c r="G20" s="252">
        <v>1</v>
      </c>
      <c r="H20" s="252">
        <v>1</v>
      </c>
      <c r="I20" s="252">
        <v>1</v>
      </c>
      <c r="J20" s="253">
        <f t="shared" si="1"/>
        <v>6</v>
      </c>
      <c r="K20" s="253">
        <f t="shared" si="2"/>
        <v>5</v>
      </c>
      <c r="L20" s="252">
        <f t="shared" si="3"/>
        <v>0</v>
      </c>
      <c r="M20" s="123"/>
      <c r="N20" s="123"/>
      <c r="O20" s="123"/>
      <c r="P20" s="123"/>
      <c r="Q20" t="s">
        <v>1431</v>
      </c>
    </row>
    <row r="21" spans="1:17" x14ac:dyDescent="0.4">
      <c r="A21" s="123">
        <v>150866</v>
      </c>
      <c r="B21" s="252"/>
      <c r="C21" s="123">
        <f t="shared" si="0"/>
        <v>0</v>
      </c>
      <c r="D21" s="252">
        <v>1</v>
      </c>
      <c r="E21" s="252">
        <v>1</v>
      </c>
      <c r="F21" s="252">
        <v>1</v>
      </c>
      <c r="G21" s="252">
        <v>1</v>
      </c>
      <c r="H21" s="252">
        <v>1</v>
      </c>
      <c r="I21" s="252">
        <v>1</v>
      </c>
      <c r="J21" s="253">
        <f t="shared" si="1"/>
        <v>6</v>
      </c>
      <c r="K21" s="253">
        <f t="shared" si="2"/>
        <v>5</v>
      </c>
      <c r="L21" s="252">
        <f t="shared" si="3"/>
        <v>0</v>
      </c>
      <c r="M21" s="123"/>
      <c r="N21" s="123"/>
      <c r="O21" s="123"/>
      <c r="P21" s="123"/>
      <c r="Q21" t="s">
        <v>1431</v>
      </c>
    </row>
    <row r="22" spans="1:17" x14ac:dyDescent="0.4">
      <c r="A22" s="123">
        <v>150867</v>
      </c>
      <c r="B22" s="252"/>
      <c r="C22" s="123">
        <f t="shared" si="0"/>
        <v>0</v>
      </c>
      <c r="D22" s="252">
        <v>1</v>
      </c>
      <c r="E22" s="252">
        <v>1</v>
      </c>
      <c r="F22" s="252">
        <v>1</v>
      </c>
      <c r="G22" s="252">
        <v>1</v>
      </c>
      <c r="H22" s="252">
        <v>1</v>
      </c>
      <c r="I22" s="252">
        <v>1</v>
      </c>
      <c r="J22" s="253">
        <f t="shared" si="1"/>
        <v>6</v>
      </c>
      <c r="K22" s="253">
        <f t="shared" si="2"/>
        <v>5</v>
      </c>
      <c r="L22" s="252">
        <f t="shared" si="3"/>
        <v>0</v>
      </c>
      <c r="M22" s="123"/>
      <c r="N22" s="123"/>
      <c r="O22" s="123"/>
      <c r="P22" s="123"/>
      <c r="Q22" t="s">
        <v>1431</v>
      </c>
    </row>
    <row r="23" spans="1:17" x14ac:dyDescent="0.4">
      <c r="A23" s="123">
        <v>150868</v>
      </c>
      <c r="B23" s="252"/>
      <c r="C23" s="123">
        <f t="shared" si="0"/>
        <v>0</v>
      </c>
      <c r="D23" s="252">
        <v>1</v>
      </c>
      <c r="E23" s="252">
        <v>1</v>
      </c>
      <c r="F23" s="252">
        <v>1</v>
      </c>
      <c r="G23" s="252">
        <v>1</v>
      </c>
      <c r="H23" s="252">
        <v>1</v>
      </c>
      <c r="I23" s="252">
        <v>1</v>
      </c>
      <c r="J23" s="253">
        <f t="shared" si="1"/>
        <v>6</v>
      </c>
      <c r="K23" s="253">
        <f t="shared" si="2"/>
        <v>5</v>
      </c>
      <c r="L23" s="252">
        <f t="shared" si="3"/>
        <v>0</v>
      </c>
      <c r="M23" s="123"/>
      <c r="N23" s="123"/>
      <c r="O23" s="123"/>
      <c r="P23" s="123"/>
      <c r="Q23" t="s">
        <v>1431</v>
      </c>
    </row>
    <row r="24" spans="1:17" x14ac:dyDescent="0.4">
      <c r="A24" s="123">
        <v>150869</v>
      </c>
      <c r="B24" s="252"/>
      <c r="C24" s="123">
        <f t="shared" si="0"/>
        <v>0</v>
      </c>
      <c r="D24" s="252">
        <v>1</v>
      </c>
      <c r="E24" s="252">
        <v>1</v>
      </c>
      <c r="F24" s="252">
        <v>1</v>
      </c>
      <c r="G24" s="252">
        <v>1</v>
      </c>
      <c r="H24" s="252">
        <v>1</v>
      </c>
      <c r="I24" s="252">
        <v>1</v>
      </c>
      <c r="J24" s="253">
        <f t="shared" si="1"/>
        <v>6</v>
      </c>
      <c r="K24" s="253">
        <f t="shared" si="2"/>
        <v>5</v>
      </c>
      <c r="L24" s="252">
        <f t="shared" si="3"/>
        <v>0</v>
      </c>
      <c r="M24" s="123"/>
      <c r="N24" s="123"/>
      <c r="O24" s="123"/>
      <c r="P24" s="123"/>
      <c r="Q24" t="s">
        <v>1431</v>
      </c>
    </row>
    <row r="25" spans="1:17" x14ac:dyDescent="0.4">
      <c r="A25" s="16">
        <v>160870</v>
      </c>
      <c r="B25" s="333">
        <v>45</v>
      </c>
      <c r="C25" s="16">
        <f t="shared" ref="C25:C52" si="4">SUM(B25*5)</f>
        <v>225</v>
      </c>
      <c r="D25" s="333">
        <v>0</v>
      </c>
      <c r="E25" s="333">
        <v>0</v>
      </c>
      <c r="F25" s="333">
        <v>0</v>
      </c>
      <c r="G25" s="333">
        <v>0</v>
      </c>
      <c r="H25" s="333">
        <v>0</v>
      </c>
      <c r="I25" s="333">
        <v>0</v>
      </c>
      <c r="J25" s="26">
        <f t="shared" ref="J25:J52" si="5">SUM(D25:I25)</f>
        <v>0</v>
      </c>
      <c r="K25" s="26">
        <f t="shared" ref="K25:K52" si="6">SUM(D25:H25)</f>
        <v>0</v>
      </c>
      <c r="L25" s="333">
        <f t="shared" ref="L25:L53" si="7">B25*K25</f>
        <v>0</v>
      </c>
      <c r="M25" s="16" t="s">
        <v>1437</v>
      </c>
      <c r="N25" s="16" t="s">
        <v>1438</v>
      </c>
    </row>
    <row r="26" spans="1:17" x14ac:dyDescent="0.4">
      <c r="A26" s="16">
        <v>160871</v>
      </c>
      <c r="B26" s="326">
        <v>45</v>
      </c>
      <c r="C26" s="16">
        <f t="shared" si="4"/>
        <v>225</v>
      </c>
      <c r="D26" s="326">
        <v>0</v>
      </c>
      <c r="E26" s="326">
        <v>0</v>
      </c>
      <c r="F26" s="326">
        <v>0</v>
      </c>
      <c r="G26" s="326">
        <v>0</v>
      </c>
      <c r="H26" s="326">
        <v>0</v>
      </c>
      <c r="I26" s="326">
        <v>0</v>
      </c>
      <c r="J26" s="26">
        <f t="shared" si="5"/>
        <v>0</v>
      </c>
      <c r="K26" s="26">
        <f t="shared" si="6"/>
        <v>0</v>
      </c>
      <c r="L26" s="326">
        <f t="shared" si="7"/>
        <v>0</v>
      </c>
      <c r="M26" s="16" t="s">
        <v>1437</v>
      </c>
      <c r="N26" s="16" t="s">
        <v>1438</v>
      </c>
    </row>
    <row r="27" spans="1:17" x14ac:dyDescent="0.4">
      <c r="A27" s="16">
        <v>160872</v>
      </c>
      <c r="B27" s="692">
        <v>35</v>
      </c>
      <c r="C27" s="16">
        <f t="shared" si="4"/>
        <v>175</v>
      </c>
      <c r="D27" s="692">
        <v>0</v>
      </c>
      <c r="E27" s="692">
        <v>0</v>
      </c>
      <c r="F27" s="692">
        <v>0</v>
      </c>
      <c r="G27" s="692">
        <v>0</v>
      </c>
      <c r="H27" s="692">
        <v>0</v>
      </c>
      <c r="I27" s="692">
        <v>0</v>
      </c>
      <c r="J27" s="693">
        <f t="shared" si="5"/>
        <v>0</v>
      </c>
      <c r="K27" s="693">
        <f t="shared" si="6"/>
        <v>0</v>
      </c>
      <c r="L27" s="692">
        <f t="shared" si="7"/>
        <v>0</v>
      </c>
      <c r="M27" s="16" t="s">
        <v>1437</v>
      </c>
      <c r="N27" s="16" t="s">
        <v>1438</v>
      </c>
    </row>
    <row r="28" spans="1:17" x14ac:dyDescent="0.4">
      <c r="A28" s="16">
        <v>160873</v>
      </c>
      <c r="B28" s="303">
        <v>60</v>
      </c>
      <c r="C28" s="16">
        <f t="shared" si="4"/>
        <v>300</v>
      </c>
      <c r="D28" s="303">
        <v>0</v>
      </c>
      <c r="E28" s="303">
        <v>0</v>
      </c>
      <c r="F28" s="303">
        <v>0</v>
      </c>
      <c r="G28" s="303">
        <v>0</v>
      </c>
      <c r="H28" s="303">
        <v>0</v>
      </c>
      <c r="I28" s="303">
        <v>0</v>
      </c>
      <c r="J28" s="26">
        <f t="shared" si="5"/>
        <v>0</v>
      </c>
      <c r="K28" s="26">
        <f t="shared" si="6"/>
        <v>0</v>
      </c>
      <c r="L28" s="303">
        <f t="shared" si="7"/>
        <v>0</v>
      </c>
      <c r="M28" s="16" t="s">
        <v>1439</v>
      </c>
      <c r="N28" s="16" t="s">
        <v>1440</v>
      </c>
    </row>
    <row r="29" spans="1:17" x14ac:dyDescent="0.4">
      <c r="A29" s="1">
        <v>160874</v>
      </c>
      <c r="B29" s="691">
        <v>45</v>
      </c>
      <c r="C29" s="1">
        <f t="shared" si="4"/>
        <v>225</v>
      </c>
      <c r="D29" s="691">
        <v>0</v>
      </c>
      <c r="E29" s="691">
        <v>1</v>
      </c>
      <c r="F29" s="691">
        <v>1</v>
      </c>
      <c r="G29" s="691">
        <v>1</v>
      </c>
      <c r="H29" s="691">
        <v>1</v>
      </c>
      <c r="I29" s="691">
        <v>1</v>
      </c>
      <c r="J29" s="140">
        <f t="shared" si="5"/>
        <v>5</v>
      </c>
      <c r="K29" s="140">
        <f t="shared" si="6"/>
        <v>4</v>
      </c>
      <c r="L29" s="691">
        <f t="shared" si="7"/>
        <v>180</v>
      </c>
      <c r="M29" s="1" t="s">
        <v>1446</v>
      </c>
      <c r="N29" s="1" t="s">
        <v>1447</v>
      </c>
    </row>
    <row r="30" spans="1:17" x14ac:dyDescent="0.4">
      <c r="A30" s="1">
        <v>160875</v>
      </c>
      <c r="B30" s="691">
        <v>45</v>
      </c>
      <c r="C30" s="1">
        <v>225</v>
      </c>
      <c r="D30" s="691">
        <v>0</v>
      </c>
      <c r="E30" s="691">
        <v>0</v>
      </c>
      <c r="F30" s="691">
        <v>0</v>
      </c>
      <c r="G30" s="691">
        <v>0</v>
      </c>
      <c r="H30" s="691">
        <v>1</v>
      </c>
      <c r="I30" s="691">
        <v>1</v>
      </c>
      <c r="J30" s="140">
        <f t="shared" si="5"/>
        <v>2</v>
      </c>
      <c r="K30" s="140">
        <f t="shared" si="6"/>
        <v>1</v>
      </c>
      <c r="L30" s="691">
        <f t="shared" si="7"/>
        <v>45</v>
      </c>
      <c r="M30" s="1" t="s">
        <v>1446</v>
      </c>
      <c r="N30" s="1" t="s">
        <v>1447</v>
      </c>
    </row>
    <row r="31" spans="1:17" x14ac:dyDescent="0.4">
      <c r="A31" s="16">
        <v>160876</v>
      </c>
      <c r="B31" s="460">
        <v>60</v>
      </c>
      <c r="C31" s="16">
        <f t="shared" si="4"/>
        <v>300</v>
      </c>
      <c r="D31" s="460">
        <v>0</v>
      </c>
      <c r="E31" s="460">
        <v>0</v>
      </c>
      <c r="F31" s="460">
        <v>0</v>
      </c>
      <c r="G31" s="460">
        <v>0</v>
      </c>
      <c r="H31" s="460">
        <v>0</v>
      </c>
      <c r="I31" s="460">
        <v>0</v>
      </c>
      <c r="J31" s="26">
        <f t="shared" si="5"/>
        <v>0</v>
      </c>
      <c r="K31" s="26">
        <f t="shared" si="6"/>
        <v>0</v>
      </c>
      <c r="L31" s="460">
        <f t="shared" si="7"/>
        <v>0</v>
      </c>
      <c r="M31" s="16" t="s">
        <v>1441</v>
      </c>
      <c r="N31" s="16" t="s">
        <v>1442</v>
      </c>
    </row>
    <row r="32" spans="1:17" x14ac:dyDescent="0.4">
      <c r="A32" s="1">
        <v>160877</v>
      </c>
      <c r="B32" s="691">
        <v>45</v>
      </c>
      <c r="C32" s="1">
        <f t="shared" si="4"/>
        <v>225</v>
      </c>
      <c r="D32" s="691">
        <v>0</v>
      </c>
      <c r="E32" s="691">
        <v>0</v>
      </c>
      <c r="F32" s="691">
        <v>0</v>
      </c>
      <c r="G32" s="691">
        <v>0</v>
      </c>
      <c r="H32" s="691">
        <v>1</v>
      </c>
      <c r="I32" s="691">
        <v>1</v>
      </c>
      <c r="J32" s="140">
        <f t="shared" si="5"/>
        <v>2</v>
      </c>
      <c r="K32" s="140">
        <f t="shared" si="6"/>
        <v>1</v>
      </c>
      <c r="L32" s="691">
        <f t="shared" si="7"/>
        <v>45</v>
      </c>
      <c r="M32" s="1" t="s">
        <v>1441</v>
      </c>
      <c r="N32" s="1" t="s">
        <v>1442</v>
      </c>
    </row>
    <row r="33" spans="1:17" x14ac:dyDescent="0.4">
      <c r="A33" s="1">
        <v>160878</v>
      </c>
      <c r="B33" s="691">
        <v>45</v>
      </c>
      <c r="C33" s="1">
        <f t="shared" si="4"/>
        <v>225</v>
      </c>
      <c r="D33" s="691">
        <v>0</v>
      </c>
      <c r="E33" s="691">
        <v>0</v>
      </c>
      <c r="F33" s="691">
        <v>1</v>
      </c>
      <c r="G33" s="691">
        <v>1</v>
      </c>
      <c r="H33" s="691">
        <v>1</v>
      </c>
      <c r="I33" s="691">
        <v>1</v>
      </c>
      <c r="J33" s="140">
        <f t="shared" si="5"/>
        <v>4</v>
      </c>
      <c r="K33" s="140">
        <f t="shared" si="6"/>
        <v>3</v>
      </c>
      <c r="L33" s="691">
        <f t="shared" si="7"/>
        <v>135</v>
      </c>
      <c r="M33" s="1" t="s">
        <v>1450</v>
      </c>
      <c r="N33" s="1" t="s">
        <v>1445</v>
      </c>
    </row>
    <row r="34" spans="1:17" x14ac:dyDescent="0.4">
      <c r="A34" s="16">
        <v>160879</v>
      </c>
      <c r="B34" s="547">
        <v>45</v>
      </c>
      <c r="C34" s="16">
        <f t="shared" si="4"/>
        <v>225</v>
      </c>
      <c r="D34" s="547">
        <v>0</v>
      </c>
      <c r="E34" s="547">
        <v>0</v>
      </c>
      <c r="F34" s="547">
        <v>0</v>
      </c>
      <c r="G34" s="547">
        <v>0</v>
      </c>
      <c r="H34" s="547">
        <v>0</v>
      </c>
      <c r="I34" s="547">
        <v>0</v>
      </c>
      <c r="J34" s="548">
        <f t="shared" si="5"/>
        <v>0</v>
      </c>
      <c r="K34" s="548">
        <f t="shared" si="6"/>
        <v>0</v>
      </c>
      <c r="L34" s="547">
        <f t="shared" si="7"/>
        <v>0</v>
      </c>
      <c r="M34" s="16" t="s">
        <v>1443</v>
      </c>
      <c r="N34" s="16" t="s">
        <v>1444</v>
      </c>
    </row>
    <row r="35" spans="1:17" x14ac:dyDescent="0.4">
      <c r="A35" s="16">
        <v>160880</v>
      </c>
      <c r="B35" s="357">
        <v>50</v>
      </c>
      <c r="C35" s="16">
        <f t="shared" si="4"/>
        <v>250</v>
      </c>
      <c r="D35" s="357">
        <v>0</v>
      </c>
      <c r="E35" s="357">
        <v>0</v>
      </c>
      <c r="F35" s="357">
        <v>0</v>
      </c>
      <c r="G35" s="357">
        <v>0</v>
      </c>
      <c r="H35" s="357">
        <v>0</v>
      </c>
      <c r="I35" s="357">
        <v>0</v>
      </c>
      <c r="J35" s="26">
        <f t="shared" si="5"/>
        <v>0</v>
      </c>
      <c r="K35" s="26">
        <f t="shared" si="6"/>
        <v>0</v>
      </c>
      <c r="L35" s="357">
        <f t="shared" si="7"/>
        <v>0</v>
      </c>
      <c r="M35" s="16" t="s">
        <v>1448</v>
      </c>
      <c r="N35" s="16" t="s">
        <v>1449</v>
      </c>
    </row>
    <row r="36" spans="1:17" x14ac:dyDescent="0.4">
      <c r="A36" s="16">
        <v>160881</v>
      </c>
      <c r="B36" s="665">
        <v>90</v>
      </c>
      <c r="C36" s="16">
        <f t="shared" si="4"/>
        <v>450</v>
      </c>
      <c r="D36" s="665">
        <v>0</v>
      </c>
      <c r="E36" s="665">
        <v>0</v>
      </c>
      <c r="F36" s="665">
        <v>0</v>
      </c>
      <c r="G36" s="665">
        <v>0</v>
      </c>
      <c r="H36" s="665">
        <v>0</v>
      </c>
      <c r="I36" s="665">
        <v>0</v>
      </c>
      <c r="J36" s="666">
        <f t="shared" si="5"/>
        <v>0</v>
      </c>
      <c r="K36" s="666">
        <f t="shared" si="6"/>
        <v>0</v>
      </c>
      <c r="L36" s="665">
        <f t="shared" si="7"/>
        <v>0</v>
      </c>
      <c r="M36" s="16" t="s">
        <v>1448</v>
      </c>
      <c r="N36" s="16" t="s">
        <v>1449</v>
      </c>
    </row>
    <row r="37" spans="1:17" x14ac:dyDescent="0.4">
      <c r="A37" s="16">
        <v>160882</v>
      </c>
      <c r="B37" s="343">
        <v>60</v>
      </c>
      <c r="C37" s="16">
        <f t="shared" si="4"/>
        <v>300</v>
      </c>
      <c r="D37" s="343">
        <v>0</v>
      </c>
      <c r="E37" s="343">
        <v>0</v>
      </c>
      <c r="F37" s="343">
        <v>0</v>
      </c>
      <c r="G37" s="343">
        <v>0</v>
      </c>
      <c r="H37" s="343">
        <v>0</v>
      </c>
      <c r="I37" s="343">
        <v>0</v>
      </c>
      <c r="J37" s="26">
        <f t="shared" si="5"/>
        <v>0</v>
      </c>
      <c r="K37" s="26">
        <f t="shared" si="6"/>
        <v>0</v>
      </c>
      <c r="L37" s="343">
        <f t="shared" si="7"/>
        <v>0</v>
      </c>
      <c r="M37" s="16" t="s">
        <v>1452</v>
      </c>
      <c r="N37" s="16" t="s">
        <v>1451</v>
      </c>
    </row>
    <row r="38" spans="1:17" x14ac:dyDescent="0.4">
      <c r="A38" s="16">
        <v>160883</v>
      </c>
      <c r="B38" s="375">
        <v>45</v>
      </c>
      <c r="C38" s="16">
        <f t="shared" si="4"/>
        <v>225</v>
      </c>
      <c r="D38" s="375">
        <v>0</v>
      </c>
      <c r="E38" s="375">
        <v>0</v>
      </c>
      <c r="F38" s="375">
        <v>0</v>
      </c>
      <c r="G38" s="375">
        <v>0</v>
      </c>
      <c r="H38" s="375">
        <v>0</v>
      </c>
      <c r="I38" s="375">
        <v>0</v>
      </c>
      <c r="J38" s="26">
        <f t="shared" si="5"/>
        <v>0</v>
      </c>
      <c r="K38" s="26">
        <f t="shared" si="6"/>
        <v>0</v>
      </c>
      <c r="L38" s="375">
        <f t="shared" si="7"/>
        <v>0</v>
      </c>
      <c r="M38" s="16" t="s">
        <v>1455</v>
      </c>
      <c r="N38" s="16" t="s">
        <v>1456</v>
      </c>
    </row>
    <row r="39" spans="1:17" x14ac:dyDescent="0.4">
      <c r="A39" s="16">
        <v>160884</v>
      </c>
      <c r="B39" s="495">
        <v>60</v>
      </c>
      <c r="C39" s="16">
        <f t="shared" si="4"/>
        <v>300</v>
      </c>
      <c r="D39" s="495">
        <v>0</v>
      </c>
      <c r="E39" s="495">
        <v>0</v>
      </c>
      <c r="F39" s="495">
        <v>0</v>
      </c>
      <c r="G39" s="495">
        <v>0</v>
      </c>
      <c r="H39" s="495">
        <v>0</v>
      </c>
      <c r="I39" s="495">
        <v>0</v>
      </c>
      <c r="J39" s="496">
        <f t="shared" si="5"/>
        <v>0</v>
      </c>
      <c r="K39" s="496">
        <f t="shared" si="6"/>
        <v>0</v>
      </c>
      <c r="L39" s="495">
        <f t="shared" si="7"/>
        <v>0</v>
      </c>
      <c r="M39" s="16" t="s">
        <v>1455</v>
      </c>
      <c r="N39" s="16" t="s">
        <v>1456</v>
      </c>
    </row>
    <row r="40" spans="1:17" x14ac:dyDescent="0.4">
      <c r="A40" s="16">
        <v>160885</v>
      </c>
      <c r="B40" s="325"/>
      <c r="C40" s="16">
        <f t="shared" si="4"/>
        <v>0</v>
      </c>
      <c r="D40" s="325">
        <v>0</v>
      </c>
      <c r="E40" s="325"/>
      <c r="F40" s="325"/>
      <c r="G40" s="325"/>
      <c r="H40" s="325"/>
      <c r="I40" s="325"/>
      <c r="J40" s="26">
        <f t="shared" si="5"/>
        <v>0</v>
      </c>
      <c r="K40" s="26">
        <f t="shared" si="6"/>
        <v>0</v>
      </c>
      <c r="L40" s="325">
        <f t="shared" si="7"/>
        <v>0</v>
      </c>
      <c r="M40" s="16" t="s">
        <v>1455</v>
      </c>
      <c r="N40" s="16" t="s">
        <v>1456</v>
      </c>
      <c r="O40" s="16" t="s">
        <v>1457</v>
      </c>
      <c r="P40" s="16"/>
      <c r="Q40" s="16"/>
    </row>
    <row r="41" spans="1:17" x14ac:dyDescent="0.4">
      <c r="A41" s="16">
        <v>160886</v>
      </c>
      <c r="B41" s="354">
        <v>60</v>
      </c>
      <c r="C41" s="16">
        <f t="shared" si="4"/>
        <v>300</v>
      </c>
      <c r="D41" s="354">
        <v>0</v>
      </c>
      <c r="E41" s="354">
        <v>0</v>
      </c>
      <c r="F41" s="354">
        <v>0</v>
      </c>
      <c r="G41" s="354">
        <v>0</v>
      </c>
      <c r="H41" s="354">
        <v>0</v>
      </c>
      <c r="I41" s="354">
        <v>0</v>
      </c>
      <c r="J41" s="26">
        <f t="shared" si="5"/>
        <v>0</v>
      </c>
      <c r="K41" s="26">
        <f t="shared" si="6"/>
        <v>0</v>
      </c>
      <c r="L41" s="354">
        <f t="shared" si="7"/>
        <v>0</v>
      </c>
      <c r="M41" s="16" t="s">
        <v>1455</v>
      </c>
      <c r="N41" s="16" t="s">
        <v>1456</v>
      </c>
    </row>
    <row r="42" spans="1:17" x14ac:dyDescent="0.4">
      <c r="A42" s="16">
        <v>160887</v>
      </c>
      <c r="B42" s="301">
        <v>45</v>
      </c>
      <c r="C42" s="16">
        <f t="shared" si="4"/>
        <v>225</v>
      </c>
      <c r="D42" s="301">
        <v>0</v>
      </c>
      <c r="E42" s="301">
        <v>0</v>
      </c>
      <c r="F42" s="301">
        <v>0</v>
      </c>
      <c r="G42" s="301">
        <v>0</v>
      </c>
      <c r="H42" s="301">
        <v>0</v>
      </c>
      <c r="I42" s="301">
        <v>0</v>
      </c>
      <c r="J42" s="26">
        <f t="shared" si="5"/>
        <v>0</v>
      </c>
      <c r="K42" s="26">
        <f t="shared" si="6"/>
        <v>0</v>
      </c>
      <c r="L42" s="301">
        <f t="shared" si="7"/>
        <v>0</v>
      </c>
      <c r="M42" s="16" t="s">
        <v>1455</v>
      </c>
      <c r="N42" s="16" t="s">
        <v>1456</v>
      </c>
    </row>
    <row r="43" spans="1:17" x14ac:dyDescent="0.4">
      <c r="A43" s="16">
        <v>160888</v>
      </c>
      <c r="B43" s="300">
        <v>50</v>
      </c>
      <c r="C43" s="16">
        <f t="shared" si="4"/>
        <v>250</v>
      </c>
      <c r="D43" s="300">
        <v>0</v>
      </c>
      <c r="E43" s="300">
        <v>0</v>
      </c>
      <c r="F43" s="300">
        <v>0</v>
      </c>
      <c r="G43" s="300">
        <v>0</v>
      </c>
      <c r="H43" s="300">
        <v>0</v>
      </c>
      <c r="I43" s="300">
        <v>0</v>
      </c>
      <c r="J43" s="26">
        <f t="shared" si="5"/>
        <v>0</v>
      </c>
      <c r="K43" s="26">
        <f t="shared" si="6"/>
        <v>0</v>
      </c>
      <c r="L43" s="300">
        <f t="shared" si="7"/>
        <v>0</v>
      </c>
      <c r="M43" s="16" t="s">
        <v>1458</v>
      </c>
      <c r="N43" s="16" t="s">
        <v>1459</v>
      </c>
    </row>
    <row r="44" spans="1:17" x14ac:dyDescent="0.4">
      <c r="A44" s="16">
        <v>160889</v>
      </c>
      <c r="B44" s="376">
        <v>60</v>
      </c>
      <c r="C44" s="16">
        <f t="shared" si="4"/>
        <v>300</v>
      </c>
      <c r="D44" s="376">
        <v>0</v>
      </c>
      <c r="E44" s="376">
        <v>0</v>
      </c>
      <c r="F44" s="376">
        <v>0</v>
      </c>
      <c r="G44" s="376">
        <v>0</v>
      </c>
      <c r="H44" s="376">
        <v>0</v>
      </c>
      <c r="I44" s="376">
        <v>0</v>
      </c>
      <c r="J44" s="26">
        <f t="shared" si="5"/>
        <v>0</v>
      </c>
      <c r="K44" s="26">
        <f t="shared" si="6"/>
        <v>0</v>
      </c>
      <c r="L44" s="376">
        <f t="shared" si="7"/>
        <v>0</v>
      </c>
      <c r="M44" s="16" t="s">
        <v>1458</v>
      </c>
      <c r="N44" s="16" t="s">
        <v>1459</v>
      </c>
    </row>
    <row r="45" spans="1:17" x14ac:dyDescent="0.4">
      <c r="A45" s="16">
        <v>160890</v>
      </c>
      <c r="B45" s="377">
        <v>60</v>
      </c>
      <c r="C45" s="16">
        <f t="shared" si="4"/>
        <v>300</v>
      </c>
      <c r="D45" s="377">
        <v>0</v>
      </c>
      <c r="E45" s="377">
        <v>0</v>
      </c>
      <c r="F45" s="377">
        <v>0</v>
      </c>
      <c r="G45" s="377">
        <v>0</v>
      </c>
      <c r="H45" s="377">
        <v>0</v>
      </c>
      <c r="I45" s="377">
        <v>0</v>
      </c>
      <c r="J45" s="26">
        <f t="shared" si="5"/>
        <v>0</v>
      </c>
      <c r="K45" s="26">
        <f t="shared" si="6"/>
        <v>0</v>
      </c>
      <c r="L45" s="377">
        <f t="shared" si="7"/>
        <v>0</v>
      </c>
      <c r="M45" s="16" t="s">
        <v>1460</v>
      </c>
      <c r="N45" s="16" t="s">
        <v>1461</v>
      </c>
    </row>
    <row r="46" spans="1:17" x14ac:dyDescent="0.4">
      <c r="A46" s="16">
        <v>160891</v>
      </c>
      <c r="B46" s="421">
        <v>45</v>
      </c>
      <c r="C46" s="16">
        <f t="shared" si="4"/>
        <v>225</v>
      </c>
      <c r="D46" s="421">
        <v>0</v>
      </c>
      <c r="E46" s="421">
        <v>0</v>
      </c>
      <c r="F46" s="421">
        <v>0</v>
      </c>
      <c r="G46" s="421">
        <v>0</v>
      </c>
      <c r="H46" s="421">
        <v>0</v>
      </c>
      <c r="I46" s="421">
        <v>0</v>
      </c>
      <c r="J46" s="26">
        <f t="shared" si="5"/>
        <v>0</v>
      </c>
      <c r="K46" s="26">
        <f t="shared" si="6"/>
        <v>0</v>
      </c>
      <c r="L46" s="421">
        <f t="shared" si="7"/>
        <v>0</v>
      </c>
      <c r="M46" s="16" t="s">
        <v>1460</v>
      </c>
      <c r="N46" s="16" t="s">
        <v>1461</v>
      </c>
    </row>
    <row r="47" spans="1:17" x14ac:dyDescent="0.4">
      <c r="A47" s="1">
        <v>160892</v>
      </c>
      <c r="B47" s="753">
        <v>45</v>
      </c>
      <c r="C47" s="1">
        <f t="shared" si="4"/>
        <v>225</v>
      </c>
      <c r="D47" s="753">
        <v>0</v>
      </c>
      <c r="E47" s="753">
        <v>0</v>
      </c>
      <c r="F47" s="753">
        <v>0</v>
      </c>
      <c r="G47" s="753">
        <v>0</v>
      </c>
      <c r="H47" s="753">
        <v>1</v>
      </c>
      <c r="I47" s="753">
        <v>1</v>
      </c>
      <c r="J47" s="140">
        <f t="shared" si="5"/>
        <v>2</v>
      </c>
      <c r="K47" s="140">
        <f t="shared" si="6"/>
        <v>1</v>
      </c>
      <c r="L47" s="753">
        <f t="shared" si="7"/>
        <v>45</v>
      </c>
      <c r="M47" s="1" t="s">
        <v>1462</v>
      </c>
      <c r="N47" s="1" t="s">
        <v>1463</v>
      </c>
    </row>
    <row r="48" spans="1:17" x14ac:dyDescent="0.4">
      <c r="A48" s="16">
        <v>160893</v>
      </c>
      <c r="B48" s="403">
        <v>50</v>
      </c>
      <c r="C48" s="16">
        <f t="shared" si="4"/>
        <v>250</v>
      </c>
      <c r="D48" s="403">
        <v>0</v>
      </c>
      <c r="E48" s="403">
        <v>0</v>
      </c>
      <c r="F48" s="403">
        <v>0</v>
      </c>
      <c r="G48" s="403">
        <v>0</v>
      </c>
      <c r="H48" s="403">
        <v>0</v>
      </c>
      <c r="I48" s="403">
        <v>0</v>
      </c>
      <c r="J48" s="26">
        <f t="shared" si="5"/>
        <v>0</v>
      </c>
      <c r="K48" s="26">
        <f t="shared" si="6"/>
        <v>0</v>
      </c>
      <c r="L48" s="403">
        <f t="shared" si="7"/>
        <v>0</v>
      </c>
      <c r="M48" s="16" t="s">
        <v>1464</v>
      </c>
      <c r="N48" s="16" t="s">
        <v>1465</v>
      </c>
    </row>
    <row r="49" spans="1:23" x14ac:dyDescent="0.4">
      <c r="A49" s="1">
        <v>160894</v>
      </c>
      <c r="B49" s="753">
        <v>45</v>
      </c>
      <c r="C49" s="1">
        <f t="shared" si="4"/>
        <v>225</v>
      </c>
      <c r="D49" s="753">
        <v>0</v>
      </c>
      <c r="E49" s="753">
        <v>0</v>
      </c>
      <c r="F49" s="753">
        <v>0</v>
      </c>
      <c r="G49" s="753">
        <v>0</v>
      </c>
      <c r="H49" s="753">
        <v>0</v>
      </c>
      <c r="I49" s="753">
        <v>1</v>
      </c>
      <c r="J49" s="140">
        <f t="shared" si="5"/>
        <v>1</v>
      </c>
      <c r="K49" s="140">
        <f t="shared" si="6"/>
        <v>0</v>
      </c>
      <c r="L49" s="753">
        <f t="shared" si="7"/>
        <v>0</v>
      </c>
      <c r="M49" s="1" t="s">
        <v>1466</v>
      </c>
      <c r="N49" s="1" t="s">
        <v>1467</v>
      </c>
    </row>
    <row r="50" spans="1:23" x14ac:dyDescent="0.4">
      <c r="A50" s="1">
        <v>160895</v>
      </c>
      <c r="B50" s="753">
        <v>50</v>
      </c>
      <c r="C50" s="1">
        <f t="shared" si="4"/>
        <v>250</v>
      </c>
      <c r="D50" s="753">
        <v>0</v>
      </c>
      <c r="E50" s="753">
        <v>0</v>
      </c>
      <c r="F50" s="753">
        <v>0</v>
      </c>
      <c r="G50" s="753">
        <v>0</v>
      </c>
      <c r="H50" s="753">
        <v>1</v>
      </c>
      <c r="I50" s="753">
        <v>1</v>
      </c>
      <c r="J50" s="140">
        <f t="shared" si="5"/>
        <v>2</v>
      </c>
      <c r="K50" s="140">
        <f t="shared" si="6"/>
        <v>1</v>
      </c>
      <c r="L50" s="753">
        <f t="shared" si="7"/>
        <v>50</v>
      </c>
      <c r="M50" s="1" t="s">
        <v>1469</v>
      </c>
      <c r="N50" s="1" t="s">
        <v>1470</v>
      </c>
    </row>
    <row r="51" spans="1:23" x14ac:dyDescent="0.4">
      <c r="A51" s="1">
        <v>160896</v>
      </c>
      <c r="B51" s="753">
        <v>45</v>
      </c>
      <c r="C51" s="1">
        <f t="shared" si="4"/>
        <v>225</v>
      </c>
      <c r="D51" s="753">
        <v>0</v>
      </c>
      <c r="E51" s="753">
        <v>0</v>
      </c>
      <c r="F51" s="753">
        <v>0</v>
      </c>
      <c r="G51" s="753">
        <v>0</v>
      </c>
      <c r="H51" s="753">
        <v>0</v>
      </c>
      <c r="I51" s="753">
        <v>1</v>
      </c>
      <c r="J51" s="140">
        <f t="shared" si="5"/>
        <v>1</v>
      </c>
      <c r="K51" s="140">
        <f t="shared" si="6"/>
        <v>0</v>
      </c>
      <c r="L51" s="753">
        <f t="shared" si="7"/>
        <v>0</v>
      </c>
      <c r="M51" s="1" t="s">
        <v>1471</v>
      </c>
      <c r="N51" s="1" t="s">
        <v>1472</v>
      </c>
    </row>
    <row r="52" spans="1:23" x14ac:dyDescent="0.4">
      <c r="A52" s="22">
        <v>160897</v>
      </c>
      <c r="B52" s="23">
        <v>60</v>
      </c>
      <c r="C52" s="22">
        <f t="shared" si="4"/>
        <v>300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4">
        <f t="shared" si="5"/>
        <v>0</v>
      </c>
      <c r="K52" s="24">
        <f t="shared" si="6"/>
        <v>0</v>
      </c>
      <c r="L52" s="23">
        <f t="shared" si="7"/>
        <v>0</v>
      </c>
      <c r="M52" s="22" t="s">
        <v>1473</v>
      </c>
      <c r="N52" s="22" t="s">
        <v>1474</v>
      </c>
    </row>
    <row r="53" spans="1:23" x14ac:dyDescent="0.4">
      <c r="A53" s="123">
        <v>160898</v>
      </c>
      <c r="B53" s="252">
        <v>35</v>
      </c>
      <c r="C53" s="123">
        <f>B53*10</f>
        <v>350</v>
      </c>
      <c r="D53" s="252">
        <v>0</v>
      </c>
      <c r="E53" s="252">
        <v>0</v>
      </c>
      <c r="F53" s="252">
        <v>0</v>
      </c>
      <c r="G53" s="252">
        <v>0</v>
      </c>
      <c r="H53" s="252">
        <v>0</v>
      </c>
      <c r="I53" s="252">
        <v>0</v>
      </c>
      <c r="J53" s="2050">
        <f>SUM(D53:I54)</f>
        <v>6</v>
      </c>
      <c r="K53" s="2050">
        <f>J53-2</f>
        <v>4</v>
      </c>
      <c r="L53" s="252">
        <f t="shared" si="7"/>
        <v>140</v>
      </c>
      <c r="M53" s="123" t="s">
        <v>1479</v>
      </c>
      <c r="N53" s="123" t="s">
        <v>1480</v>
      </c>
      <c r="O53" s="123"/>
      <c r="P53" s="123"/>
      <c r="Q53" s="123"/>
      <c r="R53" s="123"/>
      <c r="S53" s="123"/>
      <c r="T53" s="123"/>
      <c r="U53" s="123"/>
      <c r="V53" s="123"/>
      <c r="W53" s="123"/>
    </row>
    <row r="54" spans="1:23" x14ac:dyDescent="0.4">
      <c r="A54" s="123"/>
      <c r="B54" s="252"/>
      <c r="C54" s="123"/>
      <c r="D54" s="252">
        <v>1</v>
      </c>
      <c r="E54" s="252">
        <v>1</v>
      </c>
      <c r="F54" s="252">
        <v>1</v>
      </c>
      <c r="G54" s="252">
        <v>1</v>
      </c>
      <c r="H54" s="252">
        <v>1</v>
      </c>
      <c r="I54" s="252">
        <v>1</v>
      </c>
      <c r="J54" s="2050"/>
      <c r="K54" s="2050"/>
      <c r="L54" s="252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</row>
    <row r="55" spans="1:23" x14ac:dyDescent="0.4">
      <c r="A55" s="1">
        <v>160899</v>
      </c>
      <c r="B55" s="753">
        <v>100</v>
      </c>
      <c r="C55" s="1">
        <f>SUM(B55*5)</f>
        <v>500</v>
      </c>
      <c r="D55" s="753">
        <v>0</v>
      </c>
      <c r="E55" s="753">
        <v>0</v>
      </c>
      <c r="F55" s="753">
        <v>1</v>
      </c>
      <c r="G55" s="753">
        <v>1</v>
      </c>
      <c r="H55" s="753">
        <v>1</v>
      </c>
      <c r="I55" s="753">
        <v>1</v>
      </c>
      <c r="J55" s="140">
        <f>SUM(D55:I55)</f>
        <v>4</v>
      </c>
      <c r="K55" s="140">
        <f>SUM(D55:H55)</f>
        <v>3</v>
      </c>
      <c r="L55" s="753">
        <f>B55*K55</f>
        <v>300</v>
      </c>
      <c r="M55" s="1" t="s">
        <v>1478</v>
      </c>
      <c r="N55" s="1" t="s">
        <v>1475</v>
      </c>
    </row>
    <row r="56" spans="1:23" x14ac:dyDescent="0.4">
      <c r="A56" s="16">
        <v>160900</v>
      </c>
      <c r="B56" s="555">
        <v>45</v>
      </c>
      <c r="C56" s="16">
        <f t="shared" ref="C56:C85" si="8">SUM(B56*5)</f>
        <v>225</v>
      </c>
      <c r="D56" s="555">
        <v>0</v>
      </c>
      <c r="E56" s="555">
        <v>0</v>
      </c>
      <c r="F56" s="555">
        <v>0</v>
      </c>
      <c r="G56" s="555">
        <v>0</v>
      </c>
      <c r="H56" s="555">
        <v>0</v>
      </c>
      <c r="I56" s="555">
        <v>0</v>
      </c>
      <c r="J56" s="556">
        <f t="shared" ref="J56:J85" si="9">SUM(D56:I56)</f>
        <v>0</v>
      </c>
      <c r="K56" s="556">
        <f t="shared" ref="K56:K85" si="10">SUM(D56:H56)</f>
        <v>0</v>
      </c>
      <c r="L56" s="555">
        <f t="shared" ref="L56:L85" si="11">B56*K56</f>
        <v>0</v>
      </c>
      <c r="M56" s="16" t="s">
        <v>1478</v>
      </c>
      <c r="N56" s="16" t="s">
        <v>1475</v>
      </c>
    </row>
    <row r="57" spans="1:23" x14ac:dyDescent="0.4">
      <c r="A57" s="16">
        <v>160901</v>
      </c>
      <c r="B57" s="450">
        <v>60</v>
      </c>
      <c r="C57" s="16">
        <f t="shared" si="8"/>
        <v>300</v>
      </c>
      <c r="D57" s="450">
        <v>0</v>
      </c>
      <c r="E57" s="450">
        <v>0</v>
      </c>
      <c r="F57" s="450">
        <v>0</v>
      </c>
      <c r="G57" s="450">
        <v>0</v>
      </c>
      <c r="H57" s="450">
        <v>0</v>
      </c>
      <c r="I57" s="450">
        <v>0</v>
      </c>
      <c r="J57" s="26">
        <f t="shared" si="9"/>
        <v>0</v>
      </c>
      <c r="K57" s="26">
        <f t="shared" si="10"/>
        <v>0</v>
      </c>
      <c r="L57" s="450">
        <f t="shared" si="11"/>
        <v>0</v>
      </c>
      <c r="M57" s="16" t="s">
        <v>1476</v>
      </c>
      <c r="N57" s="16" t="s">
        <v>1477</v>
      </c>
    </row>
    <row r="58" spans="1:23" x14ac:dyDescent="0.4">
      <c r="A58" s="16">
        <v>160902</v>
      </c>
      <c r="B58" s="453">
        <v>60</v>
      </c>
      <c r="C58" s="16">
        <f t="shared" si="8"/>
        <v>300</v>
      </c>
      <c r="D58" s="453">
        <v>0</v>
      </c>
      <c r="E58" s="453">
        <v>0</v>
      </c>
      <c r="F58" s="453">
        <v>0</v>
      </c>
      <c r="G58" s="453">
        <v>0</v>
      </c>
      <c r="H58" s="453">
        <v>0</v>
      </c>
      <c r="I58" s="453">
        <v>0</v>
      </c>
      <c r="J58" s="26">
        <f t="shared" si="9"/>
        <v>0</v>
      </c>
      <c r="K58" s="26">
        <f t="shared" si="10"/>
        <v>0</v>
      </c>
      <c r="L58" s="453">
        <f t="shared" si="11"/>
        <v>0</v>
      </c>
      <c r="M58" s="16" t="s">
        <v>1476</v>
      </c>
      <c r="N58" s="16" t="s">
        <v>1477</v>
      </c>
    </row>
    <row r="59" spans="1:23" x14ac:dyDescent="0.4">
      <c r="A59" s="16">
        <v>160903</v>
      </c>
      <c r="B59" s="403">
        <v>45</v>
      </c>
      <c r="C59" s="16">
        <f t="shared" si="8"/>
        <v>225</v>
      </c>
      <c r="D59" s="403">
        <v>0</v>
      </c>
      <c r="E59" s="403">
        <v>0</v>
      </c>
      <c r="F59" s="403">
        <v>0</v>
      </c>
      <c r="G59" s="403">
        <v>0</v>
      </c>
      <c r="H59" s="403">
        <v>0</v>
      </c>
      <c r="I59" s="403">
        <v>0</v>
      </c>
      <c r="J59" s="26">
        <f t="shared" si="9"/>
        <v>0</v>
      </c>
      <c r="K59" s="26">
        <f t="shared" si="10"/>
        <v>0</v>
      </c>
      <c r="L59" s="403">
        <f t="shared" si="11"/>
        <v>0</v>
      </c>
      <c r="M59" s="16" t="s">
        <v>1481</v>
      </c>
      <c r="N59" s="16" t="s">
        <v>1482</v>
      </c>
    </row>
    <row r="60" spans="1:23" x14ac:dyDescent="0.4">
      <c r="A60" s="16">
        <v>160904</v>
      </c>
      <c r="B60" s="356">
        <v>45</v>
      </c>
      <c r="C60" s="16">
        <f t="shared" si="8"/>
        <v>225</v>
      </c>
      <c r="D60" s="356">
        <v>0</v>
      </c>
      <c r="E60" s="356">
        <v>0</v>
      </c>
      <c r="F60" s="356">
        <v>0</v>
      </c>
      <c r="G60" s="356">
        <v>0</v>
      </c>
      <c r="H60" s="356">
        <v>0</v>
      </c>
      <c r="I60" s="356">
        <v>0</v>
      </c>
      <c r="J60" s="26">
        <f t="shared" si="9"/>
        <v>0</v>
      </c>
      <c r="K60" s="26">
        <f t="shared" si="10"/>
        <v>0</v>
      </c>
      <c r="L60" s="356">
        <f t="shared" si="11"/>
        <v>0</v>
      </c>
      <c r="M60" s="16" t="s">
        <v>1483</v>
      </c>
      <c r="N60" s="16" t="s">
        <v>1484</v>
      </c>
    </row>
    <row r="61" spans="1:23" x14ac:dyDescent="0.4">
      <c r="A61" s="16">
        <v>160905</v>
      </c>
      <c r="B61" s="964">
        <v>45</v>
      </c>
      <c r="C61" s="16">
        <f t="shared" si="8"/>
        <v>225</v>
      </c>
      <c r="D61" s="964">
        <v>0</v>
      </c>
      <c r="E61" s="964">
        <v>0</v>
      </c>
      <c r="F61" s="964">
        <v>0</v>
      </c>
      <c r="G61" s="964">
        <v>0</v>
      </c>
      <c r="H61" s="964">
        <v>0</v>
      </c>
      <c r="I61" s="964">
        <v>0</v>
      </c>
      <c r="J61" s="965">
        <f t="shared" si="9"/>
        <v>0</v>
      </c>
      <c r="K61" s="965">
        <f t="shared" si="10"/>
        <v>0</v>
      </c>
      <c r="L61" s="964">
        <f t="shared" si="11"/>
        <v>0</v>
      </c>
      <c r="M61" s="16" t="s">
        <v>1485</v>
      </c>
      <c r="N61" s="16" t="s">
        <v>1485</v>
      </c>
    </row>
    <row r="62" spans="1:23" x14ac:dyDescent="0.4">
      <c r="A62" s="16">
        <v>160906</v>
      </c>
      <c r="B62" s="754">
        <v>0</v>
      </c>
      <c r="C62" s="16">
        <f t="shared" si="8"/>
        <v>0</v>
      </c>
      <c r="D62" s="754">
        <v>0</v>
      </c>
      <c r="E62" s="754">
        <v>0</v>
      </c>
      <c r="F62" s="754">
        <v>0</v>
      </c>
      <c r="G62" s="754">
        <v>0</v>
      </c>
      <c r="H62" s="754">
        <v>0</v>
      </c>
      <c r="I62" s="754">
        <v>0</v>
      </c>
      <c r="J62" s="755">
        <f t="shared" si="9"/>
        <v>0</v>
      </c>
      <c r="K62" s="755">
        <f t="shared" si="10"/>
        <v>0</v>
      </c>
      <c r="L62" s="754">
        <f t="shared" si="11"/>
        <v>0</v>
      </c>
      <c r="M62" s="16" t="s">
        <v>1706</v>
      </c>
      <c r="N62" s="16"/>
    </row>
    <row r="63" spans="1:23" x14ac:dyDescent="0.4">
      <c r="A63" s="16">
        <v>160907</v>
      </c>
      <c r="B63" s="484">
        <v>60</v>
      </c>
      <c r="C63" s="16">
        <f t="shared" si="8"/>
        <v>300</v>
      </c>
      <c r="D63" s="484">
        <v>0</v>
      </c>
      <c r="E63" s="484">
        <v>0</v>
      </c>
      <c r="F63" s="484">
        <v>0</v>
      </c>
      <c r="G63" s="484">
        <v>0</v>
      </c>
      <c r="H63" s="484">
        <v>0</v>
      </c>
      <c r="I63" s="484">
        <v>0</v>
      </c>
      <c r="J63" s="26">
        <f t="shared" si="9"/>
        <v>0</v>
      </c>
      <c r="K63" s="26">
        <f t="shared" si="10"/>
        <v>0</v>
      </c>
      <c r="L63" s="484">
        <f t="shared" si="11"/>
        <v>0</v>
      </c>
      <c r="M63" s="16" t="s">
        <v>1486</v>
      </c>
      <c r="N63" s="16" t="s">
        <v>1492</v>
      </c>
    </row>
    <row r="64" spans="1:23" x14ac:dyDescent="0.4">
      <c r="A64" s="16">
        <v>160908</v>
      </c>
      <c r="B64" s="435">
        <v>60</v>
      </c>
      <c r="C64" s="16">
        <f t="shared" si="8"/>
        <v>300</v>
      </c>
      <c r="D64" s="435">
        <v>0</v>
      </c>
      <c r="E64" s="435">
        <v>0</v>
      </c>
      <c r="F64" s="435">
        <v>0</v>
      </c>
      <c r="G64" s="435">
        <v>0</v>
      </c>
      <c r="H64" s="435">
        <v>0</v>
      </c>
      <c r="I64" s="435">
        <v>0</v>
      </c>
      <c r="J64" s="26">
        <f t="shared" si="9"/>
        <v>0</v>
      </c>
      <c r="K64" s="26">
        <f t="shared" si="10"/>
        <v>0</v>
      </c>
      <c r="L64" s="435">
        <f t="shared" si="11"/>
        <v>0</v>
      </c>
      <c r="M64" s="16" t="s">
        <v>1486</v>
      </c>
      <c r="N64" s="16" t="s">
        <v>1492</v>
      </c>
    </row>
    <row r="65" spans="1:14" x14ac:dyDescent="0.4">
      <c r="A65" s="1">
        <v>160909</v>
      </c>
      <c r="B65" s="753">
        <v>45</v>
      </c>
      <c r="C65" s="1">
        <f t="shared" si="8"/>
        <v>225</v>
      </c>
      <c r="D65" s="753">
        <v>0</v>
      </c>
      <c r="E65" s="753">
        <v>0</v>
      </c>
      <c r="F65" s="753">
        <v>0</v>
      </c>
      <c r="G65" s="753">
        <v>0</v>
      </c>
      <c r="H65" s="753">
        <v>0</v>
      </c>
      <c r="I65" s="753">
        <v>0</v>
      </c>
      <c r="J65" s="140">
        <f t="shared" si="9"/>
        <v>0</v>
      </c>
      <c r="K65" s="140">
        <f t="shared" si="10"/>
        <v>0</v>
      </c>
      <c r="L65" s="753">
        <f t="shared" si="11"/>
        <v>0</v>
      </c>
      <c r="M65" s="1" t="s">
        <v>1486</v>
      </c>
      <c r="N65" s="1" t="s">
        <v>1492</v>
      </c>
    </row>
    <row r="66" spans="1:14" x14ac:dyDescent="0.4">
      <c r="A66" s="1">
        <v>160910</v>
      </c>
      <c r="B66" s="753">
        <v>45</v>
      </c>
      <c r="C66" s="1">
        <f t="shared" si="8"/>
        <v>225</v>
      </c>
      <c r="D66" s="753">
        <v>0</v>
      </c>
      <c r="E66" s="753">
        <v>0</v>
      </c>
      <c r="F66" s="753">
        <v>0</v>
      </c>
      <c r="G66" s="753">
        <v>0</v>
      </c>
      <c r="H66" s="753">
        <v>0</v>
      </c>
      <c r="I66" s="753">
        <v>0</v>
      </c>
      <c r="J66" s="140">
        <f t="shared" si="9"/>
        <v>0</v>
      </c>
      <c r="K66" s="140">
        <f t="shared" si="10"/>
        <v>0</v>
      </c>
      <c r="L66" s="753">
        <f t="shared" si="11"/>
        <v>0</v>
      </c>
      <c r="M66" s="1" t="s">
        <v>1493</v>
      </c>
      <c r="N66" s="1" t="s">
        <v>1494</v>
      </c>
    </row>
    <row r="67" spans="1:14" x14ac:dyDescent="0.4">
      <c r="A67" s="16">
        <v>160911</v>
      </c>
      <c r="B67" s="446">
        <v>45</v>
      </c>
      <c r="C67" s="16">
        <f t="shared" si="8"/>
        <v>225</v>
      </c>
      <c r="D67" s="446">
        <v>0</v>
      </c>
      <c r="E67" s="446">
        <v>0</v>
      </c>
      <c r="F67" s="446">
        <v>0</v>
      </c>
      <c r="G67" s="446">
        <v>0</v>
      </c>
      <c r="H67" s="446">
        <v>0</v>
      </c>
      <c r="I67" s="446">
        <v>0</v>
      </c>
      <c r="J67" s="26">
        <f t="shared" si="9"/>
        <v>0</v>
      </c>
      <c r="K67" s="26">
        <f t="shared" si="10"/>
        <v>0</v>
      </c>
      <c r="L67" s="446">
        <f t="shared" si="11"/>
        <v>0</v>
      </c>
      <c r="M67" s="16" t="s">
        <v>1493</v>
      </c>
      <c r="N67" s="16" t="s">
        <v>1494</v>
      </c>
    </row>
    <row r="68" spans="1:14" x14ac:dyDescent="0.4">
      <c r="A68" s="1">
        <v>160912</v>
      </c>
      <c r="B68" s="753">
        <v>60</v>
      </c>
      <c r="C68" s="1">
        <f t="shared" si="8"/>
        <v>300</v>
      </c>
      <c r="D68" s="753">
        <v>0</v>
      </c>
      <c r="E68" s="753">
        <v>0</v>
      </c>
      <c r="F68" s="753">
        <v>0</v>
      </c>
      <c r="G68" s="753">
        <v>0</v>
      </c>
      <c r="H68" s="753">
        <v>0</v>
      </c>
      <c r="I68" s="753">
        <v>1</v>
      </c>
      <c r="J68" s="140">
        <f t="shared" si="9"/>
        <v>1</v>
      </c>
      <c r="K68" s="140">
        <f t="shared" si="10"/>
        <v>0</v>
      </c>
      <c r="L68" s="753">
        <f t="shared" si="11"/>
        <v>0</v>
      </c>
      <c r="M68" s="1" t="s">
        <v>1489</v>
      </c>
      <c r="N68" s="1" t="s">
        <v>1490</v>
      </c>
    </row>
    <row r="69" spans="1:14" x14ac:dyDescent="0.4">
      <c r="A69" s="1">
        <v>160913</v>
      </c>
      <c r="B69" s="753">
        <v>45</v>
      </c>
      <c r="C69" s="1">
        <f t="shared" si="8"/>
        <v>225</v>
      </c>
      <c r="D69" s="753">
        <v>0</v>
      </c>
      <c r="E69" s="753">
        <v>0</v>
      </c>
      <c r="F69" s="753">
        <v>0</v>
      </c>
      <c r="G69" s="753">
        <v>0</v>
      </c>
      <c r="H69" s="753">
        <v>0</v>
      </c>
      <c r="I69" s="753">
        <v>1</v>
      </c>
      <c r="J69" s="140">
        <f t="shared" si="9"/>
        <v>1</v>
      </c>
      <c r="K69" s="140">
        <f t="shared" si="10"/>
        <v>0</v>
      </c>
      <c r="L69" s="753">
        <f t="shared" si="11"/>
        <v>0</v>
      </c>
      <c r="M69" s="1" t="s">
        <v>1489</v>
      </c>
      <c r="N69" s="1" t="s">
        <v>1491</v>
      </c>
    </row>
    <row r="70" spans="1:14" x14ac:dyDescent="0.4">
      <c r="A70" s="16">
        <v>160914</v>
      </c>
      <c r="B70" s="605">
        <v>60</v>
      </c>
      <c r="C70" s="16">
        <f t="shared" si="8"/>
        <v>300</v>
      </c>
      <c r="D70" s="605">
        <v>0</v>
      </c>
      <c r="E70" s="605">
        <v>0</v>
      </c>
      <c r="F70" s="605">
        <v>0</v>
      </c>
      <c r="G70" s="605">
        <v>0</v>
      </c>
      <c r="H70" s="605">
        <v>0</v>
      </c>
      <c r="I70" s="605">
        <v>0</v>
      </c>
      <c r="J70" s="606">
        <f t="shared" si="9"/>
        <v>0</v>
      </c>
      <c r="K70" s="606">
        <f t="shared" si="10"/>
        <v>0</v>
      </c>
      <c r="L70" s="605">
        <f t="shared" si="11"/>
        <v>0</v>
      </c>
      <c r="M70" s="16" t="s">
        <v>1499</v>
      </c>
      <c r="N70" s="16" t="s">
        <v>1500</v>
      </c>
    </row>
    <row r="71" spans="1:14" x14ac:dyDescent="0.4">
      <c r="A71" s="16">
        <v>160915</v>
      </c>
      <c r="B71" s="372">
        <v>45</v>
      </c>
      <c r="C71" s="16">
        <f t="shared" si="8"/>
        <v>225</v>
      </c>
      <c r="D71" s="372">
        <v>0</v>
      </c>
      <c r="E71" s="372">
        <v>0</v>
      </c>
      <c r="F71" s="372">
        <v>0</v>
      </c>
      <c r="G71" s="372">
        <v>0</v>
      </c>
      <c r="H71" s="372">
        <v>0</v>
      </c>
      <c r="I71" s="372">
        <v>0</v>
      </c>
      <c r="J71" s="26">
        <f t="shared" si="9"/>
        <v>0</v>
      </c>
      <c r="K71" s="26">
        <f t="shared" si="10"/>
        <v>0</v>
      </c>
      <c r="L71" s="372">
        <f t="shared" si="11"/>
        <v>0</v>
      </c>
      <c r="M71" s="16" t="s">
        <v>1499</v>
      </c>
      <c r="N71" s="16" t="s">
        <v>1500</v>
      </c>
    </row>
    <row r="72" spans="1:14" x14ac:dyDescent="0.4">
      <c r="A72" s="16">
        <v>160916</v>
      </c>
      <c r="B72" s="343">
        <v>45</v>
      </c>
      <c r="C72" s="16">
        <f t="shared" si="8"/>
        <v>225</v>
      </c>
      <c r="D72" s="343">
        <v>0</v>
      </c>
      <c r="E72" s="343">
        <v>0</v>
      </c>
      <c r="F72" s="343">
        <v>0</v>
      </c>
      <c r="G72" s="343">
        <v>0</v>
      </c>
      <c r="H72" s="343">
        <v>0</v>
      </c>
      <c r="I72" s="343">
        <v>0</v>
      </c>
      <c r="J72" s="26">
        <f t="shared" si="9"/>
        <v>0</v>
      </c>
      <c r="K72" s="26">
        <f t="shared" si="10"/>
        <v>0</v>
      </c>
      <c r="L72" s="343">
        <f t="shared" si="11"/>
        <v>0</v>
      </c>
      <c r="M72" s="16" t="s">
        <v>1498</v>
      </c>
      <c r="N72" s="16" t="s">
        <v>1496</v>
      </c>
    </row>
    <row r="73" spans="1:14" x14ac:dyDescent="0.4">
      <c r="A73" s="1">
        <v>160917</v>
      </c>
      <c r="B73" s="753">
        <v>50</v>
      </c>
      <c r="C73" s="1">
        <f t="shared" si="8"/>
        <v>250</v>
      </c>
      <c r="D73" s="753">
        <v>0</v>
      </c>
      <c r="E73" s="753">
        <v>0</v>
      </c>
      <c r="F73" s="753">
        <v>0</v>
      </c>
      <c r="G73" s="753">
        <v>0</v>
      </c>
      <c r="H73" s="753">
        <v>0</v>
      </c>
      <c r="I73" s="753">
        <v>1</v>
      </c>
      <c r="J73" s="140">
        <f t="shared" si="9"/>
        <v>1</v>
      </c>
      <c r="K73" s="140">
        <f t="shared" si="10"/>
        <v>0</v>
      </c>
      <c r="L73" s="753">
        <f t="shared" si="11"/>
        <v>0</v>
      </c>
      <c r="M73" s="1" t="s">
        <v>1495</v>
      </c>
      <c r="N73" s="1" t="s">
        <v>1496</v>
      </c>
    </row>
    <row r="74" spans="1:14" x14ac:dyDescent="0.4">
      <c r="A74" s="1">
        <v>160918</v>
      </c>
      <c r="B74" s="753">
        <v>50</v>
      </c>
      <c r="C74" s="1">
        <f t="shared" si="8"/>
        <v>250</v>
      </c>
      <c r="D74" s="753">
        <v>0</v>
      </c>
      <c r="E74" s="753">
        <v>0</v>
      </c>
      <c r="F74" s="753">
        <v>0</v>
      </c>
      <c r="G74" s="753">
        <v>0</v>
      </c>
      <c r="H74" s="753">
        <v>0</v>
      </c>
      <c r="I74" s="753">
        <v>1</v>
      </c>
      <c r="J74" s="140">
        <f t="shared" si="9"/>
        <v>1</v>
      </c>
      <c r="K74" s="140">
        <f t="shared" si="10"/>
        <v>0</v>
      </c>
      <c r="L74" s="753">
        <f t="shared" si="11"/>
        <v>0</v>
      </c>
      <c r="M74" s="1" t="s">
        <v>1497</v>
      </c>
      <c r="N74" s="1" t="s">
        <v>1496</v>
      </c>
    </row>
    <row r="75" spans="1:14" x14ac:dyDescent="0.4">
      <c r="A75" s="1">
        <v>160919</v>
      </c>
      <c r="B75" s="753">
        <v>60</v>
      </c>
      <c r="C75" s="1">
        <f t="shared" si="8"/>
        <v>300</v>
      </c>
      <c r="D75" s="753">
        <v>0</v>
      </c>
      <c r="E75" s="753">
        <v>0</v>
      </c>
      <c r="F75" s="753">
        <v>0</v>
      </c>
      <c r="G75" s="753">
        <v>0</v>
      </c>
      <c r="H75" s="753">
        <v>0</v>
      </c>
      <c r="I75" s="753">
        <v>1</v>
      </c>
      <c r="J75" s="140">
        <f t="shared" si="9"/>
        <v>1</v>
      </c>
      <c r="K75" s="140">
        <f t="shared" si="10"/>
        <v>0</v>
      </c>
      <c r="L75" s="753">
        <f t="shared" si="11"/>
        <v>0</v>
      </c>
      <c r="M75" s="1" t="s">
        <v>1495</v>
      </c>
      <c r="N75" s="1" t="s">
        <v>1496</v>
      </c>
    </row>
    <row r="76" spans="1:14" x14ac:dyDescent="0.4">
      <c r="A76" s="16">
        <v>160920</v>
      </c>
      <c r="B76" s="356">
        <v>90</v>
      </c>
      <c r="C76" s="16">
        <f t="shared" si="8"/>
        <v>450</v>
      </c>
      <c r="D76" s="356">
        <v>0</v>
      </c>
      <c r="E76" s="356">
        <v>0</v>
      </c>
      <c r="F76" s="356">
        <v>0</v>
      </c>
      <c r="G76" s="356">
        <v>0</v>
      </c>
      <c r="H76" s="356">
        <v>0</v>
      </c>
      <c r="I76" s="356">
        <v>0</v>
      </c>
      <c r="J76" s="26">
        <f t="shared" si="9"/>
        <v>0</v>
      </c>
      <c r="K76" s="26">
        <f t="shared" si="10"/>
        <v>0</v>
      </c>
      <c r="L76" s="356">
        <f t="shared" si="11"/>
        <v>0</v>
      </c>
      <c r="M76" s="16" t="s">
        <v>1495</v>
      </c>
      <c r="N76" s="16" t="s">
        <v>1496</v>
      </c>
    </row>
    <row r="77" spans="1:14" x14ac:dyDescent="0.4">
      <c r="A77" s="1">
        <v>160921</v>
      </c>
      <c r="B77" s="753">
        <v>60</v>
      </c>
      <c r="C77" s="1">
        <f t="shared" si="8"/>
        <v>300</v>
      </c>
      <c r="D77" s="753">
        <v>0</v>
      </c>
      <c r="E77" s="753">
        <v>0</v>
      </c>
      <c r="F77" s="753">
        <v>0</v>
      </c>
      <c r="G77" s="753">
        <v>1</v>
      </c>
      <c r="H77" s="753">
        <v>1</v>
      </c>
      <c r="I77" s="753">
        <v>1</v>
      </c>
      <c r="J77" s="140">
        <f t="shared" si="9"/>
        <v>3</v>
      </c>
      <c r="K77" s="140">
        <f t="shared" si="10"/>
        <v>2</v>
      </c>
      <c r="L77" s="753">
        <f t="shared" si="11"/>
        <v>120</v>
      </c>
      <c r="M77" s="1" t="s">
        <v>1501</v>
      </c>
      <c r="N77" s="1" t="s">
        <v>1502</v>
      </c>
    </row>
    <row r="78" spans="1:14" x14ac:dyDescent="0.4">
      <c r="A78" s="16">
        <v>160922</v>
      </c>
      <c r="B78" s="421">
        <v>45</v>
      </c>
      <c r="C78" s="16">
        <f t="shared" si="8"/>
        <v>225</v>
      </c>
      <c r="D78" s="421">
        <v>0</v>
      </c>
      <c r="E78" s="421">
        <v>0</v>
      </c>
      <c r="F78" s="421">
        <v>0</v>
      </c>
      <c r="G78" s="421">
        <v>0</v>
      </c>
      <c r="H78" s="421">
        <v>0</v>
      </c>
      <c r="I78" s="421">
        <v>0</v>
      </c>
      <c r="J78" s="26">
        <f t="shared" si="9"/>
        <v>0</v>
      </c>
      <c r="K78" s="26">
        <f t="shared" si="10"/>
        <v>0</v>
      </c>
      <c r="L78" s="421">
        <f t="shared" si="11"/>
        <v>0</v>
      </c>
      <c r="M78" s="16" t="s">
        <v>1505</v>
      </c>
      <c r="N78" s="16" t="s">
        <v>1506</v>
      </c>
    </row>
    <row r="79" spans="1:14" x14ac:dyDescent="0.4">
      <c r="A79" s="16">
        <v>160923</v>
      </c>
      <c r="B79" s="363">
        <v>45</v>
      </c>
      <c r="C79" s="16">
        <f t="shared" si="8"/>
        <v>225</v>
      </c>
      <c r="D79" s="363">
        <v>0</v>
      </c>
      <c r="E79" s="363">
        <v>0</v>
      </c>
      <c r="F79" s="363">
        <v>0</v>
      </c>
      <c r="G79" s="363">
        <v>0</v>
      </c>
      <c r="H79" s="363">
        <v>0</v>
      </c>
      <c r="I79" s="363">
        <v>0</v>
      </c>
      <c r="J79" s="26">
        <f t="shared" si="9"/>
        <v>0</v>
      </c>
      <c r="K79" s="26">
        <f t="shared" si="10"/>
        <v>0</v>
      </c>
      <c r="L79" s="363">
        <f t="shared" si="11"/>
        <v>0</v>
      </c>
      <c r="M79" s="16" t="s">
        <v>1503</v>
      </c>
      <c r="N79" s="16" t="s">
        <v>1507</v>
      </c>
    </row>
    <row r="80" spans="1:14" x14ac:dyDescent="0.4">
      <c r="A80" s="16">
        <v>160924</v>
      </c>
      <c r="B80" s="720">
        <v>60</v>
      </c>
      <c r="C80" s="16">
        <f t="shared" si="8"/>
        <v>300</v>
      </c>
      <c r="D80" s="720">
        <v>0</v>
      </c>
      <c r="E80" s="720">
        <v>0</v>
      </c>
      <c r="F80" s="720">
        <v>0</v>
      </c>
      <c r="G80" s="720">
        <v>0</v>
      </c>
      <c r="H80" s="720">
        <v>0</v>
      </c>
      <c r="I80" s="720">
        <v>0</v>
      </c>
      <c r="J80" s="721">
        <f t="shared" si="9"/>
        <v>0</v>
      </c>
      <c r="K80" s="721">
        <f t="shared" si="10"/>
        <v>0</v>
      </c>
      <c r="L80" s="720">
        <f t="shared" si="11"/>
        <v>0</v>
      </c>
      <c r="M80" s="16" t="s">
        <v>1504</v>
      </c>
      <c r="N80" s="16" t="s">
        <v>1508</v>
      </c>
    </row>
    <row r="81" spans="1:22" x14ac:dyDescent="0.4">
      <c r="A81" s="16">
        <v>160925</v>
      </c>
      <c r="B81" s="404">
        <v>60</v>
      </c>
      <c r="C81" s="16">
        <f t="shared" si="8"/>
        <v>300</v>
      </c>
      <c r="D81" s="404">
        <v>0</v>
      </c>
      <c r="E81" s="404">
        <v>0</v>
      </c>
      <c r="F81" s="404">
        <v>0</v>
      </c>
      <c r="G81" s="404">
        <v>0</v>
      </c>
      <c r="H81" s="404">
        <v>0</v>
      </c>
      <c r="I81" s="404">
        <v>0</v>
      </c>
      <c r="J81" s="26">
        <f t="shared" si="9"/>
        <v>0</v>
      </c>
      <c r="K81" s="26">
        <f t="shared" si="10"/>
        <v>0</v>
      </c>
      <c r="L81" s="404">
        <f t="shared" si="11"/>
        <v>0</v>
      </c>
      <c r="M81" s="16" t="s">
        <v>1504</v>
      </c>
      <c r="N81" s="16" t="s">
        <v>1508</v>
      </c>
    </row>
    <row r="82" spans="1:22" x14ac:dyDescent="0.4">
      <c r="A82" s="1">
        <v>160926</v>
      </c>
      <c r="B82" s="285">
        <v>0</v>
      </c>
      <c r="C82" s="1">
        <f t="shared" si="8"/>
        <v>0</v>
      </c>
      <c r="D82" s="285">
        <v>1</v>
      </c>
      <c r="E82" s="285">
        <v>1</v>
      </c>
      <c r="F82" s="285">
        <v>1</v>
      </c>
      <c r="G82" s="285">
        <v>1</v>
      </c>
      <c r="H82" s="285">
        <v>1</v>
      </c>
      <c r="I82" s="285">
        <v>1</v>
      </c>
      <c r="J82" s="140">
        <f t="shared" si="9"/>
        <v>6</v>
      </c>
      <c r="K82" s="140">
        <f t="shared" si="10"/>
        <v>5</v>
      </c>
      <c r="L82" s="285">
        <f t="shared" si="11"/>
        <v>0</v>
      </c>
      <c r="M82" s="1" t="s">
        <v>1509</v>
      </c>
      <c r="N82" s="1" t="s">
        <v>1510</v>
      </c>
      <c r="O82" s="1" t="s">
        <v>1512</v>
      </c>
      <c r="P82" s="1" t="s">
        <v>1511</v>
      </c>
      <c r="Q82" s="1"/>
      <c r="R82" s="2049" t="s">
        <v>1513</v>
      </c>
      <c r="S82" s="2049"/>
      <c r="T82" s="2049"/>
      <c r="U82" s="2049"/>
      <c r="V82" s="2049"/>
    </row>
    <row r="83" spans="1:22" x14ac:dyDescent="0.4">
      <c r="A83" s="1">
        <v>160927</v>
      </c>
      <c r="B83" s="722">
        <v>60</v>
      </c>
      <c r="C83" s="1">
        <f>B83*1</f>
        <v>60</v>
      </c>
      <c r="D83" s="722">
        <v>1</v>
      </c>
      <c r="E83" s="722"/>
      <c r="F83" s="722"/>
      <c r="G83" s="722"/>
      <c r="H83" s="722"/>
      <c r="I83" s="722"/>
      <c r="J83" s="140">
        <f t="shared" si="9"/>
        <v>1</v>
      </c>
      <c r="K83" s="140">
        <f t="shared" si="10"/>
        <v>1</v>
      </c>
      <c r="L83" s="722">
        <f t="shared" si="11"/>
        <v>60</v>
      </c>
      <c r="M83" s="1" t="s">
        <v>1515</v>
      </c>
      <c r="N83" s="1" t="s">
        <v>1516</v>
      </c>
      <c r="O83" s="1" t="s">
        <v>1517</v>
      </c>
      <c r="P83" s="1"/>
      <c r="Q83" s="1"/>
      <c r="R83" s="1"/>
      <c r="S83" s="1"/>
      <c r="T83" s="1"/>
      <c r="U83" s="1"/>
    </row>
    <row r="84" spans="1:22" x14ac:dyDescent="0.4">
      <c r="A84" s="1">
        <v>160928</v>
      </c>
      <c r="B84" s="753">
        <v>45</v>
      </c>
      <c r="C84" s="1">
        <f t="shared" si="8"/>
        <v>225</v>
      </c>
      <c r="D84" s="753">
        <v>0</v>
      </c>
      <c r="E84" s="753">
        <v>0</v>
      </c>
      <c r="F84" s="753">
        <v>1</v>
      </c>
      <c r="G84" s="753">
        <v>1</v>
      </c>
      <c r="H84" s="753">
        <v>1</v>
      </c>
      <c r="I84" s="753">
        <v>1</v>
      </c>
      <c r="J84" s="140">
        <f t="shared" si="9"/>
        <v>4</v>
      </c>
      <c r="K84" s="140">
        <f t="shared" si="10"/>
        <v>3</v>
      </c>
      <c r="L84" s="753">
        <f t="shared" si="11"/>
        <v>135</v>
      </c>
      <c r="M84" s="1" t="s">
        <v>1515</v>
      </c>
      <c r="N84" s="1" t="s">
        <v>1516</v>
      </c>
    </row>
    <row r="85" spans="1:22" x14ac:dyDescent="0.4">
      <c r="A85" s="16">
        <v>160929</v>
      </c>
      <c r="B85" s="381">
        <v>45</v>
      </c>
      <c r="C85" s="16">
        <f t="shared" si="8"/>
        <v>225</v>
      </c>
      <c r="D85" s="381">
        <v>0</v>
      </c>
      <c r="E85" s="381">
        <v>0</v>
      </c>
      <c r="F85" s="381">
        <v>0</v>
      </c>
      <c r="G85" s="381">
        <v>0</v>
      </c>
      <c r="H85" s="381">
        <v>0</v>
      </c>
      <c r="I85" s="381">
        <v>0</v>
      </c>
      <c r="J85" s="26">
        <f t="shared" si="9"/>
        <v>0</v>
      </c>
      <c r="K85" s="26">
        <f t="shared" si="10"/>
        <v>0</v>
      </c>
      <c r="L85" s="381">
        <f t="shared" si="11"/>
        <v>0</v>
      </c>
      <c r="M85" s="16" t="s">
        <v>1515</v>
      </c>
      <c r="N85" s="16" t="s">
        <v>1516</v>
      </c>
    </row>
    <row r="86" spans="1:22" x14ac:dyDescent="0.4">
      <c r="A86" s="1">
        <v>160930</v>
      </c>
      <c r="B86" s="753">
        <v>45</v>
      </c>
      <c r="C86" s="1">
        <f t="shared" ref="C86:C115" si="12">SUM(B86*5)</f>
        <v>225</v>
      </c>
      <c r="D86" s="753">
        <v>0</v>
      </c>
      <c r="E86" s="753">
        <v>0</v>
      </c>
      <c r="F86" s="753">
        <v>0</v>
      </c>
      <c r="G86" s="753">
        <v>0</v>
      </c>
      <c r="H86" s="753">
        <v>0</v>
      </c>
      <c r="I86" s="753">
        <v>1</v>
      </c>
      <c r="J86" s="140">
        <f t="shared" ref="J86:J115" si="13">SUM(D86:I86)</f>
        <v>1</v>
      </c>
      <c r="K86" s="140">
        <f t="shared" ref="K86:K115" si="14">SUM(D86:H86)</f>
        <v>0</v>
      </c>
      <c r="L86" s="753">
        <f t="shared" ref="L86:L115" si="15">B86*K86</f>
        <v>0</v>
      </c>
      <c r="M86" s="1" t="s">
        <v>1515</v>
      </c>
      <c r="N86" s="1" t="s">
        <v>1516</v>
      </c>
    </row>
    <row r="87" spans="1:22" x14ac:dyDescent="0.4">
      <c r="A87" s="16">
        <v>160931</v>
      </c>
      <c r="B87" s="386">
        <v>45</v>
      </c>
      <c r="C87" s="16">
        <f t="shared" si="12"/>
        <v>225</v>
      </c>
      <c r="D87" s="386">
        <v>0</v>
      </c>
      <c r="E87" s="386">
        <v>0</v>
      </c>
      <c r="F87" s="386">
        <v>0</v>
      </c>
      <c r="G87" s="386">
        <v>0</v>
      </c>
      <c r="H87" s="386">
        <v>0</v>
      </c>
      <c r="I87" s="386">
        <v>0</v>
      </c>
      <c r="J87" s="26">
        <f t="shared" si="13"/>
        <v>0</v>
      </c>
      <c r="K87" s="26">
        <f t="shared" si="14"/>
        <v>0</v>
      </c>
      <c r="L87" s="386">
        <f t="shared" si="15"/>
        <v>0</v>
      </c>
      <c r="M87" s="16" t="s">
        <v>1515</v>
      </c>
      <c r="N87" s="16" t="s">
        <v>1516</v>
      </c>
    </row>
    <row r="88" spans="1:22" x14ac:dyDescent="0.4">
      <c r="A88" s="1">
        <v>160932</v>
      </c>
      <c r="B88" s="753">
        <v>60</v>
      </c>
      <c r="C88" s="1">
        <f t="shared" si="12"/>
        <v>300</v>
      </c>
      <c r="D88" s="753">
        <v>0</v>
      </c>
      <c r="E88" s="753">
        <v>0</v>
      </c>
      <c r="F88" s="753">
        <v>0</v>
      </c>
      <c r="G88" s="753">
        <v>0</v>
      </c>
      <c r="H88" s="753">
        <v>0</v>
      </c>
      <c r="I88" s="753">
        <v>1</v>
      </c>
      <c r="J88" s="140">
        <f t="shared" si="13"/>
        <v>1</v>
      </c>
      <c r="K88" s="140">
        <f t="shared" si="14"/>
        <v>0</v>
      </c>
      <c r="L88" s="753">
        <f t="shared" si="15"/>
        <v>0</v>
      </c>
      <c r="M88" s="1" t="s">
        <v>1518</v>
      </c>
      <c r="N88" s="1" t="s">
        <v>1519</v>
      </c>
    </row>
    <row r="89" spans="1:22" x14ac:dyDescent="0.4">
      <c r="A89" s="1">
        <v>160933</v>
      </c>
      <c r="B89" s="753">
        <v>60</v>
      </c>
      <c r="C89" s="1">
        <f t="shared" si="12"/>
        <v>300</v>
      </c>
      <c r="D89" s="753">
        <v>0</v>
      </c>
      <c r="E89" s="753">
        <v>1</v>
      </c>
      <c r="F89" s="753">
        <v>1</v>
      </c>
      <c r="G89" s="753">
        <v>1</v>
      </c>
      <c r="H89" s="753">
        <v>1</v>
      </c>
      <c r="I89" s="753">
        <v>1</v>
      </c>
      <c r="J89" s="140">
        <f t="shared" si="13"/>
        <v>5</v>
      </c>
      <c r="K89" s="140">
        <f t="shared" si="14"/>
        <v>4</v>
      </c>
      <c r="L89" s="753">
        <f t="shared" si="15"/>
        <v>240</v>
      </c>
      <c r="M89" s="1" t="s">
        <v>1515</v>
      </c>
      <c r="N89" s="1" t="s">
        <v>1516</v>
      </c>
    </row>
    <row r="90" spans="1:22" x14ac:dyDescent="0.4">
      <c r="A90" s="16">
        <v>160934</v>
      </c>
      <c r="B90" s="551">
        <v>45</v>
      </c>
      <c r="C90" s="16">
        <f t="shared" si="12"/>
        <v>225</v>
      </c>
      <c r="D90" s="551">
        <v>0</v>
      </c>
      <c r="E90" s="551">
        <v>0</v>
      </c>
      <c r="F90" s="551">
        <v>0</v>
      </c>
      <c r="G90" s="551">
        <v>0</v>
      </c>
      <c r="H90" s="551">
        <v>0</v>
      </c>
      <c r="I90" s="551">
        <v>0</v>
      </c>
      <c r="J90" s="552">
        <f t="shared" si="13"/>
        <v>0</v>
      </c>
      <c r="K90" s="552">
        <f t="shared" si="14"/>
        <v>0</v>
      </c>
      <c r="L90" s="551">
        <f t="shared" si="15"/>
        <v>0</v>
      </c>
      <c r="M90" s="16" t="s">
        <v>1520</v>
      </c>
      <c r="N90" s="16" t="s">
        <v>1521</v>
      </c>
    </row>
    <row r="91" spans="1:22" x14ac:dyDescent="0.4">
      <c r="A91" s="1">
        <v>160935</v>
      </c>
      <c r="B91" s="753">
        <v>60</v>
      </c>
      <c r="C91" s="1">
        <f t="shared" si="12"/>
        <v>300</v>
      </c>
      <c r="D91" s="753">
        <v>0</v>
      </c>
      <c r="E91" s="753">
        <v>0</v>
      </c>
      <c r="F91" s="753">
        <v>0</v>
      </c>
      <c r="G91" s="753">
        <v>0</v>
      </c>
      <c r="H91" s="753">
        <v>0</v>
      </c>
      <c r="I91" s="753">
        <v>1</v>
      </c>
      <c r="J91" s="140">
        <f t="shared" si="13"/>
        <v>1</v>
      </c>
      <c r="K91" s="140">
        <f t="shared" si="14"/>
        <v>0</v>
      </c>
      <c r="L91" s="753">
        <f t="shared" si="15"/>
        <v>0</v>
      </c>
      <c r="M91" s="1" t="s">
        <v>1522</v>
      </c>
      <c r="N91" s="1" t="s">
        <v>1523</v>
      </c>
    </row>
    <row r="92" spans="1:22" x14ac:dyDescent="0.4">
      <c r="A92" s="16">
        <v>160936</v>
      </c>
      <c r="B92" s="358">
        <v>45</v>
      </c>
      <c r="C92" s="16">
        <f t="shared" si="12"/>
        <v>225</v>
      </c>
      <c r="D92" s="358">
        <v>0</v>
      </c>
      <c r="E92" s="358">
        <v>0</v>
      </c>
      <c r="F92" s="358">
        <v>0</v>
      </c>
      <c r="G92" s="358">
        <v>0</v>
      </c>
      <c r="H92" s="358">
        <v>0</v>
      </c>
      <c r="I92" s="358">
        <v>0</v>
      </c>
      <c r="J92" s="26">
        <f t="shared" si="13"/>
        <v>0</v>
      </c>
      <c r="K92" s="26">
        <f t="shared" si="14"/>
        <v>0</v>
      </c>
      <c r="L92" s="358">
        <f t="shared" si="15"/>
        <v>0</v>
      </c>
      <c r="M92" s="16" t="s">
        <v>1524</v>
      </c>
      <c r="N92" s="16" t="s">
        <v>1525</v>
      </c>
    </row>
    <row r="93" spans="1:22" x14ac:dyDescent="0.4">
      <c r="A93" s="1">
        <v>160937</v>
      </c>
      <c r="B93" s="753">
        <v>60</v>
      </c>
      <c r="C93" s="1">
        <f t="shared" si="12"/>
        <v>300</v>
      </c>
      <c r="D93" s="753">
        <v>0</v>
      </c>
      <c r="E93" s="753">
        <v>0</v>
      </c>
      <c r="F93" s="753">
        <v>0</v>
      </c>
      <c r="G93" s="753">
        <v>0</v>
      </c>
      <c r="H93" s="753">
        <v>0</v>
      </c>
      <c r="I93" s="753">
        <v>1</v>
      </c>
      <c r="J93" s="140">
        <f t="shared" si="13"/>
        <v>1</v>
      </c>
      <c r="K93" s="140">
        <f t="shared" si="14"/>
        <v>0</v>
      </c>
      <c r="L93" s="753">
        <f t="shared" si="15"/>
        <v>0</v>
      </c>
      <c r="M93" s="1" t="s">
        <v>1524</v>
      </c>
      <c r="N93" s="1" t="s">
        <v>1525</v>
      </c>
    </row>
    <row r="94" spans="1:22" x14ac:dyDescent="0.4">
      <c r="A94" s="1">
        <v>160938</v>
      </c>
      <c r="B94" s="753">
        <v>45</v>
      </c>
      <c r="C94" s="1">
        <f t="shared" si="12"/>
        <v>225</v>
      </c>
      <c r="D94" s="753">
        <v>0</v>
      </c>
      <c r="E94" s="753">
        <v>0</v>
      </c>
      <c r="F94" s="753">
        <v>0</v>
      </c>
      <c r="G94" s="753">
        <v>0</v>
      </c>
      <c r="H94" s="753">
        <v>0</v>
      </c>
      <c r="I94" s="753">
        <v>1</v>
      </c>
      <c r="J94" s="140">
        <f t="shared" si="13"/>
        <v>1</v>
      </c>
      <c r="K94" s="140">
        <f t="shared" si="14"/>
        <v>0</v>
      </c>
      <c r="L94" s="753">
        <f t="shared" si="15"/>
        <v>0</v>
      </c>
      <c r="M94" s="1" t="s">
        <v>1529</v>
      </c>
      <c r="N94" s="1" t="s">
        <v>1530</v>
      </c>
    </row>
    <row r="95" spans="1:22" x14ac:dyDescent="0.4">
      <c r="A95" s="16">
        <v>160939</v>
      </c>
      <c r="B95" s="1049">
        <v>50</v>
      </c>
      <c r="C95" s="16">
        <f t="shared" si="12"/>
        <v>250</v>
      </c>
      <c r="D95" s="1049">
        <v>0</v>
      </c>
      <c r="E95" s="1049">
        <v>0</v>
      </c>
      <c r="F95" s="1049">
        <v>0</v>
      </c>
      <c r="G95" s="1049">
        <v>0</v>
      </c>
      <c r="H95" s="1049">
        <v>0</v>
      </c>
      <c r="I95" s="1049">
        <v>0</v>
      </c>
      <c r="J95" s="1050">
        <f t="shared" si="13"/>
        <v>0</v>
      </c>
      <c r="K95" s="1050">
        <f t="shared" si="14"/>
        <v>0</v>
      </c>
      <c r="L95" s="1049">
        <f t="shared" si="15"/>
        <v>0</v>
      </c>
      <c r="M95" s="16" t="s">
        <v>1527</v>
      </c>
      <c r="N95" s="16" t="s">
        <v>1528</v>
      </c>
      <c r="O95" t="s">
        <v>2956</v>
      </c>
    </row>
    <row r="96" spans="1:22" x14ac:dyDescent="0.4">
      <c r="A96" s="16">
        <v>160940</v>
      </c>
      <c r="B96" s="737">
        <v>60</v>
      </c>
      <c r="C96" s="16">
        <f t="shared" si="12"/>
        <v>300</v>
      </c>
      <c r="D96" s="737">
        <v>0</v>
      </c>
      <c r="E96" s="737">
        <v>0</v>
      </c>
      <c r="F96" s="737">
        <v>0</v>
      </c>
      <c r="G96" s="737">
        <v>0</v>
      </c>
      <c r="H96" s="737">
        <v>0</v>
      </c>
      <c r="I96" s="737">
        <v>0</v>
      </c>
      <c r="J96" s="738">
        <f t="shared" si="13"/>
        <v>0</v>
      </c>
      <c r="K96" s="738">
        <f t="shared" si="14"/>
        <v>0</v>
      </c>
      <c r="L96" s="737">
        <f t="shared" si="15"/>
        <v>0</v>
      </c>
      <c r="M96" s="16" t="s">
        <v>1531</v>
      </c>
      <c r="N96" s="16" t="s">
        <v>1532</v>
      </c>
    </row>
    <row r="97" spans="1:17" x14ac:dyDescent="0.4">
      <c r="A97" s="16">
        <v>160941</v>
      </c>
      <c r="B97" s="433">
        <v>45</v>
      </c>
      <c r="C97" s="16">
        <f t="shared" si="12"/>
        <v>225</v>
      </c>
      <c r="D97" s="433">
        <v>0</v>
      </c>
      <c r="E97" s="433">
        <v>0</v>
      </c>
      <c r="F97" s="433">
        <v>0</v>
      </c>
      <c r="G97" s="433">
        <v>0</v>
      </c>
      <c r="H97" s="433">
        <v>0</v>
      </c>
      <c r="I97" s="433">
        <v>0</v>
      </c>
      <c r="J97" s="26">
        <f t="shared" si="13"/>
        <v>0</v>
      </c>
      <c r="K97" s="26">
        <f t="shared" si="14"/>
        <v>0</v>
      </c>
      <c r="L97" s="433">
        <f t="shared" si="15"/>
        <v>0</v>
      </c>
      <c r="M97" s="16" t="s">
        <v>1533</v>
      </c>
      <c r="N97" s="16" t="s">
        <v>1534</v>
      </c>
    </row>
    <row r="98" spans="1:17" x14ac:dyDescent="0.4">
      <c r="A98" s="16">
        <v>160942</v>
      </c>
      <c r="B98" s="443">
        <v>45</v>
      </c>
      <c r="C98" s="16">
        <f t="shared" si="12"/>
        <v>225</v>
      </c>
      <c r="D98" s="443">
        <v>0</v>
      </c>
      <c r="E98" s="443">
        <v>0</v>
      </c>
      <c r="F98" s="443">
        <v>0</v>
      </c>
      <c r="G98" s="443">
        <v>0</v>
      </c>
      <c r="H98" s="443">
        <v>0</v>
      </c>
      <c r="I98" s="443">
        <v>0</v>
      </c>
      <c r="J98" s="26">
        <f t="shared" si="13"/>
        <v>0</v>
      </c>
      <c r="K98" s="26">
        <f t="shared" si="14"/>
        <v>0</v>
      </c>
      <c r="L98" s="443">
        <f t="shared" si="15"/>
        <v>0</v>
      </c>
      <c r="M98" s="16" t="s">
        <v>1533</v>
      </c>
      <c r="N98" s="16" t="s">
        <v>1534</v>
      </c>
    </row>
    <row r="99" spans="1:17" x14ac:dyDescent="0.4">
      <c r="A99" s="16">
        <v>160943</v>
      </c>
      <c r="B99" s="468">
        <v>45</v>
      </c>
      <c r="C99" s="16">
        <f t="shared" si="12"/>
        <v>225</v>
      </c>
      <c r="D99" s="468">
        <v>0</v>
      </c>
      <c r="E99" s="468">
        <v>0</v>
      </c>
      <c r="F99" s="468">
        <v>0</v>
      </c>
      <c r="G99" s="468">
        <v>0</v>
      </c>
      <c r="H99" s="468">
        <v>0</v>
      </c>
      <c r="I99" s="468">
        <v>0</v>
      </c>
      <c r="J99" s="26">
        <f t="shared" si="13"/>
        <v>0</v>
      </c>
      <c r="K99" s="26">
        <f t="shared" si="14"/>
        <v>0</v>
      </c>
      <c r="L99" s="468">
        <f t="shared" si="15"/>
        <v>0</v>
      </c>
      <c r="M99" s="16" t="s">
        <v>1535</v>
      </c>
      <c r="N99" s="16" t="s">
        <v>1536</v>
      </c>
    </row>
    <row r="100" spans="1:17" x14ac:dyDescent="0.4">
      <c r="A100" s="16">
        <v>160944</v>
      </c>
      <c r="B100" s="348">
        <v>50</v>
      </c>
      <c r="C100" s="16">
        <f t="shared" si="12"/>
        <v>250</v>
      </c>
      <c r="D100" s="348">
        <v>0</v>
      </c>
      <c r="E100" s="348">
        <v>0</v>
      </c>
      <c r="F100" s="348">
        <v>0</v>
      </c>
      <c r="G100" s="348">
        <v>0</v>
      </c>
      <c r="H100" s="348">
        <v>0</v>
      </c>
      <c r="I100" s="348">
        <v>0</v>
      </c>
      <c r="J100" s="26">
        <f t="shared" si="13"/>
        <v>0</v>
      </c>
      <c r="K100" s="26">
        <f t="shared" si="14"/>
        <v>0</v>
      </c>
      <c r="L100" s="348">
        <f t="shared" si="15"/>
        <v>0</v>
      </c>
      <c r="M100" s="16" t="s">
        <v>1537</v>
      </c>
      <c r="N100" s="16" t="s">
        <v>1538</v>
      </c>
    </row>
    <row r="101" spans="1:17" x14ac:dyDescent="0.4">
      <c r="A101" s="16">
        <v>160945</v>
      </c>
      <c r="B101" s="410">
        <v>45</v>
      </c>
      <c r="C101" s="16">
        <f t="shared" si="12"/>
        <v>225</v>
      </c>
      <c r="D101" s="410">
        <v>0</v>
      </c>
      <c r="E101" s="410">
        <v>0</v>
      </c>
      <c r="F101" s="410">
        <v>0</v>
      </c>
      <c r="G101" s="410">
        <v>0</v>
      </c>
      <c r="H101" s="410">
        <v>0</v>
      </c>
      <c r="I101" s="410">
        <v>0</v>
      </c>
      <c r="J101" s="26">
        <f t="shared" si="13"/>
        <v>0</v>
      </c>
      <c r="K101" s="26">
        <f t="shared" si="14"/>
        <v>0</v>
      </c>
      <c r="L101" s="410">
        <f t="shared" si="15"/>
        <v>0</v>
      </c>
      <c r="M101" s="16" t="s">
        <v>1539</v>
      </c>
      <c r="N101" s="16" t="s">
        <v>1540</v>
      </c>
    </row>
    <row r="102" spans="1:17" x14ac:dyDescent="0.4">
      <c r="A102" s="16">
        <v>160946</v>
      </c>
      <c r="B102" s="404">
        <v>50</v>
      </c>
      <c r="C102" s="16">
        <f t="shared" si="12"/>
        <v>250</v>
      </c>
      <c r="D102" s="404">
        <v>0</v>
      </c>
      <c r="E102" s="404">
        <v>0</v>
      </c>
      <c r="F102" s="404">
        <v>0</v>
      </c>
      <c r="G102" s="404">
        <v>0</v>
      </c>
      <c r="H102" s="404">
        <v>0</v>
      </c>
      <c r="I102" s="404">
        <v>0</v>
      </c>
      <c r="J102" s="26">
        <f t="shared" si="13"/>
        <v>0</v>
      </c>
      <c r="K102" s="26">
        <f t="shared" si="14"/>
        <v>0</v>
      </c>
      <c r="L102" s="404">
        <f t="shared" si="15"/>
        <v>0</v>
      </c>
      <c r="M102" s="16" t="s">
        <v>1541</v>
      </c>
      <c r="N102" s="16" t="s">
        <v>1542</v>
      </c>
    </row>
    <row r="103" spans="1:17" x14ac:dyDescent="0.4">
      <c r="A103" s="1">
        <v>160947</v>
      </c>
      <c r="B103" s="753">
        <v>60</v>
      </c>
      <c r="C103" s="1">
        <f t="shared" si="12"/>
        <v>300</v>
      </c>
      <c r="D103" s="753">
        <v>0</v>
      </c>
      <c r="E103" s="753">
        <v>0</v>
      </c>
      <c r="F103" s="753">
        <v>0</v>
      </c>
      <c r="G103" s="753">
        <v>0</v>
      </c>
      <c r="H103" s="753">
        <v>0</v>
      </c>
      <c r="I103" s="753">
        <v>1</v>
      </c>
      <c r="J103" s="140">
        <f t="shared" si="13"/>
        <v>1</v>
      </c>
      <c r="K103" s="140">
        <f t="shared" si="14"/>
        <v>0</v>
      </c>
      <c r="L103" s="753">
        <f t="shared" si="15"/>
        <v>0</v>
      </c>
      <c r="M103" s="1" t="s">
        <v>1543</v>
      </c>
      <c r="N103" s="1" t="s">
        <v>1542</v>
      </c>
    </row>
    <row r="104" spans="1:17" x14ac:dyDescent="0.4">
      <c r="A104" s="16">
        <v>160948</v>
      </c>
      <c r="B104" s="437">
        <v>60</v>
      </c>
      <c r="C104" s="16">
        <v>300</v>
      </c>
      <c r="D104" s="437">
        <v>0</v>
      </c>
      <c r="E104" s="437">
        <v>0</v>
      </c>
      <c r="F104" s="437">
        <v>0</v>
      </c>
      <c r="G104" s="437">
        <v>0</v>
      </c>
      <c r="H104" s="437">
        <v>0</v>
      </c>
      <c r="I104" s="437">
        <v>0</v>
      </c>
      <c r="J104" s="26">
        <f t="shared" si="13"/>
        <v>0</v>
      </c>
      <c r="K104" s="26">
        <f t="shared" si="14"/>
        <v>0</v>
      </c>
      <c r="L104" s="437">
        <f t="shared" si="15"/>
        <v>0</v>
      </c>
      <c r="M104" s="16" t="s">
        <v>1578</v>
      </c>
      <c r="N104" s="16" t="s">
        <v>1579</v>
      </c>
    </row>
    <row r="105" spans="1:17" x14ac:dyDescent="0.4">
      <c r="A105" s="16">
        <v>160949</v>
      </c>
      <c r="B105" s="402">
        <v>60</v>
      </c>
      <c r="C105" s="16">
        <f t="shared" si="12"/>
        <v>300</v>
      </c>
      <c r="D105" s="402">
        <v>0</v>
      </c>
      <c r="E105" s="402">
        <v>0</v>
      </c>
      <c r="F105" s="402">
        <v>0</v>
      </c>
      <c r="G105" s="402">
        <v>0</v>
      </c>
      <c r="H105" s="402">
        <v>0</v>
      </c>
      <c r="I105" s="402">
        <v>0</v>
      </c>
      <c r="J105" s="26">
        <f t="shared" si="13"/>
        <v>0</v>
      </c>
      <c r="K105" s="26">
        <f t="shared" si="14"/>
        <v>0</v>
      </c>
      <c r="L105" s="402">
        <f t="shared" si="15"/>
        <v>0</v>
      </c>
      <c r="M105" s="16" t="s">
        <v>1546</v>
      </c>
      <c r="N105" s="16" t="s">
        <v>1547</v>
      </c>
    </row>
    <row r="106" spans="1:17" x14ac:dyDescent="0.4">
      <c r="A106" s="123">
        <v>160950</v>
      </c>
      <c r="B106" s="123"/>
      <c r="C106" s="123">
        <f t="shared" si="12"/>
        <v>0</v>
      </c>
      <c r="D106" s="252">
        <v>1</v>
      </c>
      <c r="E106" s="252">
        <v>1</v>
      </c>
      <c r="F106" s="252">
        <v>1</v>
      </c>
      <c r="G106" s="252">
        <v>1</v>
      </c>
      <c r="H106" s="252">
        <v>1</v>
      </c>
      <c r="I106" s="252">
        <v>1</v>
      </c>
      <c r="J106" s="253">
        <f t="shared" si="13"/>
        <v>6</v>
      </c>
      <c r="K106" s="253">
        <f t="shared" si="14"/>
        <v>5</v>
      </c>
      <c r="L106" s="252">
        <f t="shared" si="15"/>
        <v>0</v>
      </c>
      <c r="M106" s="123"/>
      <c r="N106" s="123"/>
      <c r="O106" s="123"/>
      <c r="Q106" t="s">
        <v>1431</v>
      </c>
    </row>
    <row r="107" spans="1:17" x14ac:dyDescent="0.4">
      <c r="A107" s="123">
        <v>160951</v>
      </c>
      <c r="B107" s="123"/>
      <c r="C107" s="123">
        <f t="shared" si="12"/>
        <v>0</v>
      </c>
      <c r="D107" s="252">
        <v>1</v>
      </c>
      <c r="E107" s="252">
        <v>1</v>
      </c>
      <c r="F107" s="252">
        <v>1</v>
      </c>
      <c r="G107" s="252">
        <v>1</v>
      </c>
      <c r="H107" s="252">
        <v>1</v>
      </c>
      <c r="I107" s="252">
        <v>1</v>
      </c>
      <c r="J107" s="253">
        <f t="shared" si="13"/>
        <v>6</v>
      </c>
      <c r="K107" s="253">
        <f t="shared" si="14"/>
        <v>5</v>
      </c>
      <c r="L107" s="252">
        <f t="shared" si="15"/>
        <v>0</v>
      </c>
      <c r="M107" s="123"/>
      <c r="N107" s="123"/>
      <c r="O107" s="123"/>
      <c r="Q107" t="s">
        <v>1431</v>
      </c>
    </row>
    <row r="108" spans="1:17" x14ac:dyDescent="0.4">
      <c r="A108" s="123">
        <v>160952</v>
      </c>
      <c r="B108" s="123"/>
      <c r="C108" s="123">
        <f t="shared" si="12"/>
        <v>0</v>
      </c>
      <c r="D108" s="252">
        <v>1</v>
      </c>
      <c r="E108" s="252">
        <v>1</v>
      </c>
      <c r="F108" s="252">
        <v>1</v>
      </c>
      <c r="G108" s="252">
        <v>1</v>
      </c>
      <c r="H108" s="252">
        <v>1</v>
      </c>
      <c r="I108" s="252">
        <v>1</v>
      </c>
      <c r="J108" s="253">
        <f t="shared" si="13"/>
        <v>6</v>
      </c>
      <c r="K108" s="253">
        <f t="shared" si="14"/>
        <v>5</v>
      </c>
      <c r="L108" s="252">
        <f t="shared" si="15"/>
        <v>0</v>
      </c>
      <c r="M108" s="123"/>
      <c r="N108" s="123"/>
      <c r="O108" s="123"/>
      <c r="Q108" t="s">
        <v>1431</v>
      </c>
    </row>
    <row r="109" spans="1:17" x14ac:dyDescent="0.4">
      <c r="A109" s="123">
        <v>160953</v>
      </c>
      <c r="B109" s="123"/>
      <c r="C109" s="123">
        <f t="shared" si="12"/>
        <v>0</v>
      </c>
      <c r="D109" s="252">
        <v>1</v>
      </c>
      <c r="E109" s="252">
        <v>1</v>
      </c>
      <c r="F109" s="252">
        <v>1</v>
      </c>
      <c r="G109" s="252">
        <v>1</v>
      </c>
      <c r="H109" s="252">
        <v>1</v>
      </c>
      <c r="I109" s="252">
        <v>1</v>
      </c>
      <c r="J109" s="253">
        <f t="shared" si="13"/>
        <v>6</v>
      </c>
      <c r="K109" s="253">
        <f t="shared" si="14"/>
        <v>5</v>
      </c>
      <c r="L109" s="252">
        <f t="shared" si="15"/>
        <v>0</v>
      </c>
      <c r="M109" s="123"/>
      <c r="N109" s="123"/>
      <c r="O109" s="123"/>
      <c r="Q109" t="s">
        <v>1431</v>
      </c>
    </row>
    <row r="110" spans="1:17" x14ac:dyDescent="0.4">
      <c r="A110" s="123">
        <v>160954</v>
      </c>
      <c r="B110" s="123"/>
      <c r="C110" s="123">
        <f t="shared" si="12"/>
        <v>0</v>
      </c>
      <c r="D110" s="252">
        <v>1</v>
      </c>
      <c r="E110" s="252">
        <v>1</v>
      </c>
      <c r="F110" s="252">
        <v>1</v>
      </c>
      <c r="G110" s="252">
        <v>1</v>
      </c>
      <c r="H110" s="252">
        <v>1</v>
      </c>
      <c r="I110" s="252">
        <v>1</v>
      </c>
      <c r="J110" s="253">
        <f t="shared" si="13"/>
        <v>6</v>
      </c>
      <c r="K110" s="253">
        <f t="shared" si="14"/>
        <v>5</v>
      </c>
      <c r="L110" s="252">
        <f t="shared" si="15"/>
        <v>0</v>
      </c>
      <c r="M110" s="123"/>
      <c r="N110" s="123"/>
      <c r="O110" s="123"/>
      <c r="Q110" t="s">
        <v>1431</v>
      </c>
    </row>
    <row r="111" spans="1:17" x14ac:dyDescent="0.4">
      <c r="A111" s="123">
        <v>160955</v>
      </c>
      <c r="B111" s="123"/>
      <c r="C111" s="123">
        <f t="shared" si="12"/>
        <v>0</v>
      </c>
      <c r="D111" s="252">
        <v>1</v>
      </c>
      <c r="E111" s="252">
        <v>1</v>
      </c>
      <c r="F111" s="252">
        <v>1</v>
      </c>
      <c r="G111" s="252">
        <v>1</v>
      </c>
      <c r="H111" s="252">
        <v>1</v>
      </c>
      <c r="I111" s="252">
        <v>1</v>
      </c>
      <c r="J111" s="253">
        <f t="shared" si="13"/>
        <v>6</v>
      </c>
      <c r="K111" s="253">
        <f t="shared" si="14"/>
        <v>5</v>
      </c>
      <c r="L111" s="252">
        <f t="shared" si="15"/>
        <v>0</v>
      </c>
      <c r="M111" s="123"/>
      <c r="N111" s="123"/>
      <c r="O111" s="123"/>
      <c r="Q111" t="s">
        <v>1431</v>
      </c>
    </row>
    <row r="112" spans="1:17" x14ac:dyDescent="0.4">
      <c r="A112" s="123">
        <v>160956</v>
      </c>
      <c r="B112" s="123"/>
      <c r="C112" s="123">
        <f t="shared" si="12"/>
        <v>0</v>
      </c>
      <c r="D112" s="252">
        <v>1</v>
      </c>
      <c r="E112" s="252">
        <v>1</v>
      </c>
      <c r="F112" s="252">
        <v>1</v>
      </c>
      <c r="G112" s="252">
        <v>1</v>
      </c>
      <c r="H112" s="252">
        <v>1</v>
      </c>
      <c r="I112" s="252">
        <v>1</v>
      </c>
      <c r="J112" s="253">
        <f t="shared" si="13"/>
        <v>6</v>
      </c>
      <c r="K112" s="253">
        <f t="shared" si="14"/>
        <v>5</v>
      </c>
      <c r="L112" s="252">
        <f t="shared" si="15"/>
        <v>0</v>
      </c>
      <c r="M112" s="123"/>
      <c r="N112" s="123"/>
      <c r="O112" s="123"/>
      <c r="Q112" t="s">
        <v>1431</v>
      </c>
    </row>
    <row r="113" spans="1:17" x14ac:dyDescent="0.4">
      <c r="A113" s="123">
        <v>160957</v>
      </c>
      <c r="B113" s="123"/>
      <c r="C113" s="123">
        <f t="shared" si="12"/>
        <v>0</v>
      </c>
      <c r="D113" s="252">
        <v>1</v>
      </c>
      <c r="E113" s="252">
        <v>1</v>
      </c>
      <c r="F113" s="252">
        <v>1</v>
      </c>
      <c r="G113" s="252">
        <v>1</v>
      </c>
      <c r="H113" s="252">
        <v>1</v>
      </c>
      <c r="I113" s="252">
        <v>1</v>
      </c>
      <c r="J113" s="253">
        <f t="shared" si="13"/>
        <v>6</v>
      </c>
      <c r="K113" s="253">
        <f t="shared" si="14"/>
        <v>5</v>
      </c>
      <c r="L113" s="252">
        <f t="shared" si="15"/>
        <v>0</v>
      </c>
      <c r="M113" s="123"/>
      <c r="N113" s="123"/>
      <c r="O113" s="123"/>
      <c r="Q113" t="s">
        <v>1431</v>
      </c>
    </row>
    <row r="114" spans="1:17" x14ac:dyDescent="0.4">
      <c r="A114" s="123">
        <v>160958</v>
      </c>
      <c r="B114" s="123"/>
      <c r="C114" s="123">
        <f t="shared" si="12"/>
        <v>0</v>
      </c>
      <c r="D114" s="252">
        <v>0</v>
      </c>
      <c r="E114" s="252">
        <v>0</v>
      </c>
      <c r="F114" s="252">
        <v>0</v>
      </c>
      <c r="G114" s="252">
        <v>0</v>
      </c>
      <c r="H114" s="252">
        <v>0</v>
      </c>
      <c r="I114" s="252">
        <v>1</v>
      </c>
      <c r="J114" s="253">
        <f t="shared" si="13"/>
        <v>1</v>
      </c>
      <c r="K114" s="253">
        <f t="shared" si="14"/>
        <v>0</v>
      </c>
      <c r="L114" s="252">
        <f t="shared" si="15"/>
        <v>0</v>
      </c>
      <c r="M114" s="123"/>
      <c r="N114" s="123"/>
      <c r="O114" s="123"/>
      <c r="Q114" t="s">
        <v>1431</v>
      </c>
    </row>
    <row r="115" spans="1:17" x14ac:dyDescent="0.4">
      <c r="A115" s="123">
        <v>160959</v>
      </c>
      <c r="B115" s="123"/>
      <c r="C115" s="123">
        <f t="shared" si="12"/>
        <v>0</v>
      </c>
      <c r="D115" s="252">
        <v>0</v>
      </c>
      <c r="E115" s="252">
        <v>0</v>
      </c>
      <c r="F115" s="252">
        <v>1</v>
      </c>
      <c r="G115" s="252">
        <v>1</v>
      </c>
      <c r="H115" s="252">
        <v>1</v>
      </c>
      <c r="I115" s="252">
        <v>1</v>
      </c>
      <c r="J115" s="253">
        <f t="shared" si="13"/>
        <v>4</v>
      </c>
      <c r="K115" s="253">
        <f t="shared" si="14"/>
        <v>3</v>
      </c>
      <c r="L115" s="252">
        <f t="shared" si="15"/>
        <v>0</v>
      </c>
      <c r="M115" s="123"/>
      <c r="N115" s="123"/>
      <c r="O115" s="123"/>
      <c r="Q115" t="s">
        <v>1431</v>
      </c>
    </row>
    <row r="116" spans="1:17" x14ac:dyDescent="0.4">
      <c r="A116" s="16">
        <v>160960</v>
      </c>
      <c r="B116" s="16">
        <v>60</v>
      </c>
      <c r="C116" s="16">
        <f t="shared" ref="C116:C145" si="16">SUM(B116*5)</f>
        <v>300</v>
      </c>
      <c r="D116" s="762">
        <v>0</v>
      </c>
      <c r="E116" s="762">
        <v>0</v>
      </c>
      <c r="F116" s="762">
        <v>0</v>
      </c>
      <c r="G116" s="762">
        <v>0</v>
      </c>
      <c r="H116" s="762">
        <v>0</v>
      </c>
      <c r="I116" s="762">
        <v>0</v>
      </c>
      <c r="J116" s="763">
        <f t="shared" ref="J116:J145" si="17">SUM(D116:I116)</f>
        <v>0</v>
      </c>
      <c r="K116" s="763">
        <f t="shared" ref="K116:K145" si="18">SUM(D116:H116)</f>
        <v>0</v>
      </c>
      <c r="L116" s="762">
        <f t="shared" ref="L116:L145" si="19">B116*K116</f>
        <v>0</v>
      </c>
      <c r="M116" s="16" t="s">
        <v>1544</v>
      </c>
      <c r="N116" s="16" t="s">
        <v>1545</v>
      </c>
    </row>
    <row r="117" spans="1:17" x14ac:dyDescent="0.4">
      <c r="A117" s="16">
        <v>160961</v>
      </c>
      <c r="B117" s="16">
        <v>60</v>
      </c>
      <c r="C117" s="16">
        <f t="shared" si="16"/>
        <v>300</v>
      </c>
      <c r="D117" s="702">
        <v>0</v>
      </c>
      <c r="E117" s="702">
        <v>0</v>
      </c>
      <c r="F117" s="702">
        <v>0</v>
      </c>
      <c r="G117" s="702">
        <v>0</v>
      </c>
      <c r="H117" s="702">
        <v>0</v>
      </c>
      <c r="I117" s="702">
        <v>0</v>
      </c>
      <c r="J117" s="703">
        <f t="shared" si="17"/>
        <v>0</v>
      </c>
      <c r="K117" s="703">
        <f t="shared" si="18"/>
        <v>0</v>
      </c>
      <c r="L117" s="702">
        <f t="shared" si="19"/>
        <v>0</v>
      </c>
      <c r="M117" s="16" t="s">
        <v>1544</v>
      </c>
      <c r="N117" s="16" t="s">
        <v>1545</v>
      </c>
    </row>
    <row r="118" spans="1:17" x14ac:dyDescent="0.4">
      <c r="A118" s="16">
        <v>160962</v>
      </c>
      <c r="B118" s="16">
        <v>60</v>
      </c>
      <c r="C118" s="16">
        <f t="shared" si="16"/>
        <v>300</v>
      </c>
      <c r="D118" s="725">
        <v>0</v>
      </c>
      <c r="E118" s="725">
        <v>0</v>
      </c>
      <c r="F118" s="725">
        <v>0</v>
      </c>
      <c r="G118" s="725">
        <v>0</v>
      </c>
      <c r="H118" s="725">
        <v>0</v>
      </c>
      <c r="I118" s="725">
        <v>0</v>
      </c>
      <c r="J118" s="726">
        <f t="shared" si="17"/>
        <v>0</v>
      </c>
      <c r="K118" s="726">
        <f t="shared" si="18"/>
        <v>0</v>
      </c>
      <c r="L118" s="725">
        <f t="shared" si="19"/>
        <v>0</v>
      </c>
      <c r="M118" s="16" t="s">
        <v>1548</v>
      </c>
      <c r="N118" s="16" t="s">
        <v>1549</v>
      </c>
    </row>
    <row r="119" spans="1:17" x14ac:dyDescent="0.4">
      <c r="A119" s="1">
        <v>160963</v>
      </c>
      <c r="B119" s="1">
        <v>60</v>
      </c>
      <c r="C119" s="1">
        <f t="shared" si="16"/>
        <v>300</v>
      </c>
      <c r="D119" s="782">
        <v>1</v>
      </c>
      <c r="E119" s="782">
        <v>1</v>
      </c>
      <c r="F119" s="782">
        <v>1</v>
      </c>
      <c r="G119" s="782">
        <v>1</v>
      </c>
      <c r="H119" s="782">
        <v>1</v>
      </c>
      <c r="I119" s="782">
        <v>1</v>
      </c>
      <c r="J119" s="140">
        <f t="shared" si="17"/>
        <v>6</v>
      </c>
      <c r="K119" s="140">
        <f t="shared" si="18"/>
        <v>5</v>
      </c>
      <c r="L119" s="782">
        <f t="shared" si="19"/>
        <v>300</v>
      </c>
      <c r="M119" s="1" t="s">
        <v>1553</v>
      </c>
      <c r="N119" s="1" t="s">
        <v>1554</v>
      </c>
    </row>
    <row r="120" spans="1:17" x14ac:dyDescent="0.4">
      <c r="A120" s="16">
        <v>160964</v>
      </c>
      <c r="B120" s="16">
        <v>60</v>
      </c>
      <c r="C120" s="16">
        <f t="shared" si="16"/>
        <v>300</v>
      </c>
      <c r="D120" s="376">
        <v>0</v>
      </c>
      <c r="E120" s="376">
        <v>0</v>
      </c>
      <c r="F120" s="376">
        <v>0</v>
      </c>
      <c r="G120" s="376">
        <v>0</v>
      </c>
      <c r="H120" s="376">
        <v>0</v>
      </c>
      <c r="I120" s="376">
        <v>0</v>
      </c>
      <c r="J120" s="26">
        <f t="shared" si="17"/>
        <v>0</v>
      </c>
      <c r="K120" s="26">
        <f t="shared" si="18"/>
        <v>0</v>
      </c>
      <c r="L120" s="376">
        <f t="shared" si="19"/>
        <v>0</v>
      </c>
      <c r="M120" s="16" t="s">
        <v>1561</v>
      </c>
      <c r="N120" s="16" t="s">
        <v>1562</v>
      </c>
    </row>
    <row r="121" spans="1:17" x14ac:dyDescent="0.4">
      <c r="A121" s="16">
        <v>160965</v>
      </c>
      <c r="B121" s="16">
        <v>50</v>
      </c>
      <c r="C121" s="16">
        <f t="shared" si="16"/>
        <v>250</v>
      </c>
      <c r="D121" s="405">
        <v>0</v>
      </c>
      <c r="E121" s="405">
        <v>0</v>
      </c>
      <c r="F121" s="405">
        <v>0</v>
      </c>
      <c r="G121" s="405">
        <v>0</v>
      </c>
      <c r="H121" s="405">
        <v>0</v>
      </c>
      <c r="I121" s="405">
        <v>0</v>
      </c>
      <c r="J121" s="26">
        <f t="shared" si="17"/>
        <v>0</v>
      </c>
      <c r="K121" s="26">
        <f t="shared" si="18"/>
        <v>0</v>
      </c>
      <c r="L121" s="405">
        <f t="shared" si="19"/>
        <v>0</v>
      </c>
      <c r="M121" s="16" t="s">
        <v>1561</v>
      </c>
      <c r="N121" s="16" t="s">
        <v>1562</v>
      </c>
      <c r="O121" t="s">
        <v>1693</v>
      </c>
    </row>
    <row r="122" spans="1:17" x14ac:dyDescent="0.4">
      <c r="A122" s="16">
        <v>160966</v>
      </c>
      <c r="B122" s="16">
        <v>45</v>
      </c>
      <c r="C122" s="16">
        <f t="shared" si="16"/>
        <v>225</v>
      </c>
      <c r="D122" s="729">
        <v>0</v>
      </c>
      <c r="E122" s="729">
        <v>0</v>
      </c>
      <c r="F122" s="729">
        <v>0</v>
      </c>
      <c r="G122" s="729">
        <v>0</v>
      </c>
      <c r="H122" s="729">
        <v>0</v>
      </c>
      <c r="I122" s="729">
        <v>0</v>
      </c>
      <c r="J122" s="730">
        <f t="shared" si="17"/>
        <v>0</v>
      </c>
      <c r="K122" s="730">
        <f t="shared" si="18"/>
        <v>0</v>
      </c>
      <c r="L122" s="729">
        <f t="shared" si="19"/>
        <v>0</v>
      </c>
      <c r="M122" s="16" t="s">
        <v>1561</v>
      </c>
      <c r="N122" s="16" t="s">
        <v>1562</v>
      </c>
      <c r="O122" t="s">
        <v>2451</v>
      </c>
    </row>
    <row r="123" spans="1:17" x14ac:dyDescent="0.4">
      <c r="A123" s="1">
        <v>160967</v>
      </c>
      <c r="B123" s="1">
        <v>45</v>
      </c>
      <c r="C123" s="1">
        <f t="shared" si="16"/>
        <v>225</v>
      </c>
      <c r="D123" s="782">
        <v>0</v>
      </c>
      <c r="E123" s="782">
        <v>0</v>
      </c>
      <c r="F123" s="782">
        <v>0</v>
      </c>
      <c r="G123" s="782">
        <v>0</v>
      </c>
      <c r="H123" s="782">
        <v>0</v>
      </c>
      <c r="I123" s="782">
        <v>1</v>
      </c>
      <c r="J123" s="140">
        <f t="shared" si="17"/>
        <v>1</v>
      </c>
      <c r="K123" s="140">
        <f t="shared" si="18"/>
        <v>0</v>
      </c>
      <c r="L123" s="782">
        <f t="shared" si="19"/>
        <v>0</v>
      </c>
      <c r="M123" s="1" t="s">
        <v>1555</v>
      </c>
      <c r="N123" s="1" t="s">
        <v>1556</v>
      </c>
    </row>
    <row r="124" spans="1:17" x14ac:dyDescent="0.4">
      <c r="A124" s="16">
        <v>160968</v>
      </c>
      <c r="B124" s="16">
        <v>45</v>
      </c>
      <c r="C124" s="16">
        <v>225</v>
      </c>
      <c r="D124" s="364">
        <v>0</v>
      </c>
      <c r="E124" s="364">
        <v>0</v>
      </c>
      <c r="F124" s="364">
        <v>0</v>
      </c>
      <c r="G124" s="364">
        <v>0</v>
      </c>
      <c r="H124" s="364">
        <v>0</v>
      </c>
      <c r="I124" s="364">
        <v>0</v>
      </c>
      <c r="J124" s="26">
        <f t="shared" si="17"/>
        <v>0</v>
      </c>
      <c r="K124" s="26">
        <f t="shared" si="18"/>
        <v>0</v>
      </c>
      <c r="L124" s="364">
        <f t="shared" si="19"/>
        <v>0</v>
      </c>
      <c r="M124" s="16" t="s">
        <v>1557</v>
      </c>
      <c r="N124" s="16" t="s">
        <v>1558</v>
      </c>
    </row>
    <row r="125" spans="1:17" x14ac:dyDescent="0.4">
      <c r="A125" s="16">
        <v>160969</v>
      </c>
      <c r="B125" s="16">
        <v>45</v>
      </c>
      <c r="C125" s="16">
        <f t="shared" si="16"/>
        <v>225</v>
      </c>
      <c r="D125" s="584">
        <v>0</v>
      </c>
      <c r="E125" s="584">
        <v>0</v>
      </c>
      <c r="F125" s="584">
        <v>0</v>
      </c>
      <c r="G125" s="584">
        <v>0</v>
      </c>
      <c r="H125" s="584">
        <v>0</v>
      </c>
      <c r="I125" s="584">
        <v>0</v>
      </c>
      <c r="J125" s="585">
        <f t="shared" si="17"/>
        <v>0</v>
      </c>
      <c r="K125" s="585">
        <f t="shared" si="18"/>
        <v>0</v>
      </c>
      <c r="L125" s="584">
        <f t="shared" si="19"/>
        <v>0</v>
      </c>
      <c r="M125" s="16" t="s">
        <v>1559</v>
      </c>
      <c r="N125" s="16" t="s">
        <v>1560</v>
      </c>
    </row>
    <row r="126" spans="1:17" x14ac:dyDescent="0.4">
      <c r="A126" s="16">
        <v>160970</v>
      </c>
      <c r="B126" s="16">
        <v>60</v>
      </c>
      <c r="C126" s="16">
        <f t="shared" si="16"/>
        <v>300</v>
      </c>
      <c r="D126" s="584">
        <v>0</v>
      </c>
      <c r="E126" s="584">
        <v>0</v>
      </c>
      <c r="F126" s="584">
        <v>0</v>
      </c>
      <c r="G126" s="584">
        <v>0</v>
      </c>
      <c r="H126" s="584">
        <v>0</v>
      </c>
      <c r="I126" s="584">
        <v>0</v>
      </c>
      <c r="J126" s="585">
        <f t="shared" si="17"/>
        <v>0</v>
      </c>
      <c r="K126" s="585">
        <f t="shared" si="18"/>
        <v>0</v>
      </c>
      <c r="L126" s="584">
        <f t="shared" si="19"/>
        <v>0</v>
      </c>
      <c r="M126" s="16" t="s">
        <v>1564</v>
      </c>
      <c r="N126" s="16" t="s">
        <v>1565</v>
      </c>
    </row>
    <row r="127" spans="1:17" x14ac:dyDescent="0.4">
      <c r="A127" s="1">
        <v>160971</v>
      </c>
      <c r="B127" s="1">
        <v>45</v>
      </c>
      <c r="C127" s="1">
        <f t="shared" si="16"/>
        <v>225</v>
      </c>
      <c r="D127" s="782">
        <v>0</v>
      </c>
      <c r="E127" s="782">
        <v>0</v>
      </c>
      <c r="F127" s="782">
        <v>0</v>
      </c>
      <c r="G127" s="782">
        <v>0</v>
      </c>
      <c r="H127" s="782">
        <v>0</v>
      </c>
      <c r="I127" s="782">
        <v>1</v>
      </c>
      <c r="J127" s="140">
        <f t="shared" si="17"/>
        <v>1</v>
      </c>
      <c r="K127" s="140">
        <f t="shared" si="18"/>
        <v>0</v>
      </c>
      <c r="L127" s="782">
        <f t="shared" si="19"/>
        <v>0</v>
      </c>
      <c r="M127" s="1" t="s">
        <v>1564</v>
      </c>
      <c r="N127" s="1" t="s">
        <v>1565</v>
      </c>
    </row>
    <row r="128" spans="1:17" x14ac:dyDescent="0.4">
      <c r="A128" s="16">
        <v>160972</v>
      </c>
      <c r="B128" s="16">
        <v>45</v>
      </c>
      <c r="C128" s="16">
        <f t="shared" si="16"/>
        <v>225</v>
      </c>
      <c r="D128" s="698">
        <v>0</v>
      </c>
      <c r="E128" s="698">
        <v>0</v>
      </c>
      <c r="F128" s="698">
        <v>0</v>
      </c>
      <c r="G128" s="698">
        <v>0</v>
      </c>
      <c r="H128" s="698">
        <v>0</v>
      </c>
      <c r="I128" s="698">
        <v>0</v>
      </c>
      <c r="J128" s="699">
        <f t="shared" si="17"/>
        <v>0</v>
      </c>
      <c r="K128" s="699">
        <f t="shared" si="18"/>
        <v>0</v>
      </c>
      <c r="L128" s="698">
        <f t="shared" si="19"/>
        <v>0</v>
      </c>
      <c r="M128" s="16" t="s">
        <v>1566</v>
      </c>
      <c r="N128" s="16" t="s">
        <v>1567</v>
      </c>
    </row>
    <row r="129" spans="1:17" x14ac:dyDescent="0.4">
      <c r="A129" s="16">
        <v>160973</v>
      </c>
      <c r="B129" s="16">
        <v>45</v>
      </c>
      <c r="C129" s="16">
        <f t="shared" si="16"/>
        <v>225</v>
      </c>
      <c r="D129" s="684">
        <v>0</v>
      </c>
      <c r="E129" s="684">
        <v>0</v>
      </c>
      <c r="F129" s="684">
        <v>0</v>
      </c>
      <c r="G129" s="684">
        <v>0</v>
      </c>
      <c r="H129" s="684">
        <v>0</v>
      </c>
      <c r="I129" s="684">
        <v>0</v>
      </c>
      <c r="J129" s="685">
        <f t="shared" si="17"/>
        <v>0</v>
      </c>
      <c r="K129" s="685">
        <f t="shared" si="18"/>
        <v>0</v>
      </c>
      <c r="L129" s="684">
        <f t="shared" si="19"/>
        <v>0</v>
      </c>
      <c r="M129" s="16" t="s">
        <v>1568</v>
      </c>
      <c r="N129" s="16" t="s">
        <v>1569</v>
      </c>
    </row>
    <row r="130" spans="1:17" x14ac:dyDescent="0.4">
      <c r="A130" s="22">
        <v>160974</v>
      </c>
      <c r="B130" s="22">
        <v>70</v>
      </c>
      <c r="C130" s="22">
        <f t="shared" si="16"/>
        <v>350</v>
      </c>
      <c r="D130" s="23">
        <v>0</v>
      </c>
      <c r="E130" s="23">
        <v>0</v>
      </c>
      <c r="F130" s="23">
        <v>0</v>
      </c>
      <c r="G130" s="23">
        <v>0</v>
      </c>
      <c r="H130" s="23">
        <v>0</v>
      </c>
      <c r="I130" s="23">
        <v>0</v>
      </c>
      <c r="J130" s="24">
        <f t="shared" si="17"/>
        <v>0</v>
      </c>
      <c r="K130" s="24">
        <f t="shared" si="18"/>
        <v>0</v>
      </c>
      <c r="L130" s="23">
        <f t="shared" si="19"/>
        <v>0</v>
      </c>
      <c r="M130" s="22" t="s">
        <v>1570</v>
      </c>
      <c r="N130" s="22" t="s">
        <v>1571</v>
      </c>
    </row>
    <row r="131" spans="1:17" x14ac:dyDescent="0.4">
      <c r="A131" s="1">
        <v>160975</v>
      </c>
      <c r="B131" s="1">
        <v>45</v>
      </c>
      <c r="C131" s="1">
        <f t="shared" si="16"/>
        <v>225</v>
      </c>
      <c r="D131" s="837">
        <v>0</v>
      </c>
      <c r="E131" s="837">
        <v>0</v>
      </c>
      <c r="F131" s="837">
        <v>0</v>
      </c>
      <c r="G131" s="837">
        <v>0</v>
      </c>
      <c r="H131" s="837">
        <v>0</v>
      </c>
      <c r="I131" s="837">
        <v>1</v>
      </c>
      <c r="J131" s="140">
        <f t="shared" si="17"/>
        <v>1</v>
      </c>
      <c r="K131" s="140">
        <f t="shared" si="18"/>
        <v>0</v>
      </c>
      <c r="L131" s="837">
        <f t="shared" si="19"/>
        <v>0</v>
      </c>
      <c r="M131" s="1" t="s">
        <v>1572</v>
      </c>
      <c r="N131" s="1" t="s">
        <v>1573</v>
      </c>
    </row>
    <row r="132" spans="1:17" x14ac:dyDescent="0.4">
      <c r="A132" s="1">
        <v>160976</v>
      </c>
      <c r="B132" s="1">
        <v>45</v>
      </c>
      <c r="C132" s="1">
        <f t="shared" si="16"/>
        <v>225</v>
      </c>
      <c r="D132" s="837">
        <v>0</v>
      </c>
      <c r="E132" s="837">
        <v>0</v>
      </c>
      <c r="F132" s="837">
        <v>0</v>
      </c>
      <c r="G132" s="837">
        <v>0</v>
      </c>
      <c r="H132" s="837">
        <v>0</v>
      </c>
      <c r="I132" s="837">
        <v>1</v>
      </c>
      <c r="J132" s="140">
        <f t="shared" si="17"/>
        <v>1</v>
      </c>
      <c r="K132" s="140">
        <f t="shared" si="18"/>
        <v>0</v>
      </c>
      <c r="L132" s="837">
        <f t="shared" si="19"/>
        <v>0</v>
      </c>
      <c r="M132" s="1" t="s">
        <v>1575</v>
      </c>
      <c r="N132" s="1" t="s">
        <v>1577</v>
      </c>
    </row>
    <row r="133" spans="1:17" x14ac:dyDescent="0.4">
      <c r="A133" s="16">
        <v>160977</v>
      </c>
      <c r="B133" s="16">
        <v>45</v>
      </c>
      <c r="C133" s="16">
        <f t="shared" si="16"/>
        <v>225</v>
      </c>
      <c r="D133" s="783">
        <v>0</v>
      </c>
      <c r="E133" s="783">
        <v>0</v>
      </c>
      <c r="F133" s="783">
        <v>0</v>
      </c>
      <c r="G133" s="783">
        <v>0</v>
      </c>
      <c r="H133" s="783">
        <v>0</v>
      </c>
      <c r="I133" s="783">
        <v>0</v>
      </c>
      <c r="J133" s="784">
        <f t="shared" si="17"/>
        <v>0</v>
      </c>
      <c r="K133" s="784">
        <f t="shared" si="18"/>
        <v>0</v>
      </c>
      <c r="L133" s="783">
        <f t="shared" si="19"/>
        <v>0</v>
      </c>
      <c r="M133" s="16" t="s">
        <v>1574</v>
      </c>
      <c r="N133" s="16" t="s">
        <v>1576</v>
      </c>
    </row>
    <row r="134" spans="1:17" x14ac:dyDescent="0.4">
      <c r="A134" s="16">
        <v>160978</v>
      </c>
      <c r="B134" s="16">
        <v>45</v>
      </c>
      <c r="C134" s="16">
        <f t="shared" si="16"/>
        <v>225</v>
      </c>
      <c r="D134" s="783">
        <v>0</v>
      </c>
      <c r="E134" s="783"/>
      <c r="F134" s="783"/>
      <c r="G134" s="783"/>
      <c r="H134" s="783"/>
      <c r="I134" s="783"/>
      <c r="J134" s="784">
        <f t="shared" si="17"/>
        <v>0</v>
      </c>
      <c r="K134" s="784">
        <f t="shared" si="18"/>
        <v>0</v>
      </c>
      <c r="L134" s="783">
        <f t="shared" si="19"/>
        <v>0</v>
      </c>
      <c r="M134" s="16" t="s">
        <v>1580</v>
      </c>
      <c r="N134" s="16" t="s">
        <v>1581</v>
      </c>
      <c r="O134" s="36" t="s">
        <v>1582</v>
      </c>
      <c r="P134" s="36"/>
      <c r="Q134" s="36" t="s">
        <v>2440</v>
      </c>
    </row>
    <row r="135" spans="1:17" x14ac:dyDescent="0.4">
      <c r="A135" s="16">
        <v>160979</v>
      </c>
      <c r="B135" s="16">
        <v>45</v>
      </c>
      <c r="C135" s="16">
        <f t="shared" si="16"/>
        <v>225</v>
      </c>
      <c r="D135" s="783">
        <v>0</v>
      </c>
      <c r="E135" s="783">
        <v>0</v>
      </c>
      <c r="F135" s="783">
        <v>0</v>
      </c>
      <c r="G135" s="783">
        <v>0</v>
      </c>
      <c r="H135" s="783">
        <v>0</v>
      </c>
      <c r="I135" s="783">
        <v>0</v>
      </c>
      <c r="J135" s="784">
        <f t="shared" si="17"/>
        <v>0</v>
      </c>
      <c r="K135" s="784">
        <f t="shared" si="18"/>
        <v>0</v>
      </c>
      <c r="L135" s="783">
        <f t="shared" si="19"/>
        <v>0</v>
      </c>
      <c r="M135" s="16" t="s">
        <v>1583</v>
      </c>
      <c r="N135" s="16" t="s">
        <v>1584</v>
      </c>
    </row>
    <row r="136" spans="1:17" x14ac:dyDescent="0.4">
      <c r="A136" s="16">
        <v>160980</v>
      </c>
      <c r="B136" s="16">
        <v>50</v>
      </c>
      <c r="C136" s="16">
        <f t="shared" si="16"/>
        <v>250</v>
      </c>
      <c r="D136" s="395">
        <v>0</v>
      </c>
      <c r="E136" s="395">
        <v>0</v>
      </c>
      <c r="F136" s="395">
        <v>0</v>
      </c>
      <c r="G136" s="395">
        <v>0</v>
      </c>
      <c r="H136" s="395">
        <v>0</v>
      </c>
      <c r="I136" s="395">
        <v>0</v>
      </c>
      <c r="J136" s="26">
        <f t="shared" si="17"/>
        <v>0</v>
      </c>
      <c r="K136" s="26">
        <f t="shared" si="18"/>
        <v>0</v>
      </c>
      <c r="L136" s="395">
        <f t="shared" si="19"/>
        <v>0</v>
      </c>
      <c r="M136" s="16" t="s">
        <v>1587</v>
      </c>
      <c r="N136" s="16" t="s">
        <v>1588</v>
      </c>
    </row>
    <row r="137" spans="1:17" x14ac:dyDescent="0.4">
      <c r="A137" s="1">
        <v>160981</v>
      </c>
      <c r="B137" s="1">
        <v>45</v>
      </c>
      <c r="C137" s="1">
        <f t="shared" si="16"/>
        <v>225</v>
      </c>
      <c r="D137" s="837">
        <v>0</v>
      </c>
      <c r="E137" s="837">
        <v>0</v>
      </c>
      <c r="F137" s="837">
        <v>0</v>
      </c>
      <c r="G137" s="837">
        <v>0</v>
      </c>
      <c r="H137" s="837">
        <v>0</v>
      </c>
      <c r="I137" s="837">
        <v>0</v>
      </c>
      <c r="J137" s="140">
        <f t="shared" si="17"/>
        <v>0</v>
      </c>
      <c r="K137" s="140">
        <f t="shared" si="18"/>
        <v>0</v>
      </c>
      <c r="L137" s="837">
        <f t="shared" si="19"/>
        <v>0</v>
      </c>
      <c r="M137" s="1" t="s">
        <v>1587</v>
      </c>
      <c r="N137" s="1" t="s">
        <v>1588</v>
      </c>
    </row>
    <row r="138" spans="1:17" x14ac:dyDescent="0.4">
      <c r="A138" s="16">
        <v>160982</v>
      </c>
      <c r="B138" s="16">
        <v>50</v>
      </c>
      <c r="C138" s="16">
        <f t="shared" si="16"/>
        <v>250</v>
      </c>
      <c r="D138" s="560">
        <v>0</v>
      </c>
      <c r="E138" s="560">
        <v>0</v>
      </c>
      <c r="F138" s="560">
        <v>0</v>
      </c>
      <c r="G138" s="560">
        <v>0</v>
      </c>
      <c r="H138" s="560">
        <v>0</v>
      </c>
      <c r="I138" s="560">
        <v>0</v>
      </c>
      <c r="J138" s="561">
        <f t="shared" si="17"/>
        <v>0</v>
      </c>
      <c r="K138" s="561">
        <f t="shared" si="18"/>
        <v>0</v>
      </c>
      <c r="L138" s="560">
        <f t="shared" si="19"/>
        <v>0</v>
      </c>
      <c r="M138" s="16" t="s">
        <v>1585</v>
      </c>
      <c r="N138" s="16" t="s">
        <v>1586</v>
      </c>
    </row>
    <row r="139" spans="1:17" x14ac:dyDescent="0.4">
      <c r="A139" s="16">
        <v>160983</v>
      </c>
      <c r="B139" s="16">
        <v>45</v>
      </c>
      <c r="C139" s="16">
        <f t="shared" si="16"/>
        <v>225</v>
      </c>
      <c r="D139" s="361">
        <v>0</v>
      </c>
      <c r="E139" s="361">
        <v>0</v>
      </c>
      <c r="F139" s="361">
        <v>0</v>
      </c>
      <c r="G139" s="361">
        <v>0</v>
      </c>
      <c r="H139" s="361">
        <v>0</v>
      </c>
      <c r="I139" s="361">
        <v>0</v>
      </c>
      <c r="J139" s="26">
        <f t="shared" si="17"/>
        <v>0</v>
      </c>
      <c r="K139" s="26">
        <f t="shared" si="18"/>
        <v>0</v>
      </c>
      <c r="L139" s="361">
        <f t="shared" si="19"/>
        <v>0</v>
      </c>
      <c r="M139" s="16" t="s">
        <v>1589</v>
      </c>
      <c r="N139" s="16" t="s">
        <v>1590</v>
      </c>
    </row>
    <row r="140" spans="1:17" x14ac:dyDescent="0.4">
      <c r="A140" s="16">
        <v>160984</v>
      </c>
      <c r="B140" s="16">
        <v>60</v>
      </c>
      <c r="C140" s="16">
        <f t="shared" si="16"/>
        <v>300</v>
      </c>
      <c r="D140" s="440">
        <v>0</v>
      </c>
      <c r="E140" s="440">
        <v>0</v>
      </c>
      <c r="F140" s="440">
        <v>0</v>
      </c>
      <c r="G140" s="440">
        <v>0</v>
      </c>
      <c r="H140" s="440">
        <v>0</v>
      </c>
      <c r="I140" s="440">
        <v>0</v>
      </c>
      <c r="J140" s="26">
        <f t="shared" si="17"/>
        <v>0</v>
      </c>
      <c r="K140" s="26">
        <f t="shared" si="18"/>
        <v>0</v>
      </c>
      <c r="L140" s="440">
        <f t="shared" si="19"/>
        <v>0</v>
      </c>
      <c r="M140" s="16" t="s">
        <v>1589</v>
      </c>
      <c r="N140" s="16" t="s">
        <v>1590</v>
      </c>
    </row>
    <row r="141" spans="1:17" x14ac:dyDescent="0.4">
      <c r="A141" s="1">
        <v>160985</v>
      </c>
      <c r="B141" s="1">
        <v>45</v>
      </c>
      <c r="C141" s="1">
        <f t="shared" si="16"/>
        <v>225</v>
      </c>
      <c r="D141" s="837">
        <v>0</v>
      </c>
      <c r="E141" s="837">
        <v>0</v>
      </c>
      <c r="F141" s="837">
        <v>0</v>
      </c>
      <c r="G141" s="837">
        <v>0</v>
      </c>
      <c r="H141" s="837">
        <v>0</v>
      </c>
      <c r="I141" s="837">
        <v>1</v>
      </c>
      <c r="J141" s="140">
        <f t="shared" si="17"/>
        <v>1</v>
      </c>
      <c r="K141" s="140">
        <f t="shared" si="18"/>
        <v>0</v>
      </c>
      <c r="L141" s="837">
        <f t="shared" si="19"/>
        <v>0</v>
      </c>
      <c r="M141" s="1" t="s">
        <v>1589</v>
      </c>
      <c r="N141" s="1" t="s">
        <v>1590</v>
      </c>
    </row>
    <row r="142" spans="1:17" x14ac:dyDescent="0.4">
      <c r="A142" s="16">
        <v>160986</v>
      </c>
      <c r="B142" s="16">
        <v>45</v>
      </c>
      <c r="C142" s="16">
        <f t="shared" si="16"/>
        <v>225</v>
      </c>
      <c r="D142" s="356">
        <v>0</v>
      </c>
      <c r="E142" s="356">
        <v>0</v>
      </c>
      <c r="F142" s="356">
        <v>0</v>
      </c>
      <c r="G142" s="356">
        <v>0</v>
      </c>
      <c r="H142" s="356">
        <v>0</v>
      </c>
      <c r="I142" s="356">
        <v>0</v>
      </c>
      <c r="J142" s="26">
        <f t="shared" si="17"/>
        <v>0</v>
      </c>
      <c r="K142" s="26">
        <f t="shared" si="18"/>
        <v>0</v>
      </c>
      <c r="L142" s="356">
        <f t="shared" si="19"/>
        <v>0</v>
      </c>
      <c r="M142" s="16" t="s">
        <v>1591</v>
      </c>
      <c r="N142" s="16" t="s">
        <v>1592</v>
      </c>
    </row>
    <row r="143" spans="1:17" x14ac:dyDescent="0.4">
      <c r="A143" s="16">
        <v>160987</v>
      </c>
      <c r="B143" s="16">
        <v>45</v>
      </c>
      <c r="C143" s="16">
        <f t="shared" si="16"/>
        <v>225</v>
      </c>
      <c r="D143" s="405">
        <v>0</v>
      </c>
      <c r="E143" s="405">
        <v>0</v>
      </c>
      <c r="F143" s="405">
        <v>0</v>
      </c>
      <c r="G143" s="405">
        <v>0</v>
      </c>
      <c r="H143" s="405">
        <v>0</v>
      </c>
      <c r="I143" s="405">
        <v>0</v>
      </c>
      <c r="J143" s="26">
        <f t="shared" si="17"/>
        <v>0</v>
      </c>
      <c r="K143" s="26">
        <f t="shared" si="18"/>
        <v>0</v>
      </c>
      <c r="L143" s="405">
        <f t="shared" si="19"/>
        <v>0</v>
      </c>
      <c r="M143" s="16" t="s">
        <v>1594</v>
      </c>
      <c r="N143" s="16" t="s">
        <v>1595</v>
      </c>
      <c r="O143" t="s">
        <v>2643</v>
      </c>
    </row>
    <row r="144" spans="1:17" x14ac:dyDescent="0.4">
      <c r="A144" s="16">
        <v>160988</v>
      </c>
      <c r="B144" s="16">
        <v>90</v>
      </c>
      <c r="C144" s="16">
        <v>90</v>
      </c>
      <c r="D144" s="344">
        <v>0</v>
      </c>
      <c r="E144" s="344"/>
      <c r="F144" s="344"/>
      <c r="G144" s="344"/>
      <c r="H144" s="344"/>
      <c r="I144" s="344"/>
      <c r="J144" s="26">
        <f t="shared" si="17"/>
        <v>0</v>
      </c>
      <c r="K144" s="26">
        <f t="shared" si="18"/>
        <v>0</v>
      </c>
      <c r="L144" s="344">
        <f t="shared" si="19"/>
        <v>0</v>
      </c>
      <c r="M144" s="16" t="s">
        <v>1596</v>
      </c>
      <c r="N144" s="16" t="s">
        <v>1597</v>
      </c>
    </row>
    <row r="145" spans="1:29" x14ac:dyDescent="0.4">
      <c r="A145" s="16">
        <v>160989</v>
      </c>
      <c r="B145" s="16">
        <v>45</v>
      </c>
      <c r="C145" s="16">
        <f t="shared" si="16"/>
        <v>225</v>
      </c>
      <c r="D145" s="762">
        <v>0</v>
      </c>
      <c r="E145" s="762">
        <v>0</v>
      </c>
      <c r="F145" s="762">
        <v>0</v>
      </c>
      <c r="G145" s="762">
        <v>0</v>
      </c>
      <c r="H145" s="762">
        <v>0</v>
      </c>
      <c r="I145" s="762">
        <v>0</v>
      </c>
      <c r="J145" s="763">
        <f t="shared" si="17"/>
        <v>0</v>
      </c>
      <c r="K145" s="763">
        <f t="shared" si="18"/>
        <v>0</v>
      </c>
      <c r="L145" s="762">
        <f t="shared" si="19"/>
        <v>0</v>
      </c>
      <c r="M145" s="16" t="s">
        <v>1596</v>
      </c>
      <c r="N145" s="16" t="s">
        <v>1597</v>
      </c>
      <c r="P145" t="s">
        <v>2479</v>
      </c>
    </row>
    <row r="146" spans="1:29" x14ac:dyDescent="0.4">
      <c r="A146" s="16">
        <v>160990</v>
      </c>
      <c r="B146" s="16">
        <v>45</v>
      </c>
      <c r="C146" s="16">
        <f t="shared" ref="C146:C175" si="20">SUM(B146*5)</f>
        <v>225</v>
      </c>
      <c r="D146" s="566">
        <v>0</v>
      </c>
      <c r="E146" s="566">
        <v>0</v>
      </c>
      <c r="F146" s="566">
        <v>0</v>
      </c>
      <c r="G146" s="566">
        <v>0</v>
      </c>
      <c r="H146" s="566">
        <v>0</v>
      </c>
      <c r="I146" s="566">
        <v>0</v>
      </c>
      <c r="J146" s="567">
        <f t="shared" ref="J146:J175" si="21">SUM(D146:I146)</f>
        <v>0</v>
      </c>
      <c r="K146" s="567">
        <f t="shared" ref="K146:K175" si="22">SUM(D146:H146)</f>
        <v>0</v>
      </c>
      <c r="L146" s="566">
        <f t="shared" ref="L146:L175" si="23">B146*K146</f>
        <v>0</v>
      </c>
      <c r="M146" s="16" t="s">
        <v>1596</v>
      </c>
      <c r="N146" s="16" t="s">
        <v>1597</v>
      </c>
      <c r="O146" s="16">
        <v>160990</v>
      </c>
      <c r="P146" s="16">
        <v>60</v>
      </c>
      <c r="Q146" s="16">
        <f>SUM(P146*1)</f>
        <v>60</v>
      </c>
      <c r="R146" s="370">
        <v>0</v>
      </c>
      <c r="S146" s="370"/>
      <c r="T146" s="2033" t="s">
        <v>1550</v>
      </c>
      <c r="U146" s="2033"/>
      <c r="V146" s="2033"/>
      <c r="W146" s="370"/>
      <c r="X146" s="26">
        <f t="shared" ref="X146:X205" si="24">SUM(R146:W146)</f>
        <v>0</v>
      </c>
      <c r="Y146" s="26">
        <f t="shared" ref="Y146:Y205" si="25">SUM(R146:V146)</f>
        <v>0</v>
      </c>
      <c r="Z146" s="370">
        <f t="shared" ref="Z146:Z205" si="26">P146*Y146</f>
        <v>0</v>
      </c>
      <c r="AA146" s="16" t="s">
        <v>1551</v>
      </c>
      <c r="AB146" s="16" t="s">
        <v>1552</v>
      </c>
      <c r="AC146" s="16"/>
    </row>
    <row r="147" spans="1:29" x14ac:dyDescent="0.4">
      <c r="A147" s="1">
        <v>160991</v>
      </c>
      <c r="B147" s="1">
        <v>50</v>
      </c>
      <c r="C147" s="1">
        <f t="shared" si="20"/>
        <v>250</v>
      </c>
      <c r="D147" s="837">
        <v>0</v>
      </c>
      <c r="E147" s="837">
        <v>0</v>
      </c>
      <c r="F147" s="837">
        <v>0</v>
      </c>
      <c r="G147" s="837">
        <v>0</v>
      </c>
      <c r="H147" s="837">
        <v>0</v>
      </c>
      <c r="I147" s="837">
        <v>1</v>
      </c>
      <c r="J147" s="140">
        <f t="shared" si="21"/>
        <v>1</v>
      </c>
      <c r="K147" s="140">
        <f t="shared" si="22"/>
        <v>0</v>
      </c>
      <c r="L147" s="837">
        <f t="shared" si="23"/>
        <v>0</v>
      </c>
      <c r="M147" s="1" t="s">
        <v>1596</v>
      </c>
      <c r="N147" s="1" t="s">
        <v>1597</v>
      </c>
      <c r="O147" s="295">
        <v>160991</v>
      </c>
      <c r="P147" s="295">
        <v>60</v>
      </c>
      <c r="Q147" s="295">
        <f t="shared" ref="Q147:Q205" si="27">SUM(P147*1)</f>
        <v>60</v>
      </c>
      <c r="R147" s="296">
        <v>1</v>
      </c>
      <c r="S147" s="296"/>
      <c r="T147" s="2051" t="s">
        <v>1550</v>
      </c>
      <c r="U147" s="2051"/>
      <c r="V147" s="2051"/>
      <c r="W147" s="296"/>
      <c r="X147" s="297">
        <f t="shared" si="24"/>
        <v>1</v>
      </c>
      <c r="Y147" s="297">
        <f t="shared" si="25"/>
        <v>1</v>
      </c>
      <c r="Z147" s="296">
        <f t="shared" si="26"/>
        <v>60</v>
      </c>
      <c r="AA147" s="295" t="s">
        <v>1551</v>
      </c>
      <c r="AB147" s="295" t="s">
        <v>1552</v>
      </c>
      <c r="AC147" s="295"/>
    </row>
    <row r="148" spans="1:29" x14ac:dyDescent="0.4">
      <c r="A148" s="16">
        <v>160992</v>
      </c>
      <c r="B148" s="16">
        <v>50</v>
      </c>
      <c r="C148" s="16">
        <f t="shared" si="20"/>
        <v>250</v>
      </c>
      <c r="D148" s="374">
        <v>0</v>
      </c>
      <c r="E148" s="374">
        <v>0</v>
      </c>
      <c r="F148" s="374">
        <v>0</v>
      </c>
      <c r="G148" s="374">
        <v>0</v>
      </c>
      <c r="H148" s="374">
        <v>0</v>
      </c>
      <c r="I148" s="374">
        <v>0</v>
      </c>
      <c r="J148" s="26">
        <f t="shared" si="21"/>
        <v>0</v>
      </c>
      <c r="K148" s="26">
        <f t="shared" si="22"/>
        <v>0</v>
      </c>
      <c r="L148" s="374">
        <f t="shared" si="23"/>
        <v>0</v>
      </c>
      <c r="M148" s="16" t="s">
        <v>1598</v>
      </c>
      <c r="N148" s="16" t="s">
        <v>1599</v>
      </c>
      <c r="O148" s="295">
        <v>160992</v>
      </c>
      <c r="P148" s="295">
        <v>60</v>
      </c>
      <c r="Q148" s="295">
        <f t="shared" si="27"/>
        <v>60</v>
      </c>
      <c r="R148" s="296">
        <v>1</v>
      </c>
      <c r="S148" s="296"/>
      <c r="T148" s="2051" t="s">
        <v>1550</v>
      </c>
      <c r="U148" s="2051"/>
      <c r="V148" s="2051"/>
      <c r="W148" s="296"/>
      <c r="X148" s="297">
        <f t="shared" si="24"/>
        <v>1</v>
      </c>
      <c r="Y148" s="297">
        <f t="shared" si="25"/>
        <v>1</v>
      </c>
      <c r="Z148" s="296">
        <f t="shared" si="26"/>
        <v>60</v>
      </c>
      <c r="AA148" s="295" t="s">
        <v>1551</v>
      </c>
      <c r="AB148" s="295" t="s">
        <v>1552</v>
      </c>
      <c r="AC148" s="295"/>
    </row>
    <row r="149" spans="1:29" x14ac:dyDescent="0.4">
      <c r="A149" s="793">
        <v>160993</v>
      </c>
      <c r="B149" s="793">
        <v>45</v>
      </c>
      <c r="C149" s="793">
        <f t="shared" si="20"/>
        <v>225</v>
      </c>
      <c r="D149" s="794">
        <v>0</v>
      </c>
      <c r="E149" s="794">
        <v>0</v>
      </c>
      <c r="F149" s="794">
        <v>0</v>
      </c>
      <c r="G149" s="794">
        <v>0</v>
      </c>
      <c r="H149" s="794">
        <v>0</v>
      </c>
      <c r="I149" s="794">
        <v>0</v>
      </c>
      <c r="J149" s="795">
        <f t="shared" si="21"/>
        <v>0</v>
      </c>
      <c r="K149" s="795">
        <f t="shared" si="22"/>
        <v>0</v>
      </c>
      <c r="L149" s="794">
        <f t="shared" si="23"/>
        <v>0</v>
      </c>
      <c r="M149" s="793" t="s">
        <v>1598</v>
      </c>
      <c r="N149" s="796" t="s">
        <v>1599</v>
      </c>
      <c r="O149" s="295">
        <v>160993</v>
      </c>
      <c r="P149" s="295">
        <v>60</v>
      </c>
      <c r="Q149" s="295">
        <f t="shared" si="27"/>
        <v>60</v>
      </c>
      <c r="R149" s="296">
        <v>1</v>
      </c>
      <c r="S149" s="296"/>
      <c r="T149" s="2051" t="s">
        <v>1550</v>
      </c>
      <c r="U149" s="2051"/>
      <c r="V149" s="2051"/>
      <c r="W149" s="296"/>
      <c r="X149" s="297">
        <f t="shared" si="24"/>
        <v>1</v>
      </c>
      <c r="Y149" s="297">
        <f t="shared" si="25"/>
        <v>1</v>
      </c>
      <c r="Z149" s="296">
        <f t="shared" si="26"/>
        <v>60</v>
      </c>
      <c r="AA149" s="295" t="s">
        <v>1551</v>
      </c>
      <c r="AB149" s="295" t="s">
        <v>1552</v>
      </c>
      <c r="AC149" s="295"/>
    </row>
    <row r="150" spans="1:29" x14ac:dyDescent="0.4">
      <c r="A150" s="16">
        <v>160994</v>
      </c>
      <c r="B150" s="16">
        <v>45</v>
      </c>
      <c r="C150" s="16">
        <f t="shared" si="20"/>
        <v>225</v>
      </c>
      <c r="D150" s="343">
        <v>0</v>
      </c>
      <c r="E150" s="343">
        <v>0</v>
      </c>
      <c r="F150" s="343">
        <v>0</v>
      </c>
      <c r="G150" s="343">
        <v>0</v>
      </c>
      <c r="H150" s="343">
        <v>0</v>
      </c>
      <c r="I150" s="343">
        <v>0</v>
      </c>
      <c r="J150" s="26">
        <f t="shared" si="21"/>
        <v>0</v>
      </c>
      <c r="K150" s="26">
        <f t="shared" si="22"/>
        <v>0</v>
      </c>
      <c r="L150" s="343">
        <f t="shared" si="23"/>
        <v>0</v>
      </c>
      <c r="M150" s="16" t="s">
        <v>1600</v>
      </c>
      <c r="N150" s="16" t="s">
        <v>1601</v>
      </c>
      <c r="O150" s="16">
        <v>160994</v>
      </c>
      <c r="P150" s="16">
        <v>60</v>
      </c>
      <c r="Q150" s="16">
        <f t="shared" si="27"/>
        <v>60</v>
      </c>
      <c r="R150" s="370">
        <v>0</v>
      </c>
      <c r="S150" s="370"/>
      <c r="T150" s="2033" t="s">
        <v>1550</v>
      </c>
      <c r="U150" s="2033"/>
      <c r="V150" s="2033"/>
      <c r="W150" s="370"/>
      <c r="X150" s="26">
        <f t="shared" si="24"/>
        <v>0</v>
      </c>
      <c r="Y150" s="26">
        <f t="shared" si="25"/>
        <v>0</v>
      </c>
      <c r="Z150" s="370">
        <f t="shared" si="26"/>
        <v>0</v>
      </c>
      <c r="AA150" s="16" t="s">
        <v>1551</v>
      </c>
      <c r="AB150" s="16" t="s">
        <v>1552</v>
      </c>
      <c r="AC150" s="16"/>
    </row>
    <row r="151" spans="1:29" x14ac:dyDescent="0.4">
      <c r="A151" s="16">
        <v>160995</v>
      </c>
      <c r="B151" s="16">
        <v>45</v>
      </c>
      <c r="C151" s="16">
        <f t="shared" si="20"/>
        <v>225</v>
      </c>
      <c r="D151" s="458">
        <v>0</v>
      </c>
      <c r="E151" s="458">
        <v>0</v>
      </c>
      <c r="F151" s="458">
        <v>0</v>
      </c>
      <c r="G151" s="458">
        <v>0</v>
      </c>
      <c r="H151" s="458">
        <v>0</v>
      </c>
      <c r="I151" s="458">
        <v>0</v>
      </c>
      <c r="J151" s="26">
        <f t="shared" si="21"/>
        <v>0</v>
      </c>
      <c r="K151" s="26">
        <f t="shared" si="22"/>
        <v>0</v>
      </c>
      <c r="L151" s="458">
        <f t="shared" si="23"/>
        <v>0</v>
      </c>
      <c r="M151" s="16" t="s">
        <v>1600</v>
      </c>
      <c r="N151" s="16" t="s">
        <v>1601</v>
      </c>
      <c r="O151" s="295">
        <v>160995</v>
      </c>
      <c r="P151" s="295">
        <v>60</v>
      </c>
      <c r="Q151" s="295">
        <f t="shared" si="27"/>
        <v>60</v>
      </c>
      <c r="R151" s="296">
        <v>1</v>
      </c>
      <c r="S151" s="296"/>
      <c r="T151" s="2051" t="s">
        <v>1550</v>
      </c>
      <c r="U151" s="2051"/>
      <c r="V151" s="2051"/>
      <c r="W151" s="296"/>
      <c r="X151" s="297">
        <f t="shared" si="24"/>
        <v>1</v>
      </c>
      <c r="Y151" s="297">
        <f t="shared" si="25"/>
        <v>1</v>
      </c>
      <c r="Z151" s="296">
        <f t="shared" si="26"/>
        <v>60</v>
      </c>
      <c r="AA151" s="295" t="s">
        <v>1551</v>
      </c>
      <c r="AB151" s="295" t="s">
        <v>1552</v>
      </c>
      <c r="AC151" s="295"/>
    </row>
    <row r="152" spans="1:29" x14ac:dyDescent="0.4">
      <c r="A152" s="16">
        <v>160996</v>
      </c>
      <c r="B152" s="16">
        <v>45</v>
      </c>
      <c r="C152" s="16">
        <f t="shared" si="20"/>
        <v>225</v>
      </c>
      <c r="D152" s="393">
        <v>0</v>
      </c>
      <c r="E152" s="393">
        <v>0</v>
      </c>
      <c r="F152" s="393">
        <v>0</v>
      </c>
      <c r="G152" s="393">
        <v>0</v>
      </c>
      <c r="H152" s="393">
        <v>0</v>
      </c>
      <c r="I152" s="393">
        <v>0</v>
      </c>
      <c r="J152" s="26">
        <f t="shared" si="21"/>
        <v>0</v>
      </c>
      <c r="K152" s="26">
        <f t="shared" si="22"/>
        <v>0</v>
      </c>
      <c r="L152" s="393">
        <f t="shared" si="23"/>
        <v>0</v>
      </c>
      <c r="M152" s="16" t="s">
        <v>1602</v>
      </c>
      <c r="N152" s="16" t="s">
        <v>1603</v>
      </c>
      <c r="O152" s="295">
        <v>160996</v>
      </c>
      <c r="P152" s="295">
        <v>60</v>
      </c>
      <c r="Q152" s="295">
        <f t="shared" si="27"/>
        <v>60</v>
      </c>
      <c r="R152" s="296">
        <v>1</v>
      </c>
      <c r="S152" s="296"/>
      <c r="T152" s="2051" t="s">
        <v>1550</v>
      </c>
      <c r="U152" s="2051"/>
      <c r="V152" s="2051"/>
      <c r="W152" s="296"/>
      <c r="X152" s="297">
        <f t="shared" si="24"/>
        <v>1</v>
      </c>
      <c r="Y152" s="297">
        <f t="shared" si="25"/>
        <v>1</v>
      </c>
      <c r="Z152" s="296">
        <f t="shared" si="26"/>
        <v>60</v>
      </c>
      <c r="AA152" s="295" t="s">
        <v>1551</v>
      </c>
      <c r="AB152" s="295" t="s">
        <v>1552</v>
      </c>
      <c r="AC152" s="295"/>
    </row>
    <row r="153" spans="1:29" x14ac:dyDescent="0.4">
      <c r="A153" s="16">
        <v>160997</v>
      </c>
      <c r="B153" s="16">
        <v>45</v>
      </c>
      <c r="C153" s="16">
        <f t="shared" si="20"/>
        <v>225</v>
      </c>
      <c r="D153" s="430">
        <v>0</v>
      </c>
      <c r="E153" s="430">
        <v>0</v>
      </c>
      <c r="F153" s="430">
        <v>0</v>
      </c>
      <c r="G153" s="430">
        <v>0</v>
      </c>
      <c r="H153" s="430">
        <v>0</v>
      </c>
      <c r="I153" s="430">
        <v>0</v>
      </c>
      <c r="J153" s="26">
        <f t="shared" si="21"/>
        <v>0</v>
      </c>
      <c r="K153" s="26">
        <f t="shared" si="22"/>
        <v>0</v>
      </c>
      <c r="L153" s="430">
        <f t="shared" si="23"/>
        <v>0</v>
      </c>
      <c r="M153" s="16" t="s">
        <v>1604</v>
      </c>
      <c r="N153" s="16" t="s">
        <v>1605</v>
      </c>
      <c r="O153" s="295">
        <v>160997</v>
      </c>
      <c r="P153" s="295">
        <v>60</v>
      </c>
      <c r="Q153" s="295">
        <f t="shared" si="27"/>
        <v>60</v>
      </c>
      <c r="R153" s="296">
        <v>1</v>
      </c>
      <c r="S153" s="296"/>
      <c r="T153" s="2051" t="s">
        <v>1550</v>
      </c>
      <c r="U153" s="2051"/>
      <c r="V153" s="2051"/>
      <c r="W153" s="296"/>
      <c r="X153" s="297">
        <f t="shared" si="24"/>
        <v>1</v>
      </c>
      <c r="Y153" s="297">
        <f t="shared" si="25"/>
        <v>1</v>
      </c>
      <c r="Z153" s="296">
        <f t="shared" si="26"/>
        <v>60</v>
      </c>
      <c r="AA153" s="295" t="s">
        <v>1551</v>
      </c>
      <c r="AB153" s="295" t="s">
        <v>1552</v>
      </c>
      <c r="AC153" s="295"/>
    </row>
    <row r="154" spans="1:29" x14ac:dyDescent="0.4">
      <c r="A154" s="16">
        <v>160998</v>
      </c>
      <c r="B154" s="16">
        <v>45</v>
      </c>
      <c r="C154" s="16">
        <f t="shared" si="20"/>
        <v>225</v>
      </c>
      <c r="D154" s="408">
        <v>0</v>
      </c>
      <c r="E154" s="408">
        <v>0</v>
      </c>
      <c r="F154" s="408">
        <v>0</v>
      </c>
      <c r="G154" s="408">
        <v>0</v>
      </c>
      <c r="H154" s="408">
        <v>0</v>
      </c>
      <c r="I154" s="408">
        <v>0</v>
      </c>
      <c r="J154" s="26">
        <f t="shared" si="21"/>
        <v>0</v>
      </c>
      <c r="K154" s="26">
        <f t="shared" si="22"/>
        <v>0</v>
      </c>
      <c r="L154" s="408">
        <f t="shared" si="23"/>
        <v>0</v>
      </c>
      <c r="M154" s="16" t="s">
        <v>1604</v>
      </c>
      <c r="N154" s="16" t="s">
        <v>1605</v>
      </c>
      <c r="O154" s="295">
        <v>160998</v>
      </c>
      <c r="P154" s="295">
        <v>60</v>
      </c>
      <c r="Q154" s="295">
        <f t="shared" si="27"/>
        <v>60</v>
      </c>
      <c r="R154" s="296">
        <v>1</v>
      </c>
      <c r="S154" s="296"/>
      <c r="T154" s="2051" t="s">
        <v>1550</v>
      </c>
      <c r="U154" s="2051"/>
      <c r="V154" s="2051"/>
      <c r="W154" s="296"/>
      <c r="X154" s="297">
        <f t="shared" si="24"/>
        <v>1</v>
      </c>
      <c r="Y154" s="297">
        <f t="shared" si="25"/>
        <v>1</v>
      </c>
      <c r="Z154" s="296">
        <f t="shared" si="26"/>
        <v>60</v>
      </c>
      <c r="AA154" s="295" t="s">
        <v>1551</v>
      </c>
      <c r="AB154" s="295" t="s">
        <v>1552</v>
      </c>
      <c r="AC154" s="295"/>
    </row>
    <row r="155" spans="1:29" x14ac:dyDescent="0.4">
      <c r="A155" s="16">
        <v>160999</v>
      </c>
      <c r="B155" s="16">
        <v>60</v>
      </c>
      <c r="C155" s="16">
        <f t="shared" si="20"/>
        <v>300</v>
      </c>
      <c r="D155" s="783">
        <v>0</v>
      </c>
      <c r="E155" s="783">
        <v>0</v>
      </c>
      <c r="F155" s="783">
        <v>0</v>
      </c>
      <c r="G155" s="783">
        <v>0</v>
      </c>
      <c r="H155" s="783">
        <v>0</v>
      </c>
      <c r="I155" s="783">
        <v>0</v>
      </c>
      <c r="J155" s="784">
        <f t="shared" si="21"/>
        <v>0</v>
      </c>
      <c r="K155" s="784">
        <f t="shared" si="22"/>
        <v>0</v>
      </c>
      <c r="L155" s="783">
        <f t="shared" si="23"/>
        <v>0</v>
      </c>
      <c r="M155" s="16" t="s">
        <v>1604</v>
      </c>
      <c r="N155" s="16" t="s">
        <v>1605</v>
      </c>
      <c r="O155" s="295">
        <v>160999</v>
      </c>
      <c r="P155" s="295">
        <v>60</v>
      </c>
      <c r="Q155" s="295">
        <f t="shared" si="27"/>
        <v>60</v>
      </c>
      <c r="R155" s="296">
        <v>1</v>
      </c>
      <c r="S155" s="296"/>
      <c r="T155" s="2051" t="s">
        <v>1550</v>
      </c>
      <c r="U155" s="2051"/>
      <c r="V155" s="2051"/>
      <c r="W155" s="296"/>
      <c r="X155" s="297">
        <f t="shared" si="24"/>
        <v>1</v>
      </c>
      <c r="Y155" s="297">
        <f t="shared" si="25"/>
        <v>1</v>
      </c>
      <c r="Z155" s="296">
        <f t="shared" si="26"/>
        <v>60</v>
      </c>
      <c r="AA155" s="295" t="s">
        <v>1551</v>
      </c>
      <c r="AB155" s="295" t="s">
        <v>1552</v>
      </c>
      <c r="AC155" s="295"/>
    </row>
    <row r="156" spans="1:29" x14ac:dyDescent="0.4">
      <c r="A156" s="1">
        <v>161000</v>
      </c>
      <c r="B156" s="1">
        <v>45</v>
      </c>
      <c r="C156" s="1">
        <f t="shared" si="20"/>
        <v>225</v>
      </c>
      <c r="D156" s="837">
        <v>0</v>
      </c>
      <c r="E156" s="837">
        <v>0</v>
      </c>
      <c r="F156" s="837">
        <v>0</v>
      </c>
      <c r="G156" s="837">
        <v>0</v>
      </c>
      <c r="H156" s="837">
        <v>0</v>
      </c>
      <c r="I156" s="837">
        <v>1</v>
      </c>
      <c r="J156" s="140">
        <f t="shared" si="21"/>
        <v>1</v>
      </c>
      <c r="K156" s="140">
        <f t="shared" si="22"/>
        <v>0</v>
      </c>
      <c r="L156" s="837">
        <f t="shared" si="23"/>
        <v>0</v>
      </c>
      <c r="M156" s="1" t="s">
        <v>1604</v>
      </c>
      <c r="N156" s="1" t="s">
        <v>1605</v>
      </c>
      <c r="O156" s="295">
        <v>161000</v>
      </c>
      <c r="P156" s="295">
        <v>60</v>
      </c>
      <c r="Q156" s="295">
        <f t="shared" si="27"/>
        <v>60</v>
      </c>
      <c r="R156" s="296">
        <v>1</v>
      </c>
      <c r="S156" s="296"/>
      <c r="T156" s="2051" t="s">
        <v>1550</v>
      </c>
      <c r="U156" s="2051"/>
      <c r="V156" s="2051"/>
      <c r="W156" s="296"/>
      <c r="X156" s="297">
        <f t="shared" si="24"/>
        <v>1</v>
      </c>
      <c r="Y156" s="297">
        <f t="shared" si="25"/>
        <v>1</v>
      </c>
      <c r="Z156" s="296">
        <f t="shared" si="26"/>
        <v>60</v>
      </c>
      <c r="AA156" s="295" t="s">
        <v>1551</v>
      </c>
      <c r="AB156" s="295" t="s">
        <v>1552</v>
      </c>
      <c r="AC156" s="295"/>
    </row>
    <row r="157" spans="1:29" x14ac:dyDescent="0.4">
      <c r="A157" s="16">
        <v>161001</v>
      </c>
      <c r="B157" s="16">
        <v>45</v>
      </c>
      <c r="C157" s="16">
        <f t="shared" si="20"/>
        <v>225</v>
      </c>
      <c r="D157" s="400">
        <v>0</v>
      </c>
      <c r="E157" s="400">
        <v>0</v>
      </c>
      <c r="F157" s="400">
        <v>0</v>
      </c>
      <c r="G157" s="400">
        <v>0</v>
      </c>
      <c r="H157" s="400">
        <v>0</v>
      </c>
      <c r="I157" s="400">
        <v>0</v>
      </c>
      <c r="J157" s="26">
        <f t="shared" si="21"/>
        <v>0</v>
      </c>
      <c r="K157" s="26">
        <f t="shared" si="22"/>
        <v>0</v>
      </c>
      <c r="L157" s="400">
        <f t="shared" si="23"/>
        <v>0</v>
      </c>
      <c r="M157" s="16" t="s">
        <v>1606</v>
      </c>
      <c r="N157" s="16" t="s">
        <v>1607</v>
      </c>
      <c r="O157" s="295">
        <v>161001</v>
      </c>
      <c r="P157" s="295">
        <v>60</v>
      </c>
      <c r="Q157" s="295">
        <f t="shared" si="27"/>
        <v>60</v>
      </c>
      <c r="R157" s="296">
        <v>1</v>
      </c>
      <c r="S157" s="296"/>
      <c r="T157" s="2051" t="s">
        <v>1550</v>
      </c>
      <c r="U157" s="2051"/>
      <c r="V157" s="2051"/>
      <c r="W157" s="296"/>
      <c r="X157" s="297">
        <f t="shared" si="24"/>
        <v>1</v>
      </c>
      <c r="Y157" s="297">
        <f t="shared" si="25"/>
        <v>1</v>
      </c>
      <c r="Z157" s="296">
        <f t="shared" si="26"/>
        <v>60</v>
      </c>
      <c r="AA157" s="295" t="s">
        <v>1551</v>
      </c>
      <c r="AB157" s="295" t="s">
        <v>1552</v>
      </c>
      <c r="AC157" s="295"/>
    </row>
    <row r="158" spans="1:29" x14ac:dyDescent="0.4">
      <c r="A158" s="16">
        <v>161002</v>
      </c>
      <c r="B158" s="16">
        <v>60</v>
      </c>
      <c r="C158" s="16">
        <f t="shared" si="20"/>
        <v>300</v>
      </c>
      <c r="D158" s="533">
        <v>0</v>
      </c>
      <c r="E158" s="533">
        <v>0</v>
      </c>
      <c r="F158" s="533">
        <v>0</v>
      </c>
      <c r="G158" s="533">
        <v>0</v>
      </c>
      <c r="H158" s="533">
        <v>0</v>
      </c>
      <c r="I158" s="533">
        <v>0</v>
      </c>
      <c r="J158" s="534">
        <f t="shared" si="21"/>
        <v>0</v>
      </c>
      <c r="K158" s="534">
        <f t="shared" si="22"/>
        <v>0</v>
      </c>
      <c r="L158" s="533">
        <f t="shared" si="23"/>
        <v>0</v>
      </c>
      <c r="M158" s="16" t="s">
        <v>1608</v>
      </c>
      <c r="N158" s="16" t="s">
        <v>1609</v>
      </c>
      <c r="O158" s="295">
        <v>161002</v>
      </c>
      <c r="P158" s="295">
        <v>60</v>
      </c>
      <c r="Q158" s="295">
        <f t="shared" si="27"/>
        <v>60</v>
      </c>
      <c r="R158" s="296">
        <v>1</v>
      </c>
      <c r="S158" s="296"/>
      <c r="T158" s="2051" t="s">
        <v>1550</v>
      </c>
      <c r="U158" s="2051"/>
      <c r="V158" s="2051"/>
      <c r="W158" s="296"/>
      <c r="X158" s="297">
        <f t="shared" si="24"/>
        <v>1</v>
      </c>
      <c r="Y158" s="297">
        <f t="shared" si="25"/>
        <v>1</v>
      </c>
      <c r="Z158" s="296">
        <f t="shared" si="26"/>
        <v>60</v>
      </c>
      <c r="AA158" s="295" t="s">
        <v>1551</v>
      </c>
      <c r="AB158" s="295" t="s">
        <v>1552</v>
      </c>
      <c r="AC158" s="295"/>
    </row>
    <row r="159" spans="1:29" x14ac:dyDescent="0.4">
      <c r="A159" s="16">
        <v>161003</v>
      </c>
      <c r="B159" s="16">
        <v>60</v>
      </c>
      <c r="C159" s="16">
        <f t="shared" si="20"/>
        <v>300</v>
      </c>
      <c r="D159" s="452">
        <v>0</v>
      </c>
      <c r="E159" s="452">
        <v>0</v>
      </c>
      <c r="F159" s="452">
        <v>0</v>
      </c>
      <c r="G159" s="452">
        <v>0</v>
      </c>
      <c r="H159" s="452">
        <v>0</v>
      </c>
      <c r="I159" s="452">
        <v>0</v>
      </c>
      <c r="J159" s="26">
        <f t="shared" si="21"/>
        <v>0</v>
      </c>
      <c r="K159" s="26">
        <f t="shared" si="22"/>
        <v>0</v>
      </c>
      <c r="L159" s="452">
        <f t="shared" si="23"/>
        <v>0</v>
      </c>
      <c r="M159" s="16" t="s">
        <v>1610</v>
      </c>
      <c r="N159" s="16" t="s">
        <v>1611</v>
      </c>
      <c r="O159" s="295">
        <v>161003</v>
      </c>
      <c r="P159" s="295">
        <v>60</v>
      </c>
      <c r="Q159" s="295">
        <f t="shared" si="27"/>
        <v>60</v>
      </c>
      <c r="R159" s="296">
        <v>1</v>
      </c>
      <c r="S159" s="296"/>
      <c r="T159" s="2051" t="s">
        <v>1550</v>
      </c>
      <c r="U159" s="2051"/>
      <c r="V159" s="2051"/>
      <c r="W159" s="296"/>
      <c r="X159" s="297">
        <f t="shared" si="24"/>
        <v>1</v>
      </c>
      <c r="Y159" s="297">
        <f t="shared" si="25"/>
        <v>1</v>
      </c>
      <c r="Z159" s="296">
        <f t="shared" si="26"/>
        <v>60</v>
      </c>
      <c r="AA159" s="295" t="s">
        <v>1551</v>
      </c>
      <c r="AB159" s="295" t="s">
        <v>1552</v>
      </c>
      <c r="AC159" s="295"/>
    </row>
    <row r="160" spans="1:29" x14ac:dyDescent="0.4">
      <c r="A160" s="1">
        <v>161004</v>
      </c>
      <c r="B160" s="1">
        <v>60</v>
      </c>
      <c r="C160" s="1">
        <f t="shared" si="20"/>
        <v>300</v>
      </c>
      <c r="D160" s="837">
        <v>0</v>
      </c>
      <c r="E160" s="837">
        <v>0</v>
      </c>
      <c r="F160" s="837">
        <v>0</v>
      </c>
      <c r="G160" s="837">
        <v>0</v>
      </c>
      <c r="H160" s="837">
        <v>1</v>
      </c>
      <c r="I160" s="837">
        <v>1</v>
      </c>
      <c r="J160" s="140">
        <f t="shared" si="21"/>
        <v>2</v>
      </c>
      <c r="K160" s="140">
        <f t="shared" si="22"/>
        <v>1</v>
      </c>
      <c r="L160" s="837">
        <f t="shared" si="23"/>
        <v>60</v>
      </c>
      <c r="M160" s="1" t="s">
        <v>1612</v>
      </c>
      <c r="N160" s="1" t="s">
        <v>1613</v>
      </c>
      <c r="O160" s="295">
        <v>161004</v>
      </c>
      <c r="P160" s="295">
        <v>60</v>
      </c>
      <c r="Q160" s="295">
        <f t="shared" si="27"/>
        <v>60</v>
      </c>
      <c r="R160" s="296">
        <v>1</v>
      </c>
      <c r="S160" s="296"/>
      <c r="T160" s="2051" t="s">
        <v>1550</v>
      </c>
      <c r="U160" s="2051"/>
      <c r="V160" s="2051"/>
      <c r="W160" s="296"/>
      <c r="X160" s="297">
        <f t="shared" si="24"/>
        <v>1</v>
      </c>
      <c r="Y160" s="297">
        <f t="shared" si="25"/>
        <v>1</v>
      </c>
      <c r="Z160" s="296">
        <f t="shared" si="26"/>
        <v>60</v>
      </c>
      <c r="AA160" s="295" t="s">
        <v>1551</v>
      </c>
      <c r="AB160" s="295" t="s">
        <v>1552</v>
      </c>
      <c r="AC160" s="295"/>
    </row>
    <row r="161" spans="1:29" x14ac:dyDescent="0.4">
      <c r="A161" s="16">
        <v>161005</v>
      </c>
      <c r="B161" s="16">
        <v>45</v>
      </c>
      <c r="C161" s="16">
        <f t="shared" si="20"/>
        <v>225</v>
      </c>
      <c r="D161" s="383">
        <v>0</v>
      </c>
      <c r="E161" s="383">
        <v>0</v>
      </c>
      <c r="F161" s="383">
        <v>0</v>
      </c>
      <c r="G161" s="383">
        <v>0</v>
      </c>
      <c r="H161" s="383">
        <v>0</v>
      </c>
      <c r="I161" s="383">
        <v>0</v>
      </c>
      <c r="J161" s="26">
        <f t="shared" si="21"/>
        <v>0</v>
      </c>
      <c r="K161" s="26">
        <f t="shared" si="22"/>
        <v>0</v>
      </c>
      <c r="L161" s="383">
        <f t="shared" si="23"/>
        <v>0</v>
      </c>
      <c r="M161" s="16" t="s">
        <v>1614</v>
      </c>
      <c r="N161" s="16" t="s">
        <v>1615</v>
      </c>
      <c r="O161" s="295">
        <v>161005</v>
      </c>
      <c r="P161" s="295">
        <v>60</v>
      </c>
      <c r="Q161" s="295">
        <f t="shared" si="27"/>
        <v>60</v>
      </c>
      <c r="R161" s="296">
        <v>1</v>
      </c>
      <c r="S161" s="296"/>
      <c r="T161" s="2051" t="s">
        <v>1550</v>
      </c>
      <c r="U161" s="2051"/>
      <c r="V161" s="2051"/>
      <c r="W161" s="296"/>
      <c r="X161" s="297">
        <f t="shared" si="24"/>
        <v>1</v>
      </c>
      <c r="Y161" s="297">
        <f t="shared" si="25"/>
        <v>1</v>
      </c>
      <c r="Z161" s="296">
        <f t="shared" si="26"/>
        <v>60</v>
      </c>
      <c r="AA161" s="295" t="s">
        <v>1551</v>
      </c>
      <c r="AB161" s="295" t="s">
        <v>1552</v>
      </c>
      <c r="AC161" s="295"/>
    </row>
    <row r="162" spans="1:29" x14ac:dyDescent="0.4">
      <c r="A162" s="16">
        <v>161006</v>
      </c>
      <c r="B162" s="16">
        <v>45</v>
      </c>
      <c r="C162" s="16">
        <f t="shared" si="20"/>
        <v>225</v>
      </c>
      <c r="D162" s="382">
        <v>0</v>
      </c>
      <c r="E162" s="382">
        <v>0</v>
      </c>
      <c r="F162" s="382">
        <v>0</v>
      </c>
      <c r="G162" s="382">
        <v>0</v>
      </c>
      <c r="H162" s="382">
        <v>0</v>
      </c>
      <c r="I162" s="382">
        <v>0</v>
      </c>
      <c r="J162" s="26">
        <f t="shared" si="21"/>
        <v>0</v>
      </c>
      <c r="K162" s="26">
        <f t="shared" si="22"/>
        <v>0</v>
      </c>
      <c r="L162" s="382">
        <f t="shared" si="23"/>
        <v>0</v>
      </c>
      <c r="M162" s="16" t="s">
        <v>1614</v>
      </c>
      <c r="N162" s="16" t="s">
        <v>1615</v>
      </c>
      <c r="O162" s="295">
        <v>161006</v>
      </c>
      <c r="P162" s="295">
        <v>60</v>
      </c>
      <c r="Q162" s="295">
        <f t="shared" si="27"/>
        <v>60</v>
      </c>
      <c r="R162" s="296">
        <v>1</v>
      </c>
      <c r="S162" s="296"/>
      <c r="T162" s="2051" t="s">
        <v>1550</v>
      </c>
      <c r="U162" s="2051"/>
      <c r="V162" s="2051"/>
      <c r="W162" s="296"/>
      <c r="X162" s="297">
        <f t="shared" si="24"/>
        <v>1</v>
      </c>
      <c r="Y162" s="297">
        <f t="shared" si="25"/>
        <v>1</v>
      </c>
      <c r="Z162" s="296">
        <f t="shared" si="26"/>
        <v>60</v>
      </c>
      <c r="AA162" s="295" t="s">
        <v>1551</v>
      </c>
      <c r="AB162" s="295" t="s">
        <v>1552</v>
      </c>
      <c r="AC162" s="295"/>
    </row>
    <row r="163" spans="1:29" x14ac:dyDescent="0.4">
      <c r="A163" s="16">
        <v>161007</v>
      </c>
      <c r="B163" s="16">
        <v>45</v>
      </c>
      <c r="C163" s="16">
        <f t="shared" si="20"/>
        <v>225</v>
      </c>
      <c r="D163" s="651">
        <v>0</v>
      </c>
      <c r="E163" s="651">
        <v>0</v>
      </c>
      <c r="F163" s="651">
        <v>0</v>
      </c>
      <c r="G163" s="651">
        <v>0</v>
      </c>
      <c r="H163" s="651">
        <v>0</v>
      </c>
      <c r="I163" s="651">
        <v>0</v>
      </c>
      <c r="J163" s="652">
        <f t="shared" si="21"/>
        <v>0</v>
      </c>
      <c r="K163" s="652">
        <f t="shared" si="22"/>
        <v>0</v>
      </c>
      <c r="L163" s="651">
        <f t="shared" si="23"/>
        <v>0</v>
      </c>
      <c r="M163" s="16" t="s">
        <v>1614</v>
      </c>
      <c r="N163" s="16" t="s">
        <v>1615</v>
      </c>
      <c r="O163" s="295">
        <v>161007</v>
      </c>
      <c r="P163" s="295">
        <v>60</v>
      </c>
      <c r="Q163" s="295">
        <f t="shared" si="27"/>
        <v>60</v>
      </c>
      <c r="R163" s="296">
        <v>1</v>
      </c>
      <c r="S163" s="296"/>
      <c r="T163" s="2051" t="s">
        <v>1550</v>
      </c>
      <c r="U163" s="2051"/>
      <c r="V163" s="2051"/>
      <c r="W163" s="296"/>
      <c r="X163" s="297">
        <f t="shared" si="24"/>
        <v>1</v>
      </c>
      <c r="Y163" s="297">
        <f t="shared" si="25"/>
        <v>1</v>
      </c>
      <c r="Z163" s="296">
        <f t="shared" si="26"/>
        <v>60</v>
      </c>
      <c r="AA163" s="295" t="s">
        <v>1551</v>
      </c>
      <c r="AB163" s="295" t="s">
        <v>1552</v>
      </c>
      <c r="AC163" s="295"/>
    </row>
    <row r="164" spans="1:29" x14ac:dyDescent="0.4">
      <c r="A164" s="1">
        <v>161008</v>
      </c>
      <c r="B164" s="1">
        <v>60</v>
      </c>
      <c r="C164" s="1">
        <f t="shared" si="20"/>
        <v>300</v>
      </c>
      <c r="D164" s="837">
        <v>0</v>
      </c>
      <c r="E164" s="837">
        <v>0</v>
      </c>
      <c r="F164" s="837">
        <v>1</v>
      </c>
      <c r="G164" s="837">
        <v>1</v>
      </c>
      <c r="H164" s="837">
        <v>1</v>
      </c>
      <c r="I164" s="837">
        <v>1</v>
      </c>
      <c r="J164" s="140">
        <f t="shared" si="21"/>
        <v>4</v>
      </c>
      <c r="K164" s="140">
        <f t="shared" si="22"/>
        <v>3</v>
      </c>
      <c r="L164" s="837">
        <f t="shared" si="23"/>
        <v>180</v>
      </c>
      <c r="M164" s="1" t="s">
        <v>1616</v>
      </c>
      <c r="N164" s="1" t="s">
        <v>1617</v>
      </c>
      <c r="O164" s="295">
        <v>161008</v>
      </c>
      <c r="P164" s="295">
        <v>60</v>
      </c>
      <c r="Q164" s="295">
        <f t="shared" si="27"/>
        <v>60</v>
      </c>
      <c r="R164" s="296">
        <v>1</v>
      </c>
      <c r="S164" s="296"/>
      <c r="T164" s="2051" t="s">
        <v>1550</v>
      </c>
      <c r="U164" s="2051"/>
      <c r="V164" s="2051"/>
      <c r="W164" s="296"/>
      <c r="X164" s="297">
        <f t="shared" si="24"/>
        <v>1</v>
      </c>
      <c r="Y164" s="297">
        <f t="shared" si="25"/>
        <v>1</v>
      </c>
      <c r="Z164" s="296">
        <f t="shared" si="26"/>
        <v>60</v>
      </c>
      <c r="AA164" s="295" t="s">
        <v>1551</v>
      </c>
      <c r="AB164" s="295" t="s">
        <v>1552</v>
      </c>
      <c r="AC164" s="295"/>
    </row>
    <row r="165" spans="1:29" x14ac:dyDescent="0.4">
      <c r="A165" s="18">
        <v>161009</v>
      </c>
      <c r="B165" s="18">
        <v>45</v>
      </c>
      <c r="C165" s="18">
        <f t="shared" si="20"/>
        <v>225</v>
      </c>
      <c r="D165" s="19">
        <v>0</v>
      </c>
      <c r="E165" s="19">
        <v>0</v>
      </c>
      <c r="F165" s="19">
        <v>0</v>
      </c>
      <c r="G165" s="19">
        <v>0</v>
      </c>
      <c r="H165" s="19">
        <v>0</v>
      </c>
      <c r="I165" s="19">
        <v>0</v>
      </c>
      <c r="J165" s="28">
        <f t="shared" si="21"/>
        <v>0</v>
      </c>
      <c r="K165" s="28">
        <f t="shared" si="22"/>
        <v>0</v>
      </c>
      <c r="L165" s="19">
        <f t="shared" si="23"/>
        <v>0</v>
      </c>
      <c r="M165" s="18" t="s">
        <v>1618</v>
      </c>
      <c r="N165" s="18" t="s">
        <v>1619</v>
      </c>
      <c r="O165" s="16">
        <v>161009</v>
      </c>
      <c r="P165" s="16">
        <v>60</v>
      </c>
      <c r="Q165" s="16">
        <f t="shared" si="27"/>
        <v>60</v>
      </c>
      <c r="R165" s="762">
        <v>0</v>
      </c>
      <c r="S165" s="762"/>
      <c r="T165" s="2033" t="s">
        <v>1550</v>
      </c>
      <c r="U165" s="2033"/>
      <c r="V165" s="2033"/>
      <c r="W165" s="762"/>
      <c r="X165" s="763">
        <f t="shared" si="24"/>
        <v>0</v>
      </c>
      <c r="Y165" s="763">
        <f t="shared" si="25"/>
        <v>0</v>
      </c>
      <c r="Z165" s="762">
        <f t="shared" si="26"/>
        <v>0</v>
      </c>
      <c r="AA165" s="16" t="s">
        <v>1551</v>
      </c>
      <c r="AB165" s="16" t="s">
        <v>1552</v>
      </c>
      <c r="AC165" s="16"/>
    </row>
    <row r="166" spans="1:29" x14ac:dyDescent="0.4">
      <c r="A166" s="16">
        <v>161010</v>
      </c>
      <c r="B166" s="16">
        <v>60</v>
      </c>
      <c r="C166" s="16">
        <f t="shared" si="20"/>
        <v>300</v>
      </c>
      <c r="D166" s="539">
        <v>0</v>
      </c>
      <c r="E166" s="539">
        <v>0</v>
      </c>
      <c r="F166" s="539">
        <v>0</v>
      </c>
      <c r="G166" s="539">
        <v>0</v>
      </c>
      <c r="H166" s="539">
        <v>0</v>
      </c>
      <c r="I166" s="539">
        <v>0</v>
      </c>
      <c r="J166" s="540">
        <f t="shared" si="21"/>
        <v>0</v>
      </c>
      <c r="K166" s="540">
        <f t="shared" si="22"/>
        <v>0</v>
      </c>
      <c r="L166" s="539">
        <f t="shared" si="23"/>
        <v>0</v>
      </c>
      <c r="M166" s="16" t="s">
        <v>1620</v>
      </c>
      <c r="N166" s="16" t="s">
        <v>1621</v>
      </c>
      <c r="O166" s="16">
        <v>161010</v>
      </c>
      <c r="P166" s="16">
        <v>60</v>
      </c>
      <c r="Q166" s="16">
        <f t="shared" si="27"/>
        <v>60</v>
      </c>
      <c r="R166" s="615">
        <v>0</v>
      </c>
      <c r="S166" s="615"/>
      <c r="T166" s="2033" t="s">
        <v>1550</v>
      </c>
      <c r="U166" s="2033"/>
      <c r="V166" s="2033"/>
      <c r="W166" s="615"/>
      <c r="X166" s="616">
        <f t="shared" si="24"/>
        <v>0</v>
      </c>
      <c r="Y166" s="616">
        <f t="shared" si="25"/>
        <v>0</v>
      </c>
      <c r="Z166" s="615">
        <f t="shared" si="26"/>
        <v>0</v>
      </c>
      <c r="AA166" s="16" t="s">
        <v>1551</v>
      </c>
      <c r="AB166" s="16" t="s">
        <v>1552</v>
      </c>
      <c r="AC166" s="16"/>
    </row>
    <row r="167" spans="1:29" x14ac:dyDescent="0.4">
      <c r="A167" s="1">
        <v>161011</v>
      </c>
      <c r="B167" s="1">
        <v>60</v>
      </c>
      <c r="C167" s="1">
        <f t="shared" si="20"/>
        <v>300</v>
      </c>
      <c r="D167" s="837">
        <v>0</v>
      </c>
      <c r="E167" s="837">
        <v>1</v>
      </c>
      <c r="F167" s="837">
        <v>1</v>
      </c>
      <c r="G167" s="837">
        <v>1</v>
      </c>
      <c r="H167" s="837">
        <v>1</v>
      </c>
      <c r="I167" s="837">
        <v>1</v>
      </c>
      <c r="J167" s="140">
        <f t="shared" si="21"/>
        <v>5</v>
      </c>
      <c r="K167" s="140">
        <f t="shared" si="22"/>
        <v>4</v>
      </c>
      <c r="L167" s="837">
        <f t="shared" si="23"/>
        <v>240</v>
      </c>
      <c r="M167" s="1" t="s">
        <v>1624</v>
      </c>
      <c r="N167" s="1" t="s">
        <v>1625</v>
      </c>
      <c r="O167" s="295">
        <v>161011</v>
      </c>
      <c r="P167" s="295">
        <v>60</v>
      </c>
      <c r="Q167" s="295">
        <f t="shared" si="27"/>
        <v>60</v>
      </c>
      <c r="R167" s="296">
        <v>1</v>
      </c>
      <c r="S167" s="296"/>
      <c r="T167" s="2051" t="s">
        <v>1550</v>
      </c>
      <c r="U167" s="2051"/>
      <c r="V167" s="2051"/>
      <c r="W167" s="296"/>
      <c r="X167" s="297">
        <f t="shared" si="24"/>
        <v>1</v>
      </c>
      <c r="Y167" s="297">
        <f t="shared" si="25"/>
        <v>1</v>
      </c>
      <c r="Z167" s="296">
        <f t="shared" si="26"/>
        <v>60</v>
      </c>
      <c r="AA167" s="295" t="s">
        <v>1551</v>
      </c>
      <c r="AB167" s="295" t="s">
        <v>1552</v>
      </c>
      <c r="AC167" s="295"/>
    </row>
    <row r="168" spans="1:29" x14ac:dyDescent="0.4">
      <c r="A168" s="1">
        <v>161012</v>
      </c>
      <c r="B168" s="1">
        <v>45</v>
      </c>
      <c r="C168" s="1">
        <f t="shared" si="20"/>
        <v>225</v>
      </c>
      <c r="D168" s="837">
        <v>0</v>
      </c>
      <c r="E168" s="837">
        <v>0</v>
      </c>
      <c r="F168" s="837">
        <v>0</v>
      </c>
      <c r="G168" s="837">
        <v>0</v>
      </c>
      <c r="H168" s="837">
        <v>0</v>
      </c>
      <c r="I168" s="837">
        <v>1</v>
      </c>
      <c r="J168" s="140">
        <f t="shared" si="21"/>
        <v>1</v>
      </c>
      <c r="K168" s="140">
        <f t="shared" si="22"/>
        <v>0</v>
      </c>
      <c r="L168" s="837">
        <f t="shared" si="23"/>
        <v>0</v>
      </c>
      <c r="M168" s="1" t="s">
        <v>1622</v>
      </c>
      <c r="N168" s="1" t="s">
        <v>1623</v>
      </c>
      <c r="O168" s="295">
        <v>161012</v>
      </c>
      <c r="P168" s="295">
        <v>60</v>
      </c>
      <c r="Q168" s="295">
        <f t="shared" si="27"/>
        <v>60</v>
      </c>
      <c r="R168" s="296">
        <v>1</v>
      </c>
      <c r="S168" s="296"/>
      <c r="T168" s="2051" t="s">
        <v>1550</v>
      </c>
      <c r="U168" s="2051"/>
      <c r="V168" s="2051"/>
      <c r="W168" s="296"/>
      <c r="X168" s="297">
        <f t="shared" si="24"/>
        <v>1</v>
      </c>
      <c r="Y168" s="297">
        <f t="shared" si="25"/>
        <v>1</v>
      </c>
      <c r="Z168" s="296">
        <f t="shared" si="26"/>
        <v>60</v>
      </c>
      <c r="AA168" s="295" t="s">
        <v>1551</v>
      </c>
      <c r="AB168" s="295" t="s">
        <v>1552</v>
      </c>
      <c r="AC168" s="295"/>
    </row>
    <row r="169" spans="1:29" x14ac:dyDescent="0.4">
      <c r="A169" s="1">
        <v>161013</v>
      </c>
      <c r="B169" s="1">
        <v>60</v>
      </c>
      <c r="C169" s="1">
        <f t="shared" si="20"/>
        <v>300</v>
      </c>
      <c r="D169" s="837">
        <v>0</v>
      </c>
      <c r="E169" s="837">
        <v>0</v>
      </c>
      <c r="F169" s="837">
        <v>0</v>
      </c>
      <c r="G169" s="837">
        <v>0</v>
      </c>
      <c r="H169" s="837">
        <v>0</v>
      </c>
      <c r="I169" s="837">
        <v>0</v>
      </c>
      <c r="J169" s="140">
        <f t="shared" si="21"/>
        <v>0</v>
      </c>
      <c r="K169" s="140">
        <f t="shared" si="22"/>
        <v>0</v>
      </c>
      <c r="L169" s="837">
        <f t="shared" si="23"/>
        <v>0</v>
      </c>
      <c r="M169" s="1" t="s">
        <v>1622</v>
      </c>
      <c r="N169" s="1" t="s">
        <v>1623</v>
      </c>
      <c r="O169" s="16">
        <v>161013</v>
      </c>
      <c r="P169" s="16">
        <v>60</v>
      </c>
      <c r="Q169" s="16">
        <f t="shared" si="27"/>
        <v>60</v>
      </c>
      <c r="R169" s="745">
        <v>0</v>
      </c>
      <c r="S169" s="745"/>
      <c r="T169" s="2033" t="s">
        <v>1550</v>
      </c>
      <c r="U169" s="2033"/>
      <c r="V169" s="2033"/>
      <c r="W169" s="745"/>
      <c r="X169" s="746">
        <f t="shared" si="24"/>
        <v>0</v>
      </c>
      <c r="Y169" s="746">
        <f t="shared" si="25"/>
        <v>0</v>
      </c>
      <c r="Z169" s="762">
        <f t="shared" si="26"/>
        <v>0</v>
      </c>
      <c r="AA169" s="16" t="s">
        <v>1551</v>
      </c>
      <c r="AB169" s="16" t="s">
        <v>1552</v>
      </c>
      <c r="AC169" s="16"/>
    </row>
    <row r="170" spans="1:29" x14ac:dyDescent="0.4">
      <c r="A170" s="16">
        <v>161014</v>
      </c>
      <c r="B170" s="16">
        <v>60</v>
      </c>
      <c r="C170" s="16">
        <f t="shared" si="20"/>
        <v>300</v>
      </c>
      <c r="D170" s="487">
        <v>0</v>
      </c>
      <c r="E170" s="487">
        <v>0</v>
      </c>
      <c r="F170" s="487">
        <v>0</v>
      </c>
      <c r="G170" s="487">
        <v>0</v>
      </c>
      <c r="H170" s="487">
        <v>0</v>
      </c>
      <c r="I170" s="487">
        <v>0</v>
      </c>
      <c r="J170" s="26">
        <f t="shared" si="21"/>
        <v>0</v>
      </c>
      <c r="K170" s="26">
        <f t="shared" si="22"/>
        <v>0</v>
      </c>
      <c r="L170" s="487">
        <f t="shared" si="23"/>
        <v>0</v>
      </c>
      <c r="M170" s="16" t="s">
        <v>1626</v>
      </c>
      <c r="N170" s="16" t="s">
        <v>1627</v>
      </c>
      <c r="O170" s="16">
        <v>161014</v>
      </c>
      <c r="P170" s="16">
        <v>60</v>
      </c>
      <c r="Q170" s="16">
        <f t="shared" si="27"/>
        <v>60</v>
      </c>
      <c r="R170" s="1528">
        <v>0</v>
      </c>
      <c r="S170" s="1528"/>
      <c r="T170" s="2033" t="s">
        <v>1550</v>
      </c>
      <c r="U170" s="2033"/>
      <c r="V170" s="2033"/>
      <c r="W170" s="1528"/>
      <c r="X170" s="1529">
        <f t="shared" si="24"/>
        <v>0</v>
      </c>
      <c r="Y170" s="1529">
        <f t="shared" si="25"/>
        <v>0</v>
      </c>
      <c r="Z170" s="1528">
        <f t="shared" si="26"/>
        <v>0</v>
      </c>
      <c r="AA170" s="16" t="s">
        <v>1551</v>
      </c>
      <c r="AB170" s="16" t="s">
        <v>1552</v>
      </c>
      <c r="AC170" s="16"/>
    </row>
    <row r="171" spans="1:29" x14ac:dyDescent="0.4">
      <c r="A171" s="1">
        <v>161015</v>
      </c>
      <c r="B171" s="1">
        <v>60</v>
      </c>
      <c r="C171" s="1">
        <f t="shared" si="20"/>
        <v>300</v>
      </c>
      <c r="D171" s="837">
        <v>0</v>
      </c>
      <c r="E171" s="837">
        <v>0</v>
      </c>
      <c r="F171" s="837">
        <v>0</v>
      </c>
      <c r="G171" s="837">
        <v>0</v>
      </c>
      <c r="H171" s="837">
        <v>1</v>
      </c>
      <c r="I171" s="837">
        <v>1</v>
      </c>
      <c r="J171" s="140">
        <f t="shared" si="21"/>
        <v>2</v>
      </c>
      <c r="K171" s="140">
        <f t="shared" si="22"/>
        <v>1</v>
      </c>
      <c r="L171" s="837">
        <f t="shared" si="23"/>
        <v>60</v>
      </c>
      <c r="M171" s="1" t="s">
        <v>1628</v>
      </c>
      <c r="N171" s="1" t="s">
        <v>1629</v>
      </c>
      <c r="O171" s="295">
        <v>161015</v>
      </c>
      <c r="P171" s="295">
        <v>60</v>
      </c>
      <c r="Q171" s="295">
        <f t="shared" si="27"/>
        <v>60</v>
      </c>
      <c r="R171" s="296">
        <v>1</v>
      </c>
      <c r="S171" s="296"/>
      <c r="T171" s="2051" t="s">
        <v>1550</v>
      </c>
      <c r="U171" s="2051"/>
      <c r="V171" s="2051"/>
      <c r="W171" s="296"/>
      <c r="X171" s="297">
        <f t="shared" si="24"/>
        <v>1</v>
      </c>
      <c r="Y171" s="297">
        <f t="shared" si="25"/>
        <v>1</v>
      </c>
      <c r="Z171" s="296">
        <f t="shared" si="26"/>
        <v>60</v>
      </c>
      <c r="AA171" s="295" t="s">
        <v>1551</v>
      </c>
      <c r="AB171" s="295" t="s">
        <v>1552</v>
      </c>
      <c r="AC171" s="295"/>
    </row>
    <row r="172" spans="1:29" x14ac:dyDescent="0.4">
      <c r="A172" s="16">
        <v>161016</v>
      </c>
      <c r="B172" s="16">
        <v>45</v>
      </c>
      <c r="C172" s="16">
        <f t="shared" si="20"/>
        <v>225</v>
      </c>
      <c r="D172" s="741">
        <v>0</v>
      </c>
      <c r="E172" s="741">
        <v>0</v>
      </c>
      <c r="F172" s="741">
        <v>0</v>
      </c>
      <c r="G172" s="741">
        <v>0</v>
      </c>
      <c r="H172" s="741">
        <v>0</v>
      </c>
      <c r="I172" s="741">
        <v>0</v>
      </c>
      <c r="J172" s="742">
        <f t="shared" si="21"/>
        <v>0</v>
      </c>
      <c r="K172" s="742">
        <f t="shared" si="22"/>
        <v>0</v>
      </c>
      <c r="L172" s="741">
        <f t="shared" si="23"/>
        <v>0</v>
      </c>
      <c r="M172" s="16" t="s">
        <v>1630</v>
      </c>
      <c r="N172" s="16" t="s">
        <v>1631</v>
      </c>
      <c r="O172" s="295">
        <v>161016</v>
      </c>
      <c r="P172" s="295">
        <v>60</v>
      </c>
      <c r="Q172" s="295">
        <f t="shared" si="27"/>
        <v>60</v>
      </c>
      <c r="R172" s="296">
        <v>1</v>
      </c>
      <c r="S172" s="296"/>
      <c r="T172" s="2051" t="s">
        <v>1550</v>
      </c>
      <c r="U172" s="2051"/>
      <c r="V172" s="2051"/>
      <c r="W172" s="296"/>
      <c r="X172" s="297">
        <f t="shared" si="24"/>
        <v>1</v>
      </c>
      <c r="Y172" s="297">
        <f t="shared" si="25"/>
        <v>1</v>
      </c>
      <c r="Z172" s="296">
        <f t="shared" si="26"/>
        <v>60</v>
      </c>
      <c r="AA172" s="295" t="s">
        <v>1551</v>
      </c>
      <c r="AB172" s="295" t="s">
        <v>1552</v>
      </c>
      <c r="AC172" s="295"/>
    </row>
    <row r="173" spans="1:29" x14ac:dyDescent="0.4">
      <c r="A173" s="16">
        <v>161017</v>
      </c>
      <c r="B173" s="16">
        <v>45</v>
      </c>
      <c r="C173" s="16">
        <f t="shared" si="20"/>
        <v>225</v>
      </c>
      <c r="D173" s="485">
        <v>0</v>
      </c>
      <c r="E173" s="485">
        <v>0</v>
      </c>
      <c r="F173" s="485">
        <v>0</v>
      </c>
      <c r="G173" s="485">
        <v>0</v>
      </c>
      <c r="H173" s="485">
        <v>0</v>
      </c>
      <c r="I173" s="485">
        <v>0</v>
      </c>
      <c r="J173" s="26">
        <f t="shared" si="21"/>
        <v>0</v>
      </c>
      <c r="K173" s="26">
        <f t="shared" si="22"/>
        <v>0</v>
      </c>
      <c r="L173" s="485">
        <f t="shared" si="23"/>
        <v>0</v>
      </c>
      <c r="M173" s="16" t="s">
        <v>1630</v>
      </c>
      <c r="N173" s="16" t="s">
        <v>1631</v>
      </c>
      <c r="O173" s="18">
        <v>161017</v>
      </c>
      <c r="P173" s="18">
        <v>60</v>
      </c>
      <c r="Q173" s="18">
        <f t="shared" si="27"/>
        <v>60</v>
      </c>
      <c r="R173" s="19">
        <v>1</v>
      </c>
      <c r="S173" s="19"/>
      <c r="T173" s="2052" t="s">
        <v>1550</v>
      </c>
      <c r="U173" s="2052"/>
      <c r="V173" s="2052"/>
      <c r="W173" s="19"/>
      <c r="X173" s="28">
        <f t="shared" si="24"/>
        <v>1</v>
      </c>
      <c r="Y173" s="28">
        <f t="shared" si="25"/>
        <v>1</v>
      </c>
      <c r="Z173" s="19">
        <f t="shared" si="26"/>
        <v>60</v>
      </c>
      <c r="AA173" s="18" t="s">
        <v>1551</v>
      </c>
      <c r="AB173" s="18" t="s">
        <v>1552</v>
      </c>
      <c r="AC173" s="18"/>
    </row>
    <row r="174" spans="1:29" x14ac:dyDescent="0.4">
      <c r="A174" s="16">
        <v>161018</v>
      </c>
      <c r="B174" s="16">
        <v>60</v>
      </c>
      <c r="C174" s="16">
        <f t="shared" si="20"/>
        <v>300</v>
      </c>
      <c r="D174" s="1322">
        <v>0</v>
      </c>
      <c r="E174" s="1322">
        <v>0</v>
      </c>
      <c r="F174" s="1322">
        <v>0</v>
      </c>
      <c r="G174" s="1322">
        <v>0</v>
      </c>
      <c r="H174" s="1322">
        <v>0</v>
      </c>
      <c r="I174" s="1322">
        <v>0</v>
      </c>
      <c r="J174" s="1323">
        <f t="shared" si="21"/>
        <v>0</v>
      </c>
      <c r="K174" s="1323">
        <f t="shared" si="22"/>
        <v>0</v>
      </c>
      <c r="L174" s="1322">
        <f t="shared" si="23"/>
        <v>0</v>
      </c>
      <c r="M174" s="16" t="s">
        <v>1630</v>
      </c>
      <c r="N174" s="16" t="s">
        <v>1631</v>
      </c>
      <c r="O174" s="16">
        <v>161018</v>
      </c>
      <c r="P174" s="16">
        <v>60</v>
      </c>
      <c r="Q174" s="16">
        <f t="shared" si="27"/>
        <v>60</v>
      </c>
      <c r="R174" s="1618">
        <v>1</v>
      </c>
      <c r="S174" s="1618"/>
      <c r="T174" s="2033" t="s">
        <v>1550</v>
      </c>
      <c r="U174" s="2033"/>
      <c r="V174" s="2033"/>
      <c r="W174" s="1618"/>
      <c r="X174" s="1619">
        <f t="shared" si="24"/>
        <v>1</v>
      </c>
      <c r="Y174" s="1619">
        <f t="shared" si="25"/>
        <v>1</v>
      </c>
      <c r="Z174" s="1618">
        <f t="shared" si="26"/>
        <v>60</v>
      </c>
      <c r="AA174" s="16" t="s">
        <v>1551</v>
      </c>
      <c r="AB174" s="295" t="s">
        <v>1552</v>
      </c>
      <c r="AC174" s="295"/>
    </row>
    <row r="175" spans="1:29" x14ac:dyDescent="0.4">
      <c r="A175" s="16">
        <v>161019</v>
      </c>
      <c r="B175" s="16">
        <v>45</v>
      </c>
      <c r="C175" s="16">
        <f t="shared" si="20"/>
        <v>225</v>
      </c>
      <c r="D175" s="595">
        <v>0</v>
      </c>
      <c r="E175" s="595">
        <v>0</v>
      </c>
      <c r="F175" s="595">
        <v>0</v>
      </c>
      <c r="G175" s="595">
        <v>0</v>
      </c>
      <c r="H175" s="595">
        <v>0</v>
      </c>
      <c r="I175" s="595">
        <v>0</v>
      </c>
      <c r="J175" s="596">
        <f t="shared" si="21"/>
        <v>0</v>
      </c>
      <c r="K175" s="596">
        <f t="shared" si="22"/>
        <v>0</v>
      </c>
      <c r="L175" s="595">
        <f t="shared" si="23"/>
        <v>0</v>
      </c>
      <c r="M175" s="16" t="s">
        <v>1630</v>
      </c>
      <c r="N175" s="16" t="s">
        <v>1631</v>
      </c>
      <c r="O175" s="295">
        <v>161019</v>
      </c>
      <c r="P175" s="295">
        <v>60</v>
      </c>
      <c r="Q175" s="295">
        <f t="shared" si="27"/>
        <v>60</v>
      </c>
      <c r="R175" s="296">
        <v>1</v>
      </c>
      <c r="S175" s="296"/>
      <c r="T175" s="2051" t="s">
        <v>1550</v>
      </c>
      <c r="U175" s="2051"/>
      <c r="V175" s="2051"/>
      <c r="W175" s="296"/>
      <c r="X175" s="297">
        <f t="shared" si="24"/>
        <v>1</v>
      </c>
      <c r="Y175" s="297">
        <f t="shared" si="25"/>
        <v>1</v>
      </c>
      <c r="Z175" s="296">
        <f t="shared" si="26"/>
        <v>60</v>
      </c>
      <c r="AA175" s="295" t="s">
        <v>1551</v>
      </c>
      <c r="AB175" s="295" t="s">
        <v>1552</v>
      </c>
      <c r="AC175" s="295"/>
    </row>
    <row r="176" spans="1:29" x14ac:dyDescent="0.4">
      <c r="A176" s="16">
        <v>161020</v>
      </c>
      <c r="B176" s="16">
        <v>45</v>
      </c>
      <c r="C176" s="16">
        <f t="shared" ref="C176:C205" si="28">SUM(B176*5)</f>
        <v>225</v>
      </c>
      <c r="D176" s="493">
        <v>0</v>
      </c>
      <c r="E176" s="493">
        <v>0</v>
      </c>
      <c r="F176" s="493">
        <v>0</v>
      </c>
      <c r="G176" s="493">
        <v>0</v>
      </c>
      <c r="H176" s="493">
        <v>0</v>
      </c>
      <c r="I176" s="493">
        <v>0</v>
      </c>
      <c r="J176" s="494">
        <f t="shared" ref="J176:J205" si="29">SUM(D176:I176)</f>
        <v>0</v>
      </c>
      <c r="K176" s="494">
        <f t="shared" ref="K176:K205" si="30">SUM(D176:H176)</f>
        <v>0</v>
      </c>
      <c r="L176" s="493">
        <f t="shared" ref="L176:L205" si="31">B176*K176</f>
        <v>0</v>
      </c>
      <c r="M176" s="16" t="s">
        <v>1632</v>
      </c>
      <c r="N176" s="16" t="s">
        <v>1633</v>
      </c>
      <c r="O176" s="18">
        <v>161020</v>
      </c>
      <c r="P176" s="18">
        <v>60</v>
      </c>
      <c r="Q176" s="18">
        <f t="shared" si="27"/>
        <v>60</v>
      </c>
      <c r="R176" s="19">
        <v>1</v>
      </c>
      <c r="S176" s="19"/>
      <c r="T176" s="2052" t="s">
        <v>1550</v>
      </c>
      <c r="U176" s="2052"/>
      <c r="V176" s="2052"/>
      <c r="W176" s="19"/>
      <c r="X176" s="28">
        <f t="shared" si="24"/>
        <v>1</v>
      </c>
      <c r="Y176" s="28">
        <f t="shared" si="25"/>
        <v>1</v>
      </c>
      <c r="Z176" s="19">
        <f t="shared" si="26"/>
        <v>60</v>
      </c>
      <c r="AA176" s="18" t="s">
        <v>1551</v>
      </c>
      <c r="AB176" s="18" t="s">
        <v>1552</v>
      </c>
      <c r="AC176" s="18"/>
    </row>
    <row r="177" spans="1:29" x14ac:dyDescent="0.4">
      <c r="A177" s="1">
        <v>161021</v>
      </c>
      <c r="B177" s="1">
        <v>60</v>
      </c>
      <c r="C177" s="1">
        <f t="shared" si="28"/>
        <v>300</v>
      </c>
      <c r="D177" s="930">
        <v>0</v>
      </c>
      <c r="E177" s="930">
        <v>0</v>
      </c>
      <c r="F177" s="930">
        <v>1</v>
      </c>
      <c r="G177" s="930">
        <v>1</v>
      </c>
      <c r="H177" s="930">
        <v>1</v>
      </c>
      <c r="I177" s="930">
        <v>1</v>
      </c>
      <c r="J177" s="140">
        <f t="shared" si="29"/>
        <v>4</v>
      </c>
      <c r="K177" s="140">
        <f t="shared" si="30"/>
        <v>3</v>
      </c>
      <c r="L177" s="930">
        <f t="shared" si="31"/>
        <v>180</v>
      </c>
      <c r="M177" s="1" t="s">
        <v>1632</v>
      </c>
      <c r="N177" s="1" t="s">
        <v>1633</v>
      </c>
      <c r="O177" s="295">
        <v>161021</v>
      </c>
      <c r="P177" s="295">
        <v>60</v>
      </c>
      <c r="Q177" s="295">
        <f t="shared" si="27"/>
        <v>60</v>
      </c>
      <c r="R177" s="296">
        <v>1</v>
      </c>
      <c r="S177" s="296"/>
      <c r="T177" s="2051" t="s">
        <v>1550</v>
      </c>
      <c r="U177" s="2051"/>
      <c r="V177" s="2051"/>
      <c r="W177" s="296"/>
      <c r="X177" s="297">
        <f t="shared" si="24"/>
        <v>1</v>
      </c>
      <c r="Y177" s="297">
        <f t="shared" si="25"/>
        <v>1</v>
      </c>
      <c r="Z177" s="296">
        <f t="shared" si="26"/>
        <v>60</v>
      </c>
      <c r="AA177" s="295" t="s">
        <v>1551</v>
      </c>
      <c r="AB177" s="295" t="s">
        <v>1552</v>
      </c>
      <c r="AC177" s="295"/>
    </row>
    <row r="178" spans="1:29" x14ac:dyDescent="0.4">
      <c r="A178" s="1">
        <v>161022</v>
      </c>
      <c r="B178" s="1">
        <v>45</v>
      </c>
      <c r="C178" s="1">
        <f t="shared" si="28"/>
        <v>225</v>
      </c>
      <c r="D178" s="930">
        <v>0</v>
      </c>
      <c r="E178" s="930">
        <v>0</v>
      </c>
      <c r="F178" s="930">
        <v>0</v>
      </c>
      <c r="G178" s="930">
        <v>0</v>
      </c>
      <c r="H178" s="930">
        <v>1</v>
      </c>
      <c r="I178" s="930">
        <v>1</v>
      </c>
      <c r="J178" s="140">
        <f t="shared" si="29"/>
        <v>2</v>
      </c>
      <c r="K178" s="140">
        <f t="shared" si="30"/>
        <v>1</v>
      </c>
      <c r="L178" s="930">
        <f t="shared" si="31"/>
        <v>45</v>
      </c>
      <c r="M178" s="1" t="s">
        <v>1632</v>
      </c>
      <c r="N178" s="1" t="s">
        <v>1633</v>
      </c>
      <c r="O178" s="18">
        <v>161022</v>
      </c>
      <c r="P178" s="18">
        <v>60</v>
      </c>
      <c r="Q178" s="18">
        <f t="shared" si="27"/>
        <v>60</v>
      </c>
      <c r="R178" s="1572">
        <v>1</v>
      </c>
      <c r="S178" s="1572"/>
      <c r="T178" s="2052" t="s">
        <v>1663</v>
      </c>
      <c r="U178" s="2052"/>
      <c r="V178" s="2052"/>
      <c r="W178" s="1572"/>
      <c r="X178" s="28">
        <f t="shared" si="24"/>
        <v>1</v>
      </c>
      <c r="Y178" s="28">
        <f t="shared" si="25"/>
        <v>1</v>
      </c>
      <c r="Z178" s="1572">
        <f t="shared" si="26"/>
        <v>60</v>
      </c>
      <c r="AA178" s="18" t="s">
        <v>1551</v>
      </c>
      <c r="AB178" s="18" t="s">
        <v>1552</v>
      </c>
      <c r="AC178" s="18"/>
    </row>
    <row r="179" spans="1:29" x14ac:dyDescent="0.4">
      <c r="A179" s="16">
        <v>161023</v>
      </c>
      <c r="B179" s="16">
        <v>45</v>
      </c>
      <c r="C179" s="16">
        <f t="shared" si="28"/>
        <v>225</v>
      </c>
      <c r="D179" s="378">
        <v>0</v>
      </c>
      <c r="E179" s="378">
        <v>0</v>
      </c>
      <c r="F179" s="378">
        <v>0</v>
      </c>
      <c r="G179" s="378">
        <v>0</v>
      </c>
      <c r="H179" s="378">
        <v>0</v>
      </c>
      <c r="I179" s="378">
        <v>0</v>
      </c>
      <c r="J179" s="26">
        <f t="shared" si="29"/>
        <v>0</v>
      </c>
      <c r="K179" s="26">
        <f t="shared" si="30"/>
        <v>0</v>
      </c>
      <c r="L179" s="378">
        <f t="shared" si="31"/>
        <v>0</v>
      </c>
      <c r="M179" s="16" t="s">
        <v>1634</v>
      </c>
      <c r="N179" s="16" t="s">
        <v>1635</v>
      </c>
      <c r="O179" s="16">
        <v>161023</v>
      </c>
      <c r="P179" s="18">
        <v>60</v>
      </c>
      <c r="Q179" s="18">
        <f t="shared" si="27"/>
        <v>60</v>
      </c>
      <c r="R179" s="1572">
        <v>0</v>
      </c>
      <c r="S179" s="1572"/>
      <c r="T179" s="2052" t="s">
        <v>1550</v>
      </c>
      <c r="U179" s="2052"/>
      <c r="V179" s="2052"/>
      <c r="W179" s="1572"/>
      <c r="X179" s="28">
        <f t="shared" si="24"/>
        <v>0</v>
      </c>
      <c r="Y179" s="28">
        <f t="shared" si="25"/>
        <v>0</v>
      </c>
      <c r="Z179" s="1572">
        <f t="shared" si="26"/>
        <v>0</v>
      </c>
      <c r="AA179" s="18" t="s">
        <v>1551</v>
      </c>
      <c r="AB179" s="18" t="s">
        <v>1552</v>
      </c>
      <c r="AC179" s="18"/>
    </row>
    <row r="180" spans="1:29" x14ac:dyDescent="0.4">
      <c r="A180" s="16">
        <v>161024</v>
      </c>
      <c r="B180" s="16">
        <v>60</v>
      </c>
      <c r="C180" s="16">
        <f t="shared" si="28"/>
        <v>300</v>
      </c>
      <c r="D180" s="1142">
        <v>0</v>
      </c>
      <c r="E180" s="1142">
        <v>0</v>
      </c>
      <c r="F180" s="1142">
        <v>0</v>
      </c>
      <c r="G180" s="1142">
        <v>0</v>
      </c>
      <c r="H180" s="1142">
        <v>0</v>
      </c>
      <c r="I180" s="1142">
        <v>0</v>
      </c>
      <c r="J180" s="1143">
        <f t="shared" si="29"/>
        <v>0</v>
      </c>
      <c r="K180" s="1143">
        <f t="shared" si="30"/>
        <v>0</v>
      </c>
      <c r="L180" s="1142">
        <f t="shared" si="31"/>
        <v>0</v>
      </c>
      <c r="M180" s="16" t="s">
        <v>1636</v>
      </c>
      <c r="N180" s="16" t="s">
        <v>1637</v>
      </c>
      <c r="O180" s="295">
        <v>161024</v>
      </c>
      <c r="P180" s="295">
        <v>60</v>
      </c>
      <c r="Q180" s="295">
        <f t="shared" si="27"/>
        <v>60</v>
      </c>
      <c r="R180" s="296">
        <v>1</v>
      </c>
      <c r="S180" s="296"/>
      <c r="T180" s="2051" t="s">
        <v>1550</v>
      </c>
      <c r="U180" s="2051"/>
      <c r="V180" s="2051"/>
      <c r="W180" s="296"/>
      <c r="X180" s="297">
        <f t="shared" si="24"/>
        <v>1</v>
      </c>
      <c r="Y180" s="297">
        <f t="shared" si="25"/>
        <v>1</v>
      </c>
      <c r="Z180" s="296">
        <f t="shared" si="26"/>
        <v>60</v>
      </c>
      <c r="AA180" s="295" t="s">
        <v>1551</v>
      </c>
      <c r="AB180" s="295" t="s">
        <v>1552</v>
      </c>
      <c r="AC180" s="295"/>
    </row>
    <row r="181" spans="1:29" x14ac:dyDescent="0.4">
      <c r="A181" s="16">
        <v>161025</v>
      </c>
      <c r="B181" s="16">
        <v>60</v>
      </c>
      <c r="C181" s="16">
        <f t="shared" si="28"/>
        <v>300</v>
      </c>
      <c r="D181" s="406">
        <v>0</v>
      </c>
      <c r="E181" s="406">
        <v>0</v>
      </c>
      <c r="F181" s="406">
        <v>0</v>
      </c>
      <c r="G181" s="406">
        <v>0</v>
      </c>
      <c r="H181" s="406">
        <v>0</v>
      </c>
      <c r="I181" s="406">
        <v>0</v>
      </c>
      <c r="J181" s="26">
        <f t="shared" si="29"/>
        <v>0</v>
      </c>
      <c r="K181" s="26">
        <f t="shared" si="30"/>
        <v>0</v>
      </c>
      <c r="L181" s="406">
        <f t="shared" si="31"/>
        <v>0</v>
      </c>
      <c r="M181" s="16" t="s">
        <v>1636</v>
      </c>
      <c r="N181" s="16" t="s">
        <v>1637</v>
      </c>
      <c r="O181" s="295">
        <v>161025</v>
      </c>
      <c r="P181" s="295">
        <v>60</v>
      </c>
      <c r="Q181" s="295">
        <f t="shared" si="27"/>
        <v>60</v>
      </c>
      <c r="R181" s="296">
        <v>1</v>
      </c>
      <c r="S181" s="296"/>
      <c r="T181" s="2051" t="s">
        <v>1550</v>
      </c>
      <c r="U181" s="2051"/>
      <c r="V181" s="2051"/>
      <c r="W181" s="296"/>
      <c r="X181" s="297">
        <f t="shared" si="24"/>
        <v>1</v>
      </c>
      <c r="Y181" s="297">
        <f t="shared" si="25"/>
        <v>1</v>
      </c>
      <c r="Z181" s="296">
        <f t="shared" si="26"/>
        <v>60</v>
      </c>
      <c r="AA181" s="295" t="s">
        <v>1551</v>
      </c>
      <c r="AB181" s="295" t="s">
        <v>1552</v>
      </c>
      <c r="AC181" s="295"/>
    </row>
    <row r="182" spans="1:29" x14ac:dyDescent="0.4">
      <c r="A182" s="322">
        <v>161026</v>
      </c>
      <c r="B182" s="322"/>
      <c r="C182" s="322">
        <f t="shared" si="28"/>
        <v>0</v>
      </c>
      <c r="D182" s="323">
        <v>1</v>
      </c>
      <c r="E182" s="323">
        <v>1</v>
      </c>
      <c r="F182" s="323">
        <v>1</v>
      </c>
      <c r="G182" s="323">
        <v>1</v>
      </c>
      <c r="H182" s="323">
        <v>1</v>
      </c>
      <c r="I182" s="323">
        <v>1</v>
      </c>
      <c r="J182" s="324">
        <f t="shared" si="29"/>
        <v>6</v>
      </c>
      <c r="K182" s="324">
        <f t="shared" si="30"/>
        <v>5</v>
      </c>
      <c r="L182" s="323">
        <f t="shared" si="31"/>
        <v>0</v>
      </c>
      <c r="M182" s="322" t="s">
        <v>1638</v>
      </c>
      <c r="N182" s="322"/>
      <c r="O182" s="295">
        <v>161026</v>
      </c>
      <c r="P182" s="295">
        <v>60</v>
      </c>
      <c r="Q182" s="295">
        <f t="shared" si="27"/>
        <v>60</v>
      </c>
      <c r="R182" s="296">
        <v>1</v>
      </c>
      <c r="S182" s="296"/>
      <c r="T182" s="2051" t="s">
        <v>1550</v>
      </c>
      <c r="U182" s="2051"/>
      <c r="V182" s="2051"/>
      <c r="W182" s="296"/>
      <c r="X182" s="297">
        <f t="shared" si="24"/>
        <v>1</v>
      </c>
      <c r="Y182" s="297">
        <f t="shared" si="25"/>
        <v>1</v>
      </c>
      <c r="Z182" s="296">
        <f t="shared" si="26"/>
        <v>60</v>
      </c>
      <c r="AA182" s="295" t="s">
        <v>1551</v>
      </c>
      <c r="AB182" s="295" t="s">
        <v>1552</v>
      </c>
      <c r="AC182" s="295"/>
    </row>
    <row r="183" spans="1:29" x14ac:dyDescent="0.4">
      <c r="A183" s="16">
        <v>161027</v>
      </c>
      <c r="B183" s="16">
        <v>50</v>
      </c>
      <c r="C183" s="16">
        <f t="shared" si="28"/>
        <v>250</v>
      </c>
      <c r="D183" s="415">
        <v>0</v>
      </c>
      <c r="E183" s="415">
        <v>0</v>
      </c>
      <c r="F183" s="415">
        <v>0</v>
      </c>
      <c r="G183" s="415">
        <v>0</v>
      </c>
      <c r="H183" s="415">
        <v>0</v>
      </c>
      <c r="I183" s="415">
        <v>0</v>
      </c>
      <c r="J183" s="26">
        <f t="shared" si="29"/>
        <v>0</v>
      </c>
      <c r="K183" s="26">
        <f t="shared" si="30"/>
        <v>0</v>
      </c>
      <c r="L183" s="415">
        <f t="shared" si="31"/>
        <v>0</v>
      </c>
      <c r="M183" s="16" t="s">
        <v>1639</v>
      </c>
      <c r="N183" s="16" t="s">
        <v>1640</v>
      </c>
      <c r="O183" s="295">
        <v>161027</v>
      </c>
      <c r="P183" s="295">
        <v>60</v>
      </c>
      <c r="Q183" s="295">
        <f t="shared" si="27"/>
        <v>60</v>
      </c>
      <c r="R183" s="296">
        <v>1</v>
      </c>
      <c r="S183" s="296"/>
      <c r="T183" s="2051" t="s">
        <v>1550</v>
      </c>
      <c r="U183" s="2051"/>
      <c r="V183" s="2051"/>
      <c r="W183" s="296"/>
      <c r="X183" s="297">
        <f t="shared" si="24"/>
        <v>1</v>
      </c>
      <c r="Y183" s="297">
        <f t="shared" si="25"/>
        <v>1</v>
      </c>
      <c r="Z183" s="296">
        <f t="shared" si="26"/>
        <v>60</v>
      </c>
      <c r="AA183" s="295" t="s">
        <v>1551</v>
      </c>
      <c r="AB183" s="295" t="s">
        <v>1552</v>
      </c>
      <c r="AC183" s="295"/>
    </row>
    <row r="184" spans="1:29" x14ac:dyDescent="0.4">
      <c r="A184" s="16">
        <v>161028</v>
      </c>
      <c r="B184" s="16">
        <v>45</v>
      </c>
      <c r="C184" s="16">
        <f t="shared" si="28"/>
        <v>225</v>
      </c>
      <c r="D184" s="476">
        <v>0</v>
      </c>
      <c r="E184" s="476">
        <v>0</v>
      </c>
      <c r="F184" s="476">
        <v>0</v>
      </c>
      <c r="G184" s="476">
        <v>0</v>
      </c>
      <c r="H184" s="476">
        <v>0</v>
      </c>
      <c r="I184" s="476">
        <v>0</v>
      </c>
      <c r="J184" s="26">
        <f t="shared" si="29"/>
        <v>0</v>
      </c>
      <c r="K184" s="26">
        <f t="shared" si="30"/>
        <v>0</v>
      </c>
      <c r="L184" s="476">
        <f t="shared" si="31"/>
        <v>0</v>
      </c>
      <c r="M184" s="16" t="s">
        <v>1641</v>
      </c>
      <c r="N184" s="16" t="s">
        <v>1642</v>
      </c>
      <c r="O184" s="36">
        <v>161028</v>
      </c>
      <c r="P184" s="36">
        <v>60</v>
      </c>
      <c r="Q184" s="36">
        <f t="shared" si="27"/>
        <v>60</v>
      </c>
      <c r="R184" s="1843">
        <v>0</v>
      </c>
      <c r="S184" s="1843"/>
      <c r="T184" s="2040" t="s">
        <v>1550</v>
      </c>
      <c r="U184" s="2040"/>
      <c r="V184" s="2040"/>
      <c r="W184" s="1843"/>
      <c r="X184" s="1844">
        <f t="shared" si="24"/>
        <v>0</v>
      </c>
      <c r="Y184" s="1844">
        <f t="shared" si="25"/>
        <v>0</v>
      </c>
      <c r="Z184" s="1843">
        <f t="shared" si="26"/>
        <v>0</v>
      </c>
      <c r="AA184" s="36" t="s">
        <v>1551</v>
      </c>
      <c r="AB184" s="36" t="s">
        <v>1552</v>
      </c>
      <c r="AC184" s="36"/>
    </row>
    <row r="185" spans="1:29" x14ac:dyDescent="0.4">
      <c r="A185" s="16">
        <v>161029</v>
      </c>
      <c r="B185" s="16">
        <v>45</v>
      </c>
      <c r="C185" s="16">
        <f t="shared" si="28"/>
        <v>225</v>
      </c>
      <c r="D185" s="356">
        <v>0</v>
      </c>
      <c r="E185" s="356">
        <v>0</v>
      </c>
      <c r="F185" s="356">
        <v>0</v>
      </c>
      <c r="G185" s="356">
        <v>0</v>
      </c>
      <c r="H185" s="356">
        <v>0</v>
      </c>
      <c r="I185" s="356">
        <v>0</v>
      </c>
      <c r="J185" s="26">
        <f t="shared" si="29"/>
        <v>0</v>
      </c>
      <c r="K185" s="26">
        <f t="shared" si="30"/>
        <v>0</v>
      </c>
      <c r="L185" s="356">
        <f t="shared" si="31"/>
        <v>0</v>
      </c>
      <c r="M185" s="16" t="s">
        <v>1647</v>
      </c>
      <c r="N185" s="16" t="s">
        <v>1648</v>
      </c>
      <c r="O185" s="295">
        <v>161029</v>
      </c>
      <c r="P185" s="295">
        <v>60</v>
      </c>
      <c r="Q185" s="295">
        <f t="shared" si="27"/>
        <v>60</v>
      </c>
      <c r="R185" s="296">
        <v>1</v>
      </c>
      <c r="S185" s="296"/>
      <c r="T185" s="2051" t="s">
        <v>1550</v>
      </c>
      <c r="U185" s="2051"/>
      <c r="V185" s="2051"/>
      <c r="W185" s="296"/>
      <c r="X185" s="297">
        <f t="shared" si="24"/>
        <v>1</v>
      </c>
      <c r="Y185" s="297">
        <f t="shared" si="25"/>
        <v>1</v>
      </c>
      <c r="Z185" s="296">
        <f t="shared" si="26"/>
        <v>60</v>
      </c>
      <c r="AA185" s="295" t="s">
        <v>1551</v>
      </c>
      <c r="AB185" s="295" t="s">
        <v>1552</v>
      </c>
      <c r="AC185" s="295"/>
    </row>
    <row r="186" spans="1:29" x14ac:dyDescent="0.4">
      <c r="A186" s="16">
        <v>161030</v>
      </c>
      <c r="B186" s="16">
        <v>60</v>
      </c>
      <c r="C186" s="16">
        <f t="shared" si="28"/>
        <v>300</v>
      </c>
      <c r="D186" s="456">
        <v>0</v>
      </c>
      <c r="E186" s="456">
        <v>0</v>
      </c>
      <c r="F186" s="456">
        <v>0</v>
      </c>
      <c r="G186" s="456">
        <v>0</v>
      </c>
      <c r="H186" s="456">
        <v>0</v>
      </c>
      <c r="I186" s="456">
        <v>0</v>
      </c>
      <c r="J186" s="26">
        <f t="shared" si="29"/>
        <v>0</v>
      </c>
      <c r="K186" s="26">
        <f t="shared" si="30"/>
        <v>0</v>
      </c>
      <c r="L186" s="456">
        <f t="shared" si="31"/>
        <v>0</v>
      </c>
      <c r="M186" s="16" t="s">
        <v>1643</v>
      </c>
      <c r="N186" s="16" t="s">
        <v>1644</v>
      </c>
      <c r="O186" s="18">
        <v>161030</v>
      </c>
      <c r="P186" s="18">
        <v>60</v>
      </c>
      <c r="Q186" s="18">
        <f t="shared" si="27"/>
        <v>60</v>
      </c>
      <c r="R186" s="1695">
        <v>0</v>
      </c>
      <c r="S186" s="1695"/>
      <c r="T186" s="2052" t="s">
        <v>1550</v>
      </c>
      <c r="U186" s="2052"/>
      <c r="V186" s="2052"/>
      <c r="W186" s="1695"/>
      <c r="X186" s="28">
        <f t="shared" si="24"/>
        <v>0</v>
      </c>
      <c r="Y186" s="28">
        <f t="shared" si="25"/>
        <v>0</v>
      </c>
      <c r="Z186" s="1695">
        <f t="shared" si="26"/>
        <v>0</v>
      </c>
      <c r="AA186" s="18" t="s">
        <v>1551</v>
      </c>
      <c r="AB186" s="18" t="s">
        <v>1552</v>
      </c>
      <c r="AC186" s="18"/>
    </row>
    <row r="187" spans="1:29" x14ac:dyDescent="0.4">
      <c r="A187" s="16">
        <v>161031</v>
      </c>
      <c r="B187" s="16">
        <v>45</v>
      </c>
      <c r="C187" s="16">
        <f t="shared" si="28"/>
        <v>225</v>
      </c>
      <c r="D187" s="568">
        <v>0</v>
      </c>
      <c r="E187" s="568">
        <v>0</v>
      </c>
      <c r="F187" s="568">
        <v>0</v>
      </c>
      <c r="G187" s="568">
        <v>0</v>
      </c>
      <c r="H187" s="568">
        <v>0</v>
      </c>
      <c r="I187" s="568">
        <v>0</v>
      </c>
      <c r="J187" s="569">
        <f t="shared" si="29"/>
        <v>0</v>
      </c>
      <c r="K187" s="569">
        <f t="shared" si="30"/>
        <v>0</v>
      </c>
      <c r="L187" s="568">
        <f t="shared" si="31"/>
        <v>0</v>
      </c>
      <c r="M187" s="16" t="s">
        <v>1643</v>
      </c>
      <c r="N187" s="16" t="s">
        <v>1644</v>
      </c>
      <c r="O187" s="18">
        <v>161031</v>
      </c>
      <c r="P187" s="18">
        <v>60</v>
      </c>
      <c r="Q187" s="18">
        <f t="shared" si="27"/>
        <v>60</v>
      </c>
      <c r="R187" s="1695">
        <v>0</v>
      </c>
      <c r="S187" s="1695"/>
      <c r="T187" s="2052" t="s">
        <v>1550</v>
      </c>
      <c r="U187" s="2052"/>
      <c r="V187" s="2052"/>
      <c r="W187" s="1695"/>
      <c r="X187" s="28">
        <f t="shared" si="24"/>
        <v>0</v>
      </c>
      <c r="Y187" s="28">
        <f t="shared" si="25"/>
        <v>0</v>
      </c>
      <c r="Z187" s="1695">
        <f t="shared" si="26"/>
        <v>0</v>
      </c>
      <c r="AA187" s="18" t="s">
        <v>1551</v>
      </c>
      <c r="AB187" s="18" t="s">
        <v>1552</v>
      </c>
      <c r="AC187" s="18"/>
    </row>
    <row r="188" spans="1:29" x14ac:dyDescent="0.4">
      <c r="A188" s="16">
        <v>161032</v>
      </c>
      <c r="B188" s="16">
        <v>45</v>
      </c>
      <c r="C188" s="16">
        <f t="shared" si="28"/>
        <v>225</v>
      </c>
      <c r="D188" s="407">
        <v>0</v>
      </c>
      <c r="E188" s="407">
        <v>0</v>
      </c>
      <c r="F188" s="407">
        <v>0</v>
      </c>
      <c r="G188" s="407">
        <v>0</v>
      </c>
      <c r="H188" s="407">
        <v>0</v>
      </c>
      <c r="I188" s="407">
        <v>0</v>
      </c>
      <c r="J188" s="26">
        <f t="shared" si="29"/>
        <v>0</v>
      </c>
      <c r="K188" s="26">
        <f t="shared" si="30"/>
        <v>0</v>
      </c>
      <c r="L188" s="407">
        <f t="shared" si="31"/>
        <v>0</v>
      </c>
      <c r="M188" s="16" t="s">
        <v>1645</v>
      </c>
      <c r="N188" s="16" t="s">
        <v>1646</v>
      </c>
      <c r="O188" s="295">
        <v>161032</v>
      </c>
      <c r="P188" s="295">
        <v>60</v>
      </c>
      <c r="Q188" s="295">
        <f t="shared" si="27"/>
        <v>60</v>
      </c>
      <c r="R188" s="296">
        <v>1</v>
      </c>
      <c r="S188" s="296"/>
      <c r="T188" s="2051" t="s">
        <v>1550</v>
      </c>
      <c r="U188" s="2051"/>
      <c r="V188" s="2051"/>
      <c r="W188" s="296"/>
      <c r="X188" s="297">
        <f t="shared" si="24"/>
        <v>1</v>
      </c>
      <c r="Y188" s="297">
        <f t="shared" si="25"/>
        <v>1</v>
      </c>
      <c r="Z188" s="296">
        <f t="shared" si="26"/>
        <v>60</v>
      </c>
      <c r="AA188" s="295" t="s">
        <v>1551</v>
      </c>
      <c r="AB188" s="295" t="s">
        <v>1552</v>
      </c>
      <c r="AC188" s="295"/>
    </row>
    <row r="189" spans="1:29" x14ac:dyDescent="0.4">
      <c r="A189" s="16">
        <v>161033</v>
      </c>
      <c r="B189" s="16">
        <v>45</v>
      </c>
      <c r="C189" s="16">
        <f t="shared" si="28"/>
        <v>225</v>
      </c>
      <c r="D189" s="578">
        <v>0</v>
      </c>
      <c r="E189" s="578">
        <v>0</v>
      </c>
      <c r="F189" s="578">
        <v>0</v>
      </c>
      <c r="G189" s="578">
        <v>0</v>
      </c>
      <c r="H189" s="578">
        <v>0</v>
      </c>
      <c r="I189" s="578">
        <v>0</v>
      </c>
      <c r="J189" s="579">
        <f t="shared" si="29"/>
        <v>0</v>
      </c>
      <c r="K189" s="579">
        <f t="shared" si="30"/>
        <v>0</v>
      </c>
      <c r="L189" s="578">
        <f t="shared" si="31"/>
        <v>0</v>
      </c>
      <c r="M189" s="16" t="s">
        <v>1645</v>
      </c>
      <c r="N189" s="16" t="s">
        <v>1646</v>
      </c>
      <c r="O189" s="295">
        <v>161033</v>
      </c>
      <c r="P189" s="295">
        <v>60</v>
      </c>
      <c r="Q189" s="295">
        <f t="shared" si="27"/>
        <v>60</v>
      </c>
      <c r="R189" s="296">
        <v>1</v>
      </c>
      <c r="S189" s="296"/>
      <c r="T189" s="2051" t="s">
        <v>1550</v>
      </c>
      <c r="U189" s="2051"/>
      <c r="V189" s="2051"/>
      <c r="W189" s="296"/>
      <c r="X189" s="297">
        <f t="shared" si="24"/>
        <v>1</v>
      </c>
      <c r="Y189" s="297">
        <f t="shared" si="25"/>
        <v>1</v>
      </c>
      <c r="Z189" s="296">
        <f t="shared" si="26"/>
        <v>60</v>
      </c>
      <c r="AA189" s="295" t="s">
        <v>1551</v>
      </c>
      <c r="AB189" s="295" t="s">
        <v>1552</v>
      </c>
      <c r="AC189" s="295"/>
    </row>
    <row r="190" spans="1:29" x14ac:dyDescent="0.4">
      <c r="A190" s="16">
        <v>161034</v>
      </c>
      <c r="B190" s="16">
        <v>45</v>
      </c>
      <c r="C190" s="16">
        <f t="shared" si="28"/>
        <v>225</v>
      </c>
      <c r="D190" s="613">
        <v>0</v>
      </c>
      <c r="E190" s="613">
        <v>0</v>
      </c>
      <c r="F190" s="613">
        <v>0</v>
      </c>
      <c r="G190" s="613">
        <v>0</v>
      </c>
      <c r="H190" s="613">
        <v>0</v>
      </c>
      <c r="I190" s="613">
        <v>0</v>
      </c>
      <c r="J190" s="614">
        <f t="shared" si="29"/>
        <v>0</v>
      </c>
      <c r="K190" s="614">
        <f t="shared" si="30"/>
        <v>0</v>
      </c>
      <c r="L190" s="613">
        <f t="shared" si="31"/>
        <v>0</v>
      </c>
      <c r="M190" s="16" t="s">
        <v>1645</v>
      </c>
      <c r="N190" s="16" t="s">
        <v>1646</v>
      </c>
      <c r="O190" s="295">
        <v>161034</v>
      </c>
      <c r="P190" s="295">
        <v>60</v>
      </c>
      <c r="Q190" s="295">
        <f t="shared" si="27"/>
        <v>60</v>
      </c>
      <c r="R190" s="296">
        <v>1</v>
      </c>
      <c r="S190" s="296"/>
      <c r="T190" s="2051" t="s">
        <v>1550</v>
      </c>
      <c r="U190" s="2051"/>
      <c r="V190" s="2051"/>
      <c r="W190" s="296"/>
      <c r="X190" s="297">
        <f t="shared" si="24"/>
        <v>1</v>
      </c>
      <c r="Y190" s="297">
        <f t="shared" si="25"/>
        <v>1</v>
      </c>
      <c r="Z190" s="296">
        <f t="shared" si="26"/>
        <v>60</v>
      </c>
      <c r="AA190" s="295" t="s">
        <v>1551</v>
      </c>
      <c r="AB190" s="295" t="s">
        <v>1552</v>
      </c>
      <c r="AC190" s="295"/>
    </row>
    <row r="191" spans="1:29" x14ac:dyDescent="0.4">
      <c r="A191" s="16">
        <v>161035</v>
      </c>
      <c r="B191" s="16">
        <v>45</v>
      </c>
      <c r="C191" s="16">
        <f t="shared" si="28"/>
        <v>225</v>
      </c>
      <c r="D191" s="358">
        <v>0</v>
      </c>
      <c r="E191" s="358">
        <v>0</v>
      </c>
      <c r="F191" s="358">
        <v>0</v>
      </c>
      <c r="G191" s="358">
        <v>0</v>
      </c>
      <c r="H191" s="358">
        <v>0</v>
      </c>
      <c r="I191" s="358">
        <v>0</v>
      </c>
      <c r="J191" s="26">
        <f t="shared" si="29"/>
        <v>0</v>
      </c>
      <c r="K191" s="26">
        <f t="shared" si="30"/>
        <v>0</v>
      </c>
      <c r="L191" s="358">
        <f t="shared" si="31"/>
        <v>0</v>
      </c>
      <c r="M191" s="16" t="s">
        <v>1649</v>
      </c>
      <c r="N191" s="16" t="s">
        <v>1650</v>
      </c>
      <c r="O191" s="295">
        <v>161035</v>
      </c>
      <c r="P191" s="295">
        <v>60</v>
      </c>
      <c r="Q191" s="295">
        <f t="shared" si="27"/>
        <v>60</v>
      </c>
      <c r="R191" s="296">
        <v>1</v>
      </c>
      <c r="S191" s="296"/>
      <c r="T191" s="2051" t="s">
        <v>1550</v>
      </c>
      <c r="U191" s="2051"/>
      <c r="V191" s="2051"/>
      <c r="W191" s="296"/>
      <c r="X191" s="297">
        <f t="shared" si="24"/>
        <v>1</v>
      </c>
      <c r="Y191" s="297">
        <f t="shared" si="25"/>
        <v>1</v>
      </c>
      <c r="Z191" s="296">
        <f t="shared" si="26"/>
        <v>60</v>
      </c>
      <c r="AA191" s="295" t="s">
        <v>1551</v>
      </c>
      <c r="AB191" s="295" t="s">
        <v>1552</v>
      </c>
      <c r="AC191" s="295"/>
    </row>
    <row r="192" spans="1:29" x14ac:dyDescent="0.4">
      <c r="A192" s="16">
        <v>161036</v>
      </c>
      <c r="B192" s="16">
        <v>45</v>
      </c>
      <c r="C192" s="16">
        <f t="shared" si="28"/>
        <v>225</v>
      </c>
      <c r="D192" s="639">
        <v>0</v>
      </c>
      <c r="E192" s="639">
        <v>0</v>
      </c>
      <c r="F192" s="639">
        <v>0</v>
      </c>
      <c r="G192" s="639">
        <v>0</v>
      </c>
      <c r="H192" s="639">
        <v>0</v>
      </c>
      <c r="I192" s="639">
        <v>0</v>
      </c>
      <c r="J192" s="640">
        <f t="shared" si="29"/>
        <v>0</v>
      </c>
      <c r="K192" s="640">
        <f t="shared" si="30"/>
        <v>0</v>
      </c>
      <c r="L192" s="639">
        <f t="shared" si="31"/>
        <v>0</v>
      </c>
      <c r="M192" s="16" t="s">
        <v>1653</v>
      </c>
      <c r="N192" s="16" t="s">
        <v>1654</v>
      </c>
      <c r="O192" s="295">
        <v>161036</v>
      </c>
      <c r="P192" s="295">
        <v>60</v>
      </c>
      <c r="Q192" s="295">
        <f t="shared" si="27"/>
        <v>60</v>
      </c>
      <c r="R192" s="296">
        <v>1</v>
      </c>
      <c r="S192" s="296"/>
      <c r="T192" s="2051" t="s">
        <v>1550</v>
      </c>
      <c r="U192" s="2051"/>
      <c r="V192" s="2051"/>
      <c r="W192" s="296"/>
      <c r="X192" s="297">
        <f t="shared" si="24"/>
        <v>1</v>
      </c>
      <c r="Y192" s="297">
        <f t="shared" si="25"/>
        <v>1</v>
      </c>
      <c r="Z192" s="296">
        <f t="shared" si="26"/>
        <v>60</v>
      </c>
      <c r="AA192" s="295" t="s">
        <v>1551</v>
      </c>
      <c r="AB192" s="295" t="s">
        <v>1552</v>
      </c>
      <c r="AC192" s="295"/>
    </row>
    <row r="193" spans="1:29" x14ac:dyDescent="0.4">
      <c r="A193" s="1">
        <v>161037</v>
      </c>
      <c r="B193" s="1">
        <v>90</v>
      </c>
      <c r="C193" s="1">
        <f t="shared" si="28"/>
        <v>450</v>
      </c>
      <c r="D193" s="930">
        <v>1</v>
      </c>
      <c r="E193" s="930">
        <v>1</v>
      </c>
      <c r="F193" s="930">
        <v>1</v>
      </c>
      <c r="G193" s="930">
        <v>1</v>
      </c>
      <c r="H193" s="930">
        <v>1</v>
      </c>
      <c r="I193" s="930">
        <v>1</v>
      </c>
      <c r="J193" s="140">
        <f t="shared" si="29"/>
        <v>6</v>
      </c>
      <c r="K193" s="140">
        <f t="shared" si="30"/>
        <v>5</v>
      </c>
      <c r="L193" s="930">
        <f t="shared" si="31"/>
        <v>450</v>
      </c>
      <c r="M193" s="1" t="s">
        <v>1853</v>
      </c>
      <c r="N193" s="1" t="s">
        <v>1854</v>
      </c>
      <c r="O193" s="295">
        <v>161037</v>
      </c>
      <c r="P193" s="295">
        <v>60</v>
      </c>
      <c r="Q193" s="295">
        <f t="shared" si="27"/>
        <v>60</v>
      </c>
      <c r="R193" s="296">
        <v>1</v>
      </c>
      <c r="S193" s="296"/>
      <c r="T193" s="2051" t="s">
        <v>1550</v>
      </c>
      <c r="U193" s="2051"/>
      <c r="V193" s="2051"/>
      <c r="W193" s="296"/>
      <c r="X193" s="297">
        <f t="shared" si="24"/>
        <v>1</v>
      </c>
      <c r="Y193" s="297">
        <f>SUM(R193:V193)</f>
        <v>1</v>
      </c>
      <c r="Z193" s="296">
        <f t="shared" si="26"/>
        <v>60</v>
      </c>
      <c r="AA193" s="295" t="s">
        <v>1551</v>
      </c>
      <c r="AB193" s="295" t="s">
        <v>1552</v>
      </c>
      <c r="AC193" s="295"/>
    </row>
    <row r="194" spans="1:29" x14ac:dyDescent="0.4">
      <c r="A194" s="16">
        <v>161038</v>
      </c>
      <c r="B194" s="16">
        <v>45</v>
      </c>
      <c r="C194" s="16">
        <f>SUM(B194*5)</f>
        <v>225</v>
      </c>
      <c r="D194" s="702">
        <v>0</v>
      </c>
      <c r="E194" s="702">
        <v>0</v>
      </c>
      <c r="F194" s="702">
        <v>0</v>
      </c>
      <c r="G194" s="702">
        <v>0</v>
      </c>
      <c r="H194" s="702">
        <v>0</v>
      </c>
      <c r="I194" s="702">
        <v>0</v>
      </c>
      <c r="J194" s="703">
        <f>SUM(D194:I194)</f>
        <v>0</v>
      </c>
      <c r="K194" s="703">
        <f>SUM(D194:H194)</f>
        <v>0</v>
      </c>
      <c r="L194" s="702">
        <f>B194*K194</f>
        <v>0</v>
      </c>
      <c r="M194" s="16" t="s">
        <v>1655</v>
      </c>
      <c r="N194" s="16" t="s">
        <v>1656</v>
      </c>
      <c r="O194" s="18">
        <v>161038</v>
      </c>
      <c r="P194" s="18">
        <v>60</v>
      </c>
      <c r="Q194" s="18">
        <f t="shared" si="27"/>
        <v>60</v>
      </c>
      <c r="R194" s="1572">
        <v>0</v>
      </c>
      <c r="S194" s="1572"/>
      <c r="T194" s="2052" t="s">
        <v>1550</v>
      </c>
      <c r="U194" s="2052"/>
      <c r="V194" s="2052"/>
      <c r="W194" s="1572"/>
      <c r="X194" s="28">
        <f t="shared" si="24"/>
        <v>0</v>
      </c>
      <c r="Y194" s="28">
        <f t="shared" si="25"/>
        <v>0</v>
      </c>
      <c r="Z194" s="1572">
        <f t="shared" si="26"/>
        <v>0</v>
      </c>
      <c r="AA194" s="18" t="s">
        <v>1551</v>
      </c>
      <c r="AB194" s="18" t="s">
        <v>1552</v>
      </c>
      <c r="AC194" s="18"/>
    </row>
    <row r="195" spans="1:29" x14ac:dyDescent="0.4">
      <c r="A195" s="18">
        <v>161039</v>
      </c>
      <c r="B195" s="18">
        <v>60</v>
      </c>
      <c r="C195" s="18">
        <f t="shared" si="28"/>
        <v>300</v>
      </c>
      <c r="D195" s="19">
        <v>0</v>
      </c>
      <c r="E195" s="19">
        <v>0</v>
      </c>
      <c r="F195" s="19">
        <v>0</v>
      </c>
      <c r="G195" s="19">
        <v>0</v>
      </c>
      <c r="H195" s="19">
        <v>0</v>
      </c>
      <c r="I195" s="19">
        <v>0</v>
      </c>
      <c r="J195" s="28">
        <f t="shared" si="29"/>
        <v>0</v>
      </c>
      <c r="K195" s="28">
        <f t="shared" si="30"/>
        <v>0</v>
      </c>
      <c r="L195" s="19">
        <f t="shared" si="31"/>
        <v>0</v>
      </c>
      <c r="M195" s="18" t="s">
        <v>1657</v>
      </c>
      <c r="N195" s="18" t="s">
        <v>1658</v>
      </c>
      <c r="O195" s="295">
        <v>161039</v>
      </c>
      <c r="P195" s="295">
        <v>60</v>
      </c>
      <c r="Q195" s="295">
        <f t="shared" si="27"/>
        <v>60</v>
      </c>
      <c r="R195" s="296">
        <v>1</v>
      </c>
      <c r="S195" s="296"/>
      <c r="T195" s="2051" t="s">
        <v>1550</v>
      </c>
      <c r="U195" s="2051"/>
      <c r="V195" s="2051"/>
      <c r="W195" s="296"/>
      <c r="X195" s="297">
        <f t="shared" si="24"/>
        <v>1</v>
      </c>
      <c r="Y195" s="297">
        <f t="shared" si="25"/>
        <v>1</v>
      </c>
      <c r="Z195" s="296">
        <f t="shared" si="26"/>
        <v>60</v>
      </c>
      <c r="AA195" s="295" t="s">
        <v>1551</v>
      </c>
      <c r="AB195" s="295" t="s">
        <v>1552</v>
      </c>
      <c r="AC195" s="295"/>
    </row>
    <row r="196" spans="1:29" x14ac:dyDescent="0.4">
      <c r="A196" s="18">
        <v>161040</v>
      </c>
      <c r="B196" s="18">
        <v>60</v>
      </c>
      <c r="C196" s="18">
        <f t="shared" si="28"/>
        <v>300</v>
      </c>
      <c r="D196" s="19">
        <v>0</v>
      </c>
      <c r="E196" s="19">
        <v>0</v>
      </c>
      <c r="F196" s="19">
        <v>0</v>
      </c>
      <c r="G196" s="19">
        <v>0</v>
      </c>
      <c r="H196" s="19">
        <v>0</v>
      </c>
      <c r="I196" s="19">
        <v>0</v>
      </c>
      <c r="J196" s="28">
        <f t="shared" si="29"/>
        <v>0</v>
      </c>
      <c r="K196" s="28">
        <f t="shared" si="30"/>
        <v>0</v>
      </c>
      <c r="L196" s="19">
        <f t="shared" si="31"/>
        <v>0</v>
      </c>
      <c r="M196" s="18" t="s">
        <v>1659</v>
      </c>
      <c r="N196" s="18" t="s">
        <v>1660</v>
      </c>
      <c r="O196" s="295">
        <v>161040</v>
      </c>
      <c r="P196" s="295">
        <v>60</v>
      </c>
      <c r="Q196" s="295">
        <f t="shared" si="27"/>
        <v>60</v>
      </c>
      <c r="R196" s="296">
        <v>1</v>
      </c>
      <c r="S196" s="296"/>
      <c r="T196" s="2051" t="s">
        <v>1550</v>
      </c>
      <c r="U196" s="2051"/>
      <c r="V196" s="2051"/>
      <c r="W196" s="296"/>
      <c r="X196" s="297">
        <f t="shared" si="24"/>
        <v>1</v>
      </c>
      <c r="Y196" s="297">
        <f t="shared" si="25"/>
        <v>1</v>
      </c>
      <c r="Z196" s="296">
        <f t="shared" si="26"/>
        <v>60</v>
      </c>
      <c r="AA196" s="295" t="s">
        <v>1551</v>
      </c>
      <c r="AB196" s="295" t="s">
        <v>1552</v>
      </c>
      <c r="AC196" s="295"/>
    </row>
    <row r="197" spans="1:29" x14ac:dyDescent="0.4">
      <c r="A197" s="16">
        <v>161041</v>
      </c>
      <c r="B197" s="16">
        <v>45</v>
      </c>
      <c r="C197" s="16">
        <f t="shared" si="28"/>
        <v>225</v>
      </c>
      <c r="D197" s="425">
        <v>0</v>
      </c>
      <c r="E197" s="425">
        <v>0</v>
      </c>
      <c r="F197" s="425">
        <v>0</v>
      </c>
      <c r="G197" s="425">
        <v>0</v>
      </c>
      <c r="H197" s="425">
        <v>0</v>
      </c>
      <c r="I197" s="425">
        <v>0</v>
      </c>
      <c r="J197" s="26">
        <f t="shared" si="29"/>
        <v>0</v>
      </c>
      <c r="K197" s="26">
        <f t="shared" si="30"/>
        <v>0</v>
      </c>
      <c r="L197" s="425">
        <f t="shared" si="31"/>
        <v>0</v>
      </c>
      <c r="M197" s="16" t="s">
        <v>1659</v>
      </c>
      <c r="N197" s="16" t="s">
        <v>1660</v>
      </c>
      <c r="O197" s="295">
        <v>161041</v>
      </c>
      <c r="P197" s="295">
        <v>60</v>
      </c>
      <c r="Q197" s="295">
        <f t="shared" si="27"/>
        <v>60</v>
      </c>
      <c r="R197" s="296">
        <v>1</v>
      </c>
      <c r="S197" s="296"/>
      <c r="T197" s="2051" t="s">
        <v>1663</v>
      </c>
      <c r="U197" s="2051"/>
      <c r="V197" s="2051"/>
      <c r="W197" s="296"/>
      <c r="X197" s="297">
        <f t="shared" si="24"/>
        <v>1</v>
      </c>
      <c r="Y197" s="297">
        <f t="shared" si="25"/>
        <v>1</v>
      </c>
      <c r="Z197" s="296">
        <f t="shared" si="26"/>
        <v>60</v>
      </c>
      <c r="AA197" s="295" t="s">
        <v>1551</v>
      </c>
      <c r="AB197" s="295" t="s">
        <v>1552</v>
      </c>
      <c r="AC197" s="295"/>
    </row>
    <row r="198" spans="1:29" x14ac:dyDescent="0.4">
      <c r="A198" s="1">
        <v>161042</v>
      </c>
      <c r="B198" s="1">
        <v>45</v>
      </c>
      <c r="C198" s="1">
        <f t="shared" si="28"/>
        <v>225</v>
      </c>
      <c r="D198" s="930">
        <v>0</v>
      </c>
      <c r="E198" s="930">
        <v>0</v>
      </c>
      <c r="F198" s="930">
        <v>1</v>
      </c>
      <c r="G198" s="930">
        <v>1</v>
      </c>
      <c r="H198" s="930">
        <v>1</v>
      </c>
      <c r="I198" s="930">
        <v>1</v>
      </c>
      <c r="J198" s="140">
        <f t="shared" si="29"/>
        <v>4</v>
      </c>
      <c r="K198" s="140">
        <f t="shared" si="30"/>
        <v>3</v>
      </c>
      <c r="L198" s="930">
        <f t="shared" si="31"/>
        <v>135</v>
      </c>
      <c r="M198" s="1" t="s">
        <v>1661</v>
      </c>
      <c r="N198" s="1" t="s">
        <v>1662</v>
      </c>
      <c r="O198" s="295">
        <v>161042</v>
      </c>
      <c r="P198" s="295">
        <v>60</v>
      </c>
      <c r="Q198" s="295">
        <f t="shared" si="27"/>
        <v>60</v>
      </c>
      <c r="R198" s="296">
        <v>1</v>
      </c>
      <c r="S198" s="296"/>
      <c r="T198" s="2051" t="s">
        <v>1550</v>
      </c>
      <c r="U198" s="2051"/>
      <c r="V198" s="2051"/>
      <c r="W198" s="296"/>
      <c r="X198" s="297">
        <f t="shared" si="24"/>
        <v>1</v>
      </c>
      <c r="Y198" s="297">
        <f t="shared" si="25"/>
        <v>1</v>
      </c>
      <c r="Z198" s="296">
        <f t="shared" si="26"/>
        <v>60</v>
      </c>
      <c r="AA198" s="295" t="s">
        <v>1551</v>
      </c>
      <c r="AB198" s="295" t="s">
        <v>1552</v>
      </c>
      <c r="AC198" s="295"/>
    </row>
    <row r="199" spans="1:29" x14ac:dyDescent="0.4">
      <c r="A199" s="1">
        <v>161043</v>
      </c>
      <c r="B199" s="1">
        <v>45</v>
      </c>
      <c r="C199" s="1">
        <f t="shared" si="28"/>
        <v>225</v>
      </c>
      <c r="D199" s="930">
        <v>0</v>
      </c>
      <c r="E199" s="930">
        <v>0</v>
      </c>
      <c r="F199" s="930">
        <v>0</v>
      </c>
      <c r="G199" s="930">
        <v>1</v>
      </c>
      <c r="H199" s="930">
        <v>1</v>
      </c>
      <c r="I199" s="930">
        <v>1</v>
      </c>
      <c r="J199" s="140">
        <f t="shared" si="29"/>
        <v>3</v>
      </c>
      <c r="K199" s="140">
        <f t="shared" si="30"/>
        <v>2</v>
      </c>
      <c r="L199" s="930">
        <f t="shared" si="31"/>
        <v>90</v>
      </c>
      <c r="M199" s="1" t="s">
        <v>1661</v>
      </c>
      <c r="N199" s="1" t="s">
        <v>1662</v>
      </c>
      <c r="O199" s="295">
        <v>161043</v>
      </c>
      <c r="P199" s="295">
        <v>60</v>
      </c>
      <c r="Q199" s="295">
        <f t="shared" si="27"/>
        <v>60</v>
      </c>
      <c r="R199" s="296">
        <v>1</v>
      </c>
      <c r="S199" s="296"/>
      <c r="T199" s="2051" t="s">
        <v>2148</v>
      </c>
      <c r="U199" s="2051"/>
      <c r="V199" s="2051"/>
      <c r="W199" s="296"/>
      <c r="X199" s="297">
        <f t="shared" si="24"/>
        <v>1</v>
      </c>
      <c r="Y199" s="297">
        <f t="shared" si="25"/>
        <v>1</v>
      </c>
      <c r="Z199" s="296">
        <f t="shared" si="26"/>
        <v>60</v>
      </c>
      <c r="AA199" s="295" t="s">
        <v>1551</v>
      </c>
      <c r="AB199" s="295" t="s">
        <v>1552</v>
      </c>
      <c r="AC199" s="295"/>
    </row>
    <row r="200" spans="1:29" x14ac:dyDescent="0.4">
      <c r="A200" s="16">
        <v>161044</v>
      </c>
      <c r="B200" s="16">
        <v>60</v>
      </c>
      <c r="C200" s="16">
        <f t="shared" si="28"/>
        <v>300</v>
      </c>
      <c r="D200" s="549">
        <v>0</v>
      </c>
      <c r="E200" s="549">
        <v>0</v>
      </c>
      <c r="F200" s="549">
        <v>0</v>
      </c>
      <c r="G200" s="549">
        <v>0</v>
      </c>
      <c r="H200" s="549">
        <v>0</v>
      </c>
      <c r="I200" s="549">
        <v>0</v>
      </c>
      <c r="J200" s="550">
        <f t="shared" si="29"/>
        <v>0</v>
      </c>
      <c r="K200" s="550">
        <f t="shared" si="30"/>
        <v>0</v>
      </c>
      <c r="L200" s="549">
        <f t="shared" si="31"/>
        <v>0</v>
      </c>
      <c r="M200" s="16" t="s">
        <v>1661</v>
      </c>
      <c r="N200" s="16" t="s">
        <v>1662</v>
      </c>
      <c r="O200" s="36">
        <v>161044</v>
      </c>
      <c r="P200" s="36">
        <v>60</v>
      </c>
      <c r="Q200" s="36">
        <f t="shared" si="27"/>
        <v>60</v>
      </c>
      <c r="R200" s="1746">
        <v>0</v>
      </c>
      <c r="S200" s="1746"/>
      <c r="T200" s="2040" t="s">
        <v>1664</v>
      </c>
      <c r="U200" s="2040"/>
      <c r="V200" s="2040"/>
      <c r="W200" s="1746"/>
      <c r="X200" s="1747">
        <f t="shared" si="24"/>
        <v>0</v>
      </c>
      <c r="Y200" s="1747">
        <f t="shared" si="25"/>
        <v>0</v>
      </c>
      <c r="Z200" s="1746">
        <f t="shared" si="26"/>
        <v>0</v>
      </c>
      <c r="AA200" s="36" t="s">
        <v>1551</v>
      </c>
      <c r="AB200" s="36" t="s">
        <v>1552</v>
      </c>
      <c r="AC200" s="36"/>
    </row>
    <row r="201" spans="1:29" x14ac:dyDescent="0.4">
      <c r="A201" s="16">
        <v>161045</v>
      </c>
      <c r="B201" s="16">
        <v>50</v>
      </c>
      <c r="C201" s="16">
        <f t="shared" si="28"/>
        <v>250</v>
      </c>
      <c r="D201" s="514">
        <v>0</v>
      </c>
      <c r="E201" s="514">
        <v>0</v>
      </c>
      <c r="F201" s="514">
        <v>0</v>
      </c>
      <c r="G201" s="514">
        <v>0</v>
      </c>
      <c r="H201" s="514">
        <v>0</v>
      </c>
      <c r="I201" s="514">
        <v>0</v>
      </c>
      <c r="J201" s="515">
        <f t="shared" si="29"/>
        <v>0</v>
      </c>
      <c r="K201" s="515">
        <f t="shared" si="30"/>
        <v>0</v>
      </c>
      <c r="L201" s="514">
        <f t="shared" si="31"/>
        <v>0</v>
      </c>
      <c r="M201" s="16" t="s">
        <v>1661</v>
      </c>
      <c r="N201" s="16" t="s">
        <v>1662</v>
      </c>
      <c r="O201" s="295">
        <v>161045</v>
      </c>
      <c r="P201" s="295">
        <v>60</v>
      </c>
      <c r="Q201" s="295">
        <f t="shared" si="27"/>
        <v>60</v>
      </c>
      <c r="R201" s="296">
        <v>1</v>
      </c>
      <c r="S201" s="296"/>
      <c r="T201" s="2051" t="s">
        <v>1550</v>
      </c>
      <c r="U201" s="2051"/>
      <c r="V201" s="2051"/>
      <c r="W201" s="296"/>
      <c r="X201" s="297">
        <f t="shared" si="24"/>
        <v>1</v>
      </c>
      <c r="Y201" s="297">
        <f t="shared" si="25"/>
        <v>1</v>
      </c>
      <c r="Z201" s="296">
        <f t="shared" si="26"/>
        <v>60</v>
      </c>
      <c r="AA201" s="295" t="s">
        <v>1551</v>
      </c>
      <c r="AB201" s="295" t="s">
        <v>1552</v>
      </c>
      <c r="AC201" s="295"/>
    </row>
    <row r="202" spans="1:29" x14ac:dyDescent="0.4">
      <c r="A202" s="16">
        <v>161046</v>
      </c>
      <c r="B202" s="16">
        <v>45</v>
      </c>
      <c r="C202" s="16">
        <f t="shared" si="28"/>
        <v>225</v>
      </c>
      <c r="D202" s="526">
        <v>0</v>
      </c>
      <c r="E202" s="526">
        <v>0</v>
      </c>
      <c r="F202" s="526">
        <v>0</v>
      </c>
      <c r="G202" s="526">
        <v>0</v>
      </c>
      <c r="H202" s="526">
        <v>0</v>
      </c>
      <c r="I202" s="526">
        <v>0</v>
      </c>
      <c r="J202" s="527">
        <f t="shared" si="29"/>
        <v>0</v>
      </c>
      <c r="K202" s="527">
        <f t="shared" si="30"/>
        <v>0</v>
      </c>
      <c r="L202" s="526">
        <f t="shared" si="31"/>
        <v>0</v>
      </c>
      <c r="M202" s="16" t="s">
        <v>1665</v>
      </c>
      <c r="N202" s="16" t="s">
        <v>1666</v>
      </c>
      <c r="O202" s="295">
        <v>161046</v>
      </c>
      <c r="P202" s="295">
        <v>60</v>
      </c>
      <c r="Q202" s="295">
        <f t="shared" si="27"/>
        <v>60</v>
      </c>
      <c r="R202" s="296">
        <v>1</v>
      </c>
      <c r="S202" s="296"/>
      <c r="T202" s="2051" t="s">
        <v>1550</v>
      </c>
      <c r="U202" s="2051"/>
      <c r="V202" s="2051"/>
      <c r="W202" s="296"/>
      <c r="X202" s="297">
        <f t="shared" si="24"/>
        <v>1</v>
      </c>
      <c r="Y202" s="297">
        <f t="shared" si="25"/>
        <v>1</v>
      </c>
      <c r="Z202" s="296">
        <f t="shared" si="26"/>
        <v>60</v>
      </c>
      <c r="AA202" s="295" t="s">
        <v>1551</v>
      </c>
      <c r="AB202" s="295" t="s">
        <v>1552</v>
      </c>
      <c r="AC202" s="295"/>
    </row>
    <row r="203" spans="1:29" x14ac:dyDescent="0.4">
      <c r="A203" s="16">
        <v>161047</v>
      </c>
      <c r="B203" s="16">
        <v>45</v>
      </c>
      <c r="C203" s="16">
        <f t="shared" si="28"/>
        <v>225</v>
      </c>
      <c r="D203" s="454">
        <v>0</v>
      </c>
      <c r="E203" s="454">
        <v>0</v>
      </c>
      <c r="F203" s="454">
        <v>0</v>
      </c>
      <c r="G203" s="454">
        <v>0</v>
      </c>
      <c r="H203" s="454">
        <v>0</v>
      </c>
      <c r="I203" s="454">
        <v>0</v>
      </c>
      <c r="J203" s="26">
        <f t="shared" si="29"/>
        <v>0</v>
      </c>
      <c r="K203" s="26">
        <f t="shared" si="30"/>
        <v>0</v>
      </c>
      <c r="L203" s="454">
        <f t="shared" si="31"/>
        <v>0</v>
      </c>
      <c r="M203" s="16" t="s">
        <v>1665</v>
      </c>
      <c r="N203" s="16" t="s">
        <v>1666</v>
      </c>
      <c r="O203" s="295">
        <v>161047</v>
      </c>
      <c r="P203" s="295">
        <v>60</v>
      </c>
      <c r="Q203" s="295">
        <f t="shared" si="27"/>
        <v>60</v>
      </c>
      <c r="R203" s="296">
        <v>1</v>
      </c>
      <c r="S203" s="296"/>
      <c r="T203" s="2051" t="s">
        <v>1550</v>
      </c>
      <c r="U203" s="2051"/>
      <c r="V203" s="2051"/>
      <c r="W203" s="296"/>
      <c r="X203" s="297">
        <f t="shared" si="24"/>
        <v>1</v>
      </c>
      <c r="Y203" s="297">
        <f t="shared" si="25"/>
        <v>1</v>
      </c>
      <c r="Z203" s="296">
        <f t="shared" si="26"/>
        <v>60</v>
      </c>
      <c r="AA203" s="295" t="s">
        <v>1551</v>
      </c>
      <c r="AB203" s="295" t="s">
        <v>1552</v>
      </c>
      <c r="AC203" s="295"/>
    </row>
    <row r="204" spans="1:29" x14ac:dyDescent="0.4">
      <c r="A204" s="16">
        <v>161048</v>
      </c>
      <c r="B204" s="16">
        <v>45</v>
      </c>
      <c r="C204" s="16">
        <f t="shared" si="28"/>
        <v>225</v>
      </c>
      <c r="D204" s="428">
        <v>0</v>
      </c>
      <c r="E204" s="428">
        <v>0</v>
      </c>
      <c r="F204" s="428">
        <v>0</v>
      </c>
      <c r="G204" s="428">
        <v>0</v>
      </c>
      <c r="H204" s="428">
        <v>0</v>
      </c>
      <c r="I204" s="428">
        <v>0</v>
      </c>
      <c r="J204" s="26">
        <f t="shared" si="29"/>
        <v>0</v>
      </c>
      <c r="K204" s="26">
        <f t="shared" si="30"/>
        <v>0</v>
      </c>
      <c r="L204" s="428">
        <f t="shared" si="31"/>
        <v>0</v>
      </c>
      <c r="M204" s="16" t="s">
        <v>1669</v>
      </c>
      <c r="N204" s="16" t="s">
        <v>1670</v>
      </c>
      <c r="O204" s="18">
        <v>161048</v>
      </c>
      <c r="P204" s="18">
        <v>60</v>
      </c>
      <c r="Q204" s="18">
        <f t="shared" si="27"/>
        <v>60</v>
      </c>
      <c r="R204" s="19">
        <v>0</v>
      </c>
      <c r="S204" s="19"/>
      <c r="T204" s="2052" t="s">
        <v>1550</v>
      </c>
      <c r="U204" s="2052"/>
      <c r="V204" s="2052"/>
      <c r="W204" s="19"/>
      <c r="X204" s="28">
        <f t="shared" si="24"/>
        <v>0</v>
      </c>
      <c r="Y204" s="28">
        <f t="shared" si="25"/>
        <v>0</v>
      </c>
      <c r="Z204" s="19">
        <f t="shared" si="26"/>
        <v>0</v>
      </c>
      <c r="AA204" s="18" t="s">
        <v>1551</v>
      </c>
      <c r="AB204" s="18" t="s">
        <v>1552</v>
      </c>
      <c r="AC204" s="18"/>
    </row>
    <row r="205" spans="1:29" x14ac:dyDescent="0.4">
      <c r="A205" s="16">
        <v>161049</v>
      </c>
      <c r="B205" s="16">
        <v>60</v>
      </c>
      <c r="C205" s="16">
        <f t="shared" si="28"/>
        <v>300</v>
      </c>
      <c r="D205" s="597">
        <v>0</v>
      </c>
      <c r="E205" s="597">
        <v>0</v>
      </c>
      <c r="F205" s="597">
        <v>0</v>
      </c>
      <c r="G205" s="597">
        <v>0</v>
      </c>
      <c r="H205" s="597">
        <v>0</v>
      </c>
      <c r="I205" s="597">
        <v>0</v>
      </c>
      <c r="J205" s="598">
        <f t="shared" si="29"/>
        <v>0</v>
      </c>
      <c r="K205" s="598">
        <f t="shared" si="30"/>
        <v>0</v>
      </c>
      <c r="L205" s="597">
        <f t="shared" si="31"/>
        <v>0</v>
      </c>
      <c r="M205" s="16" t="s">
        <v>1673</v>
      </c>
      <c r="N205" s="16" t="s">
        <v>1674</v>
      </c>
      <c r="O205" s="295">
        <v>161049</v>
      </c>
      <c r="P205" s="295">
        <v>60</v>
      </c>
      <c r="Q205" s="295">
        <f t="shared" si="27"/>
        <v>60</v>
      </c>
      <c r="R205" s="296">
        <v>0</v>
      </c>
      <c r="S205" s="296"/>
      <c r="T205" s="2051" t="s">
        <v>1550</v>
      </c>
      <c r="U205" s="2051"/>
      <c r="V205" s="2051"/>
      <c r="W205" s="296"/>
      <c r="X205" s="297">
        <f t="shared" si="24"/>
        <v>0</v>
      </c>
      <c r="Y205" s="297">
        <f t="shared" si="25"/>
        <v>0</v>
      </c>
      <c r="Z205" s="296">
        <f t="shared" si="26"/>
        <v>0</v>
      </c>
      <c r="AA205" s="295" t="s">
        <v>1551</v>
      </c>
      <c r="AB205" s="295" t="s">
        <v>1552</v>
      </c>
      <c r="AC205" s="295"/>
    </row>
    <row r="206" spans="1:29" x14ac:dyDescent="0.4">
      <c r="A206" s="16">
        <v>161050</v>
      </c>
      <c r="B206" s="16">
        <v>50</v>
      </c>
      <c r="C206" s="16">
        <f t="shared" ref="C206:C235" si="32">SUM(B206*5)</f>
        <v>250</v>
      </c>
      <c r="D206" s="432">
        <v>0</v>
      </c>
      <c r="E206" s="432">
        <v>0</v>
      </c>
      <c r="F206" s="432">
        <v>0</v>
      </c>
      <c r="G206" s="432">
        <v>0</v>
      </c>
      <c r="H206" s="432">
        <v>0</v>
      </c>
      <c r="I206" s="432">
        <v>0</v>
      </c>
      <c r="J206" s="26">
        <f t="shared" ref="J206:J236" si="33">SUM(D206:I206)</f>
        <v>0</v>
      </c>
      <c r="K206" s="26">
        <f t="shared" ref="K206:K236" si="34">SUM(D206:H206)</f>
        <v>0</v>
      </c>
      <c r="L206" s="432">
        <f t="shared" ref="L206:L236" si="35">B206*K206</f>
        <v>0</v>
      </c>
      <c r="M206" s="16" t="s">
        <v>1667</v>
      </c>
      <c r="N206" s="16" t="s">
        <v>1668</v>
      </c>
    </row>
    <row r="207" spans="1:29" x14ac:dyDescent="0.4">
      <c r="A207" s="16">
        <v>161051</v>
      </c>
      <c r="B207" s="16">
        <v>45</v>
      </c>
      <c r="C207" s="16">
        <f t="shared" si="32"/>
        <v>225</v>
      </c>
      <c r="D207" s="493">
        <v>0</v>
      </c>
      <c r="E207" s="493">
        <v>0</v>
      </c>
      <c r="F207" s="493">
        <v>0</v>
      </c>
      <c r="G207" s="493">
        <v>0</v>
      </c>
      <c r="H207" s="493">
        <v>0</v>
      </c>
      <c r="I207" s="493">
        <v>0</v>
      </c>
      <c r="J207" s="494">
        <f t="shared" si="33"/>
        <v>0</v>
      </c>
      <c r="K207" s="494">
        <f t="shared" si="34"/>
        <v>0</v>
      </c>
      <c r="L207" s="493">
        <f t="shared" si="35"/>
        <v>0</v>
      </c>
      <c r="M207" s="16" t="s">
        <v>1667</v>
      </c>
      <c r="N207" s="16" t="s">
        <v>1668</v>
      </c>
    </row>
    <row r="208" spans="1:29" x14ac:dyDescent="0.4">
      <c r="A208" s="1">
        <v>161052</v>
      </c>
      <c r="B208" s="1">
        <v>45</v>
      </c>
      <c r="C208" s="1">
        <f t="shared" si="32"/>
        <v>225</v>
      </c>
      <c r="D208" s="930">
        <v>0</v>
      </c>
      <c r="E208" s="930">
        <v>0</v>
      </c>
      <c r="F208" s="930">
        <v>0</v>
      </c>
      <c r="G208" s="930">
        <v>0</v>
      </c>
      <c r="H208" s="930">
        <v>0</v>
      </c>
      <c r="I208" s="930">
        <v>1</v>
      </c>
      <c r="J208" s="140">
        <f t="shared" si="33"/>
        <v>1</v>
      </c>
      <c r="K208" s="140">
        <f t="shared" si="34"/>
        <v>0</v>
      </c>
      <c r="L208" s="930">
        <f t="shared" si="35"/>
        <v>0</v>
      </c>
      <c r="M208" s="1" t="s">
        <v>1667</v>
      </c>
      <c r="N208" s="1" t="s">
        <v>1668</v>
      </c>
    </row>
    <row r="209" spans="1:16" x14ac:dyDescent="0.4">
      <c r="A209" s="16">
        <v>161053</v>
      </c>
      <c r="B209" s="16">
        <v>45</v>
      </c>
      <c r="C209" s="16">
        <f t="shared" si="32"/>
        <v>225</v>
      </c>
      <c r="D209" s="637">
        <v>0</v>
      </c>
      <c r="E209" s="637">
        <v>0</v>
      </c>
      <c r="F209" s="637">
        <v>0</v>
      </c>
      <c r="G209" s="637">
        <v>0</v>
      </c>
      <c r="H209" s="637">
        <v>0</v>
      </c>
      <c r="I209" s="637">
        <v>0</v>
      </c>
      <c r="J209" s="638">
        <f t="shared" si="33"/>
        <v>0</v>
      </c>
      <c r="K209" s="638">
        <f t="shared" si="34"/>
        <v>0</v>
      </c>
      <c r="L209" s="637">
        <f t="shared" si="35"/>
        <v>0</v>
      </c>
      <c r="M209" s="16" t="s">
        <v>1671</v>
      </c>
      <c r="N209" s="16" t="s">
        <v>1672</v>
      </c>
    </row>
    <row r="210" spans="1:16" x14ac:dyDescent="0.4">
      <c r="A210" s="16">
        <v>161054</v>
      </c>
      <c r="B210" s="16">
        <v>45</v>
      </c>
      <c r="C210" s="16">
        <f t="shared" si="32"/>
        <v>225</v>
      </c>
      <c r="D210" s="449">
        <v>0</v>
      </c>
      <c r="E210" s="449">
        <v>0</v>
      </c>
      <c r="F210" s="449">
        <v>0</v>
      </c>
      <c r="G210" s="449">
        <v>0</v>
      </c>
      <c r="H210" s="449">
        <v>0</v>
      </c>
      <c r="I210" s="449">
        <v>0</v>
      </c>
      <c r="J210" s="26">
        <f t="shared" si="33"/>
        <v>0</v>
      </c>
      <c r="K210" s="26">
        <f t="shared" si="34"/>
        <v>0</v>
      </c>
      <c r="L210" s="449">
        <f t="shared" si="35"/>
        <v>0</v>
      </c>
      <c r="M210" s="16" t="s">
        <v>1671</v>
      </c>
      <c r="N210" s="16" t="s">
        <v>1672</v>
      </c>
    </row>
    <row r="211" spans="1:16" x14ac:dyDescent="0.4">
      <c r="A211" s="1">
        <v>161055</v>
      </c>
      <c r="B211" s="1">
        <v>60</v>
      </c>
      <c r="C211" s="1">
        <f t="shared" si="32"/>
        <v>300</v>
      </c>
      <c r="D211" s="930">
        <v>0</v>
      </c>
      <c r="E211" s="930">
        <v>0</v>
      </c>
      <c r="F211" s="930">
        <v>0</v>
      </c>
      <c r="G211" s="930">
        <v>0</v>
      </c>
      <c r="H211" s="930">
        <v>0</v>
      </c>
      <c r="I211" s="930">
        <v>1</v>
      </c>
      <c r="J211" s="140">
        <f t="shared" si="33"/>
        <v>1</v>
      </c>
      <c r="K211" s="140">
        <f t="shared" si="34"/>
        <v>0</v>
      </c>
      <c r="L211" s="930">
        <f t="shared" si="35"/>
        <v>0</v>
      </c>
      <c r="M211" s="1" t="s">
        <v>1675</v>
      </c>
      <c r="N211" s="1" t="s">
        <v>1676</v>
      </c>
    </row>
    <row r="212" spans="1:16" x14ac:dyDescent="0.4">
      <c r="A212" s="16">
        <v>161056</v>
      </c>
      <c r="B212" s="16">
        <v>60</v>
      </c>
      <c r="C212" s="16">
        <f t="shared" si="32"/>
        <v>300</v>
      </c>
      <c r="D212" s="357">
        <v>0</v>
      </c>
      <c r="E212" s="357">
        <v>0</v>
      </c>
      <c r="F212" s="357">
        <v>0</v>
      </c>
      <c r="G212" s="357">
        <v>0</v>
      </c>
      <c r="H212" s="357">
        <v>0</v>
      </c>
      <c r="I212" s="357">
        <v>0</v>
      </c>
      <c r="J212" s="26">
        <f t="shared" si="33"/>
        <v>0</v>
      </c>
      <c r="K212" s="26">
        <f t="shared" si="34"/>
        <v>0</v>
      </c>
      <c r="L212" s="357">
        <f t="shared" si="35"/>
        <v>0</v>
      </c>
      <c r="M212" s="16" t="s">
        <v>1677</v>
      </c>
      <c r="N212" s="16" t="s">
        <v>1678</v>
      </c>
    </row>
    <row r="213" spans="1:16" x14ac:dyDescent="0.4">
      <c r="A213" s="16">
        <v>161057</v>
      </c>
      <c r="B213" s="16">
        <v>60</v>
      </c>
      <c r="C213" s="16">
        <f t="shared" si="32"/>
        <v>300</v>
      </c>
      <c r="D213" s="700">
        <v>0</v>
      </c>
      <c r="E213" s="700">
        <v>0</v>
      </c>
      <c r="F213" s="700">
        <v>0</v>
      </c>
      <c r="G213" s="700">
        <v>0</v>
      </c>
      <c r="H213" s="700">
        <v>0</v>
      </c>
      <c r="I213" s="700">
        <v>0</v>
      </c>
      <c r="J213" s="701">
        <f t="shared" si="33"/>
        <v>0</v>
      </c>
      <c r="K213" s="701">
        <f t="shared" si="34"/>
        <v>0</v>
      </c>
      <c r="L213" s="700">
        <f t="shared" si="35"/>
        <v>0</v>
      </c>
      <c r="M213" s="16" t="s">
        <v>1679</v>
      </c>
      <c r="N213" s="16" t="s">
        <v>1680</v>
      </c>
      <c r="P213" t="s">
        <v>1855</v>
      </c>
    </row>
    <row r="214" spans="1:16" x14ac:dyDescent="0.4">
      <c r="A214" s="1">
        <v>161058</v>
      </c>
      <c r="B214" s="1">
        <v>60</v>
      </c>
      <c r="C214" s="1">
        <f t="shared" si="32"/>
        <v>300</v>
      </c>
      <c r="D214" s="930">
        <v>0</v>
      </c>
      <c r="E214" s="930">
        <v>0</v>
      </c>
      <c r="F214" s="930">
        <v>0</v>
      </c>
      <c r="G214" s="930">
        <v>0</v>
      </c>
      <c r="H214" s="930">
        <v>1</v>
      </c>
      <c r="I214" s="930">
        <v>1</v>
      </c>
      <c r="J214" s="140">
        <f t="shared" si="33"/>
        <v>2</v>
      </c>
      <c r="K214" s="140">
        <f t="shared" si="34"/>
        <v>1</v>
      </c>
      <c r="L214" s="930">
        <f t="shared" si="35"/>
        <v>60</v>
      </c>
      <c r="M214" s="1" t="s">
        <v>1681</v>
      </c>
      <c r="N214" s="1" t="s">
        <v>1682</v>
      </c>
    </row>
    <row r="215" spans="1:16" x14ac:dyDescent="0.4">
      <c r="A215" s="16">
        <v>161059</v>
      </c>
      <c r="B215" s="16">
        <v>60</v>
      </c>
      <c r="C215" s="16">
        <f t="shared" si="32"/>
        <v>300</v>
      </c>
      <c r="D215" s="508">
        <v>0</v>
      </c>
      <c r="E215" s="508">
        <v>0</v>
      </c>
      <c r="F215" s="508">
        <v>0</v>
      </c>
      <c r="G215" s="508">
        <v>0</v>
      </c>
      <c r="H215" s="508">
        <v>0</v>
      </c>
      <c r="I215" s="508">
        <v>0</v>
      </c>
      <c r="J215" s="509">
        <f t="shared" si="33"/>
        <v>0</v>
      </c>
      <c r="K215" s="509">
        <f t="shared" si="34"/>
        <v>0</v>
      </c>
      <c r="L215" s="508">
        <f t="shared" si="35"/>
        <v>0</v>
      </c>
      <c r="M215" s="16" t="s">
        <v>1683</v>
      </c>
      <c r="N215" s="16" t="s">
        <v>1684</v>
      </c>
    </row>
    <row r="216" spans="1:16" x14ac:dyDescent="0.4">
      <c r="A216" s="16">
        <v>161060</v>
      </c>
      <c r="B216" s="16">
        <v>60</v>
      </c>
      <c r="C216" s="16">
        <f t="shared" si="32"/>
        <v>300</v>
      </c>
      <c r="D216" s="461">
        <v>0</v>
      </c>
      <c r="E216" s="461">
        <v>0</v>
      </c>
      <c r="F216" s="461">
        <v>0</v>
      </c>
      <c r="G216" s="461">
        <v>0</v>
      </c>
      <c r="H216" s="461">
        <v>0</v>
      </c>
      <c r="I216" s="461">
        <v>1</v>
      </c>
      <c r="J216" s="26">
        <f t="shared" si="33"/>
        <v>1</v>
      </c>
      <c r="K216" s="26">
        <f t="shared" si="34"/>
        <v>0</v>
      </c>
      <c r="L216" s="461">
        <f t="shared" si="35"/>
        <v>0</v>
      </c>
      <c r="M216" s="16" t="s">
        <v>1683</v>
      </c>
      <c r="N216" s="16" t="s">
        <v>1684</v>
      </c>
    </row>
    <row r="217" spans="1:16" x14ac:dyDescent="0.4">
      <c r="A217" s="16">
        <v>161061</v>
      </c>
      <c r="B217" s="16">
        <v>45</v>
      </c>
      <c r="C217" s="16">
        <f t="shared" si="32"/>
        <v>225</v>
      </c>
      <c r="D217" s="498">
        <v>0</v>
      </c>
      <c r="E217" s="498">
        <v>0</v>
      </c>
      <c r="F217" s="498">
        <v>0</v>
      </c>
      <c r="G217" s="498">
        <v>0</v>
      </c>
      <c r="H217" s="498">
        <v>0</v>
      </c>
      <c r="I217" s="498">
        <v>0</v>
      </c>
      <c r="J217" s="499">
        <f t="shared" si="33"/>
        <v>0</v>
      </c>
      <c r="K217" s="499">
        <f t="shared" si="34"/>
        <v>0</v>
      </c>
      <c r="L217" s="498">
        <f t="shared" si="35"/>
        <v>0</v>
      </c>
      <c r="M217" s="16" t="s">
        <v>1685</v>
      </c>
      <c r="N217" s="16" t="s">
        <v>1686</v>
      </c>
    </row>
    <row r="218" spans="1:16" x14ac:dyDescent="0.4">
      <c r="A218" s="16">
        <v>161062</v>
      </c>
      <c r="B218" s="16">
        <v>45</v>
      </c>
      <c r="C218" s="16">
        <f t="shared" si="32"/>
        <v>225</v>
      </c>
      <c r="D218" s="474">
        <v>0</v>
      </c>
      <c r="E218" s="474">
        <v>0</v>
      </c>
      <c r="F218" s="474">
        <v>0</v>
      </c>
      <c r="G218" s="474">
        <v>0</v>
      </c>
      <c r="H218" s="474">
        <v>0</v>
      </c>
      <c r="I218" s="474">
        <v>0</v>
      </c>
      <c r="J218" s="26">
        <f t="shared" si="33"/>
        <v>0</v>
      </c>
      <c r="K218" s="26">
        <f t="shared" si="34"/>
        <v>0</v>
      </c>
      <c r="L218" s="474">
        <f t="shared" si="35"/>
        <v>0</v>
      </c>
      <c r="M218" s="16" t="s">
        <v>1687</v>
      </c>
      <c r="N218" s="16" t="s">
        <v>1688</v>
      </c>
    </row>
    <row r="219" spans="1:16" x14ac:dyDescent="0.4">
      <c r="A219" s="1">
        <v>161063</v>
      </c>
      <c r="B219" s="1">
        <v>45</v>
      </c>
      <c r="C219" s="1">
        <f t="shared" si="32"/>
        <v>225</v>
      </c>
      <c r="D219" s="930">
        <v>1</v>
      </c>
      <c r="E219" s="930">
        <v>1</v>
      </c>
      <c r="F219" s="930">
        <v>1</v>
      </c>
      <c r="G219" s="930">
        <v>1</v>
      </c>
      <c r="H219" s="930">
        <v>1</v>
      </c>
      <c r="I219" s="930">
        <v>1</v>
      </c>
      <c r="J219" s="140">
        <f t="shared" si="33"/>
        <v>6</v>
      </c>
      <c r="K219" s="140">
        <f t="shared" si="34"/>
        <v>5</v>
      </c>
      <c r="L219" s="930">
        <f t="shared" si="35"/>
        <v>225</v>
      </c>
      <c r="M219" s="1" t="s">
        <v>1689</v>
      </c>
      <c r="N219" s="1" t="s">
        <v>1690</v>
      </c>
    </row>
    <row r="220" spans="1:16" x14ac:dyDescent="0.4">
      <c r="A220" s="1">
        <v>161064</v>
      </c>
      <c r="B220" s="1">
        <v>45</v>
      </c>
      <c r="C220" s="1">
        <f t="shared" si="32"/>
        <v>225</v>
      </c>
      <c r="D220" s="930">
        <v>0</v>
      </c>
      <c r="E220" s="930">
        <v>0</v>
      </c>
      <c r="F220" s="930">
        <v>0</v>
      </c>
      <c r="G220" s="930">
        <v>0</v>
      </c>
      <c r="H220" s="930">
        <v>0</v>
      </c>
      <c r="I220" s="930">
        <v>1</v>
      </c>
      <c r="J220" s="140">
        <f t="shared" si="33"/>
        <v>1</v>
      </c>
      <c r="K220" s="140">
        <f t="shared" si="34"/>
        <v>0</v>
      </c>
      <c r="L220" s="930">
        <f t="shared" si="35"/>
        <v>0</v>
      </c>
      <c r="M220" s="1" t="s">
        <v>1689</v>
      </c>
      <c r="N220" s="1" t="s">
        <v>1690</v>
      </c>
    </row>
    <row r="221" spans="1:16" x14ac:dyDescent="0.4">
      <c r="A221" s="16">
        <v>161065</v>
      </c>
      <c r="B221" s="16">
        <v>45</v>
      </c>
      <c r="C221" s="16">
        <f t="shared" si="32"/>
        <v>225</v>
      </c>
      <c r="D221" s="712">
        <v>0</v>
      </c>
      <c r="E221" s="712">
        <v>0</v>
      </c>
      <c r="F221" s="712">
        <v>0</v>
      </c>
      <c r="G221" s="712">
        <v>0</v>
      </c>
      <c r="H221" s="712">
        <v>0</v>
      </c>
      <c r="I221" s="712">
        <v>0</v>
      </c>
      <c r="J221" s="713">
        <f t="shared" si="33"/>
        <v>0</v>
      </c>
      <c r="K221" s="713">
        <f t="shared" si="34"/>
        <v>0</v>
      </c>
      <c r="L221" s="712">
        <f t="shared" si="35"/>
        <v>0</v>
      </c>
      <c r="M221" s="16" t="s">
        <v>1691</v>
      </c>
      <c r="N221" s="16" t="s">
        <v>1692</v>
      </c>
    </row>
    <row r="222" spans="1:16" x14ac:dyDescent="0.4">
      <c r="A222" s="1">
        <v>161066</v>
      </c>
      <c r="B222" s="1">
        <v>45</v>
      </c>
      <c r="C222" s="1">
        <f t="shared" si="32"/>
        <v>225</v>
      </c>
      <c r="D222" s="930">
        <v>0</v>
      </c>
      <c r="E222" s="930">
        <v>0</v>
      </c>
      <c r="F222" s="930">
        <v>0</v>
      </c>
      <c r="G222" s="930">
        <v>0</v>
      </c>
      <c r="H222" s="930">
        <v>0</v>
      </c>
      <c r="I222" s="930">
        <v>0</v>
      </c>
      <c r="J222" s="140">
        <f t="shared" si="33"/>
        <v>0</v>
      </c>
      <c r="K222" s="140">
        <f t="shared" si="34"/>
        <v>0</v>
      </c>
      <c r="L222" s="930">
        <f t="shared" si="35"/>
        <v>0</v>
      </c>
      <c r="M222" s="1" t="s">
        <v>1694</v>
      </c>
      <c r="N222" s="1" t="s">
        <v>1695</v>
      </c>
    </row>
    <row r="223" spans="1:16" x14ac:dyDescent="0.4">
      <c r="A223" s="16">
        <v>161067</v>
      </c>
      <c r="B223" s="16">
        <v>60</v>
      </c>
      <c r="C223" s="16">
        <f t="shared" si="32"/>
        <v>300</v>
      </c>
      <c r="D223" s="770">
        <v>0</v>
      </c>
      <c r="E223" s="770">
        <v>0</v>
      </c>
      <c r="F223" s="770">
        <v>0</v>
      </c>
      <c r="G223" s="770">
        <v>0</v>
      </c>
      <c r="H223" s="770">
        <v>0</v>
      </c>
      <c r="I223" s="770">
        <v>0</v>
      </c>
      <c r="J223" s="771">
        <f t="shared" si="33"/>
        <v>0</v>
      </c>
      <c r="K223" s="771">
        <f t="shared" si="34"/>
        <v>0</v>
      </c>
      <c r="L223" s="770">
        <f t="shared" si="35"/>
        <v>0</v>
      </c>
      <c r="M223" s="16" t="s">
        <v>1696</v>
      </c>
      <c r="N223" s="16" t="s">
        <v>1697</v>
      </c>
    </row>
    <row r="224" spans="1:16" x14ac:dyDescent="0.4">
      <c r="A224" s="16">
        <v>161068</v>
      </c>
      <c r="B224" s="16">
        <v>60</v>
      </c>
      <c r="C224" s="16">
        <f t="shared" si="32"/>
        <v>300</v>
      </c>
      <c r="D224" s="471">
        <v>0</v>
      </c>
      <c r="E224" s="471">
        <v>0</v>
      </c>
      <c r="F224" s="471">
        <v>0</v>
      </c>
      <c r="G224" s="471">
        <v>0</v>
      </c>
      <c r="H224" s="471">
        <v>0</v>
      </c>
      <c r="I224" s="471">
        <v>0</v>
      </c>
      <c r="J224" s="26">
        <f t="shared" si="33"/>
        <v>0</v>
      </c>
      <c r="K224" s="26">
        <f t="shared" si="34"/>
        <v>0</v>
      </c>
      <c r="L224" s="471">
        <f>B224*K224</f>
        <v>0</v>
      </c>
      <c r="M224" s="16" t="s">
        <v>1698</v>
      </c>
      <c r="N224" s="16" t="s">
        <v>1699</v>
      </c>
    </row>
    <row r="225" spans="1:16" x14ac:dyDescent="0.4">
      <c r="A225" s="16">
        <v>161069</v>
      </c>
      <c r="B225" s="16">
        <v>60</v>
      </c>
      <c r="C225" s="16">
        <f t="shared" si="32"/>
        <v>300</v>
      </c>
      <c r="D225" s="495">
        <v>0</v>
      </c>
      <c r="E225" s="495">
        <v>0</v>
      </c>
      <c r="F225" s="495">
        <v>0</v>
      </c>
      <c r="G225" s="495">
        <v>0</v>
      </c>
      <c r="H225" s="495">
        <v>0</v>
      </c>
      <c r="I225" s="495">
        <v>0</v>
      </c>
      <c r="J225" s="496">
        <f t="shared" si="33"/>
        <v>0</v>
      </c>
      <c r="K225" s="496">
        <f t="shared" si="34"/>
        <v>0</v>
      </c>
      <c r="L225" s="495">
        <f t="shared" si="35"/>
        <v>0</v>
      </c>
      <c r="M225" s="16" t="s">
        <v>1698</v>
      </c>
      <c r="N225" s="16" t="s">
        <v>1699</v>
      </c>
    </row>
    <row r="226" spans="1:16" x14ac:dyDescent="0.4">
      <c r="A226" s="16">
        <v>161070</v>
      </c>
      <c r="B226" s="16">
        <v>60</v>
      </c>
      <c r="C226" s="16">
        <f t="shared" si="32"/>
        <v>300</v>
      </c>
      <c r="D226" s="840">
        <v>0</v>
      </c>
      <c r="E226" s="840">
        <v>0</v>
      </c>
      <c r="F226" s="840">
        <v>0</v>
      </c>
      <c r="G226" s="840">
        <v>0</v>
      </c>
      <c r="H226" s="840">
        <v>0</v>
      </c>
      <c r="I226" s="840">
        <v>0</v>
      </c>
      <c r="J226" s="841">
        <f t="shared" si="33"/>
        <v>0</v>
      </c>
      <c r="K226" s="841">
        <f t="shared" si="34"/>
        <v>0</v>
      </c>
      <c r="L226" s="840">
        <f t="shared" si="35"/>
        <v>0</v>
      </c>
      <c r="M226" s="16" t="s">
        <v>1698</v>
      </c>
      <c r="N226" s="16" t="s">
        <v>1699</v>
      </c>
    </row>
    <row r="227" spans="1:16" x14ac:dyDescent="0.4">
      <c r="A227" s="16">
        <v>161071</v>
      </c>
      <c r="B227" s="16">
        <v>45</v>
      </c>
      <c r="C227" s="16">
        <f t="shared" si="32"/>
        <v>225</v>
      </c>
      <c r="D227" s="510">
        <v>0</v>
      </c>
      <c r="E227" s="510">
        <v>0</v>
      </c>
      <c r="F227" s="510">
        <v>0</v>
      </c>
      <c r="G227" s="510">
        <v>0</v>
      </c>
      <c r="H227" s="510">
        <v>0</v>
      </c>
      <c r="I227" s="510">
        <v>0</v>
      </c>
      <c r="J227" s="511">
        <f t="shared" si="33"/>
        <v>0</v>
      </c>
      <c r="K227" s="511">
        <f t="shared" si="34"/>
        <v>0</v>
      </c>
      <c r="L227" s="510">
        <f t="shared" si="35"/>
        <v>0</v>
      </c>
      <c r="M227" s="16" t="s">
        <v>1700</v>
      </c>
      <c r="N227" s="16" t="s">
        <v>1701</v>
      </c>
    </row>
    <row r="228" spans="1:16" x14ac:dyDescent="0.4">
      <c r="A228" s="16">
        <v>161072</v>
      </c>
      <c r="B228" s="26">
        <v>35</v>
      </c>
      <c r="C228" s="16">
        <f>B228*10</f>
        <v>350</v>
      </c>
      <c r="D228" s="489">
        <v>0</v>
      </c>
      <c r="E228" s="489">
        <v>0</v>
      </c>
      <c r="F228" s="489">
        <v>0</v>
      </c>
      <c r="G228" s="489">
        <v>0</v>
      </c>
      <c r="H228" s="489">
        <v>0</v>
      </c>
      <c r="I228" s="489">
        <v>0</v>
      </c>
      <c r="J228" s="2048">
        <f>SUM(D228:I229)</f>
        <v>0</v>
      </c>
      <c r="K228" s="2048">
        <v>0</v>
      </c>
      <c r="L228" s="489">
        <v>0</v>
      </c>
      <c r="M228" s="16" t="s">
        <v>1704</v>
      </c>
      <c r="N228" s="16" t="s">
        <v>1705</v>
      </c>
    </row>
    <row r="229" spans="1:16" x14ac:dyDescent="0.4">
      <c r="A229" s="16"/>
      <c r="B229" s="489"/>
      <c r="C229" s="16"/>
      <c r="D229" s="489">
        <v>0</v>
      </c>
      <c r="E229" s="489">
        <v>0</v>
      </c>
      <c r="F229" s="489">
        <v>0</v>
      </c>
      <c r="G229" s="489">
        <v>0</v>
      </c>
      <c r="H229" s="489">
        <v>0</v>
      </c>
      <c r="I229" s="489">
        <v>0</v>
      </c>
      <c r="J229" s="2048"/>
      <c r="K229" s="2048"/>
      <c r="L229" s="489"/>
      <c r="M229" s="16"/>
      <c r="N229" s="16"/>
    </row>
    <row r="230" spans="1:16" x14ac:dyDescent="0.4">
      <c r="A230" s="16">
        <v>161073</v>
      </c>
      <c r="B230" s="16">
        <v>60</v>
      </c>
      <c r="C230" s="16">
        <f t="shared" si="32"/>
        <v>300</v>
      </c>
      <c r="D230" s="459">
        <v>0</v>
      </c>
      <c r="E230" s="459">
        <v>0</v>
      </c>
      <c r="F230" s="459">
        <v>0</v>
      </c>
      <c r="G230" s="459">
        <v>0</v>
      </c>
      <c r="H230" s="459">
        <v>0</v>
      </c>
      <c r="I230" s="459">
        <v>0</v>
      </c>
      <c r="J230" s="26">
        <f t="shared" si="33"/>
        <v>0</v>
      </c>
      <c r="K230" s="26">
        <f t="shared" si="34"/>
        <v>0</v>
      </c>
      <c r="L230" s="459">
        <f t="shared" si="35"/>
        <v>0</v>
      </c>
      <c r="M230" s="16" t="s">
        <v>1704</v>
      </c>
      <c r="N230" s="16" t="s">
        <v>1705</v>
      </c>
    </row>
    <row r="231" spans="1:16" x14ac:dyDescent="0.4">
      <c r="A231" s="16">
        <v>161074</v>
      </c>
      <c r="B231" s="16">
        <v>45</v>
      </c>
      <c r="C231" s="16">
        <f t="shared" si="32"/>
        <v>225</v>
      </c>
      <c r="D231" s="468">
        <v>0</v>
      </c>
      <c r="E231" s="468">
        <v>0</v>
      </c>
      <c r="F231" s="468">
        <v>0</v>
      </c>
      <c r="G231" s="468">
        <v>0</v>
      </c>
      <c r="H231" s="468">
        <v>0</v>
      </c>
      <c r="I231" s="468">
        <v>0</v>
      </c>
      <c r="J231" s="26">
        <f t="shared" si="33"/>
        <v>0</v>
      </c>
      <c r="K231" s="26">
        <f t="shared" si="34"/>
        <v>0</v>
      </c>
      <c r="L231" s="468">
        <f t="shared" si="35"/>
        <v>0</v>
      </c>
      <c r="M231" s="16" t="s">
        <v>1702</v>
      </c>
      <c r="N231" s="16" t="s">
        <v>1703</v>
      </c>
    </row>
    <row r="232" spans="1:16" x14ac:dyDescent="0.4">
      <c r="A232" s="16">
        <v>161075</v>
      </c>
      <c r="B232" s="16"/>
      <c r="C232" s="16">
        <f t="shared" si="32"/>
        <v>0</v>
      </c>
      <c r="D232" s="409"/>
      <c r="E232" s="409"/>
      <c r="F232" s="409"/>
      <c r="G232" s="409"/>
      <c r="H232" s="409"/>
      <c r="I232" s="409">
        <v>0</v>
      </c>
      <c r="J232" s="26">
        <f t="shared" si="33"/>
        <v>0</v>
      </c>
      <c r="K232" s="26">
        <f t="shared" si="34"/>
        <v>0</v>
      </c>
      <c r="L232" s="409">
        <f t="shared" si="35"/>
        <v>0</v>
      </c>
      <c r="M232" s="16" t="s">
        <v>1886</v>
      </c>
      <c r="N232" s="16" t="s">
        <v>1887</v>
      </c>
      <c r="O232" t="s">
        <v>1888</v>
      </c>
    </row>
    <row r="233" spans="1:16" x14ac:dyDescent="0.4">
      <c r="A233" s="1">
        <v>161076</v>
      </c>
      <c r="B233" s="1">
        <v>60</v>
      </c>
      <c r="C233" s="1">
        <f t="shared" si="32"/>
        <v>300</v>
      </c>
      <c r="D233" s="930">
        <v>1</v>
      </c>
      <c r="E233" s="930">
        <v>1</v>
      </c>
      <c r="F233" s="930">
        <v>1</v>
      </c>
      <c r="G233" s="930">
        <v>1</v>
      </c>
      <c r="H233" s="930">
        <v>1</v>
      </c>
      <c r="I233" s="930">
        <v>1</v>
      </c>
      <c r="J233" s="140">
        <f t="shared" si="33"/>
        <v>6</v>
      </c>
      <c r="K233" s="140">
        <f t="shared" si="34"/>
        <v>5</v>
      </c>
      <c r="L233" s="930">
        <f t="shared" si="35"/>
        <v>300</v>
      </c>
      <c r="M233" s="1" t="s">
        <v>1707</v>
      </c>
      <c r="N233" s="1" t="s">
        <v>1708</v>
      </c>
    </row>
    <row r="234" spans="1:16" x14ac:dyDescent="0.4">
      <c r="A234" s="1">
        <v>161077</v>
      </c>
      <c r="B234" s="1">
        <v>60</v>
      </c>
      <c r="C234" s="1">
        <f t="shared" si="32"/>
        <v>300</v>
      </c>
      <c r="D234" s="930">
        <v>1</v>
      </c>
      <c r="E234" s="930">
        <v>1</v>
      </c>
      <c r="F234" s="930">
        <v>1</v>
      </c>
      <c r="G234" s="930">
        <v>1</v>
      </c>
      <c r="H234" s="930">
        <v>1</v>
      </c>
      <c r="I234" s="930">
        <v>1</v>
      </c>
      <c r="J234" s="140">
        <f t="shared" si="33"/>
        <v>6</v>
      </c>
      <c r="K234" s="140">
        <f t="shared" si="34"/>
        <v>5</v>
      </c>
      <c r="L234" s="930">
        <f t="shared" si="35"/>
        <v>300</v>
      </c>
      <c r="M234" s="1" t="s">
        <v>1709</v>
      </c>
      <c r="N234" s="1" t="s">
        <v>1710</v>
      </c>
    </row>
    <row r="235" spans="1:16" x14ac:dyDescent="0.4">
      <c r="A235" s="16">
        <v>161078</v>
      </c>
      <c r="B235" s="16">
        <v>45</v>
      </c>
      <c r="C235" s="16">
        <f t="shared" si="32"/>
        <v>225</v>
      </c>
      <c r="D235" s="524">
        <v>0</v>
      </c>
      <c r="E235" s="524">
        <v>0</v>
      </c>
      <c r="F235" s="524">
        <v>0</v>
      </c>
      <c r="G235" s="524">
        <v>0</v>
      </c>
      <c r="H235" s="524">
        <v>0</v>
      </c>
      <c r="I235" s="524">
        <v>0</v>
      </c>
      <c r="J235" s="525">
        <f t="shared" si="33"/>
        <v>0</v>
      </c>
      <c r="K235" s="525">
        <f t="shared" si="34"/>
        <v>0</v>
      </c>
      <c r="L235" s="524">
        <f t="shared" si="35"/>
        <v>0</v>
      </c>
      <c r="M235" s="16" t="s">
        <v>1709</v>
      </c>
      <c r="N235" s="16" t="s">
        <v>1711</v>
      </c>
    </row>
    <row r="236" spans="1:16" x14ac:dyDescent="0.4">
      <c r="A236" s="16">
        <v>161079</v>
      </c>
      <c r="B236" s="16">
        <v>50</v>
      </c>
      <c r="C236" s="16">
        <v>50</v>
      </c>
      <c r="D236" s="376">
        <v>0</v>
      </c>
      <c r="E236" s="376"/>
      <c r="F236" s="376"/>
      <c r="G236" s="376"/>
      <c r="H236" s="376"/>
      <c r="I236" s="376"/>
      <c r="J236" s="26">
        <f t="shared" si="33"/>
        <v>0</v>
      </c>
      <c r="K236" s="26">
        <f t="shared" si="34"/>
        <v>0</v>
      </c>
      <c r="L236" s="376">
        <f t="shared" si="35"/>
        <v>0</v>
      </c>
      <c r="M236" s="16" t="s">
        <v>1712</v>
      </c>
      <c r="N236" s="16" t="s">
        <v>1713</v>
      </c>
      <c r="O236" s="16" t="s">
        <v>1716</v>
      </c>
      <c r="P236" s="16"/>
    </row>
    <row r="237" spans="1:16" x14ac:dyDescent="0.4">
      <c r="A237" s="16">
        <v>161080</v>
      </c>
      <c r="B237" s="16">
        <v>100</v>
      </c>
      <c r="C237" s="16">
        <v>100</v>
      </c>
      <c r="D237" s="367">
        <v>0</v>
      </c>
      <c r="E237" s="367"/>
      <c r="F237" s="367"/>
      <c r="G237" s="367"/>
      <c r="H237" s="367"/>
      <c r="I237" s="367"/>
      <c r="J237" s="26">
        <f t="shared" ref="J237:J266" si="36">SUM(D237:I237)</f>
        <v>0</v>
      </c>
      <c r="K237" s="26">
        <f t="shared" ref="K237:K266" si="37">SUM(D237:H237)</f>
        <v>0</v>
      </c>
      <c r="L237" s="367">
        <f t="shared" ref="L237:L266" si="38">B237*K237</f>
        <v>0</v>
      </c>
      <c r="M237" s="16" t="s">
        <v>1712</v>
      </c>
      <c r="N237" s="16" t="s">
        <v>1713</v>
      </c>
      <c r="O237" s="16" t="s">
        <v>1716</v>
      </c>
      <c r="P237" s="16"/>
    </row>
    <row r="238" spans="1:16" x14ac:dyDescent="0.4">
      <c r="A238" s="16">
        <v>161081</v>
      </c>
      <c r="B238" s="16">
        <v>60</v>
      </c>
      <c r="C238" s="16">
        <f t="shared" ref="C238:C266" si="39">SUM(B238*5)</f>
        <v>300</v>
      </c>
      <c r="D238" s="947">
        <v>0</v>
      </c>
      <c r="E238" s="947">
        <v>0</v>
      </c>
      <c r="F238" s="947">
        <v>0</v>
      </c>
      <c r="G238" s="947">
        <v>0</v>
      </c>
      <c r="H238" s="947">
        <v>0</v>
      </c>
      <c r="I238" s="947">
        <v>0</v>
      </c>
      <c r="J238" s="948">
        <f t="shared" si="36"/>
        <v>0</v>
      </c>
      <c r="K238" s="948">
        <f t="shared" si="37"/>
        <v>0</v>
      </c>
      <c r="L238" s="947">
        <f t="shared" si="38"/>
        <v>0</v>
      </c>
      <c r="M238" s="16" t="s">
        <v>1714</v>
      </c>
      <c r="N238" s="16" t="s">
        <v>1715</v>
      </c>
    </row>
    <row r="239" spans="1:16" x14ac:dyDescent="0.4">
      <c r="A239" s="16">
        <v>161082</v>
      </c>
      <c r="B239" s="16">
        <v>50</v>
      </c>
      <c r="C239" s="16">
        <v>50</v>
      </c>
      <c r="D239" s="401">
        <v>0</v>
      </c>
      <c r="E239" s="401"/>
      <c r="F239" s="401"/>
      <c r="G239" s="401"/>
      <c r="H239" s="401"/>
      <c r="I239" s="401"/>
      <c r="J239" s="26">
        <f t="shared" si="36"/>
        <v>0</v>
      </c>
      <c r="K239" s="26">
        <f t="shared" si="37"/>
        <v>0</v>
      </c>
      <c r="L239" s="401">
        <f t="shared" si="38"/>
        <v>0</v>
      </c>
      <c r="M239" s="16" t="s">
        <v>1714</v>
      </c>
      <c r="N239" s="16" t="s">
        <v>1715</v>
      </c>
      <c r="O239" s="16" t="s">
        <v>1716</v>
      </c>
    </row>
    <row r="240" spans="1:16" x14ac:dyDescent="0.4">
      <c r="A240" s="16">
        <v>161083</v>
      </c>
      <c r="B240" s="16">
        <v>45</v>
      </c>
      <c r="C240" s="16">
        <f t="shared" si="39"/>
        <v>225</v>
      </c>
      <c r="D240" s="916">
        <v>0</v>
      </c>
      <c r="E240" s="916">
        <v>0</v>
      </c>
      <c r="F240" s="916">
        <v>0</v>
      </c>
      <c r="G240" s="916">
        <v>0</v>
      </c>
      <c r="H240" s="916">
        <v>0</v>
      </c>
      <c r="I240" s="916">
        <v>0</v>
      </c>
      <c r="J240" s="917">
        <f t="shared" si="36"/>
        <v>0</v>
      </c>
      <c r="K240" s="917">
        <f t="shared" si="37"/>
        <v>0</v>
      </c>
      <c r="L240" s="916">
        <f t="shared" si="38"/>
        <v>0</v>
      </c>
      <c r="M240" s="16" t="s">
        <v>1717</v>
      </c>
      <c r="N240" s="16" t="s">
        <v>1718</v>
      </c>
    </row>
    <row r="241" spans="1:20" x14ac:dyDescent="0.4">
      <c r="A241" s="16">
        <v>161084</v>
      </c>
      <c r="B241" s="16">
        <v>50</v>
      </c>
      <c r="C241" s="16">
        <f t="shared" si="39"/>
        <v>250</v>
      </c>
      <c r="D241" s="441">
        <v>0</v>
      </c>
      <c r="E241" s="441">
        <v>0</v>
      </c>
      <c r="F241" s="441">
        <v>0</v>
      </c>
      <c r="G241" s="441">
        <v>0</v>
      </c>
      <c r="H241" s="441">
        <v>0</v>
      </c>
      <c r="I241" s="441">
        <v>0</v>
      </c>
      <c r="J241" s="26">
        <f t="shared" si="36"/>
        <v>0</v>
      </c>
      <c r="K241" s="26">
        <f t="shared" si="37"/>
        <v>0</v>
      </c>
      <c r="L241" s="441">
        <f t="shared" si="38"/>
        <v>0</v>
      </c>
      <c r="M241" s="16" t="s">
        <v>1719</v>
      </c>
      <c r="N241" s="16" t="s">
        <v>1720</v>
      </c>
    </row>
    <row r="242" spans="1:20" x14ac:dyDescent="0.4">
      <c r="A242" s="16">
        <v>161085</v>
      </c>
      <c r="B242" s="16">
        <v>60</v>
      </c>
      <c r="C242" s="16">
        <f t="shared" si="39"/>
        <v>300</v>
      </c>
      <c r="D242" s="489">
        <v>0</v>
      </c>
      <c r="E242" s="489">
        <v>0</v>
      </c>
      <c r="F242" s="489">
        <v>0</v>
      </c>
      <c r="G242" s="489">
        <v>0</v>
      </c>
      <c r="H242" s="489">
        <v>0</v>
      </c>
      <c r="I242" s="489">
        <v>0</v>
      </c>
      <c r="J242" s="26">
        <f t="shared" si="36"/>
        <v>0</v>
      </c>
      <c r="K242" s="26">
        <f t="shared" si="37"/>
        <v>0</v>
      </c>
      <c r="L242" s="489">
        <f t="shared" si="38"/>
        <v>0</v>
      </c>
      <c r="M242" s="16" t="s">
        <v>1719</v>
      </c>
      <c r="N242" s="16" t="s">
        <v>1720</v>
      </c>
    </row>
    <row r="243" spans="1:20" x14ac:dyDescent="0.4">
      <c r="A243" s="1">
        <v>161086</v>
      </c>
      <c r="B243" s="1">
        <v>45</v>
      </c>
      <c r="C243" s="1">
        <f t="shared" si="39"/>
        <v>225</v>
      </c>
      <c r="D243" s="930">
        <v>0</v>
      </c>
      <c r="E243" s="930">
        <v>0</v>
      </c>
      <c r="F243" s="930">
        <v>0</v>
      </c>
      <c r="G243" s="930">
        <v>0</v>
      </c>
      <c r="H243" s="930">
        <v>0</v>
      </c>
      <c r="I243" s="930">
        <v>1</v>
      </c>
      <c r="J243" s="140">
        <f t="shared" si="36"/>
        <v>1</v>
      </c>
      <c r="K243" s="140">
        <f t="shared" si="37"/>
        <v>0</v>
      </c>
      <c r="L243" s="930">
        <f t="shared" si="38"/>
        <v>0</v>
      </c>
      <c r="M243" s="1" t="s">
        <v>1719</v>
      </c>
      <c r="N243" s="1" t="s">
        <v>1720</v>
      </c>
    </row>
    <row r="244" spans="1:20" x14ac:dyDescent="0.4">
      <c r="A244" s="22">
        <v>161087</v>
      </c>
      <c r="B244" s="22">
        <v>45</v>
      </c>
      <c r="C244" s="22">
        <f t="shared" si="39"/>
        <v>225</v>
      </c>
      <c r="D244" s="23">
        <v>0</v>
      </c>
      <c r="E244" s="23">
        <v>0</v>
      </c>
      <c r="F244" s="23">
        <v>0</v>
      </c>
      <c r="G244" s="23">
        <v>0</v>
      </c>
      <c r="H244" s="23">
        <v>0</v>
      </c>
      <c r="I244" s="23">
        <v>0</v>
      </c>
      <c r="J244" s="24">
        <f t="shared" si="36"/>
        <v>0</v>
      </c>
      <c r="K244" s="24">
        <f t="shared" si="37"/>
        <v>0</v>
      </c>
      <c r="L244" s="23">
        <f t="shared" si="38"/>
        <v>0</v>
      </c>
      <c r="M244" s="22" t="s">
        <v>1721</v>
      </c>
      <c r="N244" s="22" t="s">
        <v>1722</v>
      </c>
    </row>
    <row r="245" spans="1:20" x14ac:dyDescent="0.4">
      <c r="A245" s="22">
        <v>161088</v>
      </c>
      <c r="B245" s="22">
        <v>45</v>
      </c>
      <c r="C245" s="22">
        <f t="shared" si="39"/>
        <v>225</v>
      </c>
      <c r="D245" s="23">
        <v>0</v>
      </c>
      <c r="E245" s="23">
        <v>0</v>
      </c>
      <c r="F245" s="23">
        <v>0</v>
      </c>
      <c r="G245" s="23">
        <v>0</v>
      </c>
      <c r="H245" s="23">
        <v>0</v>
      </c>
      <c r="I245" s="23">
        <v>0</v>
      </c>
      <c r="J245" s="24">
        <f t="shared" si="36"/>
        <v>0</v>
      </c>
      <c r="K245" s="24">
        <f t="shared" si="37"/>
        <v>0</v>
      </c>
      <c r="L245" s="23">
        <f t="shared" si="38"/>
        <v>0</v>
      </c>
      <c r="M245" s="22" t="s">
        <v>1725</v>
      </c>
      <c r="N245" s="22" t="s">
        <v>1726</v>
      </c>
    </row>
    <row r="246" spans="1:20" x14ac:dyDescent="0.4">
      <c r="A246" s="16">
        <v>161089</v>
      </c>
      <c r="B246" s="16">
        <v>45</v>
      </c>
      <c r="C246" s="16">
        <f t="shared" si="39"/>
        <v>225</v>
      </c>
      <c r="D246" s="1020">
        <v>0</v>
      </c>
      <c r="E246" s="1020">
        <v>0</v>
      </c>
      <c r="F246" s="1020">
        <v>0</v>
      </c>
      <c r="G246" s="1020">
        <v>0</v>
      </c>
      <c r="H246" s="1020">
        <v>0</v>
      </c>
      <c r="I246" s="1020">
        <v>0</v>
      </c>
      <c r="J246" s="1024">
        <f t="shared" si="36"/>
        <v>0</v>
      </c>
      <c r="K246" s="1024">
        <f t="shared" si="37"/>
        <v>0</v>
      </c>
      <c r="L246" s="1020">
        <f t="shared" si="38"/>
        <v>0</v>
      </c>
      <c r="M246" s="16" t="s">
        <v>1725</v>
      </c>
      <c r="N246" s="16" t="s">
        <v>1726</v>
      </c>
    </row>
    <row r="247" spans="1:20" x14ac:dyDescent="0.4">
      <c r="A247" s="359">
        <v>161090</v>
      </c>
      <c r="B247" s="359"/>
      <c r="C247" s="359">
        <f t="shared" si="39"/>
        <v>0</v>
      </c>
      <c r="D247" s="8">
        <v>0</v>
      </c>
      <c r="E247" s="8">
        <v>0</v>
      </c>
      <c r="F247" s="8">
        <v>0</v>
      </c>
      <c r="G247" s="8"/>
      <c r="H247" s="8"/>
      <c r="I247" s="8"/>
      <c r="J247" s="360">
        <f t="shared" si="36"/>
        <v>0</v>
      </c>
      <c r="K247" s="360">
        <f t="shared" si="37"/>
        <v>0</v>
      </c>
      <c r="L247" s="8">
        <f t="shared" si="38"/>
        <v>0</v>
      </c>
      <c r="M247" s="359" t="s">
        <v>1727</v>
      </c>
      <c r="N247" s="359" t="s">
        <v>1728</v>
      </c>
      <c r="O247" s="359" t="s">
        <v>1729</v>
      </c>
      <c r="P247" s="359"/>
      <c r="Q247" s="359"/>
      <c r="R247" s="359"/>
      <c r="S247" s="359"/>
      <c r="T247" s="359"/>
    </row>
    <row r="248" spans="1:20" x14ac:dyDescent="0.4">
      <c r="A248" s="16">
        <v>161091</v>
      </c>
      <c r="B248" s="16">
        <v>45</v>
      </c>
      <c r="C248" s="16">
        <f t="shared" si="39"/>
        <v>225</v>
      </c>
      <c r="D248" s="1020">
        <v>0</v>
      </c>
      <c r="E248" s="1020">
        <v>0</v>
      </c>
      <c r="F248" s="1020">
        <v>0</v>
      </c>
      <c r="G248" s="1020">
        <v>0</v>
      </c>
      <c r="H248" s="1020">
        <v>0</v>
      </c>
      <c r="I248" s="1020">
        <v>0</v>
      </c>
      <c r="J248" s="1024">
        <f t="shared" si="36"/>
        <v>0</v>
      </c>
      <c r="K248" s="1024">
        <f t="shared" si="37"/>
        <v>0</v>
      </c>
      <c r="L248" s="1020">
        <f t="shared" si="38"/>
        <v>0</v>
      </c>
      <c r="M248" s="16" t="s">
        <v>1723</v>
      </c>
      <c r="N248" s="16" t="s">
        <v>1724</v>
      </c>
    </row>
    <row r="249" spans="1:20" x14ac:dyDescent="0.4">
      <c r="A249" s="16">
        <v>161092</v>
      </c>
      <c r="B249" s="16">
        <v>60</v>
      </c>
      <c r="C249" s="16">
        <f t="shared" si="39"/>
        <v>300</v>
      </c>
      <c r="D249" s="1020">
        <v>0</v>
      </c>
      <c r="E249" s="1020">
        <v>0</v>
      </c>
      <c r="F249" s="1020">
        <v>0</v>
      </c>
      <c r="G249" s="1020">
        <v>0</v>
      </c>
      <c r="H249" s="1020">
        <v>0</v>
      </c>
      <c r="I249" s="1020">
        <v>0</v>
      </c>
      <c r="J249" s="1024">
        <f t="shared" si="36"/>
        <v>0</v>
      </c>
      <c r="K249" s="1024">
        <f t="shared" si="37"/>
        <v>0</v>
      </c>
      <c r="L249" s="1020">
        <f t="shared" si="38"/>
        <v>0</v>
      </c>
      <c r="M249" s="16" t="s">
        <v>1730</v>
      </c>
      <c r="N249" s="16" t="s">
        <v>1731</v>
      </c>
    </row>
    <row r="250" spans="1:20" x14ac:dyDescent="0.4">
      <c r="A250" s="16">
        <v>161093</v>
      </c>
      <c r="B250" s="16">
        <v>45</v>
      </c>
      <c r="C250" s="16">
        <f t="shared" si="39"/>
        <v>225</v>
      </c>
      <c r="D250" s="1020">
        <v>0</v>
      </c>
      <c r="E250" s="1020">
        <v>0</v>
      </c>
      <c r="F250" s="1020">
        <v>0</v>
      </c>
      <c r="G250" s="1020">
        <v>0</v>
      </c>
      <c r="H250" s="1020">
        <v>0</v>
      </c>
      <c r="I250" s="1020">
        <v>0</v>
      </c>
      <c r="J250" s="1024">
        <f t="shared" si="36"/>
        <v>0</v>
      </c>
      <c r="K250" s="1024">
        <f t="shared" si="37"/>
        <v>0</v>
      </c>
      <c r="L250" s="1020">
        <f t="shared" si="38"/>
        <v>0</v>
      </c>
      <c r="M250" s="16" t="s">
        <v>1730</v>
      </c>
      <c r="N250" s="16" t="s">
        <v>1731</v>
      </c>
    </row>
    <row r="251" spans="1:20" x14ac:dyDescent="0.4">
      <c r="A251" s="16">
        <v>161094</v>
      </c>
      <c r="B251" s="16">
        <v>50</v>
      </c>
      <c r="C251" s="16">
        <f t="shared" si="39"/>
        <v>250</v>
      </c>
      <c r="D251" s="1020">
        <v>0</v>
      </c>
      <c r="E251" s="1020">
        <v>0</v>
      </c>
      <c r="F251" s="1020">
        <v>0</v>
      </c>
      <c r="G251" s="1020">
        <v>0</v>
      </c>
      <c r="H251" s="1020">
        <v>0</v>
      </c>
      <c r="I251" s="1020">
        <v>0</v>
      </c>
      <c r="J251" s="1024">
        <f t="shared" si="36"/>
        <v>0</v>
      </c>
      <c r="K251" s="1024">
        <f t="shared" si="37"/>
        <v>0</v>
      </c>
      <c r="L251" s="1020">
        <f t="shared" si="38"/>
        <v>0</v>
      </c>
      <c r="M251" s="16" t="s">
        <v>1730</v>
      </c>
      <c r="N251" s="16" t="s">
        <v>1731</v>
      </c>
    </row>
    <row r="252" spans="1:20" x14ac:dyDescent="0.4">
      <c r="A252" s="1">
        <v>161095</v>
      </c>
      <c r="B252" s="1">
        <v>60</v>
      </c>
      <c r="C252" s="1">
        <f t="shared" si="39"/>
        <v>300</v>
      </c>
      <c r="D252" s="984">
        <v>0</v>
      </c>
      <c r="E252" s="984">
        <v>0</v>
      </c>
      <c r="F252" s="984">
        <v>0</v>
      </c>
      <c r="G252" s="984">
        <v>1</v>
      </c>
      <c r="H252" s="984">
        <v>1</v>
      </c>
      <c r="I252" s="984">
        <v>1</v>
      </c>
      <c r="J252" s="140">
        <f t="shared" si="36"/>
        <v>3</v>
      </c>
      <c r="K252" s="140">
        <f t="shared" si="37"/>
        <v>2</v>
      </c>
      <c r="L252" s="984">
        <f t="shared" si="38"/>
        <v>120</v>
      </c>
      <c r="M252" s="1" t="s">
        <v>1732</v>
      </c>
      <c r="N252" s="1" t="s">
        <v>1733</v>
      </c>
    </row>
    <row r="253" spans="1:20" x14ac:dyDescent="0.4">
      <c r="A253" s="1">
        <v>161096</v>
      </c>
      <c r="B253" s="1">
        <v>45</v>
      </c>
      <c r="C253" s="1">
        <f>SUM(B253*5)</f>
        <v>225</v>
      </c>
      <c r="D253" s="984">
        <v>0</v>
      </c>
      <c r="E253" s="984">
        <v>0</v>
      </c>
      <c r="F253" s="984">
        <v>0</v>
      </c>
      <c r="G253" s="984">
        <v>0</v>
      </c>
      <c r="H253" s="984">
        <v>0</v>
      </c>
      <c r="I253" s="984">
        <v>1</v>
      </c>
      <c r="J253" s="140">
        <f>SUM(D253:I253)</f>
        <v>1</v>
      </c>
      <c r="K253" s="140">
        <f>SUM(D253:H253)</f>
        <v>0</v>
      </c>
      <c r="L253" s="984">
        <f>B253*K253</f>
        <v>0</v>
      </c>
      <c r="M253" s="1" t="s">
        <v>1732</v>
      </c>
      <c r="N253" s="1" t="s">
        <v>1733</v>
      </c>
    </row>
    <row r="254" spans="1:20" x14ac:dyDescent="0.4">
      <c r="A254" s="1">
        <v>161097</v>
      </c>
      <c r="B254" s="1">
        <v>45</v>
      </c>
      <c r="C254" s="1">
        <f t="shared" si="39"/>
        <v>225</v>
      </c>
      <c r="D254" s="984">
        <v>0</v>
      </c>
      <c r="E254" s="984">
        <v>0</v>
      </c>
      <c r="F254" s="984">
        <v>0</v>
      </c>
      <c r="G254" s="984">
        <v>0</v>
      </c>
      <c r="H254" s="984">
        <v>1</v>
      </c>
      <c r="I254" s="984">
        <v>1</v>
      </c>
      <c r="J254" s="140">
        <f t="shared" si="36"/>
        <v>2</v>
      </c>
      <c r="K254" s="140">
        <f t="shared" si="37"/>
        <v>1</v>
      </c>
      <c r="L254" s="984">
        <f t="shared" si="38"/>
        <v>45</v>
      </c>
      <c r="M254" s="1" t="s">
        <v>1734</v>
      </c>
      <c r="N254" s="1" t="s">
        <v>1735</v>
      </c>
    </row>
    <row r="255" spans="1:20" x14ac:dyDescent="0.4">
      <c r="A255" s="16">
        <v>161098</v>
      </c>
      <c r="B255" s="16">
        <v>60</v>
      </c>
      <c r="C255" s="16">
        <f t="shared" si="39"/>
        <v>300</v>
      </c>
      <c r="D255" s="1020">
        <v>0</v>
      </c>
      <c r="E255" s="1020">
        <v>0</v>
      </c>
      <c r="F255" s="1020">
        <v>0</v>
      </c>
      <c r="G255" s="1020">
        <v>0</v>
      </c>
      <c r="H255" s="1020">
        <v>0</v>
      </c>
      <c r="I255" s="1020">
        <v>0</v>
      </c>
      <c r="J255" s="1024">
        <f t="shared" si="36"/>
        <v>0</v>
      </c>
      <c r="K255" s="1024">
        <f t="shared" si="37"/>
        <v>0</v>
      </c>
      <c r="L255" s="1020">
        <f t="shared" si="38"/>
        <v>0</v>
      </c>
      <c r="M255" s="16" t="s">
        <v>1736</v>
      </c>
      <c r="N255" s="16" t="s">
        <v>1737</v>
      </c>
    </row>
    <row r="256" spans="1:20" x14ac:dyDescent="0.4">
      <c r="A256" s="16">
        <v>161099</v>
      </c>
      <c r="B256" s="16">
        <v>45</v>
      </c>
      <c r="C256" s="16">
        <f t="shared" si="39"/>
        <v>225</v>
      </c>
      <c r="D256" s="1020">
        <v>0</v>
      </c>
      <c r="E256" s="1020">
        <v>0</v>
      </c>
      <c r="F256" s="1020">
        <v>0</v>
      </c>
      <c r="G256" s="1020">
        <v>0</v>
      </c>
      <c r="H256" s="1020">
        <v>0</v>
      </c>
      <c r="I256" s="1020">
        <v>0</v>
      </c>
      <c r="J256" s="1024">
        <f t="shared" si="36"/>
        <v>0</v>
      </c>
      <c r="K256" s="1024">
        <f t="shared" si="37"/>
        <v>0</v>
      </c>
      <c r="L256" s="1020">
        <f t="shared" si="38"/>
        <v>0</v>
      </c>
      <c r="M256" s="16" t="s">
        <v>1736</v>
      </c>
      <c r="N256" s="16" t="s">
        <v>1738</v>
      </c>
    </row>
    <row r="257" spans="1:20" x14ac:dyDescent="0.4">
      <c r="A257" s="359">
        <v>161100</v>
      </c>
      <c r="B257" s="359">
        <v>0</v>
      </c>
      <c r="C257" s="359">
        <f t="shared" si="39"/>
        <v>0</v>
      </c>
      <c r="D257" s="8">
        <v>1</v>
      </c>
      <c r="E257" s="8"/>
      <c r="F257" s="8"/>
      <c r="G257" s="8"/>
      <c r="H257" s="8"/>
      <c r="I257" s="8"/>
      <c r="J257" s="360">
        <f t="shared" si="36"/>
        <v>1</v>
      </c>
      <c r="K257" s="360">
        <f t="shared" si="37"/>
        <v>1</v>
      </c>
      <c r="L257" s="8">
        <f t="shared" si="38"/>
        <v>0</v>
      </c>
      <c r="M257" s="359" t="s">
        <v>1736</v>
      </c>
      <c r="N257" s="359" t="s">
        <v>1737</v>
      </c>
      <c r="O257" s="2053" t="s">
        <v>2193</v>
      </c>
      <c r="P257" s="2053"/>
      <c r="Q257" s="2053"/>
      <c r="R257" s="2053"/>
      <c r="S257" s="2053"/>
      <c r="T257" s="2053"/>
    </row>
    <row r="258" spans="1:20" x14ac:dyDescent="0.4">
      <c r="A258" s="359">
        <v>161101</v>
      </c>
      <c r="B258" s="359">
        <v>0</v>
      </c>
      <c r="C258" s="359">
        <f t="shared" si="39"/>
        <v>0</v>
      </c>
      <c r="D258" s="8">
        <v>1</v>
      </c>
      <c r="E258" s="8"/>
      <c r="F258" s="8"/>
      <c r="G258" s="8"/>
      <c r="H258" s="8"/>
      <c r="I258" s="8"/>
      <c r="J258" s="360">
        <f t="shared" si="36"/>
        <v>1</v>
      </c>
      <c r="K258" s="360">
        <f t="shared" si="37"/>
        <v>1</v>
      </c>
      <c r="L258" s="8">
        <f t="shared" si="38"/>
        <v>0</v>
      </c>
      <c r="M258" s="359" t="s">
        <v>1736</v>
      </c>
      <c r="N258" s="359" t="s">
        <v>1737</v>
      </c>
      <c r="O258" s="2053"/>
      <c r="P258" s="2053"/>
      <c r="Q258" s="2053"/>
      <c r="R258" s="2053"/>
      <c r="S258" s="2053"/>
      <c r="T258" s="2053"/>
    </row>
    <row r="259" spans="1:20" x14ac:dyDescent="0.4">
      <c r="A259" s="359">
        <v>161102</v>
      </c>
      <c r="B259" s="359">
        <v>0</v>
      </c>
      <c r="C259" s="359">
        <f t="shared" si="39"/>
        <v>0</v>
      </c>
      <c r="D259" s="8">
        <v>1</v>
      </c>
      <c r="E259" s="8"/>
      <c r="F259" s="8"/>
      <c r="G259" s="8"/>
      <c r="H259" s="8"/>
      <c r="I259" s="8"/>
      <c r="J259" s="360">
        <f t="shared" si="36"/>
        <v>1</v>
      </c>
      <c r="K259" s="360">
        <f t="shared" si="37"/>
        <v>1</v>
      </c>
      <c r="L259" s="8">
        <f t="shared" si="38"/>
        <v>0</v>
      </c>
      <c r="M259" s="359" t="s">
        <v>1736</v>
      </c>
      <c r="N259" s="359" t="s">
        <v>1737</v>
      </c>
      <c r="O259" s="2053"/>
      <c r="P259" s="2053"/>
      <c r="Q259" s="2053"/>
      <c r="R259" s="2053"/>
      <c r="S259" s="2053"/>
      <c r="T259" s="2053"/>
    </row>
    <row r="260" spans="1:20" x14ac:dyDescent="0.4">
      <c r="A260" s="359">
        <v>161103</v>
      </c>
      <c r="B260" s="359">
        <v>0</v>
      </c>
      <c r="C260" s="359">
        <f t="shared" si="39"/>
        <v>0</v>
      </c>
      <c r="D260" s="8">
        <v>1</v>
      </c>
      <c r="E260" s="8"/>
      <c r="F260" s="8"/>
      <c r="G260" s="8"/>
      <c r="H260" s="8"/>
      <c r="I260" s="8"/>
      <c r="J260" s="360">
        <f t="shared" si="36"/>
        <v>1</v>
      </c>
      <c r="K260" s="360">
        <f t="shared" si="37"/>
        <v>1</v>
      </c>
      <c r="L260" s="8">
        <f t="shared" si="38"/>
        <v>0</v>
      </c>
      <c r="M260" s="359" t="s">
        <v>1736</v>
      </c>
      <c r="N260" s="359" t="s">
        <v>1737</v>
      </c>
      <c r="O260" s="2053"/>
      <c r="P260" s="2053"/>
      <c r="Q260" s="2053"/>
      <c r="R260" s="2053"/>
      <c r="S260" s="2053"/>
      <c r="T260" s="2053"/>
    </row>
    <row r="261" spans="1:20" x14ac:dyDescent="0.4">
      <c r="A261" s="359">
        <v>161104</v>
      </c>
      <c r="B261" s="359">
        <v>0</v>
      </c>
      <c r="C261" s="359">
        <f t="shared" si="39"/>
        <v>0</v>
      </c>
      <c r="D261" s="8">
        <v>1</v>
      </c>
      <c r="E261" s="8"/>
      <c r="F261" s="8"/>
      <c r="G261" s="8"/>
      <c r="H261" s="8"/>
      <c r="I261" s="8"/>
      <c r="J261" s="360">
        <f t="shared" si="36"/>
        <v>1</v>
      </c>
      <c r="K261" s="360">
        <f t="shared" si="37"/>
        <v>1</v>
      </c>
      <c r="L261" s="8">
        <f t="shared" si="38"/>
        <v>0</v>
      </c>
      <c r="M261" s="359" t="s">
        <v>1736</v>
      </c>
      <c r="N261" s="359" t="s">
        <v>1737</v>
      </c>
      <c r="O261" s="2053"/>
      <c r="P261" s="2053"/>
      <c r="Q261" s="2053"/>
      <c r="R261" s="2053"/>
      <c r="S261" s="2053"/>
      <c r="T261" s="2053"/>
    </row>
    <row r="262" spans="1:20" x14ac:dyDescent="0.4">
      <c r="A262" s="1">
        <v>161105</v>
      </c>
      <c r="B262" s="1">
        <v>45</v>
      </c>
      <c r="C262" s="1">
        <f t="shared" si="39"/>
        <v>225</v>
      </c>
      <c r="D262" s="984">
        <v>0</v>
      </c>
      <c r="E262" s="984">
        <v>0</v>
      </c>
      <c r="F262" s="984">
        <v>0</v>
      </c>
      <c r="G262" s="984">
        <v>0</v>
      </c>
      <c r="H262" s="984">
        <v>0</v>
      </c>
      <c r="I262" s="984">
        <v>1</v>
      </c>
      <c r="J262" s="140">
        <f t="shared" si="36"/>
        <v>1</v>
      </c>
      <c r="K262" s="140">
        <f t="shared" si="37"/>
        <v>0</v>
      </c>
      <c r="L262" s="984">
        <f t="shared" si="38"/>
        <v>0</v>
      </c>
      <c r="M262" s="1" t="s">
        <v>1736</v>
      </c>
      <c r="N262" s="1" t="s">
        <v>1737</v>
      </c>
    </row>
    <row r="263" spans="1:20" x14ac:dyDescent="0.4">
      <c r="A263" s="1">
        <v>161106</v>
      </c>
      <c r="B263" s="1">
        <v>45</v>
      </c>
      <c r="C263" s="1">
        <f t="shared" si="39"/>
        <v>225</v>
      </c>
      <c r="D263" s="984">
        <v>0</v>
      </c>
      <c r="E263" s="984">
        <v>0</v>
      </c>
      <c r="F263" s="984">
        <v>0</v>
      </c>
      <c r="G263" s="984">
        <v>0</v>
      </c>
      <c r="H263" s="984">
        <v>0</v>
      </c>
      <c r="I263" s="984">
        <v>1</v>
      </c>
      <c r="J263" s="140">
        <f t="shared" si="36"/>
        <v>1</v>
      </c>
      <c r="K263" s="140">
        <f t="shared" si="37"/>
        <v>0</v>
      </c>
      <c r="L263" s="984">
        <f t="shared" si="38"/>
        <v>0</v>
      </c>
      <c r="M263" s="1" t="s">
        <v>1739</v>
      </c>
      <c r="N263" s="1" t="s">
        <v>1740</v>
      </c>
    </row>
    <row r="264" spans="1:20" x14ac:dyDescent="0.4">
      <c r="A264" s="16">
        <v>161107</v>
      </c>
      <c r="B264" s="16">
        <v>50</v>
      </c>
      <c r="C264" s="16">
        <f t="shared" si="39"/>
        <v>250</v>
      </c>
      <c r="D264" s="455">
        <v>0</v>
      </c>
      <c r="E264" s="455">
        <v>0</v>
      </c>
      <c r="F264" s="455">
        <v>0</v>
      </c>
      <c r="G264" s="455">
        <v>0</v>
      </c>
      <c r="H264" s="455">
        <v>0</v>
      </c>
      <c r="I264" s="455">
        <v>0</v>
      </c>
      <c r="J264" s="26">
        <f t="shared" si="36"/>
        <v>0</v>
      </c>
      <c r="K264" s="26">
        <f t="shared" si="37"/>
        <v>0</v>
      </c>
      <c r="L264" s="455">
        <f t="shared" si="38"/>
        <v>0</v>
      </c>
      <c r="M264" s="16" t="s">
        <v>1739</v>
      </c>
      <c r="N264" s="16" t="s">
        <v>1740</v>
      </c>
    </row>
    <row r="265" spans="1:20" x14ac:dyDescent="0.4">
      <c r="A265" s="16">
        <v>161108</v>
      </c>
      <c r="B265" s="16">
        <v>60</v>
      </c>
      <c r="C265" s="16">
        <f t="shared" si="39"/>
        <v>300</v>
      </c>
      <c r="D265" s="500">
        <v>0</v>
      </c>
      <c r="E265" s="500">
        <v>0</v>
      </c>
      <c r="F265" s="500">
        <v>0</v>
      </c>
      <c r="G265" s="500">
        <v>0</v>
      </c>
      <c r="H265" s="500">
        <v>0</v>
      </c>
      <c r="I265" s="500">
        <v>0</v>
      </c>
      <c r="J265" s="501">
        <f t="shared" si="36"/>
        <v>0</v>
      </c>
      <c r="K265" s="501">
        <f t="shared" si="37"/>
        <v>0</v>
      </c>
      <c r="L265" s="500">
        <f t="shared" si="38"/>
        <v>0</v>
      </c>
      <c r="M265" s="16" t="s">
        <v>1739</v>
      </c>
      <c r="N265" s="16" t="s">
        <v>1740</v>
      </c>
    </row>
    <row r="266" spans="1:20" x14ac:dyDescent="0.4">
      <c r="A266" s="16">
        <v>161109</v>
      </c>
      <c r="B266" s="16">
        <v>45</v>
      </c>
      <c r="C266" s="16">
        <f t="shared" si="39"/>
        <v>225</v>
      </c>
      <c r="D266" s="676">
        <v>0</v>
      </c>
      <c r="E266" s="676">
        <v>0</v>
      </c>
      <c r="F266" s="676">
        <v>0</v>
      </c>
      <c r="G266" s="676">
        <v>0</v>
      </c>
      <c r="H266" s="676">
        <v>0</v>
      </c>
      <c r="I266" s="676">
        <v>0</v>
      </c>
      <c r="J266" s="677">
        <f t="shared" si="36"/>
        <v>0</v>
      </c>
      <c r="K266" s="677">
        <f t="shared" si="37"/>
        <v>0</v>
      </c>
      <c r="L266" s="676">
        <f t="shared" si="38"/>
        <v>0</v>
      </c>
      <c r="M266" s="16" t="s">
        <v>1741</v>
      </c>
      <c r="N266" s="16" t="s">
        <v>1742</v>
      </c>
    </row>
    <row r="267" spans="1:20" x14ac:dyDescent="0.4">
      <c r="A267" s="16">
        <v>161110</v>
      </c>
      <c r="B267" s="16">
        <v>45</v>
      </c>
      <c r="C267" s="16">
        <f t="shared" ref="C267:C296" si="40">SUM(B267*5)</f>
        <v>225</v>
      </c>
      <c r="D267" s="617">
        <v>0</v>
      </c>
      <c r="E267" s="617">
        <v>0</v>
      </c>
      <c r="F267" s="617">
        <v>0</v>
      </c>
      <c r="G267" s="617">
        <v>0</v>
      </c>
      <c r="H267" s="617">
        <v>0</v>
      </c>
      <c r="I267" s="617">
        <v>0</v>
      </c>
      <c r="J267" s="618">
        <f t="shared" ref="J267:J296" si="41">SUM(D267:I267)</f>
        <v>0</v>
      </c>
      <c r="K267" s="618">
        <f t="shared" ref="K267:K296" si="42">SUM(D267:H267)</f>
        <v>0</v>
      </c>
      <c r="L267" s="617">
        <f t="shared" ref="L267:L296" si="43">B267*K267</f>
        <v>0</v>
      </c>
      <c r="M267" s="16" t="s">
        <v>1743</v>
      </c>
      <c r="N267" s="16" t="s">
        <v>1744</v>
      </c>
    </row>
    <row r="268" spans="1:20" x14ac:dyDescent="0.4">
      <c r="A268" s="16">
        <v>161111</v>
      </c>
      <c r="B268" s="16">
        <v>50</v>
      </c>
      <c r="C268" s="16">
        <f t="shared" si="40"/>
        <v>250</v>
      </c>
      <c r="D268" s="469">
        <v>0</v>
      </c>
      <c r="E268" s="469">
        <v>0</v>
      </c>
      <c r="F268" s="469">
        <v>0</v>
      </c>
      <c r="G268" s="469">
        <v>0</v>
      </c>
      <c r="H268" s="469">
        <v>0</v>
      </c>
      <c r="I268" s="469">
        <v>0</v>
      </c>
      <c r="J268" s="26">
        <f t="shared" si="41"/>
        <v>0</v>
      </c>
      <c r="K268" s="26">
        <f t="shared" si="42"/>
        <v>0</v>
      </c>
      <c r="L268" s="469">
        <f t="shared" si="43"/>
        <v>0</v>
      </c>
      <c r="M268" s="16" t="s">
        <v>1745</v>
      </c>
      <c r="N268" s="16" t="s">
        <v>1746</v>
      </c>
    </row>
    <row r="269" spans="1:20" x14ac:dyDescent="0.4">
      <c r="A269" s="16">
        <v>161112</v>
      </c>
      <c r="B269" s="16">
        <v>45</v>
      </c>
      <c r="C269" s="16">
        <f t="shared" si="40"/>
        <v>225</v>
      </c>
      <c r="D269" s="857">
        <v>0</v>
      </c>
      <c r="E269" s="857">
        <v>0</v>
      </c>
      <c r="F269" s="857">
        <v>0</v>
      </c>
      <c r="G269" s="857">
        <v>0</v>
      </c>
      <c r="H269" s="857">
        <v>0</v>
      </c>
      <c r="I269" s="857">
        <v>0</v>
      </c>
      <c r="J269" s="858">
        <f t="shared" si="41"/>
        <v>0</v>
      </c>
      <c r="K269" s="858">
        <f t="shared" si="42"/>
        <v>0</v>
      </c>
      <c r="L269" s="857">
        <f t="shared" si="43"/>
        <v>0</v>
      </c>
      <c r="M269" s="16" t="s">
        <v>1745</v>
      </c>
      <c r="N269" s="16" t="s">
        <v>1746</v>
      </c>
    </row>
    <row r="270" spans="1:20" x14ac:dyDescent="0.4">
      <c r="A270" s="16">
        <v>161113</v>
      </c>
      <c r="B270" s="16">
        <v>60</v>
      </c>
      <c r="C270" s="16">
        <f t="shared" si="40"/>
        <v>300</v>
      </c>
      <c r="D270" s="451">
        <v>0</v>
      </c>
      <c r="E270" s="451">
        <v>0</v>
      </c>
      <c r="F270" s="451">
        <v>0</v>
      </c>
      <c r="G270" s="451">
        <v>0</v>
      </c>
      <c r="H270" s="451">
        <v>0</v>
      </c>
      <c r="I270" s="451">
        <v>0</v>
      </c>
      <c r="J270" s="26">
        <f t="shared" si="41"/>
        <v>0</v>
      </c>
      <c r="K270" s="26">
        <f t="shared" si="42"/>
        <v>0</v>
      </c>
      <c r="L270" s="451">
        <f t="shared" si="43"/>
        <v>0</v>
      </c>
      <c r="M270" s="16" t="s">
        <v>1747</v>
      </c>
      <c r="N270" s="16" t="s">
        <v>1748</v>
      </c>
    </row>
    <row r="271" spans="1:20" x14ac:dyDescent="0.4">
      <c r="A271" s="16">
        <v>161114</v>
      </c>
      <c r="B271" s="16">
        <v>60</v>
      </c>
      <c r="C271" s="16">
        <f t="shared" si="40"/>
        <v>300</v>
      </c>
      <c r="D271" s="470">
        <v>0</v>
      </c>
      <c r="E271" s="470">
        <v>0</v>
      </c>
      <c r="F271" s="470">
        <v>0</v>
      </c>
      <c r="G271" s="470">
        <v>0</v>
      </c>
      <c r="H271" s="470">
        <v>0</v>
      </c>
      <c r="I271" s="470">
        <v>0</v>
      </c>
      <c r="J271" s="26">
        <f t="shared" si="41"/>
        <v>0</v>
      </c>
      <c r="K271" s="26">
        <f t="shared" si="42"/>
        <v>0</v>
      </c>
      <c r="L271" s="470">
        <f t="shared" si="43"/>
        <v>0</v>
      </c>
      <c r="M271" s="16" t="s">
        <v>1749</v>
      </c>
      <c r="N271" s="16" t="s">
        <v>1750</v>
      </c>
    </row>
    <row r="272" spans="1:20" x14ac:dyDescent="0.4">
      <c r="A272" s="1">
        <v>161115</v>
      </c>
      <c r="B272" s="1">
        <v>45</v>
      </c>
      <c r="C272" s="1">
        <f t="shared" si="40"/>
        <v>225</v>
      </c>
      <c r="D272" s="984">
        <v>0</v>
      </c>
      <c r="E272" s="984">
        <v>0</v>
      </c>
      <c r="F272" s="984">
        <v>0</v>
      </c>
      <c r="G272" s="984">
        <v>0</v>
      </c>
      <c r="H272" s="984">
        <v>1</v>
      </c>
      <c r="I272" s="984">
        <v>1</v>
      </c>
      <c r="J272" s="140">
        <f t="shared" si="41"/>
        <v>2</v>
      </c>
      <c r="K272" s="140">
        <f t="shared" si="42"/>
        <v>1</v>
      </c>
      <c r="L272" s="984">
        <f t="shared" si="43"/>
        <v>45</v>
      </c>
      <c r="M272" s="1" t="s">
        <v>1751</v>
      </c>
      <c r="N272" s="1" t="s">
        <v>1752</v>
      </c>
    </row>
    <row r="273" spans="1:14" x14ac:dyDescent="0.4">
      <c r="A273" s="1">
        <v>161116</v>
      </c>
      <c r="B273" s="1">
        <v>60</v>
      </c>
      <c r="C273" s="1">
        <f t="shared" si="40"/>
        <v>300</v>
      </c>
      <c r="D273" s="984">
        <v>0</v>
      </c>
      <c r="E273" s="984">
        <v>0</v>
      </c>
      <c r="F273" s="984">
        <v>0</v>
      </c>
      <c r="G273" s="984">
        <v>0</v>
      </c>
      <c r="H273" s="984">
        <v>0</v>
      </c>
      <c r="I273" s="984">
        <v>1</v>
      </c>
      <c r="J273" s="140">
        <f t="shared" si="41"/>
        <v>1</v>
      </c>
      <c r="K273" s="140">
        <f t="shared" si="42"/>
        <v>0</v>
      </c>
      <c r="L273" s="984">
        <f t="shared" si="43"/>
        <v>0</v>
      </c>
      <c r="M273" s="1" t="s">
        <v>1753</v>
      </c>
      <c r="N273" s="1" t="s">
        <v>1754</v>
      </c>
    </row>
    <row r="274" spans="1:14" x14ac:dyDescent="0.4">
      <c r="A274" s="1">
        <v>161117</v>
      </c>
      <c r="B274" s="1">
        <v>50</v>
      </c>
      <c r="C274" s="1">
        <f t="shared" si="40"/>
        <v>250</v>
      </c>
      <c r="D274" s="984">
        <v>0</v>
      </c>
      <c r="E274" s="984">
        <v>0</v>
      </c>
      <c r="F274" s="984">
        <v>0</v>
      </c>
      <c r="G274" s="984">
        <v>1</v>
      </c>
      <c r="H274" s="984">
        <v>1</v>
      </c>
      <c r="I274" s="984">
        <v>1</v>
      </c>
      <c r="J274" s="140">
        <f t="shared" si="41"/>
        <v>3</v>
      </c>
      <c r="K274" s="140">
        <f t="shared" si="42"/>
        <v>2</v>
      </c>
      <c r="L274" s="984">
        <f t="shared" si="43"/>
        <v>100</v>
      </c>
      <c r="M274" s="1" t="s">
        <v>1753</v>
      </c>
      <c r="N274" s="1" t="s">
        <v>1754</v>
      </c>
    </row>
    <row r="275" spans="1:14" x14ac:dyDescent="0.4">
      <c r="A275" s="16">
        <v>161118</v>
      </c>
      <c r="B275" s="16">
        <v>60</v>
      </c>
      <c r="C275" s="16">
        <f t="shared" si="40"/>
        <v>300</v>
      </c>
      <c r="D275" s="433">
        <v>0</v>
      </c>
      <c r="E275" s="433">
        <v>0</v>
      </c>
      <c r="F275" s="433">
        <v>0</v>
      </c>
      <c r="G275" s="433">
        <v>0</v>
      </c>
      <c r="H275" s="433">
        <v>0</v>
      </c>
      <c r="I275" s="433">
        <v>0</v>
      </c>
      <c r="J275" s="26">
        <f t="shared" si="41"/>
        <v>0</v>
      </c>
      <c r="K275" s="26">
        <f t="shared" si="42"/>
        <v>0</v>
      </c>
      <c r="L275" s="433">
        <f t="shared" si="43"/>
        <v>0</v>
      </c>
      <c r="M275" s="16" t="s">
        <v>1753</v>
      </c>
      <c r="N275" s="16" t="s">
        <v>1754</v>
      </c>
    </row>
    <row r="276" spans="1:14" x14ac:dyDescent="0.4">
      <c r="A276" s="16">
        <v>161119</v>
      </c>
      <c r="B276" s="16">
        <v>45</v>
      </c>
      <c r="C276" s="16">
        <f t="shared" si="40"/>
        <v>225</v>
      </c>
      <c r="D276" s="799">
        <v>0</v>
      </c>
      <c r="E276" s="799">
        <v>0</v>
      </c>
      <c r="F276" s="799">
        <v>0</v>
      </c>
      <c r="G276" s="799">
        <v>0</v>
      </c>
      <c r="H276" s="799">
        <v>0</v>
      </c>
      <c r="I276" s="799">
        <v>0</v>
      </c>
      <c r="J276" s="800">
        <f t="shared" si="41"/>
        <v>0</v>
      </c>
      <c r="K276" s="800">
        <f t="shared" si="42"/>
        <v>0</v>
      </c>
      <c r="L276" s="799">
        <f t="shared" si="43"/>
        <v>0</v>
      </c>
      <c r="M276" s="16" t="s">
        <v>1755</v>
      </c>
      <c r="N276" s="16" t="s">
        <v>1756</v>
      </c>
    </row>
    <row r="277" spans="1:14" x14ac:dyDescent="0.4">
      <c r="A277" s="16">
        <v>161120</v>
      </c>
      <c r="B277" s="16">
        <v>45</v>
      </c>
      <c r="C277" s="16">
        <f t="shared" si="40"/>
        <v>225</v>
      </c>
      <c r="D277" s="774">
        <v>0</v>
      </c>
      <c r="E277" s="774">
        <v>0</v>
      </c>
      <c r="F277" s="774">
        <v>0</v>
      </c>
      <c r="G277" s="774">
        <v>0</v>
      </c>
      <c r="H277" s="774">
        <v>0</v>
      </c>
      <c r="I277" s="774">
        <v>0</v>
      </c>
      <c r="J277" s="775">
        <f t="shared" si="41"/>
        <v>0</v>
      </c>
      <c r="K277" s="775">
        <f t="shared" si="42"/>
        <v>0</v>
      </c>
      <c r="L277" s="774">
        <f t="shared" si="43"/>
        <v>0</v>
      </c>
      <c r="M277" s="16" t="s">
        <v>1757</v>
      </c>
      <c r="N277" s="16" t="s">
        <v>1758</v>
      </c>
    </row>
    <row r="278" spans="1:14" x14ac:dyDescent="0.4">
      <c r="A278" s="16">
        <v>161121</v>
      </c>
      <c r="B278" s="16">
        <v>60</v>
      </c>
      <c r="C278" s="16">
        <f t="shared" si="40"/>
        <v>300</v>
      </c>
      <c r="D278" s="433">
        <v>0</v>
      </c>
      <c r="E278" s="433">
        <v>0</v>
      </c>
      <c r="F278" s="433">
        <v>0</v>
      </c>
      <c r="G278" s="433">
        <v>0</v>
      </c>
      <c r="H278" s="433">
        <v>0</v>
      </c>
      <c r="I278" s="433">
        <v>0</v>
      </c>
      <c r="J278" s="26">
        <f t="shared" si="41"/>
        <v>0</v>
      </c>
      <c r="K278" s="26">
        <f t="shared" si="42"/>
        <v>0</v>
      </c>
      <c r="L278" s="433">
        <f t="shared" si="43"/>
        <v>0</v>
      </c>
      <c r="M278" s="16" t="s">
        <v>1759</v>
      </c>
      <c r="N278" s="16" t="s">
        <v>1760</v>
      </c>
    </row>
    <row r="279" spans="1:14" x14ac:dyDescent="0.4">
      <c r="A279" s="1">
        <v>161122</v>
      </c>
      <c r="B279" s="1">
        <v>60</v>
      </c>
      <c r="C279" s="1">
        <f t="shared" si="40"/>
        <v>300</v>
      </c>
      <c r="D279" s="984">
        <v>0</v>
      </c>
      <c r="E279" s="984">
        <v>0</v>
      </c>
      <c r="F279" s="984">
        <v>0</v>
      </c>
      <c r="G279" s="984">
        <v>0</v>
      </c>
      <c r="H279" s="984">
        <v>1</v>
      </c>
      <c r="I279" s="984">
        <v>1</v>
      </c>
      <c r="J279" s="140">
        <f t="shared" si="41"/>
        <v>2</v>
      </c>
      <c r="K279" s="140">
        <f t="shared" si="42"/>
        <v>1</v>
      </c>
      <c r="L279" s="984">
        <f t="shared" si="43"/>
        <v>60</v>
      </c>
      <c r="M279" s="1" t="s">
        <v>1761</v>
      </c>
      <c r="N279" s="1" t="s">
        <v>1762</v>
      </c>
    </row>
    <row r="280" spans="1:14" x14ac:dyDescent="0.4">
      <c r="A280" s="16">
        <v>161123</v>
      </c>
      <c r="B280" s="16">
        <v>45</v>
      </c>
      <c r="C280" s="16">
        <f t="shared" si="40"/>
        <v>225</v>
      </c>
      <c r="D280" s="512">
        <v>0</v>
      </c>
      <c r="E280" s="512">
        <v>0</v>
      </c>
      <c r="F280" s="512">
        <v>0</v>
      </c>
      <c r="G280" s="512">
        <v>0</v>
      </c>
      <c r="H280" s="512">
        <v>0</v>
      </c>
      <c r="I280" s="512">
        <v>0</v>
      </c>
      <c r="J280" s="513">
        <f t="shared" si="41"/>
        <v>0</v>
      </c>
      <c r="K280" s="513">
        <f t="shared" si="42"/>
        <v>0</v>
      </c>
      <c r="L280" s="512">
        <f t="shared" si="43"/>
        <v>0</v>
      </c>
      <c r="M280" s="16" t="s">
        <v>1764</v>
      </c>
      <c r="N280" s="16" t="s">
        <v>1763</v>
      </c>
    </row>
    <row r="281" spans="1:14" x14ac:dyDescent="0.4">
      <c r="A281" s="16">
        <v>161124</v>
      </c>
      <c r="B281" s="16">
        <v>60</v>
      </c>
      <c r="C281" s="16">
        <f t="shared" si="40"/>
        <v>300</v>
      </c>
      <c r="D281" s="541">
        <v>0</v>
      </c>
      <c r="E281" s="541">
        <v>0</v>
      </c>
      <c r="F281" s="541">
        <v>0</v>
      </c>
      <c r="G281" s="541">
        <v>0</v>
      </c>
      <c r="H281" s="541">
        <v>0</v>
      </c>
      <c r="I281" s="541">
        <v>0</v>
      </c>
      <c r="J281" s="542">
        <f t="shared" si="41"/>
        <v>0</v>
      </c>
      <c r="K281" s="542">
        <f t="shared" si="42"/>
        <v>0</v>
      </c>
      <c r="L281" s="541">
        <f t="shared" si="43"/>
        <v>0</v>
      </c>
      <c r="M281" s="16" t="s">
        <v>1765</v>
      </c>
      <c r="N281" s="16" t="s">
        <v>1766</v>
      </c>
    </row>
    <row r="282" spans="1:14" x14ac:dyDescent="0.4">
      <c r="A282" s="16">
        <v>161125</v>
      </c>
      <c r="B282" s="16">
        <v>60</v>
      </c>
      <c r="C282" s="16">
        <f t="shared" si="40"/>
        <v>300</v>
      </c>
      <c r="D282" s="749">
        <v>0</v>
      </c>
      <c r="E282" s="749">
        <v>0</v>
      </c>
      <c r="F282" s="749">
        <v>0</v>
      </c>
      <c r="G282" s="749">
        <v>0</v>
      </c>
      <c r="H282" s="749">
        <v>0</v>
      </c>
      <c r="I282" s="749">
        <v>0</v>
      </c>
      <c r="J282" s="750">
        <f t="shared" si="41"/>
        <v>0</v>
      </c>
      <c r="K282" s="750">
        <f t="shared" si="42"/>
        <v>0</v>
      </c>
      <c r="L282" s="749">
        <f t="shared" si="43"/>
        <v>0</v>
      </c>
      <c r="M282" s="16" t="s">
        <v>1765</v>
      </c>
      <c r="N282" s="16" t="s">
        <v>1766</v>
      </c>
    </row>
    <row r="283" spans="1:14" x14ac:dyDescent="0.4">
      <c r="A283" s="1">
        <v>161126</v>
      </c>
      <c r="B283" s="1">
        <v>45</v>
      </c>
      <c r="C283" s="1">
        <f t="shared" si="40"/>
        <v>225</v>
      </c>
      <c r="D283" s="984">
        <v>0</v>
      </c>
      <c r="E283" s="984">
        <v>0</v>
      </c>
      <c r="F283" s="984">
        <v>0</v>
      </c>
      <c r="G283" s="984">
        <v>0</v>
      </c>
      <c r="H283" s="984">
        <v>1</v>
      </c>
      <c r="I283" s="984">
        <v>1</v>
      </c>
      <c r="J283" s="140">
        <f t="shared" si="41"/>
        <v>2</v>
      </c>
      <c r="K283" s="140">
        <f t="shared" si="42"/>
        <v>1</v>
      </c>
      <c r="L283" s="984">
        <f t="shared" si="43"/>
        <v>45</v>
      </c>
      <c r="M283" s="1" t="s">
        <v>1765</v>
      </c>
      <c r="N283" s="1" t="s">
        <v>1766</v>
      </c>
    </row>
    <row r="284" spans="1:14" x14ac:dyDescent="0.4">
      <c r="A284" s="16">
        <v>161127</v>
      </c>
      <c r="B284" s="16">
        <v>45</v>
      </c>
      <c r="C284" s="16">
        <f t="shared" si="40"/>
        <v>225</v>
      </c>
      <c r="D284" s="456">
        <v>0</v>
      </c>
      <c r="E284" s="456">
        <v>0</v>
      </c>
      <c r="F284" s="456">
        <v>0</v>
      </c>
      <c r="G284" s="456">
        <v>0</v>
      </c>
      <c r="H284" s="456">
        <v>0</v>
      </c>
      <c r="I284" s="456">
        <v>0</v>
      </c>
      <c r="J284" s="26">
        <f t="shared" si="41"/>
        <v>0</v>
      </c>
      <c r="K284" s="26">
        <f t="shared" si="42"/>
        <v>0</v>
      </c>
      <c r="L284" s="456">
        <f t="shared" si="43"/>
        <v>0</v>
      </c>
      <c r="M284" s="16" t="s">
        <v>1767</v>
      </c>
      <c r="N284" s="16" t="s">
        <v>1768</v>
      </c>
    </row>
    <row r="285" spans="1:14" x14ac:dyDescent="0.4">
      <c r="A285" s="1">
        <v>161128</v>
      </c>
      <c r="B285" s="1">
        <v>45</v>
      </c>
      <c r="C285" s="1">
        <f t="shared" si="40"/>
        <v>225</v>
      </c>
      <c r="D285" s="984">
        <v>0</v>
      </c>
      <c r="E285" s="984">
        <v>0</v>
      </c>
      <c r="F285" s="984">
        <v>0</v>
      </c>
      <c r="G285" s="984">
        <v>0</v>
      </c>
      <c r="H285" s="984">
        <v>0</v>
      </c>
      <c r="I285" s="984">
        <v>1</v>
      </c>
      <c r="J285" s="140">
        <f t="shared" si="41"/>
        <v>1</v>
      </c>
      <c r="K285" s="140">
        <f t="shared" si="42"/>
        <v>0</v>
      </c>
      <c r="L285" s="984">
        <f t="shared" si="43"/>
        <v>0</v>
      </c>
      <c r="M285" s="1" t="s">
        <v>1767</v>
      </c>
      <c r="N285" s="1" t="s">
        <v>1768</v>
      </c>
    </row>
    <row r="286" spans="1:14" x14ac:dyDescent="0.4">
      <c r="A286" s="1">
        <v>161129</v>
      </c>
      <c r="B286" s="1">
        <v>45</v>
      </c>
      <c r="C286" s="1">
        <f t="shared" si="40"/>
        <v>225</v>
      </c>
      <c r="D286" s="984">
        <v>0</v>
      </c>
      <c r="E286" s="984">
        <v>0</v>
      </c>
      <c r="F286" s="984">
        <v>0</v>
      </c>
      <c r="G286" s="984">
        <v>0</v>
      </c>
      <c r="H286" s="984">
        <v>0</v>
      </c>
      <c r="I286" s="984">
        <v>1</v>
      </c>
      <c r="J286" s="140">
        <f t="shared" si="41"/>
        <v>1</v>
      </c>
      <c r="K286" s="140">
        <f t="shared" si="42"/>
        <v>0</v>
      </c>
      <c r="L286" s="984">
        <f t="shared" si="43"/>
        <v>0</v>
      </c>
      <c r="M286" s="1" t="s">
        <v>1772</v>
      </c>
      <c r="N286" s="1" t="s">
        <v>1773</v>
      </c>
    </row>
    <row r="287" spans="1:14" x14ac:dyDescent="0.4">
      <c r="A287" s="16">
        <v>161130</v>
      </c>
      <c r="B287" s="16">
        <v>45</v>
      </c>
      <c r="C287" s="16">
        <f t="shared" si="40"/>
        <v>225</v>
      </c>
      <c r="D287" s="419">
        <v>0</v>
      </c>
      <c r="E287" s="419">
        <v>0</v>
      </c>
      <c r="F287" s="419">
        <v>0</v>
      </c>
      <c r="G287" s="419">
        <v>0</v>
      </c>
      <c r="H287" s="419">
        <v>0</v>
      </c>
      <c r="I287" s="419">
        <v>0</v>
      </c>
      <c r="J287" s="26">
        <f t="shared" si="41"/>
        <v>0</v>
      </c>
      <c r="K287" s="26">
        <f t="shared" si="42"/>
        <v>0</v>
      </c>
      <c r="L287" s="419">
        <f t="shared" si="43"/>
        <v>0</v>
      </c>
      <c r="M287" s="16" t="s">
        <v>1770</v>
      </c>
      <c r="N287" s="16" t="s">
        <v>1771</v>
      </c>
    </row>
    <row r="288" spans="1:14" x14ac:dyDescent="0.4">
      <c r="A288" s="16">
        <v>161131</v>
      </c>
      <c r="B288" s="16">
        <v>45</v>
      </c>
      <c r="C288" s="16">
        <f t="shared" si="40"/>
        <v>225</v>
      </c>
      <c r="D288" s="445">
        <v>0</v>
      </c>
      <c r="E288" s="445">
        <v>0</v>
      </c>
      <c r="F288" s="445">
        <v>0</v>
      </c>
      <c r="G288" s="445">
        <v>0</v>
      </c>
      <c r="H288" s="445">
        <v>0</v>
      </c>
      <c r="I288" s="445">
        <v>0</v>
      </c>
      <c r="J288" s="26">
        <f t="shared" si="41"/>
        <v>0</v>
      </c>
      <c r="K288" s="26">
        <f t="shared" si="42"/>
        <v>0</v>
      </c>
      <c r="L288" s="445">
        <f t="shared" si="43"/>
        <v>0</v>
      </c>
      <c r="M288" s="16" t="s">
        <v>1774</v>
      </c>
      <c r="N288" s="16" t="s">
        <v>1775</v>
      </c>
    </row>
    <row r="289" spans="1:15" x14ac:dyDescent="0.4">
      <c r="A289" s="16">
        <v>161132</v>
      </c>
      <c r="B289" s="16">
        <v>45</v>
      </c>
      <c r="C289" s="16">
        <f t="shared" si="40"/>
        <v>225</v>
      </c>
      <c r="D289" s="821">
        <v>0</v>
      </c>
      <c r="E289" s="821">
        <v>0</v>
      </c>
      <c r="F289" s="821">
        <v>0</v>
      </c>
      <c r="G289" s="821">
        <v>0</v>
      </c>
      <c r="H289" s="821">
        <v>0</v>
      </c>
      <c r="I289" s="821">
        <v>0</v>
      </c>
      <c r="J289" s="822">
        <f t="shared" si="41"/>
        <v>0</v>
      </c>
      <c r="K289" s="822">
        <f t="shared" si="42"/>
        <v>0</v>
      </c>
      <c r="L289" s="821">
        <f t="shared" si="43"/>
        <v>0</v>
      </c>
      <c r="M289" s="16" t="s">
        <v>1774</v>
      </c>
      <c r="N289" s="16" t="s">
        <v>1775</v>
      </c>
    </row>
    <row r="290" spans="1:15" x14ac:dyDescent="0.4">
      <c r="A290" s="16">
        <v>161133</v>
      </c>
      <c r="B290" s="16">
        <v>45</v>
      </c>
      <c r="C290" s="16">
        <f t="shared" si="40"/>
        <v>225</v>
      </c>
      <c r="D290" s="551">
        <v>0</v>
      </c>
      <c r="E290" s="551">
        <v>0</v>
      </c>
      <c r="F290" s="551">
        <v>0</v>
      </c>
      <c r="G290" s="551">
        <v>0</v>
      </c>
      <c r="H290" s="551">
        <v>0</v>
      </c>
      <c r="I290" s="551">
        <v>0</v>
      </c>
      <c r="J290" s="552">
        <f t="shared" si="41"/>
        <v>0</v>
      </c>
      <c r="K290" s="552">
        <f t="shared" si="42"/>
        <v>0</v>
      </c>
      <c r="L290" s="551">
        <f t="shared" si="43"/>
        <v>0</v>
      </c>
      <c r="M290" s="16" t="s">
        <v>1774</v>
      </c>
      <c r="N290" s="16" t="s">
        <v>1775</v>
      </c>
    </row>
    <row r="291" spans="1:15" x14ac:dyDescent="0.4">
      <c r="A291" s="16">
        <v>161134</v>
      </c>
      <c r="B291" s="16">
        <v>60</v>
      </c>
      <c r="C291" s="16">
        <f t="shared" si="40"/>
        <v>300</v>
      </c>
      <c r="D291" s="460">
        <v>0</v>
      </c>
      <c r="E291" s="460">
        <v>0</v>
      </c>
      <c r="F291" s="460">
        <v>0</v>
      </c>
      <c r="G291" s="460">
        <v>0</v>
      </c>
      <c r="H291" s="460">
        <v>0</v>
      </c>
      <c r="I291" s="460">
        <v>0</v>
      </c>
      <c r="J291" s="26">
        <f t="shared" si="41"/>
        <v>0</v>
      </c>
      <c r="K291" s="26">
        <f t="shared" si="42"/>
        <v>0</v>
      </c>
      <c r="L291" s="460">
        <f t="shared" si="43"/>
        <v>0</v>
      </c>
      <c r="M291" s="16" t="s">
        <v>1776</v>
      </c>
      <c r="N291" s="16" t="s">
        <v>1777</v>
      </c>
    </row>
    <row r="292" spans="1:15" x14ac:dyDescent="0.4">
      <c r="A292" s="16">
        <v>161135</v>
      </c>
      <c r="B292" s="16">
        <v>45</v>
      </c>
      <c r="C292" s="16">
        <f t="shared" si="40"/>
        <v>225</v>
      </c>
      <c r="D292" s="466">
        <v>0</v>
      </c>
      <c r="E292" s="466">
        <v>0</v>
      </c>
      <c r="F292" s="466">
        <v>0</v>
      </c>
      <c r="G292" s="466">
        <v>0</v>
      </c>
      <c r="H292" s="466">
        <v>0</v>
      </c>
      <c r="I292" s="466">
        <v>0</v>
      </c>
      <c r="J292" s="26">
        <f t="shared" si="41"/>
        <v>0</v>
      </c>
      <c r="K292" s="26">
        <f t="shared" si="42"/>
        <v>0</v>
      </c>
      <c r="L292" s="466">
        <f t="shared" si="43"/>
        <v>0</v>
      </c>
      <c r="M292" s="16" t="s">
        <v>1778</v>
      </c>
      <c r="N292" s="16" t="s">
        <v>1779</v>
      </c>
    </row>
    <row r="293" spans="1:15" x14ac:dyDescent="0.4">
      <c r="A293" s="16">
        <v>161136</v>
      </c>
      <c r="B293" s="16">
        <v>60</v>
      </c>
      <c r="C293" s="16">
        <f t="shared" si="40"/>
        <v>300</v>
      </c>
      <c r="D293" s="516">
        <v>0</v>
      </c>
      <c r="E293" s="516">
        <v>0</v>
      </c>
      <c r="F293" s="516">
        <v>0</v>
      </c>
      <c r="G293" s="516">
        <v>0</v>
      </c>
      <c r="H293" s="516">
        <v>0</v>
      </c>
      <c r="I293" s="516">
        <v>0</v>
      </c>
      <c r="J293" s="517">
        <f t="shared" si="41"/>
        <v>0</v>
      </c>
      <c r="K293" s="517">
        <f t="shared" si="42"/>
        <v>0</v>
      </c>
      <c r="L293" s="516">
        <f t="shared" si="43"/>
        <v>0</v>
      </c>
      <c r="M293" s="16" t="s">
        <v>1780</v>
      </c>
      <c r="N293" s="16" t="s">
        <v>1781</v>
      </c>
    </row>
    <row r="294" spans="1:15" x14ac:dyDescent="0.4">
      <c r="A294" s="16">
        <v>161137</v>
      </c>
      <c r="B294" s="16"/>
      <c r="C294" s="16">
        <f t="shared" si="40"/>
        <v>0</v>
      </c>
      <c r="D294" s="586">
        <v>0</v>
      </c>
      <c r="E294" s="586">
        <v>0</v>
      </c>
      <c r="F294" s="586">
        <v>0</v>
      </c>
      <c r="G294" s="586">
        <v>0</v>
      </c>
      <c r="H294" s="586">
        <v>0</v>
      </c>
      <c r="I294" s="586">
        <v>0</v>
      </c>
      <c r="J294" s="587">
        <f t="shared" si="41"/>
        <v>0</v>
      </c>
      <c r="K294" s="587">
        <f t="shared" si="42"/>
        <v>0</v>
      </c>
      <c r="L294" s="586">
        <f t="shared" si="43"/>
        <v>0</v>
      </c>
      <c r="M294" s="16"/>
      <c r="N294" s="16"/>
      <c r="O294" t="s">
        <v>1848</v>
      </c>
    </row>
    <row r="295" spans="1:15" x14ac:dyDescent="0.4">
      <c r="A295" s="16">
        <v>161138</v>
      </c>
      <c r="B295" s="16">
        <v>60</v>
      </c>
      <c r="C295" s="16">
        <f t="shared" si="40"/>
        <v>300</v>
      </c>
      <c r="D295" s="657">
        <v>0</v>
      </c>
      <c r="E295" s="657">
        <v>0</v>
      </c>
      <c r="F295" s="657">
        <v>0</v>
      </c>
      <c r="G295" s="657">
        <v>0</v>
      </c>
      <c r="H295" s="657">
        <v>0</v>
      </c>
      <c r="I295" s="657">
        <v>0</v>
      </c>
      <c r="J295" s="658">
        <f t="shared" si="41"/>
        <v>0</v>
      </c>
      <c r="K295" s="658">
        <f t="shared" si="42"/>
        <v>0</v>
      </c>
      <c r="L295" s="657">
        <f t="shared" si="43"/>
        <v>0</v>
      </c>
      <c r="M295" s="16" t="s">
        <v>1783</v>
      </c>
      <c r="N295" s="16" t="s">
        <v>1784</v>
      </c>
    </row>
    <row r="296" spans="1:15" x14ac:dyDescent="0.4">
      <c r="A296" s="16">
        <v>161139</v>
      </c>
      <c r="B296" s="16">
        <v>60</v>
      </c>
      <c r="C296" s="16">
        <f t="shared" si="40"/>
        <v>300</v>
      </c>
      <c r="D296" s="678">
        <v>0</v>
      </c>
      <c r="E296" s="678">
        <v>0</v>
      </c>
      <c r="F296" s="678">
        <v>0</v>
      </c>
      <c r="G296" s="678">
        <v>0</v>
      </c>
      <c r="H296" s="678">
        <v>0</v>
      </c>
      <c r="I296" s="678">
        <v>0</v>
      </c>
      <c r="J296" s="679">
        <f t="shared" si="41"/>
        <v>0</v>
      </c>
      <c r="K296" s="679">
        <f t="shared" si="42"/>
        <v>0</v>
      </c>
      <c r="L296" s="678">
        <f t="shared" si="43"/>
        <v>0</v>
      </c>
      <c r="M296" s="16" t="s">
        <v>1782</v>
      </c>
      <c r="N296" s="16" t="s">
        <v>1785</v>
      </c>
    </row>
    <row r="297" spans="1:15" x14ac:dyDescent="0.4">
      <c r="A297" s="16">
        <v>161140</v>
      </c>
      <c r="B297" s="16">
        <v>50</v>
      </c>
      <c r="C297" s="16">
        <f t="shared" ref="C297:C326" si="44">SUM(B297*5)</f>
        <v>250</v>
      </c>
      <c r="D297" s="472">
        <v>0</v>
      </c>
      <c r="E297" s="472">
        <v>0</v>
      </c>
      <c r="F297" s="472">
        <v>0</v>
      </c>
      <c r="G297" s="472">
        <v>0</v>
      </c>
      <c r="H297" s="472">
        <v>0</v>
      </c>
      <c r="I297" s="472">
        <v>0</v>
      </c>
      <c r="J297" s="26">
        <f t="shared" ref="J297:J326" si="45">SUM(D297:I297)</f>
        <v>0</v>
      </c>
      <c r="K297" s="26">
        <f t="shared" ref="K297:K326" si="46">SUM(D297:H297)</f>
        <v>0</v>
      </c>
      <c r="L297" s="472">
        <f t="shared" ref="L297:L326" si="47">B297*K297</f>
        <v>0</v>
      </c>
      <c r="M297" s="16" t="s">
        <v>1786</v>
      </c>
      <c r="N297" s="16" t="s">
        <v>1787</v>
      </c>
    </row>
    <row r="298" spans="1:15" x14ac:dyDescent="0.4">
      <c r="A298" s="16">
        <v>161141</v>
      </c>
      <c r="B298" s="16">
        <v>45</v>
      </c>
      <c r="C298" s="16">
        <f t="shared" si="44"/>
        <v>225</v>
      </c>
      <c r="D298" s="958">
        <v>0</v>
      </c>
      <c r="E298" s="958">
        <v>0</v>
      </c>
      <c r="F298" s="958">
        <v>0</v>
      </c>
      <c r="G298" s="958">
        <v>0</v>
      </c>
      <c r="H298" s="958">
        <v>0</v>
      </c>
      <c r="I298" s="958">
        <v>0</v>
      </c>
      <c r="J298" s="959">
        <f t="shared" si="45"/>
        <v>0</v>
      </c>
      <c r="K298" s="959">
        <f t="shared" si="46"/>
        <v>0</v>
      </c>
      <c r="L298" s="958">
        <f t="shared" si="47"/>
        <v>0</v>
      </c>
      <c r="M298" s="16" t="s">
        <v>1788</v>
      </c>
      <c r="N298" s="16" t="s">
        <v>1789</v>
      </c>
    </row>
    <row r="299" spans="1:15" x14ac:dyDescent="0.4">
      <c r="A299" s="16">
        <v>161142</v>
      </c>
      <c r="B299" s="16">
        <v>45</v>
      </c>
      <c r="C299" s="16">
        <f t="shared" si="44"/>
        <v>225</v>
      </c>
      <c r="D299" s="553">
        <v>0</v>
      </c>
      <c r="E299" s="553">
        <v>0</v>
      </c>
      <c r="F299" s="553">
        <v>0</v>
      </c>
      <c r="G299" s="553">
        <v>0</v>
      </c>
      <c r="H299" s="553">
        <v>0</v>
      </c>
      <c r="I299" s="553">
        <v>0</v>
      </c>
      <c r="J299" s="554">
        <f t="shared" si="45"/>
        <v>0</v>
      </c>
      <c r="K299" s="554">
        <f t="shared" si="46"/>
        <v>0</v>
      </c>
      <c r="L299" s="553">
        <f t="shared" si="47"/>
        <v>0</v>
      </c>
      <c r="M299" s="16" t="s">
        <v>1788</v>
      </c>
      <c r="N299" s="16" t="s">
        <v>1789</v>
      </c>
    </row>
    <row r="300" spans="1:15" x14ac:dyDescent="0.4">
      <c r="A300" s="16">
        <v>161143</v>
      </c>
      <c r="B300" s="16">
        <v>60</v>
      </c>
      <c r="C300" s="16">
        <f t="shared" si="44"/>
        <v>300</v>
      </c>
      <c r="D300" s="914">
        <v>0</v>
      </c>
      <c r="E300" s="914">
        <v>0</v>
      </c>
      <c r="F300" s="914">
        <v>0</v>
      </c>
      <c r="G300" s="914">
        <v>0</v>
      </c>
      <c r="H300" s="914">
        <v>0</v>
      </c>
      <c r="I300" s="914">
        <v>0</v>
      </c>
      <c r="J300" s="915">
        <f t="shared" si="45"/>
        <v>0</v>
      </c>
      <c r="K300" s="915">
        <f t="shared" si="46"/>
        <v>0</v>
      </c>
      <c r="L300" s="914">
        <f t="shared" si="47"/>
        <v>0</v>
      </c>
      <c r="M300" s="16" t="s">
        <v>1788</v>
      </c>
      <c r="N300" s="16" t="s">
        <v>1789</v>
      </c>
    </row>
    <row r="301" spans="1:15" x14ac:dyDescent="0.4">
      <c r="A301" s="16">
        <v>161144</v>
      </c>
      <c r="B301" s="16">
        <v>60</v>
      </c>
      <c r="C301" s="16">
        <f t="shared" si="44"/>
        <v>300</v>
      </c>
      <c r="D301" s="825">
        <v>0</v>
      </c>
      <c r="E301" s="825">
        <v>0</v>
      </c>
      <c r="F301" s="825">
        <v>0</v>
      </c>
      <c r="G301" s="825">
        <v>0</v>
      </c>
      <c r="H301" s="825">
        <v>0</v>
      </c>
      <c r="I301" s="825">
        <v>0</v>
      </c>
      <c r="J301" s="826">
        <f t="shared" si="45"/>
        <v>0</v>
      </c>
      <c r="K301" s="826">
        <f t="shared" si="46"/>
        <v>0</v>
      </c>
      <c r="L301" s="825">
        <f t="shared" si="47"/>
        <v>0</v>
      </c>
      <c r="M301" s="16" t="s">
        <v>1788</v>
      </c>
      <c r="N301" s="16" t="s">
        <v>1789</v>
      </c>
    </row>
    <row r="302" spans="1:15" x14ac:dyDescent="0.4">
      <c r="A302" s="1">
        <v>161145</v>
      </c>
      <c r="B302" s="1">
        <v>45</v>
      </c>
      <c r="C302" s="1">
        <f t="shared" si="44"/>
        <v>225</v>
      </c>
      <c r="D302" s="984">
        <v>0</v>
      </c>
      <c r="E302" s="984">
        <v>0</v>
      </c>
      <c r="F302" s="984">
        <v>0</v>
      </c>
      <c r="G302" s="984">
        <v>0</v>
      </c>
      <c r="H302" s="984">
        <v>1</v>
      </c>
      <c r="I302" s="984">
        <v>1</v>
      </c>
      <c r="J302" s="140">
        <f t="shared" si="45"/>
        <v>2</v>
      </c>
      <c r="K302" s="140">
        <f t="shared" si="46"/>
        <v>1</v>
      </c>
      <c r="L302" s="984">
        <f t="shared" si="47"/>
        <v>45</v>
      </c>
      <c r="M302" s="1" t="s">
        <v>1790</v>
      </c>
      <c r="N302" s="1" t="s">
        <v>1791</v>
      </c>
    </row>
    <row r="303" spans="1:15" x14ac:dyDescent="0.4">
      <c r="A303" s="18">
        <v>161146</v>
      </c>
      <c r="B303" s="18">
        <v>45</v>
      </c>
      <c r="C303" s="18">
        <f t="shared" si="44"/>
        <v>225</v>
      </c>
      <c r="D303" s="19">
        <v>0</v>
      </c>
      <c r="E303" s="19">
        <v>0</v>
      </c>
      <c r="F303" s="19">
        <v>0</v>
      </c>
      <c r="G303" s="19">
        <v>0</v>
      </c>
      <c r="H303" s="19">
        <v>0</v>
      </c>
      <c r="I303" s="19">
        <v>0</v>
      </c>
      <c r="J303" s="28">
        <f t="shared" si="45"/>
        <v>0</v>
      </c>
      <c r="K303" s="28">
        <f t="shared" si="46"/>
        <v>0</v>
      </c>
      <c r="L303" s="19">
        <f t="shared" si="47"/>
        <v>0</v>
      </c>
      <c r="M303" s="18" t="s">
        <v>1792</v>
      </c>
      <c r="N303" s="18" t="s">
        <v>1793</v>
      </c>
    </row>
    <row r="304" spans="1:15" x14ac:dyDescent="0.4">
      <c r="A304" s="16">
        <v>161147</v>
      </c>
      <c r="B304" s="16">
        <v>45</v>
      </c>
      <c r="C304" s="16">
        <f t="shared" si="44"/>
        <v>225</v>
      </c>
      <c r="D304" s="470">
        <v>0</v>
      </c>
      <c r="E304" s="470">
        <v>0</v>
      </c>
      <c r="F304" s="470">
        <v>0</v>
      </c>
      <c r="G304" s="470">
        <v>0</v>
      </c>
      <c r="H304" s="470">
        <v>0</v>
      </c>
      <c r="I304" s="470">
        <v>0</v>
      </c>
      <c r="J304" s="26">
        <f t="shared" si="45"/>
        <v>0</v>
      </c>
      <c r="K304" s="26">
        <f t="shared" si="46"/>
        <v>0</v>
      </c>
      <c r="L304" s="470">
        <f t="shared" si="47"/>
        <v>0</v>
      </c>
      <c r="M304" s="16" t="s">
        <v>1792</v>
      </c>
      <c r="N304" s="16" t="s">
        <v>1793</v>
      </c>
    </row>
    <row r="305" spans="1:15" x14ac:dyDescent="0.4">
      <c r="A305" s="16">
        <v>161148</v>
      </c>
      <c r="B305" s="16">
        <v>45</v>
      </c>
      <c r="C305" s="16">
        <f t="shared" si="44"/>
        <v>225</v>
      </c>
      <c r="D305" s="712">
        <v>0</v>
      </c>
      <c r="E305" s="712">
        <v>0</v>
      </c>
      <c r="F305" s="712">
        <v>0</v>
      </c>
      <c r="G305" s="712">
        <v>0</v>
      </c>
      <c r="H305" s="712">
        <v>0</v>
      </c>
      <c r="I305" s="712">
        <v>0</v>
      </c>
      <c r="J305" s="713">
        <f t="shared" si="45"/>
        <v>0</v>
      </c>
      <c r="K305" s="713">
        <f t="shared" si="46"/>
        <v>0</v>
      </c>
      <c r="L305" s="712">
        <f t="shared" si="47"/>
        <v>0</v>
      </c>
      <c r="M305" s="16" t="s">
        <v>1792</v>
      </c>
      <c r="N305" s="16" t="s">
        <v>1793</v>
      </c>
    </row>
    <row r="306" spans="1:15" x14ac:dyDescent="0.4">
      <c r="A306" s="1">
        <v>161149</v>
      </c>
      <c r="B306" s="1">
        <v>45</v>
      </c>
      <c r="C306" s="1">
        <f t="shared" si="44"/>
        <v>225</v>
      </c>
      <c r="D306" s="984">
        <v>0</v>
      </c>
      <c r="E306" s="984">
        <v>0</v>
      </c>
      <c r="F306" s="984">
        <v>1</v>
      </c>
      <c r="G306" s="984">
        <v>1</v>
      </c>
      <c r="H306" s="984">
        <v>1</v>
      </c>
      <c r="I306" s="984">
        <v>1</v>
      </c>
      <c r="J306" s="140">
        <f t="shared" si="45"/>
        <v>4</v>
      </c>
      <c r="K306" s="140">
        <f t="shared" si="46"/>
        <v>3</v>
      </c>
      <c r="L306" s="984">
        <f t="shared" si="47"/>
        <v>135</v>
      </c>
      <c r="M306" s="1" t="s">
        <v>1792</v>
      </c>
      <c r="N306" s="1" t="s">
        <v>1793</v>
      </c>
    </row>
    <row r="307" spans="1:15" x14ac:dyDescent="0.4">
      <c r="A307" s="1">
        <v>161150</v>
      </c>
      <c r="B307" s="1">
        <v>45</v>
      </c>
      <c r="C307" s="1">
        <f t="shared" si="44"/>
        <v>225</v>
      </c>
      <c r="D307" s="984">
        <v>0</v>
      </c>
      <c r="E307" s="984">
        <v>0</v>
      </c>
      <c r="F307" s="984">
        <v>0</v>
      </c>
      <c r="G307" s="984">
        <v>0</v>
      </c>
      <c r="H307" s="984">
        <v>0</v>
      </c>
      <c r="I307" s="984">
        <v>1</v>
      </c>
      <c r="J307" s="140">
        <f t="shared" si="45"/>
        <v>1</v>
      </c>
      <c r="K307" s="140">
        <f t="shared" si="46"/>
        <v>0</v>
      </c>
      <c r="L307" s="984">
        <f t="shared" si="47"/>
        <v>0</v>
      </c>
      <c r="M307" s="1" t="s">
        <v>1794</v>
      </c>
      <c r="N307" s="1" t="s">
        <v>1795</v>
      </c>
    </row>
    <row r="308" spans="1:15" x14ac:dyDescent="0.4">
      <c r="A308" s="16">
        <v>161151</v>
      </c>
      <c r="B308" s="16">
        <v>50</v>
      </c>
      <c r="C308" s="16">
        <f t="shared" si="44"/>
        <v>250</v>
      </c>
      <c r="D308" s="674">
        <v>0</v>
      </c>
      <c r="E308" s="674">
        <v>0</v>
      </c>
      <c r="F308" s="674">
        <v>0</v>
      </c>
      <c r="G308" s="674">
        <v>0</v>
      </c>
      <c r="H308" s="674">
        <v>0</v>
      </c>
      <c r="I308" s="674">
        <v>0</v>
      </c>
      <c r="J308" s="675">
        <f t="shared" si="45"/>
        <v>0</v>
      </c>
      <c r="K308" s="675">
        <f t="shared" si="46"/>
        <v>0</v>
      </c>
      <c r="L308" s="674">
        <f t="shared" si="47"/>
        <v>0</v>
      </c>
      <c r="M308" s="16" t="s">
        <v>1794</v>
      </c>
      <c r="N308" s="16" t="s">
        <v>1795</v>
      </c>
    </row>
    <row r="309" spans="1:15" x14ac:dyDescent="0.4">
      <c r="A309" s="1">
        <v>161152</v>
      </c>
      <c r="B309" s="1">
        <v>60</v>
      </c>
      <c r="C309" s="1">
        <f t="shared" si="44"/>
        <v>300</v>
      </c>
      <c r="D309" s="984">
        <v>0</v>
      </c>
      <c r="E309" s="984">
        <v>0</v>
      </c>
      <c r="F309" s="984">
        <v>0</v>
      </c>
      <c r="G309" s="984">
        <v>0</v>
      </c>
      <c r="H309" s="984">
        <v>1</v>
      </c>
      <c r="I309" s="984">
        <v>1</v>
      </c>
      <c r="J309" s="140">
        <f t="shared" si="45"/>
        <v>2</v>
      </c>
      <c r="K309" s="140">
        <f t="shared" si="46"/>
        <v>1</v>
      </c>
      <c r="L309" s="984">
        <f t="shared" si="47"/>
        <v>60</v>
      </c>
      <c r="M309" s="1" t="s">
        <v>1794</v>
      </c>
      <c r="N309" s="1" t="s">
        <v>1795</v>
      </c>
      <c r="O309" t="s">
        <v>2772</v>
      </c>
    </row>
    <row r="310" spans="1:15" x14ac:dyDescent="0.4">
      <c r="A310" s="16">
        <v>161153</v>
      </c>
      <c r="B310" s="16">
        <v>60</v>
      </c>
      <c r="C310" s="16">
        <f t="shared" si="44"/>
        <v>300</v>
      </c>
      <c r="D310" s="566">
        <v>0</v>
      </c>
      <c r="E310" s="566">
        <v>0</v>
      </c>
      <c r="F310" s="566">
        <v>0</v>
      </c>
      <c r="G310" s="566">
        <v>0</v>
      </c>
      <c r="H310" s="566">
        <v>0</v>
      </c>
      <c r="I310" s="566">
        <v>0</v>
      </c>
      <c r="J310" s="567">
        <f t="shared" si="45"/>
        <v>0</v>
      </c>
      <c r="K310" s="567">
        <f t="shared" si="46"/>
        <v>0</v>
      </c>
      <c r="L310" s="566">
        <f t="shared" si="47"/>
        <v>0</v>
      </c>
      <c r="M310" s="16" t="s">
        <v>1796</v>
      </c>
      <c r="N310" s="16" t="s">
        <v>1797</v>
      </c>
    </row>
    <row r="311" spans="1:15" x14ac:dyDescent="0.4">
      <c r="A311" s="16">
        <v>161154</v>
      </c>
      <c r="B311" s="16">
        <v>45</v>
      </c>
      <c r="C311" s="16">
        <f t="shared" si="44"/>
        <v>225</v>
      </c>
      <c r="D311" s="462">
        <v>0</v>
      </c>
      <c r="E311" s="462">
        <v>0</v>
      </c>
      <c r="F311" s="462">
        <v>0</v>
      </c>
      <c r="G311" s="462">
        <v>0</v>
      </c>
      <c r="H311" s="462">
        <v>0</v>
      </c>
      <c r="I311" s="462">
        <v>0</v>
      </c>
      <c r="J311" s="26">
        <f t="shared" si="45"/>
        <v>0</v>
      </c>
      <c r="K311" s="26">
        <f t="shared" si="46"/>
        <v>0</v>
      </c>
      <c r="L311" s="462">
        <f t="shared" si="47"/>
        <v>0</v>
      </c>
      <c r="M311" s="16" t="s">
        <v>1796</v>
      </c>
      <c r="N311" s="16" t="s">
        <v>1797</v>
      </c>
    </row>
    <row r="312" spans="1:15" x14ac:dyDescent="0.4">
      <c r="A312" s="1">
        <v>161155</v>
      </c>
      <c r="B312" s="1">
        <v>45</v>
      </c>
      <c r="C312" s="1">
        <f t="shared" si="44"/>
        <v>225</v>
      </c>
      <c r="D312" s="984">
        <v>0</v>
      </c>
      <c r="E312" s="984">
        <v>0</v>
      </c>
      <c r="F312" s="984">
        <v>0</v>
      </c>
      <c r="G312" s="984">
        <v>1</v>
      </c>
      <c r="H312" s="984">
        <v>1</v>
      </c>
      <c r="I312" s="984">
        <v>1</v>
      </c>
      <c r="J312" s="140">
        <f t="shared" si="45"/>
        <v>3</v>
      </c>
      <c r="K312" s="140">
        <f t="shared" si="46"/>
        <v>2</v>
      </c>
      <c r="L312" s="984">
        <f t="shared" si="47"/>
        <v>90</v>
      </c>
      <c r="M312" s="1" t="s">
        <v>1798</v>
      </c>
      <c r="N312" s="1" t="s">
        <v>1799</v>
      </c>
      <c r="O312" t="s">
        <v>3263</v>
      </c>
    </row>
    <row r="313" spans="1:15" x14ac:dyDescent="0.4">
      <c r="A313" s="1">
        <v>161156</v>
      </c>
      <c r="B313" s="1">
        <v>60</v>
      </c>
      <c r="C313" s="1">
        <f t="shared" si="44"/>
        <v>300</v>
      </c>
      <c r="D313" s="984">
        <v>0</v>
      </c>
      <c r="E313" s="984">
        <v>0</v>
      </c>
      <c r="F313" s="984">
        <v>0</v>
      </c>
      <c r="G313" s="984">
        <v>0</v>
      </c>
      <c r="H313" s="984">
        <v>0</v>
      </c>
      <c r="I313" s="984">
        <v>0</v>
      </c>
      <c r="J313" s="140">
        <f t="shared" si="45"/>
        <v>0</v>
      </c>
      <c r="K313" s="140">
        <f t="shared" si="46"/>
        <v>0</v>
      </c>
      <c r="L313" s="984">
        <f t="shared" si="47"/>
        <v>0</v>
      </c>
      <c r="M313" s="1" t="s">
        <v>1800</v>
      </c>
      <c r="N313" s="1" t="s">
        <v>1801</v>
      </c>
    </row>
    <row r="314" spans="1:15" x14ac:dyDescent="0.4">
      <c r="A314" s="1">
        <v>161157</v>
      </c>
      <c r="B314" s="1">
        <v>45</v>
      </c>
      <c r="C314" s="1">
        <f t="shared" si="44"/>
        <v>225</v>
      </c>
      <c r="D314" s="984">
        <v>1</v>
      </c>
      <c r="E314" s="984">
        <v>1</v>
      </c>
      <c r="F314" s="984">
        <v>1</v>
      </c>
      <c r="G314" s="984">
        <v>1</v>
      </c>
      <c r="H314" s="984">
        <v>1</v>
      </c>
      <c r="I314" s="984">
        <v>1</v>
      </c>
      <c r="J314" s="140">
        <f t="shared" si="45"/>
        <v>6</v>
      </c>
      <c r="K314" s="140">
        <f t="shared" si="46"/>
        <v>5</v>
      </c>
      <c r="L314" s="984">
        <f t="shared" si="47"/>
        <v>225</v>
      </c>
      <c r="M314" s="1" t="s">
        <v>1800</v>
      </c>
      <c r="N314" s="1" t="s">
        <v>1801</v>
      </c>
    </row>
    <row r="315" spans="1:15" x14ac:dyDescent="0.4">
      <c r="A315" s="1">
        <v>161158</v>
      </c>
      <c r="B315" s="1">
        <v>45</v>
      </c>
      <c r="C315" s="1">
        <f t="shared" si="44"/>
        <v>225</v>
      </c>
      <c r="D315" s="984">
        <v>0</v>
      </c>
      <c r="E315" s="984">
        <v>0</v>
      </c>
      <c r="F315" s="984">
        <v>0</v>
      </c>
      <c r="G315" s="984">
        <v>0</v>
      </c>
      <c r="H315" s="984">
        <v>0</v>
      </c>
      <c r="I315" s="984">
        <v>0</v>
      </c>
      <c r="J315" s="140">
        <f t="shared" si="45"/>
        <v>0</v>
      </c>
      <c r="K315" s="140">
        <f t="shared" si="46"/>
        <v>0</v>
      </c>
      <c r="L315" s="984">
        <f t="shared" si="47"/>
        <v>0</v>
      </c>
      <c r="M315" s="1" t="s">
        <v>1800</v>
      </c>
      <c r="N315" s="1" t="s">
        <v>1801</v>
      </c>
    </row>
    <row r="316" spans="1:15" x14ac:dyDescent="0.4">
      <c r="A316" s="16">
        <v>161159</v>
      </c>
      <c r="B316" s="16">
        <v>60</v>
      </c>
      <c r="C316" s="16">
        <f t="shared" si="44"/>
        <v>300</v>
      </c>
      <c r="D316" s="447">
        <v>0</v>
      </c>
      <c r="E316" s="447">
        <v>0</v>
      </c>
      <c r="F316" s="447">
        <v>0</v>
      </c>
      <c r="G316" s="447">
        <v>0</v>
      </c>
      <c r="H316" s="447">
        <v>0</v>
      </c>
      <c r="I316" s="447">
        <v>0</v>
      </c>
      <c r="J316" s="26">
        <f t="shared" si="45"/>
        <v>0</v>
      </c>
      <c r="K316" s="26">
        <f t="shared" si="46"/>
        <v>0</v>
      </c>
      <c r="L316" s="447">
        <f t="shared" si="47"/>
        <v>0</v>
      </c>
      <c r="M316" s="16" t="s">
        <v>1804</v>
      </c>
      <c r="N316" s="16" t="s">
        <v>1805</v>
      </c>
    </row>
    <row r="317" spans="1:15" x14ac:dyDescent="0.4">
      <c r="A317" s="16">
        <v>161160</v>
      </c>
      <c r="B317" s="16">
        <v>60</v>
      </c>
      <c r="C317" s="16">
        <f t="shared" si="44"/>
        <v>300</v>
      </c>
      <c r="D317" s="553">
        <v>0</v>
      </c>
      <c r="E317" s="553">
        <v>0</v>
      </c>
      <c r="F317" s="553">
        <v>0</v>
      </c>
      <c r="G317" s="553">
        <v>0</v>
      </c>
      <c r="H317" s="553">
        <v>0</v>
      </c>
      <c r="I317" s="553">
        <v>0</v>
      </c>
      <c r="J317" s="554">
        <f t="shared" si="45"/>
        <v>0</v>
      </c>
      <c r="K317" s="554">
        <f t="shared" si="46"/>
        <v>0</v>
      </c>
      <c r="L317" s="553">
        <f t="shared" si="47"/>
        <v>0</v>
      </c>
      <c r="M317" s="16" t="s">
        <v>1804</v>
      </c>
      <c r="N317" s="16" t="s">
        <v>1805</v>
      </c>
    </row>
    <row r="318" spans="1:15" x14ac:dyDescent="0.4">
      <c r="A318" s="16">
        <v>161161</v>
      </c>
      <c r="B318" s="16">
        <v>45</v>
      </c>
      <c r="C318" s="16">
        <f t="shared" si="44"/>
        <v>225</v>
      </c>
      <c r="D318" s="872">
        <v>0</v>
      </c>
      <c r="E318" s="872">
        <v>0</v>
      </c>
      <c r="F318" s="872">
        <v>0</v>
      </c>
      <c r="G318" s="872">
        <v>0</v>
      </c>
      <c r="H318" s="872">
        <v>0</v>
      </c>
      <c r="I318" s="872">
        <v>0</v>
      </c>
      <c r="J318" s="873">
        <f t="shared" si="45"/>
        <v>0</v>
      </c>
      <c r="K318" s="873">
        <f t="shared" si="46"/>
        <v>0</v>
      </c>
      <c r="L318" s="872">
        <f t="shared" si="47"/>
        <v>0</v>
      </c>
      <c r="M318" s="16" t="s">
        <v>1804</v>
      </c>
      <c r="N318" s="16" t="s">
        <v>1805</v>
      </c>
    </row>
    <row r="319" spans="1:15" x14ac:dyDescent="0.4">
      <c r="A319" s="16">
        <v>161162</v>
      </c>
      <c r="B319" s="16">
        <v>45</v>
      </c>
      <c r="C319" s="16">
        <f t="shared" si="44"/>
        <v>225</v>
      </c>
      <c r="D319" s="970">
        <v>0</v>
      </c>
      <c r="E319" s="970">
        <v>0</v>
      </c>
      <c r="F319" s="970">
        <v>0</v>
      </c>
      <c r="G319" s="970">
        <v>0</v>
      </c>
      <c r="H319" s="970">
        <v>0</v>
      </c>
      <c r="I319" s="970">
        <v>0</v>
      </c>
      <c r="J319" s="971">
        <f t="shared" si="45"/>
        <v>0</v>
      </c>
      <c r="K319" s="971">
        <f t="shared" si="46"/>
        <v>0</v>
      </c>
      <c r="L319" s="970">
        <f t="shared" si="47"/>
        <v>0</v>
      </c>
      <c r="M319" s="16" t="s">
        <v>1802</v>
      </c>
      <c r="N319" s="16" t="s">
        <v>1803</v>
      </c>
    </row>
    <row r="320" spans="1:15" x14ac:dyDescent="0.4">
      <c r="A320" s="16">
        <v>161163</v>
      </c>
      <c r="B320" s="16">
        <v>60</v>
      </c>
      <c r="C320" s="16">
        <f t="shared" si="44"/>
        <v>300</v>
      </c>
      <c r="D320" s="1020">
        <v>0</v>
      </c>
      <c r="E320" s="1020">
        <v>0</v>
      </c>
      <c r="F320" s="1020">
        <v>0</v>
      </c>
      <c r="G320" s="1020">
        <v>0</v>
      </c>
      <c r="H320" s="1020">
        <v>0</v>
      </c>
      <c r="I320" s="1020">
        <v>0</v>
      </c>
      <c r="J320" s="1024">
        <f t="shared" si="45"/>
        <v>0</v>
      </c>
      <c r="K320" s="1024">
        <f t="shared" si="46"/>
        <v>0</v>
      </c>
      <c r="L320" s="1020">
        <f t="shared" si="47"/>
        <v>0</v>
      </c>
      <c r="M320" s="16" t="s">
        <v>1802</v>
      </c>
      <c r="N320" s="16" t="s">
        <v>1803</v>
      </c>
      <c r="O320" t="s">
        <v>2857</v>
      </c>
    </row>
    <row r="321" spans="1:20" x14ac:dyDescent="0.4">
      <c r="A321" s="16">
        <v>161164</v>
      </c>
      <c r="B321" s="16">
        <v>60</v>
      </c>
      <c r="C321" s="16">
        <f t="shared" si="44"/>
        <v>300</v>
      </c>
      <c r="D321" s="493">
        <v>0</v>
      </c>
      <c r="E321" s="493">
        <v>0</v>
      </c>
      <c r="F321" s="493">
        <v>0</v>
      </c>
      <c r="G321" s="493">
        <v>0</v>
      </c>
      <c r="H321" s="493">
        <v>0</v>
      </c>
      <c r="I321" s="493">
        <v>0</v>
      </c>
      <c r="J321" s="494">
        <f t="shared" si="45"/>
        <v>0</v>
      </c>
      <c r="K321" s="494">
        <f t="shared" si="46"/>
        <v>0</v>
      </c>
      <c r="L321" s="493">
        <f t="shared" si="47"/>
        <v>0</v>
      </c>
      <c r="M321" s="16" t="s">
        <v>1951</v>
      </c>
      <c r="N321" s="16" t="s">
        <v>1806</v>
      </c>
    </row>
    <row r="322" spans="1:20" x14ac:dyDescent="0.4">
      <c r="A322" s="16">
        <v>161165</v>
      </c>
      <c r="B322" s="16">
        <v>45</v>
      </c>
      <c r="C322" s="16">
        <f t="shared" si="44"/>
        <v>225</v>
      </c>
      <c r="D322" s="1053">
        <v>0</v>
      </c>
      <c r="E322" s="1053">
        <v>0</v>
      </c>
      <c r="F322" s="1053">
        <v>0</v>
      </c>
      <c r="G322" s="1053">
        <v>0</v>
      </c>
      <c r="H322" s="1053">
        <v>0</v>
      </c>
      <c r="I322" s="1053">
        <v>0</v>
      </c>
      <c r="J322" s="1054">
        <f t="shared" si="45"/>
        <v>0</v>
      </c>
      <c r="K322" s="1054">
        <f t="shared" si="46"/>
        <v>0</v>
      </c>
      <c r="L322" s="1053">
        <f t="shared" si="47"/>
        <v>0</v>
      </c>
      <c r="M322" s="16" t="s">
        <v>1949</v>
      </c>
      <c r="N322" s="16" t="s">
        <v>1950</v>
      </c>
      <c r="O322" s="16" t="s">
        <v>2872</v>
      </c>
      <c r="P322" s="16"/>
      <c r="Q322" s="16"/>
      <c r="R322" s="16"/>
    </row>
    <row r="323" spans="1:20" x14ac:dyDescent="0.4">
      <c r="A323" s="1">
        <v>161166</v>
      </c>
      <c r="B323" s="1">
        <v>45</v>
      </c>
      <c r="C323" s="1">
        <f t="shared" si="44"/>
        <v>225</v>
      </c>
      <c r="D323" s="984">
        <v>0</v>
      </c>
      <c r="E323" s="984">
        <v>0</v>
      </c>
      <c r="F323" s="984">
        <v>0</v>
      </c>
      <c r="G323" s="984">
        <v>0</v>
      </c>
      <c r="H323" s="984">
        <v>1</v>
      </c>
      <c r="I323" s="984">
        <v>1</v>
      </c>
      <c r="J323" s="140">
        <f t="shared" si="45"/>
        <v>2</v>
      </c>
      <c r="K323" s="140">
        <f t="shared" si="46"/>
        <v>1</v>
      </c>
      <c r="L323" s="984">
        <f t="shared" si="47"/>
        <v>45</v>
      </c>
      <c r="M323" s="1" t="s">
        <v>1808</v>
      </c>
      <c r="N323" s="1" t="s">
        <v>1807</v>
      </c>
    </row>
    <row r="324" spans="1:20" x14ac:dyDescent="0.4">
      <c r="A324" s="359">
        <v>161167</v>
      </c>
      <c r="B324" s="359">
        <v>45</v>
      </c>
      <c r="C324" s="359">
        <f t="shared" si="44"/>
        <v>225</v>
      </c>
      <c r="D324" s="1157">
        <v>0</v>
      </c>
      <c r="E324" s="1157">
        <v>0</v>
      </c>
      <c r="F324" s="1157">
        <v>0</v>
      </c>
      <c r="G324" s="1157">
        <v>1</v>
      </c>
      <c r="H324" s="1157">
        <v>1</v>
      </c>
      <c r="I324" s="1157">
        <v>1</v>
      </c>
      <c r="J324" s="360">
        <f t="shared" si="45"/>
        <v>3</v>
      </c>
      <c r="K324" s="360">
        <f t="shared" si="46"/>
        <v>2</v>
      </c>
      <c r="L324" s="1157">
        <f t="shared" si="47"/>
        <v>90</v>
      </c>
      <c r="M324" s="359" t="s">
        <v>1809</v>
      </c>
      <c r="N324" s="359" t="s">
        <v>1810</v>
      </c>
      <c r="O324" s="359" t="s">
        <v>3066</v>
      </c>
      <c r="P324" s="359"/>
      <c r="Q324" s="359"/>
      <c r="R324" s="359"/>
      <c r="S324" s="359"/>
      <c r="T324" s="359"/>
    </row>
    <row r="325" spans="1:20" x14ac:dyDescent="0.4">
      <c r="A325" s="16">
        <v>161168</v>
      </c>
      <c r="B325" s="16">
        <v>60</v>
      </c>
      <c r="C325" s="16">
        <f t="shared" si="44"/>
        <v>300</v>
      </c>
      <c r="D325" s="629">
        <v>0</v>
      </c>
      <c r="E325" s="629">
        <v>0</v>
      </c>
      <c r="F325" s="629">
        <v>0</v>
      </c>
      <c r="G325" s="629">
        <v>0</v>
      </c>
      <c r="H325" s="629">
        <v>0</v>
      </c>
      <c r="I325" s="629">
        <v>0</v>
      </c>
      <c r="J325" s="630">
        <f t="shared" si="45"/>
        <v>0</v>
      </c>
      <c r="K325" s="630">
        <f t="shared" si="46"/>
        <v>0</v>
      </c>
      <c r="L325" s="629">
        <f t="shared" si="47"/>
        <v>0</v>
      </c>
      <c r="M325" s="16" t="s">
        <v>1811</v>
      </c>
      <c r="N325" s="16" t="s">
        <v>1811</v>
      </c>
    </row>
    <row r="326" spans="1:20" x14ac:dyDescent="0.4">
      <c r="A326" s="1">
        <v>161169</v>
      </c>
      <c r="B326" s="1">
        <v>45</v>
      </c>
      <c r="C326" s="1">
        <f t="shared" si="44"/>
        <v>225</v>
      </c>
      <c r="D326" s="984">
        <v>0</v>
      </c>
      <c r="E326" s="984">
        <v>0</v>
      </c>
      <c r="F326" s="984">
        <v>0</v>
      </c>
      <c r="G326" s="984">
        <v>1</v>
      </c>
      <c r="H326" s="984">
        <v>1</v>
      </c>
      <c r="I326" s="984">
        <v>1</v>
      </c>
      <c r="J326" s="140">
        <f t="shared" si="45"/>
        <v>3</v>
      </c>
      <c r="K326" s="140">
        <f t="shared" si="46"/>
        <v>2</v>
      </c>
      <c r="L326" s="984">
        <f t="shared" si="47"/>
        <v>90</v>
      </c>
      <c r="M326" s="1" t="s">
        <v>1811</v>
      </c>
      <c r="N326" s="1" t="s">
        <v>1811</v>
      </c>
    </row>
    <row r="327" spans="1:20" x14ac:dyDescent="0.4">
      <c r="A327" s="16">
        <v>161170</v>
      </c>
      <c r="B327" s="16">
        <v>60</v>
      </c>
      <c r="C327" s="16">
        <f t="shared" ref="C327:C356" si="48">SUM(B327*5)</f>
        <v>300</v>
      </c>
      <c r="D327" s="962">
        <v>0</v>
      </c>
      <c r="E327" s="962">
        <v>0</v>
      </c>
      <c r="F327" s="962">
        <v>0</v>
      </c>
      <c r="G327" s="962">
        <v>0</v>
      </c>
      <c r="H327" s="962">
        <v>0</v>
      </c>
      <c r="I327" s="962">
        <v>0</v>
      </c>
      <c r="J327" s="963">
        <f t="shared" ref="J327:J356" si="49">SUM(D327:I327)</f>
        <v>0</v>
      </c>
      <c r="K327" s="963">
        <f t="shared" ref="K327:K356" si="50">SUM(D327:H327)</f>
        <v>0</v>
      </c>
      <c r="L327" s="962">
        <f t="shared" ref="L327:L356" si="51">B327*K327</f>
        <v>0</v>
      </c>
      <c r="M327" s="16" t="s">
        <v>1811</v>
      </c>
      <c r="N327" s="16" t="s">
        <v>1811</v>
      </c>
    </row>
    <row r="328" spans="1:20" x14ac:dyDescent="0.4">
      <c r="A328" s="16">
        <v>161171</v>
      </c>
      <c r="B328" s="16"/>
      <c r="C328" s="16">
        <f t="shared" si="48"/>
        <v>0</v>
      </c>
      <c r="D328" s="403">
        <v>0</v>
      </c>
      <c r="E328" s="403"/>
      <c r="F328" s="403"/>
      <c r="G328" s="403"/>
      <c r="H328" s="403"/>
      <c r="I328" s="403"/>
      <c r="J328" s="26">
        <f t="shared" si="49"/>
        <v>0</v>
      </c>
      <c r="K328" s="26">
        <f t="shared" si="50"/>
        <v>0</v>
      </c>
      <c r="L328" s="403">
        <f t="shared" si="51"/>
        <v>0</v>
      </c>
      <c r="M328" s="16" t="s">
        <v>1811</v>
      </c>
      <c r="N328" s="16" t="s">
        <v>1811</v>
      </c>
      <c r="O328" s="16" t="s">
        <v>1812</v>
      </c>
      <c r="P328" s="16"/>
    </row>
    <row r="329" spans="1:20" x14ac:dyDescent="0.4">
      <c r="A329" s="1">
        <v>161172</v>
      </c>
      <c r="B329" s="1">
        <v>45</v>
      </c>
      <c r="C329" s="1">
        <f t="shared" si="48"/>
        <v>225</v>
      </c>
      <c r="D329" s="984">
        <v>0</v>
      </c>
      <c r="E329" s="984">
        <v>0</v>
      </c>
      <c r="F329" s="984">
        <v>0</v>
      </c>
      <c r="G329" s="984">
        <v>1</v>
      </c>
      <c r="H329" s="984">
        <v>1</v>
      </c>
      <c r="I329" s="984">
        <v>1</v>
      </c>
      <c r="J329" s="140">
        <f t="shared" si="49"/>
        <v>3</v>
      </c>
      <c r="K329" s="140">
        <f t="shared" si="50"/>
        <v>2</v>
      </c>
      <c r="L329" s="984">
        <f t="shared" si="51"/>
        <v>90</v>
      </c>
      <c r="M329" s="1" t="s">
        <v>1813</v>
      </c>
      <c r="N329" s="1" t="s">
        <v>1814</v>
      </c>
    </row>
    <row r="330" spans="1:20" x14ac:dyDescent="0.4">
      <c r="A330" s="16">
        <v>161173</v>
      </c>
      <c r="B330" s="16">
        <v>60</v>
      </c>
      <c r="C330" s="16">
        <f t="shared" si="48"/>
        <v>300</v>
      </c>
      <c r="D330" s="629">
        <v>0</v>
      </c>
      <c r="E330" s="629">
        <v>0</v>
      </c>
      <c r="F330" s="629">
        <v>0</v>
      </c>
      <c r="G330" s="629">
        <v>0</v>
      </c>
      <c r="H330" s="629">
        <v>0</v>
      </c>
      <c r="I330" s="629">
        <v>0</v>
      </c>
      <c r="J330" s="630">
        <f t="shared" si="49"/>
        <v>0</v>
      </c>
      <c r="K330" s="630">
        <f t="shared" si="50"/>
        <v>0</v>
      </c>
      <c r="L330" s="629">
        <f t="shared" si="51"/>
        <v>0</v>
      </c>
      <c r="M330" s="16" t="s">
        <v>1815</v>
      </c>
      <c r="N330" s="16" t="s">
        <v>1816</v>
      </c>
    </row>
    <row r="331" spans="1:20" x14ac:dyDescent="0.4">
      <c r="A331" s="1">
        <v>161174</v>
      </c>
      <c r="B331" s="1">
        <v>60</v>
      </c>
      <c r="C331" s="1">
        <f t="shared" si="48"/>
        <v>300</v>
      </c>
      <c r="D331" s="984">
        <v>0</v>
      </c>
      <c r="E331" s="984">
        <v>0</v>
      </c>
      <c r="F331" s="984">
        <v>1</v>
      </c>
      <c r="G331" s="984">
        <v>1</v>
      </c>
      <c r="H331" s="984">
        <v>1</v>
      </c>
      <c r="I331" s="984">
        <v>1</v>
      </c>
      <c r="J331" s="140">
        <f t="shared" si="49"/>
        <v>4</v>
      </c>
      <c r="K331" s="140">
        <f t="shared" si="50"/>
        <v>3</v>
      </c>
      <c r="L331" s="984">
        <f t="shared" si="51"/>
        <v>180</v>
      </c>
      <c r="M331" s="1" t="s">
        <v>1821</v>
      </c>
      <c r="N331" s="1" t="s">
        <v>1822</v>
      </c>
    </row>
    <row r="332" spans="1:20" x14ac:dyDescent="0.4">
      <c r="A332" s="1">
        <v>161175</v>
      </c>
      <c r="B332" s="1"/>
      <c r="C332" s="1">
        <f t="shared" si="48"/>
        <v>0</v>
      </c>
      <c r="D332" s="389">
        <v>1</v>
      </c>
      <c r="E332" s="389"/>
      <c r="F332" s="389"/>
      <c r="G332" s="389"/>
      <c r="H332" s="389"/>
      <c r="I332" s="389"/>
      <c r="J332" s="140">
        <f t="shared" si="49"/>
        <v>1</v>
      </c>
      <c r="K332" s="140">
        <f t="shared" si="50"/>
        <v>1</v>
      </c>
      <c r="L332" s="389">
        <f t="shared" si="51"/>
        <v>0</v>
      </c>
      <c r="M332" s="1" t="s">
        <v>1818</v>
      </c>
      <c r="N332" s="1" t="s">
        <v>1819</v>
      </c>
      <c r="O332" s="1" t="s">
        <v>1817</v>
      </c>
      <c r="P332" s="1"/>
      <c r="Q332" s="390" t="s">
        <v>1820</v>
      </c>
    </row>
    <row r="333" spans="1:20" x14ac:dyDescent="0.4">
      <c r="A333" s="1">
        <v>161176</v>
      </c>
      <c r="B333" s="1"/>
      <c r="C333" s="1">
        <f t="shared" si="48"/>
        <v>0</v>
      </c>
      <c r="D333" s="1000">
        <v>0</v>
      </c>
      <c r="E333" s="1000">
        <v>0</v>
      </c>
      <c r="F333" s="1000">
        <v>0</v>
      </c>
      <c r="G333" s="1000">
        <v>0</v>
      </c>
      <c r="H333" s="1000">
        <v>0</v>
      </c>
      <c r="I333" s="1000">
        <v>1</v>
      </c>
      <c r="J333" s="140">
        <f t="shared" si="49"/>
        <v>1</v>
      </c>
      <c r="K333" s="140">
        <f t="shared" si="50"/>
        <v>0</v>
      </c>
      <c r="L333" s="1000">
        <f t="shared" si="51"/>
        <v>0</v>
      </c>
      <c r="M333" s="1"/>
      <c r="N333" s="1"/>
    </row>
    <row r="334" spans="1:20" x14ac:dyDescent="0.4">
      <c r="A334" s="1">
        <v>161177</v>
      </c>
      <c r="B334" s="1">
        <v>60</v>
      </c>
      <c r="C334" s="1">
        <f t="shared" si="48"/>
        <v>300</v>
      </c>
      <c r="D334" s="1000">
        <v>0</v>
      </c>
      <c r="E334" s="1000">
        <v>0</v>
      </c>
      <c r="F334" s="1000">
        <v>0</v>
      </c>
      <c r="G334" s="1000">
        <v>0</v>
      </c>
      <c r="H334" s="1000">
        <v>1</v>
      </c>
      <c r="I334" s="1000">
        <v>1</v>
      </c>
      <c r="J334" s="140">
        <f t="shared" si="49"/>
        <v>2</v>
      </c>
      <c r="K334" s="140">
        <f t="shared" si="50"/>
        <v>1</v>
      </c>
      <c r="L334" s="1000">
        <f t="shared" si="51"/>
        <v>60</v>
      </c>
      <c r="M334" s="1" t="s">
        <v>1823</v>
      </c>
      <c r="N334" s="1" t="s">
        <v>1824</v>
      </c>
    </row>
    <row r="335" spans="1:20" x14ac:dyDescent="0.4">
      <c r="A335" s="16">
        <v>161178</v>
      </c>
      <c r="B335" s="16">
        <v>45</v>
      </c>
      <c r="C335" s="16">
        <f t="shared" si="48"/>
        <v>225</v>
      </c>
      <c r="D335" s="588">
        <v>0</v>
      </c>
      <c r="E335" s="588">
        <v>0</v>
      </c>
      <c r="F335" s="588">
        <v>0</v>
      </c>
      <c r="G335" s="588">
        <v>0</v>
      </c>
      <c r="H335" s="588">
        <v>0</v>
      </c>
      <c r="I335" s="588">
        <v>0</v>
      </c>
      <c r="J335" s="589">
        <f t="shared" si="49"/>
        <v>0</v>
      </c>
      <c r="K335" s="589">
        <f t="shared" si="50"/>
        <v>0</v>
      </c>
      <c r="L335" s="588">
        <f t="shared" si="51"/>
        <v>0</v>
      </c>
      <c r="M335" s="16" t="s">
        <v>1825</v>
      </c>
      <c r="N335" s="16" t="s">
        <v>1826</v>
      </c>
    </row>
    <row r="336" spans="1:20" x14ac:dyDescent="0.4">
      <c r="A336" s="16">
        <v>161179</v>
      </c>
      <c r="B336" s="16">
        <v>45</v>
      </c>
      <c r="C336" s="16">
        <f t="shared" si="48"/>
        <v>225</v>
      </c>
      <c r="D336" s="457">
        <v>0</v>
      </c>
      <c r="E336" s="457">
        <v>0</v>
      </c>
      <c r="F336" s="457">
        <v>0</v>
      </c>
      <c r="G336" s="457">
        <v>0</v>
      </c>
      <c r="H336" s="457">
        <v>0</v>
      </c>
      <c r="I336" s="457">
        <v>0</v>
      </c>
      <c r="J336" s="26">
        <f t="shared" si="49"/>
        <v>0</v>
      </c>
      <c r="K336" s="26">
        <f t="shared" si="50"/>
        <v>0</v>
      </c>
      <c r="L336" s="457">
        <f t="shared" si="51"/>
        <v>0</v>
      </c>
      <c r="M336" s="16" t="s">
        <v>1829</v>
      </c>
      <c r="N336" s="16" t="s">
        <v>1830</v>
      </c>
    </row>
    <row r="337" spans="1:18" x14ac:dyDescent="0.4">
      <c r="A337" s="16">
        <v>161180</v>
      </c>
      <c r="B337" s="16">
        <v>45</v>
      </c>
      <c r="C337" s="16">
        <f t="shared" si="48"/>
        <v>225</v>
      </c>
      <c r="D337" s="431">
        <v>0</v>
      </c>
      <c r="E337" s="431">
        <v>0</v>
      </c>
      <c r="F337" s="431">
        <v>0</v>
      </c>
      <c r="G337" s="431">
        <v>0</v>
      </c>
      <c r="H337" s="431">
        <v>0</v>
      </c>
      <c r="I337" s="431">
        <v>0</v>
      </c>
      <c r="J337" s="26">
        <f t="shared" si="49"/>
        <v>0</v>
      </c>
      <c r="K337" s="26">
        <f t="shared" si="50"/>
        <v>0</v>
      </c>
      <c r="L337" s="431">
        <f t="shared" si="51"/>
        <v>0</v>
      </c>
      <c r="M337" s="16" t="s">
        <v>1827</v>
      </c>
      <c r="N337" s="16" t="s">
        <v>1828</v>
      </c>
    </row>
    <row r="338" spans="1:18" x14ac:dyDescent="0.4">
      <c r="A338" s="16">
        <v>161181</v>
      </c>
      <c r="B338" s="16">
        <v>90</v>
      </c>
      <c r="C338" s="16">
        <f t="shared" si="48"/>
        <v>450</v>
      </c>
      <c r="D338" s="482">
        <v>0</v>
      </c>
      <c r="E338" s="482">
        <v>0</v>
      </c>
      <c r="F338" s="482">
        <v>0</v>
      </c>
      <c r="G338" s="482">
        <v>0</v>
      </c>
      <c r="H338" s="482">
        <v>0</v>
      </c>
      <c r="I338" s="482">
        <v>0</v>
      </c>
      <c r="J338" s="26">
        <f t="shared" si="49"/>
        <v>0</v>
      </c>
      <c r="K338" s="26">
        <f t="shared" si="50"/>
        <v>0</v>
      </c>
      <c r="L338" s="482">
        <f t="shared" si="51"/>
        <v>0</v>
      </c>
      <c r="M338" s="16" t="s">
        <v>1831</v>
      </c>
      <c r="N338" s="16" t="s">
        <v>1832</v>
      </c>
    </row>
    <row r="339" spans="1:18" x14ac:dyDescent="0.4">
      <c r="A339" s="16">
        <v>161182</v>
      </c>
      <c r="B339" s="16">
        <v>45</v>
      </c>
      <c r="C339" s="16">
        <f t="shared" si="48"/>
        <v>225</v>
      </c>
      <c r="D339" s="611">
        <v>0</v>
      </c>
      <c r="E339" s="611">
        <v>0</v>
      </c>
      <c r="F339" s="611">
        <v>0</v>
      </c>
      <c r="G339" s="611">
        <v>0</v>
      </c>
      <c r="H339" s="611">
        <v>0</v>
      </c>
      <c r="I339" s="611">
        <v>0</v>
      </c>
      <c r="J339" s="612">
        <f t="shared" si="49"/>
        <v>0</v>
      </c>
      <c r="K339" s="612">
        <f t="shared" si="50"/>
        <v>0</v>
      </c>
      <c r="L339" s="611">
        <f t="shared" si="51"/>
        <v>0</v>
      </c>
      <c r="M339" s="16" t="s">
        <v>1831</v>
      </c>
      <c r="N339" s="16" t="s">
        <v>1832</v>
      </c>
    </row>
    <row r="340" spans="1:18" x14ac:dyDescent="0.4">
      <c r="A340" s="16">
        <v>161183</v>
      </c>
      <c r="B340" s="16">
        <v>45</v>
      </c>
      <c r="C340" s="16">
        <f t="shared" si="48"/>
        <v>225</v>
      </c>
      <c r="D340" s="945">
        <v>0</v>
      </c>
      <c r="E340" s="945">
        <v>0</v>
      </c>
      <c r="F340" s="945">
        <v>0</v>
      </c>
      <c r="G340" s="945">
        <v>0</v>
      </c>
      <c r="H340" s="945">
        <v>0</v>
      </c>
      <c r="I340" s="945">
        <v>0</v>
      </c>
      <c r="J340" s="946">
        <f t="shared" si="49"/>
        <v>0</v>
      </c>
      <c r="K340" s="946">
        <f t="shared" si="50"/>
        <v>0</v>
      </c>
      <c r="L340" s="945">
        <f t="shared" si="51"/>
        <v>0</v>
      </c>
      <c r="M340" s="16" t="s">
        <v>1833</v>
      </c>
      <c r="N340" s="16" t="s">
        <v>1834</v>
      </c>
    </row>
    <row r="341" spans="1:18" x14ac:dyDescent="0.4">
      <c r="A341" s="16">
        <v>161184</v>
      </c>
      <c r="B341" s="16">
        <v>60</v>
      </c>
      <c r="C341" s="16">
        <f t="shared" si="48"/>
        <v>300</v>
      </c>
      <c r="D341" s="483">
        <v>0</v>
      </c>
      <c r="E341" s="483">
        <v>0</v>
      </c>
      <c r="F341" s="483">
        <v>0</v>
      </c>
      <c r="G341" s="483">
        <v>0</v>
      </c>
      <c r="H341" s="483">
        <v>0</v>
      </c>
      <c r="I341" s="483">
        <v>0</v>
      </c>
      <c r="J341" s="26">
        <f t="shared" si="49"/>
        <v>0</v>
      </c>
      <c r="K341" s="26">
        <f t="shared" si="50"/>
        <v>0</v>
      </c>
      <c r="L341" s="483">
        <f t="shared" si="51"/>
        <v>0</v>
      </c>
      <c r="M341" s="16" t="s">
        <v>1833</v>
      </c>
      <c r="N341" s="16" t="s">
        <v>1834</v>
      </c>
    </row>
    <row r="342" spans="1:18" x14ac:dyDescent="0.4">
      <c r="A342" s="16">
        <v>161185</v>
      </c>
      <c r="B342" s="16">
        <v>45</v>
      </c>
      <c r="C342" s="16">
        <f t="shared" si="48"/>
        <v>225</v>
      </c>
      <c r="D342" s="539">
        <v>0</v>
      </c>
      <c r="E342" s="539">
        <v>0</v>
      </c>
      <c r="F342" s="539">
        <v>0</v>
      </c>
      <c r="G342" s="539">
        <v>0</v>
      </c>
      <c r="H342" s="539">
        <v>0</v>
      </c>
      <c r="I342" s="539">
        <v>0</v>
      </c>
      <c r="J342" s="540">
        <f t="shared" si="49"/>
        <v>0</v>
      </c>
      <c r="K342" s="540">
        <f t="shared" si="50"/>
        <v>0</v>
      </c>
      <c r="L342" s="539">
        <f t="shared" si="51"/>
        <v>0</v>
      </c>
      <c r="M342" s="16" t="s">
        <v>1837</v>
      </c>
      <c r="N342" s="16" t="s">
        <v>1838</v>
      </c>
    </row>
    <row r="343" spans="1:18" x14ac:dyDescent="0.4">
      <c r="A343" s="16">
        <v>161186</v>
      </c>
      <c r="B343" s="16">
        <v>45</v>
      </c>
      <c r="C343" s="16">
        <f t="shared" si="48"/>
        <v>225</v>
      </c>
      <c r="D343" s="592">
        <v>0</v>
      </c>
      <c r="E343" s="592">
        <v>0</v>
      </c>
      <c r="F343" s="592">
        <v>0</v>
      </c>
      <c r="G343" s="592">
        <v>0</v>
      </c>
      <c r="H343" s="592">
        <v>0</v>
      </c>
      <c r="I343" s="592">
        <v>0</v>
      </c>
      <c r="J343" s="593">
        <f t="shared" si="49"/>
        <v>0</v>
      </c>
      <c r="K343" s="593">
        <f t="shared" si="50"/>
        <v>0</v>
      </c>
      <c r="L343" s="592">
        <f t="shared" si="51"/>
        <v>0</v>
      </c>
      <c r="M343" s="16" t="s">
        <v>1836</v>
      </c>
      <c r="N343" s="16" t="s">
        <v>1835</v>
      </c>
    </row>
    <row r="344" spans="1:18" x14ac:dyDescent="0.4">
      <c r="A344" s="1">
        <v>161187</v>
      </c>
      <c r="B344" s="1">
        <v>60</v>
      </c>
      <c r="C344" s="1">
        <f t="shared" si="48"/>
        <v>300</v>
      </c>
      <c r="D344" s="1000">
        <v>0</v>
      </c>
      <c r="E344" s="1000">
        <v>0</v>
      </c>
      <c r="F344" s="1000">
        <v>0</v>
      </c>
      <c r="G344" s="1000">
        <v>1</v>
      </c>
      <c r="H344" s="1000">
        <v>1</v>
      </c>
      <c r="I344" s="1000">
        <v>1</v>
      </c>
      <c r="J344" s="140">
        <f t="shared" si="49"/>
        <v>3</v>
      </c>
      <c r="K344" s="140">
        <f t="shared" si="50"/>
        <v>2</v>
      </c>
      <c r="L344" s="1000">
        <f t="shared" si="51"/>
        <v>120</v>
      </c>
      <c r="M344" s="1" t="s">
        <v>1836</v>
      </c>
      <c r="N344" s="1" t="s">
        <v>1835</v>
      </c>
    </row>
    <row r="345" spans="1:18" x14ac:dyDescent="0.4">
      <c r="A345" s="1">
        <v>161188</v>
      </c>
      <c r="B345" s="1">
        <v>45</v>
      </c>
      <c r="C345" s="1">
        <f t="shared" si="48"/>
        <v>225</v>
      </c>
      <c r="D345" s="1000">
        <v>0</v>
      </c>
      <c r="E345" s="1000">
        <v>0</v>
      </c>
      <c r="F345" s="1000">
        <v>0</v>
      </c>
      <c r="G345" s="1000">
        <v>0</v>
      </c>
      <c r="H345" s="1000">
        <v>0</v>
      </c>
      <c r="I345" s="1000">
        <v>1</v>
      </c>
      <c r="J345" s="140">
        <f t="shared" si="49"/>
        <v>1</v>
      </c>
      <c r="K345" s="140">
        <f t="shared" si="50"/>
        <v>0</v>
      </c>
      <c r="L345" s="1000">
        <f t="shared" si="51"/>
        <v>0</v>
      </c>
      <c r="M345" s="1" t="s">
        <v>1839</v>
      </c>
      <c r="N345" s="1" t="s">
        <v>1840</v>
      </c>
    </row>
    <row r="346" spans="1:18" x14ac:dyDescent="0.4">
      <c r="A346" s="16">
        <v>161189</v>
      </c>
      <c r="B346" s="16">
        <v>60</v>
      </c>
      <c r="C346" s="16">
        <f t="shared" si="48"/>
        <v>300</v>
      </c>
      <c r="D346" s="424">
        <v>0</v>
      </c>
      <c r="E346" s="424">
        <v>0</v>
      </c>
      <c r="F346" s="424">
        <v>0</v>
      </c>
      <c r="G346" s="424">
        <v>0</v>
      </c>
      <c r="H346" s="424">
        <v>0</v>
      </c>
      <c r="I346" s="424">
        <v>0</v>
      </c>
      <c r="J346" s="26">
        <f t="shared" si="49"/>
        <v>0</v>
      </c>
      <c r="K346" s="26">
        <f t="shared" si="50"/>
        <v>0</v>
      </c>
      <c r="L346" s="424">
        <f t="shared" si="51"/>
        <v>0</v>
      </c>
      <c r="M346" s="16" t="s">
        <v>1839</v>
      </c>
      <c r="N346" s="16" t="s">
        <v>1840</v>
      </c>
    </row>
    <row r="347" spans="1:18" x14ac:dyDescent="0.4">
      <c r="A347" s="987">
        <v>161190</v>
      </c>
      <c r="B347" s="987">
        <v>45</v>
      </c>
      <c r="C347" s="987">
        <f t="shared" si="48"/>
        <v>225</v>
      </c>
      <c r="D347" s="988">
        <v>0</v>
      </c>
      <c r="E347" s="988">
        <v>0</v>
      </c>
      <c r="F347" s="988">
        <v>0</v>
      </c>
      <c r="G347" s="988">
        <v>0</v>
      </c>
      <c r="H347" s="988">
        <v>0</v>
      </c>
      <c r="I347" s="988">
        <v>1</v>
      </c>
      <c r="J347" s="989">
        <f t="shared" si="49"/>
        <v>1</v>
      </c>
      <c r="K347" s="989">
        <f t="shared" si="50"/>
        <v>0</v>
      </c>
      <c r="L347" s="988">
        <f t="shared" si="51"/>
        <v>0</v>
      </c>
      <c r="M347" s="987" t="s">
        <v>1841</v>
      </c>
      <c r="N347" s="987" t="s">
        <v>1840</v>
      </c>
      <c r="O347" s="987" t="s">
        <v>2835</v>
      </c>
      <c r="P347" s="987"/>
      <c r="Q347" s="987"/>
      <c r="R347" s="987"/>
    </row>
    <row r="348" spans="1:18" x14ac:dyDescent="0.4">
      <c r="A348" s="16">
        <v>161191</v>
      </c>
      <c r="B348" s="16">
        <v>60</v>
      </c>
      <c r="C348" s="16">
        <f t="shared" si="48"/>
        <v>300</v>
      </c>
      <c r="D348" s="506">
        <v>0</v>
      </c>
      <c r="E348" s="506">
        <v>0</v>
      </c>
      <c r="F348" s="506">
        <v>0</v>
      </c>
      <c r="G348" s="506">
        <v>0</v>
      </c>
      <c r="H348" s="506">
        <v>0</v>
      </c>
      <c r="I348" s="506">
        <v>0</v>
      </c>
      <c r="J348" s="507">
        <f t="shared" si="49"/>
        <v>0</v>
      </c>
      <c r="K348" s="507">
        <f t="shared" si="50"/>
        <v>0</v>
      </c>
      <c r="L348" s="506">
        <f t="shared" si="51"/>
        <v>0</v>
      </c>
      <c r="M348" s="16" t="s">
        <v>1851</v>
      </c>
      <c r="N348" s="16" t="s">
        <v>1852</v>
      </c>
    </row>
    <row r="349" spans="1:18" x14ac:dyDescent="0.4">
      <c r="A349" s="16">
        <v>161192</v>
      </c>
      <c r="B349" s="16">
        <v>50</v>
      </c>
      <c r="C349" s="16">
        <f t="shared" si="48"/>
        <v>250</v>
      </c>
      <c r="D349" s="926">
        <v>0</v>
      </c>
      <c r="E349" s="926">
        <v>0</v>
      </c>
      <c r="F349" s="926">
        <v>0</v>
      </c>
      <c r="G349" s="926">
        <v>0</v>
      </c>
      <c r="H349" s="926">
        <v>0</v>
      </c>
      <c r="I349" s="926">
        <v>0</v>
      </c>
      <c r="J349" s="927">
        <f t="shared" si="49"/>
        <v>0</v>
      </c>
      <c r="K349" s="927">
        <f t="shared" si="50"/>
        <v>0</v>
      </c>
      <c r="L349" s="926">
        <f t="shared" si="51"/>
        <v>0</v>
      </c>
      <c r="M349" s="16" t="s">
        <v>1842</v>
      </c>
      <c r="N349" s="16" t="s">
        <v>1843</v>
      </c>
    </row>
    <row r="350" spans="1:18" x14ac:dyDescent="0.4">
      <c r="A350" s="1">
        <v>161193</v>
      </c>
      <c r="B350" s="1">
        <v>45</v>
      </c>
      <c r="C350" s="1">
        <f t="shared" si="48"/>
        <v>225</v>
      </c>
      <c r="D350" s="1000">
        <v>0</v>
      </c>
      <c r="E350" s="1000">
        <v>0</v>
      </c>
      <c r="F350" s="1000">
        <v>0</v>
      </c>
      <c r="G350" s="1000">
        <v>0</v>
      </c>
      <c r="H350" s="1000">
        <v>0</v>
      </c>
      <c r="I350" s="1000">
        <v>0</v>
      </c>
      <c r="J350" s="140">
        <f t="shared" si="49"/>
        <v>0</v>
      </c>
      <c r="K350" s="140">
        <f t="shared" si="50"/>
        <v>0</v>
      </c>
      <c r="L350" s="1000">
        <f t="shared" si="51"/>
        <v>0</v>
      </c>
      <c r="M350" s="1" t="s">
        <v>1844</v>
      </c>
      <c r="N350" s="1" t="s">
        <v>1845</v>
      </c>
    </row>
    <row r="351" spans="1:18" x14ac:dyDescent="0.4">
      <c r="A351" s="16">
        <v>161194</v>
      </c>
      <c r="B351" s="16">
        <v>60</v>
      </c>
      <c r="C351" s="16">
        <f t="shared" si="48"/>
        <v>300</v>
      </c>
      <c r="D351" s="1003">
        <v>0</v>
      </c>
      <c r="E351" s="1003">
        <v>0</v>
      </c>
      <c r="F351" s="1003">
        <v>0</v>
      </c>
      <c r="G351" s="1003">
        <v>0</v>
      </c>
      <c r="H351" s="1003">
        <v>0</v>
      </c>
      <c r="I351" s="1003">
        <v>0</v>
      </c>
      <c r="J351" s="1004">
        <f t="shared" si="49"/>
        <v>0</v>
      </c>
      <c r="K351" s="1004">
        <f t="shared" si="50"/>
        <v>0</v>
      </c>
      <c r="L351" s="1003">
        <f t="shared" si="51"/>
        <v>0</v>
      </c>
      <c r="M351" s="16" t="s">
        <v>1844</v>
      </c>
      <c r="N351" s="16" t="s">
        <v>1845</v>
      </c>
    </row>
    <row r="352" spans="1:18" x14ac:dyDescent="0.4">
      <c r="A352" s="16">
        <v>161195</v>
      </c>
      <c r="B352" s="16">
        <v>45</v>
      </c>
      <c r="C352" s="16">
        <f t="shared" si="48"/>
        <v>225</v>
      </c>
      <c r="D352" s="838">
        <v>0</v>
      </c>
      <c r="E352" s="838">
        <v>0</v>
      </c>
      <c r="F352" s="838">
        <v>0</v>
      </c>
      <c r="G352" s="838">
        <v>0</v>
      </c>
      <c r="H352" s="838">
        <v>0</v>
      </c>
      <c r="I352" s="838">
        <v>0</v>
      </c>
      <c r="J352" s="839">
        <f t="shared" si="49"/>
        <v>0</v>
      </c>
      <c r="K352" s="839">
        <f t="shared" si="50"/>
        <v>0</v>
      </c>
      <c r="L352" s="838">
        <f t="shared" si="51"/>
        <v>0</v>
      </c>
      <c r="M352" s="16" t="s">
        <v>1844</v>
      </c>
      <c r="N352" s="16" t="s">
        <v>1845</v>
      </c>
    </row>
    <row r="353" spans="1:17" x14ac:dyDescent="0.4">
      <c r="A353" s="1">
        <v>161196</v>
      </c>
      <c r="B353" s="1">
        <v>45</v>
      </c>
      <c r="C353" s="1">
        <f t="shared" si="48"/>
        <v>225</v>
      </c>
      <c r="D353" s="1006">
        <v>0</v>
      </c>
      <c r="E353" s="1006">
        <v>1</v>
      </c>
      <c r="F353" s="1006">
        <v>1</v>
      </c>
      <c r="G353" s="1006">
        <v>1</v>
      </c>
      <c r="H353" s="1006">
        <v>1</v>
      </c>
      <c r="I353" s="1006">
        <v>1</v>
      </c>
      <c r="J353" s="140">
        <f t="shared" si="49"/>
        <v>5</v>
      </c>
      <c r="K353" s="140">
        <f t="shared" si="50"/>
        <v>4</v>
      </c>
      <c r="L353" s="1006">
        <f t="shared" si="51"/>
        <v>180</v>
      </c>
      <c r="M353" s="1" t="s">
        <v>1846</v>
      </c>
      <c r="N353" s="1" t="s">
        <v>1847</v>
      </c>
    </row>
    <row r="354" spans="1:17" x14ac:dyDescent="0.4">
      <c r="A354" s="16">
        <v>161197</v>
      </c>
      <c r="B354" s="16">
        <v>45</v>
      </c>
      <c r="C354" s="16">
        <f t="shared" si="48"/>
        <v>225</v>
      </c>
      <c r="D354" s="486">
        <v>0</v>
      </c>
      <c r="E354" s="486">
        <v>0</v>
      </c>
      <c r="F354" s="486">
        <v>0</v>
      </c>
      <c r="G354" s="486">
        <v>0</v>
      </c>
      <c r="H354" s="486">
        <v>0</v>
      </c>
      <c r="I354" s="486">
        <v>0</v>
      </c>
      <c r="J354" s="26">
        <f t="shared" si="49"/>
        <v>0</v>
      </c>
      <c r="K354" s="26">
        <f t="shared" si="50"/>
        <v>0</v>
      </c>
      <c r="L354" s="486">
        <f t="shared" si="51"/>
        <v>0</v>
      </c>
      <c r="M354" s="16" t="s">
        <v>1846</v>
      </c>
      <c r="N354" s="16" t="s">
        <v>1847</v>
      </c>
    </row>
    <row r="355" spans="1:17" x14ac:dyDescent="0.4">
      <c r="A355" s="16">
        <v>161198</v>
      </c>
      <c r="B355" s="16">
        <v>45</v>
      </c>
      <c r="C355" s="16">
        <f t="shared" si="48"/>
        <v>225</v>
      </c>
      <c r="D355" s="1020">
        <v>0</v>
      </c>
      <c r="E355" s="1020">
        <v>0</v>
      </c>
      <c r="F355" s="1020">
        <v>0</v>
      </c>
      <c r="G355" s="1020">
        <v>0</v>
      </c>
      <c r="H355" s="1020">
        <v>0</v>
      </c>
      <c r="I355" s="1020">
        <v>0</v>
      </c>
      <c r="J355" s="1024">
        <f t="shared" si="49"/>
        <v>0</v>
      </c>
      <c r="K355" s="1024">
        <f t="shared" si="50"/>
        <v>0</v>
      </c>
      <c r="L355" s="1020">
        <f t="shared" si="51"/>
        <v>0</v>
      </c>
      <c r="M355" s="16" t="s">
        <v>1849</v>
      </c>
      <c r="N355" s="16" t="s">
        <v>1850</v>
      </c>
    </row>
    <row r="356" spans="1:17" x14ac:dyDescent="0.4">
      <c r="A356" s="1">
        <v>161199</v>
      </c>
      <c r="B356" s="1">
        <v>120</v>
      </c>
      <c r="C356" s="1">
        <f t="shared" si="48"/>
        <v>600</v>
      </c>
      <c r="D356" s="1019">
        <v>0</v>
      </c>
      <c r="E356" s="1019">
        <v>0</v>
      </c>
      <c r="F356" s="1019">
        <v>0</v>
      </c>
      <c r="G356" s="1019">
        <v>1</v>
      </c>
      <c r="H356" s="1019">
        <v>1</v>
      </c>
      <c r="I356" s="1019">
        <v>1</v>
      </c>
      <c r="J356" s="140">
        <f t="shared" si="49"/>
        <v>3</v>
      </c>
      <c r="K356" s="140">
        <f t="shared" si="50"/>
        <v>2</v>
      </c>
      <c r="L356" s="1019">
        <f t="shared" si="51"/>
        <v>240</v>
      </c>
      <c r="M356" s="1" t="s">
        <v>1853</v>
      </c>
      <c r="N356" s="1" t="s">
        <v>1854</v>
      </c>
    </row>
    <row r="357" spans="1:17" x14ac:dyDescent="0.4">
      <c r="A357" s="18">
        <v>161200</v>
      </c>
      <c r="B357" s="18">
        <v>45</v>
      </c>
      <c r="C357" s="18">
        <f t="shared" ref="C357:C371" si="52">SUM(B357*5)</f>
        <v>225</v>
      </c>
      <c r="D357" s="19">
        <v>0</v>
      </c>
      <c r="E357" s="19">
        <v>0</v>
      </c>
      <c r="F357" s="19">
        <v>0</v>
      </c>
      <c r="G357" s="19">
        <v>0</v>
      </c>
      <c r="H357" s="19">
        <v>0</v>
      </c>
      <c r="I357" s="19">
        <v>0</v>
      </c>
      <c r="J357" s="28">
        <f t="shared" ref="J357:J371" si="53">SUM(D357:I357)</f>
        <v>0</v>
      </c>
      <c r="K357" s="28">
        <f t="shared" ref="K357:K371" si="54">SUM(D357:H357)</f>
        <v>0</v>
      </c>
      <c r="L357" s="19">
        <f t="shared" ref="L357:L371" si="55">B357*K357</f>
        <v>0</v>
      </c>
      <c r="M357" s="18" t="s">
        <v>1856</v>
      </c>
      <c r="N357" s="18" t="s">
        <v>1857</v>
      </c>
    </row>
    <row r="358" spans="1:17" x14ac:dyDescent="0.4">
      <c r="A358" s="1">
        <v>161201</v>
      </c>
      <c r="B358" s="1">
        <v>50</v>
      </c>
      <c r="C358" s="1">
        <f t="shared" si="52"/>
        <v>250</v>
      </c>
      <c r="D358" s="1019">
        <v>0</v>
      </c>
      <c r="E358" s="1019">
        <v>0</v>
      </c>
      <c r="F358" s="1019">
        <v>0</v>
      </c>
      <c r="G358" s="1019">
        <v>0</v>
      </c>
      <c r="H358" s="1019">
        <v>0</v>
      </c>
      <c r="I358" s="1019">
        <v>1</v>
      </c>
      <c r="J358" s="140">
        <f t="shared" si="53"/>
        <v>1</v>
      </c>
      <c r="K358" s="140">
        <f t="shared" si="54"/>
        <v>0</v>
      </c>
      <c r="L358" s="1019">
        <f t="shared" si="55"/>
        <v>0</v>
      </c>
      <c r="M358" s="1" t="s">
        <v>1856</v>
      </c>
      <c r="N358" s="1" t="s">
        <v>1857</v>
      </c>
    </row>
    <row r="359" spans="1:17" x14ac:dyDescent="0.4">
      <c r="A359" s="16">
        <v>161202</v>
      </c>
      <c r="B359" s="16">
        <v>45</v>
      </c>
      <c r="C359" s="16">
        <f t="shared" si="52"/>
        <v>225</v>
      </c>
      <c r="D359" s="528">
        <v>0</v>
      </c>
      <c r="E359" s="528">
        <v>0</v>
      </c>
      <c r="F359" s="528">
        <v>0</v>
      </c>
      <c r="G359" s="528">
        <v>0</v>
      </c>
      <c r="H359" s="528">
        <v>0</v>
      </c>
      <c r="I359" s="528">
        <v>0</v>
      </c>
      <c r="J359" s="529">
        <f t="shared" si="53"/>
        <v>0</v>
      </c>
      <c r="K359" s="529">
        <f t="shared" si="54"/>
        <v>0</v>
      </c>
      <c r="L359" s="528">
        <f t="shared" si="55"/>
        <v>0</v>
      </c>
      <c r="M359" s="16" t="s">
        <v>1858</v>
      </c>
      <c r="N359" s="16" t="s">
        <v>1859</v>
      </c>
    </row>
    <row r="360" spans="1:17" x14ac:dyDescent="0.4">
      <c r="A360" s="1">
        <v>161203</v>
      </c>
      <c r="B360" s="1">
        <v>45</v>
      </c>
      <c r="C360" s="1">
        <f t="shared" si="52"/>
        <v>225</v>
      </c>
      <c r="D360" s="1019">
        <v>0</v>
      </c>
      <c r="E360" s="1019">
        <v>0</v>
      </c>
      <c r="F360" s="1019">
        <v>0</v>
      </c>
      <c r="G360" s="1019">
        <v>0</v>
      </c>
      <c r="H360" s="1019">
        <v>1</v>
      </c>
      <c r="I360" s="1019">
        <v>1</v>
      </c>
      <c r="J360" s="140">
        <f t="shared" si="53"/>
        <v>2</v>
      </c>
      <c r="K360" s="140">
        <f t="shared" si="54"/>
        <v>1</v>
      </c>
      <c r="L360" s="1019">
        <f t="shared" si="55"/>
        <v>45</v>
      </c>
      <c r="M360" s="1" t="s">
        <v>1860</v>
      </c>
      <c r="N360" s="1" t="s">
        <v>1861</v>
      </c>
    </row>
    <row r="361" spans="1:17" x14ac:dyDescent="0.4">
      <c r="A361" s="16">
        <v>161204</v>
      </c>
      <c r="B361" s="16">
        <v>45</v>
      </c>
      <c r="C361" s="16">
        <f t="shared" si="52"/>
        <v>225</v>
      </c>
      <c r="D361" s="470">
        <v>0</v>
      </c>
      <c r="E361" s="470">
        <v>0</v>
      </c>
      <c r="F361" s="470">
        <v>0</v>
      </c>
      <c r="G361" s="470">
        <v>0</v>
      </c>
      <c r="H361" s="470">
        <v>0</v>
      </c>
      <c r="I361" s="470">
        <v>0</v>
      </c>
      <c r="J361" s="26">
        <f t="shared" si="53"/>
        <v>0</v>
      </c>
      <c r="K361" s="26">
        <f t="shared" si="54"/>
        <v>0</v>
      </c>
      <c r="L361" s="470">
        <f t="shared" si="55"/>
        <v>0</v>
      </c>
      <c r="M361" s="16" t="s">
        <v>1862</v>
      </c>
      <c r="N361" s="16" t="s">
        <v>1863</v>
      </c>
    </row>
    <row r="362" spans="1:17" x14ac:dyDescent="0.4">
      <c r="A362" s="16">
        <v>161205</v>
      </c>
      <c r="B362" s="16">
        <v>50</v>
      </c>
      <c r="C362" s="16">
        <f t="shared" si="52"/>
        <v>250</v>
      </c>
      <c r="D362" s="770">
        <v>0</v>
      </c>
      <c r="E362" s="770">
        <v>0</v>
      </c>
      <c r="F362" s="770">
        <v>0</v>
      </c>
      <c r="G362" s="770">
        <v>0</v>
      </c>
      <c r="H362" s="770">
        <v>0</v>
      </c>
      <c r="I362" s="770">
        <v>0</v>
      </c>
      <c r="J362" s="771">
        <f t="shared" si="53"/>
        <v>0</v>
      </c>
      <c r="K362" s="771">
        <f t="shared" si="54"/>
        <v>0</v>
      </c>
      <c r="L362" s="770">
        <f t="shared" si="55"/>
        <v>0</v>
      </c>
      <c r="M362" s="16" t="s">
        <v>1862</v>
      </c>
      <c r="N362" s="16" t="s">
        <v>1863</v>
      </c>
    </row>
    <row r="363" spans="1:17" x14ac:dyDescent="0.4">
      <c r="A363" s="16">
        <v>161206</v>
      </c>
      <c r="B363" s="16">
        <v>60</v>
      </c>
      <c r="C363" s="16">
        <f t="shared" si="52"/>
        <v>300</v>
      </c>
      <c r="D363" s="520">
        <v>0</v>
      </c>
      <c r="E363" s="520">
        <v>0</v>
      </c>
      <c r="F363" s="520">
        <v>0</v>
      </c>
      <c r="G363" s="520">
        <v>0</v>
      </c>
      <c r="H363" s="520">
        <v>0</v>
      </c>
      <c r="I363" s="520">
        <v>0</v>
      </c>
      <c r="J363" s="521">
        <f t="shared" si="53"/>
        <v>0</v>
      </c>
      <c r="K363" s="521">
        <f t="shared" si="54"/>
        <v>0</v>
      </c>
      <c r="L363" s="520">
        <f t="shared" si="55"/>
        <v>0</v>
      </c>
      <c r="M363" s="16" t="s">
        <v>1870</v>
      </c>
      <c r="N363" s="16" t="s">
        <v>1871</v>
      </c>
    </row>
    <row r="364" spans="1:17" x14ac:dyDescent="0.4">
      <c r="A364" s="1">
        <v>161207</v>
      </c>
      <c r="B364" s="1">
        <v>60</v>
      </c>
      <c r="C364" s="1">
        <f t="shared" si="52"/>
        <v>300</v>
      </c>
      <c r="D364" s="1019">
        <v>0</v>
      </c>
      <c r="E364" s="1019">
        <v>0</v>
      </c>
      <c r="F364" s="1019">
        <v>0</v>
      </c>
      <c r="G364" s="1019">
        <v>0</v>
      </c>
      <c r="H364" s="1019">
        <v>1</v>
      </c>
      <c r="I364" s="1019">
        <v>1</v>
      </c>
      <c r="J364" s="140">
        <f t="shared" si="53"/>
        <v>2</v>
      </c>
      <c r="K364" s="140">
        <f t="shared" si="54"/>
        <v>1</v>
      </c>
      <c r="L364" s="1019">
        <f t="shared" si="55"/>
        <v>60</v>
      </c>
      <c r="M364" s="1" t="s">
        <v>1864</v>
      </c>
      <c r="N364" s="1" t="s">
        <v>1865</v>
      </c>
    </row>
    <row r="365" spans="1:17" x14ac:dyDescent="0.4">
      <c r="A365" s="1137">
        <v>161208</v>
      </c>
      <c r="B365" s="1137">
        <v>60</v>
      </c>
      <c r="C365" s="1137">
        <f t="shared" si="52"/>
        <v>300</v>
      </c>
      <c r="D365" s="1138">
        <v>0</v>
      </c>
      <c r="E365" s="1138">
        <v>0</v>
      </c>
      <c r="F365" s="1138">
        <v>0</v>
      </c>
      <c r="G365" s="1138">
        <v>0</v>
      </c>
      <c r="H365" s="1138">
        <v>1</v>
      </c>
      <c r="I365" s="1138">
        <v>1</v>
      </c>
      <c r="J365" s="1139">
        <f t="shared" si="53"/>
        <v>2</v>
      </c>
      <c r="K365" s="1139">
        <f t="shared" si="54"/>
        <v>1</v>
      </c>
      <c r="L365" s="1138">
        <f t="shared" si="55"/>
        <v>60</v>
      </c>
      <c r="M365" s="1137" t="s">
        <v>1868</v>
      </c>
      <c r="N365" s="1137" t="s">
        <v>1881</v>
      </c>
      <c r="O365" s="1137" t="s">
        <v>3036</v>
      </c>
      <c r="P365" s="1137"/>
      <c r="Q365" s="1137"/>
    </row>
    <row r="366" spans="1:17" x14ac:dyDescent="0.4">
      <c r="A366" s="1">
        <v>161209</v>
      </c>
      <c r="B366" s="1">
        <v>120</v>
      </c>
      <c r="C366" s="1">
        <f t="shared" si="52"/>
        <v>600</v>
      </c>
      <c r="D366" s="1019">
        <v>0</v>
      </c>
      <c r="E366" s="1019">
        <v>0</v>
      </c>
      <c r="F366" s="1019">
        <v>0</v>
      </c>
      <c r="G366" s="1019">
        <v>0</v>
      </c>
      <c r="H366" s="1019">
        <v>0</v>
      </c>
      <c r="I366" s="1019">
        <v>1</v>
      </c>
      <c r="J366" s="140">
        <f t="shared" si="53"/>
        <v>1</v>
      </c>
      <c r="K366" s="140">
        <f t="shared" si="54"/>
        <v>0</v>
      </c>
      <c r="L366" s="1019">
        <f t="shared" si="55"/>
        <v>0</v>
      </c>
      <c r="M366" s="1" t="s">
        <v>1866</v>
      </c>
      <c r="N366" s="1" t="s">
        <v>1880</v>
      </c>
    </row>
    <row r="367" spans="1:17" x14ac:dyDescent="0.4">
      <c r="A367" s="16">
        <v>161210</v>
      </c>
      <c r="B367" s="16">
        <v>120</v>
      </c>
      <c r="C367" s="16">
        <f t="shared" si="52"/>
        <v>600</v>
      </c>
      <c r="D367" s="1020">
        <v>0</v>
      </c>
      <c r="E367" s="1020"/>
      <c r="F367" s="1020"/>
      <c r="G367" s="1020"/>
      <c r="H367" s="1020"/>
      <c r="I367" s="1020"/>
      <c r="J367" s="1024">
        <v>1</v>
      </c>
      <c r="K367" s="1024">
        <f t="shared" si="54"/>
        <v>0</v>
      </c>
      <c r="L367" s="1020">
        <f t="shared" si="55"/>
        <v>0</v>
      </c>
      <c r="M367" s="16" t="s">
        <v>1867</v>
      </c>
      <c r="N367" s="16" t="s">
        <v>1879</v>
      </c>
    </row>
    <row r="368" spans="1:17" x14ac:dyDescent="0.4">
      <c r="A368" s="16">
        <v>161211</v>
      </c>
      <c r="B368" s="16">
        <v>60</v>
      </c>
      <c r="C368" s="16">
        <f t="shared" si="52"/>
        <v>300</v>
      </c>
      <c r="D368" s="653">
        <v>0</v>
      </c>
      <c r="E368" s="653">
        <v>0</v>
      </c>
      <c r="F368" s="653">
        <v>0</v>
      </c>
      <c r="G368" s="653">
        <v>0</v>
      </c>
      <c r="H368" s="653">
        <v>0</v>
      </c>
      <c r="I368" s="653">
        <v>0</v>
      </c>
      <c r="J368" s="654">
        <f t="shared" si="53"/>
        <v>0</v>
      </c>
      <c r="K368" s="654">
        <f t="shared" si="54"/>
        <v>0</v>
      </c>
      <c r="L368" s="653">
        <f t="shared" si="55"/>
        <v>0</v>
      </c>
      <c r="M368" s="16" t="s">
        <v>1869</v>
      </c>
      <c r="N368" s="16" t="s">
        <v>1878</v>
      </c>
    </row>
    <row r="369" spans="1:14" x14ac:dyDescent="0.4">
      <c r="A369" s="16">
        <v>161212</v>
      </c>
      <c r="B369" s="16">
        <v>50</v>
      </c>
      <c r="C369" s="16">
        <f t="shared" si="52"/>
        <v>250</v>
      </c>
      <c r="D369" s="633">
        <v>0</v>
      </c>
      <c r="E369" s="633">
        <v>0</v>
      </c>
      <c r="F369" s="633">
        <v>0</v>
      </c>
      <c r="G369" s="633">
        <v>0</v>
      </c>
      <c r="H369" s="633">
        <v>0</v>
      </c>
      <c r="I369" s="633">
        <v>0</v>
      </c>
      <c r="J369" s="634">
        <f t="shared" si="53"/>
        <v>0</v>
      </c>
      <c r="K369" s="634">
        <f t="shared" si="54"/>
        <v>0</v>
      </c>
      <c r="L369" s="633">
        <f t="shared" si="55"/>
        <v>0</v>
      </c>
      <c r="M369" s="16" t="s">
        <v>1868</v>
      </c>
      <c r="N369" s="16" t="s">
        <v>1877</v>
      </c>
    </row>
    <row r="370" spans="1:14" x14ac:dyDescent="0.4">
      <c r="A370" s="16">
        <v>161213</v>
      </c>
      <c r="B370" s="16">
        <v>45</v>
      </c>
      <c r="C370" s="16">
        <f t="shared" si="52"/>
        <v>225</v>
      </c>
      <c r="D370" s="597">
        <v>0</v>
      </c>
      <c r="E370" s="597">
        <v>0</v>
      </c>
      <c r="F370" s="597">
        <v>0</v>
      </c>
      <c r="G370" s="597">
        <v>0</v>
      </c>
      <c r="H370" s="597">
        <v>0</v>
      </c>
      <c r="I370" s="597">
        <v>0</v>
      </c>
      <c r="J370" s="598">
        <f t="shared" si="53"/>
        <v>0</v>
      </c>
      <c r="K370" s="598">
        <f t="shared" si="54"/>
        <v>0</v>
      </c>
      <c r="L370" s="597">
        <f t="shared" si="55"/>
        <v>0</v>
      </c>
      <c r="M370" s="16" t="s">
        <v>1868</v>
      </c>
      <c r="N370" s="16" t="s">
        <v>1876</v>
      </c>
    </row>
    <row r="371" spans="1:14" x14ac:dyDescent="0.4">
      <c r="A371" s="16">
        <v>161214</v>
      </c>
      <c r="B371" s="16">
        <v>45</v>
      </c>
      <c r="C371" s="16">
        <f t="shared" si="52"/>
        <v>225</v>
      </c>
      <c r="D371" s="635">
        <v>0</v>
      </c>
      <c r="E371" s="635">
        <v>0</v>
      </c>
      <c r="F371" s="635">
        <v>0</v>
      </c>
      <c r="G371" s="635">
        <v>0</v>
      </c>
      <c r="H371" s="635">
        <v>0</v>
      </c>
      <c r="I371" s="635">
        <v>0</v>
      </c>
      <c r="J371" s="636">
        <f t="shared" si="53"/>
        <v>0</v>
      </c>
      <c r="K371" s="636">
        <f t="shared" si="54"/>
        <v>0</v>
      </c>
      <c r="L371" s="635">
        <f t="shared" si="55"/>
        <v>0</v>
      </c>
      <c r="M371" s="16" t="s">
        <v>1872</v>
      </c>
      <c r="N371" s="16" t="s">
        <v>1875</v>
      </c>
    </row>
  </sheetData>
  <mergeCells count="73">
    <mergeCell ref="O257:T261"/>
    <mergeCell ref="T202:V202"/>
    <mergeCell ref="T203:V203"/>
    <mergeCell ref="T204:V204"/>
    <mergeCell ref="T205:V205"/>
    <mergeCell ref="T146:V146"/>
    <mergeCell ref="T197:V197"/>
    <mergeCell ref="T198:V198"/>
    <mergeCell ref="T199:V199"/>
    <mergeCell ref="T200:V200"/>
    <mergeCell ref="T187:V187"/>
    <mergeCell ref="T189:V189"/>
    <mergeCell ref="T190:V190"/>
    <mergeCell ref="T191:V191"/>
    <mergeCell ref="T182:V182"/>
    <mergeCell ref="T183:V183"/>
    <mergeCell ref="T184:V184"/>
    <mergeCell ref="T185:V185"/>
    <mergeCell ref="T186:V186"/>
    <mergeCell ref="T178:V178"/>
    <mergeCell ref="T179:V179"/>
    <mergeCell ref="T201:V201"/>
    <mergeCell ref="T192:V192"/>
    <mergeCell ref="T193:V193"/>
    <mergeCell ref="T194:V194"/>
    <mergeCell ref="T195:V195"/>
    <mergeCell ref="T196:V196"/>
    <mergeCell ref="T180:V180"/>
    <mergeCell ref="T181:V181"/>
    <mergeCell ref="T188:V188"/>
    <mergeCell ref="T173:V173"/>
    <mergeCell ref="T174:V174"/>
    <mergeCell ref="T175:V175"/>
    <mergeCell ref="T176:V176"/>
    <mergeCell ref="T177:V177"/>
    <mergeCell ref="T168:V168"/>
    <mergeCell ref="T169:V169"/>
    <mergeCell ref="T170:V170"/>
    <mergeCell ref="T171:V171"/>
    <mergeCell ref="T172:V172"/>
    <mergeCell ref="T163:V163"/>
    <mergeCell ref="T164:V164"/>
    <mergeCell ref="T165:V165"/>
    <mergeCell ref="T166:V166"/>
    <mergeCell ref="T167:V167"/>
    <mergeCell ref="T158:V158"/>
    <mergeCell ref="T159:V159"/>
    <mergeCell ref="T160:V160"/>
    <mergeCell ref="T161:V161"/>
    <mergeCell ref="T162:V162"/>
    <mergeCell ref="Q4:Q5"/>
    <mergeCell ref="D5:I5"/>
    <mergeCell ref="A4:A5"/>
    <mergeCell ref="D4:I4"/>
    <mergeCell ref="M4:M5"/>
    <mergeCell ref="N4:N5"/>
    <mergeCell ref="P4:P5"/>
    <mergeCell ref="J228:J229"/>
    <mergeCell ref="K228:K229"/>
    <mergeCell ref="R82:V82"/>
    <mergeCell ref="J53:J54"/>
    <mergeCell ref="K53:K54"/>
    <mergeCell ref="T147:V147"/>
    <mergeCell ref="T148:V148"/>
    <mergeCell ref="T149:V149"/>
    <mergeCell ref="T150:V150"/>
    <mergeCell ref="T151:V151"/>
    <mergeCell ref="T152:V152"/>
    <mergeCell ref="T153:V153"/>
    <mergeCell ref="T154:V154"/>
    <mergeCell ref="T155:V155"/>
    <mergeCell ref="T156:V156"/>
    <mergeCell ref="T157:V157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446"/>
  <sheetViews>
    <sheetView workbookViewId="0">
      <selection activeCell="C3" sqref="C3"/>
    </sheetView>
  </sheetViews>
  <sheetFormatPr defaultRowHeight="17.399999999999999" x14ac:dyDescent="0.4"/>
  <cols>
    <col min="4" max="9" width="5.59765625" customWidth="1"/>
    <col min="13" max="13" width="11.8984375" customWidth="1"/>
    <col min="14" max="14" width="12.3984375" customWidth="1"/>
    <col min="16" max="16" width="12.09765625" customWidth="1"/>
    <col min="17" max="17" width="9.8984375" bestFit="1" customWidth="1"/>
  </cols>
  <sheetData>
    <row r="1" spans="1:17" x14ac:dyDescent="0.4">
      <c r="A1" s="5"/>
      <c r="B1" s="411"/>
      <c r="C1" s="411" t="s">
        <v>171</v>
      </c>
      <c r="D1" s="411"/>
      <c r="E1" s="411"/>
      <c r="F1" s="411"/>
      <c r="G1" s="411"/>
      <c r="H1" s="411"/>
      <c r="I1" s="411"/>
      <c r="J1" s="5"/>
      <c r="K1" s="5"/>
      <c r="L1" s="1021" t="s">
        <v>171</v>
      </c>
      <c r="M1" s="278"/>
      <c r="N1" s="278" t="s">
        <v>1487</v>
      </c>
      <c r="O1" s="411"/>
      <c r="P1" s="411"/>
      <c r="Q1" s="411"/>
    </row>
    <row r="2" spans="1:17" x14ac:dyDescent="0.4">
      <c r="A2" s="5" t="s">
        <v>172</v>
      </c>
      <c r="B2" s="411"/>
      <c r="C2" s="411" t="s">
        <v>173</v>
      </c>
      <c r="D2" s="411" t="s">
        <v>174</v>
      </c>
      <c r="E2" s="411"/>
      <c r="F2" s="411"/>
      <c r="G2" s="411"/>
      <c r="H2" s="411"/>
      <c r="I2" s="411"/>
      <c r="J2" s="5"/>
      <c r="K2" s="5"/>
      <c r="L2" s="1021" t="s">
        <v>2924</v>
      </c>
      <c r="M2" s="279"/>
      <c r="N2" s="279" t="s">
        <v>2925</v>
      </c>
      <c r="O2" s="411"/>
      <c r="P2" s="411"/>
      <c r="Q2" s="411"/>
    </row>
    <row r="3" spans="1:17" x14ac:dyDescent="0.4">
      <c r="A3" s="36"/>
      <c r="B3" s="413"/>
      <c r="C3" s="250">
        <f>SUM(C6:C420)</f>
        <v>102835</v>
      </c>
      <c r="D3" s="413"/>
      <c r="E3" s="413"/>
      <c r="F3" s="413"/>
      <c r="G3" s="413"/>
      <c r="H3" s="413"/>
      <c r="I3" s="413"/>
      <c r="J3" s="36"/>
      <c r="K3" s="36"/>
      <c r="L3" s="250">
        <f>SUM(L6:L420)</f>
        <v>7130</v>
      </c>
      <c r="M3" s="250"/>
      <c r="N3" s="1027">
        <f>L3/C3</f>
        <v>6.9334370593669467E-2</v>
      </c>
      <c r="O3" s="413"/>
      <c r="P3" s="413"/>
      <c r="Q3" s="413"/>
    </row>
    <row r="4" spans="1:17" x14ac:dyDescent="0.4">
      <c r="A4" s="2035" t="s">
        <v>182</v>
      </c>
      <c r="B4" s="412" t="s">
        <v>176</v>
      </c>
      <c r="C4" s="412" t="s">
        <v>177</v>
      </c>
      <c r="D4" s="2041"/>
      <c r="E4" s="2042"/>
      <c r="F4" s="2042"/>
      <c r="G4" s="2042"/>
      <c r="H4" s="2042"/>
      <c r="I4" s="2043"/>
      <c r="J4" s="33" t="s">
        <v>178</v>
      </c>
      <c r="K4" s="33" t="s">
        <v>179</v>
      </c>
      <c r="L4" s="33" t="s">
        <v>896</v>
      </c>
      <c r="M4" s="2035" t="s">
        <v>187</v>
      </c>
      <c r="N4" s="2035" t="s">
        <v>188</v>
      </c>
      <c r="O4" s="412" t="s">
        <v>180</v>
      </c>
      <c r="P4" s="2035" t="s">
        <v>181</v>
      </c>
      <c r="Q4" s="2035" t="s">
        <v>35</v>
      </c>
    </row>
    <row r="5" spans="1:17" x14ac:dyDescent="0.4">
      <c r="A5" s="2036"/>
      <c r="B5" s="412" t="s">
        <v>183</v>
      </c>
      <c r="C5" s="412" t="s">
        <v>183</v>
      </c>
      <c r="D5" s="2039" t="s">
        <v>184</v>
      </c>
      <c r="E5" s="2039"/>
      <c r="F5" s="2039"/>
      <c r="G5" s="2039"/>
      <c r="H5" s="2039"/>
      <c r="I5" s="2039"/>
      <c r="J5" s="34" t="s">
        <v>185</v>
      </c>
      <c r="K5" s="34" t="s">
        <v>185</v>
      </c>
      <c r="L5" s="34" t="s">
        <v>49</v>
      </c>
      <c r="M5" s="2036"/>
      <c r="N5" s="2036"/>
      <c r="O5" s="412" t="s">
        <v>189</v>
      </c>
      <c r="P5" s="2036"/>
      <c r="Q5" s="2036"/>
    </row>
    <row r="6" spans="1:17" x14ac:dyDescent="0.4">
      <c r="A6" s="16">
        <v>161215</v>
      </c>
      <c r="B6" s="16">
        <v>50</v>
      </c>
      <c r="C6" s="16">
        <f t="shared" ref="C6:C20" si="0">SUM(B6*5)</f>
        <v>250</v>
      </c>
      <c r="D6" s="1020">
        <v>0</v>
      </c>
      <c r="E6" s="1020">
        <v>0</v>
      </c>
      <c r="F6" s="1020">
        <v>0</v>
      </c>
      <c r="G6" s="1020">
        <v>0</v>
      </c>
      <c r="H6" s="1020">
        <v>0</v>
      </c>
      <c r="I6" s="1020">
        <v>0</v>
      </c>
      <c r="J6" s="1024">
        <f t="shared" ref="J6:J20" si="1">SUM(D6:I6)</f>
        <v>0</v>
      </c>
      <c r="K6" s="1024">
        <f t="shared" ref="K6:K20" si="2">SUM(D6:H6)</f>
        <v>0</v>
      </c>
      <c r="L6" s="1020">
        <f>B6*K6</f>
        <v>0</v>
      </c>
      <c r="M6" s="16" t="s">
        <v>1873</v>
      </c>
      <c r="N6" s="16" t="s">
        <v>1874</v>
      </c>
      <c r="O6" s="1026"/>
      <c r="P6" s="1026"/>
      <c r="Q6" s="1026"/>
    </row>
    <row r="7" spans="1:17" x14ac:dyDescent="0.4">
      <c r="A7" s="16">
        <v>161216</v>
      </c>
      <c r="B7" s="16">
        <v>45</v>
      </c>
      <c r="C7" s="16">
        <f t="shared" si="0"/>
        <v>225</v>
      </c>
      <c r="D7" s="1020">
        <v>0</v>
      </c>
      <c r="E7" s="1020">
        <v>0</v>
      </c>
      <c r="F7" s="1020">
        <v>0</v>
      </c>
      <c r="G7" s="1020">
        <v>0</v>
      </c>
      <c r="H7" s="1020">
        <v>0</v>
      </c>
      <c r="I7" s="1020">
        <v>0</v>
      </c>
      <c r="J7" s="1024">
        <f t="shared" si="1"/>
        <v>0</v>
      </c>
      <c r="K7" s="1024">
        <f t="shared" si="2"/>
        <v>0</v>
      </c>
      <c r="L7" s="1020">
        <f t="shared" ref="L7:L20" si="3">B7*K7</f>
        <v>0</v>
      </c>
      <c r="M7" s="16" t="s">
        <v>1873</v>
      </c>
      <c r="N7" s="16" t="s">
        <v>1874</v>
      </c>
      <c r="O7" s="1026"/>
      <c r="P7" s="1026"/>
      <c r="Q7" s="1026"/>
    </row>
    <row r="8" spans="1:17" x14ac:dyDescent="0.4">
      <c r="A8" s="322">
        <v>161217</v>
      </c>
      <c r="B8" s="322">
        <v>45</v>
      </c>
      <c r="C8" s="322">
        <f t="shared" si="0"/>
        <v>225</v>
      </c>
      <c r="D8" s="323">
        <v>0</v>
      </c>
      <c r="E8" s="323">
        <v>0</v>
      </c>
      <c r="F8" s="323">
        <v>0</v>
      </c>
      <c r="G8" s="323">
        <v>1</v>
      </c>
      <c r="H8" s="323">
        <v>1</v>
      </c>
      <c r="I8" s="323">
        <v>1</v>
      </c>
      <c r="J8" s="324">
        <f t="shared" si="1"/>
        <v>3</v>
      </c>
      <c r="K8" s="324">
        <f>SUM(D8:H8)</f>
        <v>2</v>
      </c>
      <c r="L8" s="323">
        <f t="shared" si="3"/>
        <v>90</v>
      </c>
      <c r="M8" s="322" t="s">
        <v>1882</v>
      </c>
      <c r="N8" s="322" t="s">
        <v>1883</v>
      </c>
      <c r="O8" s="1055"/>
      <c r="P8" s="1055" t="s">
        <v>2964</v>
      </c>
      <c r="Q8" s="1026"/>
    </row>
    <row r="9" spans="1:17" x14ac:dyDescent="0.4">
      <c r="A9" s="16">
        <v>161218</v>
      </c>
      <c r="B9" s="16">
        <v>45</v>
      </c>
      <c r="C9" s="16">
        <f t="shared" si="0"/>
        <v>225</v>
      </c>
      <c r="D9" s="1020">
        <v>0</v>
      </c>
      <c r="E9" s="1020">
        <v>0</v>
      </c>
      <c r="F9" s="1020">
        <v>0</v>
      </c>
      <c r="G9" s="1020">
        <v>0</v>
      </c>
      <c r="H9" s="1020">
        <v>0</v>
      </c>
      <c r="I9" s="1020">
        <v>0</v>
      </c>
      <c r="J9" s="1024">
        <f t="shared" si="1"/>
        <v>0</v>
      </c>
      <c r="K9" s="1024">
        <f t="shared" si="2"/>
        <v>0</v>
      </c>
      <c r="L9" s="1020">
        <f t="shared" si="3"/>
        <v>0</v>
      </c>
      <c r="M9" s="16" t="s">
        <v>1884</v>
      </c>
      <c r="N9" s="16" t="s">
        <v>1885</v>
      </c>
      <c r="O9" s="1026"/>
      <c r="P9" s="1026"/>
      <c r="Q9" s="1026"/>
    </row>
    <row r="10" spans="1:17" x14ac:dyDescent="0.4">
      <c r="A10" s="16">
        <v>161219</v>
      </c>
      <c r="B10" s="16">
        <v>60</v>
      </c>
      <c r="C10" s="16">
        <f t="shared" si="0"/>
        <v>300</v>
      </c>
      <c r="D10" s="1020">
        <v>0</v>
      </c>
      <c r="E10" s="1020">
        <v>0</v>
      </c>
      <c r="F10" s="1020">
        <v>0</v>
      </c>
      <c r="G10" s="1020">
        <v>0</v>
      </c>
      <c r="H10" s="1020">
        <v>0</v>
      </c>
      <c r="I10" s="1020">
        <v>0</v>
      </c>
      <c r="J10" s="1024">
        <f t="shared" si="1"/>
        <v>0</v>
      </c>
      <c r="K10" s="1024">
        <f t="shared" si="2"/>
        <v>0</v>
      </c>
      <c r="L10" s="1020">
        <f t="shared" si="3"/>
        <v>0</v>
      </c>
      <c r="M10" s="16" t="s">
        <v>1891</v>
      </c>
      <c r="N10" s="16" t="s">
        <v>1892</v>
      </c>
      <c r="O10" s="1026"/>
      <c r="P10" s="1026"/>
      <c r="Q10" s="1026"/>
    </row>
    <row r="11" spans="1:17" x14ac:dyDescent="0.4">
      <c r="A11" s="1065">
        <v>161220</v>
      </c>
      <c r="B11" s="1065">
        <v>45</v>
      </c>
      <c r="C11" s="1065">
        <f t="shared" si="0"/>
        <v>225</v>
      </c>
      <c r="D11" s="1066">
        <v>0</v>
      </c>
      <c r="E11" s="1066">
        <v>0</v>
      </c>
      <c r="F11" s="1066">
        <v>0</v>
      </c>
      <c r="G11" s="1066">
        <v>0</v>
      </c>
      <c r="H11" s="1066">
        <v>0</v>
      </c>
      <c r="I11" s="1066">
        <v>1</v>
      </c>
      <c r="J11" s="1067">
        <f t="shared" si="1"/>
        <v>1</v>
      </c>
      <c r="K11" s="1067">
        <f t="shared" si="2"/>
        <v>0</v>
      </c>
      <c r="L11" s="1066">
        <f t="shared" si="3"/>
        <v>0</v>
      </c>
      <c r="M11" s="1065" t="s">
        <v>1889</v>
      </c>
      <c r="N11" s="1065" t="s">
        <v>1890</v>
      </c>
      <c r="O11" s="1026"/>
      <c r="P11" s="1026"/>
      <c r="Q11" s="1026"/>
    </row>
    <row r="12" spans="1:17" x14ac:dyDescent="0.4">
      <c r="A12" s="1065">
        <v>161221</v>
      </c>
      <c r="B12" s="1065">
        <v>60</v>
      </c>
      <c r="C12" s="1065">
        <f t="shared" si="0"/>
        <v>300</v>
      </c>
      <c r="D12" s="1066">
        <v>0</v>
      </c>
      <c r="E12" s="1066">
        <v>0</v>
      </c>
      <c r="F12" s="1066">
        <v>0</v>
      </c>
      <c r="G12" s="1066">
        <v>0</v>
      </c>
      <c r="H12" s="1066">
        <v>0</v>
      </c>
      <c r="I12" s="1066">
        <v>1</v>
      </c>
      <c r="J12" s="1067">
        <f t="shared" si="1"/>
        <v>1</v>
      </c>
      <c r="K12" s="1067">
        <f t="shared" si="2"/>
        <v>0</v>
      </c>
      <c r="L12" s="1066">
        <f t="shared" si="3"/>
        <v>0</v>
      </c>
      <c r="M12" s="1065" t="s">
        <v>1889</v>
      </c>
      <c r="N12" s="1065" t="s">
        <v>1890</v>
      </c>
      <c r="O12" s="1026"/>
      <c r="P12" s="1026"/>
      <c r="Q12" s="1026"/>
    </row>
    <row r="13" spans="1:17" x14ac:dyDescent="0.4">
      <c r="A13" s="1065">
        <v>161222</v>
      </c>
      <c r="B13" s="1065">
        <v>45</v>
      </c>
      <c r="C13" s="1065">
        <f t="shared" si="0"/>
        <v>225</v>
      </c>
      <c r="D13" s="1066">
        <v>0</v>
      </c>
      <c r="E13" s="1066">
        <v>0</v>
      </c>
      <c r="F13" s="1066">
        <v>0</v>
      </c>
      <c r="G13" s="1066">
        <v>0</v>
      </c>
      <c r="H13" s="1066">
        <v>0</v>
      </c>
      <c r="I13" s="1066">
        <v>1</v>
      </c>
      <c r="J13" s="1067">
        <f t="shared" si="1"/>
        <v>1</v>
      </c>
      <c r="K13" s="1067">
        <f t="shared" si="2"/>
        <v>0</v>
      </c>
      <c r="L13" s="1066">
        <f t="shared" si="3"/>
        <v>0</v>
      </c>
      <c r="M13" s="1065" t="s">
        <v>1893</v>
      </c>
      <c r="N13" s="1065" t="s">
        <v>1894</v>
      </c>
      <c r="O13" s="1026"/>
      <c r="P13" s="1026"/>
      <c r="Q13" s="1026"/>
    </row>
    <row r="14" spans="1:17" x14ac:dyDescent="0.4">
      <c r="A14" s="16">
        <v>161223</v>
      </c>
      <c r="B14" s="16">
        <v>60</v>
      </c>
      <c r="C14" s="16">
        <f t="shared" si="0"/>
        <v>300</v>
      </c>
      <c r="D14" s="1020">
        <v>0</v>
      </c>
      <c r="E14" s="1020">
        <v>0</v>
      </c>
      <c r="F14" s="1020">
        <v>0</v>
      </c>
      <c r="G14" s="1020">
        <v>0</v>
      </c>
      <c r="H14" s="1020">
        <v>0</v>
      </c>
      <c r="I14" s="1020">
        <v>0</v>
      </c>
      <c r="J14" s="1024">
        <f t="shared" si="1"/>
        <v>0</v>
      </c>
      <c r="K14" s="1024">
        <f t="shared" si="2"/>
        <v>0</v>
      </c>
      <c r="L14" s="1020">
        <f t="shared" si="3"/>
        <v>0</v>
      </c>
      <c r="M14" s="16" t="s">
        <v>1893</v>
      </c>
      <c r="N14" s="16" t="s">
        <v>1894</v>
      </c>
      <c r="O14" s="1026"/>
      <c r="P14" s="1026"/>
      <c r="Q14" s="1026"/>
    </row>
    <row r="15" spans="1:17" x14ac:dyDescent="0.4">
      <c r="A15" s="16">
        <v>161224</v>
      </c>
      <c r="B15" s="16">
        <v>45</v>
      </c>
      <c r="C15" s="16">
        <f t="shared" si="0"/>
        <v>225</v>
      </c>
      <c r="D15" s="1020">
        <v>0</v>
      </c>
      <c r="E15" s="1020">
        <v>0</v>
      </c>
      <c r="F15" s="1020">
        <v>0</v>
      </c>
      <c r="G15" s="1020">
        <v>0</v>
      </c>
      <c r="H15" s="1020">
        <v>0</v>
      </c>
      <c r="I15" s="1020">
        <v>0</v>
      </c>
      <c r="J15" s="1024">
        <f t="shared" si="1"/>
        <v>0</v>
      </c>
      <c r="K15" s="1024">
        <f t="shared" si="2"/>
        <v>0</v>
      </c>
      <c r="L15" s="1020">
        <f t="shared" si="3"/>
        <v>0</v>
      </c>
      <c r="M15" s="16" t="s">
        <v>1895</v>
      </c>
      <c r="N15" s="16" t="s">
        <v>1896</v>
      </c>
      <c r="O15" s="1026"/>
      <c r="P15" s="1026"/>
      <c r="Q15" s="1026"/>
    </row>
    <row r="16" spans="1:17" x14ac:dyDescent="0.4">
      <c r="A16" s="16">
        <v>161225</v>
      </c>
      <c r="B16" s="16">
        <v>60</v>
      </c>
      <c r="C16" s="16">
        <f t="shared" si="0"/>
        <v>300</v>
      </c>
      <c r="D16" s="1020">
        <v>0</v>
      </c>
      <c r="E16" s="1020">
        <v>0</v>
      </c>
      <c r="F16" s="1020">
        <v>0</v>
      </c>
      <c r="G16" s="1020">
        <v>0</v>
      </c>
      <c r="H16" s="1020">
        <v>0</v>
      </c>
      <c r="I16" s="1020">
        <v>0</v>
      </c>
      <c r="J16" s="1024">
        <f t="shared" si="1"/>
        <v>0</v>
      </c>
      <c r="K16" s="1024">
        <f t="shared" si="2"/>
        <v>0</v>
      </c>
      <c r="L16" s="1020">
        <f t="shared" si="3"/>
        <v>0</v>
      </c>
      <c r="M16" s="16" t="s">
        <v>1895</v>
      </c>
      <c r="N16" s="16" t="s">
        <v>1896</v>
      </c>
      <c r="O16" s="1026"/>
      <c r="P16" s="1026"/>
      <c r="Q16" s="1026"/>
    </row>
    <row r="17" spans="1:19" x14ac:dyDescent="0.4">
      <c r="A17" s="1">
        <v>161226</v>
      </c>
      <c r="B17" s="1">
        <v>60</v>
      </c>
      <c r="C17" s="1">
        <f t="shared" si="0"/>
        <v>300</v>
      </c>
      <c r="D17" s="1062">
        <v>0</v>
      </c>
      <c r="E17" s="1062">
        <v>0</v>
      </c>
      <c r="F17" s="1062">
        <v>0</v>
      </c>
      <c r="G17" s="1062">
        <v>0</v>
      </c>
      <c r="H17" s="1062">
        <v>1</v>
      </c>
      <c r="I17" s="1062">
        <v>1</v>
      </c>
      <c r="J17" s="140">
        <f t="shared" si="1"/>
        <v>2</v>
      </c>
      <c r="K17" s="140">
        <f t="shared" si="2"/>
        <v>1</v>
      </c>
      <c r="L17" s="1062">
        <f t="shared" si="3"/>
        <v>60</v>
      </c>
      <c r="M17" s="1" t="s">
        <v>1897</v>
      </c>
      <c r="N17" s="1" t="s">
        <v>1898</v>
      </c>
      <c r="O17" s="1026"/>
      <c r="P17" s="1026"/>
      <c r="Q17" s="1026"/>
    </row>
    <row r="18" spans="1:19" x14ac:dyDescent="0.4">
      <c r="A18" s="16">
        <v>161227</v>
      </c>
      <c r="B18" s="16">
        <v>50</v>
      </c>
      <c r="C18" s="16">
        <f t="shared" si="0"/>
        <v>250</v>
      </c>
      <c r="D18" s="1020">
        <v>0</v>
      </c>
      <c r="E18" s="1020">
        <v>0</v>
      </c>
      <c r="F18" s="1020">
        <v>0</v>
      </c>
      <c r="G18" s="1020">
        <v>0</v>
      </c>
      <c r="H18" s="1020">
        <v>0</v>
      </c>
      <c r="I18" s="1020">
        <v>0</v>
      </c>
      <c r="J18" s="1024">
        <f t="shared" si="1"/>
        <v>0</v>
      </c>
      <c r="K18" s="1024">
        <f t="shared" si="2"/>
        <v>0</v>
      </c>
      <c r="L18" s="1020">
        <f t="shared" si="3"/>
        <v>0</v>
      </c>
      <c r="M18" s="16" t="s">
        <v>1897</v>
      </c>
      <c r="N18" s="16" t="s">
        <v>1898</v>
      </c>
      <c r="O18" s="1026"/>
      <c r="P18" s="1026"/>
      <c r="Q18" s="1026"/>
    </row>
    <row r="19" spans="1:19" x14ac:dyDescent="0.4">
      <c r="A19" s="16">
        <v>161228</v>
      </c>
      <c r="B19" s="16">
        <v>45</v>
      </c>
      <c r="C19" s="16">
        <f t="shared" si="0"/>
        <v>225</v>
      </c>
      <c r="D19" s="1020">
        <v>0</v>
      </c>
      <c r="E19" s="1020">
        <v>0</v>
      </c>
      <c r="F19" s="1020">
        <v>0</v>
      </c>
      <c r="G19" s="1020">
        <v>0</v>
      </c>
      <c r="H19" s="1020">
        <v>0</v>
      </c>
      <c r="I19" s="1020">
        <v>0</v>
      </c>
      <c r="J19" s="1024">
        <f t="shared" si="1"/>
        <v>0</v>
      </c>
      <c r="K19" s="1024">
        <f t="shared" si="2"/>
        <v>0</v>
      </c>
      <c r="L19" s="1020">
        <f t="shared" si="3"/>
        <v>0</v>
      </c>
      <c r="M19" s="16" t="s">
        <v>1899</v>
      </c>
      <c r="N19" s="16" t="s">
        <v>1900</v>
      </c>
      <c r="O19" s="1026"/>
      <c r="P19" s="1026"/>
      <c r="Q19" s="1026"/>
    </row>
    <row r="20" spans="1:19" x14ac:dyDescent="0.4">
      <c r="A20" s="16">
        <v>161229</v>
      </c>
      <c r="B20" s="16">
        <v>45</v>
      </c>
      <c r="C20" s="16">
        <f t="shared" si="0"/>
        <v>225</v>
      </c>
      <c r="D20" s="1020">
        <v>0</v>
      </c>
      <c r="E20" s="1020">
        <v>0</v>
      </c>
      <c r="F20" s="1020">
        <v>0</v>
      </c>
      <c r="G20" s="1020">
        <v>0</v>
      </c>
      <c r="H20" s="1020">
        <v>0</v>
      </c>
      <c r="I20" s="1020">
        <v>0</v>
      </c>
      <c r="J20" s="1024">
        <f t="shared" si="1"/>
        <v>0</v>
      </c>
      <c r="K20" s="1024">
        <f t="shared" si="2"/>
        <v>0</v>
      </c>
      <c r="L20" s="1020">
        <f t="shared" si="3"/>
        <v>0</v>
      </c>
      <c r="M20" s="16" t="s">
        <v>1906</v>
      </c>
      <c r="N20" s="16" t="s">
        <v>1907</v>
      </c>
      <c r="O20" s="1026"/>
      <c r="P20" s="1026"/>
      <c r="Q20" s="1026"/>
    </row>
    <row r="21" spans="1:19" x14ac:dyDescent="0.4">
      <c r="A21" s="16">
        <v>171230</v>
      </c>
      <c r="B21" s="429">
        <v>0</v>
      </c>
      <c r="C21" s="16">
        <f>SUM(B21*5)</f>
        <v>0</v>
      </c>
      <c r="D21" s="429">
        <v>0</v>
      </c>
      <c r="E21" s="429"/>
      <c r="F21" s="429"/>
      <c r="G21" s="429"/>
      <c r="H21" s="429"/>
      <c r="I21" s="429"/>
      <c r="J21" s="26">
        <f>SUM(D21:I21)</f>
        <v>0</v>
      </c>
      <c r="K21" s="26">
        <f>SUM(D21:H21)</f>
        <v>0</v>
      </c>
      <c r="L21" s="429">
        <f>B21*K21</f>
        <v>0</v>
      </c>
      <c r="M21" s="16" t="s">
        <v>1901</v>
      </c>
      <c r="N21" s="16" t="s">
        <v>1902</v>
      </c>
      <c r="O21" s="16" t="s">
        <v>1903</v>
      </c>
      <c r="P21" s="16" t="s">
        <v>1904</v>
      </c>
      <c r="Q21" s="16"/>
      <c r="R21" s="16" t="s">
        <v>1905</v>
      </c>
      <c r="S21" s="16"/>
    </row>
    <row r="22" spans="1:19" x14ac:dyDescent="0.4">
      <c r="A22" s="16">
        <v>171231</v>
      </c>
      <c r="B22" s="735">
        <v>50</v>
      </c>
      <c r="C22" s="16">
        <f t="shared" ref="C22:C50" si="4">SUM(B22*5)</f>
        <v>250</v>
      </c>
      <c r="D22" s="735">
        <v>0</v>
      </c>
      <c r="E22" s="735">
        <v>0</v>
      </c>
      <c r="F22" s="735">
        <v>0</v>
      </c>
      <c r="G22" s="735">
        <v>0</v>
      </c>
      <c r="H22" s="735">
        <v>0</v>
      </c>
      <c r="I22" s="735">
        <v>0</v>
      </c>
      <c r="J22" s="736">
        <f t="shared" ref="J22:J50" si="5">SUM(D22:I22)</f>
        <v>0</v>
      </c>
      <c r="K22" s="736">
        <f t="shared" ref="K22:K50" si="6">SUM(D22:H22)</f>
        <v>0</v>
      </c>
      <c r="L22" s="735">
        <f t="shared" ref="L22:L50" si="7">B22*K22</f>
        <v>0</v>
      </c>
      <c r="M22" s="16" t="s">
        <v>1908</v>
      </c>
      <c r="N22" s="16" t="s">
        <v>1909</v>
      </c>
      <c r="O22" s="36"/>
      <c r="P22" s="36"/>
      <c r="Q22" s="36"/>
    </row>
    <row r="23" spans="1:19" x14ac:dyDescent="0.4">
      <c r="A23" s="16">
        <v>171232</v>
      </c>
      <c r="B23" s="949">
        <v>60</v>
      </c>
      <c r="C23" s="16">
        <f t="shared" si="4"/>
        <v>300</v>
      </c>
      <c r="D23" s="949">
        <v>0</v>
      </c>
      <c r="E23" s="949">
        <v>0</v>
      </c>
      <c r="F23" s="949">
        <v>0</v>
      </c>
      <c r="G23" s="949">
        <v>0</v>
      </c>
      <c r="H23" s="949">
        <v>0</v>
      </c>
      <c r="I23" s="949">
        <v>0</v>
      </c>
      <c r="J23" s="950">
        <f t="shared" si="5"/>
        <v>0</v>
      </c>
      <c r="K23" s="950">
        <f t="shared" si="6"/>
        <v>0</v>
      </c>
      <c r="L23" s="949">
        <f t="shared" si="7"/>
        <v>0</v>
      </c>
      <c r="M23" s="16" t="s">
        <v>1908</v>
      </c>
      <c r="N23" s="16" t="s">
        <v>1910</v>
      </c>
      <c r="O23" s="36"/>
      <c r="P23" s="36"/>
      <c r="Q23" s="36"/>
    </row>
    <row r="24" spans="1:19" x14ac:dyDescent="0.4">
      <c r="A24" s="16">
        <v>171233</v>
      </c>
      <c r="B24" s="785">
        <v>60</v>
      </c>
      <c r="C24" s="16">
        <f t="shared" si="4"/>
        <v>300</v>
      </c>
      <c r="D24" s="785">
        <v>0</v>
      </c>
      <c r="E24" s="785">
        <v>0</v>
      </c>
      <c r="F24" s="785">
        <v>0</v>
      </c>
      <c r="G24" s="785">
        <v>0</v>
      </c>
      <c r="H24" s="785">
        <v>0</v>
      </c>
      <c r="I24" s="785">
        <v>0</v>
      </c>
      <c r="J24" s="786">
        <f t="shared" si="5"/>
        <v>0</v>
      </c>
      <c r="K24" s="786">
        <f t="shared" si="6"/>
        <v>0</v>
      </c>
      <c r="L24" s="785">
        <f t="shared" si="7"/>
        <v>0</v>
      </c>
      <c r="M24" s="16" t="s">
        <v>1911</v>
      </c>
      <c r="N24" s="16" t="s">
        <v>1912</v>
      </c>
      <c r="O24" s="36"/>
      <c r="P24" s="36"/>
      <c r="Q24" s="36"/>
    </row>
    <row r="25" spans="1:19" x14ac:dyDescent="0.4">
      <c r="A25" s="16">
        <v>171234</v>
      </c>
      <c r="B25" s="502">
        <v>60</v>
      </c>
      <c r="C25" s="16">
        <f t="shared" si="4"/>
        <v>300</v>
      </c>
      <c r="D25" s="502">
        <v>0</v>
      </c>
      <c r="E25" s="502">
        <v>0</v>
      </c>
      <c r="F25" s="502">
        <v>0</v>
      </c>
      <c r="G25" s="502">
        <v>0</v>
      </c>
      <c r="H25" s="502">
        <v>0</v>
      </c>
      <c r="I25" s="502">
        <v>0</v>
      </c>
      <c r="J25" s="503">
        <f t="shared" si="5"/>
        <v>0</v>
      </c>
      <c r="K25" s="503">
        <f t="shared" si="6"/>
        <v>0</v>
      </c>
      <c r="L25" s="502">
        <f t="shared" si="7"/>
        <v>0</v>
      </c>
      <c r="M25" s="16" t="s">
        <v>1913</v>
      </c>
      <c r="N25" s="16" t="s">
        <v>1914</v>
      </c>
      <c r="O25" s="36"/>
      <c r="P25" s="36"/>
      <c r="Q25" s="36"/>
    </row>
    <row r="26" spans="1:19" x14ac:dyDescent="0.4">
      <c r="A26" s="18">
        <v>171235</v>
      </c>
      <c r="B26" s="19">
        <v>45</v>
      </c>
      <c r="C26" s="18">
        <f t="shared" si="4"/>
        <v>225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28">
        <f t="shared" si="5"/>
        <v>0</v>
      </c>
      <c r="K26" s="28">
        <f t="shared" si="6"/>
        <v>0</v>
      </c>
      <c r="L26" s="19">
        <f t="shared" si="7"/>
        <v>0</v>
      </c>
      <c r="M26" s="18" t="s">
        <v>1915</v>
      </c>
      <c r="N26" s="18" t="s">
        <v>1916</v>
      </c>
      <c r="O26" s="36"/>
      <c r="P26" s="36"/>
      <c r="Q26" s="36"/>
    </row>
    <row r="27" spans="1:19" x14ac:dyDescent="0.4">
      <c r="A27" s="16">
        <v>171236</v>
      </c>
      <c r="B27" s="770">
        <v>45</v>
      </c>
      <c r="C27" s="16">
        <f t="shared" si="4"/>
        <v>225</v>
      </c>
      <c r="D27" s="770">
        <v>0</v>
      </c>
      <c r="E27" s="770">
        <v>0</v>
      </c>
      <c r="F27" s="770">
        <v>0</v>
      </c>
      <c r="G27" s="770">
        <v>0</v>
      </c>
      <c r="H27" s="770">
        <v>0</v>
      </c>
      <c r="I27" s="770">
        <v>0</v>
      </c>
      <c r="J27" s="771">
        <f t="shared" si="5"/>
        <v>0</v>
      </c>
      <c r="K27" s="771">
        <f t="shared" si="6"/>
        <v>0</v>
      </c>
      <c r="L27" s="770">
        <f t="shared" si="7"/>
        <v>0</v>
      </c>
      <c r="M27" s="16" t="s">
        <v>1915</v>
      </c>
      <c r="N27" s="16" t="s">
        <v>1916</v>
      </c>
      <c r="O27" s="36"/>
      <c r="P27" s="36"/>
      <c r="Q27" s="36"/>
    </row>
    <row r="28" spans="1:19" x14ac:dyDescent="0.4">
      <c r="A28" s="22">
        <v>171237</v>
      </c>
      <c r="B28" s="557">
        <v>45</v>
      </c>
      <c r="C28" s="22">
        <f t="shared" si="4"/>
        <v>225</v>
      </c>
      <c r="D28" s="557">
        <v>0</v>
      </c>
      <c r="E28" s="557">
        <v>0</v>
      </c>
      <c r="F28" s="557">
        <v>0</v>
      </c>
      <c r="G28" s="557">
        <v>0</v>
      </c>
      <c r="H28" s="557">
        <v>0</v>
      </c>
      <c r="I28" s="557">
        <v>0</v>
      </c>
      <c r="J28" s="24">
        <f t="shared" si="5"/>
        <v>0</v>
      </c>
      <c r="K28" s="24">
        <f t="shared" si="6"/>
        <v>0</v>
      </c>
      <c r="L28" s="557">
        <f t="shared" si="7"/>
        <v>0</v>
      </c>
      <c r="M28" s="22" t="s">
        <v>1917</v>
      </c>
      <c r="N28" s="22" t="s">
        <v>1918</v>
      </c>
      <c r="O28" s="36"/>
      <c r="P28" s="36"/>
      <c r="Q28" s="36"/>
    </row>
    <row r="29" spans="1:19" x14ac:dyDescent="0.4">
      <c r="A29" s="16">
        <v>171238</v>
      </c>
      <c r="B29" s="631">
        <v>60</v>
      </c>
      <c r="C29" s="16">
        <f t="shared" si="4"/>
        <v>300</v>
      </c>
      <c r="D29" s="631">
        <v>0</v>
      </c>
      <c r="E29" s="631">
        <v>0</v>
      </c>
      <c r="F29" s="631">
        <v>0</v>
      </c>
      <c r="G29" s="631">
        <v>0</v>
      </c>
      <c r="H29" s="631">
        <v>0</v>
      </c>
      <c r="I29" s="631">
        <v>0</v>
      </c>
      <c r="J29" s="632">
        <f t="shared" si="5"/>
        <v>0</v>
      </c>
      <c r="K29" s="632">
        <f t="shared" si="6"/>
        <v>0</v>
      </c>
      <c r="L29" s="631">
        <f t="shared" si="7"/>
        <v>0</v>
      </c>
      <c r="M29" s="16" t="s">
        <v>1917</v>
      </c>
      <c r="N29" s="16" t="s">
        <v>1918</v>
      </c>
      <c r="O29" s="36"/>
      <c r="P29" s="36"/>
      <c r="Q29" s="36"/>
    </row>
    <row r="30" spans="1:19" x14ac:dyDescent="0.4">
      <c r="A30" s="1">
        <v>171239</v>
      </c>
      <c r="B30" s="1062">
        <v>45</v>
      </c>
      <c r="C30" s="1">
        <f t="shared" si="4"/>
        <v>225</v>
      </c>
      <c r="D30" s="1062">
        <v>1</v>
      </c>
      <c r="E30" s="1062">
        <v>1</v>
      </c>
      <c r="F30" s="1062">
        <v>1</v>
      </c>
      <c r="G30" s="1062">
        <v>1</v>
      </c>
      <c r="H30" s="1062">
        <v>1</v>
      </c>
      <c r="I30" s="1062">
        <v>1</v>
      </c>
      <c r="J30" s="140">
        <f t="shared" si="5"/>
        <v>6</v>
      </c>
      <c r="K30" s="140">
        <f t="shared" si="6"/>
        <v>5</v>
      </c>
      <c r="L30" s="1062">
        <f t="shared" si="7"/>
        <v>225</v>
      </c>
      <c r="M30" s="1" t="s">
        <v>1917</v>
      </c>
      <c r="N30" s="1" t="s">
        <v>1918</v>
      </c>
      <c r="O30" s="36"/>
      <c r="P30" s="36"/>
      <c r="Q30" s="36"/>
    </row>
    <row r="31" spans="1:19" x14ac:dyDescent="0.4">
      <c r="A31" s="16">
        <v>171240</v>
      </c>
      <c r="B31" s="880">
        <v>45</v>
      </c>
      <c r="C31" s="16">
        <f t="shared" si="4"/>
        <v>225</v>
      </c>
      <c r="D31" s="880">
        <v>0</v>
      </c>
      <c r="E31" s="880">
        <v>0</v>
      </c>
      <c r="F31" s="880">
        <v>0</v>
      </c>
      <c r="G31" s="880">
        <v>0</v>
      </c>
      <c r="H31" s="880">
        <v>0</v>
      </c>
      <c r="I31" s="880">
        <v>0</v>
      </c>
      <c r="J31" s="881">
        <f t="shared" si="5"/>
        <v>0</v>
      </c>
      <c r="K31" s="881">
        <f t="shared" si="6"/>
        <v>0</v>
      </c>
      <c r="L31" s="880">
        <f t="shared" si="7"/>
        <v>0</v>
      </c>
      <c r="M31" s="16" t="s">
        <v>1917</v>
      </c>
      <c r="N31" s="16" t="s">
        <v>1918</v>
      </c>
      <c r="O31" s="36"/>
      <c r="P31" s="36"/>
      <c r="Q31" s="36"/>
    </row>
    <row r="32" spans="1:19" x14ac:dyDescent="0.4">
      <c r="A32" s="16">
        <v>171241</v>
      </c>
      <c r="B32" s="758">
        <v>60</v>
      </c>
      <c r="C32" s="16">
        <f t="shared" si="4"/>
        <v>300</v>
      </c>
      <c r="D32" s="758">
        <v>0</v>
      </c>
      <c r="E32" s="758">
        <v>0</v>
      </c>
      <c r="F32" s="758">
        <v>0</v>
      </c>
      <c r="G32" s="758">
        <v>0</v>
      </c>
      <c r="H32" s="758">
        <v>0</v>
      </c>
      <c r="I32" s="758">
        <v>0</v>
      </c>
      <c r="J32" s="759">
        <f t="shared" si="5"/>
        <v>0</v>
      </c>
      <c r="K32" s="759">
        <f t="shared" si="6"/>
        <v>0</v>
      </c>
      <c r="L32" s="758">
        <f t="shared" si="7"/>
        <v>0</v>
      </c>
      <c r="M32" s="16" t="s">
        <v>1919</v>
      </c>
      <c r="N32" s="16" t="s">
        <v>1920</v>
      </c>
      <c r="O32" s="36"/>
      <c r="P32" s="36"/>
      <c r="Q32" s="36"/>
    </row>
    <row r="33" spans="1:17" x14ac:dyDescent="0.4">
      <c r="A33" s="16">
        <v>171242</v>
      </c>
      <c r="B33" s="710">
        <v>45</v>
      </c>
      <c r="C33" s="16">
        <f t="shared" si="4"/>
        <v>225</v>
      </c>
      <c r="D33" s="710">
        <v>0</v>
      </c>
      <c r="E33" s="710">
        <v>0</v>
      </c>
      <c r="F33" s="710">
        <v>0</v>
      </c>
      <c r="G33" s="710">
        <v>0</v>
      </c>
      <c r="H33" s="710">
        <v>0</v>
      </c>
      <c r="I33" s="710">
        <v>0</v>
      </c>
      <c r="J33" s="711">
        <f t="shared" si="5"/>
        <v>0</v>
      </c>
      <c r="K33" s="711">
        <f t="shared" si="6"/>
        <v>0</v>
      </c>
      <c r="L33" s="710">
        <f t="shared" si="7"/>
        <v>0</v>
      </c>
      <c r="M33" s="16" t="s">
        <v>1919</v>
      </c>
      <c r="N33" s="16" t="s">
        <v>1920</v>
      </c>
      <c r="O33" s="36"/>
      <c r="P33" s="36"/>
      <c r="Q33" s="36"/>
    </row>
    <row r="34" spans="1:17" x14ac:dyDescent="0.4">
      <c r="A34" s="1">
        <v>171243</v>
      </c>
      <c r="B34" s="1062">
        <v>45</v>
      </c>
      <c r="C34" s="1">
        <f t="shared" si="4"/>
        <v>225</v>
      </c>
      <c r="D34" s="1062">
        <v>0</v>
      </c>
      <c r="E34" s="1062">
        <v>0</v>
      </c>
      <c r="F34" s="1062">
        <v>0</v>
      </c>
      <c r="G34" s="1062">
        <v>0</v>
      </c>
      <c r="H34" s="1062">
        <v>0</v>
      </c>
      <c r="I34" s="1062">
        <v>1</v>
      </c>
      <c r="J34" s="140">
        <f t="shared" si="5"/>
        <v>1</v>
      </c>
      <c r="K34" s="140">
        <f t="shared" si="6"/>
        <v>0</v>
      </c>
      <c r="L34" s="1062">
        <f t="shared" si="7"/>
        <v>0</v>
      </c>
      <c r="M34" s="1" t="s">
        <v>1919</v>
      </c>
      <c r="N34" s="1" t="s">
        <v>1920</v>
      </c>
      <c r="O34" s="36"/>
      <c r="P34" s="36"/>
      <c r="Q34" s="36"/>
    </row>
    <row r="35" spans="1:17" x14ac:dyDescent="0.4">
      <c r="A35" s="16">
        <v>171244</v>
      </c>
      <c r="B35" s="518">
        <v>60</v>
      </c>
      <c r="C35" s="16">
        <f t="shared" si="4"/>
        <v>300</v>
      </c>
      <c r="D35" s="518">
        <v>0</v>
      </c>
      <c r="E35" s="518">
        <v>0</v>
      </c>
      <c r="F35" s="518">
        <v>0</v>
      </c>
      <c r="G35" s="518">
        <v>0</v>
      </c>
      <c r="H35" s="518">
        <v>0</v>
      </c>
      <c r="I35" s="518">
        <v>0</v>
      </c>
      <c r="J35" s="519">
        <f t="shared" si="5"/>
        <v>0</v>
      </c>
      <c r="K35" s="519">
        <f t="shared" si="6"/>
        <v>0</v>
      </c>
      <c r="L35" s="518">
        <f t="shared" si="7"/>
        <v>0</v>
      </c>
      <c r="M35" s="16" t="s">
        <v>1921</v>
      </c>
      <c r="N35" s="16" t="s">
        <v>1922</v>
      </c>
      <c r="O35" s="36"/>
      <c r="P35" s="36"/>
      <c r="Q35" s="36"/>
    </row>
    <row r="36" spans="1:17" x14ac:dyDescent="0.4">
      <c r="A36" s="18">
        <v>171245</v>
      </c>
      <c r="B36" s="19">
        <v>90</v>
      </c>
      <c r="C36" s="18">
        <f t="shared" si="4"/>
        <v>450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28">
        <f t="shared" si="5"/>
        <v>0</v>
      </c>
      <c r="K36" s="28">
        <f t="shared" si="6"/>
        <v>0</v>
      </c>
      <c r="L36" s="19">
        <f t="shared" si="7"/>
        <v>0</v>
      </c>
      <c r="M36" s="18" t="s">
        <v>1921</v>
      </c>
      <c r="N36" s="18" t="s">
        <v>1922</v>
      </c>
      <c r="O36" s="36"/>
      <c r="P36" s="36"/>
      <c r="Q36" s="36"/>
    </row>
    <row r="37" spans="1:17" x14ac:dyDescent="0.4">
      <c r="A37" s="16">
        <v>171246</v>
      </c>
      <c r="B37" s="607">
        <v>45</v>
      </c>
      <c r="C37" s="16">
        <f t="shared" si="4"/>
        <v>225</v>
      </c>
      <c r="D37" s="607">
        <v>0</v>
      </c>
      <c r="E37" s="607">
        <v>0</v>
      </c>
      <c r="F37" s="607">
        <v>0</v>
      </c>
      <c r="G37" s="607">
        <v>0</v>
      </c>
      <c r="H37" s="607">
        <v>0</v>
      </c>
      <c r="I37" s="607">
        <v>0</v>
      </c>
      <c r="J37" s="608">
        <f t="shared" si="5"/>
        <v>0</v>
      </c>
      <c r="K37" s="608">
        <f t="shared" si="6"/>
        <v>0</v>
      </c>
      <c r="L37" s="607">
        <f t="shared" si="7"/>
        <v>0</v>
      </c>
      <c r="M37" s="16" t="s">
        <v>1923</v>
      </c>
      <c r="N37" s="16" t="s">
        <v>1924</v>
      </c>
      <c r="O37" s="36"/>
      <c r="P37" s="36"/>
      <c r="Q37" s="36"/>
    </row>
    <row r="38" spans="1:17" x14ac:dyDescent="0.4">
      <c r="A38" s="1">
        <v>171247</v>
      </c>
      <c r="B38" s="1062">
        <v>0</v>
      </c>
      <c r="C38" s="1">
        <f t="shared" si="4"/>
        <v>0</v>
      </c>
      <c r="D38" s="1062">
        <v>1</v>
      </c>
      <c r="E38" s="1062"/>
      <c r="F38" s="1062"/>
      <c r="G38" s="1062"/>
      <c r="H38" s="1062"/>
      <c r="I38" s="1062"/>
      <c r="J38" s="140">
        <f t="shared" si="5"/>
        <v>1</v>
      </c>
      <c r="K38" s="140">
        <f t="shared" si="6"/>
        <v>1</v>
      </c>
      <c r="L38" s="1062">
        <f t="shared" si="7"/>
        <v>0</v>
      </c>
      <c r="M38" s="1" t="s">
        <v>1923</v>
      </c>
      <c r="N38" s="1" t="s">
        <v>1924</v>
      </c>
      <c r="O38" s="36" t="s">
        <v>1925</v>
      </c>
      <c r="P38" s="36"/>
      <c r="Q38" s="36"/>
    </row>
    <row r="39" spans="1:17" x14ac:dyDescent="0.4">
      <c r="A39" s="16">
        <v>171248</v>
      </c>
      <c r="B39" s="572">
        <v>60</v>
      </c>
      <c r="C39" s="16">
        <f t="shared" si="4"/>
        <v>300</v>
      </c>
      <c r="D39" s="572">
        <v>0</v>
      </c>
      <c r="E39" s="572">
        <v>0</v>
      </c>
      <c r="F39" s="572">
        <v>0</v>
      </c>
      <c r="G39" s="572">
        <v>0</v>
      </c>
      <c r="H39" s="572">
        <v>0</v>
      </c>
      <c r="I39" s="572">
        <v>0</v>
      </c>
      <c r="J39" s="573">
        <f t="shared" si="5"/>
        <v>0</v>
      </c>
      <c r="K39" s="573">
        <f t="shared" si="6"/>
        <v>0</v>
      </c>
      <c r="L39" s="572">
        <f t="shared" si="7"/>
        <v>0</v>
      </c>
      <c r="M39" s="16" t="s">
        <v>1926</v>
      </c>
      <c r="N39" s="16" t="s">
        <v>1927</v>
      </c>
      <c r="O39" s="36"/>
      <c r="P39" s="36"/>
      <c r="Q39" s="36"/>
    </row>
    <row r="40" spans="1:17" x14ac:dyDescent="0.4">
      <c r="A40" s="16">
        <v>171249</v>
      </c>
      <c r="B40" s="537">
        <v>45</v>
      </c>
      <c r="C40" s="16">
        <f t="shared" si="4"/>
        <v>225</v>
      </c>
      <c r="D40" s="537">
        <v>0</v>
      </c>
      <c r="E40" s="537">
        <v>0</v>
      </c>
      <c r="F40" s="537">
        <v>0</v>
      </c>
      <c r="G40" s="537">
        <v>0</v>
      </c>
      <c r="H40" s="537">
        <v>0</v>
      </c>
      <c r="I40" s="537">
        <v>0</v>
      </c>
      <c r="J40" s="538">
        <f t="shared" si="5"/>
        <v>0</v>
      </c>
      <c r="K40" s="538">
        <f t="shared" si="6"/>
        <v>0</v>
      </c>
      <c r="L40" s="537">
        <f t="shared" si="7"/>
        <v>0</v>
      </c>
      <c r="M40" s="16" t="s">
        <v>1928</v>
      </c>
      <c r="N40" s="16" t="s">
        <v>1929</v>
      </c>
      <c r="O40" s="36"/>
      <c r="P40" s="36"/>
      <c r="Q40" s="36"/>
    </row>
    <row r="41" spans="1:17" x14ac:dyDescent="0.4">
      <c r="A41" s="16">
        <v>171250</v>
      </c>
      <c r="B41" s="522">
        <v>45</v>
      </c>
      <c r="C41" s="16">
        <f t="shared" si="4"/>
        <v>225</v>
      </c>
      <c r="D41" s="522">
        <v>0</v>
      </c>
      <c r="E41" s="522">
        <v>0</v>
      </c>
      <c r="F41" s="522">
        <v>0</v>
      </c>
      <c r="G41" s="522">
        <v>0</v>
      </c>
      <c r="H41" s="522">
        <v>0</v>
      </c>
      <c r="I41" s="522">
        <v>0</v>
      </c>
      <c r="J41" s="523">
        <f t="shared" si="5"/>
        <v>0</v>
      </c>
      <c r="K41" s="523">
        <f t="shared" si="6"/>
        <v>0</v>
      </c>
      <c r="L41" s="522">
        <f t="shared" si="7"/>
        <v>0</v>
      </c>
      <c r="M41" s="16" t="s">
        <v>1930</v>
      </c>
      <c r="N41" s="16" t="s">
        <v>1931</v>
      </c>
      <c r="O41" s="36"/>
      <c r="P41" s="36"/>
      <c r="Q41" s="36"/>
    </row>
    <row r="42" spans="1:17" x14ac:dyDescent="0.4">
      <c r="A42" s="1">
        <v>171251</v>
      </c>
      <c r="B42" s="1062">
        <v>45</v>
      </c>
      <c r="C42" s="1">
        <f t="shared" si="4"/>
        <v>225</v>
      </c>
      <c r="D42" s="1062">
        <v>0</v>
      </c>
      <c r="E42" s="1062">
        <v>0</v>
      </c>
      <c r="F42" s="1062">
        <v>1</v>
      </c>
      <c r="G42" s="1062">
        <v>1</v>
      </c>
      <c r="H42" s="1062">
        <v>1</v>
      </c>
      <c r="I42" s="1062">
        <v>1</v>
      </c>
      <c r="J42" s="140">
        <f t="shared" si="5"/>
        <v>4</v>
      </c>
      <c r="K42" s="140">
        <f t="shared" si="6"/>
        <v>3</v>
      </c>
      <c r="L42" s="1062">
        <f t="shared" si="7"/>
        <v>135</v>
      </c>
      <c r="M42" s="1" t="s">
        <v>1930</v>
      </c>
      <c r="N42" s="1" t="s">
        <v>1931</v>
      </c>
      <c r="O42" s="36"/>
      <c r="P42" s="36"/>
      <c r="Q42" s="36"/>
    </row>
    <row r="43" spans="1:17" x14ac:dyDescent="0.4">
      <c r="A43" s="16">
        <v>171252</v>
      </c>
      <c r="B43" s="760">
        <v>60</v>
      </c>
      <c r="C43" s="16">
        <f t="shared" si="4"/>
        <v>300</v>
      </c>
      <c r="D43" s="760">
        <v>0</v>
      </c>
      <c r="E43" s="760">
        <v>0</v>
      </c>
      <c r="F43" s="760">
        <v>0</v>
      </c>
      <c r="G43" s="760">
        <v>0</v>
      </c>
      <c r="H43" s="760">
        <v>0</v>
      </c>
      <c r="I43" s="760">
        <v>0</v>
      </c>
      <c r="J43" s="761">
        <f t="shared" si="5"/>
        <v>0</v>
      </c>
      <c r="K43" s="761">
        <f t="shared" si="6"/>
        <v>0</v>
      </c>
      <c r="L43" s="760">
        <f t="shared" si="7"/>
        <v>0</v>
      </c>
      <c r="M43" s="16" t="s">
        <v>1932</v>
      </c>
      <c r="N43" s="16" t="s">
        <v>1933</v>
      </c>
      <c r="O43" s="36"/>
      <c r="P43" s="36"/>
      <c r="Q43" s="36"/>
    </row>
    <row r="44" spans="1:17" x14ac:dyDescent="0.4">
      <c r="A44" s="16">
        <v>171253</v>
      </c>
      <c r="B44" s="570">
        <v>45</v>
      </c>
      <c r="C44" s="16">
        <f t="shared" si="4"/>
        <v>225</v>
      </c>
      <c r="D44" s="570">
        <v>0</v>
      </c>
      <c r="E44" s="570">
        <v>0</v>
      </c>
      <c r="F44" s="570">
        <v>0</v>
      </c>
      <c r="G44" s="570">
        <v>0</v>
      </c>
      <c r="H44" s="570">
        <v>0</v>
      </c>
      <c r="I44" s="570">
        <v>0</v>
      </c>
      <c r="J44" s="571">
        <f t="shared" si="5"/>
        <v>0</v>
      </c>
      <c r="K44" s="571">
        <f t="shared" si="6"/>
        <v>0</v>
      </c>
      <c r="L44" s="570">
        <f t="shared" si="7"/>
        <v>0</v>
      </c>
      <c r="M44" s="16" t="s">
        <v>1932</v>
      </c>
      <c r="N44" s="16" t="s">
        <v>1933</v>
      </c>
      <c r="O44" s="36"/>
      <c r="P44" s="36"/>
      <c r="Q44" s="36"/>
    </row>
    <row r="45" spans="1:17" x14ac:dyDescent="0.4">
      <c r="A45" s="16">
        <v>171254</v>
      </c>
      <c r="B45" s="590">
        <v>60</v>
      </c>
      <c r="C45" s="16">
        <f t="shared" si="4"/>
        <v>300</v>
      </c>
      <c r="D45" s="590">
        <v>0</v>
      </c>
      <c r="E45" s="590">
        <v>0</v>
      </c>
      <c r="F45" s="590">
        <v>0</v>
      </c>
      <c r="G45" s="590">
        <v>0</v>
      </c>
      <c r="H45" s="590">
        <v>0</v>
      </c>
      <c r="I45" s="590">
        <v>0</v>
      </c>
      <c r="J45" s="591">
        <f t="shared" si="5"/>
        <v>0</v>
      </c>
      <c r="K45" s="591">
        <f t="shared" si="6"/>
        <v>0</v>
      </c>
      <c r="L45" s="590">
        <f t="shared" si="7"/>
        <v>0</v>
      </c>
      <c r="M45" s="16" t="s">
        <v>1934</v>
      </c>
      <c r="N45" s="16" t="s">
        <v>1935</v>
      </c>
      <c r="O45" s="36"/>
      <c r="P45" s="36"/>
      <c r="Q45" s="36"/>
    </row>
    <row r="46" spans="1:17" x14ac:dyDescent="0.4">
      <c r="A46" s="16">
        <v>171255</v>
      </c>
      <c r="B46" s="625">
        <v>60</v>
      </c>
      <c r="C46" s="16">
        <f t="shared" si="4"/>
        <v>300</v>
      </c>
      <c r="D46" s="625">
        <v>0</v>
      </c>
      <c r="E46" s="625">
        <v>0</v>
      </c>
      <c r="F46" s="625">
        <v>0</v>
      </c>
      <c r="G46" s="625">
        <v>0</v>
      </c>
      <c r="H46" s="625">
        <v>0</v>
      </c>
      <c r="I46" s="625">
        <v>0</v>
      </c>
      <c r="J46" s="626">
        <f t="shared" si="5"/>
        <v>0</v>
      </c>
      <c r="K46" s="626">
        <f t="shared" si="6"/>
        <v>0</v>
      </c>
      <c r="L46" s="625">
        <f t="shared" si="7"/>
        <v>0</v>
      </c>
      <c r="M46" s="16" t="s">
        <v>1934</v>
      </c>
      <c r="N46" s="16" t="s">
        <v>1935</v>
      </c>
      <c r="O46" s="36"/>
      <c r="P46" s="36"/>
      <c r="Q46" s="36"/>
    </row>
    <row r="47" spans="1:17" x14ac:dyDescent="0.4">
      <c r="A47" s="16">
        <v>171256</v>
      </c>
      <c r="B47" s="597">
        <v>45</v>
      </c>
      <c r="C47" s="16">
        <f t="shared" si="4"/>
        <v>225</v>
      </c>
      <c r="D47" s="597">
        <v>0</v>
      </c>
      <c r="E47" s="597">
        <v>0</v>
      </c>
      <c r="F47" s="597">
        <v>0</v>
      </c>
      <c r="G47" s="597">
        <v>0</v>
      </c>
      <c r="H47" s="597">
        <v>0</v>
      </c>
      <c r="I47" s="597">
        <v>0</v>
      </c>
      <c r="J47" s="598">
        <f t="shared" si="5"/>
        <v>0</v>
      </c>
      <c r="K47" s="598">
        <f t="shared" si="6"/>
        <v>0</v>
      </c>
      <c r="L47" s="597">
        <f t="shared" si="7"/>
        <v>0</v>
      </c>
      <c r="M47" s="16" t="s">
        <v>1934</v>
      </c>
      <c r="N47" s="16" t="s">
        <v>1935</v>
      </c>
      <c r="O47" s="36"/>
      <c r="P47" s="36"/>
      <c r="Q47" s="36"/>
    </row>
    <row r="48" spans="1:17" x14ac:dyDescent="0.4">
      <c r="A48" s="16">
        <v>171257</v>
      </c>
      <c r="B48" s="678">
        <v>60</v>
      </c>
      <c r="C48" s="16">
        <f t="shared" si="4"/>
        <v>300</v>
      </c>
      <c r="D48" s="678">
        <v>0</v>
      </c>
      <c r="E48" s="678">
        <v>0</v>
      </c>
      <c r="F48" s="678">
        <v>0</v>
      </c>
      <c r="G48" s="678">
        <v>0</v>
      </c>
      <c r="H48" s="678">
        <v>0</v>
      </c>
      <c r="I48" s="678">
        <v>0</v>
      </c>
      <c r="J48" s="679">
        <f t="shared" si="5"/>
        <v>0</v>
      </c>
      <c r="K48" s="679">
        <f t="shared" si="6"/>
        <v>0</v>
      </c>
      <c r="L48" s="678">
        <f t="shared" si="7"/>
        <v>0</v>
      </c>
      <c r="M48" s="16" t="s">
        <v>1936</v>
      </c>
      <c r="N48" s="16" t="s">
        <v>1937</v>
      </c>
      <c r="O48" s="36"/>
      <c r="P48" s="36"/>
      <c r="Q48" s="36"/>
    </row>
    <row r="49" spans="1:18" x14ac:dyDescent="0.4">
      <c r="A49" s="36">
        <v>171258</v>
      </c>
      <c r="B49" s="427"/>
      <c r="C49" s="295">
        <f t="shared" si="4"/>
        <v>0</v>
      </c>
      <c r="D49" s="427">
        <v>0</v>
      </c>
      <c r="E49" s="427"/>
      <c r="F49" s="427"/>
      <c r="G49" s="427"/>
      <c r="H49" s="427"/>
      <c r="I49" s="427"/>
      <c r="J49" s="297">
        <f t="shared" si="5"/>
        <v>0</v>
      </c>
      <c r="K49" s="297">
        <f t="shared" si="6"/>
        <v>0</v>
      </c>
      <c r="L49" s="427">
        <f t="shared" si="7"/>
        <v>0</v>
      </c>
      <c r="M49" s="295" t="s">
        <v>1936</v>
      </c>
      <c r="N49" s="295" t="s">
        <v>1937</v>
      </c>
      <c r="O49" s="295" t="s">
        <v>1938</v>
      </c>
      <c r="P49" s="295"/>
      <c r="Q49" s="295"/>
      <c r="R49" s="295"/>
    </row>
    <row r="50" spans="1:18" x14ac:dyDescent="0.4">
      <c r="A50" s="16">
        <v>171259</v>
      </c>
      <c r="B50" s="469">
        <v>55</v>
      </c>
      <c r="C50" s="16">
        <f t="shared" si="4"/>
        <v>275</v>
      </c>
      <c r="D50" s="469">
        <v>0</v>
      </c>
      <c r="E50" s="469">
        <v>0</v>
      </c>
      <c r="F50" s="469">
        <v>0</v>
      </c>
      <c r="G50" s="469">
        <v>0</v>
      </c>
      <c r="H50" s="469">
        <v>0</v>
      </c>
      <c r="I50" s="469">
        <v>0</v>
      </c>
      <c r="J50" s="26">
        <f t="shared" si="5"/>
        <v>0</v>
      </c>
      <c r="K50" s="26">
        <f t="shared" si="6"/>
        <v>0</v>
      </c>
      <c r="L50" s="469">
        <f t="shared" si="7"/>
        <v>0</v>
      </c>
      <c r="M50" s="16" t="s">
        <v>1939</v>
      </c>
      <c r="N50" s="16" t="s">
        <v>1940</v>
      </c>
      <c r="O50" s="36"/>
      <c r="P50" s="36"/>
      <c r="Q50" s="36"/>
    </row>
    <row r="51" spans="1:18" s="36" customFormat="1" x14ac:dyDescent="0.4">
      <c r="A51" s="1">
        <v>171260</v>
      </c>
      <c r="B51" s="1091">
        <v>55</v>
      </c>
      <c r="C51" s="1">
        <f t="shared" ref="C51:C80" si="8">SUM(B51*5)</f>
        <v>275</v>
      </c>
      <c r="D51" s="1091">
        <v>0</v>
      </c>
      <c r="E51" s="1091">
        <v>0</v>
      </c>
      <c r="F51" s="1091">
        <v>0</v>
      </c>
      <c r="G51" s="1091">
        <v>0</v>
      </c>
      <c r="H51" s="1091">
        <v>0</v>
      </c>
      <c r="I51" s="1091">
        <v>1</v>
      </c>
      <c r="J51" s="140">
        <f t="shared" ref="J51:J80" si="9">SUM(D51:I51)</f>
        <v>1</v>
      </c>
      <c r="K51" s="140">
        <f t="shared" ref="K51:K80" si="10">SUM(D51:H51)</f>
        <v>0</v>
      </c>
      <c r="L51" s="1091">
        <f t="shared" ref="L51:L80" si="11">B51*K51</f>
        <v>0</v>
      </c>
      <c r="M51" s="1" t="s">
        <v>1939</v>
      </c>
      <c r="N51" s="1" t="s">
        <v>1940</v>
      </c>
    </row>
    <row r="52" spans="1:18" s="36" customFormat="1" x14ac:dyDescent="0.4">
      <c r="A52" s="16">
        <v>171261</v>
      </c>
      <c r="B52" s="838">
        <v>55</v>
      </c>
      <c r="C52" s="16">
        <f t="shared" si="8"/>
        <v>275</v>
      </c>
      <c r="D52" s="838">
        <v>0</v>
      </c>
      <c r="E52" s="838">
        <v>0</v>
      </c>
      <c r="F52" s="838">
        <v>0</v>
      </c>
      <c r="G52" s="838">
        <v>0</v>
      </c>
      <c r="H52" s="838">
        <v>0</v>
      </c>
      <c r="I52" s="838">
        <v>0</v>
      </c>
      <c r="J52" s="839">
        <f t="shared" si="9"/>
        <v>0</v>
      </c>
      <c r="K52" s="839">
        <f t="shared" si="10"/>
        <v>0</v>
      </c>
      <c r="L52" s="838">
        <f t="shared" si="11"/>
        <v>0</v>
      </c>
      <c r="M52" s="16" t="s">
        <v>1939</v>
      </c>
      <c r="N52" s="16" t="s">
        <v>1940</v>
      </c>
    </row>
    <row r="53" spans="1:18" s="36" customFormat="1" x14ac:dyDescent="0.4">
      <c r="A53" s="1">
        <v>171262</v>
      </c>
      <c r="B53" s="1091">
        <v>55</v>
      </c>
      <c r="C53" s="1">
        <f t="shared" si="8"/>
        <v>275</v>
      </c>
      <c r="D53" s="1091">
        <v>0</v>
      </c>
      <c r="E53" s="1091">
        <v>0</v>
      </c>
      <c r="F53" s="1091">
        <v>0</v>
      </c>
      <c r="G53" s="1091">
        <v>0</v>
      </c>
      <c r="H53" s="1091">
        <v>1</v>
      </c>
      <c r="I53" s="1091">
        <v>1</v>
      </c>
      <c r="J53" s="140">
        <f t="shared" si="9"/>
        <v>2</v>
      </c>
      <c r="K53" s="140">
        <f t="shared" si="10"/>
        <v>1</v>
      </c>
      <c r="L53" s="1091">
        <f t="shared" si="11"/>
        <v>55</v>
      </c>
      <c r="M53" s="1" t="s">
        <v>1939</v>
      </c>
      <c r="N53" s="1" t="s">
        <v>1940</v>
      </c>
    </row>
    <row r="54" spans="1:18" s="36" customFormat="1" x14ac:dyDescent="0.4">
      <c r="A54" s="16">
        <v>171263</v>
      </c>
      <c r="B54" s="663">
        <v>50</v>
      </c>
      <c r="C54" s="16">
        <f t="shared" si="8"/>
        <v>250</v>
      </c>
      <c r="D54" s="663">
        <v>0</v>
      </c>
      <c r="E54" s="663">
        <v>0</v>
      </c>
      <c r="F54" s="663">
        <v>0</v>
      </c>
      <c r="G54" s="663">
        <v>0</v>
      </c>
      <c r="H54" s="663">
        <v>0</v>
      </c>
      <c r="I54" s="663">
        <v>0</v>
      </c>
      <c r="J54" s="664">
        <f t="shared" si="9"/>
        <v>0</v>
      </c>
      <c r="K54" s="664">
        <f t="shared" si="10"/>
        <v>0</v>
      </c>
      <c r="L54" s="663">
        <f t="shared" si="11"/>
        <v>0</v>
      </c>
      <c r="M54" s="16" t="s">
        <v>1939</v>
      </c>
      <c r="N54" s="16" t="s">
        <v>1940</v>
      </c>
    </row>
    <row r="55" spans="1:18" s="36" customFormat="1" x14ac:dyDescent="0.4">
      <c r="A55" s="16">
        <v>171264</v>
      </c>
      <c r="B55" s="1129">
        <v>60</v>
      </c>
      <c r="C55" s="16">
        <f t="shared" si="8"/>
        <v>300</v>
      </c>
      <c r="D55" s="1129">
        <v>0</v>
      </c>
      <c r="E55" s="1129">
        <v>0</v>
      </c>
      <c r="F55" s="1129">
        <v>0</v>
      </c>
      <c r="G55" s="1129">
        <v>0</v>
      </c>
      <c r="H55" s="1129">
        <v>0</v>
      </c>
      <c r="I55" s="1129">
        <v>0</v>
      </c>
      <c r="J55" s="1130">
        <f t="shared" si="9"/>
        <v>0</v>
      </c>
      <c r="K55" s="1130">
        <f t="shared" si="10"/>
        <v>0</v>
      </c>
      <c r="L55" s="1129">
        <f t="shared" si="11"/>
        <v>0</v>
      </c>
      <c r="M55" s="16" t="s">
        <v>1939</v>
      </c>
      <c r="N55" s="16" t="s">
        <v>1940</v>
      </c>
    </row>
    <row r="56" spans="1:18" s="36" customFormat="1" x14ac:dyDescent="0.4">
      <c r="A56" s="16">
        <v>171265</v>
      </c>
      <c r="B56" s="745">
        <v>45</v>
      </c>
      <c r="C56" s="16">
        <f t="shared" si="8"/>
        <v>225</v>
      </c>
      <c r="D56" s="745">
        <v>0</v>
      </c>
      <c r="E56" s="745">
        <v>0</v>
      </c>
      <c r="F56" s="745">
        <v>0</v>
      </c>
      <c r="G56" s="745">
        <v>0</v>
      </c>
      <c r="H56" s="745">
        <v>0</v>
      </c>
      <c r="I56" s="745">
        <v>0</v>
      </c>
      <c r="J56" s="746">
        <f t="shared" si="9"/>
        <v>0</v>
      </c>
      <c r="K56" s="746">
        <f t="shared" si="10"/>
        <v>0</v>
      </c>
      <c r="L56" s="745">
        <f t="shared" si="11"/>
        <v>0</v>
      </c>
      <c r="M56" s="16" t="s">
        <v>1939</v>
      </c>
      <c r="N56" s="16" t="s">
        <v>1940</v>
      </c>
    </row>
    <row r="57" spans="1:18" s="36" customFormat="1" x14ac:dyDescent="0.4">
      <c r="A57" s="1">
        <v>171266</v>
      </c>
      <c r="B57" s="1091">
        <v>45</v>
      </c>
      <c r="C57" s="1">
        <f t="shared" si="8"/>
        <v>225</v>
      </c>
      <c r="D57" s="1091">
        <v>0</v>
      </c>
      <c r="E57" s="1091">
        <v>0</v>
      </c>
      <c r="F57" s="1091">
        <v>0</v>
      </c>
      <c r="G57" s="1091">
        <v>1</v>
      </c>
      <c r="H57" s="1091">
        <v>1</v>
      </c>
      <c r="I57" s="1091">
        <v>1</v>
      </c>
      <c r="J57" s="140">
        <f t="shared" si="9"/>
        <v>3</v>
      </c>
      <c r="K57" s="140">
        <f t="shared" si="10"/>
        <v>2</v>
      </c>
      <c r="L57" s="1091">
        <f t="shared" si="11"/>
        <v>90</v>
      </c>
      <c r="M57" s="1" t="s">
        <v>1941</v>
      </c>
      <c r="N57" s="1" t="s">
        <v>1942</v>
      </c>
    </row>
    <row r="58" spans="1:18" s="36" customFormat="1" x14ac:dyDescent="0.4">
      <c r="A58" s="16">
        <v>171267</v>
      </c>
      <c r="B58" s="674">
        <v>60</v>
      </c>
      <c r="C58" s="16">
        <f t="shared" si="8"/>
        <v>300</v>
      </c>
      <c r="D58" s="674">
        <v>0</v>
      </c>
      <c r="E58" s="674">
        <v>0</v>
      </c>
      <c r="F58" s="674">
        <v>0</v>
      </c>
      <c r="G58" s="674">
        <v>0</v>
      </c>
      <c r="H58" s="674">
        <v>0</v>
      </c>
      <c r="I58" s="674">
        <v>0</v>
      </c>
      <c r="J58" s="675">
        <f t="shared" si="9"/>
        <v>0</v>
      </c>
      <c r="K58" s="675">
        <f t="shared" si="10"/>
        <v>0</v>
      </c>
      <c r="L58" s="674">
        <f t="shared" si="11"/>
        <v>0</v>
      </c>
      <c r="M58" s="16" t="s">
        <v>1941</v>
      </c>
      <c r="N58" s="16" t="s">
        <v>1942</v>
      </c>
    </row>
    <row r="59" spans="1:18" s="36" customFormat="1" x14ac:dyDescent="0.4">
      <c r="A59" s="16">
        <v>171268</v>
      </c>
      <c r="B59" s="530">
        <v>45</v>
      </c>
      <c r="C59" s="16">
        <f t="shared" si="8"/>
        <v>225</v>
      </c>
      <c r="D59" s="530">
        <v>0</v>
      </c>
      <c r="E59" s="530">
        <v>0</v>
      </c>
      <c r="F59" s="530">
        <v>0</v>
      </c>
      <c r="G59" s="530">
        <v>0</v>
      </c>
      <c r="H59" s="530">
        <v>0</v>
      </c>
      <c r="I59" s="530">
        <v>0</v>
      </c>
      <c r="J59" s="531">
        <f t="shared" si="9"/>
        <v>0</v>
      </c>
      <c r="K59" s="531">
        <f t="shared" si="10"/>
        <v>0</v>
      </c>
      <c r="L59" s="530">
        <f t="shared" si="11"/>
        <v>0</v>
      </c>
      <c r="M59" s="16" t="s">
        <v>1941</v>
      </c>
      <c r="N59" s="16" t="s">
        <v>1942</v>
      </c>
    </row>
    <row r="60" spans="1:18" s="36" customFormat="1" x14ac:dyDescent="0.4">
      <c r="A60" s="22">
        <v>171269</v>
      </c>
      <c r="B60" s="23">
        <v>45</v>
      </c>
      <c r="C60" s="22">
        <f t="shared" si="8"/>
        <v>225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4">
        <f t="shared" si="9"/>
        <v>0</v>
      </c>
      <c r="K60" s="24">
        <f t="shared" si="10"/>
        <v>0</v>
      </c>
      <c r="L60" s="23">
        <f t="shared" si="11"/>
        <v>0</v>
      </c>
      <c r="M60" s="22" t="s">
        <v>1941</v>
      </c>
      <c r="N60" s="22" t="s">
        <v>1942</v>
      </c>
    </row>
    <row r="61" spans="1:18" s="36" customFormat="1" x14ac:dyDescent="0.4">
      <c r="A61" s="1">
        <v>171270</v>
      </c>
      <c r="B61" s="1091">
        <v>60</v>
      </c>
      <c r="C61" s="1">
        <f t="shared" si="8"/>
        <v>300</v>
      </c>
      <c r="D61" s="1091">
        <v>0</v>
      </c>
      <c r="E61" s="1091">
        <v>0</v>
      </c>
      <c r="F61" s="1091">
        <v>1</v>
      </c>
      <c r="G61" s="1091">
        <v>1</v>
      </c>
      <c r="H61" s="1091">
        <v>1</v>
      </c>
      <c r="I61" s="1091">
        <v>1</v>
      </c>
      <c r="J61" s="140">
        <f t="shared" si="9"/>
        <v>4</v>
      </c>
      <c r="K61" s="140">
        <f t="shared" si="10"/>
        <v>3</v>
      </c>
      <c r="L61" s="1091">
        <f t="shared" si="11"/>
        <v>180</v>
      </c>
      <c r="M61" s="1" t="s">
        <v>1943</v>
      </c>
      <c r="N61" s="1" t="s">
        <v>1944</v>
      </c>
    </row>
    <row r="62" spans="1:18" s="36" customFormat="1" x14ac:dyDescent="0.4">
      <c r="A62" s="16">
        <v>171271</v>
      </c>
      <c r="B62" s="558">
        <v>60</v>
      </c>
      <c r="C62" s="16">
        <f t="shared" si="8"/>
        <v>300</v>
      </c>
      <c r="D62" s="558">
        <v>0</v>
      </c>
      <c r="E62" s="558">
        <v>0</v>
      </c>
      <c r="F62" s="558">
        <v>0</v>
      </c>
      <c r="G62" s="558">
        <v>0</v>
      </c>
      <c r="H62" s="558">
        <v>0</v>
      </c>
      <c r="I62" s="558">
        <v>0</v>
      </c>
      <c r="J62" s="559">
        <f t="shared" si="9"/>
        <v>0</v>
      </c>
      <c r="K62" s="559">
        <f t="shared" si="10"/>
        <v>0</v>
      </c>
      <c r="L62" s="558">
        <f t="shared" si="11"/>
        <v>0</v>
      </c>
      <c r="M62" s="16" t="s">
        <v>1943</v>
      </c>
      <c r="N62" s="16" t="s">
        <v>1944</v>
      </c>
    </row>
    <row r="63" spans="1:18" s="36" customFormat="1" x14ac:dyDescent="0.4">
      <c r="A63" s="16">
        <v>171272</v>
      </c>
      <c r="B63" s="629">
        <v>45</v>
      </c>
      <c r="C63" s="16">
        <f t="shared" si="8"/>
        <v>225</v>
      </c>
      <c r="D63" s="629">
        <v>0</v>
      </c>
      <c r="E63" s="629">
        <v>0</v>
      </c>
      <c r="F63" s="629">
        <v>0</v>
      </c>
      <c r="G63" s="629">
        <v>0</v>
      </c>
      <c r="H63" s="629">
        <v>0</v>
      </c>
      <c r="I63" s="629">
        <v>0</v>
      </c>
      <c r="J63" s="630">
        <f t="shared" si="9"/>
        <v>0</v>
      </c>
      <c r="K63" s="630">
        <f t="shared" si="10"/>
        <v>0</v>
      </c>
      <c r="L63" s="629">
        <f t="shared" si="11"/>
        <v>0</v>
      </c>
      <c r="M63" s="16" t="s">
        <v>1943</v>
      </c>
      <c r="N63" s="16" t="s">
        <v>1944</v>
      </c>
    </row>
    <row r="64" spans="1:18" s="36" customFormat="1" x14ac:dyDescent="0.4">
      <c r="A64" s="16">
        <v>171273</v>
      </c>
      <c r="B64" s="629">
        <v>45</v>
      </c>
      <c r="C64" s="16">
        <f t="shared" si="8"/>
        <v>225</v>
      </c>
      <c r="D64" s="629">
        <v>0</v>
      </c>
      <c r="E64" s="629">
        <v>0</v>
      </c>
      <c r="F64" s="629">
        <v>0</v>
      </c>
      <c r="G64" s="629">
        <v>0</v>
      </c>
      <c r="H64" s="629">
        <v>0</v>
      </c>
      <c r="I64" s="629">
        <v>0</v>
      </c>
      <c r="J64" s="630">
        <f t="shared" si="9"/>
        <v>0</v>
      </c>
      <c r="K64" s="630">
        <f t="shared" si="10"/>
        <v>0</v>
      </c>
      <c r="L64" s="629">
        <f t="shared" si="11"/>
        <v>0</v>
      </c>
      <c r="M64" s="16" t="s">
        <v>1945</v>
      </c>
      <c r="N64" s="16" t="s">
        <v>1946</v>
      </c>
    </row>
    <row r="65" spans="1:15" s="36" customFormat="1" x14ac:dyDescent="0.4">
      <c r="A65" s="22">
        <v>171274</v>
      </c>
      <c r="B65" s="23">
        <v>60</v>
      </c>
      <c r="C65" s="22">
        <f t="shared" si="8"/>
        <v>300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4">
        <f t="shared" si="9"/>
        <v>0</v>
      </c>
      <c r="K65" s="24">
        <f t="shared" si="10"/>
        <v>0</v>
      </c>
      <c r="L65" s="23">
        <f t="shared" si="11"/>
        <v>0</v>
      </c>
      <c r="M65" s="22" t="s">
        <v>1947</v>
      </c>
      <c r="N65" s="22" t="s">
        <v>1948</v>
      </c>
    </row>
    <row r="66" spans="1:15" s="36" customFormat="1" x14ac:dyDescent="0.4">
      <c r="A66" s="1">
        <v>171275</v>
      </c>
      <c r="B66" s="1110">
        <v>45</v>
      </c>
      <c r="C66" s="1">
        <f t="shared" si="8"/>
        <v>225</v>
      </c>
      <c r="D66" s="1110">
        <v>0</v>
      </c>
      <c r="E66" s="1110">
        <v>0</v>
      </c>
      <c r="F66" s="1110">
        <v>1</v>
      </c>
      <c r="G66" s="1110">
        <v>1</v>
      </c>
      <c r="H66" s="1110">
        <v>1</v>
      </c>
      <c r="I66" s="1110">
        <v>1</v>
      </c>
      <c r="J66" s="140">
        <f t="shared" si="9"/>
        <v>4</v>
      </c>
      <c r="K66" s="140">
        <f t="shared" si="10"/>
        <v>3</v>
      </c>
      <c r="L66" s="1110">
        <f t="shared" si="11"/>
        <v>135</v>
      </c>
      <c r="M66" s="1" t="s">
        <v>1947</v>
      </c>
      <c r="N66" s="1" t="s">
        <v>1948</v>
      </c>
    </row>
    <row r="67" spans="1:15" s="36" customFormat="1" x14ac:dyDescent="0.4">
      <c r="A67" s="1">
        <v>171276</v>
      </c>
      <c r="B67" s="1110">
        <v>45</v>
      </c>
      <c r="C67" s="1">
        <f t="shared" si="8"/>
        <v>225</v>
      </c>
      <c r="D67" s="1110">
        <v>0</v>
      </c>
      <c r="E67" s="1110">
        <v>0</v>
      </c>
      <c r="F67" s="1110">
        <v>0</v>
      </c>
      <c r="G67" s="1110">
        <v>0</v>
      </c>
      <c r="H67" s="1110">
        <v>1</v>
      </c>
      <c r="I67" s="1110">
        <v>1</v>
      </c>
      <c r="J67" s="140">
        <f t="shared" si="9"/>
        <v>2</v>
      </c>
      <c r="K67" s="140">
        <f t="shared" si="10"/>
        <v>1</v>
      </c>
      <c r="L67" s="1110">
        <f t="shared" si="11"/>
        <v>45</v>
      </c>
      <c r="M67" s="1" t="s">
        <v>1952</v>
      </c>
      <c r="N67" s="1" t="s">
        <v>1953</v>
      </c>
    </row>
    <row r="68" spans="1:15" s="36" customFormat="1" x14ac:dyDescent="0.4">
      <c r="A68" s="16">
        <v>171277</v>
      </c>
      <c r="B68" s="1094">
        <v>60</v>
      </c>
      <c r="C68" s="16">
        <f t="shared" si="8"/>
        <v>300</v>
      </c>
      <c r="D68" s="1094">
        <v>0</v>
      </c>
      <c r="E68" s="1094">
        <v>0</v>
      </c>
      <c r="F68" s="1094">
        <v>0</v>
      </c>
      <c r="G68" s="1094">
        <v>0</v>
      </c>
      <c r="H68" s="1094">
        <v>0</v>
      </c>
      <c r="I68" s="1094">
        <v>0</v>
      </c>
      <c r="J68" s="1095">
        <f t="shared" si="9"/>
        <v>0</v>
      </c>
      <c r="K68" s="1095">
        <f t="shared" si="10"/>
        <v>0</v>
      </c>
      <c r="L68" s="1094">
        <f t="shared" si="11"/>
        <v>0</v>
      </c>
      <c r="M68" s="16" t="s">
        <v>1954</v>
      </c>
      <c r="N68" s="16" t="s">
        <v>1955</v>
      </c>
    </row>
    <row r="69" spans="1:15" s="36" customFormat="1" x14ac:dyDescent="0.4">
      <c r="A69" s="16">
        <v>171278</v>
      </c>
      <c r="B69" s="904">
        <v>60</v>
      </c>
      <c r="C69" s="16">
        <f t="shared" si="8"/>
        <v>300</v>
      </c>
      <c r="D69" s="904">
        <v>0</v>
      </c>
      <c r="E69" s="904">
        <v>0</v>
      </c>
      <c r="F69" s="904">
        <v>0</v>
      </c>
      <c r="G69" s="904">
        <v>0</v>
      </c>
      <c r="H69" s="904">
        <v>0</v>
      </c>
      <c r="I69" s="904">
        <v>0</v>
      </c>
      <c r="J69" s="905">
        <f t="shared" si="9"/>
        <v>0</v>
      </c>
      <c r="K69" s="905">
        <f t="shared" si="10"/>
        <v>0</v>
      </c>
      <c r="L69" s="904">
        <f t="shared" si="11"/>
        <v>0</v>
      </c>
      <c r="M69" s="16" t="s">
        <v>1956</v>
      </c>
      <c r="N69" s="16" t="s">
        <v>1957</v>
      </c>
    </row>
    <row r="70" spans="1:15" s="36" customFormat="1" x14ac:dyDescent="0.4">
      <c r="A70" s="16">
        <v>171279</v>
      </c>
      <c r="B70" s="882">
        <v>45</v>
      </c>
      <c r="C70" s="16">
        <f t="shared" si="8"/>
        <v>225</v>
      </c>
      <c r="D70" s="882">
        <v>0</v>
      </c>
      <c r="E70" s="882">
        <v>0</v>
      </c>
      <c r="F70" s="882">
        <v>0</v>
      </c>
      <c r="G70" s="882">
        <v>0</v>
      </c>
      <c r="H70" s="882">
        <v>0</v>
      </c>
      <c r="I70" s="882">
        <v>0</v>
      </c>
      <c r="J70" s="883">
        <f t="shared" si="9"/>
        <v>0</v>
      </c>
      <c r="K70" s="883">
        <f t="shared" si="10"/>
        <v>0</v>
      </c>
      <c r="L70" s="882">
        <f t="shared" si="11"/>
        <v>0</v>
      </c>
      <c r="M70" s="16" t="s">
        <v>1958</v>
      </c>
      <c r="N70" s="16" t="s">
        <v>1959</v>
      </c>
    </row>
    <row r="71" spans="1:15" s="36" customFormat="1" x14ac:dyDescent="0.4">
      <c r="A71" s="16">
        <v>171280</v>
      </c>
      <c r="B71" s="733">
        <v>60</v>
      </c>
      <c r="C71" s="16">
        <f t="shared" si="8"/>
        <v>300</v>
      </c>
      <c r="D71" s="733">
        <v>0</v>
      </c>
      <c r="E71" s="733">
        <v>0</v>
      </c>
      <c r="F71" s="733">
        <v>0</v>
      </c>
      <c r="G71" s="733">
        <v>0</v>
      </c>
      <c r="H71" s="733">
        <v>0</v>
      </c>
      <c r="I71" s="733">
        <v>0</v>
      </c>
      <c r="J71" s="734">
        <f t="shared" si="9"/>
        <v>0</v>
      </c>
      <c r="K71" s="734">
        <f t="shared" si="10"/>
        <v>0</v>
      </c>
      <c r="L71" s="733">
        <f t="shared" si="11"/>
        <v>0</v>
      </c>
      <c r="M71" s="16" t="s">
        <v>1958</v>
      </c>
      <c r="N71" s="16" t="s">
        <v>1959</v>
      </c>
    </row>
    <row r="72" spans="1:15" s="36" customFormat="1" x14ac:dyDescent="0.4">
      <c r="A72" s="16">
        <v>171281</v>
      </c>
      <c r="B72" s="590">
        <v>45</v>
      </c>
      <c r="C72" s="16">
        <f t="shared" si="8"/>
        <v>225</v>
      </c>
      <c r="D72" s="590">
        <v>0</v>
      </c>
      <c r="E72" s="590">
        <v>0</v>
      </c>
      <c r="F72" s="590">
        <v>0</v>
      </c>
      <c r="G72" s="590">
        <v>0</v>
      </c>
      <c r="H72" s="590">
        <v>0</v>
      </c>
      <c r="I72" s="590">
        <v>0</v>
      </c>
      <c r="J72" s="591">
        <f t="shared" si="9"/>
        <v>0</v>
      </c>
      <c r="K72" s="591">
        <f t="shared" si="10"/>
        <v>0</v>
      </c>
      <c r="L72" s="590">
        <f t="shared" si="11"/>
        <v>0</v>
      </c>
      <c r="M72" s="16" t="s">
        <v>1958</v>
      </c>
      <c r="N72" s="16" t="s">
        <v>1959</v>
      </c>
    </row>
    <row r="73" spans="1:15" s="36" customFormat="1" x14ac:dyDescent="0.4">
      <c r="A73" s="16">
        <v>171282</v>
      </c>
      <c r="B73" s="678">
        <v>45</v>
      </c>
      <c r="C73" s="16">
        <f t="shared" si="8"/>
        <v>225</v>
      </c>
      <c r="D73" s="678">
        <v>0</v>
      </c>
      <c r="E73" s="678">
        <v>0</v>
      </c>
      <c r="F73" s="678">
        <v>0</v>
      </c>
      <c r="G73" s="678">
        <v>0</v>
      </c>
      <c r="H73" s="678">
        <v>0</v>
      </c>
      <c r="I73" s="678">
        <v>0</v>
      </c>
      <c r="J73" s="679">
        <f t="shared" si="9"/>
        <v>0</v>
      </c>
      <c r="K73" s="679">
        <f t="shared" si="10"/>
        <v>0</v>
      </c>
      <c r="L73" s="678">
        <f t="shared" si="11"/>
        <v>0</v>
      </c>
      <c r="M73" s="16" t="s">
        <v>1960</v>
      </c>
      <c r="N73" s="16" t="s">
        <v>1961</v>
      </c>
    </row>
    <row r="74" spans="1:15" s="36" customFormat="1" x14ac:dyDescent="0.4">
      <c r="A74" s="16">
        <v>171283</v>
      </c>
      <c r="B74" s="582">
        <v>60</v>
      </c>
      <c r="C74" s="16">
        <f t="shared" si="8"/>
        <v>300</v>
      </c>
      <c r="D74" s="582">
        <v>0</v>
      </c>
      <c r="E74" s="582">
        <v>0</v>
      </c>
      <c r="F74" s="582">
        <v>0</v>
      </c>
      <c r="G74" s="582">
        <v>0</v>
      </c>
      <c r="H74" s="582">
        <v>0</v>
      </c>
      <c r="I74" s="582">
        <v>0</v>
      </c>
      <c r="J74" s="583">
        <f t="shared" si="9"/>
        <v>0</v>
      </c>
      <c r="K74" s="583">
        <f t="shared" si="10"/>
        <v>0</v>
      </c>
      <c r="L74" s="582">
        <f t="shared" si="11"/>
        <v>0</v>
      </c>
      <c r="M74" s="16" t="s">
        <v>1960</v>
      </c>
      <c r="N74" s="16" t="s">
        <v>1961</v>
      </c>
    </row>
    <row r="75" spans="1:15" s="36" customFormat="1" x14ac:dyDescent="0.4">
      <c r="A75" s="16">
        <v>171284</v>
      </c>
      <c r="B75" s="708">
        <v>45</v>
      </c>
      <c r="C75" s="16">
        <f t="shared" si="8"/>
        <v>225</v>
      </c>
      <c r="D75" s="708">
        <v>0</v>
      </c>
      <c r="E75" s="708">
        <v>0</v>
      </c>
      <c r="F75" s="708">
        <v>0</v>
      </c>
      <c r="G75" s="708">
        <v>0</v>
      </c>
      <c r="H75" s="708">
        <v>0</v>
      </c>
      <c r="I75" s="708">
        <v>0</v>
      </c>
      <c r="J75" s="709">
        <f t="shared" si="9"/>
        <v>0</v>
      </c>
      <c r="K75" s="709">
        <f t="shared" si="10"/>
        <v>0</v>
      </c>
      <c r="L75" s="708">
        <f t="shared" si="11"/>
        <v>0</v>
      </c>
      <c r="M75" s="16" t="s">
        <v>1934</v>
      </c>
      <c r="N75" s="16" t="s">
        <v>1935</v>
      </c>
    </row>
    <row r="76" spans="1:15" s="36" customFormat="1" x14ac:dyDescent="0.4">
      <c r="A76" s="1">
        <v>171285</v>
      </c>
      <c r="B76" s="1115">
        <v>45</v>
      </c>
      <c r="C76" s="1">
        <f t="shared" si="8"/>
        <v>225</v>
      </c>
      <c r="D76" s="1115">
        <v>0</v>
      </c>
      <c r="E76" s="1115">
        <v>0</v>
      </c>
      <c r="F76" s="1126">
        <v>0</v>
      </c>
      <c r="G76" s="1126">
        <v>0</v>
      </c>
      <c r="H76" s="1126">
        <v>0</v>
      </c>
      <c r="I76" s="1126">
        <v>0</v>
      </c>
      <c r="J76" s="140">
        <f t="shared" si="9"/>
        <v>0</v>
      </c>
      <c r="K76" s="140">
        <f t="shared" si="10"/>
        <v>0</v>
      </c>
      <c r="L76" s="1115">
        <f t="shared" si="11"/>
        <v>0</v>
      </c>
      <c r="M76" s="1" t="s">
        <v>1960</v>
      </c>
      <c r="N76" s="1" t="s">
        <v>1961</v>
      </c>
      <c r="O76" s="36" t="s">
        <v>3028</v>
      </c>
    </row>
    <row r="77" spans="1:15" s="36" customFormat="1" x14ac:dyDescent="0.4">
      <c r="A77" s="16">
        <v>171286</v>
      </c>
      <c r="B77" s="439">
        <v>45</v>
      </c>
      <c r="C77" s="16">
        <v>45</v>
      </c>
      <c r="D77" s="439"/>
      <c r="E77" s="439"/>
      <c r="F77" s="439"/>
      <c r="G77" s="439"/>
      <c r="H77" s="439"/>
      <c r="I77" s="439">
        <v>0</v>
      </c>
      <c r="J77" s="26">
        <f t="shared" si="9"/>
        <v>0</v>
      </c>
      <c r="K77" s="26">
        <f t="shared" si="10"/>
        <v>0</v>
      </c>
      <c r="L77" s="439">
        <f t="shared" si="11"/>
        <v>0</v>
      </c>
      <c r="M77" s="16" t="s">
        <v>1962</v>
      </c>
      <c r="N77" s="16" t="s">
        <v>1963</v>
      </c>
    </row>
    <row r="78" spans="1:15" s="36" customFormat="1" x14ac:dyDescent="0.4">
      <c r="A78" s="16">
        <v>171287</v>
      </c>
      <c r="B78" s="1116">
        <v>45</v>
      </c>
      <c r="C78" s="16">
        <f t="shared" si="8"/>
        <v>225</v>
      </c>
      <c r="D78" s="1116">
        <v>0</v>
      </c>
      <c r="E78" s="1116">
        <v>0</v>
      </c>
      <c r="F78" s="1116">
        <v>0</v>
      </c>
      <c r="G78" s="1116">
        <v>0</v>
      </c>
      <c r="H78" s="1116">
        <v>0</v>
      </c>
      <c r="I78" s="1116">
        <v>0</v>
      </c>
      <c r="J78" s="1117">
        <f t="shared" si="9"/>
        <v>0</v>
      </c>
      <c r="K78" s="1117">
        <f t="shared" si="10"/>
        <v>0</v>
      </c>
      <c r="L78" s="1116">
        <f t="shared" si="11"/>
        <v>0</v>
      </c>
      <c r="M78" s="16" t="s">
        <v>1964</v>
      </c>
      <c r="N78" s="16" t="s">
        <v>1965</v>
      </c>
    </row>
    <row r="79" spans="1:15" s="36" customFormat="1" x14ac:dyDescent="0.4">
      <c r="A79" s="16">
        <v>171288</v>
      </c>
      <c r="B79" s="1116">
        <v>60</v>
      </c>
      <c r="C79" s="16">
        <f t="shared" si="8"/>
        <v>300</v>
      </c>
      <c r="D79" s="1116">
        <v>0</v>
      </c>
      <c r="E79" s="1116">
        <v>0</v>
      </c>
      <c r="F79" s="1116">
        <v>0</v>
      </c>
      <c r="G79" s="1116">
        <v>0</v>
      </c>
      <c r="H79" s="1116">
        <v>0</v>
      </c>
      <c r="I79" s="1116">
        <v>0</v>
      </c>
      <c r="J79" s="1117">
        <f t="shared" si="9"/>
        <v>0</v>
      </c>
      <c r="K79" s="1117">
        <f t="shared" si="10"/>
        <v>0</v>
      </c>
      <c r="L79" s="1116">
        <f t="shared" si="11"/>
        <v>0</v>
      </c>
      <c r="M79" s="16" t="s">
        <v>1966</v>
      </c>
      <c r="N79" s="16" t="s">
        <v>1967</v>
      </c>
    </row>
    <row r="80" spans="1:15" s="36" customFormat="1" x14ac:dyDescent="0.4">
      <c r="A80" s="16">
        <v>171289</v>
      </c>
      <c r="B80" s="1116">
        <v>60</v>
      </c>
      <c r="C80" s="16">
        <f t="shared" si="8"/>
        <v>300</v>
      </c>
      <c r="D80" s="1116">
        <v>0</v>
      </c>
      <c r="E80" s="1116">
        <v>0</v>
      </c>
      <c r="F80" s="1116">
        <v>0</v>
      </c>
      <c r="G80" s="1116">
        <v>0</v>
      </c>
      <c r="H80" s="1116">
        <v>0</v>
      </c>
      <c r="I80" s="1116">
        <v>0</v>
      </c>
      <c r="J80" s="1117">
        <f t="shared" si="9"/>
        <v>0</v>
      </c>
      <c r="K80" s="1117">
        <f t="shared" si="10"/>
        <v>0</v>
      </c>
      <c r="L80" s="1116">
        <f t="shared" si="11"/>
        <v>0</v>
      </c>
      <c r="M80" s="16" t="s">
        <v>1969</v>
      </c>
      <c r="N80" s="16" t="s">
        <v>1970</v>
      </c>
    </row>
    <row r="81" spans="1:17" s="36" customFormat="1" x14ac:dyDescent="0.4">
      <c r="A81" s="1">
        <v>171290</v>
      </c>
      <c r="B81" s="1158">
        <v>50</v>
      </c>
      <c r="C81" s="1">
        <f t="shared" ref="C81:C110" si="12">SUM(B81*5)</f>
        <v>250</v>
      </c>
      <c r="D81" s="1158">
        <v>0</v>
      </c>
      <c r="E81" s="1158">
        <v>0</v>
      </c>
      <c r="F81" s="1158">
        <v>0</v>
      </c>
      <c r="G81" s="1158">
        <v>0</v>
      </c>
      <c r="H81" s="1158">
        <v>1</v>
      </c>
      <c r="I81" s="1158">
        <v>1</v>
      </c>
      <c r="J81" s="140">
        <f t="shared" ref="J81:J110" si="13">SUM(D81:I81)</f>
        <v>2</v>
      </c>
      <c r="K81" s="140">
        <f t="shared" ref="K81:K110" si="14">SUM(D81:H81)</f>
        <v>1</v>
      </c>
      <c r="L81" s="1158">
        <f t="shared" ref="L81:L110" si="15">B81*K81</f>
        <v>50</v>
      </c>
      <c r="M81" s="1" t="s">
        <v>1969</v>
      </c>
      <c r="N81" s="1" t="s">
        <v>1970</v>
      </c>
    </row>
    <row r="82" spans="1:17" s="36" customFormat="1" x14ac:dyDescent="0.4">
      <c r="A82" s="1">
        <v>171291</v>
      </c>
      <c r="B82" s="1158">
        <v>45</v>
      </c>
      <c r="C82" s="1">
        <f t="shared" si="12"/>
        <v>225</v>
      </c>
      <c r="D82" s="1158">
        <v>0</v>
      </c>
      <c r="E82" s="1158">
        <v>0</v>
      </c>
      <c r="F82" s="1158">
        <v>0</v>
      </c>
      <c r="G82" s="1158">
        <v>0</v>
      </c>
      <c r="H82" s="1158">
        <v>0</v>
      </c>
      <c r="I82" s="1158">
        <v>1</v>
      </c>
      <c r="J82" s="140">
        <f t="shared" si="13"/>
        <v>1</v>
      </c>
      <c r="K82" s="140">
        <f t="shared" si="14"/>
        <v>0</v>
      </c>
      <c r="L82" s="1158">
        <f t="shared" si="15"/>
        <v>0</v>
      </c>
      <c r="M82" s="1" t="s">
        <v>1969</v>
      </c>
      <c r="N82" s="1" t="s">
        <v>1970</v>
      </c>
    </row>
    <row r="83" spans="1:17" s="36" customFormat="1" x14ac:dyDescent="0.4">
      <c r="A83" s="16">
        <v>171292</v>
      </c>
      <c r="B83" s="768">
        <v>60</v>
      </c>
      <c r="C83" s="16">
        <f t="shared" si="12"/>
        <v>300</v>
      </c>
      <c r="D83" s="768">
        <v>0</v>
      </c>
      <c r="E83" s="768">
        <v>0</v>
      </c>
      <c r="F83" s="768">
        <v>0</v>
      </c>
      <c r="G83" s="768">
        <v>0</v>
      </c>
      <c r="H83" s="768">
        <v>0</v>
      </c>
      <c r="I83" s="768">
        <v>0</v>
      </c>
      <c r="J83" s="769">
        <f t="shared" si="13"/>
        <v>0</v>
      </c>
      <c r="K83" s="769">
        <f t="shared" si="14"/>
        <v>0</v>
      </c>
      <c r="L83" s="768">
        <f t="shared" si="15"/>
        <v>0</v>
      </c>
      <c r="M83" s="16" t="s">
        <v>1969</v>
      </c>
      <c r="N83" s="16" t="s">
        <v>1970</v>
      </c>
    </row>
    <row r="84" spans="1:17" s="36" customFormat="1" x14ac:dyDescent="0.4">
      <c r="A84" s="16">
        <v>171293</v>
      </c>
      <c r="B84" s="475">
        <v>0</v>
      </c>
      <c r="C84" s="16">
        <f t="shared" si="12"/>
        <v>0</v>
      </c>
      <c r="D84" s="475">
        <v>0</v>
      </c>
      <c r="E84" s="475"/>
      <c r="F84" s="475"/>
      <c r="G84" s="475"/>
      <c r="H84" s="475"/>
      <c r="I84" s="475"/>
      <c r="J84" s="26">
        <f t="shared" si="13"/>
        <v>0</v>
      </c>
      <c r="K84" s="26">
        <f t="shared" si="14"/>
        <v>0</v>
      </c>
      <c r="L84" s="475">
        <f t="shared" si="15"/>
        <v>0</v>
      </c>
      <c r="M84" s="16" t="s">
        <v>1968</v>
      </c>
      <c r="N84" s="16"/>
      <c r="O84" s="16"/>
      <c r="P84" s="16"/>
      <c r="Q84" s="16"/>
    </row>
    <row r="85" spans="1:17" s="36" customFormat="1" x14ac:dyDescent="0.4">
      <c r="A85" s="16">
        <v>171294</v>
      </c>
      <c r="B85" s="751">
        <v>60</v>
      </c>
      <c r="C85" s="16">
        <f t="shared" si="12"/>
        <v>300</v>
      </c>
      <c r="D85" s="751">
        <v>0</v>
      </c>
      <c r="E85" s="751">
        <v>0</v>
      </c>
      <c r="F85" s="751">
        <v>0</v>
      </c>
      <c r="G85" s="751">
        <v>0</v>
      </c>
      <c r="H85" s="751">
        <v>0</v>
      </c>
      <c r="I85" s="751">
        <v>0</v>
      </c>
      <c r="J85" s="752">
        <f t="shared" si="13"/>
        <v>0</v>
      </c>
      <c r="K85" s="752">
        <f t="shared" si="14"/>
        <v>0</v>
      </c>
      <c r="L85" s="751">
        <f t="shared" si="15"/>
        <v>0</v>
      </c>
      <c r="M85" s="16" t="s">
        <v>1971</v>
      </c>
      <c r="N85" s="16" t="s">
        <v>1972</v>
      </c>
    </row>
    <row r="86" spans="1:17" s="36" customFormat="1" x14ac:dyDescent="0.4">
      <c r="A86" s="16">
        <v>171295</v>
      </c>
      <c r="B86" s="543">
        <v>60</v>
      </c>
      <c r="C86" s="16">
        <f t="shared" si="12"/>
        <v>300</v>
      </c>
      <c r="D86" s="543">
        <v>0</v>
      </c>
      <c r="E86" s="543">
        <v>0</v>
      </c>
      <c r="F86" s="543">
        <v>0</v>
      </c>
      <c r="G86" s="543">
        <v>0</v>
      </c>
      <c r="H86" s="543">
        <v>0</v>
      </c>
      <c r="I86" s="543">
        <v>0</v>
      </c>
      <c r="J86" s="544">
        <f t="shared" si="13"/>
        <v>0</v>
      </c>
      <c r="K86" s="544">
        <f t="shared" si="14"/>
        <v>0</v>
      </c>
      <c r="L86" s="543">
        <f t="shared" si="15"/>
        <v>0</v>
      </c>
      <c r="M86" s="16" t="s">
        <v>1971</v>
      </c>
      <c r="N86" s="16" t="s">
        <v>1972</v>
      </c>
    </row>
    <row r="87" spans="1:17" s="36" customFormat="1" x14ac:dyDescent="0.4">
      <c r="A87" s="16">
        <v>171296</v>
      </c>
      <c r="B87" s="564">
        <v>60</v>
      </c>
      <c r="C87" s="16">
        <f t="shared" si="12"/>
        <v>300</v>
      </c>
      <c r="D87" s="564">
        <v>0</v>
      </c>
      <c r="E87" s="564">
        <v>0</v>
      </c>
      <c r="F87" s="564">
        <v>0</v>
      </c>
      <c r="G87" s="564">
        <v>0</v>
      </c>
      <c r="H87" s="564">
        <v>0</v>
      </c>
      <c r="I87" s="564">
        <v>0</v>
      </c>
      <c r="J87" s="565">
        <f t="shared" si="13"/>
        <v>0</v>
      </c>
      <c r="K87" s="565">
        <f t="shared" si="14"/>
        <v>0</v>
      </c>
      <c r="L87" s="564">
        <f t="shared" si="15"/>
        <v>0</v>
      </c>
      <c r="M87" s="16" t="s">
        <v>1973</v>
      </c>
      <c r="N87" s="16" t="s">
        <v>1974</v>
      </c>
    </row>
    <row r="88" spans="1:17" s="36" customFormat="1" x14ac:dyDescent="0.4">
      <c r="A88" s="16">
        <v>171297</v>
      </c>
      <c r="B88" s="609">
        <v>45</v>
      </c>
      <c r="C88" s="16">
        <f t="shared" si="12"/>
        <v>225</v>
      </c>
      <c r="D88" s="609">
        <v>0</v>
      </c>
      <c r="E88" s="609">
        <v>0</v>
      </c>
      <c r="F88" s="609">
        <v>0</v>
      </c>
      <c r="G88" s="609">
        <v>0</v>
      </c>
      <c r="H88" s="609">
        <v>0</v>
      </c>
      <c r="I88" s="609">
        <v>0</v>
      </c>
      <c r="J88" s="610">
        <f t="shared" si="13"/>
        <v>0</v>
      </c>
      <c r="K88" s="610">
        <f t="shared" si="14"/>
        <v>0</v>
      </c>
      <c r="L88" s="609">
        <f t="shared" si="15"/>
        <v>0</v>
      </c>
      <c r="M88" s="16" t="s">
        <v>1975</v>
      </c>
      <c r="N88" s="16" t="s">
        <v>1976</v>
      </c>
    </row>
    <row r="89" spans="1:17" s="36" customFormat="1" x14ac:dyDescent="0.4">
      <c r="A89" s="16">
        <v>171298</v>
      </c>
      <c r="B89" s="749">
        <v>45</v>
      </c>
      <c r="C89" s="16">
        <f t="shared" si="12"/>
        <v>225</v>
      </c>
      <c r="D89" s="749">
        <v>0</v>
      </c>
      <c r="E89" s="749">
        <v>0</v>
      </c>
      <c r="F89" s="749">
        <v>0</v>
      </c>
      <c r="G89" s="749">
        <v>0</v>
      </c>
      <c r="H89" s="749">
        <v>0</v>
      </c>
      <c r="I89" s="749">
        <v>0</v>
      </c>
      <c r="J89" s="750">
        <f t="shared" si="13"/>
        <v>0</v>
      </c>
      <c r="K89" s="750">
        <f t="shared" si="14"/>
        <v>0</v>
      </c>
      <c r="L89" s="749">
        <f t="shared" si="15"/>
        <v>0</v>
      </c>
      <c r="M89" s="16" t="s">
        <v>1979</v>
      </c>
      <c r="N89" s="16" t="s">
        <v>1980</v>
      </c>
    </row>
    <row r="90" spans="1:17" s="36" customFormat="1" x14ac:dyDescent="0.4">
      <c r="A90" s="16">
        <v>171299</v>
      </c>
      <c r="B90" s="530">
        <v>60</v>
      </c>
      <c r="C90" s="16">
        <f t="shared" si="12"/>
        <v>300</v>
      </c>
      <c r="D90" s="530">
        <v>0</v>
      </c>
      <c r="E90" s="530">
        <v>0</v>
      </c>
      <c r="F90" s="530">
        <v>0</v>
      </c>
      <c r="G90" s="530">
        <v>0</v>
      </c>
      <c r="H90" s="530">
        <v>0</v>
      </c>
      <c r="I90" s="530">
        <v>1</v>
      </c>
      <c r="J90" s="531">
        <f t="shared" si="13"/>
        <v>1</v>
      </c>
      <c r="K90" s="531">
        <f t="shared" si="14"/>
        <v>0</v>
      </c>
      <c r="L90" s="530">
        <f t="shared" si="15"/>
        <v>0</v>
      </c>
      <c r="M90" s="16" t="s">
        <v>1977</v>
      </c>
      <c r="N90" s="16" t="s">
        <v>1978</v>
      </c>
    </row>
    <row r="91" spans="1:17" s="36" customFormat="1" x14ac:dyDescent="0.4">
      <c r="A91" s="16">
        <v>171300</v>
      </c>
      <c r="B91" s="1108">
        <v>45</v>
      </c>
      <c r="C91" s="16">
        <f t="shared" si="12"/>
        <v>225</v>
      </c>
      <c r="D91" s="1108">
        <v>0</v>
      </c>
      <c r="E91" s="1108">
        <v>0</v>
      </c>
      <c r="F91" s="1108">
        <v>0</v>
      </c>
      <c r="G91" s="1108">
        <v>0</v>
      </c>
      <c r="H91" s="1108">
        <v>0</v>
      </c>
      <c r="I91" s="1108">
        <v>1</v>
      </c>
      <c r="J91" s="1109">
        <f t="shared" si="13"/>
        <v>1</v>
      </c>
      <c r="K91" s="1109">
        <f t="shared" si="14"/>
        <v>0</v>
      </c>
      <c r="L91" s="1108">
        <f t="shared" si="15"/>
        <v>0</v>
      </c>
      <c r="M91" s="16" t="s">
        <v>1977</v>
      </c>
      <c r="N91" s="16" t="s">
        <v>1978</v>
      </c>
      <c r="O91" s="36" t="s">
        <v>3009</v>
      </c>
    </row>
    <row r="92" spans="1:17" s="36" customFormat="1" x14ac:dyDescent="0.4">
      <c r="A92" s="1096">
        <v>171301</v>
      </c>
      <c r="B92" s="1097"/>
      <c r="C92" s="1096">
        <f t="shared" si="12"/>
        <v>0</v>
      </c>
      <c r="D92" s="1097">
        <v>1</v>
      </c>
      <c r="E92" s="1097"/>
      <c r="F92" s="1097"/>
      <c r="G92" s="1097"/>
      <c r="H92" s="1097"/>
      <c r="I92" s="1097"/>
      <c r="J92" s="1098">
        <f t="shared" si="13"/>
        <v>1</v>
      </c>
      <c r="K92" s="1098">
        <f t="shared" si="14"/>
        <v>1</v>
      </c>
      <c r="L92" s="1097">
        <f t="shared" si="15"/>
        <v>0</v>
      </c>
      <c r="M92" s="1096" t="s">
        <v>2085</v>
      </c>
      <c r="N92" s="1099" t="s">
        <v>2092</v>
      </c>
    </row>
    <row r="93" spans="1:17" s="36" customFormat="1" x14ac:dyDescent="0.4">
      <c r="A93" s="1">
        <v>171302</v>
      </c>
      <c r="B93" s="1220">
        <v>45</v>
      </c>
      <c r="C93" s="1">
        <f t="shared" si="12"/>
        <v>225</v>
      </c>
      <c r="D93" s="1220">
        <v>0</v>
      </c>
      <c r="E93" s="1220">
        <v>0</v>
      </c>
      <c r="F93" s="1220">
        <v>0</v>
      </c>
      <c r="G93" s="1220">
        <v>0</v>
      </c>
      <c r="H93" s="1220">
        <v>0</v>
      </c>
      <c r="I93" s="1220">
        <v>1</v>
      </c>
      <c r="J93" s="140">
        <f t="shared" si="13"/>
        <v>1</v>
      </c>
      <c r="K93" s="140">
        <f t="shared" si="14"/>
        <v>0</v>
      </c>
      <c r="L93" s="1220">
        <f t="shared" si="15"/>
        <v>0</v>
      </c>
      <c r="M93" s="1" t="s">
        <v>1981</v>
      </c>
      <c r="N93" s="1" t="s">
        <v>1982</v>
      </c>
    </row>
    <row r="94" spans="1:17" s="36" customFormat="1" x14ac:dyDescent="0.4">
      <c r="A94" s="1">
        <v>171303</v>
      </c>
      <c r="B94" s="1220">
        <v>60</v>
      </c>
      <c r="C94" s="1">
        <f t="shared" si="12"/>
        <v>300</v>
      </c>
      <c r="D94" s="1220">
        <v>0</v>
      </c>
      <c r="E94" s="1220">
        <v>0</v>
      </c>
      <c r="F94" s="1220">
        <v>0</v>
      </c>
      <c r="G94" s="1220">
        <v>0</v>
      </c>
      <c r="H94" s="1220">
        <v>1</v>
      </c>
      <c r="I94" s="1220">
        <v>1</v>
      </c>
      <c r="J94" s="140">
        <f t="shared" si="13"/>
        <v>2</v>
      </c>
      <c r="K94" s="140">
        <f t="shared" si="14"/>
        <v>1</v>
      </c>
      <c r="L94" s="1220">
        <f t="shared" si="15"/>
        <v>60</v>
      </c>
      <c r="M94" s="1" t="s">
        <v>1981</v>
      </c>
      <c r="N94" s="1" t="s">
        <v>1982</v>
      </c>
    </row>
    <row r="95" spans="1:17" s="36" customFormat="1" x14ac:dyDescent="0.4">
      <c r="A95" s="16">
        <v>171304</v>
      </c>
      <c r="B95" s="672">
        <v>45</v>
      </c>
      <c r="C95" s="16">
        <f t="shared" si="12"/>
        <v>225</v>
      </c>
      <c r="D95" s="672">
        <v>0</v>
      </c>
      <c r="E95" s="672">
        <v>0</v>
      </c>
      <c r="F95" s="672">
        <v>0</v>
      </c>
      <c r="G95" s="672">
        <v>0</v>
      </c>
      <c r="H95" s="672">
        <v>0</v>
      </c>
      <c r="I95" s="672">
        <v>0</v>
      </c>
      <c r="J95" s="673">
        <f t="shared" si="13"/>
        <v>0</v>
      </c>
      <c r="K95" s="673">
        <f t="shared" si="14"/>
        <v>0</v>
      </c>
      <c r="L95" s="672">
        <f t="shared" si="15"/>
        <v>0</v>
      </c>
      <c r="M95" s="16" t="s">
        <v>1983</v>
      </c>
      <c r="N95" s="16" t="s">
        <v>1984</v>
      </c>
    </row>
    <row r="96" spans="1:17" s="36" customFormat="1" x14ac:dyDescent="0.4">
      <c r="A96" s="16">
        <v>171305</v>
      </c>
      <c r="B96" s="522">
        <v>60</v>
      </c>
      <c r="C96" s="16">
        <f t="shared" si="12"/>
        <v>300</v>
      </c>
      <c r="D96" s="522">
        <v>0</v>
      </c>
      <c r="E96" s="522">
        <v>0</v>
      </c>
      <c r="F96" s="522">
        <v>0</v>
      </c>
      <c r="G96" s="522">
        <v>0</v>
      </c>
      <c r="H96" s="522">
        <v>0</v>
      </c>
      <c r="I96" s="522">
        <v>0</v>
      </c>
      <c r="J96" s="523">
        <f t="shared" si="13"/>
        <v>0</v>
      </c>
      <c r="K96" s="523">
        <f t="shared" si="14"/>
        <v>0</v>
      </c>
      <c r="L96" s="522">
        <f t="shared" si="15"/>
        <v>0</v>
      </c>
      <c r="M96" s="16" t="s">
        <v>1985</v>
      </c>
      <c r="N96" s="16" t="s">
        <v>1986</v>
      </c>
    </row>
    <row r="97" spans="1:22" s="36" customFormat="1" x14ac:dyDescent="0.4">
      <c r="A97" s="16">
        <v>171306</v>
      </c>
      <c r="B97" s="570">
        <v>70</v>
      </c>
      <c r="C97" s="16">
        <f t="shared" si="12"/>
        <v>350</v>
      </c>
      <c r="D97" s="570">
        <v>0</v>
      </c>
      <c r="E97" s="570">
        <v>0</v>
      </c>
      <c r="F97" s="570">
        <v>0</v>
      </c>
      <c r="G97" s="570">
        <v>0</v>
      </c>
      <c r="H97" s="570">
        <v>0</v>
      </c>
      <c r="I97" s="570">
        <v>0</v>
      </c>
      <c r="J97" s="571">
        <f t="shared" si="13"/>
        <v>0</v>
      </c>
      <c r="K97" s="571">
        <f t="shared" si="14"/>
        <v>0</v>
      </c>
      <c r="L97" s="570">
        <f t="shared" si="15"/>
        <v>0</v>
      </c>
      <c r="M97" s="16" t="s">
        <v>1987</v>
      </c>
      <c r="N97" s="16" t="s">
        <v>1988</v>
      </c>
      <c r="R97" s="2047"/>
      <c r="S97" s="2047"/>
      <c r="T97" s="2047"/>
      <c r="U97" s="2047"/>
      <c r="V97" s="2047"/>
    </row>
    <row r="98" spans="1:22" s="36" customFormat="1" x14ac:dyDescent="0.4">
      <c r="A98" s="1">
        <v>171307</v>
      </c>
      <c r="B98" s="1220">
        <v>60</v>
      </c>
      <c r="C98" s="1">
        <f t="shared" si="12"/>
        <v>300</v>
      </c>
      <c r="D98" s="1220">
        <v>0</v>
      </c>
      <c r="E98" s="1220">
        <v>0</v>
      </c>
      <c r="F98" s="1220">
        <v>0</v>
      </c>
      <c r="G98" s="1220">
        <v>0</v>
      </c>
      <c r="H98" s="1220">
        <v>0</v>
      </c>
      <c r="I98" s="1220">
        <v>1</v>
      </c>
      <c r="J98" s="140">
        <f t="shared" si="13"/>
        <v>1</v>
      </c>
      <c r="K98" s="140">
        <f t="shared" si="14"/>
        <v>0</v>
      </c>
      <c r="L98" s="1220">
        <f t="shared" si="15"/>
        <v>0</v>
      </c>
      <c r="M98" s="1" t="s">
        <v>1989</v>
      </c>
      <c r="N98" s="1" t="s">
        <v>1990</v>
      </c>
    </row>
    <row r="99" spans="1:22" s="36" customFormat="1" x14ac:dyDescent="0.4">
      <c r="A99" s="322">
        <v>171308</v>
      </c>
      <c r="B99" s="323">
        <v>0</v>
      </c>
      <c r="C99" s="322">
        <f t="shared" si="12"/>
        <v>0</v>
      </c>
      <c r="D99" s="323">
        <v>0</v>
      </c>
      <c r="E99" s="323">
        <v>0</v>
      </c>
      <c r="F99" s="323">
        <v>0</v>
      </c>
      <c r="G99" s="323">
        <v>0</v>
      </c>
      <c r="H99" s="323">
        <v>0</v>
      </c>
      <c r="I99" s="323">
        <v>1</v>
      </c>
      <c r="J99" s="324">
        <f t="shared" si="13"/>
        <v>1</v>
      </c>
      <c r="K99" s="324">
        <f t="shared" si="14"/>
        <v>0</v>
      </c>
      <c r="L99" s="323">
        <f t="shared" si="15"/>
        <v>0</v>
      </c>
      <c r="M99" s="322" t="s">
        <v>1991</v>
      </c>
      <c r="N99" s="322" t="s">
        <v>1992</v>
      </c>
      <c r="O99" s="322" t="s">
        <v>1993</v>
      </c>
      <c r="P99" s="322"/>
      <c r="Q99" s="322"/>
      <c r="R99" s="322"/>
    </row>
    <row r="100" spans="1:22" s="36" customFormat="1" x14ac:dyDescent="0.4">
      <c r="A100" s="1">
        <v>171309</v>
      </c>
      <c r="B100" s="1220">
        <v>60</v>
      </c>
      <c r="C100" s="1">
        <f t="shared" si="12"/>
        <v>300</v>
      </c>
      <c r="D100" s="1220">
        <v>1</v>
      </c>
      <c r="E100" s="1220">
        <v>1</v>
      </c>
      <c r="F100" s="1220">
        <v>1</v>
      </c>
      <c r="G100" s="1220">
        <v>1</v>
      </c>
      <c r="H100" s="1220">
        <v>1</v>
      </c>
      <c r="I100" s="1220">
        <v>1</v>
      </c>
      <c r="J100" s="140">
        <f t="shared" si="13"/>
        <v>6</v>
      </c>
      <c r="K100" s="140">
        <f t="shared" si="14"/>
        <v>5</v>
      </c>
      <c r="L100" s="1220">
        <f t="shared" si="15"/>
        <v>300</v>
      </c>
      <c r="M100" s="1" t="s">
        <v>1994</v>
      </c>
      <c r="N100" s="1" t="s">
        <v>1995</v>
      </c>
    </row>
    <row r="101" spans="1:22" s="36" customFormat="1" x14ac:dyDescent="0.4">
      <c r="A101" s="16">
        <v>171310</v>
      </c>
      <c r="B101" s="766">
        <v>50</v>
      </c>
      <c r="C101" s="16">
        <f t="shared" si="12"/>
        <v>250</v>
      </c>
      <c r="D101" s="766">
        <v>0</v>
      </c>
      <c r="E101" s="766">
        <v>0</v>
      </c>
      <c r="F101" s="766">
        <v>0</v>
      </c>
      <c r="G101" s="766">
        <v>0</v>
      </c>
      <c r="H101" s="766">
        <v>0</v>
      </c>
      <c r="I101" s="766">
        <v>0</v>
      </c>
      <c r="J101" s="767">
        <f t="shared" si="13"/>
        <v>0</v>
      </c>
      <c r="K101" s="767">
        <f t="shared" si="14"/>
        <v>0</v>
      </c>
      <c r="L101" s="766">
        <f t="shared" si="15"/>
        <v>0</v>
      </c>
      <c r="M101" s="16" t="s">
        <v>1996</v>
      </c>
      <c r="N101" s="16" t="s">
        <v>1997</v>
      </c>
    </row>
    <row r="102" spans="1:22" s="36" customFormat="1" x14ac:dyDescent="0.4">
      <c r="A102" s="16">
        <v>171311</v>
      </c>
      <c r="B102" s="639">
        <v>45</v>
      </c>
      <c r="C102" s="16">
        <f t="shared" si="12"/>
        <v>225</v>
      </c>
      <c r="D102" s="639">
        <v>0</v>
      </c>
      <c r="E102" s="639">
        <v>0</v>
      </c>
      <c r="F102" s="639">
        <v>0</v>
      </c>
      <c r="G102" s="639">
        <v>0</v>
      </c>
      <c r="H102" s="639">
        <v>0</v>
      </c>
      <c r="I102" s="639">
        <v>0</v>
      </c>
      <c r="J102" s="640">
        <f t="shared" si="13"/>
        <v>0</v>
      </c>
      <c r="K102" s="640">
        <f t="shared" si="14"/>
        <v>0</v>
      </c>
      <c r="L102" s="639">
        <f t="shared" si="15"/>
        <v>0</v>
      </c>
      <c r="M102" s="16" t="s">
        <v>1998</v>
      </c>
      <c r="N102" s="16" t="s">
        <v>2000</v>
      </c>
      <c r="O102" s="2"/>
      <c r="P102" s="2"/>
      <c r="Q102" s="2"/>
      <c r="R102" s="2"/>
      <c r="S102" s="2"/>
    </row>
    <row r="103" spans="1:22" s="36" customFormat="1" x14ac:dyDescent="0.4">
      <c r="A103" s="322">
        <v>171312</v>
      </c>
      <c r="B103" s="323">
        <v>0</v>
      </c>
      <c r="C103" s="322">
        <v>0</v>
      </c>
      <c r="D103" s="323">
        <v>0</v>
      </c>
      <c r="E103" s="323">
        <v>0</v>
      </c>
      <c r="F103" s="323">
        <v>0</v>
      </c>
      <c r="G103" s="323">
        <v>0</v>
      </c>
      <c r="H103" s="323">
        <v>0</v>
      </c>
      <c r="I103" s="323">
        <v>1</v>
      </c>
      <c r="J103" s="324">
        <f>SUM(D103:I103)</f>
        <v>1</v>
      </c>
      <c r="K103" s="324">
        <f>SUM(D103:H103)</f>
        <v>0</v>
      </c>
      <c r="L103" s="323">
        <f>B103*K103</f>
        <v>0</v>
      </c>
      <c r="M103" s="322" t="s">
        <v>1998</v>
      </c>
      <c r="N103" s="322" t="s">
        <v>1999</v>
      </c>
      <c r="O103" s="322" t="s">
        <v>1993</v>
      </c>
      <c r="P103" s="322"/>
      <c r="Q103" s="322"/>
      <c r="R103" s="322"/>
    </row>
    <row r="104" spans="1:22" s="36" customFormat="1" x14ac:dyDescent="0.4">
      <c r="A104" s="1">
        <v>171313</v>
      </c>
      <c r="B104" s="1220">
        <v>45</v>
      </c>
      <c r="C104" s="1">
        <f t="shared" si="12"/>
        <v>225</v>
      </c>
      <c r="D104" s="1220">
        <v>0</v>
      </c>
      <c r="E104" s="1220">
        <v>0</v>
      </c>
      <c r="F104" s="1220">
        <v>0</v>
      </c>
      <c r="G104" s="1220">
        <v>0</v>
      </c>
      <c r="H104" s="1220">
        <v>0</v>
      </c>
      <c r="I104" s="1220">
        <v>1</v>
      </c>
      <c r="J104" s="140">
        <f t="shared" si="13"/>
        <v>1</v>
      </c>
      <c r="K104" s="140">
        <f t="shared" si="14"/>
        <v>0</v>
      </c>
      <c r="L104" s="1220">
        <f t="shared" si="15"/>
        <v>0</v>
      </c>
      <c r="M104" s="1" t="s">
        <v>2001</v>
      </c>
      <c r="N104" s="1" t="s">
        <v>2002</v>
      </c>
    </row>
    <row r="105" spans="1:22" s="36" customFormat="1" x14ac:dyDescent="0.4">
      <c r="A105" s="1">
        <v>171314</v>
      </c>
      <c r="B105" s="1220">
        <v>45</v>
      </c>
      <c r="C105" s="1">
        <f t="shared" si="12"/>
        <v>225</v>
      </c>
      <c r="D105" s="1220">
        <v>0</v>
      </c>
      <c r="E105" s="1220">
        <v>1</v>
      </c>
      <c r="F105" s="1220">
        <v>1</v>
      </c>
      <c r="G105" s="1220">
        <v>1</v>
      </c>
      <c r="H105" s="1220">
        <v>1</v>
      </c>
      <c r="I105" s="1220">
        <v>1</v>
      </c>
      <c r="J105" s="140">
        <f t="shared" si="13"/>
        <v>5</v>
      </c>
      <c r="K105" s="140">
        <f t="shared" si="14"/>
        <v>4</v>
      </c>
      <c r="L105" s="1220">
        <f t="shared" si="15"/>
        <v>180</v>
      </c>
      <c r="M105" s="1" t="s">
        <v>2003</v>
      </c>
      <c r="N105" s="1" t="s">
        <v>2004</v>
      </c>
    </row>
    <row r="106" spans="1:22" s="36" customFormat="1" x14ac:dyDescent="0.4">
      <c r="A106" s="16">
        <v>171315</v>
      </c>
      <c r="B106" s="1133">
        <v>45</v>
      </c>
      <c r="C106" s="16">
        <f t="shared" si="12"/>
        <v>225</v>
      </c>
      <c r="D106" s="1133">
        <v>0</v>
      </c>
      <c r="E106" s="1133">
        <v>0</v>
      </c>
      <c r="F106" s="1133">
        <v>0</v>
      </c>
      <c r="G106" s="1133">
        <v>0</v>
      </c>
      <c r="H106" s="1133">
        <v>0</v>
      </c>
      <c r="I106" s="1133">
        <v>0</v>
      </c>
      <c r="J106" s="1134">
        <f t="shared" si="13"/>
        <v>0</v>
      </c>
      <c r="K106" s="1134">
        <f t="shared" si="14"/>
        <v>0</v>
      </c>
      <c r="L106" s="1133">
        <f t="shared" si="15"/>
        <v>0</v>
      </c>
      <c r="M106" s="16" t="s">
        <v>2003</v>
      </c>
      <c r="N106" s="16" t="s">
        <v>2004</v>
      </c>
    </row>
    <row r="107" spans="1:22" s="36" customFormat="1" x14ac:dyDescent="0.4">
      <c r="A107" s="1">
        <v>171316</v>
      </c>
      <c r="B107" s="1220">
        <v>45</v>
      </c>
      <c r="C107" s="1">
        <f t="shared" si="12"/>
        <v>225</v>
      </c>
      <c r="D107" s="1220">
        <v>0</v>
      </c>
      <c r="E107" s="1220">
        <v>1</v>
      </c>
      <c r="F107" s="1220">
        <v>1</v>
      </c>
      <c r="G107" s="1220">
        <v>1</v>
      </c>
      <c r="H107" s="1220">
        <v>1</v>
      </c>
      <c r="I107" s="1220">
        <v>1</v>
      </c>
      <c r="J107" s="140">
        <f t="shared" si="13"/>
        <v>5</v>
      </c>
      <c r="K107" s="140">
        <f t="shared" si="14"/>
        <v>4</v>
      </c>
      <c r="L107" s="1220">
        <f t="shared" si="15"/>
        <v>180</v>
      </c>
      <c r="M107" s="1" t="s">
        <v>2005</v>
      </c>
      <c r="N107" s="1" t="s">
        <v>2006</v>
      </c>
    </row>
    <row r="108" spans="1:22" s="36" customFormat="1" x14ac:dyDescent="0.4">
      <c r="A108" s="16">
        <v>171317</v>
      </c>
      <c r="B108" s="1159">
        <v>45</v>
      </c>
      <c r="C108" s="16">
        <f t="shared" si="12"/>
        <v>225</v>
      </c>
      <c r="D108" s="1159">
        <v>0</v>
      </c>
      <c r="E108" s="1159">
        <v>0</v>
      </c>
      <c r="F108" s="1159">
        <v>0</v>
      </c>
      <c r="G108" s="1159">
        <v>0</v>
      </c>
      <c r="H108" s="1159">
        <v>0</v>
      </c>
      <c r="I108" s="1159">
        <v>0</v>
      </c>
      <c r="J108" s="1160">
        <f t="shared" si="13"/>
        <v>0</v>
      </c>
      <c r="K108" s="1160">
        <f t="shared" si="14"/>
        <v>0</v>
      </c>
      <c r="L108" s="1159">
        <f t="shared" si="15"/>
        <v>0</v>
      </c>
      <c r="M108" s="16" t="s">
        <v>2007</v>
      </c>
      <c r="N108" s="16" t="s">
        <v>2008</v>
      </c>
    </row>
    <row r="109" spans="1:22" s="36" customFormat="1" x14ac:dyDescent="0.4">
      <c r="A109" s="1">
        <v>171318</v>
      </c>
      <c r="B109" s="1220">
        <v>45</v>
      </c>
      <c r="C109" s="1">
        <f t="shared" si="12"/>
        <v>225</v>
      </c>
      <c r="D109" s="1220">
        <v>0</v>
      </c>
      <c r="E109" s="1220">
        <v>0</v>
      </c>
      <c r="F109" s="1220">
        <v>1</v>
      </c>
      <c r="G109" s="1220">
        <v>1</v>
      </c>
      <c r="H109" s="1220">
        <v>1</v>
      </c>
      <c r="I109" s="1220">
        <v>1</v>
      </c>
      <c r="J109" s="140">
        <f t="shared" si="13"/>
        <v>4</v>
      </c>
      <c r="K109" s="140">
        <f t="shared" si="14"/>
        <v>3</v>
      </c>
      <c r="L109" s="1220">
        <f t="shared" si="15"/>
        <v>135</v>
      </c>
      <c r="M109" s="1" t="s">
        <v>2007</v>
      </c>
      <c r="N109" s="1" t="s">
        <v>2008</v>
      </c>
    </row>
    <row r="110" spans="1:22" s="36" customFormat="1" x14ac:dyDescent="0.4">
      <c r="A110" s="16">
        <v>171319</v>
      </c>
      <c r="B110" s="890">
        <v>60</v>
      </c>
      <c r="C110" s="16">
        <f t="shared" si="12"/>
        <v>300</v>
      </c>
      <c r="D110" s="890">
        <v>0</v>
      </c>
      <c r="E110" s="890">
        <v>0</v>
      </c>
      <c r="F110" s="890">
        <v>0</v>
      </c>
      <c r="G110" s="890">
        <v>0</v>
      </c>
      <c r="H110" s="890">
        <v>0</v>
      </c>
      <c r="I110" s="890">
        <v>0</v>
      </c>
      <c r="J110" s="891">
        <f t="shared" si="13"/>
        <v>0</v>
      </c>
      <c r="K110" s="891">
        <f t="shared" si="14"/>
        <v>0</v>
      </c>
      <c r="L110" s="890">
        <f t="shared" si="15"/>
        <v>0</v>
      </c>
      <c r="M110" s="16" t="s">
        <v>2009</v>
      </c>
      <c r="N110" s="16" t="s">
        <v>2010</v>
      </c>
    </row>
    <row r="111" spans="1:22" s="36" customFormat="1" x14ac:dyDescent="0.4">
      <c r="A111" s="16">
        <v>171320</v>
      </c>
      <c r="B111" s="890">
        <v>60</v>
      </c>
      <c r="C111" s="16">
        <f t="shared" ref="C111:C135" si="16">SUM(B111*5)</f>
        <v>300</v>
      </c>
      <c r="D111" s="890">
        <v>0</v>
      </c>
      <c r="E111" s="890">
        <v>0</v>
      </c>
      <c r="F111" s="890">
        <v>0</v>
      </c>
      <c r="G111" s="890">
        <v>0</v>
      </c>
      <c r="H111" s="890">
        <v>0</v>
      </c>
      <c r="I111" s="890">
        <v>0</v>
      </c>
      <c r="J111" s="891">
        <f t="shared" ref="J111:J135" si="17">SUM(D111:I111)</f>
        <v>0</v>
      </c>
      <c r="K111" s="891">
        <f t="shared" ref="K111:K135" si="18">SUM(D111:H111)</f>
        <v>0</v>
      </c>
      <c r="L111" s="890">
        <f t="shared" ref="L111:L135" si="19">B111*K111</f>
        <v>0</v>
      </c>
      <c r="M111" s="16" t="s">
        <v>2011</v>
      </c>
      <c r="N111" s="16" t="s">
        <v>2012</v>
      </c>
    </row>
    <row r="112" spans="1:22" s="36" customFormat="1" x14ac:dyDescent="0.4">
      <c r="A112" s="16">
        <v>171321</v>
      </c>
      <c r="B112" s="787">
        <v>45</v>
      </c>
      <c r="C112" s="16">
        <f t="shared" si="16"/>
        <v>225</v>
      </c>
      <c r="D112" s="787">
        <v>0</v>
      </c>
      <c r="E112" s="787">
        <v>0</v>
      </c>
      <c r="F112" s="787">
        <v>0</v>
      </c>
      <c r="G112" s="787">
        <v>0</v>
      </c>
      <c r="H112" s="787">
        <v>0</v>
      </c>
      <c r="I112" s="787">
        <v>0</v>
      </c>
      <c r="J112" s="788">
        <f t="shared" si="17"/>
        <v>0</v>
      </c>
      <c r="K112" s="788">
        <f t="shared" si="18"/>
        <v>0</v>
      </c>
      <c r="L112" s="787">
        <f t="shared" si="19"/>
        <v>0</v>
      </c>
      <c r="M112" s="16" t="s">
        <v>2013</v>
      </c>
      <c r="N112" s="16" t="s">
        <v>2014</v>
      </c>
    </row>
    <row r="113" spans="1:15" s="36" customFormat="1" x14ac:dyDescent="0.4">
      <c r="A113" s="16">
        <v>171322</v>
      </c>
      <c r="B113" s="488">
        <v>45</v>
      </c>
      <c r="C113" s="16">
        <f t="shared" si="16"/>
        <v>225</v>
      </c>
      <c r="D113" s="488">
        <v>0</v>
      </c>
      <c r="E113" s="488">
        <v>0</v>
      </c>
      <c r="F113" s="488">
        <v>0</v>
      </c>
      <c r="G113" s="488">
        <v>0</v>
      </c>
      <c r="H113" s="488">
        <v>0</v>
      </c>
      <c r="I113" s="488">
        <v>0</v>
      </c>
      <c r="J113" s="26">
        <f t="shared" si="17"/>
        <v>0</v>
      </c>
      <c r="K113" s="26">
        <f t="shared" si="18"/>
        <v>0</v>
      </c>
      <c r="L113" s="488">
        <f t="shared" si="19"/>
        <v>0</v>
      </c>
      <c r="M113" s="16" t="s">
        <v>2013</v>
      </c>
      <c r="N113" s="16" t="s">
        <v>2014</v>
      </c>
    </row>
    <row r="114" spans="1:15" s="36" customFormat="1" x14ac:dyDescent="0.4">
      <c r="A114" s="16">
        <v>171323</v>
      </c>
      <c r="B114" s="645">
        <v>60</v>
      </c>
      <c r="C114" s="16">
        <f t="shared" si="16"/>
        <v>300</v>
      </c>
      <c r="D114" s="645">
        <v>0</v>
      </c>
      <c r="E114" s="645">
        <v>0</v>
      </c>
      <c r="F114" s="645">
        <v>0</v>
      </c>
      <c r="G114" s="645">
        <v>0</v>
      </c>
      <c r="H114" s="645">
        <v>0</v>
      </c>
      <c r="I114" s="645">
        <v>0</v>
      </c>
      <c r="J114" s="646">
        <f t="shared" si="17"/>
        <v>0</v>
      </c>
      <c r="K114" s="646">
        <f t="shared" si="18"/>
        <v>0</v>
      </c>
      <c r="L114" s="645">
        <f t="shared" si="19"/>
        <v>0</v>
      </c>
      <c r="M114" s="16" t="s">
        <v>2013</v>
      </c>
      <c r="N114" s="16" t="s">
        <v>2014</v>
      </c>
    </row>
    <row r="115" spans="1:15" s="36" customFormat="1" x14ac:dyDescent="0.4">
      <c r="A115" s="16">
        <v>171324</v>
      </c>
      <c r="B115" s="1111">
        <v>45</v>
      </c>
      <c r="C115" s="16">
        <f t="shared" si="16"/>
        <v>225</v>
      </c>
      <c r="D115" s="1111">
        <v>0</v>
      </c>
      <c r="E115" s="1111">
        <v>0</v>
      </c>
      <c r="F115" s="1111">
        <v>0</v>
      </c>
      <c r="G115" s="1111">
        <v>0</v>
      </c>
      <c r="H115" s="1111">
        <v>0</v>
      </c>
      <c r="I115" s="1111">
        <v>0</v>
      </c>
      <c r="J115" s="1112">
        <f t="shared" si="17"/>
        <v>0</v>
      </c>
      <c r="K115" s="1112">
        <f t="shared" si="18"/>
        <v>0</v>
      </c>
      <c r="L115" s="1111">
        <f t="shared" si="19"/>
        <v>0</v>
      </c>
      <c r="M115" s="16" t="s">
        <v>2013</v>
      </c>
      <c r="N115" s="16" t="s">
        <v>2014</v>
      </c>
    </row>
    <row r="116" spans="1:15" s="36" customFormat="1" x14ac:dyDescent="0.4">
      <c r="A116" s="16">
        <v>171325</v>
      </c>
      <c r="B116" s="1111">
        <v>60</v>
      </c>
      <c r="C116" s="16">
        <f t="shared" si="16"/>
        <v>300</v>
      </c>
      <c r="D116" s="1111">
        <v>0</v>
      </c>
      <c r="E116" s="1111">
        <v>0</v>
      </c>
      <c r="F116" s="1111">
        <v>0</v>
      </c>
      <c r="G116" s="1111">
        <v>0</v>
      </c>
      <c r="H116" s="1111">
        <v>0</v>
      </c>
      <c r="I116" s="1111">
        <v>0</v>
      </c>
      <c r="J116" s="1112">
        <f t="shared" si="17"/>
        <v>0</v>
      </c>
      <c r="K116" s="1112">
        <f t="shared" si="18"/>
        <v>0</v>
      </c>
      <c r="L116" s="1111">
        <f t="shared" si="19"/>
        <v>0</v>
      </c>
      <c r="M116" s="16" t="s">
        <v>2015</v>
      </c>
      <c r="N116" s="16" t="s">
        <v>2016</v>
      </c>
    </row>
    <row r="117" spans="1:15" s="36" customFormat="1" x14ac:dyDescent="0.4">
      <c r="A117" s="16">
        <v>171326</v>
      </c>
      <c r="B117" s="886">
        <v>50</v>
      </c>
      <c r="C117" s="16">
        <f t="shared" si="16"/>
        <v>250</v>
      </c>
      <c r="D117" s="886">
        <v>0</v>
      </c>
      <c r="E117" s="886">
        <v>0</v>
      </c>
      <c r="F117" s="886">
        <v>0</v>
      </c>
      <c r="G117" s="886">
        <v>0</v>
      </c>
      <c r="H117" s="886">
        <v>0</v>
      </c>
      <c r="I117" s="886">
        <v>0</v>
      </c>
      <c r="J117" s="887">
        <f t="shared" si="17"/>
        <v>0</v>
      </c>
      <c r="K117" s="887">
        <f t="shared" si="18"/>
        <v>0</v>
      </c>
      <c r="L117" s="886">
        <f t="shared" si="19"/>
        <v>0</v>
      </c>
      <c r="M117" s="16" t="s">
        <v>2017</v>
      </c>
      <c r="N117" s="16" t="s">
        <v>2018</v>
      </c>
    </row>
    <row r="118" spans="1:15" s="36" customFormat="1" x14ac:dyDescent="0.4">
      <c r="A118" s="16">
        <v>171327</v>
      </c>
      <c r="B118" s="655">
        <v>60</v>
      </c>
      <c r="C118" s="16">
        <f t="shared" si="16"/>
        <v>300</v>
      </c>
      <c r="D118" s="655">
        <v>0</v>
      </c>
      <c r="E118" s="655">
        <v>0</v>
      </c>
      <c r="F118" s="655">
        <v>0</v>
      </c>
      <c r="G118" s="655">
        <v>0</v>
      </c>
      <c r="H118" s="655">
        <v>0</v>
      </c>
      <c r="I118" s="655">
        <v>0</v>
      </c>
      <c r="J118" s="656">
        <f t="shared" si="17"/>
        <v>0</v>
      </c>
      <c r="K118" s="656">
        <f t="shared" si="18"/>
        <v>0</v>
      </c>
      <c r="L118" s="655">
        <f t="shared" si="19"/>
        <v>0</v>
      </c>
      <c r="M118" s="16" t="s">
        <v>2017</v>
      </c>
      <c r="N118" s="16" t="s">
        <v>2018</v>
      </c>
    </row>
    <row r="119" spans="1:15" s="36" customFormat="1" x14ac:dyDescent="0.4">
      <c r="A119" s="16">
        <v>171328</v>
      </c>
      <c r="B119" s="943">
        <v>60</v>
      </c>
      <c r="C119" s="16">
        <f t="shared" si="16"/>
        <v>300</v>
      </c>
      <c r="D119" s="943">
        <v>0</v>
      </c>
      <c r="E119" s="943">
        <v>0</v>
      </c>
      <c r="F119" s="943">
        <v>0</v>
      </c>
      <c r="G119" s="943">
        <v>0</v>
      </c>
      <c r="H119" s="943">
        <v>0</v>
      </c>
      <c r="I119" s="943">
        <v>0</v>
      </c>
      <c r="J119" s="944">
        <f t="shared" si="17"/>
        <v>0</v>
      </c>
      <c r="K119" s="944">
        <f t="shared" si="18"/>
        <v>0</v>
      </c>
      <c r="L119" s="943">
        <f t="shared" si="19"/>
        <v>0</v>
      </c>
      <c r="M119" s="16" t="s">
        <v>2017</v>
      </c>
      <c r="N119" s="16" t="s">
        <v>2018</v>
      </c>
    </row>
    <row r="120" spans="1:15" s="36" customFormat="1" x14ac:dyDescent="0.4">
      <c r="A120" s="16">
        <v>171329</v>
      </c>
      <c r="B120" s="922">
        <v>60</v>
      </c>
      <c r="C120" s="16">
        <f t="shared" si="16"/>
        <v>300</v>
      </c>
      <c r="D120" s="922">
        <v>0</v>
      </c>
      <c r="E120" s="922">
        <v>0</v>
      </c>
      <c r="F120" s="922">
        <v>0</v>
      </c>
      <c r="G120" s="922">
        <v>0</v>
      </c>
      <c r="H120" s="922">
        <v>0</v>
      </c>
      <c r="I120" s="922">
        <v>0</v>
      </c>
      <c r="J120" s="923">
        <f t="shared" si="17"/>
        <v>0</v>
      </c>
      <c r="K120" s="923">
        <f t="shared" si="18"/>
        <v>0</v>
      </c>
      <c r="L120" s="922">
        <f t="shared" si="19"/>
        <v>0</v>
      </c>
      <c r="M120" s="16" t="s">
        <v>2020</v>
      </c>
      <c r="N120" s="16" t="s">
        <v>2019</v>
      </c>
    </row>
    <row r="121" spans="1:15" s="36" customFormat="1" x14ac:dyDescent="0.4">
      <c r="A121" s="16">
        <v>171330</v>
      </c>
      <c r="B121" s="601">
        <v>60</v>
      </c>
      <c r="C121" s="16">
        <f t="shared" si="16"/>
        <v>300</v>
      </c>
      <c r="D121" s="601">
        <v>0</v>
      </c>
      <c r="E121" s="601">
        <v>0</v>
      </c>
      <c r="F121" s="601">
        <v>0</v>
      </c>
      <c r="G121" s="601">
        <v>0</v>
      </c>
      <c r="H121" s="601">
        <v>0</v>
      </c>
      <c r="I121" s="601">
        <v>0</v>
      </c>
      <c r="J121" s="602">
        <f t="shared" si="17"/>
        <v>0</v>
      </c>
      <c r="K121" s="602">
        <f t="shared" si="18"/>
        <v>0</v>
      </c>
      <c r="L121" s="601">
        <f t="shared" si="19"/>
        <v>0</v>
      </c>
      <c r="M121" s="16" t="s">
        <v>2020</v>
      </c>
      <c r="N121" s="16" t="s">
        <v>2019</v>
      </c>
    </row>
    <row r="122" spans="1:15" s="36" customFormat="1" x14ac:dyDescent="0.4">
      <c r="A122" s="16">
        <v>171331</v>
      </c>
      <c r="B122" s="649">
        <v>60</v>
      </c>
      <c r="C122" s="16">
        <f t="shared" si="16"/>
        <v>300</v>
      </c>
      <c r="D122" s="649">
        <v>0</v>
      </c>
      <c r="E122" s="649">
        <v>0</v>
      </c>
      <c r="F122" s="649">
        <v>0</v>
      </c>
      <c r="G122" s="649">
        <v>0</v>
      </c>
      <c r="H122" s="649">
        <v>0</v>
      </c>
      <c r="I122" s="649">
        <v>0</v>
      </c>
      <c r="J122" s="650">
        <f t="shared" si="17"/>
        <v>0</v>
      </c>
      <c r="K122" s="650">
        <f t="shared" si="18"/>
        <v>0</v>
      </c>
      <c r="L122" s="649">
        <f t="shared" si="19"/>
        <v>0</v>
      </c>
      <c r="M122" s="16" t="s">
        <v>2021</v>
      </c>
      <c r="N122" s="16" t="s">
        <v>2022</v>
      </c>
    </row>
    <row r="123" spans="1:15" s="36" customFormat="1" x14ac:dyDescent="0.4">
      <c r="A123" s="16">
        <v>171332</v>
      </c>
      <c r="B123" s="1113">
        <v>45</v>
      </c>
      <c r="C123" s="16">
        <f t="shared" si="16"/>
        <v>225</v>
      </c>
      <c r="D123" s="1113">
        <v>0</v>
      </c>
      <c r="E123" s="1113">
        <v>0</v>
      </c>
      <c r="F123" s="1113">
        <v>0</v>
      </c>
      <c r="G123" s="1113">
        <v>0</v>
      </c>
      <c r="H123" s="1113">
        <v>0</v>
      </c>
      <c r="I123" s="1113">
        <v>0</v>
      </c>
      <c r="J123" s="1114">
        <f t="shared" si="17"/>
        <v>0</v>
      </c>
      <c r="K123" s="1114">
        <f t="shared" si="18"/>
        <v>0</v>
      </c>
      <c r="L123" s="1113">
        <f t="shared" si="19"/>
        <v>0</v>
      </c>
      <c r="M123" s="16" t="s">
        <v>2023</v>
      </c>
      <c r="N123" s="16" t="s">
        <v>2024</v>
      </c>
    </row>
    <row r="124" spans="1:15" s="36" customFormat="1" x14ac:dyDescent="0.4">
      <c r="A124" s="16">
        <v>171333</v>
      </c>
      <c r="B124" s="838">
        <v>60</v>
      </c>
      <c r="C124" s="16">
        <f t="shared" si="16"/>
        <v>300</v>
      </c>
      <c r="D124" s="838">
        <v>0</v>
      </c>
      <c r="E124" s="838">
        <v>0</v>
      </c>
      <c r="F124" s="838">
        <v>0</v>
      </c>
      <c r="G124" s="838">
        <v>0</v>
      </c>
      <c r="H124" s="838">
        <v>0</v>
      </c>
      <c r="I124" s="838">
        <v>0</v>
      </c>
      <c r="J124" s="839">
        <f t="shared" si="17"/>
        <v>0</v>
      </c>
      <c r="K124" s="839">
        <f t="shared" si="18"/>
        <v>0</v>
      </c>
      <c r="L124" s="838">
        <f t="shared" si="19"/>
        <v>0</v>
      </c>
      <c r="M124" s="16" t="s">
        <v>2025</v>
      </c>
      <c r="N124" s="16" t="s">
        <v>2026</v>
      </c>
    </row>
    <row r="125" spans="1:15" s="36" customFormat="1" x14ac:dyDescent="0.4">
      <c r="A125" s="16">
        <v>171334</v>
      </c>
      <c r="B125" s="772">
        <v>60</v>
      </c>
      <c r="C125" s="16">
        <f t="shared" si="16"/>
        <v>300</v>
      </c>
      <c r="D125" s="772">
        <v>0</v>
      </c>
      <c r="E125" s="772">
        <v>0</v>
      </c>
      <c r="F125" s="772">
        <v>0</v>
      </c>
      <c r="G125" s="772">
        <v>0</v>
      </c>
      <c r="H125" s="772">
        <v>0</v>
      </c>
      <c r="I125" s="772">
        <v>0</v>
      </c>
      <c r="J125" s="773">
        <f t="shared" si="17"/>
        <v>0</v>
      </c>
      <c r="K125" s="773">
        <f t="shared" si="18"/>
        <v>0</v>
      </c>
      <c r="L125" s="772">
        <f t="shared" si="19"/>
        <v>0</v>
      </c>
      <c r="M125" s="16" t="s">
        <v>2027</v>
      </c>
      <c r="N125" s="16" t="s">
        <v>2028</v>
      </c>
    </row>
    <row r="126" spans="1:15" s="36" customFormat="1" x14ac:dyDescent="0.4">
      <c r="A126" s="16">
        <v>171335</v>
      </c>
      <c r="B126" s="639">
        <v>45</v>
      </c>
      <c r="C126" s="16">
        <f t="shared" si="16"/>
        <v>225</v>
      </c>
      <c r="D126" s="639">
        <v>0</v>
      </c>
      <c r="E126" s="639">
        <v>0</v>
      </c>
      <c r="F126" s="639">
        <v>0</v>
      </c>
      <c r="G126" s="639">
        <v>0</v>
      </c>
      <c r="H126" s="639">
        <v>0</v>
      </c>
      <c r="I126" s="639">
        <v>0</v>
      </c>
      <c r="J126" s="640">
        <f t="shared" si="17"/>
        <v>0</v>
      </c>
      <c r="K126" s="640">
        <f t="shared" si="18"/>
        <v>0</v>
      </c>
      <c r="L126" s="639">
        <f t="shared" si="19"/>
        <v>0</v>
      </c>
      <c r="M126" s="16" t="s">
        <v>2030</v>
      </c>
      <c r="N126" s="16" t="s">
        <v>2031</v>
      </c>
    </row>
    <row r="127" spans="1:15" s="36" customFormat="1" x14ac:dyDescent="0.4">
      <c r="A127" s="1">
        <v>171336</v>
      </c>
      <c r="B127" s="1244">
        <v>45</v>
      </c>
      <c r="C127" s="1">
        <f t="shared" si="16"/>
        <v>225</v>
      </c>
      <c r="D127" s="1244">
        <v>0</v>
      </c>
      <c r="E127" s="1244">
        <v>0</v>
      </c>
      <c r="F127" s="1244">
        <v>0</v>
      </c>
      <c r="G127" s="1244">
        <v>0</v>
      </c>
      <c r="H127" s="1247">
        <v>1</v>
      </c>
      <c r="I127" s="1247">
        <v>1</v>
      </c>
      <c r="J127" s="140">
        <f t="shared" si="17"/>
        <v>2</v>
      </c>
      <c r="K127" s="140">
        <f t="shared" si="18"/>
        <v>1</v>
      </c>
      <c r="L127" s="1244">
        <f t="shared" si="19"/>
        <v>45</v>
      </c>
      <c r="M127" s="1" t="s">
        <v>2030</v>
      </c>
      <c r="N127" s="1" t="s">
        <v>2031</v>
      </c>
      <c r="O127" s="36" t="s">
        <v>3173</v>
      </c>
    </row>
    <row r="128" spans="1:15" s="36" customFormat="1" x14ac:dyDescent="0.4">
      <c r="A128" s="16">
        <v>171337</v>
      </c>
      <c r="B128" s="1361">
        <v>45</v>
      </c>
      <c r="C128" s="16">
        <f t="shared" si="16"/>
        <v>225</v>
      </c>
      <c r="D128" s="1361">
        <v>0</v>
      </c>
      <c r="E128" s="1361">
        <v>0</v>
      </c>
      <c r="F128" s="1361">
        <v>0</v>
      </c>
      <c r="G128" s="1361">
        <v>0</v>
      </c>
      <c r="H128" s="1361">
        <v>0</v>
      </c>
      <c r="I128" s="1361">
        <v>0</v>
      </c>
      <c r="J128" s="1362">
        <f t="shared" si="17"/>
        <v>0</v>
      </c>
      <c r="K128" s="1362">
        <f t="shared" si="18"/>
        <v>0</v>
      </c>
      <c r="L128" s="1361">
        <f t="shared" si="19"/>
        <v>0</v>
      </c>
      <c r="M128" s="16" t="s">
        <v>2030</v>
      </c>
      <c r="N128" s="16" t="s">
        <v>2031</v>
      </c>
    </row>
    <row r="129" spans="1:15" s="36" customFormat="1" x14ac:dyDescent="0.4">
      <c r="A129" s="1">
        <v>171338</v>
      </c>
      <c r="B129" s="1244">
        <v>60</v>
      </c>
      <c r="C129" s="1">
        <f t="shared" si="16"/>
        <v>300</v>
      </c>
      <c r="D129" s="1244">
        <v>0</v>
      </c>
      <c r="E129" s="1244">
        <v>0</v>
      </c>
      <c r="F129" s="1244">
        <v>0</v>
      </c>
      <c r="G129" s="1244">
        <v>0</v>
      </c>
      <c r="H129" s="1244">
        <v>1</v>
      </c>
      <c r="I129" s="1244">
        <v>1</v>
      </c>
      <c r="J129" s="140">
        <f t="shared" si="17"/>
        <v>2</v>
      </c>
      <c r="K129" s="140">
        <f t="shared" si="18"/>
        <v>1</v>
      </c>
      <c r="L129" s="1244">
        <f t="shared" si="19"/>
        <v>60</v>
      </c>
      <c r="M129" s="1" t="s">
        <v>2032</v>
      </c>
      <c r="N129" s="1" t="s">
        <v>2033</v>
      </c>
    </row>
    <row r="130" spans="1:15" s="36" customFormat="1" x14ac:dyDescent="0.4">
      <c r="A130" s="16">
        <v>171339</v>
      </c>
      <c r="B130" s="588">
        <v>60</v>
      </c>
      <c r="C130" s="16">
        <f t="shared" si="16"/>
        <v>300</v>
      </c>
      <c r="D130" s="588">
        <v>0</v>
      </c>
      <c r="E130" s="588">
        <v>0</v>
      </c>
      <c r="F130" s="588">
        <v>0</v>
      </c>
      <c r="G130" s="588">
        <v>0</v>
      </c>
      <c r="H130" s="588">
        <v>0</v>
      </c>
      <c r="I130" s="588">
        <v>0</v>
      </c>
      <c r="J130" s="589">
        <f t="shared" si="17"/>
        <v>0</v>
      </c>
      <c r="K130" s="589">
        <f t="shared" si="18"/>
        <v>0</v>
      </c>
      <c r="L130" s="588">
        <f t="shared" si="19"/>
        <v>0</v>
      </c>
      <c r="M130" s="16" t="s">
        <v>2034</v>
      </c>
      <c r="N130" s="16" t="s">
        <v>2035</v>
      </c>
    </row>
    <row r="131" spans="1:15" s="36" customFormat="1" x14ac:dyDescent="0.4">
      <c r="A131" s="1">
        <v>171340</v>
      </c>
      <c r="B131" s="1244">
        <v>60</v>
      </c>
      <c r="C131" s="1">
        <f t="shared" si="16"/>
        <v>300</v>
      </c>
      <c r="D131" s="1244">
        <v>0</v>
      </c>
      <c r="E131" s="1244">
        <v>1</v>
      </c>
      <c r="F131" s="1244">
        <v>1</v>
      </c>
      <c r="G131" s="1244">
        <v>1</v>
      </c>
      <c r="H131" s="1244">
        <v>1</v>
      </c>
      <c r="I131" s="1244">
        <v>1</v>
      </c>
      <c r="J131" s="140">
        <f t="shared" si="17"/>
        <v>5</v>
      </c>
      <c r="K131" s="140">
        <f t="shared" si="18"/>
        <v>4</v>
      </c>
      <c r="L131" s="1244">
        <f t="shared" si="19"/>
        <v>240</v>
      </c>
      <c r="M131" s="1" t="s">
        <v>2034</v>
      </c>
      <c r="N131" s="1" t="s">
        <v>2035</v>
      </c>
    </row>
    <row r="132" spans="1:15" s="36" customFormat="1" x14ac:dyDescent="0.4">
      <c r="A132" s="16">
        <v>171341</v>
      </c>
      <c r="B132" s="706">
        <v>45</v>
      </c>
      <c r="C132" s="16">
        <f t="shared" si="16"/>
        <v>225</v>
      </c>
      <c r="D132" s="706">
        <v>0</v>
      </c>
      <c r="E132" s="706">
        <v>0</v>
      </c>
      <c r="F132" s="706">
        <v>0</v>
      </c>
      <c r="G132" s="706">
        <v>0</v>
      </c>
      <c r="H132" s="706">
        <v>0</v>
      </c>
      <c r="I132" s="706">
        <v>0</v>
      </c>
      <c r="J132" s="707">
        <f t="shared" si="17"/>
        <v>0</v>
      </c>
      <c r="K132" s="707">
        <f t="shared" si="18"/>
        <v>0</v>
      </c>
      <c r="L132" s="706">
        <f t="shared" si="19"/>
        <v>0</v>
      </c>
      <c r="M132" s="16" t="s">
        <v>2034</v>
      </c>
      <c r="N132" s="16" t="s">
        <v>2035</v>
      </c>
    </row>
    <row r="133" spans="1:15" s="36" customFormat="1" x14ac:dyDescent="0.4">
      <c r="A133" s="16">
        <v>171342</v>
      </c>
      <c r="B133" s="772">
        <v>45</v>
      </c>
      <c r="C133" s="16">
        <f t="shared" si="16"/>
        <v>225</v>
      </c>
      <c r="D133" s="772">
        <v>0</v>
      </c>
      <c r="E133" s="772">
        <v>0</v>
      </c>
      <c r="F133" s="772">
        <v>0</v>
      </c>
      <c r="G133" s="772">
        <v>0</v>
      </c>
      <c r="H133" s="772">
        <v>0</v>
      </c>
      <c r="I133" s="772">
        <v>0</v>
      </c>
      <c r="J133" s="773">
        <f t="shared" si="17"/>
        <v>0</v>
      </c>
      <c r="K133" s="773">
        <f t="shared" si="18"/>
        <v>0</v>
      </c>
      <c r="L133" s="772">
        <f t="shared" si="19"/>
        <v>0</v>
      </c>
      <c r="M133" s="16" t="s">
        <v>2036</v>
      </c>
      <c r="N133" s="16" t="s">
        <v>2037</v>
      </c>
    </row>
    <row r="134" spans="1:15" s="36" customFormat="1" x14ac:dyDescent="0.4">
      <c r="A134" s="16">
        <v>171343</v>
      </c>
      <c r="B134" s="1305">
        <v>60</v>
      </c>
      <c r="C134" s="16">
        <f t="shared" si="16"/>
        <v>300</v>
      </c>
      <c r="D134" s="1305">
        <v>0</v>
      </c>
      <c r="E134" s="1305">
        <v>0</v>
      </c>
      <c r="F134" s="1305">
        <v>0</v>
      </c>
      <c r="G134" s="1305">
        <v>0</v>
      </c>
      <c r="H134" s="1305">
        <v>0</v>
      </c>
      <c r="I134" s="1305">
        <v>0</v>
      </c>
      <c r="J134" s="1306">
        <f t="shared" si="17"/>
        <v>0</v>
      </c>
      <c r="K134" s="1306">
        <f t="shared" si="18"/>
        <v>0</v>
      </c>
      <c r="L134" s="1305">
        <f t="shared" si="19"/>
        <v>0</v>
      </c>
      <c r="M134" s="16" t="s">
        <v>2036</v>
      </c>
      <c r="N134" s="16" t="s">
        <v>2037</v>
      </c>
    </row>
    <row r="135" spans="1:15" s="36" customFormat="1" x14ac:dyDescent="0.4">
      <c r="A135" s="1">
        <v>171344</v>
      </c>
      <c r="B135" s="1244">
        <v>60</v>
      </c>
      <c r="C135" s="1">
        <f t="shared" si="16"/>
        <v>300</v>
      </c>
      <c r="D135" s="1244">
        <v>0</v>
      </c>
      <c r="E135" s="1244">
        <v>0</v>
      </c>
      <c r="F135" s="1244">
        <v>0</v>
      </c>
      <c r="G135" s="1244">
        <v>0</v>
      </c>
      <c r="H135" s="1244">
        <v>1</v>
      </c>
      <c r="I135" s="1244">
        <v>1</v>
      </c>
      <c r="J135" s="140">
        <f t="shared" si="17"/>
        <v>2</v>
      </c>
      <c r="K135" s="140">
        <f t="shared" si="18"/>
        <v>1</v>
      </c>
      <c r="L135" s="1244">
        <f t="shared" si="19"/>
        <v>60</v>
      </c>
      <c r="M135" s="1" t="s">
        <v>2036</v>
      </c>
      <c r="N135" s="1" t="s">
        <v>2037</v>
      </c>
    </row>
    <row r="136" spans="1:15" s="36" customFormat="1" x14ac:dyDescent="0.4">
      <c r="A136" s="1034">
        <v>171345</v>
      </c>
      <c r="B136" s="1035"/>
      <c r="C136" s="1034"/>
      <c r="D136" s="1035"/>
      <c r="E136" s="1035"/>
      <c r="F136" s="1035"/>
      <c r="G136" s="1035"/>
      <c r="H136" s="1035"/>
      <c r="I136" s="1035"/>
      <c r="J136" s="1036">
        <f t="shared" ref="J136:J170" si="20">SUM(D136:I136)</f>
        <v>0</v>
      </c>
      <c r="K136" s="1036">
        <f t="shared" ref="K136:K170" si="21">SUM(D136:H136)</f>
        <v>0</v>
      </c>
      <c r="L136" s="1035">
        <f t="shared" ref="L136:L170" si="22">B136*K136</f>
        <v>0</v>
      </c>
      <c r="M136" s="1034"/>
      <c r="N136" s="1034"/>
      <c r="O136" s="36" t="s">
        <v>2029</v>
      </c>
    </row>
    <row r="137" spans="1:15" s="36" customFormat="1" x14ac:dyDescent="0.4">
      <c r="A137" s="1034">
        <v>171346</v>
      </c>
      <c r="B137" s="1035"/>
      <c r="C137" s="1034"/>
      <c r="D137" s="1035"/>
      <c r="E137" s="1035"/>
      <c r="F137" s="1035"/>
      <c r="G137" s="1035"/>
      <c r="H137" s="1035"/>
      <c r="I137" s="1035"/>
      <c r="J137" s="1036">
        <f t="shared" si="20"/>
        <v>0</v>
      </c>
      <c r="K137" s="1036">
        <f t="shared" si="21"/>
        <v>0</v>
      </c>
      <c r="L137" s="1035">
        <f t="shared" si="22"/>
        <v>0</v>
      </c>
      <c r="M137" s="1034"/>
      <c r="N137" s="1034"/>
      <c r="O137" s="36" t="s">
        <v>2029</v>
      </c>
    </row>
    <row r="138" spans="1:15" s="36" customFormat="1" x14ac:dyDescent="0.4">
      <c r="A138" s="1034">
        <v>171347</v>
      </c>
      <c r="B138" s="1035"/>
      <c r="C138" s="1034"/>
      <c r="D138" s="1035"/>
      <c r="E138" s="1035"/>
      <c r="F138" s="1035"/>
      <c r="G138" s="1035"/>
      <c r="H138" s="1035"/>
      <c r="I138" s="1035"/>
      <c r="J138" s="1036">
        <f t="shared" si="20"/>
        <v>0</v>
      </c>
      <c r="K138" s="1036">
        <f t="shared" si="21"/>
        <v>0</v>
      </c>
      <c r="L138" s="1035">
        <f t="shared" si="22"/>
        <v>0</v>
      </c>
      <c r="M138" s="1034"/>
      <c r="N138" s="1034"/>
      <c r="O138" s="36" t="s">
        <v>2029</v>
      </c>
    </row>
    <row r="139" spans="1:15" s="36" customFormat="1" x14ac:dyDescent="0.4">
      <c r="A139" s="1034">
        <v>171348</v>
      </c>
      <c r="B139" s="1035"/>
      <c r="C139" s="1034"/>
      <c r="D139" s="1035"/>
      <c r="E139" s="1035"/>
      <c r="F139" s="1035"/>
      <c r="G139" s="1035"/>
      <c r="H139" s="1035"/>
      <c r="I139" s="1035"/>
      <c r="J139" s="1036">
        <f t="shared" si="20"/>
        <v>0</v>
      </c>
      <c r="K139" s="1036">
        <f t="shared" si="21"/>
        <v>0</v>
      </c>
      <c r="L139" s="1035">
        <f t="shared" si="22"/>
        <v>0</v>
      </c>
      <c r="M139" s="1034"/>
      <c r="N139" s="1034"/>
      <c r="O139" s="36" t="s">
        <v>2029</v>
      </c>
    </row>
    <row r="140" spans="1:15" s="36" customFormat="1" x14ac:dyDescent="0.4">
      <c r="A140" s="1034">
        <v>171349</v>
      </c>
      <c r="B140" s="1035"/>
      <c r="C140" s="1034"/>
      <c r="D140" s="1035"/>
      <c r="E140" s="1035"/>
      <c r="F140" s="1035"/>
      <c r="G140" s="1035"/>
      <c r="H140" s="1035"/>
      <c r="I140" s="1035"/>
      <c r="J140" s="1036">
        <f t="shared" si="20"/>
        <v>0</v>
      </c>
      <c r="K140" s="1036">
        <f t="shared" si="21"/>
        <v>0</v>
      </c>
      <c r="L140" s="1035">
        <f t="shared" si="22"/>
        <v>0</v>
      </c>
      <c r="M140" s="1034"/>
      <c r="N140" s="1034"/>
      <c r="O140" s="36" t="s">
        <v>2029</v>
      </c>
    </row>
    <row r="141" spans="1:15" s="36" customFormat="1" x14ac:dyDescent="0.4">
      <c r="A141" s="16">
        <v>171350</v>
      </c>
      <c r="B141" s="900">
        <v>60</v>
      </c>
      <c r="C141" s="16">
        <f t="shared" ref="C141:C170" si="23">SUM(B141*5)</f>
        <v>300</v>
      </c>
      <c r="D141" s="900">
        <v>0</v>
      </c>
      <c r="E141" s="900">
        <v>0</v>
      </c>
      <c r="F141" s="900">
        <v>0</v>
      </c>
      <c r="G141" s="900">
        <v>0</v>
      </c>
      <c r="H141" s="900">
        <v>0</v>
      </c>
      <c r="I141" s="900">
        <v>0</v>
      </c>
      <c r="J141" s="901">
        <f t="shared" si="20"/>
        <v>0</v>
      </c>
      <c r="K141" s="901">
        <f t="shared" si="21"/>
        <v>0</v>
      </c>
      <c r="L141" s="900">
        <f t="shared" si="22"/>
        <v>0</v>
      </c>
      <c r="M141" s="16" t="s">
        <v>2036</v>
      </c>
      <c r="N141" s="16" t="s">
        <v>2037</v>
      </c>
    </row>
    <row r="142" spans="1:15" s="36" customFormat="1" x14ac:dyDescent="0.4">
      <c r="A142" s="1">
        <v>171351</v>
      </c>
      <c r="B142" s="1244">
        <v>45</v>
      </c>
      <c r="C142" s="1">
        <f t="shared" si="23"/>
        <v>225</v>
      </c>
      <c r="D142" s="1244">
        <v>0</v>
      </c>
      <c r="E142" s="1244">
        <v>0</v>
      </c>
      <c r="F142" s="1244">
        <v>1</v>
      </c>
      <c r="G142" s="1244">
        <v>1</v>
      </c>
      <c r="H142" s="1244">
        <v>1</v>
      </c>
      <c r="I142" s="1244">
        <v>1</v>
      </c>
      <c r="J142" s="140">
        <f t="shared" si="20"/>
        <v>4</v>
      </c>
      <c r="K142" s="140">
        <f t="shared" si="21"/>
        <v>3</v>
      </c>
      <c r="L142" s="1244">
        <f t="shared" si="22"/>
        <v>135</v>
      </c>
      <c r="M142" s="1" t="s">
        <v>2040</v>
      </c>
      <c r="N142" s="1" t="s">
        <v>2041</v>
      </c>
    </row>
    <row r="143" spans="1:15" s="36" customFormat="1" x14ac:dyDescent="0.4">
      <c r="A143" s="16">
        <v>171352</v>
      </c>
      <c r="B143" s="894">
        <v>60</v>
      </c>
      <c r="C143" s="16">
        <f t="shared" si="23"/>
        <v>300</v>
      </c>
      <c r="D143" s="894">
        <v>0</v>
      </c>
      <c r="E143" s="894">
        <v>0</v>
      </c>
      <c r="F143" s="894">
        <v>0</v>
      </c>
      <c r="G143" s="894">
        <v>0</v>
      </c>
      <c r="H143" s="894">
        <v>0</v>
      </c>
      <c r="I143" s="894">
        <v>0</v>
      </c>
      <c r="J143" s="895">
        <f t="shared" si="20"/>
        <v>0</v>
      </c>
      <c r="K143" s="895">
        <f t="shared" si="21"/>
        <v>0</v>
      </c>
      <c r="L143" s="894">
        <f t="shared" si="22"/>
        <v>0</v>
      </c>
      <c r="M143" s="16" t="s">
        <v>2040</v>
      </c>
      <c r="N143" s="16" t="s">
        <v>2041</v>
      </c>
    </row>
    <row r="144" spans="1:15" s="36" customFormat="1" x14ac:dyDescent="0.4">
      <c r="A144" s="1">
        <v>171353</v>
      </c>
      <c r="B144" s="1244">
        <v>60</v>
      </c>
      <c r="C144" s="1">
        <f t="shared" si="23"/>
        <v>300</v>
      </c>
      <c r="D144" s="1244">
        <v>0</v>
      </c>
      <c r="E144" s="1244">
        <v>0</v>
      </c>
      <c r="F144" s="1244">
        <v>1</v>
      </c>
      <c r="G144" s="1244">
        <v>1</v>
      </c>
      <c r="H144" s="1244">
        <v>1</v>
      </c>
      <c r="I144" s="1244">
        <v>1</v>
      </c>
      <c r="J144" s="140">
        <f t="shared" si="20"/>
        <v>4</v>
      </c>
      <c r="K144" s="140">
        <f t="shared" si="21"/>
        <v>3</v>
      </c>
      <c r="L144" s="1244">
        <f t="shared" si="22"/>
        <v>180</v>
      </c>
      <c r="M144" s="1" t="s">
        <v>2038</v>
      </c>
      <c r="N144" s="1" t="s">
        <v>2039</v>
      </c>
    </row>
    <row r="145" spans="1:26" s="36" customFormat="1" x14ac:dyDescent="0.4">
      <c r="A145" s="1">
        <v>171354</v>
      </c>
      <c r="B145" s="1244">
        <v>45</v>
      </c>
      <c r="C145" s="1">
        <f t="shared" si="23"/>
        <v>225</v>
      </c>
      <c r="D145" s="1244">
        <v>0</v>
      </c>
      <c r="E145" s="1244">
        <v>0</v>
      </c>
      <c r="F145" s="1244">
        <v>0</v>
      </c>
      <c r="G145" s="1244">
        <v>0</v>
      </c>
      <c r="H145" s="1244">
        <v>1</v>
      </c>
      <c r="I145" s="1244">
        <v>1</v>
      </c>
      <c r="J145" s="140">
        <f t="shared" si="20"/>
        <v>2</v>
      </c>
      <c r="K145" s="140">
        <f t="shared" si="21"/>
        <v>1</v>
      </c>
      <c r="L145" s="1244">
        <f t="shared" si="22"/>
        <v>45</v>
      </c>
      <c r="M145" s="1" t="s">
        <v>2038</v>
      </c>
      <c r="N145" s="1" t="s">
        <v>2039</v>
      </c>
    </row>
    <row r="146" spans="1:26" s="36" customFormat="1" x14ac:dyDescent="0.4">
      <c r="A146" s="16">
        <v>171355</v>
      </c>
      <c r="B146" s="1231">
        <v>45</v>
      </c>
      <c r="C146" s="16">
        <f t="shared" si="23"/>
        <v>225</v>
      </c>
      <c r="D146" s="1231">
        <v>0</v>
      </c>
      <c r="E146" s="1231">
        <v>0</v>
      </c>
      <c r="F146" s="1231">
        <v>0</v>
      </c>
      <c r="G146" s="1231">
        <v>0</v>
      </c>
      <c r="H146" s="1231">
        <v>0</v>
      </c>
      <c r="I146" s="1231">
        <v>0</v>
      </c>
      <c r="J146" s="1232">
        <f t="shared" si="20"/>
        <v>0</v>
      </c>
      <c r="K146" s="1232">
        <f t="shared" si="21"/>
        <v>0</v>
      </c>
      <c r="L146" s="1231">
        <f t="shared" si="22"/>
        <v>0</v>
      </c>
      <c r="M146" s="16" t="s">
        <v>2042</v>
      </c>
      <c r="N146" s="16" t="s">
        <v>2043</v>
      </c>
    </row>
    <row r="147" spans="1:26" s="36" customFormat="1" x14ac:dyDescent="0.4">
      <c r="A147" s="16">
        <v>171356</v>
      </c>
      <c r="B147" s="1231">
        <v>50</v>
      </c>
      <c r="C147" s="16">
        <f t="shared" si="23"/>
        <v>250</v>
      </c>
      <c r="D147" s="1231">
        <v>0</v>
      </c>
      <c r="E147" s="1231">
        <v>0</v>
      </c>
      <c r="F147" s="1231">
        <v>0</v>
      </c>
      <c r="G147" s="1231">
        <v>0</v>
      </c>
      <c r="H147" s="1231">
        <v>0</v>
      </c>
      <c r="I147" s="1231">
        <v>0</v>
      </c>
      <c r="J147" s="1232">
        <f t="shared" si="20"/>
        <v>0</v>
      </c>
      <c r="K147" s="1232">
        <f t="shared" si="21"/>
        <v>0</v>
      </c>
      <c r="L147" s="1231">
        <f t="shared" si="22"/>
        <v>0</v>
      </c>
      <c r="M147" s="16" t="s">
        <v>2044</v>
      </c>
      <c r="N147" s="16" t="s">
        <v>2045</v>
      </c>
    </row>
    <row r="148" spans="1:26" s="36" customFormat="1" x14ac:dyDescent="0.4">
      <c r="A148" s="16">
        <v>171357</v>
      </c>
      <c r="B148" s="576">
        <v>90</v>
      </c>
      <c r="C148" s="16">
        <f t="shared" si="23"/>
        <v>450</v>
      </c>
      <c r="D148" s="576">
        <v>0</v>
      </c>
      <c r="E148" s="576">
        <v>0</v>
      </c>
      <c r="F148" s="576">
        <v>0</v>
      </c>
      <c r="G148" s="576">
        <v>0</v>
      </c>
      <c r="H148" s="576">
        <v>0</v>
      </c>
      <c r="I148" s="576">
        <v>0</v>
      </c>
      <c r="J148" s="577">
        <f t="shared" si="20"/>
        <v>0</v>
      </c>
      <c r="K148" s="577">
        <f t="shared" si="21"/>
        <v>0</v>
      </c>
      <c r="L148" s="576">
        <f t="shared" si="22"/>
        <v>0</v>
      </c>
      <c r="M148" s="16" t="s">
        <v>2046</v>
      </c>
      <c r="N148" s="16" t="s">
        <v>2047</v>
      </c>
    </row>
    <row r="149" spans="1:26" s="36" customFormat="1" x14ac:dyDescent="0.4">
      <c r="A149" s="1">
        <v>171358</v>
      </c>
      <c r="B149" s="1277">
        <v>60</v>
      </c>
      <c r="C149" s="1">
        <f t="shared" si="23"/>
        <v>300</v>
      </c>
      <c r="D149" s="1277">
        <v>0</v>
      </c>
      <c r="E149" s="1277">
        <v>0</v>
      </c>
      <c r="F149" s="1277">
        <v>0</v>
      </c>
      <c r="G149" s="1277">
        <v>0</v>
      </c>
      <c r="H149" s="1277">
        <v>0</v>
      </c>
      <c r="I149" s="1277">
        <v>1</v>
      </c>
      <c r="J149" s="140">
        <f t="shared" si="20"/>
        <v>1</v>
      </c>
      <c r="K149" s="140">
        <f t="shared" si="21"/>
        <v>0</v>
      </c>
      <c r="L149" s="1277">
        <f t="shared" si="22"/>
        <v>0</v>
      </c>
      <c r="M149" s="1" t="s">
        <v>2048</v>
      </c>
      <c r="N149" s="1" t="s">
        <v>2049</v>
      </c>
    </row>
    <row r="150" spans="1:26" s="36" customFormat="1" x14ac:dyDescent="0.4">
      <c r="A150" s="1">
        <v>171359</v>
      </c>
      <c r="B150" s="1277">
        <v>60</v>
      </c>
      <c r="C150" s="1">
        <f t="shared" si="23"/>
        <v>300</v>
      </c>
      <c r="D150" s="1277">
        <v>0</v>
      </c>
      <c r="E150" s="1277">
        <v>0</v>
      </c>
      <c r="F150" s="1277">
        <v>0</v>
      </c>
      <c r="G150" s="1277">
        <v>0</v>
      </c>
      <c r="H150" s="1277">
        <v>0</v>
      </c>
      <c r="I150" s="1277">
        <v>0</v>
      </c>
      <c r="J150" s="140">
        <f t="shared" si="20"/>
        <v>0</v>
      </c>
      <c r="K150" s="140">
        <f t="shared" si="21"/>
        <v>0</v>
      </c>
      <c r="L150" s="1277">
        <f t="shared" si="22"/>
        <v>0</v>
      </c>
      <c r="M150" s="1" t="s">
        <v>2048</v>
      </c>
      <c r="N150" s="1" t="s">
        <v>2049</v>
      </c>
    </row>
    <row r="151" spans="1:26" s="36" customFormat="1" x14ac:dyDescent="0.4">
      <c r="A151" s="16">
        <v>171360</v>
      </c>
      <c r="B151" s="714">
        <v>45</v>
      </c>
      <c r="C151" s="16">
        <f t="shared" si="23"/>
        <v>225</v>
      </c>
      <c r="D151" s="714">
        <v>0</v>
      </c>
      <c r="E151" s="714">
        <v>0</v>
      </c>
      <c r="F151" s="714">
        <v>0</v>
      </c>
      <c r="G151" s="714">
        <v>0</v>
      </c>
      <c r="H151" s="714">
        <v>0</v>
      </c>
      <c r="I151" s="714">
        <v>0</v>
      </c>
      <c r="J151" s="715">
        <f t="shared" si="20"/>
        <v>0</v>
      </c>
      <c r="K151" s="715">
        <f t="shared" si="21"/>
        <v>0</v>
      </c>
      <c r="L151" s="714">
        <f t="shared" si="22"/>
        <v>0</v>
      </c>
      <c r="M151" s="16" t="s">
        <v>2050</v>
      </c>
      <c r="N151" s="16" t="s">
        <v>2051</v>
      </c>
    </row>
    <row r="152" spans="1:26" s="36" customFormat="1" x14ac:dyDescent="0.4">
      <c r="A152" s="16">
        <v>171361</v>
      </c>
      <c r="B152" s="547">
        <v>45</v>
      </c>
      <c r="C152" s="16">
        <f t="shared" si="23"/>
        <v>225</v>
      </c>
      <c r="D152" s="547">
        <v>0</v>
      </c>
      <c r="E152" s="547">
        <v>0</v>
      </c>
      <c r="F152" s="547">
        <v>0</v>
      </c>
      <c r="G152" s="547">
        <v>0</v>
      </c>
      <c r="H152" s="547">
        <v>0</v>
      </c>
      <c r="I152" s="547">
        <v>0</v>
      </c>
      <c r="J152" s="548">
        <f t="shared" si="20"/>
        <v>0</v>
      </c>
      <c r="K152" s="548">
        <f t="shared" si="21"/>
        <v>0</v>
      </c>
      <c r="L152" s="547">
        <f t="shared" si="22"/>
        <v>0</v>
      </c>
      <c r="M152" s="987" t="s">
        <v>2052</v>
      </c>
      <c r="N152" s="987" t="s">
        <v>2051</v>
      </c>
      <c r="O152" s="987"/>
      <c r="P152" s="987" t="s">
        <v>2053</v>
      </c>
      <c r="Q152" s="987" t="s">
        <v>2054</v>
      </c>
    </row>
    <row r="153" spans="1:26" s="36" customFormat="1" x14ac:dyDescent="0.4">
      <c r="A153" s="16">
        <v>171362</v>
      </c>
      <c r="B153" s="733">
        <v>60</v>
      </c>
      <c r="C153" s="16">
        <f t="shared" si="23"/>
        <v>300</v>
      </c>
      <c r="D153" s="733">
        <v>0</v>
      </c>
      <c r="E153" s="733">
        <v>0</v>
      </c>
      <c r="F153" s="733">
        <v>0</v>
      </c>
      <c r="G153" s="733">
        <v>0</v>
      </c>
      <c r="H153" s="733">
        <v>0</v>
      </c>
      <c r="I153" s="733">
        <v>0</v>
      </c>
      <c r="J153" s="734">
        <f t="shared" si="20"/>
        <v>0</v>
      </c>
      <c r="K153" s="734">
        <f t="shared" si="21"/>
        <v>0</v>
      </c>
      <c r="L153" s="733">
        <f t="shared" si="22"/>
        <v>0</v>
      </c>
      <c r="M153" s="16" t="s">
        <v>2055</v>
      </c>
      <c r="N153" s="16" t="s">
        <v>2056</v>
      </c>
    </row>
    <row r="154" spans="1:26" s="36" customFormat="1" x14ac:dyDescent="0.4">
      <c r="A154" s="22">
        <v>171363</v>
      </c>
      <c r="B154" s="557">
        <v>60</v>
      </c>
      <c r="C154" s="22">
        <f t="shared" si="23"/>
        <v>300</v>
      </c>
      <c r="D154" s="557">
        <v>0</v>
      </c>
      <c r="E154" s="557">
        <v>0</v>
      </c>
      <c r="F154" s="557">
        <v>0</v>
      </c>
      <c r="G154" s="557">
        <v>0</v>
      </c>
      <c r="H154" s="557">
        <v>0</v>
      </c>
      <c r="I154" s="557">
        <v>0</v>
      </c>
      <c r="J154" s="24">
        <f t="shared" si="20"/>
        <v>0</v>
      </c>
      <c r="K154" s="24">
        <f t="shared" si="21"/>
        <v>0</v>
      </c>
      <c r="L154" s="557">
        <f t="shared" si="22"/>
        <v>0</v>
      </c>
      <c r="M154" s="22" t="s">
        <v>2057</v>
      </c>
      <c r="N154" s="22" t="s">
        <v>2058</v>
      </c>
    </row>
    <row r="155" spans="1:26" s="36" customFormat="1" x14ac:dyDescent="0.4">
      <c r="A155" s="22">
        <v>171364</v>
      </c>
      <c r="B155" s="557">
        <v>60</v>
      </c>
      <c r="C155" s="22">
        <f t="shared" si="23"/>
        <v>300</v>
      </c>
      <c r="D155" s="557">
        <v>0</v>
      </c>
      <c r="E155" s="557">
        <v>0</v>
      </c>
      <c r="F155" s="557">
        <v>0</v>
      </c>
      <c r="G155" s="557">
        <v>0</v>
      </c>
      <c r="H155" s="557">
        <v>0</v>
      </c>
      <c r="I155" s="557">
        <v>0</v>
      </c>
      <c r="J155" s="24">
        <f t="shared" si="20"/>
        <v>0</v>
      </c>
      <c r="K155" s="24">
        <f t="shared" si="21"/>
        <v>0</v>
      </c>
      <c r="L155" s="557">
        <f t="shared" si="22"/>
        <v>0</v>
      </c>
      <c r="M155" s="22" t="s">
        <v>2057</v>
      </c>
      <c r="N155" s="22" t="s">
        <v>2058</v>
      </c>
    </row>
    <row r="156" spans="1:26" s="36" customFormat="1" x14ac:dyDescent="0.4">
      <c r="A156" s="1">
        <v>171365</v>
      </c>
      <c r="B156" s="1277">
        <v>45</v>
      </c>
      <c r="C156" s="1">
        <f t="shared" si="23"/>
        <v>225</v>
      </c>
      <c r="D156" s="1277">
        <v>0</v>
      </c>
      <c r="E156" s="1277">
        <v>0</v>
      </c>
      <c r="F156" s="1277">
        <v>1</v>
      </c>
      <c r="G156" s="1277">
        <v>1</v>
      </c>
      <c r="H156" s="1277">
        <v>1</v>
      </c>
      <c r="I156" s="1277">
        <v>1</v>
      </c>
      <c r="J156" s="140">
        <f t="shared" si="20"/>
        <v>4</v>
      </c>
      <c r="K156" s="140">
        <f t="shared" si="21"/>
        <v>3</v>
      </c>
      <c r="L156" s="1277">
        <f t="shared" si="22"/>
        <v>135</v>
      </c>
      <c r="M156" s="1" t="s">
        <v>2059</v>
      </c>
      <c r="N156" s="1" t="s">
        <v>2060</v>
      </c>
      <c r="R156" s="413"/>
      <c r="S156" s="413"/>
      <c r="T156" s="2040"/>
      <c r="U156" s="2040"/>
      <c r="V156" s="2040"/>
      <c r="W156" s="413"/>
      <c r="X156" s="414"/>
      <c r="Y156" s="414"/>
      <c r="Z156" s="413"/>
    </row>
    <row r="157" spans="1:26" s="36" customFormat="1" x14ac:dyDescent="0.4">
      <c r="A157" s="1">
        <v>171366</v>
      </c>
      <c r="B157" s="1277">
        <v>45</v>
      </c>
      <c r="C157" s="1">
        <f t="shared" si="23"/>
        <v>225</v>
      </c>
      <c r="D157" s="1277">
        <v>0</v>
      </c>
      <c r="E157" s="1277">
        <v>0</v>
      </c>
      <c r="F157" s="1277">
        <v>0</v>
      </c>
      <c r="G157" s="1277">
        <v>0</v>
      </c>
      <c r="H157" s="1277">
        <v>1</v>
      </c>
      <c r="I157" s="1277">
        <v>1</v>
      </c>
      <c r="J157" s="140">
        <f t="shared" si="20"/>
        <v>2</v>
      </c>
      <c r="K157" s="140">
        <f t="shared" si="21"/>
        <v>1</v>
      </c>
      <c r="L157" s="1277">
        <f t="shared" si="22"/>
        <v>45</v>
      </c>
      <c r="M157" s="1" t="s">
        <v>2059</v>
      </c>
      <c r="N157" s="1" t="s">
        <v>2060</v>
      </c>
      <c r="R157" s="413"/>
      <c r="S157" s="413"/>
      <c r="T157" s="2040"/>
      <c r="U157" s="2040"/>
      <c r="V157" s="2040"/>
      <c r="W157" s="413"/>
      <c r="X157" s="414"/>
      <c r="Y157" s="414"/>
      <c r="Z157" s="413"/>
    </row>
    <row r="158" spans="1:26" s="36" customFormat="1" x14ac:dyDescent="0.4">
      <c r="A158" s="16">
        <v>171367</v>
      </c>
      <c r="B158" s="1175">
        <v>60</v>
      </c>
      <c r="C158" s="16">
        <f t="shared" si="23"/>
        <v>300</v>
      </c>
      <c r="D158" s="1175">
        <v>0</v>
      </c>
      <c r="E158" s="1175">
        <v>0</v>
      </c>
      <c r="F158" s="1175">
        <v>0</v>
      </c>
      <c r="G158" s="1175">
        <v>0</v>
      </c>
      <c r="H158" s="1175">
        <v>0</v>
      </c>
      <c r="I158" s="1175">
        <v>0</v>
      </c>
      <c r="J158" s="1176">
        <f t="shared" si="20"/>
        <v>0</v>
      </c>
      <c r="K158" s="1176">
        <f t="shared" si="21"/>
        <v>0</v>
      </c>
      <c r="L158" s="1175">
        <f t="shared" si="22"/>
        <v>0</v>
      </c>
      <c r="M158" s="16" t="s">
        <v>2059</v>
      </c>
      <c r="N158" s="16" t="s">
        <v>2060</v>
      </c>
      <c r="R158" s="413"/>
      <c r="S158" s="413"/>
      <c r="T158" s="2040"/>
      <c r="U158" s="2040"/>
      <c r="V158" s="2040"/>
      <c r="W158" s="413"/>
      <c r="X158" s="414"/>
      <c r="Y158" s="414"/>
      <c r="Z158" s="413"/>
    </row>
    <row r="159" spans="1:26" s="36" customFormat="1" x14ac:dyDescent="0.4">
      <c r="A159" s="1">
        <v>171368</v>
      </c>
      <c r="B159" s="1277">
        <v>45</v>
      </c>
      <c r="C159" s="1">
        <f t="shared" si="23"/>
        <v>225</v>
      </c>
      <c r="D159" s="1277">
        <v>0</v>
      </c>
      <c r="E159" s="1277">
        <v>0</v>
      </c>
      <c r="F159" s="1277">
        <v>0</v>
      </c>
      <c r="G159" s="1277">
        <v>0</v>
      </c>
      <c r="H159" s="1277">
        <v>0</v>
      </c>
      <c r="I159" s="1277">
        <v>1</v>
      </c>
      <c r="J159" s="140">
        <f t="shared" si="20"/>
        <v>1</v>
      </c>
      <c r="K159" s="140">
        <f t="shared" si="21"/>
        <v>0</v>
      </c>
      <c r="L159" s="1277">
        <f t="shared" si="22"/>
        <v>0</v>
      </c>
      <c r="M159" s="1" t="s">
        <v>2061</v>
      </c>
      <c r="N159" s="1" t="s">
        <v>2062</v>
      </c>
      <c r="R159" s="413"/>
      <c r="S159" s="413"/>
      <c r="T159" s="2040"/>
      <c r="U159" s="2040"/>
      <c r="V159" s="2040"/>
      <c r="W159" s="413"/>
      <c r="X159" s="414"/>
      <c r="Y159" s="414"/>
      <c r="Z159" s="413"/>
    </row>
    <row r="160" spans="1:26" s="36" customFormat="1" x14ac:dyDescent="0.4">
      <c r="A160" s="16">
        <v>171369</v>
      </c>
      <c r="B160" s="886">
        <v>45</v>
      </c>
      <c r="C160" s="16">
        <f t="shared" si="23"/>
        <v>225</v>
      </c>
      <c r="D160" s="886">
        <v>0</v>
      </c>
      <c r="E160" s="886">
        <v>0</v>
      </c>
      <c r="F160" s="886">
        <v>0</v>
      </c>
      <c r="G160" s="886">
        <v>0</v>
      </c>
      <c r="H160" s="886">
        <v>0</v>
      </c>
      <c r="I160" s="886">
        <v>0</v>
      </c>
      <c r="J160" s="887">
        <f t="shared" si="20"/>
        <v>0</v>
      </c>
      <c r="K160" s="887">
        <f t="shared" si="21"/>
        <v>0</v>
      </c>
      <c r="L160" s="886">
        <f t="shared" si="22"/>
        <v>0</v>
      </c>
      <c r="M160" s="16" t="s">
        <v>2063</v>
      </c>
      <c r="N160" s="16" t="s">
        <v>2064</v>
      </c>
      <c r="R160" s="413"/>
      <c r="S160" s="413"/>
      <c r="T160" s="2040"/>
      <c r="U160" s="2040"/>
      <c r="V160" s="2040"/>
      <c r="W160" s="413"/>
      <c r="X160" s="414"/>
      <c r="Y160" s="414"/>
      <c r="Z160" s="413"/>
    </row>
    <row r="161" spans="1:26" s="36" customFormat="1" x14ac:dyDescent="0.4">
      <c r="A161" s="16">
        <v>171370</v>
      </c>
      <c r="B161" s="694">
        <v>45</v>
      </c>
      <c r="C161" s="16">
        <f t="shared" si="23"/>
        <v>225</v>
      </c>
      <c r="D161" s="694">
        <v>0</v>
      </c>
      <c r="E161" s="694">
        <v>0</v>
      </c>
      <c r="F161" s="694">
        <v>0</v>
      </c>
      <c r="G161" s="694">
        <v>0</v>
      </c>
      <c r="H161" s="694">
        <v>0</v>
      </c>
      <c r="I161" s="694">
        <v>0</v>
      </c>
      <c r="J161" s="695">
        <f t="shared" si="20"/>
        <v>0</v>
      </c>
      <c r="K161" s="695">
        <f t="shared" si="21"/>
        <v>0</v>
      </c>
      <c r="L161" s="694">
        <f t="shared" si="22"/>
        <v>0</v>
      </c>
      <c r="M161" s="16" t="s">
        <v>2065</v>
      </c>
      <c r="N161" s="16" t="s">
        <v>2066</v>
      </c>
      <c r="R161" s="413"/>
      <c r="S161" s="413"/>
      <c r="T161" s="2040"/>
      <c r="U161" s="2040"/>
      <c r="V161" s="2040"/>
      <c r="W161" s="413"/>
      <c r="X161" s="414"/>
      <c r="Y161" s="414"/>
      <c r="Z161" s="413"/>
    </row>
    <row r="162" spans="1:26" s="36" customFormat="1" x14ac:dyDescent="0.4">
      <c r="A162" s="16">
        <v>171371</v>
      </c>
      <c r="B162" s="778">
        <v>45</v>
      </c>
      <c r="C162" s="16">
        <f t="shared" si="23"/>
        <v>225</v>
      </c>
      <c r="D162" s="778">
        <v>0</v>
      </c>
      <c r="E162" s="778">
        <v>0</v>
      </c>
      <c r="F162" s="778">
        <v>0</v>
      </c>
      <c r="G162" s="778">
        <v>0</v>
      </c>
      <c r="H162" s="778">
        <v>0</v>
      </c>
      <c r="I162" s="778">
        <v>0</v>
      </c>
      <c r="J162" s="779">
        <f t="shared" si="20"/>
        <v>0</v>
      </c>
      <c r="K162" s="779">
        <f t="shared" si="21"/>
        <v>0</v>
      </c>
      <c r="L162" s="778">
        <f t="shared" si="22"/>
        <v>0</v>
      </c>
      <c r="M162" s="16" t="s">
        <v>2065</v>
      </c>
      <c r="N162" s="16" t="s">
        <v>2066</v>
      </c>
      <c r="R162" s="413"/>
      <c r="S162" s="413"/>
      <c r="T162" s="2040"/>
      <c r="U162" s="2040"/>
      <c r="V162" s="2040"/>
      <c r="W162" s="413"/>
      <c r="X162" s="414"/>
      <c r="Y162" s="414"/>
      <c r="Z162" s="413"/>
    </row>
    <row r="163" spans="1:26" s="36" customFormat="1" x14ac:dyDescent="0.4">
      <c r="A163" s="16">
        <v>171372</v>
      </c>
      <c r="B163" s="1252">
        <v>45</v>
      </c>
      <c r="C163" s="16">
        <f t="shared" si="23"/>
        <v>225</v>
      </c>
      <c r="D163" s="1252">
        <v>0</v>
      </c>
      <c r="E163" s="1252">
        <v>0</v>
      </c>
      <c r="F163" s="1252">
        <v>0</v>
      </c>
      <c r="G163" s="1252">
        <v>0</v>
      </c>
      <c r="H163" s="1252">
        <v>0</v>
      </c>
      <c r="I163" s="1252">
        <v>0</v>
      </c>
      <c r="J163" s="1254">
        <f t="shared" si="20"/>
        <v>0</v>
      </c>
      <c r="K163" s="1254">
        <f t="shared" si="21"/>
        <v>0</v>
      </c>
      <c r="L163" s="1252">
        <f t="shared" si="22"/>
        <v>0</v>
      </c>
      <c r="M163" s="16" t="s">
        <v>2067</v>
      </c>
      <c r="N163" s="16" t="s">
        <v>2068</v>
      </c>
      <c r="R163" s="413"/>
      <c r="S163" s="413"/>
      <c r="T163" s="2040"/>
      <c r="U163" s="2040"/>
      <c r="V163" s="2040"/>
      <c r="W163" s="413"/>
      <c r="X163" s="414"/>
      <c r="Y163" s="414"/>
      <c r="Z163" s="413"/>
    </row>
    <row r="164" spans="1:26" s="36" customFormat="1" x14ac:dyDescent="0.4">
      <c r="A164" s="16">
        <v>171373</v>
      </c>
      <c r="B164" s="1252">
        <v>60</v>
      </c>
      <c r="C164" s="16">
        <f t="shared" si="23"/>
        <v>300</v>
      </c>
      <c r="D164" s="1252">
        <v>0</v>
      </c>
      <c r="E164" s="1252">
        <v>0</v>
      </c>
      <c r="F164" s="1252">
        <v>0</v>
      </c>
      <c r="G164" s="1252">
        <v>0</v>
      </c>
      <c r="H164" s="1252">
        <v>0</v>
      </c>
      <c r="I164" s="1252">
        <v>0</v>
      </c>
      <c r="J164" s="1254">
        <f t="shared" si="20"/>
        <v>0</v>
      </c>
      <c r="K164" s="1254">
        <f t="shared" si="21"/>
        <v>0</v>
      </c>
      <c r="L164" s="1252">
        <f t="shared" si="22"/>
        <v>0</v>
      </c>
      <c r="M164" s="16" t="s">
        <v>2067</v>
      </c>
      <c r="N164" s="16" t="s">
        <v>2068</v>
      </c>
      <c r="R164" s="413"/>
      <c r="S164" s="413"/>
      <c r="T164" s="2040"/>
      <c r="U164" s="2040"/>
      <c r="V164" s="2040"/>
      <c r="W164" s="413"/>
      <c r="X164" s="414"/>
      <c r="Y164" s="414"/>
      <c r="Z164" s="413"/>
    </row>
    <row r="165" spans="1:26" s="36" customFormat="1" x14ac:dyDescent="0.4">
      <c r="A165" s="16">
        <v>171374</v>
      </c>
      <c r="B165" s="1252">
        <v>60</v>
      </c>
      <c r="C165" s="16">
        <f t="shared" si="23"/>
        <v>300</v>
      </c>
      <c r="D165" s="1252">
        <v>0</v>
      </c>
      <c r="E165" s="1252">
        <v>0</v>
      </c>
      <c r="F165" s="1252">
        <v>0</v>
      </c>
      <c r="G165" s="1252">
        <v>0</v>
      </c>
      <c r="H165" s="1252">
        <v>0</v>
      </c>
      <c r="I165" s="1252">
        <v>0</v>
      </c>
      <c r="J165" s="1254">
        <f t="shared" si="20"/>
        <v>0</v>
      </c>
      <c r="K165" s="1254">
        <f t="shared" si="21"/>
        <v>0</v>
      </c>
      <c r="L165" s="1252">
        <f t="shared" si="22"/>
        <v>0</v>
      </c>
      <c r="M165" s="16" t="s">
        <v>2067</v>
      </c>
      <c r="N165" s="16" t="s">
        <v>2068</v>
      </c>
      <c r="R165" s="413"/>
      <c r="S165" s="413"/>
      <c r="T165" s="2040"/>
      <c r="U165" s="2040"/>
      <c r="V165" s="2040"/>
      <c r="W165" s="413"/>
      <c r="X165" s="414"/>
      <c r="Y165" s="414"/>
      <c r="Z165" s="413"/>
    </row>
    <row r="166" spans="1:26" s="36" customFormat="1" x14ac:dyDescent="0.4">
      <c r="A166" s="16">
        <v>171375</v>
      </c>
      <c r="B166" s="1252">
        <v>45</v>
      </c>
      <c r="C166" s="16">
        <f t="shared" si="23"/>
        <v>225</v>
      </c>
      <c r="D166" s="1252">
        <v>0</v>
      </c>
      <c r="E166" s="1252">
        <v>0</v>
      </c>
      <c r="F166" s="1252">
        <v>0</v>
      </c>
      <c r="G166" s="1252">
        <v>0</v>
      </c>
      <c r="H166" s="1252">
        <v>0</v>
      </c>
      <c r="I166" s="1252">
        <v>0</v>
      </c>
      <c r="J166" s="1254">
        <f t="shared" si="20"/>
        <v>0</v>
      </c>
      <c r="K166" s="1254">
        <f t="shared" si="21"/>
        <v>0</v>
      </c>
      <c r="L166" s="1252">
        <f t="shared" si="22"/>
        <v>0</v>
      </c>
      <c r="M166" s="16" t="s">
        <v>2069</v>
      </c>
      <c r="N166" s="16" t="s">
        <v>2070</v>
      </c>
      <c r="O166" s="36" t="s">
        <v>3172</v>
      </c>
      <c r="R166" s="413"/>
      <c r="S166" s="413"/>
      <c r="T166" s="2040"/>
      <c r="U166" s="2040"/>
      <c r="V166" s="2040"/>
      <c r="W166" s="413"/>
      <c r="X166" s="414"/>
      <c r="Y166" s="414"/>
      <c r="Z166" s="413"/>
    </row>
    <row r="167" spans="1:26" s="36" customFormat="1" x14ac:dyDescent="0.4">
      <c r="A167" s="16">
        <v>171376</v>
      </c>
      <c r="B167" s="776">
        <v>60</v>
      </c>
      <c r="C167" s="16">
        <f t="shared" si="23"/>
        <v>300</v>
      </c>
      <c r="D167" s="776">
        <v>0</v>
      </c>
      <c r="E167" s="776">
        <v>0</v>
      </c>
      <c r="F167" s="776">
        <v>0</v>
      </c>
      <c r="G167" s="776">
        <v>0</v>
      </c>
      <c r="H167" s="776">
        <v>0</v>
      </c>
      <c r="I167" s="776">
        <v>0</v>
      </c>
      <c r="J167" s="777">
        <f t="shared" si="20"/>
        <v>0</v>
      </c>
      <c r="K167" s="777">
        <f t="shared" si="21"/>
        <v>0</v>
      </c>
      <c r="L167" s="776">
        <f t="shared" si="22"/>
        <v>0</v>
      </c>
      <c r="M167" s="16" t="s">
        <v>2071</v>
      </c>
      <c r="N167" s="16" t="s">
        <v>2072</v>
      </c>
      <c r="R167" s="413"/>
      <c r="S167" s="413"/>
      <c r="T167" s="2040"/>
      <c r="U167" s="2040"/>
      <c r="V167" s="2040"/>
      <c r="W167" s="413"/>
      <c r="X167" s="414"/>
      <c r="Y167" s="414"/>
      <c r="Z167" s="413"/>
    </row>
    <row r="168" spans="1:26" s="36" customFormat="1" x14ac:dyDescent="0.4">
      <c r="A168" s="16">
        <v>171377</v>
      </c>
      <c r="B168" s="809">
        <v>45</v>
      </c>
      <c r="C168" s="16">
        <f t="shared" si="23"/>
        <v>225</v>
      </c>
      <c r="D168" s="809">
        <v>0</v>
      </c>
      <c r="E168" s="809">
        <v>0</v>
      </c>
      <c r="F168" s="809">
        <v>0</v>
      </c>
      <c r="G168" s="809">
        <v>0</v>
      </c>
      <c r="H168" s="809">
        <v>0</v>
      </c>
      <c r="I168" s="809">
        <v>0</v>
      </c>
      <c r="J168" s="810">
        <f t="shared" si="20"/>
        <v>0</v>
      </c>
      <c r="K168" s="810">
        <f t="shared" si="21"/>
        <v>0</v>
      </c>
      <c r="L168" s="809">
        <f t="shared" si="22"/>
        <v>0</v>
      </c>
      <c r="M168" s="16" t="s">
        <v>2073</v>
      </c>
      <c r="N168" s="16" t="s">
        <v>2074</v>
      </c>
      <c r="R168" s="413"/>
      <c r="S168" s="413"/>
      <c r="T168" s="2040"/>
      <c r="U168" s="2040"/>
      <c r="V168" s="2040"/>
      <c r="W168" s="413"/>
      <c r="X168" s="414"/>
      <c r="Y168" s="414"/>
      <c r="Z168" s="413"/>
    </row>
    <row r="169" spans="1:26" s="36" customFormat="1" x14ac:dyDescent="0.4">
      <c r="A169" s="359">
        <v>171378</v>
      </c>
      <c r="B169" s="1203">
        <v>45</v>
      </c>
      <c r="C169" s="359">
        <f t="shared" si="23"/>
        <v>225</v>
      </c>
      <c r="D169" s="1203">
        <v>0</v>
      </c>
      <c r="E169" s="1203">
        <v>0</v>
      </c>
      <c r="F169" s="1203">
        <v>0</v>
      </c>
      <c r="G169" s="1203">
        <v>0</v>
      </c>
      <c r="H169" s="1203">
        <v>0</v>
      </c>
      <c r="I169" s="1203">
        <v>1</v>
      </c>
      <c r="J169" s="360">
        <f t="shared" si="20"/>
        <v>1</v>
      </c>
      <c r="K169" s="360">
        <f t="shared" si="21"/>
        <v>0</v>
      </c>
      <c r="L169" s="1203">
        <f t="shared" si="22"/>
        <v>0</v>
      </c>
      <c r="M169" s="359" t="s">
        <v>2075</v>
      </c>
      <c r="N169" s="359" t="s">
        <v>2076</v>
      </c>
      <c r="O169" s="359" t="s">
        <v>3115</v>
      </c>
      <c r="P169" s="359"/>
      <c r="R169" s="413"/>
      <c r="S169" s="413"/>
      <c r="T169" s="2040"/>
      <c r="U169" s="2040"/>
      <c r="V169" s="2040"/>
      <c r="W169" s="413"/>
      <c r="X169" s="414"/>
      <c r="Y169" s="414"/>
      <c r="Z169" s="413"/>
    </row>
    <row r="170" spans="1:26" s="36" customFormat="1" x14ac:dyDescent="0.4">
      <c r="A170" s="16">
        <v>171379</v>
      </c>
      <c r="B170" s="723">
        <v>45</v>
      </c>
      <c r="C170" s="16">
        <f t="shared" si="23"/>
        <v>225</v>
      </c>
      <c r="D170" s="723">
        <v>0</v>
      </c>
      <c r="E170" s="723">
        <v>0</v>
      </c>
      <c r="F170" s="723">
        <v>0</v>
      </c>
      <c r="G170" s="723">
        <v>0</v>
      </c>
      <c r="H170" s="723">
        <v>0</v>
      </c>
      <c r="I170" s="723">
        <v>0</v>
      </c>
      <c r="J170" s="724">
        <f t="shared" si="20"/>
        <v>0</v>
      </c>
      <c r="K170" s="724">
        <f t="shared" si="21"/>
        <v>0</v>
      </c>
      <c r="L170" s="723">
        <f t="shared" si="22"/>
        <v>0</v>
      </c>
      <c r="M170" s="16" t="s">
        <v>2077</v>
      </c>
      <c r="N170" s="16" t="s">
        <v>2078</v>
      </c>
      <c r="R170" s="413"/>
      <c r="S170" s="413"/>
      <c r="T170" s="2040"/>
      <c r="U170" s="2040"/>
      <c r="V170" s="2040"/>
      <c r="W170" s="413"/>
      <c r="X170" s="414"/>
      <c r="Y170" s="414"/>
      <c r="Z170" s="413"/>
    </row>
    <row r="171" spans="1:26" s="36" customFormat="1" x14ac:dyDescent="0.4">
      <c r="A171" s="16">
        <v>171380</v>
      </c>
      <c r="B171" s="661">
        <v>60</v>
      </c>
      <c r="C171" s="16">
        <f t="shared" ref="C171:C200" si="24">SUM(B171*5)</f>
        <v>300</v>
      </c>
      <c r="D171" s="661">
        <v>0</v>
      </c>
      <c r="E171" s="661">
        <v>0</v>
      </c>
      <c r="F171" s="661">
        <v>0</v>
      </c>
      <c r="G171" s="661">
        <v>0</v>
      </c>
      <c r="H171" s="661">
        <v>0</v>
      </c>
      <c r="I171" s="661">
        <v>0</v>
      </c>
      <c r="J171" s="662">
        <f t="shared" ref="J171:J200" si="25">SUM(D171:I171)</f>
        <v>0</v>
      </c>
      <c r="K171" s="662">
        <f t="shared" ref="K171:K200" si="26">SUM(D171:H171)</f>
        <v>0</v>
      </c>
      <c r="L171" s="661">
        <f t="shared" ref="L171:L200" si="27">B171*K171</f>
        <v>0</v>
      </c>
      <c r="M171" s="16" t="s">
        <v>2077</v>
      </c>
      <c r="N171" s="16" t="s">
        <v>2078</v>
      </c>
      <c r="R171" s="413"/>
      <c r="S171" s="413"/>
      <c r="T171" s="2040"/>
      <c r="U171" s="2040"/>
      <c r="V171" s="2040"/>
      <c r="W171" s="413"/>
      <c r="X171" s="414"/>
      <c r="Y171" s="414"/>
      <c r="Z171" s="413"/>
    </row>
    <row r="172" spans="1:26" s="36" customFormat="1" x14ac:dyDescent="0.4">
      <c r="A172" s="16">
        <v>171381</v>
      </c>
      <c r="B172" s="831">
        <v>45</v>
      </c>
      <c r="C172" s="16">
        <f t="shared" si="24"/>
        <v>225</v>
      </c>
      <c r="D172" s="831">
        <v>0</v>
      </c>
      <c r="E172" s="831">
        <v>0</v>
      </c>
      <c r="F172" s="831">
        <v>0</v>
      </c>
      <c r="G172" s="831">
        <v>0</v>
      </c>
      <c r="H172" s="831">
        <v>0</v>
      </c>
      <c r="I172" s="831">
        <v>0</v>
      </c>
      <c r="J172" s="832">
        <f t="shared" si="25"/>
        <v>0</v>
      </c>
      <c r="K172" s="832">
        <f t="shared" si="26"/>
        <v>0</v>
      </c>
      <c r="L172" s="831">
        <f t="shared" si="27"/>
        <v>0</v>
      </c>
      <c r="M172" s="16" t="s">
        <v>2079</v>
      </c>
      <c r="N172" s="16" t="s">
        <v>2080</v>
      </c>
      <c r="R172" s="413"/>
      <c r="S172" s="413"/>
      <c r="T172" s="2040"/>
      <c r="U172" s="2040"/>
      <c r="V172" s="2040"/>
      <c r="W172" s="413"/>
      <c r="X172" s="414"/>
      <c r="Y172" s="414"/>
      <c r="Z172" s="413"/>
    </row>
    <row r="173" spans="1:26" s="36" customFormat="1" x14ac:dyDescent="0.4">
      <c r="A173" s="16">
        <v>171382</v>
      </c>
      <c r="B173" s="645">
        <v>45</v>
      </c>
      <c r="C173" s="16">
        <f t="shared" si="24"/>
        <v>225</v>
      </c>
      <c r="D173" s="645">
        <v>0</v>
      </c>
      <c r="E173" s="645">
        <v>0</v>
      </c>
      <c r="F173" s="645">
        <v>0</v>
      </c>
      <c r="G173" s="645">
        <v>0</v>
      </c>
      <c r="H173" s="645">
        <v>0</v>
      </c>
      <c r="I173" s="645">
        <v>0</v>
      </c>
      <c r="J173" s="646">
        <f t="shared" si="25"/>
        <v>0</v>
      </c>
      <c r="K173" s="646">
        <f t="shared" si="26"/>
        <v>0</v>
      </c>
      <c r="L173" s="645">
        <f t="shared" si="27"/>
        <v>0</v>
      </c>
      <c r="M173" s="16" t="s">
        <v>2081</v>
      </c>
      <c r="N173" s="16" t="s">
        <v>2082</v>
      </c>
      <c r="R173" s="413"/>
      <c r="S173" s="413"/>
      <c r="T173" s="2040"/>
      <c r="U173" s="2040"/>
      <c r="V173" s="2040"/>
      <c r="W173" s="413"/>
      <c r="X173" s="414"/>
      <c r="Y173" s="414"/>
      <c r="Z173" s="413"/>
    </row>
    <row r="174" spans="1:26" s="36" customFormat="1" x14ac:dyDescent="0.4">
      <c r="A174" s="16">
        <v>171383</v>
      </c>
      <c r="B174" s="1169">
        <v>45</v>
      </c>
      <c r="C174" s="16">
        <f t="shared" si="24"/>
        <v>225</v>
      </c>
      <c r="D174" s="1169">
        <v>0</v>
      </c>
      <c r="E174" s="1169">
        <v>0</v>
      </c>
      <c r="F174" s="1169">
        <v>0</v>
      </c>
      <c r="G174" s="1169">
        <v>0</v>
      </c>
      <c r="H174" s="1169">
        <v>0</v>
      </c>
      <c r="I174" s="1169">
        <v>0</v>
      </c>
      <c r="J174" s="1170">
        <f t="shared" si="25"/>
        <v>0</v>
      </c>
      <c r="K174" s="1170">
        <f t="shared" si="26"/>
        <v>0</v>
      </c>
      <c r="L174" s="1169">
        <f t="shared" si="27"/>
        <v>0</v>
      </c>
      <c r="M174" s="16" t="s">
        <v>2083</v>
      </c>
      <c r="N174" s="16" t="s">
        <v>2084</v>
      </c>
      <c r="R174" s="413"/>
      <c r="S174" s="413"/>
      <c r="T174" s="2040"/>
      <c r="U174" s="2040"/>
      <c r="V174" s="2040"/>
      <c r="W174" s="413"/>
      <c r="X174" s="414"/>
      <c r="Y174" s="414"/>
      <c r="Z174" s="413"/>
    </row>
    <row r="175" spans="1:26" s="36" customFormat="1" x14ac:dyDescent="0.4">
      <c r="A175" s="1">
        <v>171384</v>
      </c>
      <c r="B175" s="1277">
        <v>50</v>
      </c>
      <c r="C175" s="1">
        <f t="shared" si="24"/>
        <v>250</v>
      </c>
      <c r="D175" s="1277">
        <v>0</v>
      </c>
      <c r="E175" s="1277">
        <v>0</v>
      </c>
      <c r="F175" s="1277">
        <v>0</v>
      </c>
      <c r="G175" s="1277">
        <v>0</v>
      </c>
      <c r="H175" s="1277">
        <v>1</v>
      </c>
      <c r="I175" s="1277">
        <v>1</v>
      </c>
      <c r="J175" s="140">
        <f t="shared" si="25"/>
        <v>2</v>
      </c>
      <c r="K175" s="140">
        <f t="shared" si="26"/>
        <v>1</v>
      </c>
      <c r="L175" s="1277">
        <f t="shared" si="27"/>
        <v>50</v>
      </c>
      <c r="M175" s="1" t="s">
        <v>2086</v>
      </c>
      <c r="N175" s="1" t="s">
        <v>2087</v>
      </c>
      <c r="R175" s="413"/>
      <c r="S175" s="413"/>
      <c r="T175" s="2040"/>
      <c r="U175" s="2040"/>
      <c r="V175" s="2040"/>
      <c r="W175" s="413"/>
      <c r="X175" s="414"/>
      <c r="Y175" s="414"/>
      <c r="Z175" s="413"/>
    </row>
    <row r="176" spans="1:26" s="36" customFormat="1" x14ac:dyDescent="0.4">
      <c r="A176" s="16">
        <v>171385</v>
      </c>
      <c r="B176" s="714">
        <v>60</v>
      </c>
      <c r="C176" s="16">
        <f t="shared" si="24"/>
        <v>300</v>
      </c>
      <c r="D176" s="714">
        <v>0</v>
      </c>
      <c r="E176" s="714">
        <v>0</v>
      </c>
      <c r="F176" s="714">
        <v>0</v>
      </c>
      <c r="G176" s="714">
        <v>0</v>
      </c>
      <c r="H176" s="714">
        <v>0</v>
      </c>
      <c r="I176" s="714">
        <v>0</v>
      </c>
      <c r="J176" s="715">
        <f t="shared" si="25"/>
        <v>0</v>
      </c>
      <c r="K176" s="715">
        <f t="shared" si="26"/>
        <v>0</v>
      </c>
      <c r="L176" s="714">
        <f t="shared" si="27"/>
        <v>0</v>
      </c>
      <c r="M176" s="16" t="s">
        <v>2086</v>
      </c>
      <c r="N176" s="16" t="s">
        <v>2087</v>
      </c>
      <c r="R176" s="413"/>
      <c r="S176" s="413"/>
      <c r="T176" s="2040"/>
      <c r="U176" s="2040"/>
      <c r="V176" s="2040"/>
      <c r="W176" s="413"/>
      <c r="X176" s="414"/>
      <c r="Y176" s="414"/>
      <c r="Z176" s="413"/>
    </row>
    <row r="177" spans="1:26" s="36" customFormat="1" x14ac:dyDescent="0.4">
      <c r="A177" s="16">
        <v>171386</v>
      </c>
      <c r="B177" s="770">
        <v>60</v>
      </c>
      <c r="C177" s="16">
        <f t="shared" si="24"/>
        <v>300</v>
      </c>
      <c r="D177" s="770">
        <v>0</v>
      </c>
      <c r="E177" s="770">
        <v>0</v>
      </c>
      <c r="F177" s="770">
        <v>0</v>
      </c>
      <c r="G177" s="770">
        <v>0</v>
      </c>
      <c r="H177" s="770">
        <v>0</v>
      </c>
      <c r="I177" s="770">
        <v>0</v>
      </c>
      <c r="J177" s="771">
        <f t="shared" si="25"/>
        <v>0</v>
      </c>
      <c r="K177" s="771">
        <f t="shared" si="26"/>
        <v>0</v>
      </c>
      <c r="L177" s="770">
        <f t="shared" si="27"/>
        <v>0</v>
      </c>
      <c r="M177" s="16" t="s">
        <v>2088</v>
      </c>
      <c r="N177" s="16" t="s">
        <v>2089</v>
      </c>
      <c r="R177" s="413"/>
      <c r="S177" s="413"/>
      <c r="T177" s="2040"/>
      <c r="U177" s="2040"/>
      <c r="V177" s="2040"/>
      <c r="W177" s="413"/>
      <c r="X177" s="414"/>
      <c r="Y177" s="414"/>
      <c r="Z177" s="413"/>
    </row>
    <row r="178" spans="1:26" s="36" customFormat="1" x14ac:dyDescent="0.4">
      <c r="A178" s="16">
        <v>171387</v>
      </c>
      <c r="B178" s="743">
        <v>45</v>
      </c>
      <c r="C178" s="16">
        <f t="shared" si="24"/>
        <v>225</v>
      </c>
      <c r="D178" s="743">
        <v>0</v>
      </c>
      <c r="E178" s="743">
        <v>0</v>
      </c>
      <c r="F178" s="743">
        <v>0</v>
      </c>
      <c r="G178" s="743">
        <v>0</v>
      </c>
      <c r="H178" s="743">
        <v>0</v>
      </c>
      <c r="I178" s="743">
        <v>0</v>
      </c>
      <c r="J178" s="744">
        <f t="shared" si="25"/>
        <v>0</v>
      </c>
      <c r="K178" s="744">
        <f t="shared" si="26"/>
        <v>0</v>
      </c>
      <c r="L178" s="743">
        <f t="shared" si="27"/>
        <v>0</v>
      </c>
      <c r="M178" s="16" t="s">
        <v>2090</v>
      </c>
      <c r="N178" s="16" t="s">
        <v>2091</v>
      </c>
      <c r="R178" s="413"/>
      <c r="S178" s="413"/>
      <c r="T178" s="2040"/>
      <c r="U178" s="2040"/>
      <c r="V178" s="2040"/>
      <c r="W178" s="413"/>
      <c r="X178" s="414"/>
      <c r="Y178" s="414"/>
      <c r="Z178" s="413"/>
    </row>
    <row r="179" spans="1:26" s="36" customFormat="1" x14ac:dyDescent="0.4">
      <c r="A179" s="16">
        <v>171388</v>
      </c>
      <c r="B179" s="599">
        <v>45</v>
      </c>
      <c r="C179" s="16">
        <f t="shared" si="24"/>
        <v>225</v>
      </c>
      <c r="D179" s="599">
        <v>0</v>
      </c>
      <c r="E179" s="599">
        <v>0</v>
      </c>
      <c r="F179" s="599">
        <v>0</v>
      </c>
      <c r="G179" s="599">
        <v>0</v>
      </c>
      <c r="H179" s="599">
        <v>0</v>
      </c>
      <c r="I179" s="599">
        <v>0</v>
      </c>
      <c r="J179" s="600">
        <f t="shared" si="25"/>
        <v>0</v>
      </c>
      <c r="K179" s="600">
        <f t="shared" si="26"/>
        <v>0</v>
      </c>
      <c r="L179" s="599">
        <f t="shared" si="27"/>
        <v>0</v>
      </c>
      <c r="M179" s="16" t="s">
        <v>2093</v>
      </c>
      <c r="N179" s="16" t="s">
        <v>2094</v>
      </c>
      <c r="R179" s="413"/>
      <c r="S179" s="413"/>
      <c r="T179" s="2040"/>
      <c r="U179" s="2040"/>
      <c r="V179" s="2040"/>
      <c r="W179" s="413"/>
      <c r="X179" s="414"/>
      <c r="Y179" s="414"/>
      <c r="Z179" s="413"/>
    </row>
    <row r="180" spans="1:26" s="36" customFormat="1" x14ac:dyDescent="0.4">
      <c r="A180" s="1">
        <v>171389</v>
      </c>
      <c r="B180" s="1277">
        <v>45</v>
      </c>
      <c r="C180" s="1">
        <f t="shared" si="24"/>
        <v>225</v>
      </c>
      <c r="D180" s="1277">
        <v>0</v>
      </c>
      <c r="E180" s="1277">
        <v>0</v>
      </c>
      <c r="F180" s="1277">
        <v>1</v>
      </c>
      <c r="G180" s="1277">
        <v>1</v>
      </c>
      <c r="H180" s="1277">
        <v>1</v>
      </c>
      <c r="I180" s="1277">
        <v>1</v>
      </c>
      <c r="J180" s="140">
        <f t="shared" si="25"/>
        <v>4</v>
      </c>
      <c r="K180" s="140">
        <f t="shared" si="26"/>
        <v>3</v>
      </c>
      <c r="L180" s="1277">
        <f t="shared" si="27"/>
        <v>135</v>
      </c>
      <c r="M180" s="1" t="s">
        <v>2093</v>
      </c>
      <c r="N180" s="1" t="s">
        <v>2094</v>
      </c>
      <c r="R180" s="413"/>
      <c r="S180" s="413"/>
      <c r="T180" s="2040"/>
      <c r="U180" s="2040"/>
      <c r="V180" s="2040"/>
      <c r="W180" s="413"/>
      <c r="X180" s="414"/>
      <c r="Y180" s="414"/>
      <c r="Z180" s="413"/>
    </row>
    <row r="181" spans="1:26" s="36" customFormat="1" x14ac:dyDescent="0.4">
      <c r="A181" s="1">
        <v>171390</v>
      </c>
      <c r="B181" s="1277">
        <v>45</v>
      </c>
      <c r="C181" s="1">
        <f t="shared" si="24"/>
        <v>225</v>
      </c>
      <c r="D181" s="1277">
        <v>0</v>
      </c>
      <c r="E181" s="1277">
        <v>0</v>
      </c>
      <c r="F181" s="1277">
        <v>0</v>
      </c>
      <c r="G181" s="1277">
        <v>1</v>
      </c>
      <c r="H181" s="1277">
        <v>1</v>
      </c>
      <c r="I181" s="1277">
        <v>1</v>
      </c>
      <c r="J181" s="140">
        <f t="shared" si="25"/>
        <v>3</v>
      </c>
      <c r="K181" s="140">
        <f t="shared" si="26"/>
        <v>2</v>
      </c>
      <c r="L181" s="1277">
        <f t="shared" si="27"/>
        <v>90</v>
      </c>
      <c r="M181" s="1" t="s">
        <v>2095</v>
      </c>
      <c r="N181" s="1" t="s">
        <v>2096</v>
      </c>
      <c r="R181" s="413"/>
      <c r="S181" s="413"/>
      <c r="T181" s="2040"/>
      <c r="U181" s="2040"/>
      <c r="V181" s="2040"/>
      <c r="W181" s="413"/>
      <c r="X181" s="414"/>
      <c r="Y181" s="414"/>
      <c r="Z181" s="413"/>
    </row>
    <row r="182" spans="1:26" s="36" customFormat="1" x14ac:dyDescent="0.4">
      <c r="A182" s="16">
        <v>171391</v>
      </c>
      <c r="B182" s="813">
        <v>88</v>
      </c>
      <c r="C182" s="16">
        <f t="shared" si="24"/>
        <v>440</v>
      </c>
      <c r="D182" s="813">
        <v>0</v>
      </c>
      <c r="E182" s="813">
        <v>0</v>
      </c>
      <c r="F182" s="813">
        <v>0</v>
      </c>
      <c r="G182" s="813">
        <v>0</v>
      </c>
      <c r="H182" s="813">
        <v>0</v>
      </c>
      <c r="I182" s="813">
        <v>0</v>
      </c>
      <c r="J182" s="814">
        <f t="shared" si="25"/>
        <v>0</v>
      </c>
      <c r="K182" s="814">
        <f t="shared" si="26"/>
        <v>0</v>
      </c>
      <c r="L182" s="813">
        <f t="shared" si="27"/>
        <v>0</v>
      </c>
      <c r="M182" s="16" t="s">
        <v>2097</v>
      </c>
      <c r="N182" s="16" t="s">
        <v>2098</v>
      </c>
      <c r="R182" s="413"/>
      <c r="S182" s="413"/>
      <c r="T182" s="2040"/>
      <c r="U182" s="2040"/>
      <c r="V182" s="2040"/>
      <c r="W182" s="413"/>
      <c r="X182" s="414"/>
      <c r="Y182" s="414"/>
      <c r="Z182" s="413"/>
    </row>
    <row r="183" spans="1:26" s="36" customFormat="1" x14ac:dyDescent="0.4">
      <c r="A183" s="16">
        <v>171392</v>
      </c>
      <c r="B183" s="914">
        <v>45</v>
      </c>
      <c r="C183" s="16">
        <f t="shared" si="24"/>
        <v>225</v>
      </c>
      <c r="D183" s="914">
        <v>0</v>
      </c>
      <c r="E183" s="914">
        <v>0</v>
      </c>
      <c r="F183" s="914">
        <v>0</v>
      </c>
      <c r="G183" s="914">
        <v>0</v>
      </c>
      <c r="H183" s="914">
        <v>0</v>
      </c>
      <c r="I183" s="914">
        <v>0</v>
      </c>
      <c r="J183" s="915">
        <f t="shared" si="25"/>
        <v>0</v>
      </c>
      <c r="K183" s="915">
        <f t="shared" si="26"/>
        <v>0</v>
      </c>
      <c r="L183" s="914">
        <f t="shared" si="27"/>
        <v>0</v>
      </c>
      <c r="M183" s="16" t="s">
        <v>2099</v>
      </c>
      <c r="N183" s="16" t="s">
        <v>2100</v>
      </c>
      <c r="R183" s="413"/>
      <c r="S183" s="413"/>
      <c r="T183" s="2040"/>
      <c r="U183" s="2040"/>
      <c r="V183" s="2040"/>
      <c r="W183" s="413"/>
      <c r="X183" s="414"/>
      <c r="Y183" s="414"/>
      <c r="Z183" s="413"/>
    </row>
    <row r="184" spans="1:26" s="36" customFormat="1" x14ac:dyDescent="0.4">
      <c r="A184" s="1">
        <v>171393</v>
      </c>
      <c r="B184" s="1277">
        <v>90</v>
      </c>
      <c r="C184" s="1">
        <f t="shared" si="24"/>
        <v>450</v>
      </c>
      <c r="D184" s="1277">
        <v>0</v>
      </c>
      <c r="E184" s="1277">
        <v>0</v>
      </c>
      <c r="F184" s="1277">
        <v>0</v>
      </c>
      <c r="G184" s="1277">
        <v>1</v>
      </c>
      <c r="H184" s="1277">
        <v>1</v>
      </c>
      <c r="I184" s="1277">
        <v>1</v>
      </c>
      <c r="J184" s="140">
        <f t="shared" si="25"/>
        <v>3</v>
      </c>
      <c r="K184" s="140">
        <f t="shared" si="26"/>
        <v>2</v>
      </c>
      <c r="L184" s="1277">
        <f t="shared" si="27"/>
        <v>180</v>
      </c>
      <c r="M184" s="1" t="s">
        <v>2099</v>
      </c>
      <c r="N184" s="1" t="s">
        <v>2100</v>
      </c>
      <c r="R184" s="413"/>
      <c r="S184" s="413"/>
      <c r="T184" s="2040"/>
      <c r="U184" s="2040"/>
      <c r="V184" s="2040"/>
      <c r="W184" s="413"/>
      <c r="X184" s="414"/>
      <c r="Y184" s="414"/>
      <c r="Z184" s="413"/>
    </row>
    <row r="185" spans="1:26" s="36" customFormat="1" x14ac:dyDescent="0.4">
      <c r="A185" s="16">
        <v>171394</v>
      </c>
      <c r="B185" s="910">
        <v>45</v>
      </c>
      <c r="C185" s="16">
        <f t="shared" si="24"/>
        <v>225</v>
      </c>
      <c r="D185" s="910">
        <v>0</v>
      </c>
      <c r="E185" s="910">
        <v>0</v>
      </c>
      <c r="F185" s="910">
        <v>0</v>
      </c>
      <c r="G185" s="910">
        <v>0</v>
      </c>
      <c r="H185" s="910">
        <v>0</v>
      </c>
      <c r="I185" s="910">
        <v>0</v>
      </c>
      <c r="J185" s="911">
        <f t="shared" si="25"/>
        <v>0</v>
      </c>
      <c r="K185" s="911">
        <f t="shared" si="26"/>
        <v>0</v>
      </c>
      <c r="L185" s="910">
        <f t="shared" si="27"/>
        <v>0</v>
      </c>
      <c r="M185" s="16" t="s">
        <v>2101</v>
      </c>
      <c r="N185" s="16" t="s">
        <v>2102</v>
      </c>
      <c r="R185" s="413"/>
      <c r="S185" s="413"/>
      <c r="T185" s="2040"/>
      <c r="U185" s="2040"/>
      <c r="V185" s="2040"/>
      <c r="W185" s="413"/>
      <c r="X185" s="414"/>
      <c r="Y185" s="414"/>
      <c r="Z185" s="413"/>
    </row>
    <row r="186" spans="1:26" s="36" customFormat="1" x14ac:dyDescent="0.4">
      <c r="A186" s="1">
        <v>171395</v>
      </c>
      <c r="B186" s="1277">
        <v>60</v>
      </c>
      <c r="C186" s="1">
        <f t="shared" si="24"/>
        <v>300</v>
      </c>
      <c r="D186" s="1277">
        <v>0</v>
      </c>
      <c r="E186" s="1277">
        <v>0</v>
      </c>
      <c r="F186" s="1277">
        <v>0</v>
      </c>
      <c r="G186" s="1277">
        <v>0</v>
      </c>
      <c r="H186" s="1277">
        <v>0</v>
      </c>
      <c r="I186" s="1277">
        <v>1</v>
      </c>
      <c r="J186" s="140">
        <f t="shared" si="25"/>
        <v>1</v>
      </c>
      <c r="K186" s="140">
        <f t="shared" si="26"/>
        <v>0</v>
      </c>
      <c r="L186" s="1277">
        <f t="shared" si="27"/>
        <v>0</v>
      </c>
      <c r="M186" s="1" t="s">
        <v>2103</v>
      </c>
      <c r="N186" s="1" t="s">
        <v>2104</v>
      </c>
      <c r="R186" s="413"/>
      <c r="S186" s="413"/>
      <c r="T186" s="2040"/>
      <c r="U186" s="2040"/>
      <c r="V186" s="2040"/>
      <c r="W186" s="413"/>
      <c r="X186" s="414"/>
      <c r="Y186" s="414"/>
      <c r="Z186" s="413"/>
    </row>
    <row r="187" spans="1:26" s="36" customFormat="1" x14ac:dyDescent="0.4">
      <c r="A187" s="16">
        <v>171396</v>
      </c>
      <c r="B187" s="718">
        <v>60</v>
      </c>
      <c r="C187" s="16">
        <f t="shared" si="24"/>
        <v>300</v>
      </c>
      <c r="D187" s="718">
        <v>0</v>
      </c>
      <c r="E187" s="718">
        <v>0</v>
      </c>
      <c r="F187" s="718">
        <v>0</v>
      </c>
      <c r="G187" s="718">
        <v>0</v>
      </c>
      <c r="H187" s="718">
        <v>0</v>
      </c>
      <c r="I187" s="718">
        <v>0</v>
      </c>
      <c r="J187" s="719">
        <f t="shared" si="25"/>
        <v>0</v>
      </c>
      <c r="K187" s="719">
        <f t="shared" si="26"/>
        <v>0</v>
      </c>
      <c r="L187" s="718">
        <f t="shared" si="27"/>
        <v>0</v>
      </c>
      <c r="M187" s="16" t="s">
        <v>2103</v>
      </c>
      <c r="N187" s="16" t="s">
        <v>2104</v>
      </c>
      <c r="R187" s="413"/>
      <c r="S187" s="413"/>
      <c r="T187" s="2040"/>
      <c r="U187" s="2040"/>
      <c r="V187" s="2040"/>
      <c r="W187" s="413"/>
      <c r="X187" s="414"/>
      <c r="Y187" s="414"/>
      <c r="Z187" s="413"/>
    </row>
    <row r="188" spans="1:26" s="36" customFormat="1" x14ac:dyDescent="0.4">
      <c r="A188" s="16">
        <v>171397</v>
      </c>
      <c r="B188" s="687">
        <v>45</v>
      </c>
      <c r="C188" s="16">
        <f t="shared" si="24"/>
        <v>225</v>
      </c>
      <c r="D188" s="687">
        <v>0</v>
      </c>
      <c r="E188" s="687">
        <v>0</v>
      </c>
      <c r="F188" s="687">
        <v>0</v>
      </c>
      <c r="G188" s="687">
        <v>0</v>
      </c>
      <c r="H188" s="687">
        <v>0</v>
      </c>
      <c r="I188" s="687">
        <v>0</v>
      </c>
      <c r="J188" s="688">
        <f t="shared" si="25"/>
        <v>0</v>
      </c>
      <c r="K188" s="688">
        <f t="shared" si="26"/>
        <v>0</v>
      </c>
      <c r="L188" s="687">
        <f t="shared" si="27"/>
        <v>0</v>
      </c>
      <c r="M188" s="16" t="s">
        <v>2103</v>
      </c>
      <c r="N188" s="16" t="s">
        <v>2104</v>
      </c>
      <c r="R188" s="413"/>
      <c r="S188" s="413"/>
      <c r="T188" s="2040"/>
      <c r="U188" s="2040"/>
      <c r="V188" s="2040"/>
      <c r="W188" s="413"/>
      <c r="X188" s="414"/>
      <c r="Y188" s="414"/>
      <c r="Z188" s="413"/>
    </row>
    <row r="189" spans="1:26" s="36" customFormat="1" x14ac:dyDescent="0.4">
      <c r="A189" s="16">
        <v>171398</v>
      </c>
      <c r="B189" s="1259">
        <v>60</v>
      </c>
      <c r="C189" s="16">
        <f t="shared" si="24"/>
        <v>300</v>
      </c>
      <c r="D189" s="1259">
        <v>0</v>
      </c>
      <c r="E189" s="1259">
        <v>0</v>
      </c>
      <c r="F189" s="1259">
        <v>0</v>
      </c>
      <c r="G189" s="1259">
        <v>0</v>
      </c>
      <c r="H189" s="1259">
        <v>0</v>
      </c>
      <c r="I189" s="1259">
        <v>0</v>
      </c>
      <c r="J189" s="1260">
        <f t="shared" si="25"/>
        <v>0</v>
      </c>
      <c r="K189" s="1260">
        <f t="shared" si="26"/>
        <v>0</v>
      </c>
      <c r="L189" s="1259">
        <f t="shared" si="27"/>
        <v>0</v>
      </c>
      <c r="M189" s="16" t="s">
        <v>2103</v>
      </c>
      <c r="N189" s="16" t="s">
        <v>2104</v>
      </c>
      <c r="R189" s="413"/>
      <c r="S189" s="413"/>
      <c r="T189" s="2040"/>
      <c r="U189" s="2040"/>
      <c r="V189" s="2040"/>
      <c r="W189" s="413"/>
      <c r="X189" s="414"/>
      <c r="Y189" s="414"/>
      <c r="Z189" s="413"/>
    </row>
    <row r="190" spans="1:26" s="36" customFormat="1" x14ac:dyDescent="0.4">
      <c r="A190" s="16">
        <v>171399</v>
      </c>
      <c r="B190" s="985">
        <v>45</v>
      </c>
      <c r="C190" s="16">
        <f t="shared" si="24"/>
        <v>225</v>
      </c>
      <c r="D190" s="985">
        <v>0</v>
      </c>
      <c r="E190" s="985">
        <v>0</v>
      </c>
      <c r="F190" s="985">
        <v>0</v>
      </c>
      <c r="G190" s="985">
        <v>0</v>
      </c>
      <c r="H190" s="985">
        <v>0</v>
      </c>
      <c r="I190" s="985">
        <v>0</v>
      </c>
      <c r="J190" s="986">
        <f t="shared" si="25"/>
        <v>0</v>
      </c>
      <c r="K190" s="986">
        <f t="shared" si="26"/>
        <v>0</v>
      </c>
      <c r="L190" s="985">
        <f t="shared" si="27"/>
        <v>0</v>
      </c>
      <c r="M190" s="16" t="s">
        <v>2105</v>
      </c>
      <c r="N190" s="16" t="s">
        <v>2106</v>
      </c>
      <c r="R190" s="413"/>
      <c r="S190" s="413"/>
      <c r="T190" s="2040"/>
      <c r="U190" s="2040"/>
      <c r="V190" s="2040"/>
      <c r="W190" s="413"/>
      <c r="X190" s="414"/>
      <c r="Y190" s="414"/>
      <c r="Z190" s="413"/>
    </row>
    <row r="191" spans="1:26" s="36" customFormat="1" x14ac:dyDescent="0.4">
      <c r="A191" s="16">
        <v>171400</v>
      </c>
      <c r="B191" s="1111">
        <v>45</v>
      </c>
      <c r="C191" s="16">
        <f t="shared" si="24"/>
        <v>225</v>
      </c>
      <c r="D191" s="1111">
        <v>0</v>
      </c>
      <c r="E191" s="1111">
        <v>0</v>
      </c>
      <c r="F191" s="1111">
        <v>0</v>
      </c>
      <c r="G191" s="1111">
        <v>0</v>
      </c>
      <c r="H191" s="1111">
        <v>0</v>
      </c>
      <c r="I191" s="1111">
        <v>0</v>
      </c>
      <c r="J191" s="1112">
        <f t="shared" si="25"/>
        <v>0</v>
      </c>
      <c r="K191" s="1112">
        <f t="shared" si="26"/>
        <v>0</v>
      </c>
      <c r="L191" s="1111">
        <f t="shared" si="27"/>
        <v>0</v>
      </c>
      <c r="M191" s="16" t="s">
        <v>2107</v>
      </c>
      <c r="N191" s="16" t="s">
        <v>2108</v>
      </c>
      <c r="R191" s="413"/>
      <c r="S191" s="413"/>
      <c r="T191" s="2040"/>
      <c r="U191" s="2040"/>
      <c r="V191" s="2040"/>
      <c r="W191" s="413"/>
      <c r="X191" s="414"/>
      <c r="Y191" s="414"/>
      <c r="Z191" s="413"/>
    </row>
    <row r="192" spans="1:26" s="36" customFormat="1" x14ac:dyDescent="0.4">
      <c r="A192" s="16">
        <v>171401</v>
      </c>
      <c r="B192" s="1111">
        <v>45</v>
      </c>
      <c r="C192" s="16">
        <f t="shared" si="24"/>
        <v>225</v>
      </c>
      <c r="D192" s="1111">
        <v>0</v>
      </c>
      <c r="E192" s="1111">
        <v>0</v>
      </c>
      <c r="F192" s="1111">
        <v>0</v>
      </c>
      <c r="G192" s="1111">
        <v>0</v>
      </c>
      <c r="H192" s="1111">
        <v>0</v>
      </c>
      <c r="I192" s="1111">
        <v>0</v>
      </c>
      <c r="J192" s="1112">
        <f t="shared" si="25"/>
        <v>0</v>
      </c>
      <c r="K192" s="1112">
        <f t="shared" si="26"/>
        <v>0</v>
      </c>
      <c r="L192" s="1111">
        <f t="shared" si="27"/>
        <v>0</v>
      </c>
      <c r="M192" s="16" t="s">
        <v>2107</v>
      </c>
      <c r="N192" s="16" t="s">
        <v>2108</v>
      </c>
      <c r="R192" s="413"/>
      <c r="S192" s="413"/>
      <c r="T192" s="2040"/>
      <c r="U192" s="2040"/>
      <c r="V192" s="2040"/>
      <c r="W192" s="413"/>
      <c r="X192" s="414"/>
      <c r="Y192" s="414"/>
      <c r="Z192" s="413"/>
    </row>
    <row r="193" spans="1:26" s="36" customFormat="1" x14ac:dyDescent="0.4">
      <c r="A193" s="16">
        <v>171402</v>
      </c>
      <c r="B193" s="884">
        <v>60</v>
      </c>
      <c r="C193" s="16">
        <f t="shared" si="24"/>
        <v>300</v>
      </c>
      <c r="D193" s="884">
        <v>0</v>
      </c>
      <c r="E193" s="884">
        <v>0</v>
      </c>
      <c r="F193" s="884">
        <v>0</v>
      </c>
      <c r="G193" s="884">
        <v>0</v>
      </c>
      <c r="H193" s="884">
        <v>0</v>
      </c>
      <c r="I193" s="884">
        <v>0</v>
      </c>
      <c r="J193" s="885">
        <f t="shared" si="25"/>
        <v>0</v>
      </c>
      <c r="K193" s="885">
        <f t="shared" si="26"/>
        <v>0</v>
      </c>
      <c r="L193" s="884">
        <f t="shared" si="27"/>
        <v>0</v>
      </c>
      <c r="M193" s="16" t="s">
        <v>2109</v>
      </c>
      <c r="N193" s="16" t="s">
        <v>2110</v>
      </c>
      <c r="R193" s="413"/>
      <c r="S193" s="413"/>
      <c r="T193" s="2040"/>
      <c r="U193" s="2040"/>
      <c r="V193" s="2040"/>
      <c r="W193" s="413"/>
      <c r="X193" s="414"/>
      <c r="Y193" s="414"/>
      <c r="Z193" s="413"/>
    </row>
    <row r="194" spans="1:26" s="36" customFormat="1" x14ac:dyDescent="0.4">
      <c r="A194" s="16">
        <v>171403</v>
      </c>
      <c r="B194" s="780">
        <v>45</v>
      </c>
      <c r="C194" s="16">
        <f t="shared" si="24"/>
        <v>225</v>
      </c>
      <c r="D194" s="780">
        <v>0</v>
      </c>
      <c r="E194" s="780">
        <v>0</v>
      </c>
      <c r="F194" s="780">
        <v>0</v>
      </c>
      <c r="G194" s="780">
        <v>0</v>
      </c>
      <c r="H194" s="780">
        <v>0</v>
      </c>
      <c r="I194" s="780">
        <v>0</v>
      </c>
      <c r="J194" s="781">
        <f t="shared" si="25"/>
        <v>0</v>
      </c>
      <c r="K194" s="781">
        <f t="shared" si="26"/>
        <v>0</v>
      </c>
      <c r="L194" s="780">
        <f t="shared" si="27"/>
        <v>0</v>
      </c>
      <c r="M194" s="16" t="s">
        <v>2111</v>
      </c>
      <c r="N194" s="16" t="s">
        <v>2112</v>
      </c>
      <c r="R194" s="413"/>
      <c r="S194" s="413"/>
      <c r="T194" s="2040"/>
      <c r="U194" s="2040"/>
      <c r="V194" s="2040"/>
      <c r="W194" s="413"/>
      <c r="X194" s="414"/>
      <c r="Y194" s="414"/>
      <c r="Z194" s="413"/>
    </row>
    <row r="195" spans="1:26" s="36" customFormat="1" x14ac:dyDescent="0.4">
      <c r="A195" s="16">
        <v>171404</v>
      </c>
      <c r="B195" s="888">
        <v>45</v>
      </c>
      <c r="C195" s="16">
        <f t="shared" si="24"/>
        <v>225</v>
      </c>
      <c r="D195" s="888">
        <v>0</v>
      </c>
      <c r="E195" s="888">
        <v>0</v>
      </c>
      <c r="F195" s="888">
        <v>0</v>
      </c>
      <c r="G195" s="888">
        <v>0</v>
      </c>
      <c r="H195" s="888">
        <v>0</v>
      </c>
      <c r="I195" s="888">
        <v>0</v>
      </c>
      <c r="J195" s="889">
        <f t="shared" si="25"/>
        <v>0</v>
      </c>
      <c r="K195" s="889">
        <f t="shared" si="26"/>
        <v>0</v>
      </c>
      <c r="L195" s="888">
        <f t="shared" si="27"/>
        <v>0</v>
      </c>
      <c r="M195" s="16" t="s">
        <v>2111</v>
      </c>
      <c r="N195" s="16" t="s">
        <v>2112</v>
      </c>
      <c r="R195" s="413"/>
      <c r="S195" s="413"/>
      <c r="T195" s="2040"/>
      <c r="U195" s="2040"/>
      <c r="V195" s="2040"/>
      <c r="W195" s="413"/>
      <c r="X195" s="414"/>
      <c r="Y195" s="414"/>
      <c r="Z195" s="413"/>
    </row>
    <row r="196" spans="1:26" s="36" customFormat="1" x14ac:dyDescent="0.4">
      <c r="A196" s="1">
        <v>171405</v>
      </c>
      <c r="B196" s="1277">
        <v>50</v>
      </c>
      <c r="C196" s="1">
        <f t="shared" si="24"/>
        <v>250</v>
      </c>
      <c r="D196" s="1277">
        <v>0</v>
      </c>
      <c r="E196" s="1277">
        <v>0</v>
      </c>
      <c r="F196" s="1277">
        <v>0</v>
      </c>
      <c r="G196" s="1277">
        <v>0</v>
      </c>
      <c r="H196" s="1277">
        <v>0</v>
      </c>
      <c r="I196" s="1277">
        <v>1</v>
      </c>
      <c r="J196" s="140">
        <f t="shared" si="25"/>
        <v>1</v>
      </c>
      <c r="K196" s="140">
        <f t="shared" si="26"/>
        <v>0</v>
      </c>
      <c r="L196" s="1277">
        <f t="shared" si="27"/>
        <v>0</v>
      </c>
      <c r="M196" s="1" t="s">
        <v>2113</v>
      </c>
      <c r="N196" s="1" t="s">
        <v>2114</v>
      </c>
      <c r="R196" s="413"/>
      <c r="S196" s="413"/>
      <c r="T196" s="2040"/>
      <c r="U196" s="2040"/>
      <c r="V196" s="2040"/>
      <c r="W196" s="413"/>
      <c r="X196" s="414"/>
      <c r="Y196" s="414"/>
      <c r="Z196" s="413"/>
    </row>
    <row r="197" spans="1:26" s="36" customFormat="1" x14ac:dyDescent="0.4">
      <c r="A197" s="1">
        <v>171406</v>
      </c>
      <c r="B197" s="1277">
        <v>60</v>
      </c>
      <c r="C197" s="1">
        <f t="shared" si="24"/>
        <v>300</v>
      </c>
      <c r="D197" s="1277">
        <v>0</v>
      </c>
      <c r="E197" s="1277">
        <v>0</v>
      </c>
      <c r="F197" s="1277">
        <v>1</v>
      </c>
      <c r="G197" s="1277">
        <v>1</v>
      </c>
      <c r="H197" s="1277">
        <v>1</v>
      </c>
      <c r="I197" s="1277">
        <v>1</v>
      </c>
      <c r="J197" s="140">
        <f t="shared" si="25"/>
        <v>4</v>
      </c>
      <c r="K197" s="140">
        <f t="shared" si="26"/>
        <v>3</v>
      </c>
      <c r="L197" s="1277">
        <f t="shared" si="27"/>
        <v>180</v>
      </c>
      <c r="M197" s="1" t="s">
        <v>2113</v>
      </c>
      <c r="N197" s="1" t="s">
        <v>2114</v>
      </c>
      <c r="R197" s="413"/>
      <c r="S197" s="413"/>
      <c r="T197" s="2040"/>
      <c r="U197" s="2040"/>
      <c r="V197" s="2040"/>
      <c r="W197" s="413"/>
      <c r="X197" s="414"/>
      <c r="Y197" s="414"/>
      <c r="Z197" s="413"/>
    </row>
    <row r="198" spans="1:26" s="36" customFormat="1" x14ac:dyDescent="0.4">
      <c r="A198" s="16">
        <v>171407</v>
      </c>
      <c r="B198" s="643">
        <v>45</v>
      </c>
      <c r="C198" s="16">
        <f t="shared" si="24"/>
        <v>225</v>
      </c>
      <c r="D198" s="643">
        <v>0</v>
      </c>
      <c r="E198" s="643">
        <v>0</v>
      </c>
      <c r="F198" s="643">
        <v>0</v>
      </c>
      <c r="G198" s="643">
        <v>0</v>
      </c>
      <c r="H198" s="643">
        <v>0</v>
      </c>
      <c r="I198" s="643">
        <v>0</v>
      </c>
      <c r="J198" s="644">
        <f t="shared" si="25"/>
        <v>0</v>
      </c>
      <c r="K198" s="644">
        <f t="shared" si="26"/>
        <v>0</v>
      </c>
      <c r="L198" s="643">
        <f t="shared" si="27"/>
        <v>0</v>
      </c>
      <c r="M198" s="16" t="s">
        <v>2113</v>
      </c>
      <c r="N198" s="16" t="s">
        <v>2114</v>
      </c>
      <c r="R198" s="413"/>
      <c r="S198" s="413"/>
      <c r="T198" s="2040"/>
      <c r="U198" s="2040"/>
      <c r="V198" s="2040"/>
      <c r="W198" s="413"/>
      <c r="X198" s="414"/>
      <c r="Y198" s="414"/>
      <c r="Z198" s="413"/>
    </row>
    <row r="199" spans="1:26" s="36" customFormat="1" x14ac:dyDescent="0.4">
      <c r="A199" s="16">
        <v>171408</v>
      </c>
      <c r="B199" s="831">
        <v>45</v>
      </c>
      <c r="C199" s="16">
        <f t="shared" si="24"/>
        <v>225</v>
      </c>
      <c r="D199" s="831">
        <v>0</v>
      </c>
      <c r="E199" s="831">
        <v>0</v>
      </c>
      <c r="F199" s="831">
        <v>0</v>
      </c>
      <c r="G199" s="831">
        <v>0</v>
      </c>
      <c r="H199" s="831">
        <v>0</v>
      </c>
      <c r="I199" s="831">
        <v>0</v>
      </c>
      <c r="J199" s="832">
        <f t="shared" si="25"/>
        <v>0</v>
      </c>
      <c r="K199" s="832">
        <f t="shared" si="26"/>
        <v>0</v>
      </c>
      <c r="L199" s="831">
        <f t="shared" si="27"/>
        <v>0</v>
      </c>
      <c r="M199" s="16" t="s">
        <v>2113</v>
      </c>
      <c r="N199" s="16" t="s">
        <v>2114</v>
      </c>
      <c r="R199" s="413"/>
      <c r="S199" s="413"/>
      <c r="T199" s="2040"/>
      <c r="U199" s="2040"/>
      <c r="V199" s="2040"/>
      <c r="W199" s="413"/>
      <c r="X199" s="414"/>
      <c r="Y199" s="414"/>
      <c r="Z199" s="413"/>
    </row>
    <row r="200" spans="1:26" s="36" customFormat="1" x14ac:dyDescent="0.4">
      <c r="A200" s="16">
        <v>171409</v>
      </c>
      <c r="B200" s="553">
        <v>45</v>
      </c>
      <c r="C200" s="16">
        <f t="shared" si="24"/>
        <v>225</v>
      </c>
      <c r="D200" s="553">
        <v>0</v>
      </c>
      <c r="E200" s="553">
        <v>0</v>
      </c>
      <c r="F200" s="553">
        <v>0</v>
      </c>
      <c r="G200" s="553">
        <v>0</v>
      </c>
      <c r="H200" s="553">
        <v>0</v>
      </c>
      <c r="I200" s="553">
        <v>0</v>
      </c>
      <c r="J200" s="554">
        <f t="shared" si="25"/>
        <v>0</v>
      </c>
      <c r="K200" s="554">
        <f t="shared" si="26"/>
        <v>0</v>
      </c>
      <c r="L200" s="553">
        <f t="shared" si="27"/>
        <v>0</v>
      </c>
      <c r="M200" s="16" t="s">
        <v>2115</v>
      </c>
      <c r="N200" s="16" t="s">
        <v>2116</v>
      </c>
      <c r="R200" s="413"/>
      <c r="S200" s="413"/>
      <c r="T200" s="2040"/>
      <c r="U200" s="2040"/>
      <c r="V200" s="2040"/>
      <c r="W200" s="413"/>
      <c r="X200" s="414"/>
      <c r="Y200" s="414"/>
      <c r="Z200" s="413"/>
    </row>
    <row r="201" spans="1:26" s="36" customFormat="1" x14ac:dyDescent="0.4">
      <c r="A201" s="1">
        <v>171410</v>
      </c>
      <c r="B201" s="1277">
        <v>50</v>
      </c>
      <c r="C201" s="1">
        <f t="shared" ref="C201:C231" si="28">SUM(B201*5)</f>
        <v>250</v>
      </c>
      <c r="D201" s="1277">
        <v>0</v>
      </c>
      <c r="E201" s="1277">
        <v>0</v>
      </c>
      <c r="F201" s="1277">
        <v>0</v>
      </c>
      <c r="G201" s="1277">
        <v>0</v>
      </c>
      <c r="H201" s="1277">
        <v>1</v>
      </c>
      <c r="I201" s="1277">
        <v>1</v>
      </c>
      <c r="J201" s="140">
        <f t="shared" ref="J201:J231" si="29">SUM(D201:I201)</f>
        <v>2</v>
      </c>
      <c r="K201" s="140">
        <f t="shared" ref="K201:K231" si="30">SUM(D201:H201)</f>
        <v>1</v>
      </c>
      <c r="L201" s="1277">
        <f t="shared" ref="L201:L231" si="31">B201*K201</f>
        <v>50</v>
      </c>
      <c r="M201" s="1" t="s">
        <v>2115</v>
      </c>
      <c r="N201" s="1" t="s">
        <v>2116</v>
      </c>
      <c r="R201" s="413"/>
      <c r="S201" s="413"/>
      <c r="T201" s="2040"/>
      <c r="U201" s="2040"/>
      <c r="V201" s="2040"/>
      <c r="W201" s="413"/>
      <c r="X201" s="414"/>
      <c r="Y201" s="414"/>
      <c r="Z201" s="413"/>
    </row>
    <row r="202" spans="1:26" s="36" customFormat="1" x14ac:dyDescent="0.4">
      <c r="A202" s="1">
        <v>171411</v>
      </c>
      <c r="B202" s="1277">
        <v>45</v>
      </c>
      <c r="C202" s="1">
        <f t="shared" si="28"/>
        <v>225</v>
      </c>
      <c r="D202" s="1277">
        <v>0</v>
      </c>
      <c r="E202" s="1277">
        <v>0</v>
      </c>
      <c r="F202" s="1277">
        <v>0</v>
      </c>
      <c r="G202" s="1277">
        <v>1</v>
      </c>
      <c r="H202" s="1277">
        <v>1</v>
      </c>
      <c r="I202" s="1277">
        <v>1</v>
      </c>
      <c r="J202" s="140">
        <f t="shared" si="29"/>
        <v>3</v>
      </c>
      <c r="K202" s="140">
        <f t="shared" si="30"/>
        <v>2</v>
      </c>
      <c r="L202" s="1277">
        <f t="shared" si="31"/>
        <v>90</v>
      </c>
      <c r="M202" s="1" t="s">
        <v>2115</v>
      </c>
      <c r="N202" s="1" t="s">
        <v>2116</v>
      </c>
      <c r="R202" s="413"/>
      <c r="S202" s="413"/>
      <c r="T202" s="2040"/>
      <c r="U202" s="2040"/>
      <c r="V202" s="2040"/>
      <c r="W202" s="413"/>
      <c r="X202" s="414"/>
      <c r="Y202" s="414"/>
      <c r="Z202" s="413"/>
    </row>
    <row r="203" spans="1:26" s="36" customFormat="1" x14ac:dyDescent="0.4">
      <c r="A203" s="1">
        <v>171412</v>
      </c>
      <c r="B203" s="1277">
        <v>35</v>
      </c>
      <c r="C203" s="1">
        <f>B203*10</f>
        <v>350</v>
      </c>
      <c r="D203" s="1277">
        <v>0</v>
      </c>
      <c r="E203" s="1277">
        <v>0</v>
      </c>
      <c r="F203" s="1277">
        <v>0</v>
      </c>
      <c r="G203" s="1277">
        <v>0</v>
      </c>
      <c r="H203" s="1277">
        <v>0</v>
      </c>
      <c r="I203" s="1277">
        <v>0</v>
      </c>
      <c r="J203" s="140">
        <f t="shared" si="29"/>
        <v>0</v>
      </c>
      <c r="K203" s="140">
        <f t="shared" si="30"/>
        <v>0</v>
      </c>
      <c r="L203" s="1277">
        <f t="shared" si="31"/>
        <v>0</v>
      </c>
      <c r="M203" s="1" t="s">
        <v>2117</v>
      </c>
      <c r="N203" s="1" t="s">
        <v>2118</v>
      </c>
      <c r="R203" s="413"/>
      <c r="S203" s="413"/>
      <c r="T203" s="2040"/>
      <c r="U203" s="2040"/>
      <c r="V203" s="2040"/>
      <c r="W203" s="413"/>
      <c r="X203" s="414"/>
      <c r="Y203" s="414"/>
      <c r="Z203" s="413"/>
    </row>
    <row r="204" spans="1:26" s="36" customFormat="1" x14ac:dyDescent="0.4">
      <c r="A204" s="1"/>
      <c r="B204" s="1277"/>
      <c r="C204" s="1"/>
      <c r="D204" s="1277">
        <v>1</v>
      </c>
      <c r="E204" s="1277">
        <v>1</v>
      </c>
      <c r="F204" s="1277">
        <v>1</v>
      </c>
      <c r="G204" s="1277">
        <v>1</v>
      </c>
      <c r="H204" s="1277">
        <v>1</v>
      </c>
      <c r="I204" s="1277">
        <v>1</v>
      </c>
      <c r="J204" s="140"/>
      <c r="K204" s="140"/>
      <c r="L204" s="1277"/>
      <c r="M204" s="1"/>
      <c r="N204" s="1"/>
      <c r="R204" s="490"/>
      <c r="S204" s="490"/>
      <c r="T204" s="490"/>
      <c r="U204" s="490"/>
      <c r="V204" s="490"/>
      <c r="W204" s="490"/>
      <c r="X204" s="491"/>
      <c r="Y204" s="491"/>
      <c r="Z204" s="490"/>
    </row>
    <row r="205" spans="1:26" s="36" customFormat="1" x14ac:dyDescent="0.4">
      <c r="A205" s="16">
        <v>171413</v>
      </c>
      <c r="B205" s="1135">
        <v>60</v>
      </c>
      <c r="C205" s="16">
        <f t="shared" si="28"/>
        <v>300</v>
      </c>
      <c r="D205" s="1135">
        <v>0</v>
      </c>
      <c r="E205" s="1135">
        <v>0</v>
      </c>
      <c r="F205" s="1135">
        <v>0</v>
      </c>
      <c r="G205" s="1135">
        <v>0</v>
      </c>
      <c r="H205" s="1135">
        <v>0</v>
      </c>
      <c r="I205" s="1135">
        <v>0</v>
      </c>
      <c r="J205" s="1136">
        <f t="shared" si="29"/>
        <v>0</v>
      </c>
      <c r="K205" s="1136">
        <f t="shared" si="30"/>
        <v>0</v>
      </c>
      <c r="L205" s="1135">
        <f t="shared" si="31"/>
        <v>0</v>
      </c>
      <c r="M205" s="16" t="s">
        <v>2117</v>
      </c>
      <c r="N205" s="16" t="s">
        <v>2118</v>
      </c>
      <c r="R205" s="413"/>
      <c r="S205" s="413"/>
      <c r="T205" s="39"/>
      <c r="U205" s="39"/>
      <c r="V205" s="39"/>
      <c r="W205" s="413"/>
      <c r="X205" s="414"/>
      <c r="Y205" s="414"/>
      <c r="Z205" s="413"/>
    </row>
    <row r="206" spans="1:26" s="36" customFormat="1" x14ac:dyDescent="0.4">
      <c r="A206" s="1">
        <v>171414</v>
      </c>
      <c r="B206" s="1277">
        <v>45</v>
      </c>
      <c r="C206" s="1">
        <f t="shared" si="28"/>
        <v>225</v>
      </c>
      <c r="D206" s="1277">
        <v>0</v>
      </c>
      <c r="E206" s="1277">
        <v>1</v>
      </c>
      <c r="F206" s="1277">
        <v>1</v>
      </c>
      <c r="G206" s="1277">
        <v>1</v>
      </c>
      <c r="H206" s="1277">
        <v>1</v>
      </c>
      <c r="I206" s="1277">
        <v>1</v>
      </c>
      <c r="J206" s="140">
        <f t="shared" si="29"/>
        <v>5</v>
      </c>
      <c r="K206" s="140">
        <f t="shared" si="30"/>
        <v>4</v>
      </c>
      <c r="L206" s="1277">
        <f t="shared" si="31"/>
        <v>180</v>
      </c>
      <c r="M206" s="1" t="s">
        <v>2117</v>
      </c>
      <c r="N206" s="1" t="s">
        <v>2118</v>
      </c>
      <c r="R206" s="413"/>
      <c r="S206" s="413"/>
      <c r="T206" s="39"/>
      <c r="U206" s="39"/>
      <c r="V206" s="39"/>
      <c r="W206" s="413"/>
      <c r="X206" s="414"/>
      <c r="Y206" s="414"/>
      <c r="Z206" s="413"/>
    </row>
    <row r="207" spans="1:26" s="36" customFormat="1" x14ac:dyDescent="0.4">
      <c r="A207" s="1">
        <v>171415</v>
      </c>
      <c r="B207" s="1277">
        <v>60</v>
      </c>
      <c r="C207" s="1">
        <f t="shared" si="28"/>
        <v>300</v>
      </c>
      <c r="D207" s="1277">
        <v>1</v>
      </c>
      <c r="E207" s="1277">
        <v>1</v>
      </c>
      <c r="F207" s="1277">
        <v>1</v>
      </c>
      <c r="G207" s="1277">
        <v>1</v>
      </c>
      <c r="H207" s="1277">
        <v>1</v>
      </c>
      <c r="I207" s="1277">
        <v>1</v>
      </c>
      <c r="J207" s="140">
        <f t="shared" si="29"/>
        <v>6</v>
      </c>
      <c r="K207" s="140">
        <f t="shared" si="30"/>
        <v>5</v>
      </c>
      <c r="L207" s="1277">
        <f t="shared" si="31"/>
        <v>300</v>
      </c>
      <c r="M207" s="1" t="s">
        <v>2117</v>
      </c>
      <c r="N207" s="1" t="s">
        <v>2118</v>
      </c>
      <c r="R207" s="413"/>
      <c r="S207" s="413"/>
      <c r="T207" s="39"/>
      <c r="U207" s="39"/>
      <c r="V207" s="39"/>
      <c r="W207" s="413"/>
      <c r="X207" s="414"/>
      <c r="Y207" s="414"/>
      <c r="Z207" s="413"/>
    </row>
    <row r="208" spans="1:26" s="36" customFormat="1" x14ac:dyDescent="0.4">
      <c r="A208" s="1">
        <v>171416</v>
      </c>
      <c r="B208" s="1634">
        <v>50</v>
      </c>
      <c r="C208" s="1">
        <f t="shared" si="28"/>
        <v>250</v>
      </c>
      <c r="D208" s="1634">
        <v>0</v>
      </c>
      <c r="E208" s="1634">
        <v>0</v>
      </c>
      <c r="F208" s="1634">
        <v>0</v>
      </c>
      <c r="G208" s="1634">
        <v>0</v>
      </c>
      <c r="H208" s="1634">
        <v>1</v>
      </c>
      <c r="I208" s="1634">
        <v>1</v>
      </c>
      <c r="J208" s="140">
        <f t="shared" si="29"/>
        <v>2</v>
      </c>
      <c r="K208" s="140">
        <f t="shared" si="30"/>
        <v>1</v>
      </c>
      <c r="L208" s="1634">
        <f t="shared" si="31"/>
        <v>50</v>
      </c>
      <c r="M208" s="1" t="s">
        <v>2117</v>
      </c>
      <c r="N208" s="1" t="s">
        <v>2118</v>
      </c>
      <c r="O208" s="36" t="s">
        <v>2155</v>
      </c>
      <c r="R208" s="413" t="s">
        <v>3612</v>
      </c>
      <c r="S208" s="413"/>
      <c r="T208" s="39"/>
      <c r="U208" s="39"/>
      <c r="V208" s="39"/>
      <c r="W208" s="413"/>
      <c r="X208" s="414"/>
      <c r="Y208" s="414"/>
      <c r="Z208" s="413"/>
    </row>
    <row r="209" spans="1:26" s="36" customFormat="1" x14ac:dyDescent="0.4">
      <c r="A209" s="16">
        <v>171417</v>
      </c>
      <c r="B209" s="985">
        <v>45</v>
      </c>
      <c r="C209" s="16">
        <f t="shared" si="28"/>
        <v>225</v>
      </c>
      <c r="D209" s="985">
        <v>0</v>
      </c>
      <c r="E209" s="985">
        <v>0</v>
      </c>
      <c r="F209" s="985">
        <v>0</v>
      </c>
      <c r="G209" s="985">
        <v>0</v>
      </c>
      <c r="H209" s="985">
        <v>0</v>
      </c>
      <c r="I209" s="985">
        <v>0</v>
      </c>
      <c r="J209" s="986">
        <f t="shared" si="29"/>
        <v>0</v>
      </c>
      <c r="K209" s="986">
        <f t="shared" si="30"/>
        <v>0</v>
      </c>
      <c r="L209" s="985">
        <f t="shared" si="31"/>
        <v>0</v>
      </c>
      <c r="M209" s="16" t="s">
        <v>2119</v>
      </c>
      <c r="N209" s="16" t="s">
        <v>2120</v>
      </c>
      <c r="R209" s="413"/>
      <c r="S209" s="413"/>
      <c r="T209" s="39"/>
      <c r="U209" s="39"/>
      <c r="V209" s="39"/>
      <c r="W209" s="413"/>
      <c r="X209" s="414"/>
      <c r="Y209" s="414"/>
      <c r="Z209" s="413"/>
    </row>
    <row r="210" spans="1:26" s="36" customFormat="1" x14ac:dyDescent="0.4">
      <c r="A210" s="1">
        <v>171418</v>
      </c>
      <c r="B210" s="1277">
        <v>45</v>
      </c>
      <c r="C210" s="1">
        <f t="shared" si="28"/>
        <v>225</v>
      </c>
      <c r="D210" s="1277">
        <v>0</v>
      </c>
      <c r="E210" s="1277">
        <v>0</v>
      </c>
      <c r="F210" s="1277">
        <v>0</v>
      </c>
      <c r="G210" s="1277">
        <v>0</v>
      </c>
      <c r="H210" s="1277">
        <v>1</v>
      </c>
      <c r="I210" s="1277">
        <v>1</v>
      </c>
      <c r="J210" s="140">
        <f t="shared" si="29"/>
        <v>2</v>
      </c>
      <c r="K210" s="140">
        <f t="shared" si="30"/>
        <v>1</v>
      </c>
      <c r="L210" s="1277">
        <f t="shared" si="31"/>
        <v>45</v>
      </c>
      <c r="M210" s="1" t="s">
        <v>2119</v>
      </c>
      <c r="N210" s="1" t="s">
        <v>2121</v>
      </c>
      <c r="R210" s="413"/>
      <c r="S210" s="413"/>
      <c r="T210" s="39"/>
      <c r="U210" s="39"/>
      <c r="V210" s="39"/>
      <c r="W210" s="413"/>
      <c r="X210" s="414"/>
      <c r="Y210" s="414"/>
      <c r="Z210" s="413"/>
    </row>
    <row r="211" spans="1:26" s="36" customFormat="1" x14ac:dyDescent="0.4">
      <c r="A211" s="16">
        <v>171419</v>
      </c>
      <c r="B211" s="694">
        <v>50</v>
      </c>
      <c r="C211" s="16">
        <f t="shared" si="28"/>
        <v>250</v>
      </c>
      <c r="D211" s="694">
        <v>0</v>
      </c>
      <c r="E211" s="694">
        <v>0</v>
      </c>
      <c r="F211" s="694">
        <v>0</v>
      </c>
      <c r="G211" s="694">
        <v>0</v>
      </c>
      <c r="H211" s="694">
        <v>0</v>
      </c>
      <c r="I211" s="694">
        <v>0</v>
      </c>
      <c r="J211" s="695">
        <f t="shared" si="29"/>
        <v>0</v>
      </c>
      <c r="K211" s="695">
        <f t="shared" si="30"/>
        <v>0</v>
      </c>
      <c r="L211" s="694">
        <f t="shared" si="31"/>
        <v>0</v>
      </c>
      <c r="M211" s="16" t="s">
        <v>2122</v>
      </c>
      <c r="N211" s="16" t="s">
        <v>2123</v>
      </c>
      <c r="R211" s="413"/>
      <c r="S211" s="413"/>
      <c r="T211" s="39"/>
      <c r="U211" s="39"/>
      <c r="V211" s="39"/>
      <c r="W211" s="413"/>
      <c r="X211" s="414"/>
      <c r="Y211" s="414"/>
      <c r="Z211" s="413"/>
    </row>
    <row r="212" spans="1:26" s="36" customFormat="1" x14ac:dyDescent="0.4">
      <c r="A212" s="16">
        <v>171420</v>
      </c>
      <c r="B212" s="791">
        <v>45</v>
      </c>
      <c r="C212" s="16">
        <f t="shared" si="28"/>
        <v>225</v>
      </c>
      <c r="D212" s="791">
        <v>0</v>
      </c>
      <c r="E212" s="791">
        <v>0</v>
      </c>
      <c r="F212" s="791">
        <v>0</v>
      </c>
      <c r="G212" s="791">
        <v>0</v>
      </c>
      <c r="H212" s="791">
        <v>0</v>
      </c>
      <c r="I212" s="791">
        <v>0</v>
      </c>
      <c r="J212" s="792">
        <f t="shared" si="29"/>
        <v>0</v>
      </c>
      <c r="K212" s="792">
        <f t="shared" si="30"/>
        <v>0</v>
      </c>
      <c r="L212" s="791">
        <f t="shared" si="31"/>
        <v>0</v>
      </c>
      <c r="M212" s="16" t="s">
        <v>2124</v>
      </c>
      <c r="N212" s="16" t="s">
        <v>2125</v>
      </c>
      <c r="R212" s="413"/>
      <c r="S212" s="413"/>
      <c r="T212" s="39"/>
      <c r="U212" s="39"/>
      <c r="V212" s="39"/>
      <c r="W212" s="413"/>
      <c r="X212" s="414"/>
      <c r="Y212" s="414"/>
      <c r="Z212" s="413"/>
    </row>
    <row r="213" spans="1:26" s="36" customFormat="1" x14ac:dyDescent="0.4">
      <c r="A213" s="16">
        <v>171421</v>
      </c>
      <c r="B213" s="766">
        <v>60</v>
      </c>
      <c r="C213" s="16">
        <f t="shared" si="28"/>
        <v>300</v>
      </c>
      <c r="D213" s="766">
        <v>0</v>
      </c>
      <c r="E213" s="766">
        <v>0</v>
      </c>
      <c r="F213" s="766">
        <v>0</v>
      </c>
      <c r="G213" s="766">
        <v>0</v>
      </c>
      <c r="H213" s="766">
        <v>0</v>
      </c>
      <c r="I213" s="766">
        <v>0</v>
      </c>
      <c r="J213" s="767">
        <f t="shared" si="29"/>
        <v>0</v>
      </c>
      <c r="K213" s="767">
        <f t="shared" si="30"/>
        <v>0</v>
      </c>
      <c r="L213" s="766">
        <f t="shared" si="31"/>
        <v>0</v>
      </c>
      <c r="M213" s="16" t="s">
        <v>2124</v>
      </c>
      <c r="N213" s="16" t="s">
        <v>2125</v>
      </c>
      <c r="R213" s="413"/>
      <c r="S213" s="413"/>
      <c r="T213" s="39"/>
      <c r="U213" s="39"/>
      <c r="V213" s="39"/>
      <c r="W213" s="413"/>
      <c r="X213" s="414"/>
      <c r="Y213" s="414"/>
      <c r="Z213" s="413"/>
    </row>
    <row r="214" spans="1:26" s="36" customFormat="1" x14ac:dyDescent="0.4">
      <c r="A214" s="16">
        <v>171422</v>
      </c>
      <c r="B214" s="1063">
        <v>45</v>
      </c>
      <c r="C214" s="16">
        <f t="shared" si="28"/>
        <v>225</v>
      </c>
      <c r="D214" s="1063">
        <v>0</v>
      </c>
      <c r="E214" s="1063">
        <v>0</v>
      </c>
      <c r="F214" s="1063">
        <v>0</v>
      </c>
      <c r="G214" s="1063">
        <v>0</v>
      </c>
      <c r="H214" s="1063">
        <v>0</v>
      </c>
      <c r="I214" s="1063">
        <v>0</v>
      </c>
      <c r="J214" s="1064">
        <f t="shared" si="29"/>
        <v>0</v>
      </c>
      <c r="K214" s="1064">
        <f t="shared" si="30"/>
        <v>0</v>
      </c>
      <c r="L214" s="1063">
        <f t="shared" si="31"/>
        <v>0</v>
      </c>
      <c r="M214" s="16" t="s">
        <v>2124</v>
      </c>
      <c r="N214" s="16" t="s">
        <v>2125</v>
      </c>
      <c r="R214" s="413"/>
      <c r="S214" s="413"/>
      <c r="T214" s="39"/>
      <c r="U214" s="39"/>
      <c r="V214" s="39"/>
      <c r="W214" s="413"/>
      <c r="X214" s="414"/>
      <c r="Y214" s="414"/>
      <c r="Z214" s="413"/>
    </row>
    <row r="215" spans="1:26" s="36" customFormat="1" x14ac:dyDescent="0.4">
      <c r="A215" s="16">
        <v>171423</v>
      </c>
      <c r="B215" s="815">
        <v>45</v>
      </c>
      <c r="C215" s="16">
        <f t="shared" si="28"/>
        <v>225</v>
      </c>
      <c r="D215" s="815">
        <v>0</v>
      </c>
      <c r="E215" s="815">
        <v>0</v>
      </c>
      <c r="F215" s="815">
        <v>0</v>
      </c>
      <c r="G215" s="815">
        <v>0</v>
      </c>
      <c r="H215" s="815">
        <v>0</v>
      </c>
      <c r="I215" s="815">
        <v>0</v>
      </c>
      <c r="J215" s="816">
        <f t="shared" si="29"/>
        <v>0</v>
      </c>
      <c r="K215" s="816">
        <f t="shared" si="30"/>
        <v>0</v>
      </c>
      <c r="L215" s="815">
        <f t="shared" si="31"/>
        <v>0</v>
      </c>
      <c r="M215" s="16" t="s">
        <v>2124</v>
      </c>
      <c r="N215" s="16" t="s">
        <v>2125</v>
      </c>
      <c r="R215" s="413"/>
      <c r="S215" s="413"/>
      <c r="T215" s="39"/>
      <c r="U215" s="39"/>
      <c r="V215" s="39"/>
      <c r="W215" s="413"/>
      <c r="X215" s="414"/>
      <c r="Y215" s="414"/>
      <c r="Z215" s="413"/>
    </row>
    <row r="216" spans="1:26" s="36" customFormat="1" x14ac:dyDescent="0.4">
      <c r="A216" s="1">
        <v>171424</v>
      </c>
      <c r="B216" s="1286">
        <v>60</v>
      </c>
      <c r="C216" s="1">
        <f t="shared" si="28"/>
        <v>300</v>
      </c>
      <c r="D216" s="1286">
        <v>0</v>
      </c>
      <c r="E216" s="1286">
        <v>0</v>
      </c>
      <c r="F216" s="1286">
        <v>0</v>
      </c>
      <c r="G216" s="1286">
        <v>1</v>
      </c>
      <c r="H216" s="1286">
        <v>1</v>
      </c>
      <c r="I216" s="1286">
        <v>1</v>
      </c>
      <c r="J216" s="140">
        <f t="shared" si="29"/>
        <v>3</v>
      </c>
      <c r="K216" s="140">
        <f t="shared" si="30"/>
        <v>2</v>
      </c>
      <c r="L216" s="1286">
        <f t="shared" si="31"/>
        <v>120</v>
      </c>
      <c r="M216" s="1" t="s">
        <v>2124</v>
      </c>
      <c r="N216" s="1" t="s">
        <v>2125</v>
      </c>
      <c r="R216" s="413"/>
      <c r="S216" s="413"/>
      <c r="T216" s="39"/>
      <c r="U216" s="39"/>
      <c r="V216" s="39"/>
      <c r="W216" s="413"/>
      <c r="X216" s="414"/>
      <c r="Y216" s="414"/>
      <c r="Z216" s="413"/>
    </row>
    <row r="217" spans="1:26" s="36" customFormat="1" x14ac:dyDescent="0.4">
      <c r="A217" s="1">
        <v>171425</v>
      </c>
      <c r="B217" s="1286">
        <v>60</v>
      </c>
      <c r="C217" s="1">
        <f t="shared" si="28"/>
        <v>300</v>
      </c>
      <c r="D217" s="1286">
        <v>0</v>
      </c>
      <c r="E217" s="1286">
        <v>0</v>
      </c>
      <c r="F217" s="1286">
        <v>0</v>
      </c>
      <c r="G217" s="1286">
        <v>0</v>
      </c>
      <c r="H217" s="1286">
        <v>1</v>
      </c>
      <c r="I217" s="1286">
        <v>1</v>
      </c>
      <c r="J217" s="140">
        <f t="shared" si="29"/>
        <v>2</v>
      </c>
      <c r="K217" s="140">
        <f t="shared" si="30"/>
        <v>1</v>
      </c>
      <c r="L217" s="1286">
        <f t="shared" si="31"/>
        <v>60</v>
      </c>
      <c r="M217" s="1" t="s">
        <v>2126</v>
      </c>
      <c r="N217" s="1" t="s">
        <v>2127</v>
      </c>
    </row>
    <row r="218" spans="1:26" s="36" customFormat="1" x14ac:dyDescent="0.4">
      <c r="A218" s="1">
        <v>171426</v>
      </c>
      <c r="B218" s="1286">
        <v>50</v>
      </c>
      <c r="C218" s="1">
        <f t="shared" si="28"/>
        <v>250</v>
      </c>
      <c r="D218" s="1286">
        <v>0</v>
      </c>
      <c r="E218" s="1286">
        <v>0</v>
      </c>
      <c r="F218" s="1286">
        <v>0</v>
      </c>
      <c r="G218" s="1286">
        <v>1</v>
      </c>
      <c r="H218" s="1286">
        <v>1</v>
      </c>
      <c r="I218" s="1286">
        <v>1</v>
      </c>
      <c r="J218" s="140">
        <f t="shared" si="29"/>
        <v>3</v>
      </c>
      <c r="K218" s="140">
        <f t="shared" si="30"/>
        <v>2</v>
      </c>
      <c r="L218" s="1286">
        <f t="shared" si="31"/>
        <v>100</v>
      </c>
      <c r="M218" s="1" t="s">
        <v>2126</v>
      </c>
      <c r="N218" s="1" t="s">
        <v>2127</v>
      </c>
    </row>
    <row r="219" spans="1:26" s="36" customFormat="1" x14ac:dyDescent="0.4">
      <c r="A219" s="16">
        <v>171427</v>
      </c>
      <c r="B219" s="770">
        <v>45</v>
      </c>
      <c r="C219" s="16">
        <f t="shared" si="28"/>
        <v>225</v>
      </c>
      <c r="D219" s="770">
        <v>0</v>
      </c>
      <c r="E219" s="770">
        <v>0</v>
      </c>
      <c r="F219" s="770">
        <v>0</v>
      </c>
      <c r="G219" s="770">
        <v>0</v>
      </c>
      <c r="H219" s="770">
        <v>0</v>
      </c>
      <c r="I219" s="770">
        <v>0</v>
      </c>
      <c r="J219" s="771">
        <f t="shared" si="29"/>
        <v>0</v>
      </c>
      <c r="K219" s="771">
        <f t="shared" si="30"/>
        <v>0</v>
      </c>
      <c r="L219" s="770">
        <f t="shared" si="31"/>
        <v>0</v>
      </c>
      <c r="M219" s="16" t="s">
        <v>2126</v>
      </c>
      <c r="N219" s="16" t="s">
        <v>2127</v>
      </c>
    </row>
    <row r="220" spans="1:26" s="36" customFormat="1" x14ac:dyDescent="0.4">
      <c r="A220" s="1">
        <v>171428</v>
      </c>
      <c r="B220" s="1286">
        <v>45</v>
      </c>
      <c r="C220" s="1">
        <f t="shared" si="28"/>
        <v>225</v>
      </c>
      <c r="D220" s="1286">
        <v>0</v>
      </c>
      <c r="E220" s="1286">
        <v>0</v>
      </c>
      <c r="F220" s="1286">
        <v>0</v>
      </c>
      <c r="G220" s="1286">
        <v>1</v>
      </c>
      <c r="H220" s="1286">
        <v>1</v>
      </c>
      <c r="I220" s="1286">
        <v>1</v>
      </c>
      <c r="J220" s="140">
        <f t="shared" si="29"/>
        <v>3</v>
      </c>
      <c r="K220" s="140">
        <f t="shared" si="30"/>
        <v>2</v>
      </c>
      <c r="L220" s="1286">
        <f t="shared" si="31"/>
        <v>90</v>
      </c>
      <c r="M220" s="1" t="s">
        <v>2126</v>
      </c>
      <c r="N220" s="1" t="s">
        <v>2127</v>
      </c>
    </row>
    <row r="221" spans="1:26" s="36" customFormat="1" x14ac:dyDescent="0.4">
      <c r="A221" s="16">
        <v>171429</v>
      </c>
      <c r="B221" s="972">
        <v>45</v>
      </c>
      <c r="C221" s="16">
        <f t="shared" si="28"/>
        <v>225</v>
      </c>
      <c r="D221" s="972">
        <v>0</v>
      </c>
      <c r="E221" s="972">
        <v>0</v>
      </c>
      <c r="F221" s="972">
        <v>0</v>
      </c>
      <c r="G221" s="972">
        <v>0</v>
      </c>
      <c r="H221" s="972">
        <v>0</v>
      </c>
      <c r="I221" s="972">
        <v>0</v>
      </c>
      <c r="J221" s="973">
        <f t="shared" si="29"/>
        <v>0</v>
      </c>
      <c r="K221" s="973">
        <f t="shared" si="30"/>
        <v>0</v>
      </c>
      <c r="L221" s="972">
        <f t="shared" si="31"/>
        <v>0</v>
      </c>
      <c r="M221" s="16" t="s">
        <v>2128</v>
      </c>
      <c r="N221" s="16" t="s">
        <v>2129</v>
      </c>
    </row>
    <row r="222" spans="1:26" s="36" customFormat="1" x14ac:dyDescent="0.4">
      <c r="A222" s="16">
        <v>171430</v>
      </c>
      <c r="B222" s="667">
        <v>45</v>
      </c>
      <c r="C222" s="16">
        <f t="shared" si="28"/>
        <v>225</v>
      </c>
      <c r="D222" s="667">
        <v>0</v>
      </c>
      <c r="E222" s="667">
        <v>0</v>
      </c>
      <c r="F222" s="667">
        <v>0</v>
      </c>
      <c r="G222" s="667">
        <v>0</v>
      </c>
      <c r="H222" s="667">
        <v>0</v>
      </c>
      <c r="I222" s="667">
        <v>0</v>
      </c>
      <c r="J222" s="671">
        <f t="shared" si="29"/>
        <v>0</v>
      </c>
      <c r="K222" s="671">
        <f t="shared" si="30"/>
        <v>0</v>
      </c>
      <c r="L222" s="667">
        <f t="shared" si="31"/>
        <v>0</v>
      </c>
      <c r="M222" s="16" t="s">
        <v>2128</v>
      </c>
      <c r="N222" s="16" t="s">
        <v>2129</v>
      </c>
    </row>
    <row r="223" spans="1:26" s="36" customFormat="1" x14ac:dyDescent="0.4">
      <c r="A223" s="16">
        <v>171431</v>
      </c>
      <c r="B223" s="770">
        <v>60</v>
      </c>
      <c r="C223" s="16">
        <f t="shared" si="28"/>
        <v>300</v>
      </c>
      <c r="D223" s="770">
        <v>0</v>
      </c>
      <c r="E223" s="770">
        <v>0</v>
      </c>
      <c r="F223" s="770">
        <v>0</v>
      </c>
      <c r="G223" s="770">
        <v>0</v>
      </c>
      <c r="H223" s="770">
        <v>0</v>
      </c>
      <c r="I223" s="770">
        <v>0</v>
      </c>
      <c r="J223" s="771">
        <f t="shared" si="29"/>
        <v>0</v>
      </c>
      <c r="K223" s="771">
        <f t="shared" si="30"/>
        <v>0</v>
      </c>
      <c r="L223" s="770">
        <f t="shared" si="31"/>
        <v>0</v>
      </c>
      <c r="M223" s="16" t="s">
        <v>2128</v>
      </c>
      <c r="N223" s="16" t="s">
        <v>2129</v>
      </c>
    </row>
    <row r="224" spans="1:26" s="36" customFormat="1" x14ac:dyDescent="0.4">
      <c r="A224" s="16">
        <v>171432</v>
      </c>
      <c r="B224" s="835">
        <v>60</v>
      </c>
      <c r="C224" s="16">
        <f t="shared" si="28"/>
        <v>300</v>
      </c>
      <c r="D224" s="835">
        <v>0</v>
      </c>
      <c r="E224" s="835">
        <v>0</v>
      </c>
      <c r="F224" s="835">
        <v>0</v>
      </c>
      <c r="G224" s="835">
        <v>0</v>
      </c>
      <c r="H224" s="835">
        <v>0</v>
      </c>
      <c r="I224" s="835">
        <v>0</v>
      </c>
      <c r="J224" s="836">
        <f t="shared" si="29"/>
        <v>0</v>
      </c>
      <c r="K224" s="836">
        <f t="shared" si="30"/>
        <v>0</v>
      </c>
      <c r="L224" s="835">
        <f t="shared" si="31"/>
        <v>0</v>
      </c>
      <c r="M224" s="16" t="s">
        <v>2130</v>
      </c>
      <c r="N224" s="16" t="s">
        <v>2131</v>
      </c>
    </row>
    <row r="225" spans="1:15" s="36" customFormat="1" x14ac:dyDescent="0.4">
      <c r="A225" s="16">
        <v>171433</v>
      </c>
      <c r="B225" s="689">
        <v>45</v>
      </c>
      <c r="C225" s="16">
        <f t="shared" si="28"/>
        <v>225</v>
      </c>
      <c r="D225" s="689">
        <v>0</v>
      </c>
      <c r="E225" s="689">
        <v>0</v>
      </c>
      <c r="F225" s="689">
        <v>0</v>
      </c>
      <c r="G225" s="689">
        <v>0</v>
      </c>
      <c r="H225" s="689">
        <v>0</v>
      </c>
      <c r="I225" s="689">
        <v>0</v>
      </c>
      <c r="J225" s="690">
        <f t="shared" si="29"/>
        <v>0</v>
      </c>
      <c r="K225" s="690">
        <f t="shared" si="30"/>
        <v>0</v>
      </c>
      <c r="L225" s="689">
        <f t="shared" si="31"/>
        <v>0</v>
      </c>
      <c r="M225" s="16" t="s">
        <v>2132</v>
      </c>
      <c r="N225" s="16" t="s">
        <v>2133</v>
      </c>
    </row>
    <row r="226" spans="1:15" s="36" customFormat="1" x14ac:dyDescent="0.4">
      <c r="A226" s="16">
        <v>171434</v>
      </c>
      <c r="B226" s="1299">
        <v>45</v>
      </c>
      <c r="C226" s="16">
        <f t="shared" si="28"/>
        <v>225</v>
      </c>
      <c r="D226" s="1299">
        <v>0</v>
      </c>
      <c r="E226" s="1299">
        <v>0</v>
      </c>
      <c r="F226" s="1299">
        <v>0</v>
      </c>
      <c r="G226" s="1299">
        <v>0</v>
      </c>
      <c r="H226" s="1299">
        <v>0</v>
      </c>
      <c r="I226" s="1299">
        <v>1</v>
      </c>
      <c r="J226" s="1300">
        <f t="shared" si="29"/>
        <v>1</v>
      </c>
      <c r="K226" s="1300">
        <f t="shared" si="30"/>
        <v>0</v>
      </c>
      <c r="L226" s="1299">
        <f t="shared" si="31"/>
        <v>0</v>
      </c>
      <c r="M226" s="16" t="s">
        <v>2132</v>
      </c>
      <c r="N226" s="16" t="s">
        <v>2133</v>
      </c>
    </row>
    <row r="227" spans="1:15" s="36" customFormat="1" x14ac:dyDescent="0.4">
      <c r="A227" s="16">
        <v>171435</v>
      </c>
      <c r="B227" s="696">
        <v>60</v>
      </c>
      <c r="C227" s="16">
        <f t="shared" si="28"/>
        <v>300</v>
      </c>
      <c r="D227" s="696">
        <v>0</v>
      </c>
      <c r="E227" s="696">
        <v>0</v>
      </c>
      <c r="F227" s="696">
        <v>0</v>
      </c>
      <c r="G227" s="696">
        <v>0</v>
      </c>
      <c r="H227" s="696">
        <v>0</v>
      </c>
      <c r="I227" s="696">
        <v>0</v>
      </c>
      <c r="J227" s="697">
        <f t="shared" si="29"/>
        <v>0</v>
      </c>
      <c r="K227" s="697">
        <f t="shared" si="30"/>
        <v>0</v>
      </c>
      <c r="L227" s="696">
        <f t="shared" si="31"/>
        <v>0</v>
      </c>
      <c r="M227" s="16" t="s">
        <v>2134</v>
      </c>
      <c r="N227" s="16" t="s">
        <v>2135</v>
      </c>
    </row>
    <row r="228" spans="1:15" s="36" customFormat="1" x14ac:dyDescent="0.4">
      <c r="A228" s="1">
        <v>171436</v>
      </c>
      <c r="B228" s="1321">
        <v>45</v>
      </c>
      <c r="C228" s="1">
        <f t="shared" si="28"/>
        <v>225</v>
      </c>
      <c r="D228" s="1321">
        <v>0</v>
      </c>
      <c r="E228" s="1321">
        <v>0</v>
      </c>
      <c r="F228" s="1321">
        <v>0</v>
      </c>
      <c r="G228" s="1321">
        <v>0</v>
      </c>
      <c r="H228" s="1321">
        <v>1</v>
      </c>
      <c r="I228" s="1321">
        <v>1</v>
      </c>
      <c r="J228" s="140">
        <f t="shared" si="29"/>
        <v>2</v>
      </c>
      <c r="K228" s="140">
        <f t="shared" si="30"/>
        <v>1</v>
      </c>
      <c r="L228" s="1321">
        <f t="shared" si="31"/>
        <v>45</v>
      </c>
      <c r="M228" s="1" t="s">
        <v>2134</v>
      </c>
      <c r="N228" s="1" t="s">
        <v>2135</v>
      </c>
    </row>
    <row r="229" spans="1:15" s="36" customFormat="1" x14ac:dyDescent="0.4">
      <c r="A229" s="16">
        <v>171437</v>
      </c>
      <c r="B229" s="838">
        <v>60</v>
      </c>
      <c r="C229" s="16">
        <f t="shared" si="28"/>
        <v>300</v>
      </c>
      <c r="D229" s="838">
        <v>0</v>
      </c>
      <c r="E229" s="838">
        <v>0</v>
      </c>
      <c r="F229" s="838">
        <v>0</v>
      </c>
      <c r="G229" s="838">
        <v>0</v>
      </c>
      <c r="H229" s="838">
        <v>0</v>
      </c>
      <c r="I229" s="838">
        <v>0</v>
      </c>
      <c r="J229" s="839">
        <f t="shared" si="29"/>
        <v>0</v>
      </c>
      <c r="K229" s="839">
        <f t="shared" si="30"/>
        <v>0</v>
      </c>
      <c r="L229" s="838">
        <f t="shared" si="31"/>
        <v>0</v>
      </c>
      <c r="M229" s="16" t="s">
        <v>2134</v>
      </c>
      <c r="N229" s="16" t="s">
        <v>2135</v>
      </c>
    </row>
    <row r="230" spans="1:15" s="36" customFormat="1" x14ac:dyDescent="0.4">
      <c r="A230" s="16">
        <v>171438</v>
      </c>
      <c r="B230" s="562">
        <v>45</v>
      </c>
      <c r="C230" s="16">
        <f t="shared" si="28"/>
        <v>225</v>
      </c>
      <c r="D230" s="562">
        <v>0</v>
      </c>
      <c r="E230" s="562">
        <v>0</v>
      </c>
      <c r="F230" s="562">
        <v>0</v>
      </c>
      <c r="G230" s="562">
        <v>0</v>
      </c>
      <c r="H230" s="562">
        <v>0</v>
      </c>
      <c r="I230" s="562">
        <v>0</v>
      </c>
      <c r="J230" s="563">
        <f t="shared" si="29"/>
        <v>0</v>
      </c>
      <c r="K230" s="563">
        <f t="shared" si="30"/>
        <v>0</v>
      </c>
      <c r="L230" s="562">
        <f t="shared" si="31"/>
        <v>0</v>
      </c>
      <c r="M230" s="16" t="s">
        <v>2136</v>
      </c>
      <c r="N230" s="16" t="s">
        <v>2137</v>
      </c>
    </row>
    <row r="231" spans="1:15" s="36" customFormat="1" x14ac:dyDescent="0.4">
      <c r="A231" s="16">
        <v>171439</v>
      </c>
      <c r="B231" s="770">
        <v>50</v>
      </c>
      <c r="C231" s="16">
        <f t="shared" si="28"/>
        <v>250</v>
      </c>
      <c r="D231" s="770">
        <v>0</v>
      </c>
      <c r="E231" s="770">
        <v>0</v>
      </c>
      <c r="F231" s="770">
        <v>0</v>
      </c>
      <c r="G231" s="770">
        <v>0</v>
      </c>
      <c r="H231" s="770">
        <v>0</v>
      </c>
      <c r="I231" s="770">
        <v>0</v>
      </c>
      <c r="J231" s="771">
        <f t="shared" si="29"/>
        <v>0</v>
      </c>
      <c r="K231" s="771">
        <f t="shared" si="30"/>
        <v>0</v>
      </c>
      <c r="L231" s="770">
        <f t="shared" si="31"/>
        <v>0</v>
      </c>
      <c r="M231" s="16" t="s">
        <v>2136</v>
      </c>
      <c r="N231" s="16" t="s">
        <v>2137</v>
      </c>
    </row>
    <row r="232" spans="1:15" s="36" customFormat="1" x14ac:dyDescent="0.4">
      <c r="A232" s="16">
        <v>171440</v>
      </c>
      <c r="B232" s="922">
        <v>60</v>
      </c>
      <c r="C232" s="16">
        <f t="shared" ref="C232:C261" si="32">SUM(B232*5)</f>
        <v>300</v>
      </c>
      <c r="D232" s="922">
        <v>0</v>
      </c>
      <c r="E232" s="922">
        <v>0</v>
      </c>
      <c r="F232" s="922">
        <v>0</v>
      </c>
      <c r="G232" s="922">
        <v>0</v>
      </c>
      <c r="H232" s="922">
        <v>0</v>
      </c>
      <c r="I232" s="922">
        <v>0</v>
      </c>
      <c r="J232" s="923">
        <f t="shared" ref="J232:J261" si="33">SUM(D232:I232)</f>
        <v>0</v>
      </c>
      <c r="K232" s="923">
        <f t="shared" ref="K232:K261" si="34">SUM(D232:H232)</f>
        <v>0</v>
      </c>
      <c r="L232" s="922">
        <f t="shared" ref="L232:L261" si="35">B232*K232</f>
        <v>0</v>
      </c>
      <c r="M232" s="16" t="s">
        <v>2138</v>
      </c>
      <c r="N232" s="16" t="s">
        <v>2139</v>
      </c>
    </row>
    <row r="233" spans="1:15" s="36" customFormat="1" x14ac:dyDescent="0.4">
      <c r="A233" s="16">
        <v>171441</v>
      </c>
      <c r="B233" s="833">
        <v>60</v>
      </c>
      <c r="C233" s="16">
        <f t="shared" si="32"/>
        <v>300</v>
      </c>
      <c r="D233" s="833">
        <v>0</v>
      </c>
      <c r="E233" s="833">
        <v>0</v>
      </c>
      <c r="F233" s="833">
        <v>0</v>
      </c>
      <c r="G233" s="833">
        <v>0</v>
      </c>
      <c r="H233" s="833">
        <v>0</v>
      </c>
      <c r="I233" s="833">
        <v>0</v>
      </c>
      <c r="J233" s="834">
        <f t="shared" si="33"/>
        <v>0</v>
      </c>
      <c r="K233" s="834">
        <f t="shared" si="34"/>
        <v>0</v>
      </c>
      <c r="L233" s="833">
        <f t="shared" si="35"/>
        <v>0</v>
      </c>
      <c r="M233" s="16" t="s">
        <v>2140</v>
      </c>
      <c r="N233" s="16" t="s">
        <v>2141</v>
      </c>
    </row>
    <row r="234" spans="1:15" s="36" customFormat="1" x14ac:dyDescent="0.4">
      <c r="A234" s="16">
        <v>171442</v>
      </c>
      <c r="B234" s="756">
        <v>50</v>
      </c>
      <c r="C234" s="16">
        <f t="shared" si="32"/>
        <v>250</v>
      </c>
      <c r="D234" s="756">
        <v>0</v>
      </c>
      <c r="E234" s="756">
        <v>0</v>
      </c>
      <c r="F234" s="756">
        <v>0</v>
      </c>
      <c r="G234" s="756">
        <v>0</v>
      </c>
      <c r="H234" s="756">
        <v>0</v>
      </c>
      <c r="I234" s="756">
        <v>0</v>
      </c>
      <c r="J234" s="757">
        <f t="shared" si="33"/>
        <v>0</v>
      </c>
      <c r="K234" s="757">
        <f t="shared" si="34"/>
        <v>0</v>
      </c>
      <c r="L234" s="756">
        <f t="shared" si="35"/>
        <v>0</v>
      </c>
      <c r="M234" s="16" t="s">
        <v>2142</v>
      </c>
      <c r="N234" s="16" t="s">
        <v>2143</v>
      </c>
    </row>
    <row r="235" spans="1:15" s="36" customFormat="1" x14ac:dyDescent="0.4">
      <c r="A235" s="16">
        <v>171443</v>
      </c>
      <c r="B235" s="833">
        <v>60</v>
      </c>
      <c r="C235" s="16">
        <f t="shared" si="32"/>
        <v>300</v>
      </c>
      <c r="D235" s="833">
        <v>0</v>
      </c>
      <c r="E235" s="833">
        <v>0</v>
      </c>
      <c r="F235" s="833">
        <v>0</v>
      </c>
      <c r="G235" s="833">
        <v>0</v>
      </c>
      <c r="H235" s="833">
        <v>0</v>
      </c>
      <c r="I235" s="833">
        <v>0</v>
      </c>
      <c r="J235" s="834">
        <f t="shared" si="33"/>
        <v>0</v>
      </c>
      <c r="K235" s="834">
        <f t="shared" si="34"/>
        <v>0</v>
      </c>
      <c r="L235" s="833">
        <f t="shared" si="35"/>
        <v>0</v>
      </c>
      <c r="M235" s="16" t="s">
        <v>2142</v>
      </c>
      <c r="N235" s="16" t="s">
        <v>2143</v>
      </c>
    </row>
    <row r="236" spans="1:15" s="36" customFormat="1" x14ac:dyDescent="0.4">
      <c r="A236" s="16">
        <v>171444</v>
      </c>
      <c r="B236" s="904">
        <v>45</v>
      </c>
      <c r="C236" s="16">
        <f t="shared" si="32"/>
        <v>225</v>
      </c>
      <c r="D236" s="904">
        <v>0</v>
      </c>
      <c r="E236" s="904">
        <v>0</v>
      </c>
      <c r="F236" s="904">
        <v>0</v>
      </c>
      <c r="G236" s="904">
        <v>0</v>
      </c>
      <c r="H236" s="904">
        <v>0</v>
      </c>
      <c r="I236" s="904">
        <v>0</v>
      </c>
      <c r="J236" s="905">
        <f t="shared" si="33"/>
        <v>0</v>
      </c>
      <c r="K236" s="905">
        <f t="shared" si="34"/>
        <v>0</v>
      </c>
      <c r="L236" s="904">
        <f t="shared" si="35"/>
        <v>0</v>
      </c>
      <c r="M236" s="16" t="s">
        <v>2144</v>
      </c>
      <c r="N236" s="16" t="s">
        <v>2145</v>
      </c>
    </row>
    <row r="237" spans="1:15" s="36" customFormat="1" x14ac:dyDescent="0.4">
      <c r="A237" s="1">
        <v>171445</v>
      </c>
      <c r="B237" s="1321">
        <v>60</v>
      </c>
      <c r="C237" s="1">
        <f t="shared" si="32"/>
        <v>300</v>
      </c>
      <c r="D237" s="1321">
        <v>0</v>
      </c>
      <c r="E237" s="1321">
        <v>1</v>
      </c>
      <c r="F237" s="1321">
        <v>1</v>
      </c>
      <c r="G237" s="1321">
        <v>1</v>
      </c>
      <c r="H237" s="1321">
        <v>1</v>
      </c>
      <c r="I237" s="1321">
        <v>1</v>
      </c>
      <c r="J237" s="140">
        <f t="shared" si="33"/>
        <v>5</v>
      </c>
      <c r="K237" s="140">
        <f t="shared" si="34"/>
        <v>4</v>
      </c>
      <c r="L237" s="1321">
        <f t="shared" si="35"/>
        <v>240</v>
      </c>
      <c r="M237" s="1" t="s">
        <v>2146</v>
      </c>
      <c r="N237" s="1" t="s">
        <v>2147</v>
      </c>
    </row>
    <row r="238" spans="1:15" s="36" customFormat="1" x14ac:dyDescent="0.4">
      <c r="A238" s="1">
        <v>171446</v>
      </c>
      <c r="B238" s="1321">
        <v>45</v>
      </c>
      <c r="C238" s="1">
        <f t="shared" si="32"/>
        <v>225</v>
      </c>
      <c r="D238" s="1321">
        <v>0</v>
      </c>
      <c r="E238" s="1321">
        <v>0</v>
      </c>
      <c r="F238" s="1321">
        <v>0</v>
      </c>
      <c r="G238" s="1321">
        <v>0</v>
      </c>
      <c r="H238" s="1321">
        <v>0</v>
      </c>
      <c r="I238" s="1321">
        <v>1</v>
      </c>
      <c r="J238" s="140">
        <f t="shared" si="33"/>
        <v>1</v>
      </c>
      <c r="K238" s="140">
        <f t="shared" si="34"/>
        <v>0</v>
      </c>
      <c r="L238" s="1321">
        <f t="shared" si="35"/>
        <v>0</v>
      </c>
      <c r="M238" s="1" t="s">
        <v>2146</v>
      </c>
      <c r="N238" s="1" t="s">
        <v>2147</v>
      </c>
    </row>
    <row r="239" spans="1:15" s="36" customFormat="1" x14ac:dyDescent="0.4">
      <c r="A239" s="16">
        <v>171447</v>
      </c>
      <c r="B239" s="968">
        <v>45</v>
      </c>
      <c r="C239" s="16">
        <f t="shared" si="32"/>
        <v>225</v>
      </c>
      <c r="D239" s="968">
        <v>0</v>
      </c>
      <c r="E239" s="968">
        <v>0</v>
      </c>
      <c r="F239" s="968">
        <v>0</v>
      </c>
      <c r="G239" s="968">
        <v>0</v>
      </c>
      <c r="H239" s="968">
        <v>0</v>
      </c>
      <c r="I239" s="968">
        <v>0</v>
      </c>
      <c r="J239" s="969">
        <f t="shared" si="33"/>
        <v>0</v>
      </c>
      <c r="K239" s="969">
        <f t="shared" si="34"/>
        <v>0</v>
      </c>
      <c r="L239" s="968">
        <f t="shared" si="35"/>
        <v>0</v>
      </c>
      <c r="M239" s="16" t="s">
        <v>2149</v>
      </c>
      <c r="N239" s="16" t="s">
        <v>2150</v>
      </c>
    </row>
    <row r="240" spans="1:15" s="36" customFormat="1" x14ac:dyDescent="0.4">
      <c r="A240" s="16">
        <v>171448</v>
      </c>
      <c r="B240" s="1718">
        <v>45</v>
      </c>
      <c r="C240" s="16">
        <f t="shared" si="32"/>
        <v>225</v>
      </c>
      <c r="D240" s="1718">
        <v>0</v>
      </c>
      <c r="E240" s="1718">
        <v>0</v>
      </c>
      <c r="F240" s="1718">
        <v>0</v>
      </c>
      <c r="G240" s="1718">
        <v>0</v>
      </c>
      <c r="H240" s="1718">
        <v>0</v>
      </c>
      <c r="I240" s="1718">
        <v>0</v>
      </c>
      <c r="J240" s="1719">
        <f t="shared" si="33"/>
        <v>0</v>
      </c>
      <c r="K240" s="1719">
        <f t="shared" si="34"/>
        <v>0</v>
      </c>
      <c r="L240" s="1718">
        <f t="shared" si="35"/>
        <v>0</v>
      </c>
      <c r="M240" s="16" t="s">
        <v>2151</v>
      </c>
      <c r="N240" s="16" t="s">
        <v>2152</v>
      </c>
      <c r="O240" s="36" t="s">
        <v>3422</v>
      </c>
    </row>
    <row r="241" spans="1:15" s="36" customFormat="1" x14ac:dyDescent="0.4">
      <c r="A241" s="1">
        <v>171449</v>
      </c>
      <c r="B241" s="1321">
        <v>45</v>
      </c>
      <c r="C241" s="1">
        <f t="shared" si="32"/>
        <v>225</v>
      </c>
      <c r="D241" s="1321">
        <v>0</v>
      </c>
      <c r="E241" s="1321">
        <v>1</v>
      </c>
      <c r="F241" s="1321">
        <v>1</v>
      </c>
      <c r="G241" s="1321">
        <v>1</v>
      </c>
      <c r="H241" s="1321">
        <v>1</v>
      </c>
      <c r="I241" s="1321">
        <v>1</v>
      </c>
      <c r="J241" s="140">
        <f t="shared" si="33"/>
        <v>5</v>
      </c>
      <c r="K241" s="140">
        <f t="shared" si="34"/>
        <v>4</v>
      </c>
      <c r="L241" s="1321">
        <f t="shared" si="35"/>
        <v>180</v>
      </c>
      <c r="M241" s="1" t="s">
        <v>2151</v>
      </c>
      <c r="N241" s="1" t="s">
        <v>2152</v>
      </c>
    </row>
    <row r="242" spans="1:15" s="36" customFormat="1" x14ac:dyDescent="0.4">
      <c r="A242" s="16">
        <v>171450</v>
      </c>
      <c r="B242" s="623">
        <v>45</v>
      </c>
      <c r="C242" s="16">
        <f t="shared" si="32"/>
        <v>225</v>
      </c>
      <c r="D242" s="623">
        <v>0</v>
      </c>
      <c r="E242" s="623">
        <v>0</v>
      </c>
      <c r="F242" s="623">
        <v>0</v>
      </c>
      <c r="G242" s="623">
        <v>0</v>
      </c>
      <c r="H242" s="623">
        <v>0</v>
      </c>
      <c r="I242" s="623">
        <v>0</v>
      </c>
      <c r="J242" s="624">
        <f t="shared" si="33"/>
        <v>0</v>
      </c>
      <c r="K242" s="624">
        <f t="shared" si="34"/>
        <v>0</v>
      </c>
      <c r="L242" s="623">
        <f t="shared" si="35"/>
        <v>0</v>
      </c>
      <c r="M242" s="16" t="s">
        <v>2153</v>
      </c>
      <c r="N242" s="16" t="s">
        <v>2154</v>
      </c>
    </row>
    <row r="243" spans="1:15" s="36" customFormat="1" x14ac:dyDescent="0.4">
      <c r="A243" s="16">
        <v>171451</v>
      </c>
      <c r="B243" s="588">
        <v>60</v>
      </c>
      <c r="C243" s="16">
        <f t="shared" si="32"/>
        <v>300</v>
      </c>
      <c r="D243" s="588">
        <v>0</v>
      </c>
      <c r="E243" s="588">
        <v>0</v>
      </c>
      <c r="F243" s="588">
        <v>0</v>
      </c>
      <c r="G243" s="588">
        <v>0</v>
      </c>
      <c r="H243" s="588">
        <v>0</v>
      </c>
      <c r="I243" s="588">
        <v>0</v>
      </c>
      <c r="J243" s="589">
        <f t="shared" si="33"/>
        <v>0</v>
      </c>
      <c r="K243" s="589">
        <f t="shared" si="34"/>
        <v>0</v>
      </c>
      <c r="L243" s="588">
        <f t="shared" si="35"/>
        <v>0</v>
      </c>
      <c r="M243" s="16" t="s">
        <v>2153</v>
      </c>
      <c r="N243" s="16" t="s">
        <v>2154</v>
      </c>
    </row>
    <row r="244" spans="1:15" s="36" customFormat="1" x14ac:dyDescent="0.4">
      <c r="A244" s="16">
        <v>171452</v>
      </c>
      <c r="B244" s="1307">
        <v>60</v>
      </c>
      <c r="C244" s="16">
        <f t="shared" si="32"/>
        <v>300</v>
      </c>
      <c r="D244" s="1307">
        <v>0</v>
      </c>
      <c r="E244" s="1307">
        <v>0</v>
      </c>
      <c r="F244" s="1307">
        <v>0</v>
      </c>
      <c r="G244" s="1307">
        <v>0</v>
      </c>
      <c r="H244" s="1307">
        <v>0</v>
      </c>
      <c r="I244" s="1307">
        <v>0</v>
      </c>
      <c r="J244" s="1308">
        <f t="shared" si="33"/>
        <v>0</v>
      </c>
      <c r="K244" s="1308">
        <f t="shared" si="34"/>
        <v>0</v>
      </c>
      <c r="L244" s="1307">
        <f t="shared" si="35"/>
        <v>0</v>
      </c>
      <c r="M244" s="16" t="s">
        <v>2156</v>
      </c>
      <c r="N244" s="16" t="s">
        <v>2157</v>
      </c>
    </row>
    <row r="245" spans="1:15" s="36" customFormat="1" x14ac:dyDescent="0.4">
      <c r="A245" s="16">
        <v>171453</v>
      </c>
      <c r="B245" s="1311">
        <v>60</v>
      </c>
      <c r="C245" s="16">
        <f t="shared" si="32"/>
        <v>300</v>
      </c>
      <c r="D245" s="1311">
        <v>0</v>
      </c>
      <c r="E245" s="1311">
        <v>0</v>
      </c>
      <c r="F245" s="1311">
        <v>0</v>
      </c>
      <c r="G245" s="1311">
        <v>0</v>
      </c>
      <c r="H245" s="1311">
        <v>0</v>
      </c>
      <c r="I245" s="1311">
        <v>0</v>
      </c>
      <c r="J245" s="1312">
        <f t="shared" si="33"/>
        <v>0</v>
      </c>
      <c r="K245" s="1312">
        <f t="shared" si="34"/>
        <v>0</v>
      </c>
      <c r="L245" s="1311">
        <f t="shared" si="35"/>
        <v>0</v>
      </c>
      <c r="M245" s="16" t="s">
        <v>2156</v>
      </c>
      <c r="N245" s="16" t="s">
        <v>2157</v>
      </c>
    </row>
    <row r="246" spans="1:15" s="36" customFormat="1" x14ac:dyDescent="0.4">
      <c r="A246" s="16">
        <v>171454</v>
      </c>
      <c r="B246" s="647">
        <v>60</v>
      </c>
      <c r="C246" s="16">
        <f t="shared" si="32"/>
        <v>300</v>
      </c>
      <c r="D246" s="647">
        <v>0</v>
      </c>
      <c r="E246" s="647">
        <v>0</v>
      </c>
      <c r="F246" s="647">
        <v>0</v>
      </c>
      <c r="G246" s="647">
        <v>0</v>
      </c>
      <c r="H246" s="647">
        <v>0</v>
      </c>
      <c r="I246" s="647">
        <v>0</v>
      </c>
      <c r="J246" s="648">
        <f t="shared" si="33"/>
        <v>0</v>
      </c>
      <c r="K246" s="648">
        <f t="shared" si="34"/>
        <v>0</v>
      </c>
      <c r="L246" s="647">
        <f t="shared" si="35"/>
        <v>0</v>
      </c>
      <c r="M246" s="16" t="s">
        <v>2158</v>
      </c>
      <c r="N246" s="16" t="s">
        <v>2159</v>
      </c>
    </row>
    <row r="247" spans="1:15" s="36" customFormat="1" x14ac:dyDescent="0.4">
      <c r="A247" s="16">
        <v>171455</v>
      </c>
      <c r="B247" s="743">
        <v>45</v>
      </c>
      <c r="C247" s="16">
        <f t="shared" si="32"/>
        <v>225</v>
      </c>
      <c r="D247" s="743">
        <v>0</v>
      </c>
      <c r="E247" s="743">
        <v>0</v>
      </c>
      <c r="F247" s="743">
        <v>0</v>
      </c>
      <c r="G247" s="743">
        <v>0</v>
      </c>
      <c r="H247" s="743">
        <v>0</v>
      </c>
      <c r="I247" s="743">
        <v>0</v>
      </c>
      <c r="J247" s="744">
        <f t="shared" si="33"/>
        <v>0</v>
      </c>
      <c r="K247" s="744">
        <f t="shared" si="34"/>
        <v>0</v>
      </c>
      <c r="L247" s="743">
        <f t="shared" si="35"/>
        <v>0</v>
      </c>
      <c r="M247" s="16" t="s">
        <v>2158</v>
      </c>
      <c r="N247" s="16" t="s">
        <v>2159</v>
      </c>
    </row>
    <row r="248" spans="1:15" s="36" customFormat="1" x14ac:dyDescent="0.4">
      <c r="A248" s="16">
        <v>171456</v>
      </c>
      <c r="B248" s="978">
        <v>45</v>
      </c>
      <c r="C248" s="16">
        <f t="shared" si="32"/>
        <v>225</v>
      </c>
      <c r="D248" s="978">
        <v>0</v>
      </c>
      <c r="E248" s="978">
        <v>0</v>
      </c>
      <c r="F248" s="978">
        <v>0</v>
      </c>
      <c r="G248" s="978">
        <v>0</v>
      </c>
      <c r="H248" s="978">
        <v>0</v>
      </c>
      <c r="I248" s="978">
        <v>0</v>
      </c>
      <c r="J248" s="979">
        <f t="shared" si="33"/>
        <v>0</v>
      </c>
      <c r="K248" s="979">
        <f t="shared" si="34"/>
        <v>0</v>
      </c>
      <c r="L248" s="978">
        <f t="shared" si="35"/>
        <v>0</v>
      </c>
      <c r="M248" s="16" t="s">
        <v>2160</v>
      </c>
      <c r="N248" s="16" t="s">
        <v>2161</v>
      </c>
    </row>
    <row r="249" spans="1:15" s="36" customFormat="1" x14ac:dyDescent="0.4">
      <c r="A249" s="16">
        <v>171457</v>
      </c>
      <c r="B249" s="978">
        <v>60</v>
      </c>
      <c r="C249" s="16">
        <f t="shared" si="32"/>
        <v>300</v>
      </c>
      <c r="D249" s="978">
        <v>0</v>
      </c>
      <c r="E249" s="978">
        <v>0</v>
      </c>
      <c r="F249" s="978">
        <v>0</v>
      </c>
      <c r="G249" s="978">
        <v>0</v>
      </c>
      <c r="H249" s="978">
        <v>0</v>
      </c>
      <c r="I249" s="978">
        <v>0</v>
      </c>
      <c r="J249" s="979">
        <f t="shared" si="33"/>
        <v>0</v>
      </c>
      <c r="K249" s="979">
        <f t="shared" si="34"/>
        <v>0</v>
      </c>
      <c r="L249" s="978">
        <f t="shared" si="35"/>
        <v>0</v>
      </c>
      <c r="M249" s="16" t="s">
        <v>2160</v>
      </c>
      <c r="N249" s="16" t="s">
        <v>2161</v>
      </c>
    </row>
    <row r="250" spans="1:15" s="36" customFormat="1" x14ac:dyDescent="0.4">
      <c r="A250" s="1">
        <v>171458</v>
      </c>
      <c r="B250" s="1321">
        <v>45</v>
      </c>
      <c r="C250" s="1">
        <f t="shared" si="32"/>
        <v>225</v>
      </c>
      <c r="D250" s="1321">
        <v>0</v>
      </c>
      <c r="E250" s="1321">
        <v>0</v>
      </c>
      <c r="F250" s="1321">
        <v>0</v>
      </c>
      <c r="G250" s="1321">
        <v>0</v>
      </c>
      <c r="H250" s="1321">
        <v>0</v>
      </c>
      <c r="I250" s="1321">
        <v>1</v>
      </c>
      <c r="J250" s="140">
        <f t="shared" si="33"/>
        <v>1</v>
      </c>
      <c r="K250" s="140">
        <f t="shared" si="34"/>
        <v>0</v>
      </c>
      <c r="L250" s="1321">
        <f t="shared" si="35"/>
        <v>0</v>
      </c>
      <c r="M250" s="1" t="s">
        <v>2162</v>
      </c>
      <c r="N250" s="1" t="s">
        <v>2163</v>
      </c>
    </row>
    <row r="251" spans="1:15" s="36" customFormat="1" x14ac:dyDescent="0.4">
      <c r="A251" s="16">
        <v>171459</v>
      </c>
      <c r="B251" s="1167">
        <v>45</v>
      </c>
      <c r="C251" s="16">
        <f t="shared" si="32"/>
        <v>225</v>
      </c>
      <c r="D251" s="1167">
        <v>0</v>
      </c>
      <c r="E251" s="1167">
        <v>0</v>
      </c>
      <c r="F251" s="1167">
        <v>0</v>
      </c>
      <c r="G251" s="1167">
        <v>0</v>
      </c>
      <c r="H251" s="1167">
        <v>0</v>
      </c>
      <c r="I251" s="1167">
        <v>0</v>
      </c>
      <c r="J251" s="1168">
        <f t="shared" si="33"/>
        <v>0</v>
      </c>
      <c r="K251" s="1168">
        <f t="shared" si="34"/>
        <v>0</v>
      </c>
      <c r="L251" s="1167">
        <f t="shared" si="35"/>
        <v>0</v>
      </c>
      <c r="M251" s="16" t="s">
        <v>2164</v>
      </c>
      <c r="N251" s="16" t="s">
        <v>2165</v>
      </c>
    </row>
    <row r="252" spans="1:15" s="36" customFormat="1" x14ac:dyDescent="0.4">
      <c r="A252" s="16">
        <v>171460</v>
      </c>
      <c r="B252" s="680">
        <v>60</v>
      </c>
      <c r="C252" s="16">
        <f t="shared" si="32"/>
        <v>300</v>
      </c>
      <c r="D252" s="680">
        <v>0</v>
      </c>
      <c r="E252" s="680">
        <v>0</v>
      </c>
      <c r="F252" s="680">
        <v>0</v>
      </c>
      <c r="G252" s="680">
        <v>0</v>
      </c>
      <c r="H252" s="680">
        <v>0</v>
      </c>
      <c r="I252" s="680">
        <v>0</v>
      </c>
      <c r="J252" s="681">
        <f t="shared" si="33"/>
        <v>0</v>
      </c>
      <c r="K252" s="681">
        <f t="shared" si="34"/>
        <v>0</v>
      </c>
      <c r="L252" s="680">
        <f t="shared" si="35"/>
        <v>0</v>
      </c>
      <c r="M252" s="16" t="s">
        <v>2166</v>
      </c>
      <c r="N252" s="16" t="s">
        <v>2167</v>
      </c>
    </row>
    <row r="253" spans="1:15" s="36" customFormat="1" x14ac:dyDescent="0.4">
      <c r="A253" s="16">
        <v>171461</v>
      </c>
      <c r="B253" s="731">
        <v>45</v>
      </c>
      <c r="C253" s="16">
        <f t="shared" si="32"/>
        <v>225</v>
      </c>
      <c r="D253" s="731">
        <v>0</v>
      </c>
      <c r="E253" s="731">
        <v>0</v>
      </c>
      <c r="F253" s="731">
        <v>0</v>
      </c>
      <c r="G253" s="731">
        <v>0</v>
      </c>
      <c r="H253" s="731">
        <v>0</v>
      </c>
      <c r="I253" s="731">
        <v>0</v>
      </c>
      <c r="J253" s="732">
        <f t="shared" si="33"/>
        <v>0</v>
      </c>
      <c r="K253" s="732">
        <f t="shared" si="34"/>
        <v>0</v>
      </c>
      <c r="L253" s="731">
        <f t="shared" si="35"/>
        <v>0</v>
      </c>
      <c r="M253" s="16" t="s">
        <v>2166</v>
      </c>
      <c r="N253" s="16" t="s">
        <v>2167</v>
      </c>
    </row>
    <row r="254" spans="1:15" s="36" customFormat="1" x14ac:dyDescent="0.4">
      <c r="A254" s="16">
        <v>171462</v>
      </c>
      <c r="B254" s="1032">
        <v>45</v>
      </c>
      <c r="C254" s="16">
        <f t="shared" si="32"/>
        <v>225</v>
      </c>
      <c r="D254" s="1032">
        <v>0</v>
      </c>
      <c r="E254" s="1032">
        <v>0</v>
      </c>
      <c r="F254" s="1032">
        <v>0</v>
      </c>
      <c r="G254" s="1032">
        <v>0</v>
      </c>
      <c r="H254" s="1032">
        <v>0</v>
      </c>
      <c r="I254" s="1032">
        <v>0</v>
      </c>
      <c r="J254" s="1033">
        <f t="shared" si="33"/>
        <v>0</v>
      </c>
      <c r="K254" s="1033">
        <f t="shared" si="34"/>
        <v>0</v>
      </c>
      <c r="L254" s="1032">
        <f t="shared" si="35"/>
        <v>0</v>
      </c>
      <c r="M254" s="16" t="s">
        <v>2168</v>
      </c>
      <c r="N254" s="16" t="s">
        <v>2169</v>
      </c>
    </row>
    <row r="255" spans="1:15" s="36" customFormat="1" x14ac:dyDescent="0.4">
      <c r="A255" s="36">
        <v>171463</v>
      </c>
      <c r="B255" s="1422">
        <v>60</v>
      </c>
      <c r="C255" s="36">
        <f t="shared" si="32"/>
        <v>300</v>
      </c>
      <c r="D255" s="1422">
        <v>0</v>
      </c>
      <c r="E255" s="1422">
        <v>0</v>
      </c>
      <c r="F255" s="1422">
        <v>0</v>
      </c>
      <c r="G255" s="1422">
        <v>1</v>
      </c>
      <c r="H255" s="1422">
        <v>1</v>
      </c>
      <c r="I255" s="1422">
        <v>1</v>
      </c>
      <c r="J255" s="1424">
        <f t="shared" si="33"/>
        <v>3</v>
      </c>
      <c r="K255" s="1424">
        <f t="shared" si="34"/>
        <v>2</v>
      </c>
      <c r="L255" s="1422">
        <f t="shared" si="35"/>
        <v>120</v>
      </c>
      <c r="M255" s="36" t="s">
        <v>2170</v>
      </c>
      <c r="N255" s="36" t="s">
        <v>2171</v>
      </c>
      <c r="O255" s="36" t="s">
        <v>3406</v>
      </c>
    </row>
    <row r="256" spans="1:15" s="36" customFormat="1" x14ac:dyDescent="0.4">
      <c r="A256" s="16">
        <v>171464</v>
      </c>
      <c r="B256" s="716">
        <v>50</v>
      </c>
      <c r="C256" s="16">
        <f t="shared" si="32"/>
        <v>250</v>
      </c>
      <c r="D256" s="716">
        <v>0</v>
      </c>
      <c r="E256" s="716">
        <v>0</v>
      </c>
      <c r="F256" s="716">
        <v>0</v>
      </c>
      <c r="G256" s="716">
        <v>0</v>
      </c>
      <c r="H256" s="716">
        <v>0</v>
      </c>
      <c r="I256" s="716">
        <v>0</v>
      </c>
      <c r="J256" s="717">
        <f t="shared" si="33"/>
        <v>0</v>
      </c>
      <c r="K256" s="717">
        <f t="shared" si="34"/>
        <v>0</v>
      </c>
      <c r="L256" s="716">
        <f t="shared" si="35"/>
        <v>0</v>
      </c>
      <c r="M256" s="16" t="s">
        <v>2175</v>
      </c>
      <c r="N256" s="16" t="s">
        <v>2176</v>
      </c>
    </row>
    <row r="257" spans="1:20" s="36" customFormat="1" x14ac:dyDescent="0.4">
      <c r="A257" s="16">
        <v>171465</v>
      </c>
      <c r="B257" s="603">
        <v>60</v>
      </c>
      <c r="C257" s="16">
        <f t="shared" si="32"/>
        <v>300</v>
      </c>
      <c r="D257" s="603">
        <v>0</v>
      </c>
      <c r="E257" s="603">
        <v>0</v>
      </c>
      <c r="F257" s="603">
        <v>0</v>
      </c>
      <c r="G257" s="603">
        <v>0</v>
      </c>
      <c r="H257" s="603">
        <v>0</v>
      </c>
      <c r="I257" s="603">
        <v>0</v>
      </c>
      <c r="J257" s="604">
        <f t="shared" si="33"/>
        <v>0</v>
      </c>
      <c r="K257" s="604">
        <f t="shared" si="34"/>
        <v>0</v>
      </c>
      <c r="L257" s="603">
        <f t="shared" si="35"/>
        <v>0</v>
      </c>
      <c r="M257" s="16" t="s">
        <v>2175</v>
      </c>
      <c r="N257" s="16" t="s">
        <v>2176</v>
      </c>
    </row>
    <row r="258" spans="1:20" s="36" customFormat="1" x14ac:dyDescent="0.4">
      <c r="A258" s="1">
        <v>171466</v>
      </c>
      <c r="B258" s="1346">
        <v>45</v>
      </c>
      <c r="C258" s="1">
        <f t="shared" si="32"/>
        <v>225</v>
      </c>
      <c r="D258" s="1346">
        <v>0</v>
      </c>
      <c r="E258" s="1346">
        <v>0</v>
      </c>
      <c r="F258" s="1346">
        <v>0</v>
      </c>
      <c r="G258" s="1346">
        <v>0</v>
      </c>
      <c r="H258" s="1346">
        <v>0</v>
      </c>
      <c r="I258" s="1346">
        <v>1</v>
      </c>
      <c r="J258" s="140">
        <f t="shared" si="33"/>
        <v>1</v>
      </c>
      <c r="K258" s="140">
        <f t="shared" si="34"/>
        <v>0</v>
      </c>
      <c r="L258" s="1346">
        <f t="shared" si="35"/>
        <v>0</v>
      </c>
      <c r="M258" s="1" t="s">
        <v>2175</v>
      </c>
      <c r="N258" s="1" t="s">
        <v>2176</v>
      </c>
    </row>
    <row r="259" spans="1:20" s="36" customFormat="1" x14ac:dyDescent="0.4">
      <c r="A259" s="359">
        <v>171467</v>
      </c>
      <c r="B259" s="532"/>
      <c r="C259" s="359">
        <f t="shared" si="32"/>
        <v>0</v>
      </c>
      <c r="D259" s="532">
        <v>0</v>
      </c>
      <c r="E259" s="532">
        <v>1</v>
      </c>
      <c r="F259" s="532">
        <v>1</v>
      </c>
      <c r="G259" s="532"/>
      <c r="H259" s="532"/>
      <c r="I259" s="532"/>
      <c r="J259" s="360">
        <f t="shared" si="33"/>
        <v>2</v>
      </c>
      <c r="K259" s="360">
        <f t="shared" si="34"/>
        <v>2</v>
      </c>
      <c r="L259" s="532">
        <f t="shared" si="35"/>
        <v>0</v>
      </c>
      <c r="M259" s="359" t="s">
        <v>2173</v>
      </c>
      <c r="N259" s="359" t="s">
        <v>2174</v>
      </c>
      <c r="O259" s="359" t="s">
        <v>2172</v>
      </c>
      <c r="P259" s="359"/>
      <c r="Q259" s="359" t="s">
        <v>2177</v>
      </c>
    </row>
    <row r="260" spans="1:20" s="36" customFormat="1" x14ac:dyDescent="0.4">
      <c r="A260" s="1">
        <v>171468</v>
      </c>
      <c r="B260" s="1346">
        <v>60</v>
      </c>
      <c r="C260" s="1">
        <f t="shared" si="32"/>
        <v>300</v>
      </c>
      <c r="D260" s="1346">
        <v>0</v>
      </c>
      <c r="E260" s="1346">
        <v>0</v>
      </c>
      <c r="F260" s="1346">
        <v>0</v>
      </c>
      <c r="G260" s="1346">
        <v>0</v>
      </c>
      <c r="H260" s="1346">
        <v>0</v>
      </c>
      <c r="I260" s="1346">
        <v>1</v>
      </c>
      <c r="J260" s="140">
        <f t="shared" si="33"/>
        <v>1</v>
      </c>
      <c r="K260" s="140">
        <f t="shared" si="34"/>
        <v>0</v>
      </c>
      <c r="L260" s="1346">
        <f t="shared" si="35"/>
        <v>0</v>
      </c>
      <c r="M260" s="1" t="s">
        <v>2178</v>
      </c>
      <c r="N260" s="1" t="s">
        <v>2179</v>
      </c>
    </row>
    <row r="261" spans="1:20" s="36" customFormat="1" x14ac:dyDescent="0.4">
      <c r="A261" s="18">
        <v>171469</v>
      </c>
      <c r="B261" s="19">
        <v>45</v>
      </c>
      <c r="C261" s="18">
        <f t="shared" si="32"/>
        <v>225</v>
      </c>
      <c r="D261" s="19">
        <v>0</v>
      </c>
      <c r="E261" s="19">
        <v>0</v>
      </c>
      <c r="F261" s="19">
        <v>0</v>
      </c>
      <c r="G261" s="19">
        <v>0</v>
      </c>
      <c r="H261" s="19">
        <v>0</v>
      </c>
      <c r="I261" s="19">
        <v>0</v>
      </c>
      <c r="J261" s="28">
        <f t="shared" si="33"/>
        <v>0</v>
      </c>
      <c r="K261" s="28">
        <f t="shared" si="34"/>
        <v>0</v>
      </c>
      <c r="L261" s="19">
        <f t="shared" si="35"/>
        <v>0</v>
      </c>
      <c r="M261" s="18" t="s">
        <v>2178</v>
      </c>
      <c r="N261" s="18" t="s">
        <v>2179</v>
      </c>
    </row>
    <row r="262" spans="1:20" s="36" customFormat="1" x14ac:dyDescent="0.4">
      <c r="A262" s="1">
        <v>171470</v>
      </c>
      <c r="B262" s="1346">
        <v>60</v>
      </c>
      <c r="C262" s="1">
        <f t="shared" ref="C262:C291" si="36">SUM(B262*5)</f>
        <v>300</v>
      </c>
      <c r="D262" s="1346">
        <v>0</v>
      </c>
      <c r="E262" s="1346">
        <v>0</v>
      </c>
      <c r="F262" s="1346">
        <v>0</v>
      </c>
      <c r="G262" s="1346">
        <v>0</v>
      </c>
      <c r="H262" s="1346">
        <v>0</v>
      </c>
      <c r="I262" s="1346">
        <v>1</v>
      </c>
      <c r="J262" s="140">
        <f t="shared" ref="J262:J291" si="37">SUM(D262:I262)</f>
        <v>1</v>
      </c>
      <c r="K262" s="140">
        <f t="shared" ref="K262:K291" si="38">SUM(D262:H262)</f>
        <v>0</v>
      </c>
      <c r="L262" s="1346">
        <f t="shared" ref="L262:L291" si="39">B262*K262</f>
        <v>0</v>
      </c>
      <c r="M262" s="1" t="s">
        <v>2180</v>
      </c>
      <c r="N262" s="1" t="s">
        <v>2181</v>
      </c>
    </row>
    <row r="263" spans="1:20" s="36" customFormat="1" x14ac:dyDescent="0.4">
      <c r="A263" s="16">
        <v>171471</v>
      </c>
      <c r="B263" s="1347">
        <v>60</v>
      </c>
      <c r="C263" s="16">
        <f t="shared" si="36"/>
        <v>300</v>
      </c>
      <c r="D263" s="1347">
        <v>0</v>
      </c>
      <c r="E263" s="1347">
        <v>0</v>
      </c>
      <c r="F263" s="1347">
        <v>0</v>
      </c>
      <c r="G263" s="1347">
        <v>0</v>
      </c>
      <c r="H263" s="1347">
        <v>0</v>
      </c>
      <c r="I263" s="1347">
        <v>0</v>
      </c>
      <c r="J263" s="1349">
        <f t="shared" si="37"/>
        <v>0</v>
      </c>
      <c r="K263" s="1349">
        <f t="shared" si="38"/>
        <v>0</v>
      </c>
      <c r="L263" s="1347">
        <f t="shared" si="39"/>
        <v>0</v>
      </c>
      <c r="M263" s="16" t="s">
        <v>2180</v>
      </c>
      <c r="N263" s="16" t="s">
        <v>2181</v>
      </c>
    </row>
    <row r="264" spans="1:20" s="36" customFormat="1" x14ac:dyDescent="0.4">
      <c r="A264" s="1">
        <v>171472</v>
      </c>
      <c r="B264" s="1346">
        <v>45</v>
      </c>
      <c r="C264" s="1">
        <f t="shared" si="36"/>
        <v>225</v>
      </c>
      <c r="D264" s="1346">
        <v>0</v>
      </c>
      <c r="E264" s="1346">
        <v>0</v>
      </c>
      <c r="F264" s="1346">
        <v>0</v>
      </c>
      <c r="G264" s="1346">
        <v>0</v>
      </c>
      <c r="H264" s="1346">
        <v>1</v>
      </c>
      <c r="I264" s="1346">
        <v>1</v>
      </c>
      <c r="J264" s="140">
        <f t="shared" si="37"/>
        <v>2</v>
      </c>
      <c r="K264" s="140">
        <f t="shared" si="38"/>
        <v>1</v>
      </c>
      <c r="L264" s="1346">
        <f t="shared" si="39"/>
        <v>45</v>
      </c>
      <c r="M264" s="1" t="s">
        <v>2180</v>
      </c>
      <c r="N264" s="1" t="s">
        <v>2181</v>
      </c>
    </row>
    <row r="265" spans="1:20" s="36" customFormat="1" x14ac:dyDescent="0.4">
      <c r="A265" s="16">
        <v>171473</v>
      </c>
      <c r="B265" s="878">
        <v>45</v>
      </c>
      <c r="C265" s="16">
        <f t="shared" si="36"/>
        <v>225</v>
      </c>
      <c r="D265" s="878">
        <v>0</v>
      </c>
      <c r="E265" s="878">
        <v>0</v>
      </c>
      <c r="F265" s="878">
        <v>0</v>
      </c>
      <c r="G265" s="878">
        <v>0</v>
      </c>
      <c r="H265" s="878">
        <v>0</v>
      </c>
      <c r="I265" s="878">
        <v>0</v>
      </c>
      <c r="J265" s="879">
        <f t="shared" si="37"/>
        <v>0</v>
      </c>
      <c r="K265" s="879">
        <f t="shared" si="38"/>
        <v>0</v>
      </c>
      <c r="L265" s="878">
        <f t="shared" si="39"/>
        <v>0</v>
      </c>
      <c r="M265" s="16" t="s">
        <v>2182</v>
      </c>
      <c r="N265" s="16" t="s">
        <v>2183</v>
      </c>
    </row>
    <row r="266" spans="1:20" s="36" customFormat="1" x14ac:dyDescent="0.4">
      <c r="A266" s="16">
        <v>171474</v>
      </c>
      <c r="B266" s="829">
        <v>45</v>
      </c>
      <c r="C266" s="16">
        <f t="shared" si="36"/>
        <v>225</v>
      </c>
      <c r="D266" s="829">
        <v>0</v>
      </c>
      <c r="E266" s="829">
        <v>0</v>
      </c>
      <c r="F266" s="829">
        <v>0</v>
      </c>
      <c r="G266" s="829">
        <v>0</v>
      </c>
      <c r="H266" s="829">
        <v>0</v>
      </c>
      <c r="I266" s="829">
        <v>0</v>
      </c>
      <c r="J266" s="830">
        <f t="shared" si="37"/>
        <v>0</v>
      </c>
      <c r="K266" s="830">
        <f t="shared" si="38"/>
        <v>0</v>
      </c>
      <c r="L266" s="829">
        <f t="shared" si="39"/>
        <v>0</v>
      </c>
      <c r="M266" s="16" t="s">
        <v>2185</v>
      </c>
      <c r="N266" s="16" t="s">
        <v>2186</v>
      </c>
    </row>
    <row r="267" spans="1:20" s="36" customFormat="1" x14ac:dyDescent="0.4">
      <c r="A267" s="16">
        <v>171475</v>
      </c>
      <c r="B267" s="867">
        <v>45</v>
      </c>
      <c r="C267" s="16">
        <f t="shared" si="36"/>
        <v>225</v>
      </c>
      <c r="D267" s="867">
        <v>0</v>
      </c>
      <c r="E267" s="867">
        <v>0</v>
      </c>
      <c r="F267" s="867">
        <v>0</v>
      </c>
      <c r="G267" s="867">
        <v>0</v>
      </c>
      <c r="H267" s="867">
        <v>0</v>
      </c>
      <c r="I267" s="867">
        <v>0</v>
      </c>
      <c r="J267" s="869">
        <f t="shared" si="37"/>
        <v>0</v>
      </c>
      <c r="K267" s="869">
        <f t="shared" si="38"/>
        <v>0</v>
      </c>
      <c r="L267" s="867">
        <f t="shared" si="39"/>
        <v>0</v>
      </c>
      <c r="M267" s="16" t="s">
        <v>2187</v>
      </c>
      <c r="N267" s="16" t="s">
        <v>2188</v>
      </c>
    </row>
    <row r="268" spans="1:20" s="36" customFormat="1" x14ac:dyDescent="0.4">
      <c r="A268" s="16">
        <v>171476</v>
      </c>
      <c r="B268" s="908">
        <v>45</v>
      </c>
      <c r="C268" s="16">
        <f t="shared" si="36"/>
        <v>225</v>
      </c>
      <c r="D268" s="908">
        <v>0</v>
      </c>
      <c r="E268" s="908">
        <v>0</v>
      </c>
      <c r="F268" s="908">
        <v>0</v>
      </c>
      <c r="G268" s="908">
        <v>0</v>
      </c>
      <c r="H268" s="908">
        <v>0</v>
      </c>
      <c r="I268" s="908">
        <v>0</v>
      </c>
      <c r="J268" s="909">
        <f t="shared" si="37"/>
        <v>0</v>
      </c>
      <c r="K268" s="909">
        <f t="shared" si="38"/>
        <v>0</v>
      </c>
      <c r="L268" s="908">
        <f t="shared" si="39"/>
        <v>0</v>
      </c>
      <c r="M268" s="16" t="s">
        <v>2187</v>
      </c>
      <c r="N268" s="16" t="s">
        <v>2188</v>
      </c>
      <c r="Q268" s="39"/>
      <c r="R268" s="39"/>
      <c r="S268" s="39"/>
      <c r="T268" s="39"/>
    </row>
    <row r="269" spans="1:20" s="36" customFormat="1" x14ac:dyDescent="0.4">
      <c r="A269" s="16">
        <v>171477</v>
      </c>
      <c r="B269" s="704">
        <v>45</v>
      </c>
      <c r="C269" s="16">
        <f t="shared" si="36"/>
        <v>225</v>
      </c>
      <c r="D269" s="704">
        <v>0</v>
      </c>
      <c r="E269" s="704">
        <v>0</v>
      </c>
      <c r="F269" s="704">
        <v>0</v>
      </c>
      <c r="G269" s="704">
        <v>0</v>
      </c>
      <c r="H269" s="704">
        <v>0</v>
      </c>
      <c r="I269" s="704">
        <v>0</v>
      </c>
      <c r="J269" s="705">
        <f t="shared" si="37"/>
        <v>0</v>
      </c>
      <c r="K269" s="705">
        <f t="shared" si="38"/>
        <v>0</v>
      </c>
      <c r="L269" s="704">
        <f t="shared" si="39"/>
        <v>0</v>
      </c>
      <c r="M269" s="16" t="s">
        <v>2189</v>
      </c>
      <c r="N269" s="16" t="s">
        <v>2190</v>
      </c>
      <c r="O269" s="39"/>
      <c r="P269" s="39"/>
      <c r="Q269" s="39"/>
      <c r="R269" s="39"/>
      <c r="S269" s="39"/>
      <c r="T269" s="39"/>
    </row>
    <row r="270" spans="1:20" s="36" customFormat="1" x14ac:dyDescent="0.4">
      <c r="A270" s="16">
        <v>171478</v>
      </c>
      <c r="B270" s="1210">
        <v>50</v>
      </c>
      <c r="C270" s="16">
        <f t="shared" si="36"/>
        <v>250</v>
      </c>
      <c r="D270" s="1210">
        <v>0</v>
      </c>
      <c r="E270" s="1210">
        <v>0</v>
      </c>
      <c r="F270" s="1210">
        <v>0</v>
      </c>
      <c r="G270" s="1210">
        <v>0</v>
      </c>
      <c r="H270" s="1210">
        <v>0</v>
      </c>
      <c r="I270" s="1210">
        <v>0</v>
      </c>
      <c r="J270" s="1211">
        <f t="shared" si="37"/>
        <v>0</v>
      </c>
      <c r="K270" s="1211">
        <f t="shared" si="38"/>
        <v>0</v>
      </c>
      <c r="L270" s="1210">
        <f t="shared" si="39"/>
        <v>0</v>
      </c>
      <c r="M270" s="16" t="s">
        <v>2189</v>
      </c>
      <c r="N270" s="16" t="s">
        <v>2190</v>
      </c>
      <c r="O270" s="39"/>
      <c r="P270" s="39"/>
      <c r="Q270" s="39"/>
      <c r="R270" s="39"/>
      <c r="S270" s="39"/>
      <c r="T270" s="39"/>
    </row>
    <row r="271" spans="1:20" s="36" customFormat="1" x14ac:dyDescent="0.4">
      <c r="A271" s="1">
        <v>171479</v>
      </c>
      <c r="B271" s="1346">
        <v>60</v>
      </c>
      <c r="C271" s="1">
        <f t="shared" si="36"/>
        <v>300</v>
      </c>
      <c r="D271" s="1346">
        <v>0</v>
      </c>
      <c r="E271" s="1346">
        <v>0</v>
      </c>
      <c r="F271" s="1346">
        <v>0</v>
      </c>
      <c r="G271" s="1346">
        <v>0</v>
      </c>
      <c r="H271" s="1346">
        <v>1</v>
      </c>
      <c r="I271" s="1346">
        <v>1</v>
      </c>
      <c r="J271" s="140">
        <f t="shared" si="37"/>
        <v>2</v>
      </c>
      <c r="K271" s="140">
        <f t="shared" si="38"/>
        <v>1</v>
      </c>
      <c r="L271" s="1346">
        <f t="shared" si="39"/>
        <v>60</v>
      </c>
      <c r="M271" s="1" t="s">
        <v>2189</v>
      </c>
      <c r="N271" s="1" t="s">
        <v>2190</v>
      </c>
      <c r="O271" s="39"/>
      <c r="P271" s="39"/>
      <c r="Q271" s="39"/>
      <c r="R271" s="39"/>
      <c r="S271" s="39"/>
      <c r="T271" s="39"/>
    </row>
    <row r="272" spans="1:20" s="36" customFormat="1" x14ac:dyDescent="0.4">
      <c r="A272" s="1">
        <v>171480</v>
      </c>
      <c r="B272" s="1346">
        <v>60</v>
      </c>
      <c r="C272" s="1">
        <f t="shared" si="36"/>
        <v>300</v>
      </c>
      <c r="D272" s="1346">
        <v>0</v>
      </c>
      <c r="E272" s="1346">
        <v>0</v>
      </c>
      <c r="F272" s="1346">
        <v>0</v>
      </c>
      <c r="G272" s="1346">
        <v>0</v>
      </c>
      <c r="H272" s="1346">
        <v>1</v>
      </c>
      <c r="I272" s="1346">
        <v>1</v>
      </c>
      <c r="J272" s="140">
        <f t="shared" si="37"/>
        <v>2</v>
      </c>
      <c r="K272" s="140">
        <f t="shared" si="38"/>
        <v>1</v>
      </c>
      <c r="L272" s="1346">
        <f t="shared" si="39"/>
        <v>60</v>
      </c>
      <c r="M272" s="1" t="s">
        <v>2192</v>
      </c>
      <c r="N272" s="1" t="s">
        <v>2191</v>
      </c>
      <c r="O272" s="39"/>
      <c r="P272" s="39"/>
      <c r="Q272" s="39"/>
      <c r="R272" s="39"/>
      <c r="S272" s="39"/>
      <c r="T272" s="39"/>
    </row>
    <row r="273" spans="1:17" s="36" customFormat="1" x14ac:dyDescent="0.4">
      <c r="A273" s="1">
        <v>171481</v>
      </c>
      <c r="B273" s="1346">
        <v>50</v>
      </c>
      <c r="C273" s="1">
        <f t="shared" si="36"/>
        <v>250</v>
      </c>
      <c r="D273" s="1346">
        <v>0</v>
      </c>
      <c r="E273" s="1346">
        <v>0</v>
      </c>
      <c r="F273" s="1346">
        <v>0</v>
      </c>
      <c r="G273" s="1346">
        <v>1</v>
      </c>
      <c r="H273" s="1346">
        <v>1</v>
      </c>
      <c r="I273" s="1346">
        <v>1</v>
      </c>
      <c r="J273" s="140">
        <f t="shared" si="37"/>
        <v>3</v>
      </c>
      <c r="K273" s="140">
        <f t="shared" si="38"/>
        <v>2</v>
      </c>
      <c r="L273" s="1346">
        <f t="shared" si="39"/>
        <v>100</v>
      </c>
      <c r="M273" s="1" t="s">
        <v>2192</v>
      </c>
      <c r="N273" s="1" t="s">
        <v>2191</v>
      </c>
    </row>
    <row r="274" spans="1:17" s="36" customFormat="1" x14ac:dyDescent="0.4">
      <c r="A274" s="16">
        <v>171482</v>
      </c>
      <c r="B274" s="807">
        <v>45</v>
      </c>
      <c r="C274" s="16">
        <f t="shared" si="36"/>
        <v>225</v>
      </c>
      <c r="D274" s="807">
        <v>0</v>
      </c>
      <c r="E274" s="807">
        <v>0</v>
      </c>
      <c r="F274" s="807">
        <v>0</v>
      </c>
      <c r="G274" s="807">
        <v>0</v>
      </c>
      <c r="H274" s="807">
        <v>0</v>
      </c>
      <c r="I274" s="807">
        <v>0</v>
      </c>
      <c r="J274" s="808">
        <f t="shared" si="37"/>
        <v>0</v>
      </c>
      <c r="K274" s="808">
        <f t="shared" si="38"/>
        <v>0</v>
      </c>
      <c r="L274" s="807">
        <f t="shared" si="39"/>
        <v>0</v>
      </c>
      <c r="M274" s="16" t="s">
        <v>2194</v>
      </c>
      <c r="N274" s="16" t="s">
        <v>2195</v>
      </c>
    </row>
    <row r="275" spans="1:17" s="36" customFormat="1" x14ac:dyDescent="0.4">
      <c r="A275" s="16">
        <v>171483</v>
      </c>
      <c r="B275" s="939">
        <v>45</v>
      </c>
      <c r="C275" s="16">
        <f t="shared" si="36"/>
        <v>225</v>
      </c>
      <c r="D275" s="939">
        <v>0</v>
      </c>
      <c r="E275" s="939">
        <v>0</v>
      </c>
      <c r="F275" s="939">
        <v>0</v>
      </c>
      <c r="G275" s="939">
        <v>0</v>
      </c>
      <c r="H275" s="939">
        <v>0</v>
      </c>
      <c r="I275" s="939">
        <v>0</v>
      </c>
      <c r="J275" s="940">
        <f t="shared" si="37"/>
        <v>0</v>
      </c>
      <c r="K275" s="940">
        <f t="shared" si="38"/>
        <v>0</v>
      </c>
      <c r="L275" s="939">
        <f t="shared" si="39"/>
        <v>0</v>
      </c>
      <c r="M275" s="16" t="s">
        <v>2194</v>
      </c>
      <c r="N275" s="16" t="s">
        <v>2195</v>
      </c>
    </row>
    <row r="276" spans="1:17" s="36" customFormat="1" x14ac:dyDescent="0.4">
      <c r="A276" s="16">
        <v>171484</v>
      </c>
      <c r="B276" s="1282">
        <v>45</v>
      </c>
      <c r="C276" s="16">
        <f t="shared" si="36"/>
        <v>225</v>
      </c>
      <c r="D276" s="1282">
        <v>0</v>
      </c>
      <c r="E276" s="1282">
        <v>0</v>
      </c>
      <c r="F276" s="1282">
        <v>0</v>
      </c>
      <c r="G276" s="1282">
        <v>0</v>
      </c>
      <c r="H276" s="1282">
        <v>0</v>
      </c>
      <c r="I276" s="1282">
        <v>0</v>
      </c>
      <c r="J276" s="1283">
        <f t="shared" si="37"/>
        <v>0</v>
      </c>
      <c r="K276" s="1283">
        <f t="shared" si="38"/>
        <v>0</v>
      </c>
      <c r="L276" s="1282">
        <f t="shared" si="39"/>
        <v>0</v>
      </c>
      <c r="M276" s="16" t="s">
        <v>2194</v>
      </c>
      <c r="N276" s="16" t="s">
        <v>2195</v>
      </c>
    </row>
    <row r="277" spans="1:17" s="36" customFormat="1" x14ac:dyDescent="0.4">
      <c r="A277" s="1">
        <v>171485</v>
      </c>
      <c r="B277" s="1346">
        <v>60</v>
      </c>
      <c r="C277" s="1">
        <f t="shared" si="36"/>
        <v>300</v>
      </c>
      <c r="D277" s="1346">
        <v>0</v>
      </c>
      <c r="E277" s="1346">
        <v>0</v>
      </c>
      <c r="F277" s="1346">
        <v>0</v>
      </c>
      <c r="G277" s="1346">
        <v>0</v>
      </c>
      <c r="H277" s="1346">
        <v>1</v>
      </c>
      <c r="I277" s="1346">
        <v>1</v>
      </c>
      <c r="J277" s="140">
        <f t="shared" si="37"/>
        <v>2</v>
      </c>
      <c r="K277" s="140">
        <f t="shared" si="38"/>
        <v>1</v>
      </c>
      <c r="L277" s="1346">
        <f t="shared" si="39"/>
        <v>60</v>
      </c>
      <c r="M277" s="1" t="s">
        <v>2194</v>
      </c>
      <c r="N277" s="1" t="s">
        <v>2195</v>
      </c>
    </row>
    <row r="278" spans="1:17" s="36" customFormat="1" x14ac:dyDescent="0.4">
      <c r="A278" s="16">
        <v>171486</v>
      </c>
      <c r="B278" s="978">
        <v>45</v>
      </c>
      <c r="C278" s="16">
        <f t="shared" si="36"/>
        <v>225</v>
      </c>
      <c r="D278" s="978">
        <v>0</v>
      </c>
      <c r="E278" s="978">
        <v>0</v>
      </c>
      <c r="F278" s="978">
        <v>0</v>
      </c>
      <c r="G278" s="978">
        <v>0</v>
      </c>
      <c r="H278" s="978">
        <v>0</v>
      </c>
      <c r="I278" s="978">
        <v>0</v>
      </c>
      <c r="J278" s="979">
        <f t="shared" si="37"/>
        <v>0</v>
      </c>
      <c r="K278" s="979">
        <f t="shared" si="38"/>
        <v>0</v>
      </c>
      <c r="L278" s="978">
        <f t="shared" si="39"/>
        <v>0</v>
      </c>
      <c r="M278" s="16" t="s">
        <v>2196</v>
      </c>
      <c r="N278" s="16" t="s">
        <v>2197</v>
      </c>
    </row>
    <row r="279" spans="1:17" s="36" customFormat="1" x14ac:dyDescent="0.4">
      <c r="A279" s="16">
        <v>171487</v>
      </c>
      <c r="B279" s="855">
        <v>45</v>
      </c>
      <c r="C279" s="16">
        <f t="shared" si="36"/>
        <v>225</v>
      </c>
      <c r="D279" s="855">
        <v>0</v>
      </c>
      <c r="E279" s="855">
        <v>0</v>
      </c>
      <c r="F279" s="855">
        <v>0</v>
      </c>
      <c r="G279" s="855">
        <v>0</v>
      </c>
      <c r="H279" s="855">
        <v>0</v>
      </c>
      <c r="I279" s="855">
        <v>0</v>
      </c>
      <c r="J279" s="856">
        <f t="shared" si="37"/>
        <v>0</v>
      </c>
      <c r="K279" s="856">
        <f t="shared" si="38"/>
        <v>0</v>
      </c>
      <c r="L279" s="855">
        <f t="shared" si="39"/>
        <v>0</v>
      </c>
      <c r="M279" s="16" t="s">
        <v>2196</v>
      </c>
      <c r="N279" s="16" t="s">
        <v>2197</v>
      </c>
      <c r="O279" s="1"/>
      <c r="P279" s="1" t="s">
        <v>2053</v>
      </c>
      <c r="Q279" s="1" t="s">
        <v>2054</v>
      </c>
    </row>
    <row r="280" spans="1:17" s="36" customFormat="1" x14ac:dyDescent="0.4">
      <c r="A280" s="16">
        <v>171488</v>
      </c>
      <c r="B280" s="1282">
        <v>60</v>
      </c>
      <c r="C280" s="16">
        <f t="shared" si="36"/>
        <v>300</v>
      </c>
      <c r="D280" s="1282">
        <v>0</v>
      </c>
      <c r="E280" s="1282">
        <v>0</v>
      </c>
      <c r="F280" s="1282">
        <v>0</v>
      </c>
      <c r="G280" s="1282">
        <v>0</v>
      </c>
      <c r="H280" s="1282">
        <v>0</v>
      </c>
      <c r="I280" s="1282">
        <v>0</v>
      </c>
      <c r="J280" s="1283">
        <f t="shared" si="37"/>
        <v>0</v>
      </c>
      <c r="K280" s="1283">
        <f t="shared" si="38"/>
        <v>0</v>
      </c>
      <c r="L280" s="1282">
        <f t="shared" si="39"/>
        <v>0</v>
      </c>
      <c r="M280" s="16" t="s">
        <v>2198</v>
      </c>
      <c r="N280" s="16" t="s">
        <v>2199</v>
      </c>
    </row>
    <row r="281" spans="1:17" s="36" customFormat="1" x14ac:dyDescent="0.4">
      <c r="A281" s="16">
        <v>171489</v>
      </c>
      <c r="B281" s="809">
        <v>60</v>
      </c>
      <c r="C281" s="16">
        <f t="shared" si="36"/>
        <v>300</v>
      </c>
      <c r="D281" s="809">
        <v>0</v>
      </c>
      <c r="E281" s="809">
        <v>0</v>
      </c>
      <c r="F281" s="809">
        <v>0</v>
      </c>
      <c r="G281" s="809">
        <v>0</v>
      </c>
      <c r="H281" s="809">
        <v>0</v>
      </c>
      <c r="I281" s="809">
        <v>0</v>
      </c>
      <c r="J281" s="810">
        <f t="shared" si="37"/>
        <v>0</v>
      </c>
      <c r="K281" s="810">
        <f t="shared" si="38"/>
        <v>0</v>
      </c>
      <c r="L281" s="809">
        <f t="shared" si="39"/>
        <v>0</v>
      </c>
      <c r="M281" s="16" t="s">
        <v>2200</v>
      </c>
      <c r="N281" s="16" t="s">
        <v>2201</v>
      </c>
    </row>
    <row r="282" spans="1:17" s="36" customFormat="1" x14ac:dyDescent="0.4">
      <c r="A282" s="16">
        <v>171490</v>
      </c>
      <c r="B282" s="799">
        <v>45</v>
      </c>
      <c r="C282" s="16">
        <f t="shared" si="36"/>
        <v>225</v>
      </c>
      <c r="D282" s="799">
        <v>0</v>
      </c>
      <c r="E282" s="799">
        <v>0</v>
      </c>
      <c r="F282" s="799">
        <v>0</v>
      </c>
      <c r="G282" s="799">
        <v>0</v>
      </c>
      <c r="H282" s="799">
        <v>0</v>
      </c>
      <c r="I282" s="799">
        <v>0</v>
      </c>
      <c r="J282" s="800">
        <f t="shared" si="37"/>
        <v>0</v>
      </c>
      <c r="K282" s="800">
        <f t="shared" si="38"/>
        <v>0</v>
      </c>
      <c r="L282" s="799">
        <f t="shared" si="39"/>
        <v>0</v>
      </c>
      <c r="M282" s="16" t="s">
        <v>2202</v>
      </c>
      <c r="N282" s="16" t="s">
        <v>2203</v>
      </c>
    </row>
    <row r="283" spans="1:17" s="36" customFormat="1" x14ac:dyDescent="0.4">
      <c r="A283" s="16">
        <v>171491</v>
      </c>
      <c r="B283" s="1351">
        <v>45</v>
      </c>
      <c r="C283" s="16">
        <f t="shared" si="36"/>
        <v>225</v>
      </c>
      <c r="D283" s="1351">
        <v>0</v>
      </c>
      <c r="E283" s="1351">
        <v>0</v>
      </c>
      <c r="F283" s="1351">
        <v>0</v>
      </c>
      <c r="G283" s="1351">
        <v>0</v>
      </c>
      <c r="H283" s="1351">
        <v>0</v>
      </c>
      <c r="I283" s="1351">
        <v>0</v>
      </c>
      <c r="J283" s="1352">
        <f t="shared" si="37"/>
        <v>0</v>
      </c>
      <c r="K283" s="1352">
        <f t="shared" si="38"/>
        <v>0</v>
      </c>
      <c r="L283" s="1351">
        <f t="shared" si="39"/>
        <v>0</v>
      </c>
      <c r="M283" s="16" t="s">
        <v>2202</v>
      </c>
      <c r="N283" s="16" t="s">
        <v>2203</v>
      </c>
    </row>
    <row r="284" spans="1:17" s="36" customFormat="1" x14ac:dyDescent="0.4">
      <c r="A284" s="16">
        <v>171492</v>
      </c>
      <c r="B284" s="978">
        <v>45</v>
      </c>
      <c r="C284" s="16">
        <f t="shared" si="36"/>
        <v>225</v>
      </c>
      <c r="D284" s="978">
        <v>0</v>
      </c>
      <c r="E284" s="978">
        <v>0</v>
      </c>
      <c r="F284" s="978">
        <v>0</v>
      </c>
      <c r="G284" s="978">
        <v>0</v>
      </c>
      <c r="H284" s="978">
        <v>0</v>
      </c>
      <c r="I284" s="978">
        <v>0</v>
      </c>
      <c r="J284" s="979">
        <f t="shared" si="37"/>
        <v>0</v>
      </c>
      <c r="K284" s="979">
        <f t="shared" si="38"/>
        <v>0</v>
      </c>
      <c r="L284" s="978">
        <f t="shared" si="39"/>
        <v>0</v>
      </c>
      <c r="M284" s="16" t="s">
        <v>2204</v>
      </c>
      <c r="N284" s="16" t="s">
        <v>2205</v>
      </c>
    </row>
    <row r="285" spans="1:17" s="36" customFormat="1" x14ac:dyDescent="0.4">
      <c r="A285" s="16">
        <v>171493</v>
      </c>
      <c r="B285" s="783">
        <v>45</v>
      </c>
      <c r="C285" s="16">
        <f t="shared" si="36"/>
        <v>225</v>
      </c>
      <c r="D285" s="783">
        <v>0</v>
      </c>
      <c r="E285" s="783">
        <v>0</v>
      </c>
      <c r="F285" s="783">
        <v>0</v>
      </c>
      <c r="G285" s="783">
        <v>0</v>
      </c>
      <c r="H285" s="783">
        <v>0</v>
      </c>
      <c r="I285" s="783">
        <v>0</v>
      </c>
      <c r="J285" s="784">
        <f t="shared" si="37"/>
        <v>0</v>
      </c>
      <c r="K285" s="784">
        <f t="shared" si="38"/>
        <v>0</v>
      </c>
      <c r="L285" s="783">
        <f t="shared" si="39"/>
        <v>0</v>
      </c>
      <c r="M285" s="16" t="s">
        <v>2204</v>
      </c>
      <c r="N285" s="16" t="s">
        <v>2205</v>
      </c>
    </row>
    <row r="286" spans="1:17" s="36" customFormat="1" x14ac:dyDescent="0.4">
      <c r="A286" s="16">
        <v>171494</v>
      </c>
      <c r="B286" s="1351">
        <v>45</v>
      </c>
      <c r="C286" s="16">
        <f t="shared" si="36"/>
        <v>225</v>
      </c>
      <c r="D286" s="1351">
        <v>0</v>
      </c>
      <c r="E286" s="1351">
        <v>0</v>
      </c>
      <c r="F286" s="1351">
        <v>0</v>
      </c>
      <c r="G286" s="1351">
        <v>0</v>
      </c>
      <c r="H286" s="1351">
        <v>0</v>
      </c>
      <c r="I286" s="1351">
        <v>0</v>
      </c>
      <c r="J286" s="1352">
        <f t="shared" si="37"/>
        <v>0</v>
      </c>
      <c r="K286" s="1352">
        <f t="shared" si="38"/>
        <v>0</v>
      </c>
      <c r="L286" s="1351">
        <f t="shared" si="39"/>
        <v>0</v>
      </c>
      <c r="M286" s="16" t="s">
        <v>2204</v>
      </c>
      <c r="N286" s="16" t="s">
        <v>2205</v>
      </c>
    </row>
    <row r="287" spans="1:17" s="36" customFormat="1" x14ac:dyDescent="0.4">
      <c r="A287" s="16">
        <v>171495</v>
      </c>
      <c r="B287" s="1252">
        <v>45</v>
      </c>
      <c r="C287" s="16">
        <f t="shared" si="36"/>
        <v>225</v>
      </c>
      <c r="D287" s="1252">
        <v>0</v>
      </c>
      <c r="E287" s="1258">
        <v>0</v>
      </c>
      <c r="F287" s="1252">
        <v>0</v>
      </c>
      <c r="G287" s="1252">
        <v>0</v>
      </c>
      <c r="H287" s="1252">
        <v>0</v>
      </c>
      <c r="I287" s="1252">
        <v>0</v>
      </c>
      <c r="J287" s="1254">
        <f t="shared" si="37"/>
        <v>0</v>
      </c>
      <c r="K287" s="1254">
        <f t="shared" si="38"/>
        <v>0</v>
      </c>
      <c r="L287" s="1252">
        <f t="shared" si="39"/>
        <v>0</v>
      </c>
      <c r="M287" s="16" t="s">
        <v>2204</v>
      </c>
      <c r="N287" s="16" t="s">
        <v>2205</v>
      </c>
      <c r="O287" s="594">
        <v>0</v>
      </c>
      <c r="P287" s="36" t="s">
        <v>2290</v>
      </c>
    </row>
    <row r="288" spans="1:17" s="36" customFormat="1" x14ac:dyDescent="0.4">
      <c r="A288" s="16">
        <v>171496</v>
      </c>
      <c r="B288" s="1252">
        <v>45</v>
      </c>
      <c r="C288" s="16">
        <f t="shared" si="36"/>
        <v>225</v>
      </c>
      <c r="D288" s="1252">
        <v>0</v>
      </c>
      <c r="E288" s="1252">
        <v>0</v>
      </c>
      <c r="F288" s="1252">
        <v>0</v>
      </c>
      <c r="G288" s="1252">
        <v>0</v>
      </c>
      <c r="H288" s="1252">
        <v>0</v>
      </c>
      <c r="I288" s="1252">
        <v>0</v>
      </c>
      <c r="J288" s="1254">
        <f t="shared" si="37"/>
        <v>0</v>
      </c>
      <c r="K288" s="1254">
        <f t="shared" si="38"/>
        <v>0</v>
      </c>
      <c r="L288" s="1252">
        <f t="shared" si="39"/>
        <v>0</v>
      </c>
      <c r="M288" s="16" t="s">
        <v>2206</v>
      </c>
      <c r="N288" s="16" t="s">
        <v>2207</v>
      </c>
    </row>
    <row r="289" spans="1:15" s="36" customFormat="1" x14ac:dyDescent="0.4">
      <c r="A289" s="16">
        <v>171497</v>
      </c>
      <c r="B289" s="1252">
        <v>60</v>
      </c>
      <c r="C289" s="16">
        <f t="shared" si="36"/>
        <v>300</v>
      </c>
      <c r="D289" s="1252">
        <v>0</v>
      </c>
      <c r="E289" s="1252">
        <v>0</v>
      </c>
      <c r="F289" s="1252">
        <v>0</v>
      </c>
      <c r="G289" s="1252">
        <v>0</v>
      </c>
      <c r="H289" s="1252">
        <v>0</v>
      </c>
      <c r="I289" s="1252">
        <v>0</v>
      </c>
      <c r="J289" s="1254">
        <f t="shared" si="37"/>
        <v>0</v>
      </c>
      <c r="K289" s="1254">
        <f t="shared" si="38"/>
        <v>0</v>
      </c>
      <c r="L289" s="1252">
        <f t="shared" si="39"/>
        <v>0</v>
      </c>
      <c r="M289" s="16" t="s">
        <v>2208</v>
      </c>
      <c r="N289" s="16" t="s">
        <v>2209</v>
      </c>
    </row>
    <row r="290" spans="1:15" s="36" customFormat="1" x14ac:dyDescent="0.4">
      <c r="A290" s="16">
        <v>171498</v>
      </c>
      <c r="B290" s="966">
        <v>45</v>
      </c>
      <c r="C290" s="16">
        <f t="shared" si="36"/>
        <v>225</v>
      </c>
      <c r="D290" s="966">
        <v>0</v>
      </c>
      <c r="E290" s="966">
        <v>0</v>
      </c>
      <c r="F290" s="966">
        <v>0</v>
      </c>
      <c r="G290" s="966">
        <v>0</v>
      </c>
      <c r="H290" s="966">
        <v>0</v>
      </c>
      <c r="I290" s="966">
        <v>0</v>
      </c>
      <c r="J290" s="967">
        <f t="shared" si="37"/>
        <v>0</v>
      </c>
      <c r="K290" s="967">
        <f t="shared" si="38"/>
        <v>0</v>
      </c>
      <c r="L290" s="966">
        <f t="shared" si="39"/>
        <v>0</v>
      </c>
      <c r="M290" s="16" t="s">
        <v>2210</v>
      </c>
      <c r="N290" s="16" t="s">
        <v>2211</v>
      </c>
    </row>
    <row r="291" spans="1:15" s="36" customFormat="1" x14ac:dyDescent="0.4">
      <c r="A291" s="16">
        <v>171499</v>
      </c>
      <c r="B291" s="776">
        <v>45</v>
      </c>
      <c r="C291" s="16">
        <f t="shared" si="36"/>
        <v>225</v>
      </c>
      <c r="D291" s="776">
        <v>0</v>
      </c>
      <c r="E291" s="776">
        <v>0</v>
      </c>
      <c r="F291" s="776">
        <v>0</v>
      </c>
      <c r="G291" s="776">
        <v>0</v>
      </c>
      <c r="H291" s="776">
        <v>0</v>
      </c>
      <c r="I291" s="776">
        <v>1</v>
      </c>
      <c r="J291" s="777">
        <f t="shared" si="37"/>
        <v>1</v>
      </c>
      <c r="K291" s="777">
        <f t="shared" si="38"/>
        <v>0</v>
      </c>
      <c r="L291" s="776">
        <f t="shared" si="39"/>
        <v>0</v>
      </c>
      <c r="M291" s="16" t="s">
        <v>2210</v>
      </c>
      <c r="N291" s="16" t="s">
        <v>2211</v>
      </c>
    </row>
    <row r="292" spans="1:15" s="36" customFormat="1" x14ac:dyDescent="0.4">
      <c r="A292" s="16">
        <v>171500</v>
      </c>
      <c r="B292" s="739">
        <v>45</v>
      </c>
      <c r="C292" s="16">
        <f t="shared" ref="C292:C321" si="40">SUM(B292*5)</f>
        <v>225</v>
      </c>
      <c r="D292" s="739">
        <v>0</v>
      </c>
      <c r="E292" s="739">
        <v>0</v>
      </c>
      <c r="F292" s="739">
        <v>0</v>
      </c>
      <c r="G292" s="739">
        <v>0</v>
      </c>
      <c r="H292" s="739">
        <v>0</v>
      </c>
      <c r="I292" s="739">
        <v>0</v>
      </c>
      <c r="J292" s="740">
        <f t="shared" ref="J292:J321" si="41">SUM(D292:I292)</f>
        <v>0</v>
      </c>
      <c r="K292" s="740">
        <f t="shared" ref="K292:K321" si="42">SUM(D292:H292)</f>
        <v>0</v>
      </c>
      <c r="L292" s="739">
        <f t="shared" ref="L292:L321" si="43">B292*K292</f>
        <v>0</v>
      </c>
      <c r="M292" s="16" t="s">
        <v>2212</v>
      </c>
      <c r="N292" s="16" t="s">
        <v>2213</v>
      </c>
    </row>
    <row r="293" spans="1:15" s="36" customFormat="1" x14ac:dyDescent="0.4">
      <c r="A293" s="1">
        <v>171501</v>
      </c>
      <c r="B293" s="1371">
        <v>45</v>
      </c>
      <c r="C293" s="1">
        <f t="shared" si="40"/>
        <v>225</v>
      </c>
      <c r="D293" s="1371">
        <v>0</v>
      </c>
      <c r="E293" s="1371">
        <v>0</v>
      </c>
      <c r="F293" s="1371">
        <v>0</v>
      </c>
      <c r="G293" s="1371">
        <v>0</v>
      </c>
      <c r="H293" s="1371">
        <v>1</v>
      </c>
      <c r="I293" s="1371">
        <v>1</v>
      </c>
      <c r="J293" s="140">
        <f t="shared" si="41"/>
        <v>2</v>
      </c>
      <c r="K293" s="140">
        <f t="shared" si="42"/>
        <v>1</v>
      </c>
      <c r="L293" s="1371">
        <f t="shared" si="43"/>
        <v>45</v>
      </c>
      <c r="M293" s="1" t="s">
        <v>2212</v>
      </c>
      <c r="N293" s="1" t="s">
        <v>2213</v>
      </c>
    </row>
    <row r="294" spans="1:15" s="36" customFormat="1" x14ac:dyDescent="0.4">
      <c r="A294" s="16">
        <v>171502</v>
      </c>
      <c r="B294" s="1216">
        <v>60</v>
      </c>
      <c r="C294" s="16">
        <f t="shared" si="40"/>
        <v>300</v>
      </c>
      <c r="D294" s="1216">
        <v>0</v>
      </c>
      <c r="E294" s="1216">
        <v>0</v>
      </c>
      <c r="F294" s="1216">
        <v>0</v>
      </c>
      <c r="G294" s="1216">
        <v>0</v>
      </c>
      <c r="H294" s="1216">
        <v>0</v>
      </c>
      <c r="I294" s="1216">
        <v>0</v>
      </c>
      <c r="J294" s="1217">
        <f t="shared" si="41"/>
        <v>0</v>
      </c>
      <c r="K294" s="1217">
        <f t="shared" si="42"/>
        <v>0</v>
      </c>
      <c r="L294" s="1216">
        <f t="shared" si="43"/>
        <v>0</v>
      </c>
      <c r="M294" s="16" t="s">
        <v>2214</v>
      </c>
      <c r="N294" s="16" t="s">
        <v>2215</v>
      </c>
    </row>
    <row r="295" spans="1:15" s="36" customFormat="1" x14ac:dyDescent="0.4">
      <c r="A295" s="16">
        <v>171503</v>
      </c>
      <c r="B295" s="1216">
        <v>60</v>
      </c>
      <c r="C295" s="16">
        <f t="shared" si="40"/>
        <v>300</v>
      </c>
      <c r="D295" s="1216">
        <v>0</v>
      </c>
      <c r="E295" s="1216">
        <v>0</v>
      </c>
      <c r="F295" s="1216">
        <v>0</v>
      </c>
      <c r="G295" s="1216">
        <v>0</v>
      </c>
      <c r="H295" s="1216">
        <v>0</v>
      </c>
      <c r="I295" s="1216">
        <v>0</v>
      </c>
      <c r="J295" s="1217">
        <f t="shared" si="41"/>
        <v>0</v>
      </c>
      <c r="K295" s="1217">
        <f t="shared" si="42"/>
        <v>0</v>
      </c>
      <c r="L295" s="1216">
        <f t="shared" si="43"/>
        <v>0</v>
      </c>
      <c r="M295" s="16" t="s">
        <v>2214</v>
      </c>
      <c r="N295" s="16" t="s">
        <v>2215</v>
      </c>
    </row>
    <row r="296" spans="1:15" s="36" customFormat="1" x14ac:dyDescent="0.4">
      <c r="A296" s="16">
        <v>171504</v>
      </c>
      <c r="B296" s="1216">
        <v>45</v>
      </c>
      <c r="C296" s="16">
        <f t="shared" si="40"/>
        <v>225</v>
      </c>
      <c r="D296" s="1216">
        <v>0</v>
      </c>
      <c r="E296" s="1216">
        <v>0</v>
      </c>
      <c r="F296" s="1216">
        <v>0</v>
      </c>
      <c r="G296" s="1216">
        <v>0</v>
      </c>
      <c r="H296" s="1216">
        <v>0</v>
      </c>
      <c r="I296" s="1216">
        <v>0</v>
      </c>
      <c r="J296" s="1217">
        <f t="shared" si="41"/>
        <v>0</v>
      </c>
      <c r="K296" s="1217">
        <f t="shared" si="42"/>
        <v>0</v>
      </c>
      <c r="L296" s="1216">
        <f t="shared" si="43"/>
        <v>0</v>
      </c>
      <c r="M296" s="16" t="s">
        <v>2216</v>
      </c>
      <c r="N296" s="16" t="s">
        <v>2217</v>
      </c>
    </row>
    <row r="297" spans="1:15" s="36" customFormat="1" x14ac:dyDescent="0.4">
      <c r="A297" s="1">
        <v>171505</v>
      </c>
      <c r="B297" s="1371">
        <v>50</v>
      </c>
      <c r="C297" s="1">
        <f t="shared" si="40"/>
        <v>250</v>
      </c>
      <c r="D297" s="1371">
        <v>0</v>
      </c>
      <c r="E297" s="1371">
        <v>0</v>
      </c>
      <c r="F297" s="1371">
        <v>0</v>
      </c>
      <c r="G297" s="1371">
        <v>0</v>
      </c>
      <c r="H297" s="1371">
        <v>0</v>
      </c>
      <c r="I297" s="1371">
        <v>1</v>
      </c>
      <c r="J297" s="140">
        <f t="shared" si="41"/>
        <v>1</v>
      </c>
      <c r="K297" s="140">
        <f t="shared" si="42"/>
        <v>0</v>
      </c>
      <c r="L297" s="1371">
        <f t="shared" si="43"/>
        <v>0</v>
      </c>
      <c r="M297" s="1" t="s">
        <v>2216</v>
      </c>
      <c r="N297" s="1" t="s">
        <v>2217</v>
      </c>
    </row>
    <row r="298" spans="1:15" s="36" customFormat="1" x14ac:dyDescent="0.4">
      <c r="A298" s="1">
        <v>171506</v>
      </c>
      <c r="B298" s="1371">
        <v>60</v>
      </c>
      <c r="C298" s="1">
        <f t="shared" si="40"/>
        <v>300</v>
      </c>
      <c r="D298" s="1371">
        <v>0</v>
      </c>
      <c r="E298" s="1371">
        <v>0</v>
      </c>
      <c r="F298" s="1371">
        <v>0</v>
      </c>
      <c r="G298" s="1371">
        <v>0</v>
      </c>
      <c r="H298" s="1371">
        <v>0</v>
      </c>
      <c r="I298" s="1371">
        <v>1</v>
      </c>
      <c r="J298" s="140">
        <f t="shared" si="41"/>
        <v>1</v>
      </c>
      <c r="K298" s="140">
        <f t="shared" si="42"/>
        <v>0</v>
      </c>
      <c r="L298" s="1371">
        <f t="shared" si="43"/>
        <v>0</v>
      </c>
      <c r="M298" s="1" t="s">
        <v>2220</v>
      </c>
      <c r="N298" s="1" t="s">
        <v>2221</v>
      </c>
    </row>
    <row r="299" spans="1:15" s="36" customFormat="1" x14ac:dyDescent="0.4">
      <c r="A299" s="16">
        <v>171507</v>
      </c>
      <c r="B299" s="848">
        <v>60</v>
      </c>
      <c r="C299" s="16">
        <f t="shared" si="40"/>
        <v>300</v>
      </c>
      <c r="D299" s="848">
        <v>0</v>
      </c>
      <c r="E299" s="848">
        <v>0</v>
      </c>
      <c r="F299" s="848">
        <v>0</v>
      </c>
      <c r="G299" s="848">
        <v>0</v>
      </c>
      <c r="H299" s="848">
        <v>0</v>
      </c>
      <c r="I299" s="848">
        <v>0</v>
      </c>
      <c r="J299" s="849">
        <f t="shared" si="41"/>
        <v>0</v>
      </c>
      <c r="K299" s="849">
        <f t="shared" si="42"/>
        <v>0</v>
      </c>
      <c r="L299" s="848">
        <f t="shared" si="43"/>
        <v>0</v>
      </c>
      <c r="M299" s="16" t="s">
        <v>2218</v>
      </c>
      <c r="N299" s="16" t="s">
        <v>2219</v>
      </c>
    </row>
    <row r="300" spans="1:15" s="36" customFormat="1" x14ac:dyDescent="0.4">
      <c r="A300" s="16">
        <v>171508</v>
      </c>
      <c r="B300" s="990">
        <v>45</v>
      </c>
      <c r="C300" s="16">
        <f t="shared" si="40"/>
        <v>225</v>
      </c>
      <c r="D300" s="990">
        <v>0</v>
      </c>
      <c r="E300" s="990">
        <v>0</v>
      </c>
      <c r="F300" s="990">
        <v>0</v>
      </c>
      <c r="G300" s="990">
        <v>0</v>
      </c>
      <c r="H300" s="990">
        <v>0</v>
      </c>
      <c r="I300" s="990">
        <v>0</v>
      </c>
      <c r="J300" s="991">
        <f t="shared" si="41"/>
        <v>0</v>
      </c>
      <c r="K300" s="991">
        <f t="shared" si="42"/>
        <v>0</v>
      </c>
      <c r="L300" s="990">
        <f t="shared" si="43"/>
        <v>0</v>
      </c>
      <c r="M300" s="16" t="s">
        <v>2220</v>
      </c>
      <c r="N300" s="16" t="s">
        <v>2221</v>
      </c>
    </row>
    <row r="301" spans="1:15" s="36" customFormat="1" x14ac:dyDescent="0.4">
      <c r="A301" s="1">
        <v>171509</v>
      </c>
      <c r="B301" s="1371">
        <v>45</v>
      </c>
      <c r="C301" s="1">
        <f t="shared" si="40"/>
        <v>225</v>
      </c>
      <c r="D301" s="1371">
        <v>0</v>
      </c>
      <c r="E301" s="1371">
        <v>0</v>
      </c>
      <c r="F301" s="1371">
        <v>0</v>
      </c>
      <c r="G301" s="1371">
        <v>1</v>
      </c>
      <c r="H301" s="1371">
        <v>1</v>
      </c>
      <c r="I301" s="1371">
        <v>1</v>
      </c>
      <c r="J301" s="140">
        <f t="shared" si="41"/>
        <v>3</v>
      </c>
      <c r="K301" s="140">
        <f t="shared" si="42"/>
        <v>2</v>
      </c>
      <c r="L301" s="1371">
        <f t="shared" si="43"/>
        <v>90</v>
      </c>
      <c r="M301" s="1" t="s">
        <v>2220</v>
      </c>
      <c r="N301" s="1" t="s">
        <v>2221</v>
      </c>
    </row>
    <row r="302" spans="1:15" s="36" customFormat="1" x14ac:dyDescent="0.4">
      <c r="A302" s="16">
        <v>171510</v>
      </c>
      <c r="B302" s="1351">
        <v>45</v>
      </c>
      <c r="C302" s="16">
        <f t="shared" si="40"/>
        <v>225</v>
      </c>
      <c r="D302" s="1351">
        <v>0</v>
      </c>
      <c r="E302" s="1351">
        <v>0</v>
      </c>
      <c r="F302" s="1351">
        <v>0</v>
      </c>
      <c r="G302" s="1351">
        <v>0</v>
      </c>
      <c r="H302" s="1351">
        <v>0</v>
      </c>
      <c r="I302" s="1351">
        <v>0</v>
      </c>
      <c r="J302" s="1352">
        <f t="shared" si="41"/>
        <v>0</v>
      </c>
      <c r="K302" s="1352">
        <f t="shared" si="42"/>
        <v>0</v>
      </c>
      <c r="L302" s="1351">
        <f t="shared" si="43"/>
        <v>0</v>
      </c>
      <c r="M302" s="16" t="s">
        <v>2222</v>
      </c>
      <c r="N302" s="16" t="s">
        <v>2223</v>
      </c>
    </row>
    <row r="303" spans="1:15" s="36" customFormat="1" x14ac:dyDescent="0.4">
      <c r="A303" s="1">
        <v>171511</v>
      </c>
      <c r="B303" s="1371">
        <v>60</v>
      </c>
      <c r="C303" s="1">
        <f t="shared" si="40"/>
        <v>300</v>
      </c>
      <c r="D303" s="1371">
        <v>0</v>
      </c>
      <c r="E303" s="1371">
        <v>0</v>
      </c>
      <c r="F303" s="1371">
        <v>0</v>
      </c>
      <c r="G303" s="1371">
        <v>0</v>
      </c>
      <c r="H303" s="1371">
        <v>0</v>
      </c>
      <c r="I303" s="1371">
        <v>1</v>
      </c>
      <c r="J303" s="140">
        <f t="shared" si="41"/>
        <v>1</v>
      </c>
      <c r="K303" s="140">
        <f t="shared" si="42"/>
        <v>0</v>
      </c>
      <c r="L303" s="1371">
        <f t="shared" si="43"/>
        <v>0</v>
      </c>
      <c r="M303" s="1" t="s">
        <v>2222</v>
      </c>
      <c r="N303" s="1" t="s">
        <v>2223</v>
      </c>
    </row>
    <row r="304" spans="1:15" s="36" customFormat="1" x14ac:dyDescent="0.4">
      <c r="A304" s="1">
        <v>171512</v>
      </c>
      <c r="B304" s="1371">
        <v>0</v>
      </c>
      <c r="C304" s="1">
        <f t="shared" si="40"/>
        <v>0</v>
      </c>
      <c r="D304" s="1371">
        <v>0</v>
      </c>
      <c r="E304" s="1371">
        <v>0</v>
      </c>
      <c r="F304" s="1371">
        <v>1</v>
      </c>
      <c r="G304" s="1371">
        <v>1</v>
      </c>
      <c r="H304" s="1371">
        <v>1</v>
      </c>
      <c r="I304" s="1371">
        <v>1</v>
      </c>
      <c r="J304" s="140">
        <f t="shared" si="41"/>
        <v>4</v>
      </c>
      <c r="K304" s="140">
        <f t="shared" si="42"/>
        <v>3</v>
      </c>
      <c r="L304" s="1371">
        <f t="shared" si="43"/>
        <v>0</v>
      </c>
      <c r="M304" s="1" t="s">
        <v>2222</v>
      </c>
      <c r="N304" s="1" t="s">
        <v>2223</v>
      </c>
      <c r="O304" s="36" t="s">
        <v>2852</v>
      </c>
    </row>
    <row r="305" spans="1:14" s="36" customFormat="1" x14ac:dyDescent="0.4">
      <c r="A305" s="16">
        <v>171513</v>
      </c>
      <c r="B305" s="1275">
        <v>45</v>
      </c>
      <c r="C305" s="16">
        <f t="shared" si="40"/>
        <v>225</v>
      </c>
      <c r="D305" s="1275">
        <v>0</v>
      </c>
      <c r="E305" s="1275">
        <v>0</v>
      </c>
      <c r="F305" s="1275">
        <v>0</v>
      </c>
      <c r="G305" s="1275">
        <v>0</v>
      </c>
      <c r="H305" s="1275">
        <v>0</v>
      </c>
      <c r="I305" s="1275">
        <v>0</v>
      </c>
      <c r="J305" s="1276">
        <f t="shared" si="41"/>
        <v>0</v>
      </c>
      <c r="K305" s="1276">
        <f t="shared" si="42"/>
        <v>0</v>
      </c>
      <c r="L305" s="1275">
        <f t="shared" si="43"/>
        <v>0</v>
      </c>
      <c r="M305" s="16" t="s">
        <v>2224</v>
      </c>
      <c r="N305" s="16" t="s">
        <v>2225</v>
      </c>
    </row>
    <row r="306" spans="1:14" s="36" customFormat="1" x14ac:dyDescent="0.4">
      <c r="A306" s="16">
        <v>171514</v>
      </c>
      <c r="B306" s="682">
        <v>45</v>
      </c>
      <c r="C306" s="16">
        <f t="shared" si="40"/>
        <v>225</v>
      </c>
      <c r="D306" s="682">
        <v>0</v>
      </c>
      <c r="E306" s="682">
        <v>0</v>
      </c>
      <c r="F306" s="682">
        <v>0</v>
      </c>
      <c r="G306" s="682">
        <v>0</v>
      </c>
      <c r="H306" s="682">
        <v>0</v>
      </c>
      <c r="I306" s="682">
        <v>0</v>
      </c>
      <c r="J306" s="683">
        <f t="shared" si="41"/>
        <v>0</v>
      </c>
      <c r="K306" s="683">
        <f t="shared" si="42"/>
        <v>0</v>
      </c>
      <c r="L306" s="682">
        <f t="shared" si="43"/>
        <v>0</v>
      </c>
      <c r="M306" s="16" t="s">
        <v>2224</v>
      </c>
      <c r="N306" s="16" t="s">
        <v>2225</v>
      </c>
    </row>
    <row r="307" spans="1:14" s="36" customFormat="1" x14ac:dyDescent="0.4">
      <c r="A307" s="16">
        <v>171515</v>
      </c>
      <c r="B307" s="813">
        <v>60</v>
      </c>
      <c r="C307" s="16">
        <f t="shared" si="40"/>
        <v>300</v>
      </c>
      <c r="D307" s="813">
        <v>0</v>
      </c>
      <c r="E307" s="813">
        <v>0</v>
      </c>
      <c r="F307" s="813">
        <v>0</v>
      </c>
      <c r="G307" s="813">
        <v>0</v>
      </c>
      <c r="H307" s="813">
        <v>0</v>
      </c>
      <c r="I307" s="813">
        <v>0</v>
      </c>
      <c r="J307" s="814">
        <f t="shared" si="41"/>
        <v>0</v>
      </c>
      <c r="K307" s="814">
        <f t="shared" si="42"/>
        <v>0</v>
      </c>
      <c r="L307" s="813">
        <f t="shared" si="43"/>
        <v>0</v>
      </c>
      <c r="M307" s="16" t="s">
        <v>2224</v>
      </c>
      <c r="N307" s="16" t="s">
        <v>2225</v>
      </c>
    </row>
    <row r="308" spans="1:14" s="36" customFormat="1" x14ac:dyDescent="0.4">
      <c r="A308" s="16">
        <v>171516</v>
      </c>
      <c r="B308" s="861">
        <v>60</v>
      </c>
      <c r="C308" s="16">
        <f t="shared" si="40"/>
        <v>300</v>
      </c>
      <c r="D308" s="861">
        <v>0</v>
      </c>
      <c r="E308" s="861">
        <v>0</v>
      </c>
      <c r="F308" s="861">
        <v>0</v>
      </c>
      <c r="G308" s="861">
        <v>0</v>
      </c>
      <c r="H308" s="861">
        <v>0</v>
      </c>
      <c r="I308" s="861">
        <v>0</v>
      </c>
      <c r="J308" s="863">
        <f t="shared" si="41"/>
        <v>0</v>
      </c>
      <c r="K308" s="863">
        <f t="shared" si="42"/>
        <v>0</v>
      </c>
      <c r="L308" s="861">
        <f t="shared" si="43"/>
        <v>0</v>
      </c>
      <c r="M308" s="16" t="s">
        <v>2224</v>
      </c>
      <c r="N308" s="16" t="s">
        <v>2225</v>
      </c>
    </row>
    <row r="309" spans="1:14" s="36" customFormat="1" x14ac:dyDescent="0.4">
      <c r="A309" s="1">
        <v>171517</v>
      </c>
      <c r="B309" s="1389">
        <v>45</v>
      </c>
      <c r="C309" s="1">
        <f t="shared" si="40"/>
        <v>225</v>
      </c>
      <c r="D309" s="1389">
        <v>0</v>
      </c>
      <c r="E309" s="1389">
        <v>0</v>
      </c>
      <c r="F309" s="1389">
        <v>0</v>
      </c>
      <c r="G309" s="1389">
        <v>0</v>
      </c>
      <c r="H309" s="1389">
        <v>1</v>
      </c>
      <c r="I309" s="1389">
        <v>1</v>
      </c>
      <c r="J309" s="140">
        <f t="shared" si="41"/>
        <v>2</v>
      </c>
      <c r="K309" s="140">
        <f t="shared" si="42"/>
        <v>1</v>
      </c>
      <c r="L309" s="1389">
        <f t="shared" si="43"/>
        <v>45</v>
      </c>
      <c r="M309" s="1" t="s">
        <v>2226</v>
      </c>
      <c r="N309" s="1" t="s">
        <v>2227</v>
      </c>
    </row>
    <row r="310" spans="1:14" s="36" customFormat="1" x14ac:dyDescent="0.4">
      <c r="A310" s="1">
        <v>171518</v>
      </c>
      <c r="B310" s="1389">
        <v>45</v>
      </c>
      <c r="C310" s="1">
        <f t="shared" si="40"/>
        <v>225</v>
      </c>
      <c r="D310" s="1389">
        <v>0</v>
      </c>
      <c r="E310" s="1389">
        <v>0</v>
      </c>
      <c r="F310" s="1389">
        <v>0</v>
      </c>
      <c r="G310" s="1389">
        <v>0</v>
      </c>
      <c r="H310" s="1389">
        <v>0</v>
      </c>
      <c r="I310" s="1389">
        <v>1</v>
      </c>
      <c r="J310" s="140">
        <f t="shared" si="41"/>
        <v>1</v>
      </c>
      <c r="K310" s="140">
        <f t="shared" si="42"/>
        <v>0</v>
      </c>
      <c r="L310" s="1389">
        <f t="shared" si="43"/>
        <v>0</v>
      </c>
      <c r="M310" s="1" t="s">
        <v>2226</v>
      </c>
      <c r="N310" s="1" t="s">
        <v>2227</v>
      </c>
    </row>
    <row r="311" spans="1:14" s="36" customFormat="1" x14ac:dyDescent="0.4">
      <c r="A311" s="16">
        <v>171519</v>
      </c>
      <c r="B311" s="833">
        <v>45</v>
      </c>
      <c r="C311" s="16">
        <f t="shared" si="40"/>
        <v>225</v>
      </c>
      <c r="D311" s="833">
        <v>0</v>
      </c>
      <c r="E311" s="833">
        <v>0</v>
      </c>
      <c r="F311" s="833">
        <v>0</v>
      </c>
      <c r="G311" s="833">
        <v>0</v>
      </c>
      <c r="H311" s="833">
        <v>0</v>
      </c>
      <c r="I311" s="833">
        <v>0</v>
      </c>
      <c r="J311" s="834">
        <f t="shared" si="41"/>
        <v>0</v>
      </c>
      <c r="K311" s="834">
        <f t="shared" si="42"/>
        <v>0</v>
      </c>
      <c r="L311" s="833">
        <f t="shared" si="43"/>
        <v>0</v>
      </c>
      <c r="M311" s="16" t="s">
        <v>2228</v>
      </c>
      <c r="N311" s="16" t="s">
        <v>2229</v>
      </c>
    </row>
    <row r="312" spans="1:14" s="36" customFormat="1" x14ac:dyDescent="0.4">
      <c r="A312" s="1">
        <v>171520</v>
      </c>
      <c r="B312" s="1400">
        <v>45</v>
      </c>
      <c r="C312" s="1">
        <f t="shared" si="40"/>
        <v>225</v>
      </c>
      <c r="D312" s="1400">
        <v>0</v>
      </c>
      <c r="E312" s="1400">
        <v>0</v>
      </c>
      <c r="F312" s="1400">
        <v>0</v>
      </c>
      <c r="G312" s="1400">
        <v>0</v>
      </c>
      <c r="H312" s="1400">
        <v>0</v>
      </c>
      <c r="I312" s="1400">
        <v>1</v>
      </c>
      <c r="J312" s="140">
        <f t="shared" si="41"/>
        <v>1</v>
      </c>
      <c r="K312" s="140">
        <f t="shared" si="42"/>
        <v>0</v>
      </c>
      <c r="L312" s="1400">
        <f t="shared" si="43"/>
        <v>0</v>
      </c>
      <c r="M312" s="1" t="s">
        <v>2228</v>
      </c>
      <c r="N312" s="1" t="s">
        <v>2229</v>
      </c>
    </row>
    <row r="313" spans="1:14" s="36" customFormat="1" x14ac:dyDescent="0.4">
      <c r="A313" s="1">
        <v>171521</v>
      </c>
      <c r="B313" s="1400">
        <v>60</v>
      </c>
      <c r="C313" s="1">
        <f t="shared" si="40"/>
        <v>300</v>
      </c>
      <c r="D313" s="1400">
        <v>0</v>
      </c>
      <c r="E313" s="1400">
        <v>0</v>
      </c>
      <c r="F313" s="1400">
        <v>0</v>
      </c>
      <c r="G313" s="1400">
        <v>0</v>
      </c>
      <c r="H313" s="1400">
        <v>0</v>
      </c>
      <c r="I313" s="1400">
        <v>1</v>
      </c>
      <c r="J313" s="140">
        <f t="shared" si="41"/>
        <v>1</v>
      </c>
      <c r="K313" s="140">
        <f t="shared" si="42"/>
        <v>0</v>
      </c>
      <c r="L313" s="1400">
        <f t="shared" si="43"/>
        <v>0</v>
      </c>
      <c r="M313" s="1" t="s">
        <v>2230</v>
      </c>
      <c r="N313" s="1" t="s">
        <v>2231</v>
      </c>
    </row>
    <row r="314" spans="1:14" s="36" customFormat="1" x14ac:dyDescent="0.4">
      <c r="A314" s="16">
        <v>171522</v>
      </c>
      <c r="B314" s="823">
        <v>60</v>
      </c>
      <c r="C314" s="16">
        <f t="shared" si="40"/>
        <v>300</v>
      </c>
      <c r="D314" s="823">
        <v>0</v>
      </c>
      <c r="E314" s="823">
        <v>0</v>
      </c>
      <c r="F314" s="823">
        <v>0</v>
      </c>
      <c r="G314" s="823">
        <v>0</v>
      </c>
      <c r="H314" s="823">
        <v>0</v>
      </c>
      <c r="I314" s="823">
        <v>0</v>
      </c>
      <c r="J314" s="824">
        <f t="shared" si="41"/>
        <v>0</v>
      </c>
      <c r="K314" s="824">
        <f t="shared" si="42"/>
        <v>0</v>
      </c>
      <c r="L314" s="823">
        <f t="shared" si="43"/>
        <v>0</v>
      </c>
      <c r="M314" s="16" t="s">
        <v>2232</v>
      </c>
      <c r="N314" s="16" t="s">
        <v>2233</v>
      </c>
    </row>
    <row r="315" spans="1:14" s="36" customFormat="1" x14ac:dyDescent="0.4">
      <c r="A315" s="1">
        <v>171523</v>
      </c>
      <c r="B315" s="1400">
        <v>50</v>
      </c>
      <c r="C315" s="1">
        <f t="shared" si="40"/>
        <v>250</v>
      </c>
      <c r="D315" s="1400">
        <v>0</v>
      </c>
      <c r="E315" s="1400">
        <v>0</v>
      </c>
      <c r="F315" s="1400">
        <v>0</v>
      </c>
      <c r="G315" s="1400">
        <v>0</v>
      </c>
      <c r="H315" s="1400">
        <v>0</v>
      </c>
      <c r="I315" s="1400">
        <v>0</v>
      </c>
      <c r="J315" s="140">
        <f t="shared" si="41"/>
        <v>0</v>
      </c>
      <c r="K315" s="140">
        <f t="shared" si="42"/>
        <v>0</v>
      </c>
      <c r="L315" s="1400">
        <f t="shared" si="43"/>
        <v>0</v>
      </c>
      <c r="M315" s="1" t="s">
        <v>2232</v>
      </c>
      <c r="N315" s="1" t="s">
        <v>2233</v>
      </c>
    </row>
    <row r="316" spans="1:14" s="36" customFormat="1" x14ac:dyDescent="0.4">
      <c r="A316" s="16">
        <v>171524</v>
      </c>
      <c r="B316" s="1390">
        <v>60</v>
      </c>
      <c r="C316" s="16">
        <f t="shared" si="40"/>
        <v>300</v>
      </c>
      <c r="D316" s="1390">
        <v>0</v>
      </c>
      <c r="E316" s="1390">
        <v>0</v>
      </c>
      <c r="F316" s="1390">
        <v>0</v>
      </c>
      <c r="G316" s="1390">
        <v>0</v>
      </c>
      <c r="H316" s="1390">
        <v>0</v>
      </c>
      <c r="I316" s="1390">
        <v>0</v>
      </c>
      <c r="J316" s="1391">
        <f t="shared" si="41"/>
        <v>0</v>
      </c>
      <c r="K316" s="1391">
        <f t="shared" si="42"/>
        <v>0</v>
      </c>
      <c r="L316" s="1390">
        <f t="shared" si="43"/>
        <v>0</v>
      </c>
      <c r="M316" s="16" t="s">
        <v>2232</v>
      </c>
      <c r="N316" s="16" t="s">
        <v>2233</v>
      </c>
    </row>
    <row r="317" spans="1:14" s="36" customFormat="1" x14ac:dyDescent="0.4">
      <c r="A317" s="16">
        <v>171525</v>
      </c>
      <c r="B317" s="1390">
        <v>45</v>
      </c>
      <c r="C317" s="16">
        <f t="shared" si="40"/>
        <v>225</v>
      </c>
      <c r="D317" s="1390">
        <v>0</v>
      </c>
      <c r="E317" s="1390">
        <v>0</v>
      </c>
      <c r="F317" s="1390">
        <v>0</v>
      </c>
      <c r="G317" s="1390">
        <v>0</v>
      </c>
      <c r="H317" s="1390">
        <v>0</v>
      </c>
      <c r="I317" s="1390">
        <v>0</v>
      </c>
      <c r="J317" s="1391">
        <f t="shared" si="41"/>
        <v>0</v>
      </c>
      <c r="K317" s="1391">
        <f t="shared" si="42"/>
        <v>0</v>
      </c>
      <c r="L317" s="1390">
        <f t="shared" si="43"/>
        <v>0</v>
      </c>
      <c r="M317" s="16" t="s">
        <v>2232</v>
      </c>
      <c r="N317" s="16" t="s">
        <v>2233</v>
      </c>
    </row>
    <row r="318" spans="1:14" s="36" customFormat="1" x14ac:dyDescent="0.4">
      <c r="A318" s="16">
        <v>171526</v>
      </c>
      <c r="B318" s="1076">
        <v>45</v>
      </c>
      <c r="C318" s="16">
        <f t="shared" si="40"/>
        <v>225</v>
      </c>
      <c r="D318" s="1076">
        <v>0</v>
      </c>
      <c r="E318" s="1076">
        <v>0</v>
      </c>
      <c r="F318" s="1076">
        <v>0</v>
      </c>
      <c r="G318" s="1076">
        <v>0</v>
      </c>
      <c r="H318" s="1076">
        <v>0</v>
      </c>
      <c r="I318" s="1076">
        <v>0</v>
      </c>
      <c r="J318" s="1077">
        <f t="shared" si="41"/>
        <v>0</v>
      </c>
      <c r="K318" s="1077">
        <f t="shared" si="42"/>
        <v>0</v>
      </c>
      <c r="L318" s="1076">
        <f t="shared" si="43"/>
        <v>0</v>
      </c>
      <c r="M318" s="16" t="s">
        <v>2232</v>
      </c>
      <c r="N318" s="16" t="s">
        <v>2233</v>
      </c>
    </row>
    <row r="319" spans="1:14" s="36" customFormat="1" x14ac:dyDescent="0.4">
      <c r="A319" s="16">
        <v>171527</v>
      </c>
      <c r="B319" s="1076">
        <v>60</v>
      </c>
      <c r="C319" s="16">
        <f t="shared" si="40"/>
        <v>300</v>
      </c>
      <c r="D319" s="1076">
        <v>0</v>
      </c>
      <c r="E319" s="1076">
        <v>0</v>
      </c>
      <c r="F319" s="1076">
        <v>0</v>
      </c>
      <c r="G319" s="1076">
        <v>0</v>
      </c>
      <c r="H319" s="1076">
        <v>0</v>
      </c>
      <c r="I319" s="1076">
        <v>0</v>
      </c>
      <c r="J319" s="1077">
        <f t="shared" si="41"/>
        <v>0</v>
      </c>
      <c r="K319" s="1077">
        <f t="shared" si="42"/>
        <v>0</v>
      </c>
      <c r="L319" s="1076">
        <f t="shared" si="43"/>
        <v>0</v>
      </c>
      <c r="M319" s="16" t="s">
        <v>2234</v>
      </c>
      <c r="N319" s="16" t="s">
        <v>2235</v>
      </c>
    </row>
    <row r="320" spans="1:14" s="36" customFormat="1" x14ac:dyDescent="0.4">
      <c r="A320" s="1">
        <v>171528</v>
      </c>
      <c r="B320" s="1400">
        <v>45</v>
      </c>
      <c r="C320" s="1">
        <f t="shared" si="40"/>
        <v>225</v>
      </c>
      <c r="D320" s="1400">
        <v>0</v>
      </c>
      <c r="E320" s="1400">
        <v>0</v>
      </c>
      <c r="F320" s="1400">
        <v>0</v>
      </c>
      <c r="G320" s="1400">
        <v>1</v>
      </c>
      <c r="H320" s="1400">
        <v>1</v>
      </c>
      <c r="I320" s="1400">
        <v>1</v>
      </c>
      <c r="J320" s="140">
        <f t="shared" si="41"/>
        <v>3</v>
      </c>
      <c r="K320" s="140">
        <f t="shared" si="42"/>
        <v>2</v>
      </c>
      <c r="L320" s="1400">
        <f t="shared" si="43"/>
        <v>90</v>
      </c>
      <c r="M320" s="1" t="s">
        <v>2234</v>
      </c>
      <c r="N320" s="1" t="s">
        <v>2235</v>
      </c>
    </row>
    <row r="321" spans="1:16" s="36" customFormat="1" x14ac:dyDescent="0.4">
      <c r="A321" s="16">
        <v>171529</v>
      </c>
      <c r="B321" s="751">
        <v>60</v>
      </c>
      <c r="C321" s="16">
        <f t="shared" si="40"/>
        <v>300</v>
      </c>
      <c r="D321" s="751">
        <v>0</v>
      </c>
      <c r="E321" s="751">
        <v>0</v>
      </c>
      <c r="F321" s="751">
        <v>0</v>
      </c>
      <c r="G321" s="751">
        <v>0</v>
      </c>
      <c r="H321" s="751">
        <v>0</v>
      </c>
      <c r="I321" s="751">
        <v>0</v>
      </c>
      <c r="J321" s="752">
        <f t="shared" si="41"/>
        <v>0</v>
      </c>
      <c r="K321" s="752">
        <f t="shared" si="42"/>
        <v>0</v>
      </c>
      <c r="L321" s="751">
        <f t="shared" si="43"/>
        <v>0</v>
      </c>
      <c r="M321" s="16" t="s">
        <v>2236</v>
      </c>
      <c r="N321" s="16" t="s">
        <v>2237</v>
      </c>
    </row>
    <row r="322" spans="1:16" s="36" customFormat="1" x14ac:dyDescent="0.4">
      <c r="A322" s="16">
        <v>171530</v>
      </c>
      <c r="B322" s="892">
        <v>45</v>
      </c>
      <c r="C322" s="16">
        <f t="shared" ref="C322:C351" si="44">SUM(B322*5)</f>
        <v>225</v>
      </c>
      <c r="D322" s="892">
        <v>0</v>
      </c>
      <c r="E322" s="892">
        <v>0</v>
      </c>
      <c r="F322" s="892">
        <v>0</v>
      </c>
      <c r="G322" s="892">
        <v>0</v>
      </c>
      <c r="H322" s="892">
        <v>0</v>
      </c>
      <c r="I322" s="892">
        <v>0</v>
      </c>
      <c r="J322" s="893">
        <f t="shared" ref="J322:J351" si="45">SUM(D322:I322)</f>
        <v>0</v>
      </c>
      <c r="K322" s="893">
        <f t="shared" ref="K322:K351" si="46">SUM(D322:H322)</f>
        <v>0</v>
      </c>
      <c r="L322" s="892">
        <f t="shared" ref="L322:L351" si="47">B322*K322</f>
        <v>0</v>
      </c>
      <c r="M322" s="16" t="s">
        <v>2236</v>
      </c>
      <c r="N322" s="16" t="s">
        <v>2237</v>
      </c>
    </row>
    <row r="323" spans="1:16" s="36" customFormat="1" x14ac:dyDescent="0.4">
      <c r="A323" s="16">
        <v>171531</v>
      </c>
      <c r="B323" s="1076">
        <v>60</v>
      </c>
      <c r="C323" s="16">
        <f t="shared" si="44"/>
        <v>300</v>
      </c>
      <c r="D323" s="1076">
        <v>0</v>
      </c>
      <c r="E323" s="1076">
        <v>0</v>
      </c>
      <c r="F323" s="1076">
        <v>0</v>
      </c>
      <c r="G323" s="1076">
        <v>0</v>
      </c>
      <c r="H323" s="1076">
        <v>0</v>
      </c>
      <c r="I323" s="1076">
        <v>0</v>
      </c>
      <c r="J323" s="1077">
        <f t="shared" si="45"/>
        <v>0</v>
      </c>
      <c r="K323" s="1077">
        <f t="shared" si="46"/>
        <v>0</v>
      </c>
      <c r="L323" s="1076">
        <f t="shared" si="47"/>
        <v>0</v>
      </c>
      <c r="M323" s="16" t="s">
        <v>2238</v>
      </c>
      <c r="N323" s="16" t="s">
        <v>2239</v>
      </c>
    </row>
    <row r="324" spans="1:16" s="36" customFormat="1" x14ac:dyDescent="0.4">
      <c r="A324" s="1">
        <v>171532</v>
      </c>
      <c r="B324" s="1400">
        <v>50</v>
      </c>
      <c r="C324" s="1">
        <f t="shared" si="44"/>
        <v>250</v>
      </c>
      <c r="D324" s="1400">
        <v>0</v>
      </c>
      <c r="E324" s="1400">
        <v>0</v>
      </c>
      <c r="F324" s="1400">
        <v>0</v>
      </c>
      <c r="G324" s="1400">
        <v>0</v>
      </c>
      <c r="H324" s="1400">
        <v>0</v>
      </c>
      <c r="I324" s="1400">
        <v>1</v>
      </c>
      <c r="J324" s="140">
        <f t="shared" si="45"/>
        <v>1</v>
      </c>
      <c r="K324" s="140">
        <f t="shared" si="46"/>
        <v>0</v>
      </c>
      <c r="L324" s="1400">
        <f t="shared" si="47"/>
        <v>0</v>
      </c>
      <c r="M324" s="1" t="s">
        <v>2238</v>
      </c>
      <c r="N324" s="1" t="s">
        <v>2239</v>
      </c>
    </row>
    <row r="325" spans="1:16" s="36" customFormat="1" x14ac:dyDescent="0.4">
      <c r="A325" s="16">
        <v>171533</v>
      </c>
      <c r="B325" s="789">
        <v>60</v>
      </c>
      <c r="C325" s="16">
        <f t="shared" si="44"/>
        <v>300</v>
      </c>
      <c r="D325" s="789">
        <v>0</v>
      </c>
      <c r="E325" s="789">
        <v>0</v>
      </c>
      <c r="F325" s="789">
        <v>0</v>
      </c>
      <c r="G325" s="789">
        <v>0</v>
      </c>
      <c r="H325" s="789">
        <v>0</v>
      </c>
      <c r="I325" s="789">
        <v>0</v>
      </c>
      <c r="J325" s="790">
        <f t="shared" si="45"/>
        <v>0</v>
      </c>
      <c r="K325" s="790">
        <f t="shared" si="46"/>
        <v>0</v>
      </c>
      <c r="L325" s="789">
        <f t="shared" si="47"/>
        <v>0</v>
      </c>
      <c r="M325" s="16" t="s">
        <v>2238</v>
      </c>
      <c r="N325" s="16" t="s">
        <v>2239</v>
      </c>
    </row>
    <row r="326" spans="1:16" s="36" customFormat="1" x14ac:dyDescent="0.4">
      <c r="A326" s="16">
        <v>171534</v>
      </c>
      <c r="B326" s="1076">
        <v>45</v>
      </c>
      <c r="C326" s="16">
        <f t="shared" si="44"/>
        <v>225</v>
      </c>
      <c r="D326" s="1076">
        <v>0</v>
      </c>
      <c r="E326" s="1076">
        <v>0</v>
      </c>
      <c r="F326" s="1076">
        <v>0</v>
      </c>
      <c r="G326" s="1076">
        <v>0</v>
      </c>
      <c r="H326" s="1076">
        <v>0</v>
      </c>
      <c r="I326" s="1076">
        <v>0</v>
      </c>
      <c r="J326" s="1077">
        <f t="shared" si="45"/>
        <v>0</v>
      </c>
      <c r="K326" s="1077">
        <f t="shared" si="46"/>
        <v>0</v>
      </c>
      <c r="L326" s="1076">
        <f t="shared" si="47"/>
        <v>0</v>
      </c>
      <c r="M326" s="16" t="s">
        <v>2240</v>
      </c>
      <c r="N326" s="16" t="s">
        <v>2241</v>
      </c>
    </row>
    <row r="327" spans="1:16" s="36" customFormat="1" x14ac:dyDescent="0.4">
      <c r="A327" s="16">
        <v>171535</v>
      </c>
      <c r="B327" s="1322">
        <v>45</v>
      </c>
      <c r="C327" s="16">
        <f t="shared" si="44"/>
        <v>225</v>
      </c>
      <c r="D327" s="1322">
        <v>0</v>
      </c>
      <c r="E327" s="1322">
        <v>0</v>
      </c>
      <c r="F327" s="1322">
        <v>0</v>
      </c>
      <c r="G327" s="1322">
        <v>0</v>
      </c>
      <c r="H327" s="1322">
        <v>0</v>
      </c>
      <c r="I327" s="1322">
        <v>0</v>
      </c>
      <c r="J327" s="1323">
        <f t="shared" si="45"/>
        <v>0</v>
      </c>
      <c r="K327" s="1323">
        <f t="shared" si="46"/>
        <v>0</v>
      </c>
      <c r="L327" s="1322">
        <f t="shared" si="47"/>
        <v>0</v>
      </c>
      <c r="M327" s="16" t="s">
        <v>2240</v>
      </c>
      <c r="N327" s="16" t="s">
        <v>2241</v>
      </c>
    </row>
    <row r="328" spans="1:16" s="36" customFormat="1" x14ac:dyDescent="0.4">
      <c r="A328" s="16">
        <v>171536</v>
      </c>
      <c r="B328" s="838">
        <v>45</v>
      </c>
      <c r="C328" s="16">
        <f t="shared" si="44"/>
        <v>225</v>
      </c>
      <c r="D328" s="838">
        <v>0</v>
      </c>
      <c r="E328" s="838">
        <v>0</v>
      </c>
      <c r="F328" s="838">
        <v>0</v>
      </c>
      <c r="G328" s="838">
        <v>0</v>
      </c>
      <c r="H328" s="838">
        <v>0</v>
      </c>
      <c r="I328" s="838">
        <v>0</v>
      </c>
      <c r="J328" s="839">
        <f t="shared" si="45"/>
        <v>0</v>
      </c>
      <c r="K328" s="839">
        <f t="shared" si="46"/>
        <v>0</v>
      </c>
      <c r="L328" s="838">
        <f t="shared" si="47"/>
        <v>0</v>
      </c>
      <c r="M328" s="16" t="s">
        <v>2242</v>
      </c>
      <c r="N328" s="16" t="s">
        <v>2243</v>
      </c>
      <c r="O328" s="36" t="s">
        <v>2559</v>
      </c>
    </row>
    <row r="329" spans="1:16" s="36" customFormat="1" x14ac:dyDescent="0.4">
      <c r="A329" s="16">
        <v>171537</v>
      </c>
      <c r="B329" s="859">
        <v>60</v>
      </c>
      <c r="C329" s="16">
        <f t="shared" si="44"/>
        <v>300</v>
      </c>
      <c r="D329" s="859">
        <v>0</v>
      </c>
      <c r="E329" s="859">
        <v>0</v>
      </c>
      <c r="F329" s="859">
        <v>0</v>
      </c>
      <c r="G329" s="859">
        <v>0</v>
      </c>
      <c r="H329" s="859">
        <v>0</v>
      </c>
      <c r="I329" s="859">
        <v>0</v>
      </c>
      <c r="J329" s="860">
        <f t="shared" si="45"/>
        <v>0</v>
      </c>
      <c r="K329" s="860">
        <f t="shared" si="46"/>
        <v>0</v>
      </c>
      <c r="L329" s="859">
        <f t="shared" si="47"/>
        <v>0</v>
      </c>
      <c r="M329" s="16" t="s">
        <v>2242</v>
      </c>
      <c r="N329" s="16" t="s">
        <v>2243</v>
      </c>
    </row>
    <row r="330" spans="1:16" s="36" customFormat="1" x14ac:dyDescent="0.4">
      <c r="A330" s="123">
        <v>171538</v>
      </c>
      <c r="B330" s="1581">
        <v>45</v>
      </c>
      <c r="C330" s="123">
        <f t="shared" si="44"/>
        <v>225</v>
      </c>
      <c r="D330" s="1581">
        <v>0</v>
      </c>
      <c r="E330" s="1581">
        <v>0</v>
      </c>
      <c r="F330" s="1581">
        <v>1</v>
      </c>
      <c r="G330" s="1581">
        <v>1</v>
      </c>
      <c r="H330" s="1581">
        <v>1</v>
      </c>
      <c r="I330" s="1581">
        <v>1</v>
      </c>
      <c r="J330" s="253">
        <f t="shared" si="45"/>
        <v>4</v>
      </c>
      <c r="K330" s="253">
        <f t="shared" si="46"/>
        <v>3</v>
      </c>
      <c r="L330" s="1581">
        <f t="shared" si="47"/>
        <v>135</v>
      </c>
      <c r="M330" s="123" t="s">
        <v>2244</v>
      </c>
      <c r="N330" s="123" t="s">
        <v>2245</v>
      </c>
      <c r="O330" s="123" t="s">
        <v>3559</v>
      </c>
      <c r="P330" s="123"/>
    </row>
    <row r="331" spans="1:16" s="36" customFormat="1" x14ac:dyDescent="0.4">
      <c r="A331" s="16">
        <v>171539</v>
      </c>
      <c r="B331" s="888">
        <v>60</v>
      </c>
      <c r="C331" s="16">
        <f t="shared" si="44"/>
        <v>300</v>
      </c>
      <c r="D331" s="888">
        <v>0</v>
      </c>
      <c r="E331" s="888">
        <v>0</v>
      </c>
      <c r="F331" s="888">
        <v>0</v>
      </c>
      <c r="G331" s="888">
        <v>0</v>
      </c>
      <c r="H331" s="888">
        <v>0</v>
      </c>
      <c r="I331" s="888">
        <v>0</v>
      </c>
      <c r="J331" s="889">
        <f t="shared" si="45"/>
        <v>0</v>
      </c>
      <c r="K331" s="889">
        <f t="shared" si="46"/>
        <v>0</v>
      </c>
      <c r="L331" s="888">
        <f t="shared" si="47"/>
        <v>0</v>
      </c>
      <c r="M331" s="16" t="s">
        <v>2246</v>
      </c>
      <c r="N331" s="16" t="s">
        <v>2247</v>
      </c>
    </row>
    <row r="332" spans="1:16" s="36" customFormat="1" x14ac:dyDescent="0.4">
      <c r="A332" s="16">
        <v>171540</v>
      </c>
      <c r="B332" s="1076">
        <v>45</v>
      </c>
      <c r="C332" s="16">
        <f t="shared" si="44"/>
        <v>225</v>
      </c>
      <c r="D332" s="1076">
        <v>0</v>
      </c>
      <c r="E332" s="1076">
        <v>0</v>
      </c>
      <c r="F332" s="1076">
        <v>0</v>
      </c>
      <c r="G332" s="1076">
        <v>0</v>
      </c>
      <c r="H332" s="1076">
        <v>0</v>
      </c>
      <c r="I332" s="1076">
        <v>0</v>
      </c>
      <c r="J332" s="1077">
        <f t="shared" si="45"/>
        <v>0</v>
      </c>
      <c r="K332" s="1077">
        <f t="shared" si="46"/>
        <v>0</v>
      </c>
      <c r="L332" s="1076">
        <f t="shared" si="47"/>
        <v>0</v>
      </c>
      <c r="M332" s="16" t="s">
        <v>2248</v>
      </c>
      <c r="N332" s="16" t="s">
        <v>2249</v>
      </c>
    </row>
    <row r="333" spans="1:16" s="36" customFormat="1" x14ac:dyDescent="0.4">
      <c r="A333" s="16">
        <v>171541</v>
      </c>
      <c r="B333" s="912">
        <v>60</v>
      </c>
      <c r="C333" s="16">
        <f t="shared" si="44"/>
        <v>300</v>
      </c>
      <c r="D333" s="912">
        <v>0</v>
      </c>
      <c r="E333" s="912">
        <v>0</v>
      </c>
      <c r="F333" s="912">
        <v>0</v>
      </c>
      <c r="G333" s="912">
        <v>0</v>
      </c>
      <c r="H333" s="912">
        <v>0</v>
      </c>
      <c r="I333" s="912">
        <v>0</v>
      </c>
      <c r="J333" s="913">
        <f t="shared" si="45"/>
        <v>0</v>
      </c>
      <c r="K333" s="913">
        <f t="shared" si="46"/>
        <v>0</v>
      </c>
      <c r="L333" s="912">
        <f t="shared" si="47"/>
        <v>0</v>
      </c>
      <c r="M333" s="16" t="s">
        <v>2248</v>
      </c>
      <c r="N333" s="16" t="s">
        <v>2249</v>
      </c>
    </row>
    <row r="334" spans="1:16" s="36" customFormat="1" x14ac:dyDescent="0.4">
      <c r="A334" s="1">
        <v>171542</v>
      </c>
      <c r="B334" s="1400">
        <v>45</v>
      </c>
      <c r="C334" s="1">
        <f t="shared" si="44"/>
        <v>225</v>
      </c>
      <c r="D334" s="1400">
        <v>0</v>
      </c>
      <c r="E334" s="1400">
        <v>0</v>
      </c>
      <c r="F334" s="1400">
        <v>0</v>
      </c>
      <c r="G334" s="1400">
        <v>0</v>
      </c>
      <c r="H334" s="1400">
        <v>0</v>
      </c>
      <c r="I334" s="1400">
        <v>1</v>
      </c>
      <c r="J334" s="140">
        <f t="shared" si="45"/>
        <v>1</v>
      </c>
      <c r="K334" s="140">
        <f t="shared" si="46"/>
        <v>0</v>
      </c>
      <c r="L334" s="1400">
        <f t="shared" si="47"/>
        <v>0</v>
      </c>
      <c r="M334" s="1" t="s">
        <v>2248</v>
      </c>
      <c r="N334" s="1" t="s">
        <v>2249</v>
      </c>
    </row>
    <row r="335" spans="1:16" s="36" customFormat="1" x14ac:dyDescent="0.4">
      <c r="A335" s="16">
        <v>171543</v>
      </c>
      <c r="B335" s="731">
        <v>45</v>
      </c>
      <c r="C335" s="16">
        <f t="shared" si="44"/>
        <v>225</v>
      </c>
      <c r="D335" s="731">
        <v>0</v>
      </c>
      <c r="E335" s="731">
        <v>0</v>
      </c>
      <c r="F335" s="731">
        <v>0</v>
      </c>
      <c r="G335" s="731">
        <v>0</v>
      </c>
      <c r="H335" s="731">
        <v>0</v>
      </c>
      <c r="I335" s="731">
        <v>0</v>
      </c>
      <c r="J335" s="732">
        <f t="shared" si="45"/>
        <v>0</v>
      </c>
      <c r="K335" s="732">
        <f t="shared" si="46"/>
        <v>0</v>
      </c>
      <c r="L335" s="731">
        <f t="shared" si="47"/>
        <v>0</v>
      </c>
      <c r="M335" s="16" t="s">
        <v>2248</v>
      </c>
      <c r="N335" s="16" t="s">
        <v>2249</v>
      </c>
    </row>
    <row r="336" spans="1:16" s="36" customFormat="1" x14ac:dyDescent="0.4">
      <c r="A336" s="16">
        <v>171544</v>
      </c>
      <c r="B336" s="931">
        <v>50</v>
      </c>
      <c r="C336" s="16">
        <f t="shared" si="44"/>
        <v>250</v>
      </c>
      <c r="D336" s="931">
        <v>0</v>
      </c>
      <c r="E336" s="931">
        <v>0</v>
      </c>
      <c r="F336" s="931">
        <v>0</v>
      </c>
      <c r="G336" s="931">
        <v>0</v>
      </c>
      <c r="H336" s="931">
        <v>0</v>
      </c>
      <c r="I336" s="931">
        <v>0</v>
      </c>
      <c r="J336" s="932">
        <f t="shared" si="45"/>
        <v>0</v>
      </c>
      <c r="K336" s="932">
        <f t="shared" si="46"/>
        <v>0</v>
      </c>
      <c r="L336" s="931">
        <f t="shared" si="47"/>
        <v>0</v>
      </c>
      <c r="M336" s="16" t="s">
        <v>2248</v>
      </c>
      <c r="N336" s="16" t="s">
        <v>2249</v>
      </c>
    </row>
    <row r="337" spans="1:17" s="36" customFormat="1" x14ac:dyDescent="0.4">
      <c r="A337" s="16">
        <v>171545</v>
      </c>
      <c r="B337" s="797">
        <v>45</v>
      </c>
      <c r="C337" s="16">
        <f t="shared" si="44"/>
        <v>225</v>
      </c>
      <c r="D337" s="797">
        <v>0</v>
      </c>
      <c r="E337" s="797">
        <v>0</v>
      </c>
      <c r="F337" s="797">
        <v>0</v>
      </c>
      <c r="G337" s="797">
        <v>0</v>
      </c>
      <c r="H337" s="797">
        <v>0</v>
      </c>
      <c r="I337" s="797">
        <v>0</v>
      </c>
      <c r="J337" s="798">
        <f t="shared" si="45"/>
        <v>0</v>
      </c>
      <c r="K337" s="798">
        <f t="shared" si="46"/>
        <v>0</v>
      </c>
      <c r="L337" s="797">
        <f t="shared" si="47"/>
        <v>0</v>
      </c>
      <c r="M337" s="16" t="s">
        <v>2248</v>
      </c>
      <c r="N337" s="16" t="s">
        <v>2249</v>
      </c>
    </row>
    <row r="338" spans="1:17" s="36" customFormat="1" x14ac:dyDescent="0.4">
      <c r="A338" s="16">
        <v>171546</v>
      </c>
      <c r="B338" s="962">
        <v>60</v>
      </c>
      <c r="C338" s="16">
        <f t="shared" si="44"/>
        <v>300</v>
      </c>
      <c r="D338" s="962">
        <v>0</v>
      </c>
      <c r="E338" s="962">
        <v>0</v>
      </c>
      <c r="F338" s="962">
        <v>0</v>
      </c>
      <c r="G338" s="962">
        <v>0</v>
      </c>
      <c r="H338" s="962">
        <v>0</v>
      </c>
      <c r="I338" s="962">
        <v>0</v>
      </c>
      <c r="J338" s="963">
        <f t="shared" si="45"/>
        <v>0</v>
      </c>
      <c r="K338" s="963">
        <f t="shared" si="46"/>
        <v>0</v>
      </c>
      <c r="L338" s="962">
        <f t="shared" si="47"/>
        <v>0</v>
      </c>
      <c r="M338" s="16" t="s">
        <v>2253</v>
      </c>
      <c r="N338" s="16" t="s">
        <v>2254</v>
      </c>
    </row>
    <row r="339" spans="1:17" s="36" customFormat="1" x14ac:dyDescent="0.4">
      <c r="A339" s="16">
        <v>171547</v>
      </c>
      <c r="B339" s="1076">
        <v>50</v>
      </c>
      <c r="C339" s="16">
        <f t="shared" si="44"/>
        <v>250</v>
      </c>
      <c r="D339" s="1076">
        <v>0</v>
      </c>
      <c r="E339" s="1076">
        <v>0</v>
      </c>
      <c r="F339" s="1076">
        <v>0</v>
      </c>
      <c r="G339" s="1076">
        <v>0</v>
      </c>
      <c r="H339" s="1076">
        <v>0</v>
      </c>
      <c r="I339" s="1076">
        <v>0</v>
      </c>
      <c r="J339" s="1077">
        <f t="shared" si="45"/>
        <v>0</v>
      </c>
      <c r="K339" s="1077">
        <f t="shared" si="46"/>
        <v>0</v>
      </c>
      <c r="L339" s="1076">
        <f t="shared" si="47"/>
        <v>0</v>
      </c>
      <c r="M339" s="16" t="s">
        <v>2251</v>
      </c>
      <c r="N339" s="16" t="s">
        <v>2252</v>
      </c>
    </row>
    <row r="340" spans="1:17" s="36" customFormat="1" x14ac:dyDescent="0.4">
      <c r="A340" s="1">
        <v>171548</v>
      </c>
      <c r="B340" s="1412">
        <v>120</v>
      </c>
      <c r="C340" s="1">
        <f t="shared" si="44"/>
        <v>600</v>
      </c>
      <c r="D340" s="1412">
        <v>0</v>
      </c>
      <c r="E340" s="1412">
        <v>0</v>
      </c>
      <c r="F340" s="1412">
        <v>1</v>
      </c>
      <c r="G340" s="1412">
        <v>1</v>
      </c>
      <c r="H340" s="1412">
        <v>1</v>
      </c>
      <c r="I340" s="1412">
        <v>1</v>
      </c>
      <c r="J340" s="140">
        <f t="shared" si="45"/>
        <v>4</v>
      </c>
      <c r="K340" s="140">
        <f t="shared" si="46"/>
        <v>3</v>
      </c>
      <c r="L340" s="1412">
        <f t="shared" si="47"/>
        <v>360</v>
      </c>
      <c r="M340" s="1" t="s">
        <v>2255</v>
      </c>
      <c r="N340" s="1" t="s">
        <v>2256</v>
      </c>
    </row>
    <row r="341" spans="1:17" s="36" customFormat="1" x14ac:dyDescent="0.4">
      <c r="A341" s="1">
        <v>171549</v>
      </c>
      <c r="B341" s="1412">
        <v>50</v>
      </c>
      <c r="C341" s="1">
        <f t="shared" si="44"/>
        <v>250</v>
      </c>
      <c r="D341" s="1412">
        <v>0</v>
      </c>
      <c r="E341" s="1412">
        <v>0</v>
      </c>
      <c r="F341" s="1412">
        <v>0</v>
      </c>
      <c r="G341" s="1412">
        <v>0</v>
      </c>
      <c r="H341" s="1412">
        <v>0</v>
      </c>
      <c r="I341" s="1412">
        <v>1</v>
      </c>
      <c r="J341" s="140">
        <f t="shared" si="45"/>
        <v>1</v>
      </c>
      <c r="K341" s="140">
        <f t="shared" si="46"/>
        <v>0</v>
      </c>
      <c r="L341" s="1412">
        <f t="shared" si="47"/>
        <v>0</v>
      </c>
      <c r="M341" s="1" t="s">
        <v>2255</v>
      </c>
      <c r="N341" s="1" t="s">
        <v>2256</v>
      </c>
    </row>
    <row r="342" spans="1:17" s="36" customFormat="1" x14ac:dyDescent="0.4">
      <c r="A342" s="16">
        <v>171550</v>
      </c>
      <c r="B342" s="827">
        <v>45</v>
      </c>
      <c r="C342" s="16">
        <f t="shared" si="44"/>
        <v>225</v>
      </c>
      <c r="D342" s="827">
        <v>0</v>
      </c>
      <c r="E342" s="827">
        <v>0</v>
      </c>
      <c r="F342" s="827">
        <v>0</v>
      </c>
      <c r="G342" s="827">
        <v>0</v>
      </c>
      <c r="H342" s="827">
        <v>0</v>
      </c>
      <c r="I342" s="827">
        <v>0</v>
      </c>
      <c r="J342" s="828">
        <f t="shared" si="45"/>
        <v>0</v>
      </c>
      <c r="K342" s="828">
        <f t="shared" si="46"/>
        <v>0</v>
      </c>
      <c r="L342" s="827">
        <f t="shared" si="47"/>
        <v>0</v>
      </c>
      <c r="M342" s="16" t="s">
        <v>2261</v>
      </c>
      <c r="N342" s="16" t="s">
        <v>2258</v>
      </c>
    </row>
    <row r="343" spans="1:17" s="36" customFormat="1" x14ac:dyDescent="0.4">
      <c r="A343" s="16">
        <v>171551</v>
      </c>
      <c r="B343" s="1076">
        <v>60</v>
      </c>
      <c r="C343" s="16">
        <f t="shared" si="44"/>
        <v>300</v>
      </c>
      <c r="D343" s="1076">
        <v>0</v>
      </c>
      <c r="E343" s="1076">
        <v>0</v>
      </c>
      <c r="F343" s="1076">
        <v>0</v>
      </c>
      <c r="G343" s="1076">
        <v>0</v>
      </c>
      <c r="H343" s="1076">
        <v>0</v>
      </c>
      <c r="I343" s="1076">
        <v>0</v>
      </c>
      <c r="J343" s="1077">
        <f t="shared" si="45"/>
        <v>0</v>
      </c>
      <c r="K343" s="1077">
        <f t="shared" si="46"/>
        <v>0</v>
      </c>
      <c r="L343" s="1076">
        <f t="shared" si="47"/>
        <v>0</v>
      </c>
      <c r="M343" s="16" t="s">
        <v>2257</v>
      </c>
      <c r="N343" s="16" t="s">
        <v>2258</v>
      </c>
      <c r="Q343" s="416"/>
    </row>
    <row r="344" spans="1:17" s="36" customFormat="1" x14ac:dyDescent="0.4">
      <c r="A344" s="16">
        <v>171552</v>
      </c>
      <c r="B344" s="896">
        <v>45</v>
      </c>
      <c r="C344" s="16">
        <f t="shared" si="44"/>
        <v>225</v>
      </c>
      <c r="D344" s="896">
        <v>0</v>
      </c>
      <c r="E344" s="896">
        <v>0</v>
      </c>
      <c r="F344" s="896">
        <v>0</v>
      </c>
      <c r="G344" s="896">
        <v>0</v>
      </c>
      <c r="H344" s="896">
        <v>0</v>
      </c>
      <c r="I344" s="896">
        <v>0</v>
      </c>
      <c r="J344" s="897">
        <f t="shared" si="45"/>
        <v>0</v>
      </c>
      <c r="K344" s="897">
        <f t="shared" si="46"/>
        <v>0</v>
      </c>
      <c r="L344" s="896">
        <f t="shared" si="47"/>
        <v>0</v>
      </c>
      <c r="M344" s="16" t="s">
        <v>2257</v>
      </c>
      <c r="N344" s="16" t="s">
        <v>2258</v>
      </c>
    </row>
    <row r="345" spans="1:17" s="36" customFormat="1" x14ac:dyDescent="0.4">
      <c r="A345" s="16">
        <v>171553</v>
      </c>
      <c r="B345" s="1394">
        <v>45</v>
      </c>
      <c r="C345" s="16">
        <f t="shared" si="44"/>
        <v>225</v>
      </c>
      <c r="D345" s="1394">
        <v>0</v>
      </c>
      <c r="E345" s="1394">
        <v>0</v>
      </c>
      <c r="F345" s="1394">
        <v>0</v>
      </c>
      <c r="G345" s="1394">
        <v>0</v>
      </c>
      <c r="H345" s="1394">
        <v>0</v>
      </c>
      <c r="I345" s="1394">
        <v>0</v>
      </c>
      <c r="J345" s="1395">
        <f t="shared" si="45"/>
        <v>0</v>
      </c>
      <c r="K345" s="1395">
        <f t="shared" si="46"/>
        <v>0</v>
      </c>
      <c r="L345" s="1394">
        <f t="shared" si="47"/>
        <v>0</v>
      </c>
      <c r="M345" s="16" t="s">
        <v>2259</v>
      </c>
      <c r="N345" s="16" t="s">
        <v>2260</v>
      </c>
    </row>
    <row r="346" spans="1:17" s="36" customFormat="1" x14ac:dyDescent="0.4">
      <c r="A346" s="123">
        <v>171554</v>
      </c>
      <c r="B346" s="1082"/>
      <c r="C346" s="123"/>
      <c r="D346" s="1082" t="s">
        <v>2264</v>
      </c>
      <c r="E346" s="1082" t="s">
        <v>2265</v>
      </c>
      <c r="F346" s="1082" t="s">
        <v>2266</v>
      </c>
      <c r="G346" s="1082" t="s">
        <v>2268</v>
      </c>
      <c r="H346" s="1082" t="s">
        <v>2263</v>
      </c>
      <c r="I346" s="1082" t="s">
        <v>2267</v>
      </c>
      <c r="J346" s="253">
        <f t="shared" si="45"/>
        <v>0</v>
      </c>
      <c r="K346" s="253">
        <f t="shared" si="46"/>
        <v>0</v>
      </c>
      <c r="L346" s="1082"/>
      <c r="M346" s="2054" t="s">
        <v>2271</v>
      </c>
      <c r="N346" s="2054"/>
    </row>
    <row r="347" spans="1:17" s="36" customFormat="1" x14ac:dyDescent="0.4">
      <c r="A347" s="16">
        <v>171555</v>
      </c>
      <c r="B347" s="1359">
        <v>45</v>
      </c>
      <c r="C347" s="16">
        <f t="shared" si="44"/>
        <v>225</v>
      </c>
      <c r="D347" s="1359">
        <v>0</v>
      </c>
      <c r="E347" s="1359">
        <v>0</v>
      </c>
      <c r="F347" s="1359">
        <v>0</v>
      </c>
      <c r="G347" s="1359">
        <v>0</v>
      </c>
      <c r="H347" s="1359">
        <v>0</v>
      </c>
      <c r="I347" s="1359">
        <v>0</v>
      </c>
      <c r="J347" s="1360">
        <f t="shared" si="45"/>
        <v>0</v>
      </c>
      <c r="K347" s="1360">
        <f t="shared" si="46"/>
        <v>0</v>
      </c>
      <c r="L347" s="1359">
        <f t="shared" si="47"/>
        <v>0</v>
      </c>
      <c r="M347" s="16" t="s">
        <v>2269</v>
      </c>
      <c r="N347" s="16" t="s">
        <v>2270</v>
      </c>
    </row>
    <row r="348" spans="1:17" s="36" customFormat="1" x14ac:dyDescent="0.4">
      <c r="A348" s="1">
        <v>171556</v>
      </c>
      <c r="B348" s="1429">
        <v>45</v>
      </c>
      <c r="C348" s="1">
        <f t="shared" si="44"/>
        <v>225</v>
      </c>
      <c r="D348" s="1429">
        <v>0</v>
      </c>
      <c r="E348" s="1429">
        <v>0</v>
      </c>
      <c r="F348" s="1429">
        <v>0</v>
      </c>
      <c r="G348" s="1429">
        <v>0</v>
      </c>
      <c r="H348" s="1429">
        <v>0</v>
      </c>
      <c r="I348" s="1429">
        <v>1</v>
      </c>
      <c r="J348" s="140">
        <f t="shared" si="45"/>
        <v>1</v>
      </c>
      <c r="K348" s="140">
        <f t="shared" si="46"/>
        <v>0</v>
      </c>
      <c r="L348" s="1429">
        <f t="shared" si="47"/>
        <v>0</v>
      </c>
      <c r="M348" s="1" t="s">
        <v>2272</v>
      </c>
      <c r="N348" s="1" t="s">
        <v>2273</v>
      </c>
    </row>
    <row r="349" spans="1:17" s="36" customFormat="1" x14ac:dyDescent="0.4">
      <c r="A349" s="16">
        <v>171557</v>
      </c>
      <c r="B349" s="723">
        <v>50</v>
      </c>
      <c r="C349" s="16">
        <f t="shared" si="44"/>
        <v>250</v>
      </c>
      <c r="D349" s="723">
        <v>0</v>
      </c>
      <c r="E349" s="723">
        <v>0</v>
      </c>
      <c r="F349" s="723">
        <v>0</v>
      </c>
      <c r="G349" s="723">
        <v>0</v>
      </c>
      <c r="H349" s="723">
        <v>0</v>
      </c>
      <c r="I349" s="723">
        <v>0</v>
      </c>
      <c r="J349" s="724">
        <f t="shared" si="45"/>
        <v>0</v>
      </c>
      <c r="K349" s="724">
        <f t="shared" si="46"/>
        <v>0</v>
      </c>
      <c r="L349" s="723">
        <f t="shared" si="47"/>
        <v>0</v>
      </c>
      <c r="M349" s="16" t="s">
        <v>2274</v>
      </c>
      <c r="N349" s="16" t="s">
        <v>2275</v>
      </c>
    </row>
    <row r="350" spans="1:17" s="36" customFormat="1" x14ac:dyDescent="0.4">
      <c r="A350" s="16">
        <v>171558</v>
      </c>
      <c r="B350" s="1013">
        <v>90</v>
      </c>
      <c r="C350" s="16">
        <f t="shared" si="44"/>
        <v>450</v>
      </c>
      <c r="D350" s="1013">
        <v>0</v>
      </c>
      <c r="E350" s="1013">
        <v>0</v>
      </c>
      <c r="F350" s="1013">
        <v>0</v>
      </c>
      <c r="G350" s="1013">
        <v>0</v>
      </c>
      <c r="H350" s="1013">
        <v>0</v>
      </c>
      <c r="I350" s="1013">
        <v>0</v>
      </c>
      <c r="J350" s="1014">
        <f t="shared" si="45"/>
        <v>0</v>
      </c>
      <c r="K350" s="1014">
        <f t="shared" si="46"/>
        <v>0</v>
      </c>
      <c r="L350" s="1013">
        <f t="shared" si="47"/>
        <v>0</v>
      </c>
      <c r="M350" s="16" t="s">
        <v>2274</v>
      </c>
      <c r="N350" s="16" t="s">
        <v>2275</v>
      </c>
    </row>
    <row r="351" spans="1:17" s="36" customFormat="1" x14ac:dyDescent="0.4">
      <c r="A351" s="16">
        <v>171559</v>
      </c>
      <c r="B351" s="838">
        <v>45</v>
      </c>
      <c r="C351" s="16">
        <f t="shared" si="44"/>
        <v>225</v>
      </c>
      <c r="D351" s="838">
        <v>0</v>
      </c>
      <c r="E351" s="838">
        <v>0</v>
      </c>
      <c r="F351" s="838">
        <v>0</v>
      </c>
      <c r="G351" s="838">
        <v>0</v>
      </c>
      <c r="H351" s="838">
        <v>0</v>
      </c>
      <c r="I351" s="838">
        <v>0</v>
      </c>
      <c r="J351" s="839">
        <f t="shared" si="45"/>
        <v>0</v>
      </c>
      <c r="K351" s="839">
        <f t="shared" si="46"/>
        <v>0</v>
      </c>
      <c r="L351" s="838">
        <f t="shared" si="47"/>
        <v>0</v>
      </c>
      <c r="M351" s="16" t="s">
        <v>2276</v>
      </c>
      <c r="N351" s="16" t="s">
        <v>2277</v>
      </c>
    </row>
    <row r="352" spans="1:17" s="36" customFormat="1" x14ac:dyDescent="0.4">
      <c r="A352" s="16">
        <v>171560</v>
      </c>
      <c r="B352" s="811">
        <v>60</v>
      </c>
      <c r="C352" s="16">
        <f t="shared" ref="C352:C381" si="48">SUM(B352*5)</f>
        <v>300</v>
      </c>
      <c r="D352" s="811">
        <v>0</v>
      </c>
      <c r="E352" s="811">
        <v>0</v>
      </c>
      <c r="F352" s="811">
        <v>0</v>
      </c>
      <c r="G352" s="811">
        <v>0</v>
      </c>
      <c r="H352" s="811">
        <v>0</v>
      </c>
      <c r="I352" s="811">
        <v>0</v>
      </c>
      <c r="J352" s="812">
        <f t="shared" ref="J352:J381" si="49">SUM(D352:I352)</f>
        <v>0</v>
      </c>
      <c r="K352" s="812">
        <f t="shared" ref="K352:K381" si="50">SUM(D352:H352)</f>
        <v>0</v>
      </c>
      <c r="L352" s="811">
        <f t="shared" ref="L352:L381" si="51">B352*K352</f>
        <v>0</v>
      </c>
      <c r="M352" s="16" t="s">
        <v>2276</v>
      </c>
      <c r="N352" s="16" t="s">
        <v>2277</v>
      </c>
    </row>
    <row r="353" spans="1:14" s="36" customFormat="1" x14ac:dyDescent="0.4">
      <c r="A353" s="16">
        <v>171561</v>
      </c>
      <c r="B353" s="902">
        <v>60</v>
      </c>
      <c r="C353" s="16">
        <f t="shared" si="48"/>
        <v>300</v>
      </c>
      <c r="D353" s="902">
        <v>0</v>
      </c>
      <c r="E353" s="902">
        <v>0</v>
      </c>
      <c r="F353" s="902">
        <v>0</v>
      </c>
      <c r="G353" s="902">
        <v>0</v>
      </c>
      <c r="H353" s="902">
        <v>0</v>
      </c>
      <c r="I353" s="902">
        <v>0</v>
      </c>
      <c r="J353" s="903">
        <f t="shared" si="49"/>
        <v>0</v>
      </c>
      <c r="K353" s="903">
        <f t="shared" si="50"/>
        <v>0</v>
      </c>
      <c r="L353" s="902">
        <f t="shared" si="51"/>
        <v>0</v>
      </c>
      <c r="M353" s="16" t="s">
        <v>2276</v>
      </c>
      <c r="N353" s="16" t="s">
        <v>2277</v>
      </c>
    </row>
    <row r="354" spans="1:14" s="36" customFormat="1" x14ac:dyDescent="0.4">
      <c r="A354" s="1">
        <v>171562</v>
      </c>
      <c r="B354" s="1429">
        <v>60</v>
      </c>
      <c r="C354" s="1">
        <f t="shared" si="48"/>
        <v>300</v>
      </c>
      <c r="D354" s="1429">
        <v>0</v>
      </c>
      <c r="E354" s="1429">
        <v>0</v>
      </c>
      <c r="F354" s="1429">
        <v>0</v>
      </c>
      <c r="G354" s="1429">
        <v>0</v>
      </c>
      <c r="H354" s="1429">
        <v>1</v>
      </c>
      <c r="I354" s="1429">
        <v>1</v>
      </c>
      <c r="J354" s="140">
        <f t="shared" si="49"/>
        <v>2</v>
      </c>
      <c r="K354" s="140">
        <f t="shared" si="50"/>
        <v>1</v>
      </c>
      <c r="L354" s="1429">
        <f t="shared" si="51"/>
        <v>60</v>
      </c>
      <c r="M354" s="1" t="s">
        <v>2278</v>
      </c>
      <c r="N354" s="1" t="s">
        <v>2279</v>
      </c>
    </row>
    <row r="355" spans="1:14" s="36" customFormat="1" x14ac:dyDescent="0.4">
      <c r="A355" s="16">
        <v>171563</v>
      </c>
      <c r="B355" s="1120">
        <v>45</v>
      </c>
      <c r="C355" s="16">
        <f t="shared" si="48"/>
        <v>225</v>
      </c>
      <c r="D355" s="1120">
        <v>0</v>
      </c>
      <c r="E355" s="1120">
        <v>0</v>
      </c>
      <c r="F355" s="1120">
        <v>0</v>
      </c>
      <c r="G355" s="1120">
        <v>0</v>
      </c>
      <c r="H355" s="1120">
        <v>0</v>
      </c>
      <c r="I355" s="1120">
        <v>0</v>
      </c>
      <c r="J355" s="1121">
        <f t="shared" si="49"/>
        <v>0</v>
      </c>
      <c r="K355" s="1121">
        <f t="shared" si="50"/>
        <v>0</v>
      </c>
      <c r="L355" s="1120">
        <f t="shared" si="51"/>
        <v>0</v>
      </c>
      <c r="M355" s="16" t="s">
        <v>2278</v>
      </c>
      <c r="N355" s="16" t="s">
        <v>2279</v>
      </c>
    </row>
    <row r="356" spans="1:14" s="36" customFormat="1" x14ac:dyDescent="0.4">
      <c r="A356" s="1">
        <v>171564</v>
      </c>
      <c r="B356" s="1565">
        <v>45</v>
      </c>
      <c r="C356" s="1">
        <f t="shared" si="48"/>
        <v>225</v>
      </c>
      <c r="D356" s="1565">
        <v>0</v>
      </c>
      <c r="E356" s="1565">
        <v>0</v>
      </c>
      <c r="F356" s="1565">
        <v>0</v>
      </c>
      <c r="G356" s="1565">
        <v>0</v>
      </c>
      <c r="H356" s="1565">
        <v>0</v>
      </c>
      <c r="I356" s="1565">
        <v>1</v>
      </c>
      <c r="J356" s="140">
        <f t="shared" si="49"/>
        <v>1</v>
      </c>
      <c r="K356" s="140">
        <f t="shared" si="50"/>
        <v>0</v>
      </c>
      <c r="L356" s="1565">
        <f t="shared" si="51"/>
        <v>0</v>
      </c>
      <c r="M356" s="1" t="s">
        <v>2280</v>
      </c>
      <c r="N356" s="1" t="s">
        <v>2281</v>
      </c>
    </row>
    <row r="357" spans="1:14" s="36" customFormat="1" x14ac:dyDescent="0.4">
      <c r="A357" s="1">
        <v>171565</v>
      </c>
      <c r="B357" s="1565">
        <v>45</v>
      </c>
      <c r="C357" s="1">
        <f t="shared" si="48"/>
        <v>225</v>
      </c>
      <c r="D357" s="1565">
        <v>0</v>
      </c>
      <c r="E357" s="1565">
        <v>0</v>
      </c>
      <c r="F357" s="1565">
        <v>0</v>
      </c>
      <c r="G357" s="1565">
        <v>0</v>
      </c>
      <c r="H357" s="1565">
        <v>0</v>
      </c>
      <c r="I357" s="1565">
        <v>1</v>
      </c>
      <c r="J357" s="140">
        <f t="shared" si="49"/>
        <v>1</v>
      </c>
      <c r="K357" s="140">
        <f t="shared" si="50"/>
        <v>0</v>
      </c>
      <c r="L357" s="1565">
        <f t="shared" si="51"/>
        <v>0</v>
      </c>
      <c r="M357" s="1" t="s">
        <v>2280</v>
      </c>
      <c r="N357" s="1" t="s">
        <v>2281</v>
      </c>
    </row>
    <row r="358" spans="1:14" s="36" customFormat="1" x14ac:dyDescent="0.4">
      <c r="A358" s="16">
        <v>171566</v>
      </c>
      <c r="B358" s="747">
        <v>60</v>
      </c>
      <c r="C358" s="16">
        <f t="shared" si="48"/>
        <v>300</v>
      </c>
      <c r="D358" s="747">
        <v>0</v>
      </c>
      <c r="E358" s="747">
        <v>0</v>
      </c>
      <c r="F358" s="747">
        <v>0</v>
      </c>
      <c r="G358" s="747">
        <v>0</v>
      </c>
      <c r="H358" s="747">
        <v>0</v>
      </c>
      <c r="I358" s="747">
        <v>0</v>
      </c>
      <c r="J358" s="748">
        <f t="shared" si="49"/>
        <v>0</v>
      </c>
      <c r="K358" s="748">
        <f t="shared" si="50"/>
        <v>0</v>
      </c>
      <c r="L358" s="747">
        <f t="shared" si="51"/>
        <v>0</v>
      </c>
      <c r="M358" s="16" t="s">
        <v>2284</v>
      </c>
      <c r="N358" s="16" t="s">
        <v>2285</v>
      </c>
    </row>
    <row r="359" spans="1:14" s="36" customFormat="1" x14ac:dyDescent="0.4">
      <c r="A359" s="16">
        <v>171567</v>
      </c>
      <c r="B359" s="704">
        <v>60</v>
      </c>
      <c r="C359" s="16">
        <f t="shared" si="48"/>
        <v>300</v>
      </c>
      <c r="D359" s="704">
        <v>0</v>
      </c>
      <c r="E359" s="704">
        <v>0</v>
      </c>
      <c r="F359" s="704">
        <v>0</v>
      </c>
      <c r="G359" s="704">
        <v>0</v>
      </c>
      <c r="H359" s="704">
        <v>0</v>
      </c>
      <c r="I359" s="704">
        <v>0</v>
      </c>
      <c r="J359" s="705">
        <f t="shared" si="49"/>
        <v>0</v>
      </c>
      <c r="K359" s="705">
        <f t="shared" si="50"/>
        <v>0</v>
      </c>
      <c r="L359" s="704">
        <f t="shared" si="51"/>
        <v>0</v>
      </c>
      <c r="M359" s="16" t="s">
        <v>2282</v>
      </c>
      <c r="N359" s="16" t="s">
        <v>2283</v>
      </c>
    </row>
    <row r="360" spans="1:14" s="36" customFormat="1" x14ac:dyDescent="0.4">
      <c r="A360" s="16">
        <v>171568</v>
      </c>
      <c r="B360" s="947">
        <v>45</v>
      </c>
      <c r="C360" s="16">
        <f t="shared" si="48"/>
        <v>225</v>
      </c>
      <c r="D360" s="947">
        <v>0</v>
      </c>
      <c r="E360" s="947">
        <v>0</v>
      </c>
      <c r="F360" s="947">
        <v>0</v>
      </c>
      <c r="G360" s="947">
        <v>0</v>
      </c>
      <c r="H360" s="947">
        <v>0</v>
      </c>
      <c r="I360" s="947">
        <v>0</v>
      </c>
      <c r="J360" s="948">
        <f t="shared" si="49"/>
        <v>0</v>
      </c>
      <c r="K360" s="948">
        <f t="shared" si="50"/>
        <v>0</v>
      </c>
      <c r="L360" s="947">
        <f t="shared" si="51"/>
        <v>0</v>
      </c>
      <c r="M360" s="16" t="s">
        <v>2286</v>
      </c>
      <c r="N360" s="16" t="s">
        <v>2287</v>
      </c>
    </row>
    <row r="361" spans="1:14" s="36" customFormat="1" x14ac:dyDescent="0.4">
      <c r="A361" s="1">
        <v>171569</v>
      </c>
      <c r="B361" s="1565">
        <v>60</v>
      </c>
      <c r="C361" s="1">
        <f t="shared" si="48"/>
        <v>300</v>
      </c>
      <c r="D361" s="1565">
        <v>0</v>
      </c>
      <c r="E361" s="1565">
        <v>0</v>
      </c>
      <c r="F361" s="1565">
        <v>1</v>
      </c>
      <c r="G361" s="1565">
        <v>1</v>
      </c>
      <c r="H361" s="1565">
        <v>1</v>
      </c>
      <c r="I361" s="1565">
        <v>1</v>
      </c>
      <c r="J361" s="140">
        <f t="shared" si="49"/>
        <v>4</v>
      </c>
      <c r="K361" s="140">
        <f t="shared" si="50"/>
        <v>3</v>
      </c>
      <c r="L361" s="1565">
        <f t="shared" si="51"/>
        <v>180</v>
      </c>
      <c r="M361" s="1" t="s">
        <v>2288</v>
      </c>
      <c r="N361" s="1" t="s">
        <v>2289</v>
      </c>
    </row>
    <row r="362" spans="1:14" s="36" customFormat="1" x14ac:dyDescent="0.4">
      <c r="A362" s="1">
        <v>171570</v>
      </c>
      <c r="B362" s="1565">
        <v>45</v>
      </c>
      <c r="C362" s="1">
        <f t="shared" si="48"/>
        <v>225</v>
      </c>
      <c r="D362" s="1565">
        <v>0</v>
      </c>
      <c r="E362" s="1565">
        <v>0</v>
      </c>
      <c r="F362" s="1565">
        <v>0</v>
      </c>
      <c r="G362" s="1565">
        <v>0</v>
      </c>
      <c r="H362" s="1565">
        <v>0</v>
      </c>
      <c r="I362" s="1565">
        <v>1</v>
      </c>
      <c r="J362" s="140">
        <f t="shared" si="49"/>
        <v>1</v>
      </c>
      <c r="K362" s="140">
        <f t="shared" si="50"/>
        <v>0</v>
      </c>
      <c r="L362" s="1565">
        <f t="shared" si="51"/>
        <v>0</v>
      </c>
      <c r="M362" s="1" t="s">
        <v>2288</v>
      </c>
      <c r="N362" s="1" t="s">
        <v>2289</v>
      </c>
    </row>
    <row r="363" spans="1:14" s="36" customFormat="1" x14ac:dyDescent="0.4">
      <c r="A363" s="16">
        <v>171571</v>
      </c>
      <c r="B363" s="982">
        <v>60</v>
      </c>
      <c r="C363" s="16">
        <f t="shared" si="48"/>
        <v>300</v>
      </c>
      <c r="D363" s="982">
        <v>0</v>
      </c>
      <c r="E363" s="982">
        <v>0</v>
      </c>
      <c r="F363" s="982">
        <v>0</v>
      </c>
      <c r="G363" s="982">
        <v>0</v>
      </c>
      <c r="H363" s="982">
        <v>0</v>
      </c>
      <c r="I363" s="982">
        <v>0</v>
      </c>
      <c r="J363" s="983">
        <f t="shared" si="49"/>
        <v>0</v>
      </c>
      <c r="K363" s="983">
        <f t="shared" si="50"/>
        <v>0</v>
      </c>
      <c r="L363" s="982">
        <f t="shared" si="51"/>
        <v>0</v>
      </c>
      <c r="M363" s="16" t="s">
        <v>2288</v>
      </c>
      <c r="N363" s="16" t="s">
        <v>2289</v>
      </c>
    </row>
    <row r="364" spans="1:14" s="36" customFormat="1" x14ac:dyDescent="0.4">
      <c r="A364" s="16">
        <v>171572</v>
      </c>
      <c r="B364" s="982">
        <v>60</v>
      </c>
      <c r="C364" s="16">
        <f t="shared" si="48"/>
        <v>300</v>
      </c>
      <c r="D364" s="982">
        <v>0</v>
      </c>
      <c r="E364" s="982">
        <v>0</v>
      </c>
      <c r="F364" s="982">
        <v>0</v>
      </c>
      <c r="G364" s="982">
        <v>0</v>
      </c>
      <c r="H364" s="982">
        <v>0</v>
      </c>
      <c r="I364" s="982">
        <v>0</v>
      </c>
      <c r="J364" s="983">
        <f t="shared" si="49"/>
        <v>0</v>
      </c>
      <c r="K364" s="983">
        <f t="shared" si="50"/>
        <v>0</v>
      </c>
      <c r="L364" s="982">
        <f t="shared" si="51"/>
        <v>0</v>
      </c>
      <c r="M364" s="16" t="s">
        <v>2288</v>
      </c>
      <c r="N364" s="16" t="s">
        <v>2289</v>
      </c>
    </row>
    <row r="365" spans="1:14" s="36" customFormat="1" x14ac:dyDescent="0.4">
      <c r="A365" s="16">
        <v>171573</v>
      </c>
      <c r="B365" s="1313">
        <v>60</v>
      </c>
      <c r="C365" s="16">
        <f t="shared" si="48"/>
        <v>300</v>
      </c>
      <c r="D365" s="1313">
        <v>0</v>
      </c>
      <c r="E365" s="1313">
        <v>0</v>
      </c>
      <c r="F365" s="1313">
        <v>0</v>
      </c>
      <c r="G365" s="1313">
        <v>0</v>
      </c>
      <c r="H365" s="1313">
        <v>0</v>
      </c>
      <c r="I365" s="1313">
        <v>0</v>
      </c>
      <c r="J365" s="1314">
        <f t="shared" si="49"/>
        <v>0</v>
      </c>
      <c r="K365" s="1314">
        <f t="shared" si="50"/>
        <v>0</v>
      </c>
      <c r="L365" s="1313">
        <f t="shared" si="51"/>
        <v>0</v>
      </c>
      <c r="M365" s="16" t="s">
        <v>2291</v>
      </c>
      <c r="N365" s="16" t="s">
        <v>2292</v>
      </c>
    </row>
    <row r="366" spans="1:14" s="36" customFormat="1" x14ac:dyDescent="0.4">
      <c r="A366" s="1">
        <v>171574</v>
      </c>
      <c r="B366" s="1565">
        <v>45</v>
      </c>
      <c r="C366" s="1">
        <f t="shared" si="48"/>
        <v>225</v>
      </c>
      <c r="D366" s="1565">
        <v>0</v>
      </c>
      <c r="E366" s="1565">
        <v>0</v>
      </c>
      <c r="F366" s="1565">
        <v>0</v>
      </c>
      <c r="G366" s="1565">
        <v>0</v>
      </c>
      <c r="H366" s="1565">
        <v>0</v>
      </c>
      <c r="I366" s="1565">
        <v>1</v>
      </c>
      <c r="J366" s="140">
        <f t="shared" si="49"/>
        <v>1</v>
      </c>
      <c r="K366" s="140">
        <f t="shared" si="50"/>
        <v>0</v>
      </c>
      <c r="L366" s="1565">
        <f t="shared" si="51"/>
        <v>0</v>
      </c>
      <c r="M366" s="1" t="s">
        <v>2291</v>
      </c>
      <c r="N366" s="1" t="s">
        <v>2292</v>
      </c>
    </row>
    <row r="367" spans="1:14" s="36" customFormat="1" x14ac:dyDescent="0.4">
      <c r="A367" s="16">
        <v>171575</v>
      </c>
      <c r="B367" s="1319">
        <v>45</v>
      </c>
      <c r="C367" s="16">
        <f t="shared" si="48"/>
        <v>225</v>
      </c>
      <c r="D367" s="1319">
        <v>0</v>
      </c>
      <c r="E367" s="1319">
        <v>0</v>
      </c>
      <c r="F367" s="1319">
        <v>0</v>
      </c>
      <c r="G367" s="1319">
        <v>0</v>
      </c>
      <c r="H367" s="1319">
        <v>0</v>
      </c>
      <c r="I367" s="1319">
        <v>0</v>
      </c>
      <c r="J367" s="1320">
        <f t="shared" si="49"/>
        <v>0</v>
      </c>
      <c r="K367" s="1320">
        <f t="shared" si="50"/>
        <v>0</v>
      </c>
      <c r="L367" s="1319">
        <f t="shared" si="51"/>
        <v>0</v>
      </c>
      <c r="M367" s="16" t="s">
        <v>2291</v>
      </c>
      <c r="N367" s="16" t="s">
        <v>2292</v>
      </c>
    </row>
    <row r="368" spans="1:14" s="36" customFormat="1" x14ac:dyDescent="0.4">
      <c r="A368" s="16">
        <v>171576</v>
      </c>
      <c r="B368" s="1493">
        <v>60</v>
      </c>
      <c r="C368" s="16">
        <f t="shared" si="48"/>
        <v>300</v>
      </c>
      <c r="D368" s="1493">
        <v>0</v>
      </c>
      <c r="E368" s="1493">
        <v>0</v>
      </c>
      <c r="F368" s="1493">
        <v>0</v>
      </c>
      <c r="G368" s="1493">
        <v>0</v>
      </c>
      <c r="H368" s="1493">
        <v>0</v>
      </c>
      <c r="I368" s="1493">
        <v>0</v>
      </c>
      <c r="J368" s="1494">
        <f t="shared" si="49"/>
        <v>0</v>
      </c>
      <c r="K368" s="1494">
        <f t="shared" si="50"/>
        <v>0</v>
      </c>
      <c r="L368" s="1493">
        <f t="shared" si="51"/>
        <v>0</v>
      </c>
      <c r="M368" s="16" t="s">
        <v>2293</v>
      </c>
      <c r="N368" s="16" t="s">
        <v>2294</v>
      </c>
    </row>
    <row r="369" spans="1:15" s="36" customFormat="1" x14ac:dyDescent="0.4">
      <c r="A369" s="16">
        <v>171577</v>
      </c>
      <c r="B369" s="1163">
        <v>45</v>
      </c>
      <c r="C369" s="16">
        <f t="shared" si="48"/>
        <v>225</v>
      </c>
      <c r="D369" s="1163">
        <v>0</v>
      </c>
      <c r="E369" s="1163">
        <v>0</v>
      </c>
      <c r="F369" s="1163">
        <v>0</v>
      </c>
      <c r="G369" s="1163">
        <v>0</v>
      </c>
      <c r="H369" s="1163">
        <v>0</v>
      </c>
      <c r="I369" s="1163">
        <v>0</v>
      </c>
      <c r="J369" s="1164">
        <f t="shared" si="49"/>
        <v>0</v>
      </c>
      <c r="K369" s="1164">
        <f t="shared" si="50"/>
        <v>0</v>
      </c>
      <c r="L369" s="1163">
        <f t="shared" si="51"/>
        <v>0</v>
      </c>
      <c r="M369" s="16" t="s">
        <v>2295</v>
      </c>
      <c r="N369" s="16" t="s">
        <v>2296</v>
      </c>
    </row>
    <row r="370" spans="1:15" s="36" customFormat="1" x14ac:dyDescent="0.4">
      <c r="A370" s="16">
        <v>171578</v>
      </c>
      <c r="B370" s="956">
        <v>45</v>
      </c>
      <c r="C370" s="16">
        <f t="shared" si="48"/>
        <v>225</v>
      </c>
      <c r="D370" s="956">
        <v>0</v>
      </c>
      <c r="E370" s="956">
        <v>0</v>
      </c>
      <c r="F370" s="956">
        <v>0</v>
      </c>
      <c r="G370" s="956">
        <v>0</v>
      </c>
      <c r="H370" s="956">
        <v>0</v>
      </c>
      <c r="I370" s="956">
        <v>0</v>
      </c>
      <c r="J370" s="957">
        <f t="shared" si="49"/>
        <v>0</v>
      </c>
      <c r="K370" s="957">
        <f t="shared" si="50"/>
        <v>0</v>
      </c>
      <c r="L370" s="956">
        <f t="shared" si="51"/>
        <v>0</v>
      </c>
      <c r="M370" s="16" t="s">
        <v>2295</v>
      </c>
      <c r="N370" s="16" t="s">
        <v>2296</v>
      </c>
    </row>
    <row r="371" spans="1:15" s="36" customFormat="1" x14ac:dyDescent="0.4">
      <c r="A371" s="16">
        <v>171579</v>
      </c>
      <c r="B371" s="708">
        <v>60</v>
      </c>
      <c r="C371" s="16">
        <f t="shared" si="48"/>
        <v>300</v>
      </c>
      <c r="D371" s="708">
        <v>0</v>
      </c>
      <c r="E371" s="708">
        <v>0</v>
      </c>
      <c r="F371" s="708">
        <v>0</v>
      </c>
      <c r="G371" s="708">
        <v>0</v>
      </c>
      <c r="H371" s="708">
        <v>0</v>
      </c>
      <c r="I371" s="708">
        <v>0</v>
      </c>
      <c r="J371" s="709">
        <f t="shared" si="49"/>
        <v>0</v>
      </c>
      <c r="K371" s="709">
        <f t="shared" si="50"/>
        <v>0</v>
      </c>
      <c r="L371" s="708">
        <f t="shared" si="51"/>
        <v>0</v>
      </c>
      <c r="M371" s="16" t="s">
        <v>2295</v>
      </c>
      <c r="N371" s="16" t="s">
        <v>2296</v>
      </c>
    </row>
    <row r="372" spans="1:15" s="36" customFormat="1" x14ac:dyDescent="0.4">
      <c r="A372" s="16">
        <v>171580</v>
      </c>
      <c r="B372" s="945">
        <v>60</v>
      </c>
      <c r="C372" s="16">
        <f t="shared" si="48"/>
        <v>300</v>
      </c>
      <c r="D372" s="945">
        <v>0</v>
      </c>
      <c r="E372" s="945">
        <v>0</v>
      </c>
      <c r="F372" s="945">
        <v>0</v>
      </c>
      <c r="G372" s="945">
        <v>0</v>
      </c>
      <c r="H372" s="945">
        <v>0</v>
      </c>
      <c r="I372" s="945">
        <v>0</v>
      </c>
      <c r="J372" s="946">
        <f t="shared" si="49"/>
        <v>0</v>
      </c>
      <c r="K372" s="946">
        <f t="shared" si="50"/>
        <v>0</v>
      </c>
      <c r="L372" s="945">
        <f t="shared" si="51"/>
        <v>0</v>
      </c>
      <c r="M372" s="16" t="s">
        <v>2295</v>
      </c>
      <c r="N372" s="16" t="s">
        <v>2296</v>
      </c>
    </row>
    <row r="373" spans="1:15" s="36" customFormat="1" x14ac:dyDescent="0.4">
      <c r="A373" s="16">
        <v>171581</v>
      </c>
      <c r="B373" s="819">
        <v>45</v>
      </c>
      <c r="C373" s="16">
        <f t="shared" si="48"/>
        <v>225</v>
      </c>
      <c r="D373" s="819">
        <v>0</v>
      </c>
      <c r="E373" s="819">
        <v>0</v>
      </c>
      <c r="F373" s="819">
        <v>0</v>
      </c>
      <c r="G373" s="819">
        <v>0</v>
      </c>
      <c r="H373" s="819">
        <v>0</v>
      </c>
      <c r="I373" s="819">
        <v>0</v>
      </c>
      <c r="J373" s="820">
        <f t="shared" si="49"/>
        <v>0</v>
      </c>
      <c r="K373" s="820">
        <f t="shared" si="50"/>
        <v>0</v>
      </c>
      <c r="L373" s="819">
        <f t="shared" si="51"/>
        <v>0</v>
      </c>
      <c r="M373" s="16" t="s">
        <v>2297</v>
      </c>
      <c r="N373" s="16" t="s">
        <v>2298</v>
      </c>
    </row>
    <row r="374" spans="1:15" s="36" customFormat="1" x14ac:dyDescent="0.4">
      <c r="A374" s="1">
        <v>171582</v>
      </c>
      <c r="B374" s="1565">
        <v>45</v>
      </c>
      <c r="C374" s="1">
        <f t="shared" si="48"/>
        <v>225</v>
      </c>
      <c r="D374" s="1565">
        <v>0</v>
      </c>
      <c r="E374" s="1565">
        <v>0</v>
      </c>
      <c r="F374" s="1565">
        <v>0</v>
      </c>
      <c r="G374" s="1565">
        <v>0</v>
      </c>
      <c r="H374" s="1565">
        <v>0</v>
      </c>
      <c r="I374" s="1565">
        <v>1</v>
      </c>
      <c r="J374" s="140">
        <f t="shared" si="49"/>
        <v>1</v>
      </c>
      <c r="K374" s="140">
        <f t="shared" si="50"/>
        <v>0</v>
      </c>
      <c r="L374" s="1565">
        <f t="shared" si="51"/>
        <v>0</v>
      </c>
      <c r="M374" s="1" t="s">
        <v>2299</v>
      </c>
      <c r="N374" s="1" t="s">
        <v>2300</v>
      </c>
    </row>
    <row r="375" spans="1:15" s="36" customFormat="1" x14ac:dyDescent="0.4">
      <c r="A375" s="1">
        <v>171583</v>
      </c>
      <c r="B375" s="1565">
        <v>50</v>
      </c>
      <c r="C375" s="1">
        <f t="shared" si="48"/>
        <v>250</v>
      </c>
      <c r="D375" s="1565">
        <v>0</v>
      </c>
      <c r="E375" s="1565">
        <v>0</v>
      </c>
      <c r="F375" s="1565">
        <v>0</v>
      </c>
      <c r="G375" s="1565">
        <v>0</v>
      </c>
      <c r="H375" s="1565">
        <v>0</v>
      </c>
      <c r="I375" s="1565">
        <v>1</v>
      </c>
      <c r="J375" s="140">
        <f t="shared" si="49"/>
        <v>1</v>
      </c>
      <c r="K375" s="140">
        <f t="shared" si="50"/>
        <v>0</v>
      </c>
      <c r="L375" s="1565">
        <f t="shared" si="51"/>
        <v>0</v>
      </c>
      <c r="M375" s="1" t="s">
        <v>2299</v>
      </c>
      <c r="N375" s="1" t="s">
        <v>2300</v>
      </c>
    </row>
    <row r="376" spans="1:15" s="36" customFormat="1" x14ac:dyDescent="0.4">
      <c r="A376" s="16">
        <v>171584</v>
      </c>
      <c r="B376" s="1199">
        <v>45</v>
      </c>
      <c r="C376" s="16">
        <f t="shared" si="48"/>
        <v>225</v>
      </c>
      <c r="D376" s="1199">
        <v>0</v>
      </c>
      <c r="E376" s="1199">
        <v>0</v>
      </c>
      <c r="F376" s="1199">
        <v>0</v>
      </c>
      <c r="G376" s="1199">
        <v>0</v>
      </c>
      <c r="H376" s="1199">
        <v>0</v>
      </c>
      <c r="I376" s="1199">
        <v>0</v>
      </c>
      <c r="J376" s="1200">
        <f t="shared" si="49"/>
        <v>0</v>
      </c>
      <c r="K376" s="1200">
        <f t="shared" si="50"/>
        <v>0</v>
      </c>
      <c r="L376" s="1199">
        <f t="shared" si="51"/>
        <v>0</v>
      </c>
      <c r="M376" s="16" t="s">
        <v>2301</v>
      </c>
      <c r="N376" s="16" t="s">
        <v>2302</v>
      </c>
    </row>
    <row r="377" spans="1:15" s="36" customFormat="1" x14ac:dyDescent="0.4">
      <c r="A377" s="16">
        <v>171585</v>
      </c>
      <c r="B377" s="1185">
        <v>45</v>
      </c>
      <c r="C377" s="16">
        <f t="shared" si="48"/>
        <v>225</v>
      </c>
      <c r="D377" s="1185">
        <v>0</v>
      </c>
      <c r="E377" s="1185">
        <v>0</v>
      </c>
      <c r="F377" s="1185">
        <v>0</v>
      </c>
      <c r="G377" s="1185">
        <v>0</v>
      </c>
      <c r="H377" s="1185">
        <v>0</v>
      </c>
      <c r="I377" s="1185">
        <v>0</v>
      </c>
      <c r="J377" s="1186">
        <f t="shared" si="49"/>
        <v>0</v>
      </c>
      <c r="K377" s="1186">
        <f t="shared" si="50"/>
        <v>0</v>
      </c>
      <c r="L377" s="1185">
        <f t="shared" si="51"/>
        <v>0</v>
      </c>
      <c r="M377" s="16" t="s">
        <v>2301</v>
      </c>
      <c r="N377" s="16" t="s">
        <v>2302</v>
      </c>
    </row>
    <row r="378" spans="1:15" s="36" customFormat="1" x14ac:dyDescent="0.4">
      <c r="A378" s="16">
        <v>171586</v>
      </c>
      <c r="B378" s="659">
        <v>0</v>
      </c>
      <c r="C378" s="16">
        <f t="shared" si="48"/>
        <v>0</v>
      </c>
      <c r="D378" s="659">
        <v>0</v>
      </c>
      <c r="E378" s="659"/>
      <c r="F378" s="659"/>
      <c r="G378" s="659"/>
      <c r="H378" s="659"/>
      <c r="I378" s="659"/>
      <c r="J378" s="660">
        <f t="shared" si="49"/>
        <v>0</v>
      </c>
      <c r="K378" s="660">
        <f t="shared" si="50"/>
        <v>0</v>
      </c>
      <c r="L378" s="659">
        <f t="shared" si="51"/>
        <v>0</v>
      </c>
      <c r="M378" s="16" t="s">
        <v>2306</v>
      </c>
      <c r="N378" s="16" t="s">
        <v>2307</v>
      </c>
      <c r="O378" s="36" t="s">
        <v>2308</v>
      </c>
    </row>
    <row r="379" spans="1:15" s="36" customFormat="1" x14ac:dyDescent="0.4">
      <c r="A379" s="16">
        <v>171587</v>
      </c>
      <c r="B379" s="843">
        <v>60</v>
      </c>
      <c r="C379" s="16">
        <f t="shared" si="48"/>
        <v>300</v>
      </c>
      <c r="D379" s="843">
        <v>0</v>
      </c>
      <c r="E379" s="843">
        <v>0</v>
      </c>
      <c r="F379" s="843">
        <v>0</v>
      </c>
      <c r="G379" s="843">
        <v>0</v>
      </c>
      <c r="H379" s="843">
        <v>0</v>
      </c>
      <c r="I379" s="843">
        <v>0</v>
      </c>
      <c r="J379" s="844">
        <f t="shared" si="49"/>
        <v>0</v>
      </c>
      <c r="K379" s="844">
        <f t="shared" si="50"/>
        <v>0</v>
      </c>
      <c r="L379" s="843">
        <f t="shared" si="51"/>
        <v>0</v>
      </c>
      <c r="M379" s="16" t="s">
        <v>2304</v>
      </c>
      <c r="N379" s="16" t="s">
        <v>2305</v>
      </c>
    </row>
    <row r="380" spans="1:15" s="36" customFormat="1" x14ac:dyDescent="0.4">
      <c r="A380" s="16">
        <v>171588</v>
      </c>
      <c r="B380" s="994">
        <v>60</v>
      </c>
      <c r="C380" s="16">
        <f t="shared" si="48"/>
        <v>300</v>
      </c>
      <c r="D380" s="994">
        <v>0</v>
      </c>
      <c r="E380" s="994">
        <v>0</v>
      </c>
      <c r="F380" s="994">
        <v>0</v>
      </c>
      <c r="G380" s="994">
        <v>0</v>
      </c>
      <c r="H380" s="994">
        <v>0</v>
      </c>
      <c r="I380" s="994">
        <v>0</v>
      </c>
      <c r="J380" s="995">
        <f t="shared" si="49"/>
        <v>0</v>
      </c>
      <c r="K380" s="995">
        <f t="shared" si="50"/>
        <v>0</v>
      </c>
      <c r="L380" s="994">
        <f t="shared" si="51"/>
        <v>0</v>
      </c>
      <c r="M380" s="16" t="s">
        <v>2304</v>
      </c>
      <c r="N380" s="16" t="s">
        <v>2305</v>
      </c>
    </row>
    <row r="381" spans="1:15" s="36" customFormat="1" x14ac:dyDescent="0.4">
      <c r="A381" s="1">
        <v>171589</v>
      </c>
      <c r="B381" s="1565">
        <v>45</v>
      </c>
      <c r="C381" s="1">
        <f t="shared" si="48"/>
        <v>225</v>
      </c>
      <c r="D381" s="1565">
        <v>0</v>
      </c>
      <c r="E381" s="1565">
        <v>0</v>
      </c>
      <c r="F381" s="1565">
        <v>0</v>
      </c>
      <c r="G381" s="1565">
        <v>0</v>
      </c>
      <c r="H381" s="1565">
        <v>0</v>
      </c>
      <c r="I381" s="1565">
        <v>1</v>
      </c>
      <c r="J381" s="140">
        <f t="shared" si="49"/>
        <v>1</v>
      </c>
      <c r="K381" s="140">
        <f t="shared" si="50"/>
        <v>0</v>
      </c>
      <c r="L381" s="1565">
        <f t="shared" si="51"/>
        <v>0</v>
      </c>
      <c r="M381" s="1" t="s">
        <v>2309</v>
      </c>
      <c r="N381" s="1" t="s">
        <v>2310</v>
      </c>
    </row>
    <row r="382" spans="1:15" s="36" customFormat="1" x14ac:dyDescent="0.4">
      <c r="A382" s="16">
        <v>171590</v>
      </c>
      <c r="B382" s="924">
        <v>60</v>
      </c>
      <c r="C382" s="16">
        <f t="shared" ref="C382:C411" si="52">SUM(B382*5)</f>
        <v>300</v>
      </c>
      <c r="D382" s="924">
        <v>0</v>
      </c>
      <c r="E382" s="924">
        <v>0</v>
      </c>
      <c r="F382" s="924">
        <v>0</v>
      </c>
      <c r="G382" s="924">
        <v>0</v>
      </c>
      <c r="H382" s="924">
        <v>0</v>
      </c>
      <c r="I382" s="924">
        <v>0</v>
      </c>
      <c r="J382" s="925">
        <f t="shared" ref="J382:J411" si="53">SUM(D382:I382)</f>
        <v>0</v>
      </c>
      <c r="K382" s="925">
        <f t="shared" ref="K382:K411" si="54">SUM(D382:H382)</f>
        <v>0</v>
      </c>
      <c r="L382" s="924">
        <f t="shared" ref="L382:L411" si="55">B382*K382</f>
        <v>0</v>
      </c>
      <c r="M382" s="16" t="s">
        <v>2311</v>
      </c>
      <c r="N382" s="16" t="s">
        <v>2312</v>
      </c>
    </row>
    <row r="383" spans="1:15" s="36" customFormat="1" x14ac:dyDescent="0.4">
      <c r="A383" s="16">
        <v>171591</v>
      </c>
      <c r="B383" s="1381">
        <v>45</v>
      </c>
      <c r="C383" s="16">
        <f t="shared" si="52"/>
        <v>225</v>
      </c>
      <c r="D383" s="1381">
        <v>0</v>
      </c>
      <c r="E383" s="1381">
        <v>0</v>
      </c>
      <c r="F383" s="1381">
        <v>0</v>
      </c>
      <c r="G383" s="1381">
        <v>0</v>
      </c>
      <c r="H383" s="1381">
        <v>0</v>
      </c>
      <c r="I383" s="1381">
        <v>0</v>
      </c>
      <c r="J383" s="1382">
        <f t="shared" si="53"/>
        <v>0</v>
      </c>
      <c r="K383" s="1382">
        <f t="shared" si="54"/>
        <v>0</v>
      </c>
      <c r="L383" s="1381">
        <f t="shared" si="55"/>
        <v>0</v>
      </c>
      <c r="M383" s="16" t="s">
        <v>2311</v>
      </c>
      <c r="N383" s="16" t="s">
        <v>2312</v>
      </c>
    </row>
    <row r="384" spans="1:15" s="36" customFormat="1" x14ac:dyDescent="0.4">
      <c r="A384" s="1">
        <v>171592</v>
      </c>
      <c r="B384" s="1565">
        <v>45</v>
      </c>
      <c r="C384" s="1">
        <f t="shared" si="52"/>
        <v>225</v>
      </c>
      <c r="D384" s="1565">
        <v>0</v>
      </c>
      <c r="E384" s="1565">
        <v>0</v>
      </c>
      <c r="F384" s="1565">
        <v>1</v>
      </c>
      <c r="G384" s="1565">
        <v>1</v>
      </c>
      <c r="H384" s="1565">
        <v>1</v>
      </c>
      <c r="I384" s="1565">
        <v>1</v>
      </c>
      <c r="J384" s="140">
        <f t="shared" si="53"/>
        <v>4</v>
      </c>
      <c r="K384" s="140">
        <f t="shared" si="54"/>
        <v>3</v>
      </c>
      <c r="L384" s="1565">
        <f t="shared" si="55"/>
        <v>135</v>
      </c>
      <c r="M384" s="1" t="s">
        <v>2313</v>
      </c>
      <c r="N384" s="1" t="s">
        <v>2314</v>
      </c>
    </row>
    <row r="385" spans="1:18" s="36" customFormat="1" x14ac:dyDescent="0.4">
      <c r="A385" s="16">
        <v>171593</v>
      </c>
      <c r="B385" s="835">
        <v>45</v>
      </c>
      <c r="C385" s="16">
        <f t="shared" si="52"/>
        <v>225</v>
      </c>
      <c r="D385" s="835">
        <v>0</v>
      </c>
      <c r="E385" s="835">
        <v>0</v>
      </c>
      <c r="F385" s="835">
        <v>0</v>
      </c>
      <c r="G385" s="835">
        <v>0</v>
      </c>
      <c r="H385" s="835">
        <v>0</v>
      </c>
      <c r="I385" s="835">
        <v>0</v>
      </c>
      <c r="J385" s="836">
        <f t="shared" si="53"/>
        <v>0</v>
      </c>
      <c r="K385" s="836">
        <f t="shared" si="54"/>
        <v>0</v>
      </c>
      <c r="L385" s="835">
        <f t="shared" si="55"/>
        <v>0</v>
      </c>
      <c r="M385" s="16" t="s">
        <v>2313</v>
      </c>
      <c r="N385" s="16" t="s">
        <v>2314</v>
      </c>
    </row>
    <row r="386" spans="1:18" s="36" customFormat="1" x14ac:dyDescent="0.4">
      <c r="A386" s="1">
        <v>171594</v>
      </c>
      <c r="B386" s="1565">
        <v>45</v>
      </c>
      <c r="C386" s="1">
        <f t="shared" si="52"/>
        <v>225</v>
      </c>
      <c r="D386" s="1565">
        <v>0</v>
      </c>
      <c r="E386" s="1565">
        <v>0</v>
      </c>
      <c r="F386" s="1565">
        <v>1</v>
      </c>
      <c r="G386" s="1565">
        <v>1</v>
      </c>
      <c r="H386" s="1565">
        <v>1</v>
      </c>
      <c r="I386" s="1565">
        <v>1</v>
      </c>
      <c r="J386" s="140">
        <f t="shared" si="53"/>
        <v>4</v>
      </c>
      <c r="K386" s="140">
        <f t="shared" si="54"/>
        <v>3</v>
      </c>
      <c r="L386" s="1565">
        <f t="shared" si="55"/>
        <v>135</v>
      </c>
      <c r="M386" s="1" t="s">
        <v>2313</v>
      </c>
      <c r="N386" s="1" t="s">
        <v>2314</v>
      </c>
    </row>
    <row r="387" spans="1:18" s="36" customFormat="1" x14ac:dyDescent="0.4">
      <c r="A387" s="16">
        <v>171595</v>
      </c>
      <c r="B387" s="1197">
        <v>45</v>
      </c>
      <c r="C387" s="16">
        <f t="shared" si="52"/>
        <v>225</v>
      </c>
      <c r="D387" s="1197">
        <v>0</v>
      </c>
      <c r="E387" s="1197">
        <v>0</v>
      </c>
      <c r="F387" s="1197">
        <v>0</v>
      </c>
      <c r="G387" s="1197">
        <v>0</v>
      </c>
      <c r="H387" s="1197">
        <v>0</v>
      </c>
      <c r="I387" s="1197">
        <v>0</v>
      </c>
      <c r="J387" s="1198">
        <f t="shared" si="53"/>
        <v>0</v>
      </c>
      <c r="K387" s="1198">
        <f t="shared" si="54"/>
        <v>0</v>
      </c>
      <c r="L387" s="1197">
        <f t="shared" si="55"/>
        <v>0</v>
      </c>
      <c r="M387" s="16" t="s">
        <v>2315</v>
      </c>
      <c r="N387" s="16" t="s">
        <v>2316</v>
      </c>
    </row>
    <row r="388" spans="1:18" s="36" customFormat="1" x14ac:dyDescent="0.4">
      <c r="A388" s="16">
        <v>171596</v>
      </c>
      <c r="B388" s="985">
        <v>45</v>
      </c>
      <c r="C388" s="16">
        <f t="shared" si="52"/>
        <v>225</v>
      </c>
      <c r="D388" s="985">
        <v>0</v>
      </c>
      <c r="E388" s="985">
        <v>0</v>
      </c>
      <c r="F388" s="985">
        <v>0</v>
      </c>
      <c r="G388" s="985">
        <v>0</v>
      </c>
      <c r="H388" s="985">
        <v>0</v>
      </c>
      <c r="I388" s="985">
        <v>0</v>
      </c>
      <c r="J388" s="986">
        <f t="shared" si="53"/>
        <v>0</v>
      </c>
      <c r="K388" s="986">
        <f t="shared" si="54"/>
        <v>0</v>
      </c>
      <c r="L388" s="985">
        <f t="shared" si="55"/>
        <v>0</v>
      </c>
      <c r="M388" s="16" t="s">
        <v>2315</v>
      </c>
      <c r="N388" s="16" t="s">
        <v>2316</v>
      </c>
    </row>
    <row r="389" spans="1:18" s="36" customFormat="1" x14ac:dyDescent="0.4">
      <c r="A389" s="1">
        <v>171597</v>
      </c>
      <c r="B389" s="1565">
        <v>60</v>
      </c>
      <c r="C389" s="1">
        <f t="shared" si="52"/>
        <v>300</v>
      </c>
      <c r="D389" s="1565">
        <v>0</v>
      </c>
      <c r="E389" s="1565">
        <v>0</v>
      </c>
      <c r="F389" s="1565">
        <v>0</v>
      </c>
      <c r="G389" s="1565">
        <v>0</v>
      </c>
      <c r="H389" s="1565">
        <v>1</v>
      </c>
      <c r="I389" s="1565">
        <v>1</v>
      </c>
      <c r="J389" s="140">
        <f t="shared" si="53"/>
        <v>2</v>
      </c>
      <c r="K389" s="140">
        <f t="shared" si="54"/>
        <v>1</v>
      </c>
      <c r="L389" s="1565">
        <f t="shared" si="55"/>
        <v>60</v>
      </c>
      <c r="M389" s="1" t="s">
        <v>2315</v>
      </c>
      <c r="N389" s="1" t="s">
        <v>2316</v>
      </c>
    </row>
    <row r="390" spans="1:18" s="36" customFormat="1" x14ac:dyDescent="0.4">
      <c r="A390" s="1">
        <v>171598</v>
      </c>
      <c r="B390" s="1565">
        <v>45</v>
      </c>
      <c r="C390" s="1">
        <f t="shared" si="52"/>
        <v>225</v>
      </c>
      <c r="D390" s="1565">
        <v>0</v>
      </c>
      <c r="E390" s="1565">
        <v>0</v>
      </c>
      <c r="F390" s="1565">
        <v>0</v>
      </c>
      <c r="G390" s="1565">
        <v>0</v>
      </c>
      <c r="H390" s="1565">
        <v>0</v>
      </c>
      <c r="I390" s="1565">
        <v>1</v>
      </c>
      <c r="J390" s="140">
        <f t="shared" si="53"/>
        <v>1</v>
      </c>
      <c r="K390" s="140">
        <f t="shared" si="54"/>
        <v>0</v>
      </c>
      <c r="L390" s="1565">
        <f t="shared" si="55"/>
        <v>0</v>
      </c>
      <c r="M390" s="1" t="s">
        <v>2315</v>
      </c>
      <c r="N390" s="1" t="s">
        <v>2316</v>
      </c>
    </row>
    <row r="391" spans="1:18" s="36" customFormat="1" x14ac:dyDescent="0.4">
      <c r="A391" s="16">
        <v>171599</v>
      </c>
      <c r="B391" s="1056">
        <v>45</v>
      </c>
      <c r="C391" s="16">
        <f t="shared" si="52"/>
        <v>225</v>
      </c>
      <c r="D391" s="1056">
        <v>0</v>
      </c>
      <c r="E391" s="1056">
        <v>0</v>
      </c>
      <c r="F391" s="1056">
        <v>0</v>
      </c>
      <c r="G391" s="1056">
        <v>0</v>
      </c>
      <c r="H391" s="1056">
        <v>0</v>
      </c>
      <c r="I391" s="1056">
        <v>0</v>
      </c>
      <c r="J391" s="1057">
        <f t="shared" si="53"/>
        <v>0</v>
      </c>
      <c r="K391" s="1057">
        <f t="shared" si="54"/>
        <v>0</v>
      </c>
      <c r="L391" s="1056">
        <f t="shared" si="55"/>
        <v>0</v>
      </c>
      <c r="M391" s="16" t="s">
        <v>2317</v>
      </c>
      <c r="N391" s="16" t="s">
        <v>2318</v>
      </c>
    </row>
    <row r="392" spans="1:18" s="36" customFormat="1" x14ac:dyDescent="0.4">
      <c r="A392" s="16">
        <v>171600</v>
      </c>
      <c r="B392" s="1056">
        <v>45</v>
      </c>
      <c r="C392" s="16">
        <f t="shared" si="52"/>
        <v>225</v>
      </c>
      <c r="D392" s="1056">
        <v>0</v>
      </c>
      <c r="E392" s="1056">
        <v>0</v>
      </c>
      <c r="F392" s="1056">
        <v>0</v>
      </c>
      <c r="G392" s="1056">
        <v>0</v>
      </c>
      <c r="H392" s="1056">
        <v>0</v>
      </c>
      <c r="I392" s="1056">
        <v>0</v>
      </c>
      <c r="J392" s="1057">
        <f t="shared" si="53"/>
        <v>0</v>
      </c>
      <c r="K392" s="1057">
        <f t="shared" si="54"/>
        <v>0</v>
      </c>
      <c r="L392" s="1056">
        <f t="shared" si="55"/>
        <v>0</v>
      </c>
      <c r="M392" s="16" t="s">
        <v>2319</v>
      </c>
      <c r="N392" s="16" t="s">
        <v>2320</v>
      </c>
    </row>
    <row r="393" spans="1:18" s="36" customFormat="1" x14ac:dyDescent="0.4">
      <c r="A393" s="16">
        <v>171601</v>
      </c>
      <c r="B393" s="727">
        <v>60</v>
      </c>
      <c r="C393" s="16">
        <f t="shared" si="52"/>
        <v>300</v>
      </c>
      <c r="D393" s="727">
        <v>0</v>
      </c>
      <c r="E393" s="727">
        <v>0</v>
      </c>
      <c r="F393" s="727">
        <v>0</v>
      </c>
      <c r="G393" s="727">
        <v>0</v>
      </c>
      <c r="H393" s="727">
        <v>0</v>
      </c>
      <c r="I393" s="727">
        <v>0</v>
      </c>
      <c r="J393" s="728">
        <f t="shared" si="53"/>
        <v>0</v>
      </c>
      <c r="K393" s="728">
        <f t="shared" si="54"/>
        <v>0</v>
      </c>
      <c r="L393" s="727">
        <f t="shared" si="55"/>
        <v>0</v>
      </c>
      <c r="M393" s="16" t="s">
        <v>2321</v>
      </c>
      <c r="N393" s="16" t="s">
        <v>2322</v>
      </c>
    </row>
    <row r="394" spans="1:18" s="36" customFormat="1" x14ac:dyDescent="0.4">
      <c r="A394" s="16">
        <v>171602</v>
      </c>
      <c r="B394" s="1043">
        <v>60</v>
      </c>
      <c r="C394" s="16">
        <f t="shared" si="52"/>
        <v>300</v>
      </c>
      <c r="D394" s="1043">
        <v>0</v>
      </c>
      <c r="E394" s="1043">
        <v>0</v>
      </c>
      <c r="F394" s="1043">
        <v>0</v>
      </c>
      <c r="G394" s="1043">
        <v>0</v>
      </c>
      <c r="H394" s="1043">
        <v>0</v>
      </c>
      <c r="I394" s="1043">
        <v>0</v>
      </c>
      <c r="J394" s="1044">
        <f t="shared" si="53"/>
        <v>0</v>
      </c>
      <c r="K394" s="1044">
        <f t="shared" si="54"/>
        <v>0</v>
      </c>
      <c r="L394" s="1043">
        <f t="shared" si="55"/>
        <v>0</v>
      </c>
      <c r="M394" s="16" t="s">
        <v>2323</v>
      </c>
      <c r="N394" s="16" t="s">
        <v>2324</v>
      </c>
    </row>
    <row r="395" spans="1:18" s="36" customFormat="1" x14ac:dyDescent="0.4">
      <c r="A395" s="16">
        <v>171603</v>
      </c>
      <c r="B395" s="1043">
        <v>45</v>
      </c>
      <c r="C395" s="16">
        <f t="shared" si="52"/>
        <v>225</v>
      </c>
      <c r="D395" s="1043">
        <v>0</v>
      </c>
      <c r="E395" s="1043">
        <v>0</v>
      </c>
      <c r="F395" s="1043">
        <v>0</v>
      </c>
      <c r="G395" s="1043">
        <v>0</v>
      </c>
      <c r="H395" s="1043">
        <v>0</v>
      </c>
      <c r="I395" s="1043">
        <v>0</v>
      </c>
      <c r="J395" s="1044">
        <f t="shared" si="53"/>
        <v>0</v>
      </c>
      <c r="K395" s="1044">
        <f t="shared" si="54"/>
        <v>0</v>
      </c>
      <c r="L395" s="1043">
        <f t="shared" si="55"/>
        <v>0</v>
      </c>
      <c r="M395" s="16" t="s">
        <v>2323</v>
      </c>
      <c r="N395" s="16" t="s">
        <v>2324</v>
      </c>
    </row>
    <row r="396" spans="1:18" s="36" customFormat="1" x14ac:dyDescent="0.4">
      <c r="A396" s="16">
        <v>171604</v>
      </c>
      <c r="B396" s="1179">
        <v>45</v>
      </c>
      <c r="C396" s="16">
        <f t="shared" si="52"/>
        <v>225</v>
      </c>
      <c r="D396" s="1179">
        <v>0</v>
      </c>
      <c r="E396" s="1179">
        <v>0</v>
      </c>
      <c r="F396" s="1179">
        <v>0</v>
      </c>
      <c r="G396" s="1179">
        <v>0</v>
      </c>
      <c r="H396" s="1179">
        <v>0</v>
      </c>
      <c r="I396" s="1179">
        <v>0</v>
      </c>
      <c r="J396" s="1180">
        <f t="shared" si="53"/>
        <v>0</v>
      </c>
      <c r="K396" s="1180">
        <f t="shared" si="54"/>
        <v>0</v>
      </c>
      <c r="L396" s="1179">
        <f t="shared" si="55"/>
        <v>0</v>
      </c>
      <c r="M396" s="16" t="s">
        <v>2325</v>
      </c>
      <c r="N396" s="16" t="s">
        <v>2326</v>
      </c>
    </row>
    <row r="397" spans="1:18" s="36" customFormat="1" x14ac:dyDescent="0.4">
      <c r="A397" s="16">
        <v>171605</v>
      </c>
      <c r="B397" s="1319">
        <v>45</v>
      </c>
      <c r="C397" s="16">
        <f t="shared" si="52"/>
        <v>225</v>
      </c>
      <c r="D397" s="1319">
        <v>0</v>
      </c>
      <c r="E397" s="1319">
        <v>0</v>
      </c>
      <c r="F397" s="1319">
        <v>0</v>
      </c>
      <c r="G397" s="1319">
        <v>0</v>
      </c>
      <c r="H397" s="1319">
        <v>0</v>
      </c>
      <c r="I397" s="1319">
        <v>0</v>
      </c>
      <c r="J397" s="1320">
        <f t="shared" si="53"/>
        <v>0</v>
      </c>
      <c r="K397" s="1320">
        <f t="shared" si="54"/>
        <v>0</v>
      </c>
      <c r="L397" s="1319">
        <f t="shared" si="55"/>
        <v>0</v>
      </c>
      <c r="M397" s="16" t="s">
        <v>2325</v>
      </c>
      <c r="N397" s="16" t="s">
        <v>2326</v>
      </c>
    </row>
    <row r="398" spans="1:18" s="36" customFormat="1" x14ac:dyDescent="0.4">
      <c r="A398" s="16">
        <v>171606</v>
      </c>
      <c r="B398" s="833">
        <v>0</v>
      </c>
      <c r="C398" s="16">
        <f t="shared" si="52"/>
        <v>0</v>
      </c>
      <c r="D398" s="833">
        <v>0</v>
      </c>
      <c r="E398" s="833"/>
      <c r="F398" s="833"/>
      <c r="G398" s="833"/>
      <c r="H398" s="833"/>
      <c r="I398" s="833"/>
      <c r="J398" s="834">
        <f t="shared" si="53"/>
        <v>0</v>
      </c>
      <c r="K398" s="834">
        <f t="shared" si="54"/>
        <v>0</v>
      </c>
      <c r="L398" s="833">
        <f t="shared" si="55"/>
        <v>0</v>
      </c>
      <c r="M398" s="16" t="s">
        <v>2329</v>
      </c>
      <c r="N398" s="16" t="s">
        <v>2330</v>
      </c>
      <c r="O398" s="16" t="s">
        <v>2331</v>
      </c>
      <c r="P398" s="16"/>
      <c r="Q398" s="16"/>
      <c r="R398" s="16"/>
    </row>
    <row r="399" spans="1:18" s="36" customFormat="1" x14ac:dyDescent="0.4">
      <c r="A399" s="1">
        <v>171607</v>
      </c>
      <c r="B399" s="1565">
        <v>45</v>
      </c>
      <c r="C399" s="1">
        <f t="shared" si="52"/>
        <v>225</v>
      </c>
      <c r="D399" s="1565">
        <v>0</v>
      </c>
      <c r="E399" s="1565">
        <v>0</v>
      </c>
      <c r="F399" s="1565">
        <v>0</v>
      </c>
      <c r="G399" s="1565">
        <v>0</v>
      </c>
      <c r="H399" s="1565">
        <v>0</v>
      </c>
      <c r="I399" s="1565">
        <v>1</v>
      </c>
      <c r="J399" s="140">
        <f t="shared" si="53"/>
        <v>1</v>
      </c>
      <c r="K399" s="140">
        <f t="shared" si="54"/>
        <v>0</v>
      </c>
      <c r="L399" s="1565">
        <f t="shared" si="55"/>
        <v>0</v>
      </c>
      <c r="M399" s="1" t="s">
        <v>2332</v>
      </c>
      <c r="N399" s="1" t="s">
        <v>2333</v>
      </c>
    </row>
    <row r="400" spans="1:18" s="36" customFormat="1" x14ac:dyDescent="0.4">
      <c r="A400" s="1">
        <v>171608</v>
      </c>
      <c r="B400" s="1565">
        <v>60</v>
      </c>
      <c r="C400" s="1">
        <f t="shared" si="52"/>
        <v>300</v>
      </c>
      <c r="D400" s="1565">
        <v>0</v>
      </c>
      <c r="E400" s="1565">
        <v>0</v>
      </c>
      <c r="F400" s="1565">
        <v>0</v>
      </c>
      <c r="G400" s="1565">
        <v>1</v>
      </c>
      <c r="H400" s="1565">
        <v>1</v>
      </c>
      <c r="I400" s="1565">
        <v>1</v>
      </c>
      <c r="J400" s="140">
        <f t="shared" si="53"/>
        <v>3</v>
      </c>
      <c r="K400" s="140">
        <f t="shared" si="54"/>
        <v>2</v>
      </c>
      <c r="L400" s="1565">
        <f t="shared" si="55"/>
        <v>120</v>
      </c>
      <c r="M400" s="1" t="s">
        <v>2332</v>
      </c>
      <c r="N400" s="1" t="s">
        <v>2333</v>
      </c>
    </row>
    <row r="401" spans="1:15" s="36" customFormat="1" x14ac:dyDescent="0.4">
      <c r="A401" s="1">
        <v>171609</v>
      </c>
      <c r="B401" s="1565">
        <v>60</v>
      </c>
      <c r="C401" s="1">
        <f t="shared" si="52"/>
        <v>300</v>
      </c>
      <c r="D401" s="1565">
        <v>0</v>
      </c>
      <c r="E401" s="1565">
        <v>0</v>
      </c>
      <c r="F401" s="1565">
        <v>0</v>
      </c>
      <c r="G401" s="1565">
        <v>0</v>
      </c>
      <c r="H401" s="1565">
        <v>0</v>
      </c>
      <c r="I401" s="1565">
        <v>1</v>
      </c>
      <c r="J401" s="140">
        <f t="shared" si="53"/>
        <v>1</v>
      </c>
      <c r="K401" s="140">
        <f t="shared" si="54"/>
        <v>0</v>
      </c>
      <c r="L401" s="1565">
        <f t="shared" si="55"/>
        <v>0</v>
      </c>
      <c r="M401" s="1" t="s">
        <v>2327</v>
      </c>
      <c r="N401" s="1" t="s">
        <v>2328</v>
      </c>
    </row>
    <row r="402" spans="1:15" s="36" customFormat="1" x14ac:dyDescent="0.4">
      <c r="A402" s="16">
        <v>171610</v>
      </c>
      <c r="B402" s="764">
        <v>45</v>
      </c>
      <c r="C402" s="16">
        <f t="shared" si="52"/>
        <v>225</v>
      </c>
      <c r="D402" s="764">
        <v>0</v>
      </c>
      <c r="E402" s="764">
        <v>0</v>
      </c>
      <c r="F402" s="764">
        <v>0</v>
      </c>
      <c r="G402" s="764">
        <v>0</v>
      </c>
      <c r="H402" s="764">
        <v>0</v>
      </c>
      <c r="I402" s="764">
        <v>0</v>
      </c>
      <c r="J402" s="765">
        <f t="shared" si="53"/>
        <v>0</v>
      </c>
      <c r="K402" s="765">
        <f t="shared" si="54"/>
        <v>0</v>
      </c>
      <c r="L402" s="764">
        <f t="shared" si="55"/>
        <v>0</v>
      </c>
      <c r="M402" s="16" t="s">
        <v>2334</v>
      </c>
      <c r="N402" s="16" t="s">
        <v>2335</v>
      </c>
    </row>
    <row r="403" spans="1:15" s="36" customFormat="1" x14ac:dyDescent="0.4">
      <c r="A403" s="16">
        <v>171611</v>
      </c>
      <c r="B403" s="1074">
        <v>45</v>
      </c>
      <c r="C403" s="16">
        <f t="shared" si="52"/>
        <v>225</v>
      </c>
      <c r="D403" s="1074">
        <v>0</v>
      </c>
      <c r="E403" s="1074">
        <v>0</v>
      </c>
      <c r="F403" s="1074">
        <v>0</v>
      </c>
      <c r="G403" s="1074">
        <v>0</v>
      </c>
      <c r="H403" s="1074">
        <v>0</v>
      </c>
      <c r="I403" s="1074">
        <v>0</v>
      </c>
      <c r="J403" s="1075">
        <f t="shared" si="53"/>
        <v>0</v>
      </c>
      <c r="K403" s="1075">
        <f t="shared" si="54"/>
        <v>0</v>
      </c>
      <c r="L403" s="1074">
        <f t="shared" si="55"/>
        <v>0</v>
      </c>
      <c r="M403" s="16" t="s">
        <v>2336</v>
      </c>
      <c r="N403" s="16" t="s">
        <v>2337</v>
      </c>
    </row>
    <row r="404" spans="1:15" s="36" customFormat="1" x14ac:dyDescent="0.4">
      <c r="A404" s="16">
        <v>171612</v>
      </c>
      <c r="B404" s="1074">
        <v>60</v>
      </c>
      <c r="C404" s="16">
        <f t="shared" si="52"/>
        <v>300</v>
      </c>
      <c r="D404" s="1074">
        <v>0</v>
      </c>
      <c r="E404" s="1074">
        <v>0</v>
      </c>
      <c r="F404" s="1074">
        <v>0</v>
      </c>
      <c r="G404" s="1074">
        <v>0</v>
      </c>
      <c r="H404" s="1074">
        <v>0</v>
      </c>
      <c r="I404" s="1074">
        <v>0</v>
      </c>
      <c r="J404" s="1075">
        <f t="shared" si="53"/>
        <v>0</v>
      </c>
      <c r="K404" s="1075">
        <f t="shared" si="54"/>
        <v>0</v>
      </c>
      <c r="L404" s="1074">
        <f t="shared" si="55"/>
        <v>0</v>
      </c>
      <c r="M404" s="16" t="s">
        <v>2336</v>
      </c>
      <c r="N404" s="16" t="s">
        <v>2337</v>
      </c>
    </row>
    <row r="405" spans="1:15" s="36" customFormat="1" x14ac:dyDescent="0.4">
      <c r="A405" s="16">
        <v>171613</v>
      </c>
      <c r="B405" s="774">
        <v>60</v>
      </c>
      <c r="C405" s="16">
        <f t="shared" si="52"/>
        <v>300</v>
      </c>
      <c r="D405" s="774">
        <v>0</v>
      </c>
      <c r="E405" s="774">
        <v>0</v>
      </c>
      <c r="F405" s="774">
        <v>0</v>
      </c>
      <c r="G405" s="774">
        <v>0</v>
      </c>
      <c r="H405" s="774">
        <v>0</v>
      </c>
      <c r="I405" s="774">
        <v>0</v>
      </c>
      <c r="J405" s="775">
        <f t="shared" si="53"/>
        <v>0</v>
      </c>
      <c r="K405" s="775">
        <f t="shared" si="54"/>
        <v>0</v>
      </c>
      <c r="L405" s="774">
        <f t="shared" si="55"/>
        <v>0</v>
      </c>
      <c r="M405" s="16" t="s">
        <v>2336</v>
      </c>
      <c r="N405" s="16" t="s">
        <v>2337</v>
      </c>
    </row>
    <row r="406" spans="1:15" s="36" customFormat="1" x14ac:dyDescent="0.4">
      <c r="A406" s="16">
        <v>171614</v>
      </c>
      <c r="B406" s="1417">
        <v>50</v>
      </c>
      <c r="C406" s="16">
        <f t="shared" si="52"/>
        <v>250</v>
      </c>
      <c r="D406" s="1417">
        <v>0</v>
      </c>
      <c r="E406" s="1417">
        <v>0</v>
      </c>
      <c r="F406" s="1417">
        <v>0</v>
      </c>
      <c r="G406" s="1417">
        <v>0</v>
      </c>
      <c r="H406" s="1417">
        <v>0</v>
      </c>
      <c r="I406" s="1417">
        <v>0</v>
      </c>
      <c r="J406" s="1418">
        <f t="shared" si="53"/>
        <v>0</v>
      </c>
      <c r="K406" s="1418">
        <f t="shared" si="54"/>
        <v>0</v>
      </c>
      <c r="L406" s="1417">
        <f t="shared" si="55"/>
        <v>0</v>
      </c>
      <c r="M406" s="16" t="s">
        <v>2338</v>
      </c>
      <c r="N406" s="16" t="s">
        <v>2339</v>
      </c>
    </row>
    <row r="407" spans="1:15" s="36" customFormat="1" x14ac:dyDescent="0.4">
      <c r="A407" s="1">
        <v>171615</v>
      </c>
      <c r="B407" s="1565">
        <v>45</v>
      </c>
      <c r="C407" s="1">
        <f t="shared" si="52"/>
        <v>225</v>
      </c>
      <c r="D407" s="1565">
        <v>0</v>
      </c>
      <c r="E407" s="1565">
        <v>0</v>
      </c>
      <c r="F407" s="1565">
        <v>0</v>
      </c>
      <c r="G407" s="1565">
        <v>0</v>
      </c>
      <c r="H407" s="1565">
        <v>1</v>
      </c>
      <c r="I407" s="1565">
        <v>1</v>
      </c>
      <c r="J407" s="140">
        <f t="shared" si="53"/>
        <v>2</v>
      </c>
      <c r="K407" s="140">
        <f t="shared" si="54"/>
        <v>1</v>
      </c>
      <c r="L407" s="1565">
        <f t="shared" si="55"/>
        <v>45</v>
      </c>
      <c r="M407" s="1" t="s">
        <v>2340</v>
      </c>
      <c r="N407" s="1" t="s">
        <v>2341</v>
      </c>
      <c r="O407" s="36" t="s">
        <v>2342</v>
      </c>
    </row>
    <row r="408" spans="1:15" s="36" customFormat="1" x14ac:dyDescent="0.4">
      <c r="A408" s="16">
        <v>171616</v>
      </c>
      <c r="B408" s="1491">
        <v>60</v>
      </c>
      <c r="C408" s="16">
        <f t="shared" si="52"/>
        <v>300</v>
      </c>
      <c r="D408" s="1491">
        <v>0</v>
      </c>
      <c r="E408" s="1491">
        <v>0</v>
      </c>
      <c r="F408" s="1491">
        <v>0</v>
      </c>
      <c r="G408" s="1491">
        <v>0</v>
      </c>
      <c r="H408" s="1491">
        <v>0</v>
      </c>
      <c r="I408" s="1491">
        <v>0</v>
      </c>
      <c r="J408" s="1492">
        <f t="shared" si="53"/>
        <v>0</v>
      </c>
      <c r="K408" s="1492">
        <f t="shared" si="54"/>
        <v>0</v>
      </c>
      <c r="L408" s="1491">
        <f t="shared" si="55"/>
        <v>0</v>
      </c>
      <c r="M408" s="16" t="s">
        <v>2363</v>
      </c>
      <c r="N408" s="16" t="s">
        <v>2364</v>
      </c>
    </row>
    <row r="409" spans="1:15" s="36" customFormat="1" x14ac:dyDescent="0.4">
      <c r="A409" s="16">
        <v>171617</v>
      </c>
      <c r="B409" s="1501">
        <v>60</v>
      </c>
      <c r="C409" s="16">
        <f t="shared" si="52"/>
        <v>300</v>
      </c>
      <c r="D409" s="1501">
        <v>0</v>
      </c>
      <c r="E409" s="1501">
        <v>0</v>
      </c>
      <c r="F409" s="1501">
        <v>0</v>
      </c>
      <c r="G409" s="1501">
        <v>0</v>
      </c>
      <c r="H409" s="1501">
        <v>0</v>
      </c>
      <c r="I409" s="1501">
        <v>0</v>
      </c>
      <c r="J409" s="1502">
        <f t="shared" si="53"/>
        <v>0</v>
      </c>
      <c r="K409" s="1502">
        <f t="shared" si="54"/>
        <v>0</v>
      </c>
      <c r="L409" s="1501">
        <f t="shared" si="55"/>
        <v>0</v>
      </c>
      <c r="M409" s="16" t="s">
        <v>2363</v>
      </c>
      <c r="N409" s="16" t="s">
        <v>2364</v>
      </c>
    </row>
    <row r="410" spans="1:15" s="36" customFormat="1" x14ac:dyDescent="0.4">
      <c r="A410" s="16">
        <v>171618</v>
      </c>
      <c r="B410" s="1566"/>
      <c r="C410" s="16">
        <f t="shared" si="52"/>
        <v>0</v>
      </c>
      <c r="D410" s="1566">
        <v>0</v>
      </c>
      <c r="E410" s="1566"/>
      <c r="F410" s="1566"/>
      <c r="G410" s="1566"/>
      <c r="H410" s="1566"/>
      <c r="I410" s="1566"/>
      <c r="J410" s="1567">
        <f t="shared" si="53"/>
        <v>0</v>
      </c>
      <c r="K410" s="1567">
        <f t="shared" si="54"/>
        <v>0</v>
      </c>
      <c r="L410" s="1566">
        <f t="shared" si="55"/>
        <v>0</v>
      </c>
      <c r="M410" s="16" t="s">
        <v>2361</v>
      </c>
      <c r="N410" s="16" t="s">
        <v>2362</v>
      </c>
      <c r="O410" s="36" t="s">
        <v>2481</v>
      </c>
    </row>
    <row r="411" spans="1:15" s="36" customFormat="1" x14ac:dyDescent="0.4">
      <c r="A411" s="16">
        <v>171619</v>
      </c>
      <c r="B411" s="1007">
        <v>50</v>
      </c>
      <c r="C411" s="16">
        <f t="shared" si="52"/>
        <v>250</v>
      </c>
      <c r="D411" s="1007">
        <v>0</v>
      </c>
      <c r="E411" s="1007">
        <v>0</v>
      </c>
      <c r="F411" s="1007">
        <v>0</v>
      </c>
      <c r="G411" s="1007">
        <v>0</v>
      </c>
      <c r="H411" s="1007">
        <v>0</v>
      </c>
      <c r="I411" s="1007">
        <v>0</v>
      </c>
      <c r="J411" s="1008">
        <f t="shared" si="53"/>
        <v>0</v>
      </c>
      <c r="K411" s="1008">
        <f t="shared" si="54"/>
        <v>0</v>
      </c>
      <c r="L411" s="1007">
        <f t="shared" si="55"/>
        <v>0</v>
      </c>
      <c r="M411" s="16" t="s">
        <v>2343</v>
      </c>
      <c r="N411" s="16" t="s">
        <v>2344</v>
      </c>
    </row>
    <row r="412" spans="1:15" s="36" customFormat="1" x14ac:dyDescent="0.4">
      <c r="A412" s="16">
        <v>171620</v>
      </c>
      <c r="B412" s="945">
        <v>45</v>
      </c>
      <c r="C412" s="16">
        <f t="shared" ref="C412:C420" si="56">SUM(B412*5)</f>
        <v>225</v>
      </c>
      <c r="D412" s="945">
        <v>0</v>
      </c>
      <c r="E412" s="945">
        <v>0</v>
      </c>
      <c r="F412" s="945">
        <v>0</v>
      </c>
      <c r="G412" s="945">
        <v>0</v>
      </c>
      <c r="H412" s="945">
        <v>0</v>
      </c>
      <c r="I412" s="945">
        <v>0</v>
      </c>
      <c r="J412" s="946">
        <f t="shared" ref="J412:J420" si="57">SUM(D412:I412)</f>
        <v>0</v>
      </c>
      <c r="K412" s="946">
        <f t="shared" ref="K412:K420" si="58">SUM(D412:H412)</f>
        <v>0</v>
      </c>
      <c r="L412" s="945">
        <f t="shared" ref="L412:L420" si="59">B412*K412</f>
        <v>0</v>
      </c>
      <c r="M412" s="16" t="s">
        <v>2345</v>
      </c>
      <c r="N412" s="16" t="s">
        <v>2346</v>
      </c>
    </row>
    <row r="413" spans="1:15" s="36" customFormat="1" x14ac:dyDescent="0.4">
      <c r="A413" s="16">
        <v>171621</v>
      </c>
      <c r="B413" s="805">
        <v>45</v>
      </c>
      <c r="C413" s="16">
        <f t="shared" si="56"/>
        <v>225</v>
      </c>
      <c r="D413" s="805">
        <v>0</v>
      </c>
      <c r="E413" s="805">
        <v>0</v>
      </c>
      <c r="F413" s="805">
        <v>0</v>
      </c>
      <c r="G413" s="805">
        <v>0</v>
      </c>
      <c r="H413" s="805">
        <v>0</v>
      </c>
      <c r="I413" s="805">
        <v>0</v>
      </c>
      <c r="J413" s="806">
        <f t="shared" si="57"/>
        <v>0</v>
      </c>
      <c r="K413" s="806">
        <f t="shared" si="58"/>
        <v>0</v>
      </c>
      <c r="L413" s="805">
        <f t="shared" si="59"/>
        <v>0</v>
      </c>
      <c r="M413" s="16" t="s">
        <v>2345</v>
      </c>
      <c r="N413" s="16" t="s">
        <v>2346</v>
      </c>
    </row>
    <row r="414" spans="1:15" s="36" customFormat="1" x14ac:dyDescent="0.4">
      <c r="A414" s="16">
        <v>171622</v>
      </c>
      <c r="B414" s="1584">
        <v>90</v>
      </c>
      <c r="C414" s="16">
        <f t="shared" si="56"/>
        <v>450</v>
      </c>
      <c r="D414" s="1584">
        <v>0</v>
      </c>
      <c r="E414" s="1584">
        <v>0</v>
      </c>
      <c r="F414" s="1584">
        <v>0</v>
      </c>
      <c r="G414" s="1584">
        <v>0</v>
      </c>
      <c r="H414" s="1584">
        <v>0</v>
      </c>
      <c r="I414" s="1584">
        <v>0</v>
      </c>
      <c r="J414" s="1585">
        <f t="shared" si="57"/>
        <v>0</v>
      </c>
      <c r="K414" s="1585">
        <f t="shared" si="58"/>
        <v>0</v>
      </c>
      <c r="L414" s="1584">
        <f t="shared" si="59"/>
        <v>0</v>
      </c>
      <c r="M414" s="16" t="s">
        <v>2345</v>
      </c>
      <c r="N414" s="16" t="s">
        <v>2346</v>
      </c>
    </row>
    <row r="415" spans="1:15" s="36" customFormat="1" x14ac:dyDescent="0.4">
      <c r="A415" s="16">
        <v>171623</v>
      </c>
      <c r="B415" s="1074">
        <v>45</v>
      </c>
      <c r="C415" s="16">
        <f t="shared" si="56"/>
        <v>225</v>
      </c>
      <c r="D415" s="1074">
        <v>0</v>
      </c>
      <c r="E415" s="1074">
        <v>0</v>
      </c>
      <c r="F415" s="1074">
        <v>0</v>
      </c>
      <c r="G415" s="1074">
        <v>0</v>
      </c>
      <c r="H415" s="1074">
        <v>0</v>
      </c>
      <c r="I415" s="1074">
        <v>0</v>
      </c>
      <c r="J415" s="1075">
        <f t="shared" si="57"/>
        <v>0</v>
      </c>
      <c r="K415" s="1075">
        <f t="shared" si="58"/>
        <v>0</v>
      </c>
      <c r="L415" s="1074">
        <f t="shared" si="59"/>
        <v>0</v>
      </c>
      <c r="M415" s="16" t="s">
        <v>2347</v>
      </c>
      <c r="N415" s="16" t="s">
        <v>2348</v>
      </c>
    </row>
    <row r="416" spans="1:15" s="36" customFormat="1" x14ac:dyDescent="0.4">
      <c r="A416" s="16">
        <v>171624</v>
      </c>
      <c r="B416" s="770">
        <v>45</v>
      </c>
      <c r="C416" s="16">
        <f t="shared" si="56"/>
        <v>225</v>
      </c>
      <c r="D416" s="770">
        <v>0</v>
      </c>
      <c r="E416" s="770">
        <v>0</v>
      </c>
      <c r="F416" s="770">
        <v>0</v>
      </c>
      <c r="G416" s="770">
        <v>0</v>
      </c>
      <c r="H416" s="770">
        <v>0</v>
      </c>
      <c r="I416" s="770">
        <v>0</v>
      </c>
      <c r="J416" s="771">
        <f t="shared" si="57"/>
        <v>0</v>
      </c>
      <c r="K416" s="771">
        <f t="shared" si="58"/>
        <v>0</v>
      </c>
      <c r="L416" s="770">
        <f t="shared" si="59"/>
        <v>0</v>
      </c>
      <c r="M416" s="16" t="s">
        <v>2347</v>
      </c>
      <c r="N416" s="16" t="s">
        <v>2348</v>
      </c>
    </row>
    <row r="417" spans="1:14" s="36" customFormat="1" x14ac:dyDescent="0.4">
      <c r="A417" s="1">
        <v>171625</v>
      </c>
      <c r="B417" s="1565">
        <v>45</v>
      </c>
      <c r="C417" s="1">
        <f t="shared" si="56"/>
        <v>225</v>
      </c>
      <c r="D417" s="1565">
        <v>0</v>
      </c>
      <c r="E417" s="1565">
        <v>0</v>
      </c>
      <c r="F417" s="1565">
        <v>1</v>
      </c>
      <c r="G417" s="1565">
        <v>1</v>
      </c>
      <c r="H417" s="1565">
        <v>1</v>
      </c>
      <c r="I417" s="1565">
        <v>1</v>
      </c>
      <c r="J417" s="140">
        <f t="shared" si="57"/>
        <v>4</v>
      </c>
      <c r="K417" s="140">
        <f t="shared" si="58"/>
        <v>3</v>
      </c>
      <c r="L417" s="1565">
        <f t="shared" si="59"/>
        <v>135</v>
      </c>
      <c r="M417" s="1" t="s">
        <v>2349</v>
      </c>
      <c r="N417" s="1" t="s">
        <v>2350</v>
      </c>
    </row>
    <row r="418" spans="1:14" s="36" customFormat="1" x14ac:dyDescent="0.4">
      <c r="A418" s="16">
        <v>171626</v>
      </c>
      <c r="B418" s="1037">
        <v>60</v>
      </c>
      <c r="C418" s="16">
        <f t="shared" si="56"/>
        <v>300</v>
      </c>
      <c r="D418" s="1037">
        <v>0</v>
      </c>
      <c r="E418" s="1037">
        <v>0</v>
      </c>
      <c r="F418" s="1037">
        <v>0</v>
      </c>
      <c r="G418" s="1037">
        <v>0</v>
      </c>
      <c r="H418" s="1037">
        <v>0</v>
      </c>
      <c r="I418" s="1037">
        <v>0</v>
      </c>
      <c r="J418" s="1038">
        <f t="shared" si="57"/>
        <v>0</v>
      </c>
      <c r="K418" s="1038">
        <f t="shared" si="58"/>
        <v>0</v>
      </c>
      <c r="L418" s="1037">
        <f t="shared" si="59"/>
        <v>0</v>
      </c>
      <c r="M418" s="16" t="s">
        <v>2359</v>
      </c>
      <c r="N418" s="16" t="s">
        <v>2360</v>
      </c>
    </row>
    <row r="419" spans="1:14" s="36" customFormat="1" x14ac:dyDescent="0.4">
      <c r="A419" s="1">
        <v>171627</v>
      </c>
      <c r="B419" s="1565">
        <v>60</v>
      </c>
      <c r="C419" s="1">
        <f t="shared" si="56"/>
        <v>300</v>
      </c>
      <c r="D419" s="1565">
        <v>0</v>
      </c>
      <c r="E419" s="1565">
        <v>0</v>
      </c>
      <c r="F419" s="1565">
        <v>0</v>
      </c>
      <c r="G419" s="1565">
        <v>0</v>
      </c>
      <c r="H419" s="1565">
        <v>0</v>
      </c>
      <c r="I419" s="1565">
        <v>1</v>
      </c>
      <c r="J419" s="140">
        <f t="shared" si="57"/>
        <v>1</v>
      </c>
      <c r="K419" s="140">
        <f t="shared" si="58"/>
        <v>0</v>
      </c>
      <c r="L419" s="1565">
        <f t="shared" si="59"/>
        <v>0</v>
      </c>
      <c r="M419" s="1" t="s">
        <v>2351</v>
      </c>
      <c r="N419" s="1" t="s">
        <v>2352</v>
      </c>
    </row>
    <row r="420" spans="1:14" s="36" customFormat="1" x14ac:dyDescent="0.4">
      <c r="A420" s="16">
        <v>171628</v>
      </c>
      <c r="B420" s="941">
        <v>45</v>
      </c>
      <c r="C420" s="16">
        <f t="shared" si="56"/>
        <v>225</v>
      </c>
      <c r="D420" s="941">
        <v>0</v>
      </c>
      <c r="E420" s="941">
        <v>0</v>
      </c>
      <c r="F420" s="941">
        <v>0</v>
      </c>
      <c r="G420" s="941">
        <v>0</v>
      </c>
      <c r="H420" s="941">
        <v>0</v>
      </c>
      <c r="I420" s="941">
        <v>0</v>
      </c>
      <c r="J420" s="942">
        <f t="shared" si="57"/>
        <v>0</v>
      </c>
      <c r="K420" s="942">
        <f t="shared" si="58"/>
        <v>0</v>
      </c>
      <c r="L420" s="941">
        <f t="shared" si="59"/>
        <v>0</v>
      </c>
      <c r="M420" s="16" t="s">
        <v>2353</v>
      </c>
      <c r="N420" s="16" t="s">
        <v>2354</v>
      </c>
    </row>
    <row r="421" spans="1:14" s="36" customFormat="1" x14ac:dyDescent="0.4"/>
    <row r="422" spans="1:14" s="36" customFormat="1" x14ac:dyDescent="0.4"/>
    <row r="423" spans="1:14" s="36" customFormat="1" x14ac:dyDescent="0.4"/>
    <row r="424" spans="1:14" s="36" customFormat="1" x14ac:dyDescent="0.4"/>
    <row r="425" spans="1:14" s="36" customFormat="1" x14ac:dyDescent="0.4"/>
    <row r="426" spans="1:14" s="36" customFormat="1" x14ac:dyDescent="0.4"/>
    <row r="427" spans="1:14" s="36" customFormat="1" x14ac:dyDescent="0.4"/>
    <row r="428" spans="1:14" s="36" customFormat="1" x14ac:dyDescent="0.4"/>
    <row r="429" spans="1:14" s="36" customFormat="1" x14ac:dyDescent="0.4"/>
    <row r="430" spans="1:14" s="36" customFormat="1" x14ac:dyDescent="0.4"/>
    <row r="431" spans="1:14" s="36" customFormat="1" x14ac:dyDescent="0.4"/>
    <row r="432" spans="1:14" s="36" customFormat="1" x14ac:dyDescent="0.4"/>
    <row r="433" s="36" customFormat="1" x14ac:dyDescent="0.4"/>
    <row r="434" s="36" customFormat="1" x14ac:dyDescent="0.4"/>
    <row r="435" s="36" customFormat="1" x14ac:dyDescent="0.4"/>
    <row r="436" s="36" customFormat="1" x14ac:dyDescent="0.4"/>
    <row r="437" s="36" customFormat="1" x14ac:dyDescent="0.4"/>
    <row r="438" s="36" customFormat="1" x14ac:dyDescent="0.4"/>
    <row r="439" s="36" customFormat="1" x14ac:dyDescent="0.4"/>
    <row r="440" s="36" customFormat="1" x14ac:dyDescent="0.4"/>
    <row r="441" s="36" customFormat="1" x14ac:dyDescent="0.4"/>
    <row r="442" s="36" customFormat="1" x14ac:dyDescent="0.4"/>
    <row r="443" s="36" customFormat="1" x14ac:dyDescent="0.4"/>
    <row r="444" s="36" customFormat="1" x14ac:dyDescent="0.4"/>
    <row r="445" s="36" customFormat="1" x14ac:dyDescent="0.4"/>
    <row r="446" s="36" customFormat="1" x14ac:dyDescent="0.4"/>
  </sheetData>
  <mergeCells count="57">
    <mergeCell ref="T158:V158"/>
    <mergeCell ref="A4:A5"/>
    <mergeCell ref="D4:I4"/>
    <mergeCell ref="M4:M5"/>
    <mergeCell ref="N4:N5"/>
    <mergeCell ref="P4:P5"/>
    <mergeCell ref="Q4:Q5"/>
    <mergeCell ref="D5:I5"/>
    <mergeCell ref="R97:V97"/>
    <mergeCell ref="T156:V156"/>
    <mergeCell ref="T157:V157"/>
    <mergeCell ref="T170:V170"/>
    <mergeCell ref="T159:V159"/>
    <mergeCell ref="T160:V160"/>
    <mergeCell ref="T161:V161"/>
    <mergeCell ref="T162:V162"/>
    <mergeCell ref="T163:V163"/>
    <mergeCell ref="T164:V164"/>
    <mergeCell ref="T165:V165"/>
    <mergeCell ref="T166:V166"/>
    <mergeCell ref="T167:V167"/>
    <mergeCell ref="T168:V168"/>
    <mergeCell ref="T169:V169"/>
    <mergeCell ref="T182:V182"/>
    <mergeCell ref="T171:V171"/>
    <mergeCell ref="T172:V172"/>
    <mergeCell ref="T173:V173"/>
    <mergeCell ref="T174:V174"/>
    <mergeCell ref="T175:V175"/>
    <mergeCell ref="T176:V176"/>
    <mergeCell ref="T177:V177"/>
    <mergeCell ref="T178:V178"/>
    <mergeCell ref="T179:V179"/>
    <mergeCell ref="T180:V180"/>
    <mergeCell ref="T181:V181"/>
    <mergeCell ref="T194:V194"/>
    <mergeCell ref="T183:V183"/>
    <mergeCell ref="T184:V184"/>
    <mergeCell ref="T185:V185"/>
    <mergeCell ref="T186:V186"/>
    <mergeCell ref="T187:V187"/>
    <mergeCell ref="T188:V188"/>
    <mergeCell ref="T189:V189"/>
    <mergeCell ref="T190:V190"/>
    <mergeCell ref="T191:V191"/>
    <mergeCell ref="T192:V192"/>
    <mergeCell ref="T193:V193"/>
    <mergeCell ref="T195:V195"/>
    <mergeCell ref="T196:V196"/>
    <mergeCell ref="T197:V197"/>
    <mergeCell ref="T198:V198"/>
    <mergeCell ref="T199:V199"/>
    <mergeCell ref="M346:N346"/>
    <mergeCell ref="T200:V200"/>
    <mergeCell ref="T201:V201"/>
    <mergeCell ref="T202:V202"/>
    <mergeCell ref="T203:V203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485"/>
  <sheetViews>
    <sheetView topLeftCell="A429" zoomScaleNormal="100" workbookViewId="0">
      <selection activeCell="I446" sqref="I446"/>
    </sheetView>
  </sheetViews>
  <sheetFormatPr defaultRowHeight="17.399999999999999" x14ac:dyDescent="0.4"/>
  <cols>
    <col min="4" max="9" width="5.59765625" customWidth="1"/>
    <col min="13" max="13" width="14.3984375" customWidth="1"/>
    <col min="14" max="14" width="12.3984375" customWidth="1"/>
    <col min="16" max="16" width="12.09765625" customWidth="1"/>
    <col min="17" max="17" width="9.8984375" bestFit="1" customWidth="1"/>
    <col min="18" max="18" width="14.09765625" customWidth="1"/>
    <col min="24" max="24" width="11.69921875" customWidth="1"/>
    <col min="25" max="25" width="11.09765625" bestFit="1" customWidth="1"/>
    <col min="26" max="27" width="9.8984375" bestFit="1" customWidth="1"/>
  </cols>
  <sheetData>
    <row r="1" spans="1:17" x14ac:dyDescent="0.4">
      <c r="A1" s="5"/>
      <c r="B1" s="668"/>
      <c r="C1" s="668" t="s">
        <v>171</v>
      </c>
      <c r="D1" s="668"/>
      <c r="E1" s="668"/>
      <c r="F1" s="668"/>
      <c r="G1" s="668"/>
      <c r="H1" s="668"/>
      <c r="I1" s="668"/>
      <c r="J1" s="5"/>
      <c r="K1" s="1639" t="s">
        <v>171</v>
      </c>
      <c r="L1" s="1021" t="s">
        <v>171</v>
      </c>
      <c r="M1" s="278"/>
      <c r="N1" s="278" t="s">
        <v>1487</v>
      </c>
      <c r="O1" s="668"/>
      <c r="P1" s="668"/>
      <c r="Q1" s="668"/>
    </row>
    <row r="2" spans="1:17" x14ac:dyDescent="0.4">
      <c r="A2" s="5" t="s">
        <v>172</v>
      </c>
      <c r="B2" s="668"/>
      <c r="C2" s="668" t="s">
        <v>173</v>
      </c>
      <c r="D2" s="668" t="s">
        <v>174</v>
      </c>
      <c r="E2" s="668"/>
      <c r="F2" s="668"/>
      <c r="G2" s="668"/>
      <c r="H2" s="668"/>
      <c r="I2" s="668"/>
      <c r="J2" s="5"/>
      <c r="K2" s="1639" t="s">
        <v>3615</v>
      </c>
      <c r="L2" s="1021" t="s">
        <v>2924</v>
      </c>
      <c r="M2" s="279"/>
      <c r="N2" s="279" t="s">
        <v>2925</v>
      </c>
      <c r="O2" s="668"/>
      <c r="P2" s="668"/>
      <c r="Q2" s="668"/>
    </row>
    <row r="3" spans="1:17" x14ac:dyDescent="0.4">
      <c r="A3" s="36"/>
      <c r="B3" s="669"/>
      <c r="C3" s="250">
        <f>SUM(C6:C485)</f>
        <v>126435</v>
      </c>
      <c r="D3" s="669"/>
      <c r="E3" s="669"/>
      <c r="F3" s="669"/>
      <c r="G3" s="669"/>
      <c r="H3" s="669"/>
      <c r="I3" s="669"/>
      <c r="J3" s="36"/>
      <c r="K3" s="250">
        <f>SUM(L6:L374)</f>
        <v>7560</v>
      </c>
      <c r="L3" s="250">
        <f>SUM(L6:L485)</f>
        <v>10480</v>
      </c>
      <c r="M3" s="250"/>
      <c r="N3" s="1027">
        <f>L3/C3</f>
        <v>8.2888440700755323E-2</v>
      </c>
      <c r="O3" s="669"/>
      <c r="P3" s="669"/>
      <c r="Q3" s="669"/>
    </row>
    <row r="4" spans="1:17" x14ac:dyDescent="0.4">
      <c r="A4" s="2035" t="s">
        <v>182</v>
      </c>
      <c r="B4" s="670" t="s">
        <v>176</v>
      </c>
      <c r="C4" s="670" t="s">
        <v>177</v>
      </c>
      <c r="D4" s="2041"/>
      <c r="E4" s="2042"/>
      <c r="F4" s="2042"/>
      <c r="G4" s="2042"/>
      <c r="H4" s="2042"/>
      <c r="I4" s="2043"/>
      <c r="J4" s="33" t="s">
        <v>178</v>
      </c>
      <c r="K4" s="33" t="s">
        <v>179</v>
      </c>
      <c r="L4" s="33" t="s">
        <v>896</v>
      </c>
      <c r="M4" s="2035" t="s">
        <v>187</v>
      </c>
      <c r="N4" s="2035" t="s">
        <v>188</v>
      </c>
      <c r="O4" s="670" t="s">
        <v>180</v>
      </c>
      <c r="P4" s="2035" t="s">
        <v>181</v>
      </c>
      <c r="Q4" s="2035" t="s">
        <v>35</v>
      </c>
    </row>
    <row r="5" spans="1:17" x14ac:dyDescent="0.4">
      <c r="A5" s="2036"/>
      <c r="B5" s="670" t="s">
        <v>183</v>
      </c>
      <c r="C5" s="670" t="s">
        <v>183</v>
      </c>
      <c r="D5" s="2039" t="s">
        <v>184</v>
      </c>
      <c r="E5" s="2039"/>
      <c r="F5" s="2039"/>
      <c r="G5" s="2039"/>
      <c r="H5" s="2039"/>
      <c r="I5" s="2039"/>
      <c r="J5" s="34" t="s">
        <v>185</v>
      </c>
      <c r="K5" s="34" t="s">
        <v>185</v>
      </c>
      <c r="L5" s="34" t="s">
        <v>49</v>
      </c>
      <c r="M5" s="2036"/>
      <c r="N5" s="2036"/>
      <c r="O5" s="670" t="s">
        <v>189</v>
      </c>
      <c r="P5" s="2036"/>
      <c r="Q5" s="2036"/>
    </row>
    <row r="6" spans="1:17" s="36" customFormat="1" x14ac:dyDescent="0.4">
      <c r="A6" s="16">
        <v>171629</v>
      </c>
      <c r="B6" s="835">
        <v>45</v>
      </c>
      <c r="C6" s="16">
        <f t="shared" ref="C6:C27" si="0">SUM(B6*5)</f>
        <v>225</v>
      </c>
      <c r="D6" s="835">
        <v>0</v>
      </c>
      <c r="E6" s="835">
        <v>0</v>
      </c>
      <c r="F6" s="835">
        <v>0</v>
      </c>
      <c r="G6" s="835">
        <v>0</v>
      </c>
      <c r="H6" s="835">
        <v>0</v>
      </c>
      <c r="I6" s="835">
        <v>0</v>
      </c>
      <c r="J6" s="836">
        <f>SUM(D6:I6)</f>
        <v>0</v>
      </c>
      <c r="K6" s="836">
        <f>SUM(D6:H6)</f>
        <v>0</v>
      </c>
      <c r="L6" s="835">
        <f>B6*K6</f>
        <v>0</v>
      </c>
      <c r="M6" s="16" t="s">
        <v>2357</v>
      </c>
      <c r="N6" s="16" t="s">
        <v>2358</v>
      </c>
    </row>
    <row r="7" spans="1:17" s="36" customFormat="1" x14ac:dyDescent="0.4">
      <c r="A7" s="16">
        <v>171630</v>
      </c>
      <c r="B7" s="1131">
        <v>60</v>
      </c>
      <c r="C7" s="16">
        <f t="shared" si="0"/>
        <v>300</v>
      </c>
      <c r="D7" s="1131">
        <v>0</v>
      </c>
      <c r="E7" s="1131">
        <v>0</v>
      </c>
      <c r="F7" s="1131">
        <v>0</v>
      </c>
      <c r="G7" s="1131">
        <v>0</v>
      </c>
      <c r="H7" s="1131">
        <v>0</v>
      </c>
      <c r="I7" s="1131">
        <v>0</v>
      </c>
      <c r="J7" s="1132">
        <f t="shared" ref="J7:J27" si="1">SUM(D7:I7)</f>
        <v>0</v>
      </c>
      <c r="K7" s="1132">
        <f t="shared" ref="K7:K27" si="2">SUM(D7:H7)</f>
        <v>0</v>
      </c>
      <c r="L7" s="1131">
        <f t="shared" ref="L7:L27" si="3">B7*K7</f>
        <v>0</v>
      </c>
      <c r="M7" s="16" t="s">
        <v>2355</v>
      </c>
      <c r="N7" s="16" t="s">
        <v>2356</v>
      </c>
    </row>
    <row r="8" spans="1:17" s="36" customFormat="1" x14ac:dyDescent="0.4">
      <c r="A8" s="1">
        <v>171631</v>
      </c>
      <c r="B8" s="1565">
        <v>60</v>
      </c>
      <c r="C8" s="1">
        <f t="shared" si="0"/>
        <v>300</v>
      </c>
      <c r="D8" s="1565">
        <v>0</v>
      </c>
      <c r="E8" s="1565">
        <v>0</v>
      </c>
      <c r="F8" s="1565">
        <v>1</v>
      </c>
      <c r="G8" s="1565">
        <v>1</v>
      </c>
      <c r="H8" s="1565">
        <v>1</v>
      </c>
      <c r="I8" s="1565">
        <v>1</v>
      </c>
      <c r="J8" s="140">
        <f t="shared" si="1"/>
        <v>4</v>
      </c>
      <c r="K8" s="140">
        <f t="shared" si="2"/>
        <v>3</v>
      </c>
      <c r="L8" s="1565">
        <f t="shared" si="3"/>
        <v>180</v>
      </c>
      <c r="M8" s="1" t="s">
        <v>2365</v>
      </c>
      <c r="N8" s="1" t="s">
        <v>2366</v>
      </c>
    </row>
    <row r="9" spans="1:17" s="36" customFormat="1" x14ac:dyDescent="0.4">
      <c r="A9" s="16">
        <v>171632</v>
      </c>
      <c r="B9" s="835">
        <v>50</v>
      </c>
      <c r="C9" s="16">
        <f t="shared" si="0"/>
        <v>250</v>
      </c>
      <c r="D9" s="835">
        <v>0</v>
      </c>
      <c r="E9" s="835">
        <v>0</v>
      </c>
      <c r="F9" s="835">
        <v>0</v>
      </c>
      <c r="G9" s="835">
        <v>0</v>
      </c>
      <c r="H9" s="835">
        <v>0</v>
      </c>
      <c r="I9" s="835">
        <v>0</v>
      </c>
      <c r="J9" s="836">
        <f t="shared" si="1"/>
        <v>0</v>
      </c>
      <c r="K9" s="836">
        <f t="shared" si="2"/>
        <v>0</v>
      </c>
      <c r="L9" s="835">
        <f t="shared" si="3"/>
        <v>0</v>
      </c>
      <c r="M9" s="16" t="s">
        <v>2365</v>
      </c>
      <c r="N9" s="16" t="s">
        <v>2366</v>
      </c>
    </row>
    <row r="10" spans="1:17" s="36" customFormat="1" x14ac:dyDescent="0.4">
      <c r="A10" s="1">
        <v>171633</v>
      </c>
      <c r="B10" s="1565">
        <v>60</v>
      </c>
      <c r="C10" s="1">
        <f t="shared" si="0"/>
        <v>300</v>
      </c>
      <c r="D10" s="1565">
        <v>0</v>
      </c>
      <c r="E10" s="1565">
        <v>0</v>
      </c>
      <c r="F10" s="1565">
        <v>0</v>
      </c>
      <c r="G10" s="1565">
        <v>0</v>
      </c>
      <c r="H10" s="1565">
        <v>0</v>
      </c>
      <c r="I10" s="1565">
        <v>1</v>
      </c>
      <c r="J10" s="140">
        <f t="shared" si="1"/>
        <v>1</v>
      </c>
      <c r="K10" s="140">
        <f t="shared" si="2"/>
        <v>0</v>
      </c>
      <c r="L10" s="1565">
        <f t="shared" si="3"/>
        <v>0</v>
      </c>
      <c r="M10" s="1" t="s">
        <v>2367</v>
      </c>
      <c r="N10" s="1" t="s">
        <v>2368</v>
      </c>
    </row>
    <row r="11" spans="1:17" s="36" customFormat="1" x14ac:dyDescent="0.4">
      <c r="A11" s="16">
        <v>171634</v>
      </c>
      <c r="B11" s="1225">
        <v>60</v>
      </c>
      <c r="C11" s="16">
        <f t="shared" si="0"/>
        <v>300</v>
      </c>
      <c r="D11" s="1225">
        <v>0</v>
      </c>
      <c r="E11" s="1225">
        <v>0</v>
      </c>
      <c r="F11" s="1225">
        <v>0</v>
      </c>
      <c r="G11" s="1225">
        <v>0</v>
      </c>
      <c r="H11" s="1225">
        <v>0</v>
      </c>
      <c r="I11" s="1225">
        <v>0</v>
      </c>
      <c r="J11" s="1226">
        <f t="shared" si="1"/>
        <v>0</v>
      </c>
      <c r="K11" s="1226">
        <f t="shared" si="2"/>
        <v>0</v>
      </c>
      <c r="L11" s="1225">
        <f t="shared" si="3"/>
        <v>0</v>
      </c>
      <c r="M11" s="16" t="s">
        <v>2369</v>
      </c>
      <c r="N11" s="16" t="s">
        <v>2370</v>
      </c>
    </row>
    <row r="12" spans="1:17" s="36" customFormat="1" x14ac:dyDescent="0.4">
      <c r="A12" s="16">
        <v>171635</v>
      </c>
      <c r="B12" s="1225">
        <v>45</v>
      </c>
      <c r="C12" s="16">
        <f t="shared" si="0"/>
        <v>225</v>
      </c>
      <c r="D12" s="1225">
        <v>0</v>
      </c>
      <c r="E12" s="1225">
        <v>0</v>
      </c>
      <c r="F12" s="1225">
        <v>0</v>
      </c>
      <c r="G12" s="1225">
        <v>0</v>
      </c>
      <c r="H12" s="1225">
        <v>0</v>
      </c>
      <c r="I12" s="1225">
        <v>0</v>
      </c>
      <c r="J12" s="1226">
        <f t="shared" si="1"/>
        <v>0</v>
      </c>
      <c r="K12" s="1226">
        <f t="shared" si="2"/>
        <v>0</v>
      </c>
      <c r="L12" s="1225">
        <f t="shared" si="3"/>
        <v>0</v>
      </c>
      <c r="M12" s="16" t="s">
        <v>2371</v>
      </c>
      <c r="N12" s="16" t="s">
        <v>2372</v>
      </c>
    </row>
    <row r="13" spans="1:17" s="36" customFormat="1" x14ac:dyDescent="0.4">
      <c r="A13" s="1">
        <v>171636</v>
      </c>
      <c r="B13" s="1742">
        <v>60</v>
      </c>
      <c r="C13" s="1">
        <f t="shared" si="0"/>
        <v>300</v>
      </c>
      <c r="D13" s="1742">
        <v>0</v>
      </c>
      <c r="E13" s="1742">
        <v>0</v>
      </c>
      <c r="F13" s="1742">
        <v>1</v>
      </c>
      <c r="G13" s="1742">
        <v>1</v>
      </c>
      <c r="H13" s="1742">
        <v>1</v>
      </c>
      <c r="I13" s="1742">
        <v>1</v>
      </c>
      <c r="J13" s="1745">
        <f t="shared" si="1"/>
        <v>4</v>
      </c>
      <c r="K13" s="1745">
        <f t="shared" si="2"/>
        <v>3</v>
      </c>
      <c r="L13" s="1742">
        <f t="shared" si="3"/>
        <v>180</v>
      </c>
      <c r="M13" s="1" t="s">
        <v>2373</v>
      </c>
      <c r="N13" s="1" t="s">
        <v>2374</v>
      </c>
    </row>
    <row r="14" spans="1:17" s="36" customFormat="1" x14ac:dyDescent="0.4">
      <c r="A14" s="16">
        <v>171637</v>
      </c>
      <c r="B14" s="976">
        <v>45</v>
      </c>
      <c r="C14" s="16">
        <f t="shared" si="0"/>
        <v>225</v>
      </c>
      <c r="D14" s="976">
        <v>0</v>
      </c>
      <c r="E14" s="976">
        <v>0</v>
      </c>
      <c r="F14" s="976">
        <v>0</v>
      </c>
      <c r="G14" s="976">
        <v>0</v>
      </c>
      <c r="H14" s="976">
        <v>0</v>
      </c>
      <c r="I14" s="976">
        <v>0</v>
      </c>
      <c r="J14" s="977">
        <f t="shared" si="1"/>
        <v>0</v>
      </c>
      <c r="K14" s="977">
        <f t="shared" si="2"/>
        <v>0</v>
      </c>
      <c r="L14" s="976">
        <f t="shared" si="3"/>
        <v>0</v>
      </c>
      <c r="M14" s="16" t="s">
        <v>2375</v>
      </c>
      <c r="N14" s="16" t="s">
        <v>2376</v>
      </c>
    </row>
    <row r="15" spans="1:17" s="36" customFormat="1" x14ac:dyDescent="0.4">
      <c r="A15" s="16">
        <v>171638</v>
      </c>
      <c r="B15" s="920">
        <v>60</v>
      </c>
      <c r="C15" s="16">
        <f t="shared" si="0"/>
        <v>300</v>
      </c>
      <c r="D15" s="920">
        <v>0</v>
      </c>
      <c r="E15" s="920">
        <v>0</v>
      </c>
      <c r="F15" s="920">
        <v>0</v>
      </c>
      <c r="G15" s="920">
        <v>0</v>
      </c>
      <c r="H15" s="920">
        <v>0</v>
      </c>
      <c r="I15" s="920">
        <v>0</v>
      </c>
      <c r="J15" s="921">
        <f t="shared" si="1"/>
        <v>0</v>
      </c>
      <c r="K15" s="921">
        <f t="shared" si="2"/>
        <v>0</v>
      </c>
      <c r="L15" s="920">
        <f t="shared" si="3"/>
        <v>0</v>
      </c>
      <c r="M15" s="16" t="s">
        <v>2375</v>
      </c>
      <c r="N15" s="16" t="s">
        <v>2376</v>
      </c>
    </row>
    <row r="16" spans="1:17" s="36" customFormat="1" x14ac:dyDescent="0.4">
      <c r="A16" s="2057">
        <v>171639</v>
      </c>
      <c r="B16" s="2032">
        <v>35</v>
      </c>
      <c r="C16" s="2057">
        <f>SUM(B16*10)</f>
        <v>350</v>
      </c>
      <c r="D16" s="1637">
        <v>0</v>
      </c>
      <c r="E16" s="1637">
        <v>0</v>
      </c>
      <c r="F16" s="1637">
        <v>0</v>
      </c>
      <c r="G16" s="1637">
        <v>0</v>
      </c>
      <c r="H16" s="1637">
        <v>0</v>
      </c>
      <c r="I16" s="1637">
        <v>0</v>
      </c>
      <c r="J16" s="2032">
        <f>SUM(D16:I17)</f>
        <v>1</v>
      </c>
      <c r="K16" s="2032">
        <f>SUM(D16:H17)</f>
        <v>0</v>
      </c>
      <c r="L16" s="2032">
        <f t="shared" si="3"/>
        <v>0</v>
      </c>
      <c r="M16" s="2032" t="s">
        <v>2377</v>
      </c>
      <c r="N16" s="2032" t="s">
        <v>2378</v>
      </c>
    </row>
    <row r="17" spans="1:15" s="36" customFormat="1" x14ac:dyDescent="0.4">
      <c r="A17" s="2057"/>
      <c r="B17" s="2032"/>
      <c r="C17" s="2057"/>
      <c r="D17" s="1637">
        <v>0</v>
      </c>
      <c r="E17" s="1637">
        <v>0</v>
      </c>
      <c r="F17" s="1637">
        <v>0</v>
      </c>
      <c r="G17" s="1637">
        <v>0</v>
      </c>
      <c r="H17" s="1637">
        <v>0</v>
      </c>
      <c r="I17" s="1637">
        <v>1</v>
      </c>
      <c r="J17" s="2032"/>
      <c r="K17" s="2032"/>
      <c r="L17" s="2032"/>
      <c r="M17" s="2032"/>
      <c r="N17" s="2032"/>
    </row>
    <row r="18" spans="1:15" s="36" customFormat="1" x14ac:dyDescent="0.4">
      <c r="A18" s="16">
        <v>171640</v>
      </c>
      <c r="B18" s="1225">
        <v>60</v>
      </c>
      <c r="C18" s="16">
        <f t="shared" si="0"/>
        <v>300</v>
      </c>
      <c r="D18" s="1225">
        <v>0</v>
      </c>
      <c r="E18" s="1225">
        <v>0</v>
      </c>
      <c r="F18" s="1225">
        <v>0</v>
      </c>
      <c r="G18" s="1225">
        <v>0</v>
      </c>
      <c r="H18" s="1225">
        <v>0</v>
      </c>
      <c r="I18" s="1225">
        <v>0</v>
      </c>
      <c r="J18" s="1226">
        <f t="shared" si="1"/>
        <v>0</v>
      </c>
      <c r="K18" s="1226">
        <f t="shared" si="2"/>
        <v>0</v>
      </c>
      <c r="L18" s="1225">
        <f t="shared" si="3"/>
        <v>0</v>
      </c>
      <c r="M18" s="16" t="s">
        <v>2377</v>
      </c>
      <c r="N18" s="16" t="s">
        <v>2378</v>
      </c>
    </row>
    <row r="19" spans="1:15" s="36" customFormat="1" x14ac:dyDescent="0.4">
      <c r="A19" s="1">
        <v>171641</v>
      </c>
      <c r="B19" s="1637">
        <v>0</v>
      </c>
      <c r="C19" s="1">
        <f t="shared" si="0"/>
        <v>0</v>
      </c>
      <c r="D19" s="802">
        <v>0</v>
      </c>
      <c r="E19" s="1637">
        <v>0</v>
      </c>
      <c r="F19" s="1637">
        <v>1</v>
      </c>
      <c r="G19" s="1637">
        <v>1</v>
      </c>
      <c r="H19" s="1637"/>
      <c r="I19" s="1637"/>
      <c r="J19" s="140">
        <f t="shared" si="1"/>
        <v>2</v>
      </c>
      <c r="K19" s="140">
        <f t="shared" si="2"/>
        <v>2</v>
      </c>
      <c r="L19" s="1637">
        <f t="shared" si="3"/>
        <v>0</v>
      </c>
      <c r="M19" s="1" t="s">
        <v>2380</v>
      </c>
      <c r="N19" s="1" t="s">
        <v>2381</v>
      </c>
      <c r="O19" s="36" t="s">
        <v>2379</v>
      </c>
    </row>
    <row r="20" spans="1:15" s="36" customFormat="1" x14ac:dyDescent="0.4">
      <c r="A20" s="1">
        <v>171642</v>
      </c>
      <c r="B20" s="1637">
        <v>60</v>
      </c>
      <c r="C20" s="1">
        <f t="shared" si="0"/>
        <v>300</v>
      </c>
      <c r="D20" s="1637">
        <v>0</v>
      </c>
      <c r="E20" s="1637">
        <v>0</v>
      </c>
      <c r="F20" s="1637">
        <v>0</v>
      </c>
      <c r="G20" s="1637">
        <v>0</v>
      </c>
      <c r="H20" s="1637">
        <v>1</v>
      </c>
      <c r="I20" s="1637">
        <v>1</v>
      </c>
      <c r="J20" s="140">
        <f t="shared" si="1"/>
        <v>2</v>
      </c>
      <c r="K20" s="140">
        <f t="shared" si="2"/>
        <v>1</v>
      </c>
      <c r="L20" s="1637">
        <f t="shared" si="3"/>
        <v>60</v>
      </c>
      <c r="M20" s="1" t="s">
        <v>2380</v>
      </c>
      <c r="N20" s="1" t="s">
        <v>2381</v>
      </c>
    </row>
    <row r="21" spans="1:15" s="36" customFormat="1" x14ac:dyDescent="0.4">
      <c r="A21" s="16">
        <v>171643</v>
      </c>
      <c r="B21" s="1524">
        <v>90</v>
      </c>
      <c r="C21" s="16">
        <f t="shared" si="0"/>
        <v>450</v>
      </c>
      <c r="D21" s="1524">
        <v>0</v>
      </c>
      <c r="E21" s="1524">
        <v>0</v>
      </c>
      <c r="F21" s="1524">
        <v>0</v>
      </c>
      <c r="G21" s="1524">
        <v>0</v>
      </c>
      <c r="H21" s="1524">
        <v>0</v>
      </c>
      <c r="I21" s="1524">
        <v>0</v>
      </c>
      <c r="J21" s="1525">
        <f t="shared" si="1"/>
        <v>0</v>
      </c>
      <c r="K21" s="1525">
        <f t="shared" si="2"/>
        <v>0</v>
      </c>
      <c r="L21" s="1524">
        <f t="shared" si="3"/>
        <v>0</v>
      </c>
      <c r="M21" s="16" t="s">
        <v>2380</v>
      </c>
      <c r="N21" s="16" t="s">
        <v>2381</v>
      </c>
    </row>
    <row r="22" spans="1:15" s="36" customFormat="1" x14ac:dyDescent="0.4">
      <c r="A22" s="16">
        <v>171644</v>
      </c>
      <c r="B22" s="1225">
        <v>45</v>
      </c>
      <c r="C22" s="16">
        <f t="shared" si="0"/>
        <v>225</v>
      </c>
      <c r="D22" s="1225">
        <v>0</v>
      </c>
      <c r="E22" s="1225">
        <v>0</v>
      </c>
      <c r="F22" s="1225">
        <v>0</v>
      </c>
      <c r="G22" s="1225">
        <v>0</v>
      </c>
      <c r="H22" s="1225">
        <v>0</v>
      </c>
      <c r="I22" s="1225">
        <v>0</v>
      </c>
      <c r="J22" s="1226">
        <f t="shared" si="1"/>
        <v>0</v>
      </c>
      <c r="K22" s="1226">
        <f t="shared" si="2"/>
        <v>0</v>
      </c>
      <c r="L22" s="1225">
        <f t="shared" si="3"/>
        <v>0</v>
      </c>
      <c r="M22" s="16" t="s">
        <v>2382</v>
      </c>
      <c r="N22" s="16" t="s">
        <v>2383</v>
      </c>
    </row>
    <row r="23" spans="1:15" s="36" customFormat="1" x14ac:dyDescent="0.4">
      <c r="A23" s="1">
        <v>171645</v>
      </c>
      <c r="B23" s="1637">
        <v>60</v>
      </c>
      <c r="C23" s="1">
        <f t="shared" si="0"/>
        <v>300</v>
      </c>
      <c r="D23" s="1637">
        <v>0</v>
      </c>
      <c r="E23" s="1637">
        <v>0</v>
      </c>
      <c r="F23" s="1637">
        <v>1</v>
      </c>
      <c r="G23" s="1637">
        <v>1</v>
      </c>
      <c r="H23" s="1637">
        <v>1</v>
      </c>
      <c r="I23" s="1637">
        <v>1</v>
      </c>
      <c r="J23" s="140">
        <f t="shared" si="1"/>
        <v>4</v>
      </c>
      <c r="K23" s="140">
        <f t="shared" si="2"/>
        <v>3</v>
      </c>
      <c r="L23" s="1637">
        <f t="shared" si="3"/>
        <v>180</v>
      </c>
      <c r="M23" s="1" t="s">
        <v>2384</v>
      </c>
      <c r="N23" s="1" t="s">
        <v>2385</v>
      </c>
    </row>
    <row r="24" spans="1:15" s="36" customFormat="1" x14ac:dyDescent="0.4">
      <c r="A24" s="1">
        <v>171646</v>
      </c>
      <c r="B24" s="1637">
        <v>45</v>
      </c>
      <c r="C24" s="1">
        <f t="shared" si="0"/>
        <v>225</v>
      </c>
      <c r="D24" s="1637">
        <v>0</v>
      </c>
      <c r="E24" s="1637">
        <v>0</v>
      </c>
      <c r="F24" s="1637">
        <v>0</v>
      </c>
      <c r="G24" s="1637">
        <v>0</v>
      </c>
      <c r="H24" s="1637">
        <v>0</v>
      </c>
      <c r="I24" s="1637">
        <v>1</v>
      </c>
      <c r="J24" s="140">
        <f t="shared" si="1"/>
        <v>1</v>
      </c>
      <c r="K24" s="140">
        <f t="shared" si="2"/>
        <v>0</v>
      </c>
      <c r="L24" s="1637">
        <f t="shared" si="3"/>
        <v>0</v>
      </c>
      <c r="M24" s="1" t="s">
        <v>2384</v>
      </c>
      <c r="N24" s="1" t="s">
        <v>2385</v>
      </c>
    </row>
    <row r="25" spans="1:15" s="36" customFormat="1" x14ac:dyDescent="0.4">
      <c r="A25" s="16">
        <v>171647</v>
      </c>
      <c r="B25" s="1782">
        <v>45</v>
      </c>
      <c r="C25" s="16">
        <f t="shared" si="0"/>
        <v>225</v>
      </c>
      <c r="D25" s="1782">
        <v>0</v>
      </c>
      <c r="E25" s="1782">
        <v>0</v>
      </c>
      <c r="F25" s="1782">
        <v>0</v>
      </c>
      <c r="G25" s="1782">
        <v>0</v>
      </c>
      <c r="H25" s="1782">
        <v>0</v>
      </c>
      <c r="I25" s="1782">
        <v>0</v>
      </c>
      <c r="J25" s="1783">
        <f t="shared" si="1"/>
        <v>0</v>
      </c>
      <c r="K25" s="1783">
        <f t="shared" si="2"/>
        <v>0</v>
      </c>
      <c r="L25" s="1782">
        <f t="shared" si="3"/>
        <v>0</v>
      </c>
      <c r="M25" s="16" t="s">
        <v>2386</v>
      </c>
      <c r="N25" s="16" t="s">
        <v>2387</v>
      </c>
      <c r="O25" s="36" t="s">
        <v>3258</v>
      </c>
    </row>
    <row r="26" spans="1:15" s="36" customFormat="1" x14ac:dyDescent="0.4">
      <c r="A26" s="1">
        <v>171648</v>
      </c>
      <c r="B26" s="1637">
        <v>60</v>
      </c>
      <c r="C26" s="1">
        <f t="shared" si="0"/>
        <v>300</v>
      </c>
      <c r="D26" s="1637">
        <v>0</v>
      </c>
      <c r="E26" s="1637">
        <v>0</v>
      </c>
      <c r="F26" s="1637">
        <v>0</v>
      </c>
      <c r="G26" s="1637">
        <v>0</v>
      </c>
      <c r="H26" s="1637">
        <v>1</v>
      </c>
      <c r="I26" s="1637">
        <v>1</v>
      </c>
      <c r="J26" s="140">
        <f t="shared" si="1"/>
        <v>2</v>
      </c>
      <c r="K26" s="140">
        <f t="shared" si="2"/>
        <v>1</v>
      </c>
      <c r="L26" s="1637">
        <f t="shared" si="3"/>
        <v>60</v>
      </c>
      <c r="M26" s="1" t="s">
        <v>2386</v>
      </c>
      <c r="N26" s="1" t="s">
        <v>2387</v>
      </c>
      <c r="O26" s="36" t="s">
        <v>3258</v>
      </c>
    </row>
    <row r="27" spans="1:15" s="36" customFormat="1" x14ac:dyDescent="0.4">
      <c r="A27" s="16">
        <v>171649</v>
      </c>
      <c r="B27" s="817">
        <v>60</v>
      </c>
      <c r="C27" s="16">
        <f t="shared" si="0"/>
        <v>300</v>
      </c>
      <c r="D27" s="817">
        <v>0</v>
      </c>
      <c r="E27" s="817">
        <v>0</v>
      </c>
      <c r="F27" s="817">
        <v>0</v>
      </c>
      <c r="G27" s="817">
        <v>0</v>
      </c>
      <c r="H27" s="817">
        <v>0</v>
      </c>
      <c r="I27" s="817">
        <v>0</v>
      </c>
      <c r="J27" s="818">
        <f t="shared" si="1"/>
        <v>0</v>
      </c>
      <c r="K27" s="818">
        <f t="shared" si="2"/>
        <v>0</v>
      </c>
      <c r="L27" s="817">
        <f t="shared" si="3"/>
        <v>0</v>
      </c>
      <c r="M27" s="16" t="s">
        <v>2388</v>
      </c>
      <c r="N27" s="16" t="s">
        <v>2389</v>
      </c>
    </row>
    <row r="28" spans="1:15" s="36" customFormat="1" x14ac:dyDescent="0.4">
      <c r="A28" s="16">
        <v>171650</v>
      </c>
      <c r="B28" s="1214">
        <v>45</v>
      </c>
      <c r="C28" s="16">
        <f t="shared" ref="C28:C57" si="4">SUM(B28*5)</f>
        <v>225</v>
      </c>
      <c r="D28" s="1214">
        <v>0</v>
      </c>
      <c r="E28" s="1214">
        <v>0</v>
      </c>
      <c r="F28" s="1214">
        <v>0</v>
      </c>
      <c r="G28" s="1214">
        <v>0</v>
      </c>
      <c r="H28" s="1214">
        <v>0</v>
      </c>
      <c r="I28" s="1214">
        <v>0</v>
      </c>
      <c r="J28" s="1215">
        <f t="shared" ref="J28:J57" si="5">SUM(D28:I28)</f>
        <v>0</v>
      </c>
      <c r="K28" s="1215">
        <f t="shared" ref="K28:K57" si="6">SUM(D28:H28)</f>
        <v>0</v>
      </c>
      <c r="L28" s="1214">
        <f t="shared" ref="L28:L57" si="7">B28*K28</f>
        <v>0</v>
      </c>
      <c r="M28" s="16" t="s">
        <v>2390</v>
      </c>
      <c r="N28" s="16" t="s">
        <v>2391</v>
      </c>
    </row>
    <row r="29" spans="1:15" s="36" customFormat="1" x14ac:dyDescent="0.4">
      <c r="A29" s="16">
        <v>171651</v>
      </c>
      <c r="B29" s="933">
        <v>60</v>
      </c>
      <c r="C29" s="16">
        <f t="shared" si="4"/>
        <v>300</v>
      </c>
      <c r="D29" s="933">
        <v>0</v>
      </c>
      <c r="E29" s="933">
        <v>0</v>
      </c>
      <c r="F29" s="933">
        <v>0</v>
      </c>
      <c r="G29" s="933">
        <v>0</v>
      </c>
      <c r="H29" s="933">
        <v>0</v>
      </c>
      <c r="I29" s="933">
        <v>0</v>
      </c>
      <c r="J29" s="934">
        <f t="shared" si="5"/>
        <v>0</v>
      </c>
      <c r="K29" s="934">
        <f t="shared" si="6"/>
        <v>0</v>
      </c>
      <c r="L29" s="933">
        <f t="shared" si="7"/>
        <v>0</v>
      </c>
      <c r="M29" s="16" t="s">
        <v>2390</v>
      </c>
      <c r="N29" s="16" t="s">
        <v>2391</v>
      </c>
    </row>
    <row r="30" spans="1:15" s="36" customFormat="1" x14ac:dyDescent="0.4">
      <c r="A30" s="16">
        <v>171652</v>
      </c>
      <c r="B30" s="870">
        <v>45</v>
      </c>
      <c r="C30" s="16">
        <f t="shared" si="4"/>
        <v>225</v>
      </c>
      <c r="D30" s="870">
        <v>0</v>
      </c>
      <c r="E30" s="870">
        <v>0</v>
      </c>
      <c r="F30" s="870">
        <v>0</v>
      </c>
      <c r="G30" s="870">
        <v>0</v>
      </c>
      <c r="H30" s="870">
        <v>0</v>
      </c>
      <c r="I30" s="870">
        <v>0</v>
      </c>
      <c r="J30" s="871">
        <f t="shared" si="5"/>
        <v>0</v>
      </c>
      <c r="K30" s="871">
        <f t="shared" si="6"/>
        <v>0</v>
      </c>
      <c r="L30" s="870">
        <f t="shared" si="7"/>
        <v>0</v>
      </c>
      <c r="M30" s="16" t="s">
        <v>2392</v>
      </c>
      <c r="N30" s="16" t="s">
        <v>2393</v>
      </c>
    </row>
    <row r="31" spans="1:15" s="36" customFormat="1" x14ac:dyDescent="0.4">
      <c r="A31" s="16">
        <v>171653</v>
      </c>
      <c r="B31" s="1030">
        <v>45</v>
      </c>
      <c r="C31" s="16">
        <f t="shared" si="4"/>
        <v>225</v>
      </c>
      <c r="D31" s="1030">
        <v>0</v>
      </c>
      <c r="E31" s="1030">
        <v>0</v>
      </c>
      <c r="F31" s="1030">
        <v>0</v>
      </c>
      <c r="G31" s="1030">
        <v>0</v>
      </c>
      <c r="H31" s="1030">
        <v>0</v>
      </c>
      <c r="I31" s="1030">
        <v>0</v>
      </c>
      <c r="J31" s="1031">
        <f t="shared" si="5"/>
        <v>0</v>
      </c>
      <c r="K31" s="1031">
        <f t="shared" si="6"/>
        <v>0</v>
      </c>
      <c r="L31" s="1030">
        <f t="shared" si="7"/>
        <v>0</v>
      </c>
      <c r="M31" s="16" t="s">
        <v>2392</v>
      </c>
      <c r="N31" s="16" t="s">
        <v>2393</v>
      </c>
    </row>
    <row r="32" spans="1:15" s="36" customFormat="1" x14ac:dyDescent="0.4">
      <c r="A32" s="1">
        <v>171654</v>
      </c>
      <c r="B32" s="1637">
        <v>45</v>
      </c>
      <c r="C32" s="1">
        <f t="shared" si="4"/>
        <v>225</v>
      </c>
      <c r="D32" s="1637">
        <v>0</v>
      </c>
      <c r="E32" s="1637">
        <v>0</v>
      </c>
      <c r="F32" s="1637">
        <v>0</v>
      </c>
      <c r="G32" s="1637">
        <v>0</v>
      </c>
      <c r="H32" s="1637">
        <v>0</v>
      </c>
      <c r="I32" s="1637">
        <v>1</v>
      </c>
      <c r="J32" s="140">
        <f t="shared" si="5"/>
        <v>1</v>
      </c>
      <c r="K32" s="140">
        <f t="shared" si="6"/>
        <v>0</v>
      </c>
      <c r="L32" s="1637">
        <f t="shared" si="7"/>
        <v>0</v>
      </c>
      <c r="M32" s="1" t="s">
        <v>2394</v>
      </c>
      <c r="N32" s="1" t="s">
        <v>2395</v>
      </c>
    </row>
    <row r="33" spans="1:14" s="36" customFormat="1" x14ac:dyDescent="0.4">
      <c r="A33" s="16">
        <v>171655</v>
      </c>
      <c r="B33" s="1100">
        <v>45</v>
      </c>
      <c r="C33" s="16">
        <f t="shared" si="4"/>
        <v>225</v>
      </c>
      <c r="D33" s="1100">
        <v>0</v>
      </c>
      <c r="E33" s="1100">
        <v>0</v>
      </c>
      <c r="F33" s="1100">
        <v>0</v>
      </c>
      <c r="G33" s="1100">
        <v>0</v>
      </c>
      <c r="H33" s="1100">
        <v>0</v>
      </c>
      <c r="I33" s="1100">
        <v>0</v>
      </c>
      <c r="J33" s="1102">
        <f t="shared" si="5"/>
        <v>0</v>
      </c>
      <c r="K33" s="1102">
        <f t="shared" si="6"/>
        <v>0</v>
      </c>
      <c r="L33" s="1100">
        <f t="shared" si="7"/>
        <v>0</v>
      </c>
      <c r="M33" s="16" t="s">
        <v>2394</v>
      </c>
      <c r="N33" s="16" t="s">
        <v>2395</v>
      </c>
    </row>
    <row r="34" spans="1:14" s="36" customFormat="1" x14ac:dyDescent="0.4">
      <c r="A34" s="16">
        <v>171656</v>
      </c>
      <c r="B34" s="906">
        <v>60</v>
      </c>
      <c r="C34" s="16">
        <f t="shared" si="4"/>
        <v>300</v>
      </c>
      <c r="D34" s="906">
        <v>0</v>
      </c>
      <c r="E34" s="906">
        <v>0</v>
      </c>
      <c r="F34" s="906">
        <v>0</v>
      </c>
      <c r="G34" s="906">
        <v>0</v>
      </c>
      <c r="H34" s="906">
        <v>0</v>
      </c>
      <c r="I34" s="906">
        <v>0</v>
      </c>
      <c r="J34" s="907">
        <f t="shared" si="5"/>
        <v>0</v>
      </c>
      <c r="K34" s="907">
        <f t="shared" si="6"/>
        <v>0</v>
      </c>
      <c r="L34" s="906">
        <f t="shared" si="7"/>
        <v>0</v>
      </c>
      <c r="M34" s="16" t="s">
        <v>2394</v>
      </c>
      <c r="N34" s="16" t="s">
        <v>2395</v>
      </c>
    </row>
    <row r="35" spans="1:14" s="36" customFormat="1" x14ac:dyDescent="0.4">
      <c r="A35" s="16">
        <v>171657</v>
      </c>
      <c r="B35" s="1223">
        <v>45</v>
      </c>
      <c r="C35" s="16">
        <f t="shared" si="4"/>
        <v>225</v>
      </c>
      <c r="D35" s="1223">
        <v>0</v>
      </c>
      <c r="E35" s="1223">
        <v>0</v>
      </c>
      <c r="F35" s="1223">
        <v>0</v>
      </c>
      <c r="G35" s="1223">
        <v>0</v>
      </c>
      <c r="H35" s="1223">
        <v>0</v>
      </c>
      <c r="I35" s="1223">
        <v>0</v>
      </c>
      <c r="J35" s="1224">
        <f t="shared" si="5"/>
        <v>0</v>
      </c>
      <c r="K35" s="1224">
        <f t="shared" si="6"/>
        <v>0</v>
      </c>
      <c r="L35" s="1223">
        <f t="shared" si="7"/>
        <v>0</v>
      </c>
      <c r="M35" s="16" t="s">
        <v>2396</v>
      </c>
      <c r="N35" s="16" t="s">
        <v>2397</v>
      </c>
    </row>
    <row r="36" spans="1:14" s="36" customFormat="1" x14ac:dyDescent="0.4">
      <c r="A36" s="1">
        <v>171658</v>
      </c>
      <c r="B36" s="1637">
        <v>60</v>
      </c>
      <c r="C36" s="1">
        <f t="shared" si="4"/>
        <v>300</v>
      </c>
      <c r="D36" s="1637">
        <v>0</v>
      </c>
      <c r="E36" s="1637">
        <v>0</v>
      </c>
      <c r="F36" s="1637">
        <v>0</v>
      </c>
      <c r="G36" s="1637">
        <v>0</v>
      </c>
      <c r="H36" s="1637">
        <v>1</v>
      </c>
      <c r="I36" s="1637">
        <v>1</v>
      </c>
      <c r="J36" s="140">
        <f t="shared" si="5"/>
        <v>2</v>
      </c>
      <c r="K36" s="140">
        <f t="shared" si="6"/>
        <v>1</v>
      </c>
      <c r="L36" s="1637">
        <f t="shared" si="7"/>
        <v>60</v>
      </c>
      <c r="M36" s="1" t="s">
        <v>2398</v>
      </c>
      <c r="N36" s="1" t="s">
        <v>2399</v>
      </c>
    </row>
    <row r="37" spans="1:14" s="36" customFormat="1" x14ac:dyDescent="0.4">
      <c r="A37" s="16">
        <v>171659</v>
      </c>
      <c r="B37" s="1367">
        <v>60</v>
      </c>
      <c r="C37" s="16">
        <f t="shared" si="4"/>
        <v>300</v>
      </c>
      <c r="D37" s="1367">
        <v>0</v>
      </c>
      <c r="E37" s="1367">
        <v>0</v>
      </c>
      <c r="F37" s="1367">
        <v>0</v>
      </c>
      <c r="G37" s="1367">
        <v>0</v>
      </c>
      <c r="H37" s="1367">
        <v>0</v>
      </c>
      <c r="I37" s="1367">
        <v>1</v>
      </c>
      <c r="J37" s="1368">
        <f t="shared" si="5"/>
        <v>1</v>
      </c>
      <c r="K37" s="1368">
        <f t="shared" si="6"/>
        <v>0</v>
      </c>
      <c r="L37" s="1367">
        <f t="shared" si="7"/>
        <v>0</v>
      </c>
      <c r="M37" s="16" t="s">
        <v>2400</v>
      </c>
      <c r="N37" s="16" t="s">
        <v>2401</v>
      </c>
    </row>
    <row r="38" spans="1:14" s="36" customFormat="1" x14ac:dyDescent="0.4">
      <c r="A38" s="16">
        <v>171660</v>
      </c>
      <c r="B38" s="1181">
        <v>60</v>
      </c>
      <c r="C38" s="16">
        <f t="shared" si="4"/>
        <v>300</v>
      </c>
      <c r="D38" s="1181">
        <v>0</v>
      </c>
      <c r="E38" s="1181">
        <v>0</v>
      </c>
      <c r="F38" s="1181">
        <v>0</v>
      </c>
      <c r="G38" s="1181">
        <v>0</v>
      </c>
      <c r="H38" s="1181">
        <v>0</v>
      </c>
      <c r="I38" s="1181">
        <v>0</v>
      </c>
      <c r="J38" s="1182">
        <f t="shared" si="5"/>
        <v>0</v>
      </c>
      <c r="K38" s="1182">
        <f t="shared" si="6"/>
        <v>0</v>
      </c>
      <c r="L38" s="1181">
        <f t="shared" si="7"/>
        <v>0</v>
      </c>
      <c r="M38" s="16" t="s">
        <v>2400</v>
      </c>
      <c r="N38" s="16" t="s">
        <v>2401</v>
      </c>
    </row>
    <row r="39" spans="1:14" s="36" customFormat="1" x14ac:dyDescent="0.4">
      <c r="A39" s="1">
        <v>171661</v>
      </c>
      <c r="B39" s="1637">
        <v>60</v>
      </c>
      <c r="C39" s="1">
        <f t="shared" si="4"/>
        <v>300</v>
      </c>
      <c r="D39" s="1637">
        <v>0</v>
      </c>
      <c r="E39" s="1637">
        <v>1</v>
      </c>
      <c r="F39" s="1637">
        <v>1</v>
      </c>
      <c r="G39" s="1637">
        <v>1</v>
      </c>
      <c r="H39" s="1637">
        <v>1</v>
      </c>
      <c r="I39" s="1637">
        <v>1</v>
      </c>
      <c r="J39" s="140">
        <f t="shared" si="5"/>
        <v>5</v>
      </c>
      <c r="K39" s="140">
        <f t="shared" si="6"/>
        <v>4</v>
      </c>
      <c r="L39" s="1637">
        <f t="shared" si="7"/>
        <v>240</v>
      </c>
      <c r="M39" s="1" t="s">
        <v>2400</v>
      </c>
      <c r="N39" s="1" t="s">
        <v>2401</v>
      </c>
    </row>
    <row r="40" spans="1:14" s="36" customFormat="1" x14ac:dyDescent="0.4">
      <c r="A40" s="16">
        <v>171662</v>
      </c>
      <c r="B40" s="892">
        <v>45</v>
      </c>
      <c r="C40" s="16">
        <f t="shared" si="4"/>
        <v>225</v>
      </c>
      <c r="D40" s="892">
        <v>0</v>
      </c>
      <c r="E40" s="892">
        <v>0</v>
      </c>
      <c r="F40" s="892">
        <v>0</v>
      </c>
      <c r="G40" s="892">
        <v>0</v>
      </c>
      <c r="H40" s="892">
        <v>0</v>
      </c>
      <c r="I40" s="892">
        <v>0</v>
      </c>
      <c r="J40" s="893">
        <f t="shared" si="5"/>
        <v>0</v>
      </c>
      <c r="K40" s="893">
        <f t="shared" si="6"/>
        <v>0</v>
      </c>
      <c r="L40" s="892">
        <f t="shared" si="7"/>
        <v>0</v>
      </c>
      <c r="M40" s="16" t="s">
        <v>2400</v>
      </c>
      <c r="N40" s="16" t="s">
        <v>2401</v>
      </c>
    </row>
    <row r="41" spans="1:14" s="36" customFormat="1" x14ac:dyDescent="0.4">
      <c r="A41" s="16">
        <v>171663</v>
      </c>
      <c r="B41" s="1146">
        <v>60</v>
      </c>
      <c r="C41" s="16">
        <f t="shared" si="4"/>
        <v>300</v>
      </c>
      <c r="D41" s="1146">
        <v>0</v>
      </c>
      <c r="E41" s="1146">
        <v>0</v>
      </c>
      <c r="F41" s="1146">
        <v>0</v>
      </c>
      <c r="G41" s="1146">
        <v>0</v>
      </c>
      <c r="H41" s="1146">
        <v>0</v>
      </c>
      <c r="I41" s="1146">
        <v>0</v>
      </c>
      <c r="J41" s="1147">
        <f t="shared" si="5"/>
        <v>0</v>
      </c>
      <c r="K41" s="1147">
        <f t="shared" si="6"/>
        <v>0</v>
      </c>
      <c r="L41" s="1146">
        <f t="shared" si="7"/>
        <v>0</v>
      </c>
      <c r="M41" s="16" t="s">
        <v>2402</v>
      </c>
      <c r="N41" s="16" t="s">
        <v>2403</v>
      </c>
    </row>
    <row r="42" spans="1:14" s="36" customFormat="1" x14ac:dyDescent="0.4">
      <c r="A42" s="16">
        <v>171664</v>
      </c>
      <c r="B42" s="1604">
        <v>60</v>
      </c>
      <c r="C42" s="16">
        <f t="shared" si="4"/>
        <v>300</v>
      </c>
      <c r="D42" s="1604">
        <v>0</v>
      </c>
      <c r="E42" s="1604">
        <v>0</v>
      </c>
      <c r="F42" s="1604">
        <v>0</v>
      </c>
      <c r="G42" s="1604">
        <v>0</v>
      </c>
      <c r="H42" s="1604">
        <v>0</v>
      </c>
      <c r="I42" s="1604">
        <v>0</v>
      </c>
      <c r="J42" s="1605">
        <f t="shared" si="5"/>
        <v>0</v>
      </c>
      <c r="K42" s="1605">
        <f t="shared" si="6"/>
        <v>0</v>
      </c>
      <c r="L42" s="1604">
        <f t="shared" si="7"/>
        <v>0</v>
      </c>
      <c r="M42" s="16" t="s">
        <v>2404</v>
      </c>
      <c r="N42" s="16" t="s">
        <v>2405</v>
      </c>
    </row>
    <row r="43" spans="1:14" s="36" customFormat="1" x14ac:dyDescent="0.4">
      <c r="A43" s="16">
        <v>171665</v>
      </c>
      <c r="B43" s="1315">
        <v>45</v>
      </c>
      <c r="C43" s="16">
        <f t="shared" si="4"/>
        <v>225</v>
      </c>
      <c r="D43" s="1315">
        <v>0</v>
      </c>
      <c r="E43" s="1315">
        <v>0</v>
      </c>
      <c r="F43" s="1315">
        <v>0</v>
      </c>
      <c r="G43" s="1315">
        <v>0</v>
      </c>
      <c r="H43" s="1315">
        <v>0</v>
      </c>
      <c r="I43" s="1315">
        <v>0</v>
      </c>
      <c r="J43" s="1316">
        <f t="shared" si="5"/>
        <v>0</v>
      </c>
      <c r="K43" s="1316">
        <f t="shared" si="6"/>
        <v>0</v>
      </c>
      <c r="L43" s="1315">
        <f t="shared" si="7"/>
        <v>0</v>
      </c>
      <c r="M43" s="16" t="s">
        <v>2404</v>
      </c>
      <c r="N43" s="16" t="s">
        <v>2405</v>
      </c>
    </row>
    <row r="44" spans="1:14" s="36" customFormat="1" x14ac:dyDescent="0.4">
      <c r="A44" s="16">
        <v>171666</v>
      </c>
      <c r="B44" s="928">
        <v>60</v>
      </c>
      <c r="C44" s="16">
        <f t="shared" si="4"/>
        <v>300</v>
      </c>
      <c r="D44" s="928">
        <v>0</v>
      </c>
      <c r="E44" s="928">
        <v>0</v>
      </c>
      <c r="F44" s="928">
        <v>0</v>
      </c>
      <c r="G44" s="928">
        <v>0</v>
      </c>
      <c r="H44" s="928">
        <v>0</v>
      </c>
      <c r="I44" s="928">
        <v>0</v>
      </c>
      <c r="J44" s="929">
        <f t="shared" si="5"/>
        <v>0</v>
      </c>
      <c r="K44" s="929">
        <f t="shared" si="6"/>
        <v>0</v>
      </c>
      <c r="L44" s="928">
        <f t="shared" si="7"/>
        <v>0</v>
      </c>
      <c r="M44" s="16" t="s">
        <v>2406</v>
      </c>
      <c r="N44" s="16" t="s">
        <v>2407</v>
      </c>
    </row>
    <row r="45" spans="1:14" s="36" customFormat="1" x14ac:dyDescent="0.4">
      <c r="A45" s="16">
        <v>171667</v>
      </c>
      <c r="B45" s="974">
        <v>60</v>
      </c>
      <c r="C45" s="16">
        <f t="shared" si="4"/>
        <v>300</v>
      </c>
      <c r="D45" s="974">
        <v>0</v>
      </c>
      <c r="E45" s="974">
        <v>0</v>
      </c>
      <c r="F45" s="974">
        <v>0</v>
      </c>
      <c r="G45" s="974">
        <v>0</v>
      </c>
      <c r="H45" s="974">
        <v>0</v>
      </c>
      <c r="I45" s="974">
        <v>0</v>
      </c>
      <c r="J45" s="975">
        <f t="shared" si="5"/>
        <v>0</v>
      </c>
      <c r="K45" s="975">
        <f t="shared" si="6"/>
        <v>0</v>
      </c>
      <c r="L45" s="974">
        <f t="shared" si="7"/>
        <v>0</v>
      </c>
      <c r="M45" s="16" t="s">
        <v>2406</v>
      </c>
      <c r="N45" s="16" t="s">
        <v>2407</v>
      </c>
    </row>
    <row r="46" spans="1:14" s="36" customFormat="1" x14ac:dyDescent="0.4">
      <c r="A46" s="1">
        <v>171668</v>
      </c>
      <c r="B46" s="1637">
        <v>60</v>
      </c>
      <c r="C46" s="1">
        <f t="shared" si="4"/>
        <v>300</v>
      </c>
      <c r="D46" s="1637">
        <v>0</v>
      </c>
      <c r="E46" s="1637">
        <v>0</v>
      </c>
      <c r="F46" s="1637">
        <v>0</v>
      </c>
      <c r="G46" s="1637">
        <v>0</v>
      </c>
      <c r="H46" s="1637">
        <v>1</v>
      </c>
      <c r="I46" s="1637">
        <v>1</v>
      </c>
      <c r="J46" s="140">
        <f t="shared" si="5"/>
        <v>2</v>
      </c>
      <c r="K46" s="140">
        <f t="shared" si="6"/>
        <v>1</v>
      </c>
      <c r="L46" s="1637">
        <f t="shared" si="7"/>
        <v>60</v>
      </c>
      <c r="M46" s="1" t="s">
        <v>2406</v>
      </c>
      <c r="N46" s="1" t="s">
        <v>2407</v>
      </c>
    </row>
    <row r="47" spans="1:14" s="36" customFormat="1" x14ac:dyDescent="0.4">
      <c r="A47" s="16">
        <v>171669</v>
      </c>
      <c r="B47" s="1129">
        <v>45</v>
      </c>
      <c r="C47" s="16">
        <f t="shared" si="4"/>
        <v>225</v>
      </c>
      <c r="D47" s="1129">
        <v>0</v>
      </c>
      <c r="E47" s="1129">
        <v>0</v>
      </c>
      <c r="F47" s="1129">
        <v>0</v>
      </c>
      <c r="G47" s="1129">
        <v>0</v>
      </c>
      <c r="H47" s="1129">
        <v>0</v>
      </c>
      <c r="I47" s="1129">
        <v>0</v>
      </c>
      <c r="J47" s="1130">
        <f t="shared" si="5"/>
        <v>0</v>
      </c>
      <c r="K47" s="1130">
        <f t="shared" si="6"/>
        <v>0</v>
      </c>
      <c r="L47" s="1129">
        <f t="shared" si="7"/>
        <v>0</v>
      </c>
      <c r="M47" s="16" t="s">
        <v>2408</v>
      </c>
      <c r="N47" s="16" t="s">
        <v>2409</v>
      </c>
    </row>
    <row r="48" spans="1:14" s="36" customFormat="1" x14ac:dyDescent="0.4">
      <c r="A48" s="16">
        <v>171670</v>
      </c>
      <c r="B48" s="1235">
        <v>50</v>
      </c>
      <c r="C48" s="16">
        <f t="shared" si="4"/>
        <v>250</v>
      </c>
      <c r="D48" s="1235">
        <v>0</v>
      </c>
      <c r="E48" s="1235">
        <v>0</v>
      </c>
      <c r="F48" s="1235">
        <v>0</v>
      </c>
      <c r="G48" s="1235">
        <v>0</v>
      </c>
      <c r="H48" s="1235">
        <v>0</v>
      </c>
      <c r="I48" s="1235">
        <v>0</v>
      </c>
      <c r="J48" s="1236">
        <f t="shared" si="5"/>
        <v>0</v>
      </c>
      <c r="K48" s="1236">
        <f t="shared" si="6"/>
        <v>0</v>
      </c>
      <c r="L48" s="1235">
        <f t="shared" si="7"/>
        <v>0</v>
      </c>
      <c r="M48" s="16" t="s">
        <v>2408</v>
      </c>
      <c r="N48" s="16" t="s">
        <v>2409</v>
      </c>
    </row>
    <row r="49" spans="1:15" s="36" customFormat="1" x14ac:dyDescent="0.4">
      <c r="A49" s="1">
        <v>171671</v>
      </c>
      <c r="B49" s="1637">
        <v>45</v>
      </c>
      <c r="C49" s="1">
        <f t="shared" si="4"/>
        <v>225</v>
      </c>
      <c r="D49" s="1637">
        <v>0</v>
      </c>
      <c r="E49" s="1637">
        <v>0</v>
      </c>
      <c r="F49" s="1637">
        <v>0</v>
      </c>
      <c r="G49" s="1637">
        <v>1</v>
      </c>
      <c r="H49" s="1637">
        <v>1</v>
      </c>
      <c r="I49" s="1637">
        <v>1</v>
      </c>
      <c r="J49" s="140">
        <f t="shared" si="5"/>
        <v>3</v>
      </c>
      <c r="K49" s="140">
        <f t="shared" si="6"/>
        <v>2</v>
      </c>
      <c r="L49" s="1637">
        <f t="shared" si="7"/>
        <v>90</v>
      </c>
      <c r="M49" s="1" t="s">
        <v>2410</v>
      </c>
      <c r="N49" s="1" t="s">
        <v>2411</v>
      </c>
    </row>
    <row r="50" spans="1:15" s="36" customFormat="1" x14ac:dyDescent="0.4">
      <c r="A50" s="16">
        <v>171672</v>
      </c>
      <c r="B50" s="968">
        <v>45</v>
      </c>
      <c r="C50" s="16">
        <f t="shared" si="4"/>
        <v>225</v>
      </c>
      <c r="D50" s="968">
        <v>0</v>
      </c>
      <c r="E50" s="968">
        <v>0</v>
      </c>
      <c r="F50" s="968">
        <v>0</v>
      </c>
      <c r="G50" s="968">
        <v>0</v>
      </c>
      <c r="H50" s="968">
        <v>0</v>
      </c>
      <c r="I50" s="968">
        <v>0</v>
      </c>
      <c r="J50" s="969">
        <f t="shared" si="5"/>
        <v>0</v>
      </c>
      <c r="K50" s="969">
        <f t="shared" si="6"/>
        <v>0</v>
      </c>
      <c r="L50" s="968">
        <f t="shared" si="7"/>
        <v>0</v>
      </c>
      <c r="M50" s="16" t="s">
        <v>2412</v>
      </c>
      <c r="N50" s="16" t="s">
        <v>2413</v>
      </c>
    </row>
    <row r="51" spans="1:15" s="36" customFormat="1" x14ac:dyDescent="0.4">
      <c r="A51" s="1">
        <v>171673</v>
      </c>
      <c r="B51" s="1637">
        <v>45</v>
      </c>
      <c r="C51" s="1">
        <f t="shared" si="4"/>
        <v>225</v>
      </c>
      <c r="D51" s="1637">
        <v>0</v>
      </c>
      <c r="E51" s="1637">
        <v>0</v>
      </c>
      <c r="F51" s="1637">
        <v>0</v>
      </c>
      <c r="G51" s="1637">
        <v>0</v>
      </c>
      <c r="H51" s="1637">
        <v>0</v>
      </c>
      <c r="I51" s="1637">
        <v>1</v>
      </c>
      <c r="J51" s="140">
        <f t="shared" si="5"/>
        <v>1</v>
      </c>
      <c r="K51" s="140">
        <f t="shared" si="6"/>
        <v>0</v>
      </c>
      <c r="L51" s="1637">
        <f t="shared" si="7"/>
        <v>0</v>
      </c>
      <c r="M51" s="1" t="s">
        <v>2414</v>
      </c>
      <c r="N51" s="1" t="s">
        <v>2415</v>
      </c>
    </row>
    <row r="52" spans="1:15" s="36" customFormat="1" x14ac:dyDescent="0.4">
      <c r="A52" s="1">
        <v>171674</v>
      </c>
      <c r="B52" s="1637">
        <v>45</v>
      </c>
      <c r="C52" s="1">
        <f t="shared" si="4"/>
        <v>225</v>
      </c>
      <c r="D52" s="1637">
        <v>0</v>
      </c>
      <c r="E52" s="1637">
        <v>0</v>
      </c>
      <c r="F52" s="1637">
        <v>1</v>
      </c>
      <c r="G52" s="1637">
        <v>1</v>
      </c>
      <c r="H52" s="1637">
        <v>1</v>
      </c>
      <c r="I52" s="1637">
        <v>1</v>
      </c>
      <c r="J52" s="140">
        <f t="shared" si="5"/>
        <v>4</v>
      </c>
      <c r="K52" s="140">
        <f t="shared" si="6"/>
        <v>3</v>
      </c>
      <c r="L52" s="1637">
        <f t="shared" si="7"/>
        <v>135</v>
      </c>
      <c r="M52" s="1" t="s">
        <v>2414</v>
      </c>
      <c r="N52" s="1" t="s">
        <v>2415</v>
      </c>
    </row>
    <row r="53" spans="1:15" s="36" customFormat="1" x14ac:dyDescent="0.4">
      <c r="A53" s="1">
        <v>171675</v>
      </c>
      <c r="B53" s="1637">
        <v>100</v>
      </c>
      <c r="C53" s="1">
        <f t="shared" si="4"/>
        <v>500</v>
      </c>
      <c r="D53" s="1637">
        <v>0</v>
      </c>
      <c r="E53" s="1637">
        <v>0</v>
      </c>
      <c r="F53" s="1637">
        <v>0</v>
      </c>
      <c r="G53" s="1637">
        <v>0</v>
      </c>
      <c r="H53" s="1637">
        <v>0</v>
      </c>
      <c r="I53" s="1637">
        <v>0</v>
      </c>
      <c r="J53" s="140">
        <f t="shared" si="5"/>
        <v>0</v>
      </c>
      <c r="K53" s="140">
        <f t="shared" si="6"/>
        <v>0</v>
      </c>
      <c r="L53" s="1637">
        <f t="shared" si="7"/>
        <v>0</v>
      </c>
      <c r="M53" s="1" t="s">
        <v>2414</v>
      </c>
      <c r="N53" s="1" t="s">
        <v>2415</v>
      </c>
      <c r="O53" s="36" t="s">
        <v>3278</v>
      </c>
    </row>
    <row r="54" spans="1:15" x14ac:dyDescent="0.4">
      <c r="A54" s="16">
        <v>171676</v>
      </c>
      <c r="B54" s="898">
        <v>45</v>
      </c>
      <c r="C54" s="16">
        <f t="shared" si="4"/>
        <v>225</v>
      </c>
      <c r="D54" s="898">
        <v>0</v>
      </c>
      <c r="E54" s="898">
        <v>0</v>
      </c>
      <c r="F54" s="898">
        <v>0</v>
      </c>
      <c r="G54" s="898">
        <v>0</v>
      </c>
      <c r="H54" s="898">
        <v>0</v>
      </c>
      <c r="I54" s="898">
        <v>0</v>
      </c>
      <c r="J54" s="899">
        <f t="shared" si="5"/>
        <v>0</v>
      </c>
      <c r="K54" s="899">
        <f t="shared" si="6"/>
        <v>0</v>
      </c>
      <c r="L54" s="898">
        <f t="shared" si="7"/>
        <v>0</v>
      </c>
      <c r="M54" s="16" t="s">
        <v>2416</v>
      </c>
      <c r="N54" s="16" t="s">
        <v>2417</v>
      </c>
    </row>
    <row r="55" spans="1:15" x14ac:dyDescent="0.4">
      <c r="A55" s="16">
        <v>171677</v>
      </c>
      <c r="B55" s="937">
        <v>60</v>
      </c>
      <c r="C55" s="16">
        <f t="shared" si="4"/>
        <v>300</v>
      </c>
      <c r="D55" s="937">
        <v>0</v>
      </c>
      <c r="E55" s="937">
        <v>0</v>
      </c>
      <c r="F55" s="937">
        <v>0</v>
      </c>
      <c r="G55" s="937">
        <v>0</v>
      </c>
      <c r="H55" s="937">
        <v>0</v>
      </c>
      <c r="I55" s="937">
        <v>0</v>
      </c>
      <c r="J55" s="938">
        <f t="shared" si="5"/>
        <v>0</v>
      </c>
      <c r="K55" s="938">
        <f t="shared" si="6"/>
        <v>0</v>
      </c>
      <c r="L55" s="937">
        <f t="shared" si="7"/>
        <v>0</v>
      </c>
      <c r="M55" s="16" t="s">
        <v>2416</v>
      </c>
      <c r="N55" s="16" t="s">
        <v>2417</v>
      </c>
    </row>
    <row r="56" spans="1:15" x14ac:dyDescent="0.4">
      <c r="A56" s="1">
        <v>171678</v>
      </c>
      <c r="B56" s="1637">
        <v>45</v>
      </c>
      <c r="C56" s="1">
        <f t="shared" si="4"/>
        <v>225</v>
      </c>
      <c r="D56" s="1637">
        <v>0</v>
      </c>
      <c r="E56" s="1637">
        <v>0</v>
      </c>
      <c r="F56" s="1637">
        <v>0</v>
      </c>
      <c r="G56" s="1637">
        <v>0</v>
      </c>
      <c r="H56" s="1637">
        <v>0</v>
      </c>
      <c r="I56" s="1637">
        <v>1</v>
      </c>
      <c r="J56" s="140">
        <f t="shared" si="5"/>
        <v>1</v>
      </c>
      <c r="K56" s="140">
        <f t="shared" si="6"/>
        <v>0</v>
      </c>
      <c r="L56" s="1637">
        <f t="shared" si="7"/>
        <v>0</v>
      </c>
      <c r="M56" s="1" t="s">
        <v>2416</v>
      </c>
      <c r="N56" s="1" t="s">
        <v>2417</v>
      </c>
    </row>
    <row r="57" spans="1:15" x14ac:dyDescent="0.4">
      <c r="A57" s="16">
        <v>171679</v>
      </c>
      <c r="B57" s="1334">
        <v>60</v>
      </c>
      <c r="C57" s="16">
        <f t="shared" si="4"/>
        <v>300</v>
      </c>
      <c r="D57" s="1334">
        <v>0</v>
      </c>
      <c r="E57" s="1334">
        <v>0</v>
      </c>
      <c r="F57" s="1334">
        <v>0</v>
      </c>
      <c r="G57" s="1334">
        <v>0</v>
      </c>
      <c r="H57" s="1334">
        <v>0</v>
      </c>
      <c r="I57" s="1334">
        <v>0</v>
      </c>
      <c r="J57" s="1335">
        <f t="shared" si="5"/>
        <v>0</v>
      </c>
      <c r="K57" s="1335">
        <f t="shared" si="6"/>
        <v>0</v>
      </c>
      <c r="L57" s="1334">
        <f t="shared" si="7"/>
        <v>0</v>
      </c>
      <c r="M57" s="16" t="s">
        <v>2416</v>
      </c>
      <c r="N57" s="16" t="s">
        <v>2417</v>
      </c>
    </row>
    <row r="58" spans="1:15" x14ac:dyDescent="0.4">
      <c r="A58" s="16">
        <v>171680</v>
      </c>
      <c r="B58" s="789">
        <v>0</v>
      </c>
      <c r="C58" s="16">
        <f t="shared" ref="C58:C85" si="8">SUM(B58*5)</f>
        <v>0</v>
      </c>
      <c r="D58" s="789"/>
      <c r="E58" s="789"/>
      <c r="F58" s="789"/>
      <c r="G58" s="789"/>
      <c r="H58" s="789"/>
      <c r="I58" s="789"/>
      <c r="J58" s="790">
        <f t="shared" ref="J58:J85" si="9">SUM(D58:I58)</f>
        <v>0</v>
      </c>
      <c r="K58" s="790">
        <f t="shared" ref="K58:K85" si="10">SUM(D58:H58)</f>
        <v>0</v>
      </c>
      <c r="L58" s="789">
        <f t="shared" ref="L58:L85" si="11">B58*K58</f>
        <v>0</v>
      </c>
      <c r="M58" s="16" t="s">
        <v>2418</v>
      </c>
      <c r="N58" s="16" t="s">
        <v>2419</v>
      </c>
      <c r="O58" s="16" t="s">
        <v>2516</v>
      </c>
    </row>
    <row r="59" spans="1:15" x14ac:dyDescent="0.4">
      <c r="A59" s="16">
        <v>171681</v>
      </c>
      <c r="B59" s="1235">
        <v>45</v>
      </c>
      <c r="C59" s="16">
        <f t="shared" si="8"/>
        <v>225</v>
      </c>
      <c r="D59" s="1235">
        <v>0</v>
      </c>
      <c r="E59" s="1235">
        <v>0</v>
      </c>
      <c r="F59" s="1235">
        <v>0</v>
      </c>
      <c r="G59" s="1235">
        <v>0</v>
      </c>
      <c r="H59" s="1235">
        <v>0</v>
      </c>
      <c r="I59" s="1235">
        <v>0</v>
      </c>
      <c r="J59" s="1236">
        <f t="shared" si="9"/>
        <v>0</v>
      </c>
      <c r="K59" s="1236">
        <f t="shared" si="10"/>
        <v>0</v>
      </c>
      <c r="L59" s="1235">
        <f t="shared" si="11"/>
        <v>0</v>
      </c>
      <c r="M59" s="16" t="s">
        <v>2416</v>
      </c>
      <c r="N59" s="16" t="s">
        <v>2417</v>
      </c>
    </row>
    <row r="60" spans="1:15" x14ac:dyDescent="0.4">
      <c r="A60" s="16">
        <v>171682</v>
      </c>
      <c r="B60" s="1435">
        <v>45</v>
      </c>
      <c r="C60" s="16">
        <f t="shared" si="8"/>
        <v>225</v>
      </c>
      <c r="D60" s="1435">
        <v>0</v>
      </c>
      <c r="E60" s="1435">
        <v>0</v>
      </c>
      <c r="F60" s="1435">
        <v>0</v>
      </c>
      <c r="G60" s="1435">
        <v>0</v>
      </c>
      <c r="H60" s="1435">
        <v>0</v>
      </c>
      <c r="I60" s="1435">
        <v>0</v>
      </c>
      <c r="J60" s="1436">
        <f t="shared" si="9"/>
        <v>0</v>
      </c>
      <c r="K60" s="1436">
        <f t="shared" si="10"/>
        <v>0</v>
      </c>
      <c r="L60" s="1435">
        <f t="shared" si="11"/>
        <v>0</v>
      </c>
      <c r="M60" s="16" t="s">
        <v>2420</v>
      </c>
      <c r="N60" s="16" t="s">
        <v>2421</v>
      </c>
    </row>
    <row r="61" spans="1:15" x14ac:dyDescent="0.4">
      <c r="A61" s="16">
        <v>171683</v>
      </c>
      <c r="B61" s="1295">
        <v>45</v>
      </c>
      <c r="C61" s="16">
        <f t="shared" si="8"/>
        <v>225</v>
      </c>
      <c r="D61" s="1295">
        <v>0</v>
      </c>
      <c r="E61" s="1295">
        <v>0</v>
      </c>
      <c r="F61" s="1295">
        <v>0</v>
      </c>
      <c r="G61" s="1295">
        <v>0</v>
      </c>
      <c r="H61" s="1295">
        <v>0</v>
      </c>
      <c r="I61" s="1295">
        <v>0</v>
      </c>
      <c r="J61" s="1296">
        <f t="shared" si="9"/>
        <v>0</v>
      </c>
      <c r="K61" s="1296">
        <f t="shared" si="10"/>
        <v>0</v>
      </c>
      <c r="L61" s="1295">
        <f t="shared" si="11"/>
        <v>0</v>
      </c>
      <c r="M61" s="16" t="s">
        <v>2422</v>
      </c>
      <c r="N61" s="16" t="s">
        <v>2423</v>
      </c>
    </row>
    <row r="62" spans="1:15" x14ac:dyDescent="0.4">
      <c r="A62" s="16">
        <v>171684</v>
      </c>
      <c r="B62" s="1322">
        <v>60</v>
      </c>
      <c r="C62" s="16">
        <f t="shared" si="8"/>
        <v>300</v>
      </c>
      <c r="D62" s="1322">
        <v>0</v>
      </c>
      <c r="E62" s="1322">
        <v>0</v>
      </c>
      <c r="F62" s="1322">
        <v>0</v>
      </c>
      <c r="G62" s="1322">
        <v>0</v>
      </c>
      <c r="H62" s="1322">
        <v>0</v>
      </c>
      <c r="I62" s="1322">
        <v>0</v>
      </c>
      <c r="J62" s="1323">
        <f t="shared" si="9"/>
        <v>0</v>
      </c>
      <c r="K62" s="1323">
        <f t="shared" si="10"/>
        <v>0</v>
      </c>
      <c r="L62" s="1322">
        <f t="shared" si="11"/>
        <v>0</v>
      </c>
      <c r="M62" s="16" t="s">
        <v>2422</v>
      </c>
      <c r="N62" s="16" t="s">
        <v>2423</v>
      </c>
    </row>
    <row r="63" spans="1:15" x14ac:dyDescent="0.4">
      <c r="A63" s="16">
        <v>171685</v>
      </c>
      <c r="B63" s="1322">
        <v>50</v>
      </c>
      <c r="C63" s="16">
        <f t="shared" si="8"/>
        <v>250</v>
      </c>
      <c r="D63" s="1322">
        <v>0</v>
      </c>
      <c r="E63" s="1322">
        <v>0</v>
      </c>
      <c r="F63" s="1322">
        <v>0</v>
      </c>
      <c r="G63" s="1322">
        <v>0</v>
      </c>
      <c r="H63" s="1322">
        <v>0</v>
      </c>
      <c r="I63" s="1322">
        <v>0</v>
      </c>
      <c r="J63" s="1323">
        <f t="shared" si="9"/>
        <v>0</v>
      </c>
      <c r="K63" s="1323">
        <f t="shared" si="10"/>
        <v>0</v>
      </c>
      <c r="L63" s="1322">
        <f t="shared" si="11"/>
        <v>0</v>
      </c>
      <c r="M63" s="16" t="s">
        <v>2424</v>
      </c>
      <c r="N63" s="16" t="s">
        <v>2425</v>
      </c>
    </row>
    <row r="64" spans="1:15" x14ac:dyDescent="0.4">
      <c r="A64" s="16">
        <v>171686</v>
      </c>
      <c r="B64" s="1638">
        <v>45</v>
      </c>
      <c r="C64" s="16">
        <f t="shared" si="8"/>
        <v>225</v>
      </c>
      <c r="D64" s="1638">
        <v>0</v>
      </c>
      <c r="E64" s="1638">
        <v>0</v>
      </c>
      <c r="F64" s="1638">
        <v>0</v>
      </c>
      <c r="G64" s="1638">
        <v>0</v>
      </c>
      <c r="H64" s="1638">
        <v>0</v>
      </c>
      <c r="I64" s="1638">
        <v>0</v>
      </c>
      <c r="J64" s="1640">
        <f t="shared" si="9"/>
        <v>0</v>
      </c>
      <c r="K64" s="1640">
        <f t="shared" si="10"/>
        <v>0</v>
      </c>
      <c r="L64" s="1638">
        <f t="shared" si="11"/>
        <v>0</v>
      </c>
      <c r="M64" s="16" t="s">
        <v>2424</v>
      </c>
      <c r="N64" s="16" t="s">
        <v>2425</v>
      </c>
    </row>
    <row r="65" spans="1:17" x14ac:dyDescent="0.4">
      <c r="A65" s="16">
        <v>171687</v>
      </c>
      <c r="B65" s="978">
        <v>60</v>
      </c>
      <c r="C65" s="16">
        <f t="shared" si="8"/>
        <v>300</v>
      </c>
      <c r="D65" s="978">
        <v>0</v>
      </c>
      <c r="E65" s="978">
        <v>0</v>
      </c>
      <c r="F65" s="978">
        <v>0</v>
      </c>
      <c r="G65" s="978">
        <v>0</v>
      </c>
      <c r="H65" s="978">
        <v>0</v>
      </c>
      <c r="I65" s="978">
        <v>0</v>
      </c>
      <c r="J65" s="979">
        <f t="shared" si="9"/>
        <v>0</v>
      </c>
      <c r="K65" s="979">
        <f t="shared" si="10"/>
        <v>0</v>
      </c>
      <c r="L65" s="978">
        <f t="shared" si="11"/>
        <v>0</v>
      </c>
      <c r="M65" s="16" t="s">
        <v>2424</v>
      </c>
      <c r="N65" s="16" t="s">
        <v>2425</v>
      </c>
    </row>
    <row r="66" spans="1:17" x14ac:dyDescent="0.4">
      <c r="A66" s="1">
        <v>171688</v>
      </c>
      <c r="B66" s="1637">
        <v>50</v>
      </c>
      <c r="C66" s="1">
        <f t="shared" si="8"/>
        <v>250</v>
      </c>
      <c r="D66" s="1637">
        <v>0</v>
      </c>
      <c r="E66" s="1637">
        <v>0</v>
      </c>
      <c r="F66" s="1637">
        <v>0</v>
      </c>
      <c r="G66" s="1637">
        <v>0</v>
      </c>
      <c r="H66" s="1637">
        <v>0</v>
      </c>
      <c r="I66" s="1637">
        <v>1</v>
      </c>
      <c r="J66" s="140">
        <f t="shared" si="9"/>
        <v>1</v>
      </c>
      <c r="K66" s="140">
        <f t="shared" si="10"/>
        <v>0</v>
      </c>
      <c r="L66" s="1637">
        <f t="shared" si="11"/>
        <v>0</v>
      </c>
      <c r="M66" s="1" t="s">
        <v>2426</v>
      </c>
      <c r="N66" s="1" t="s">
        <v>2427</v>
      </c>
    </row>
    <row r="67" spans="1:17" x14ac:dyDescent="0.4">
      <c r="A67" s="1">
        <v>171689</v>
      </c>
      <c r="B67" s="1637">
        <v>0</v>
      </c>
      <c r="C67" s="1">
        <f t="shared" si="8"/>
        <v>0</v>
      </c>
      <c r="D67" s="1637">
        <v>1</v>
      </c>
      <c r="E67" s="1637"/>
      <c r="F67" s="1637"/>
      <c r="G67" s="1637"/>
      <c r="H67" s="1637"/>
      <c r="I67" s="1637"/>
      <c r="J67" s="140">
        <f t="shared" si="9"/>
        <v>1</v>
      </c>
      <c r="K67" s="140">
        <f t="shared" si="10"/>
        <v>1</v>
      </c>
      <c r="L67" s="1637">
        <f t="shared" si="11"/>
        <v>0</v>
      </c>
      <c r="M67" s="1" t="s">
        <v>2428</v>
      </c>
      <c r="N67" s="1" t="s">
        <v>2429</v>
      </c>
      <c r="O67" t="s">
        <v>2430</v>
      </c>
    </row>
    <row r="68" spans="1:17" x14ac:dyDescent="0.4">
      <c r="A68" s="1">
        <v>171690</v>
      </c>
      <c r="B68" s="1637">
        <v>45</v>
      </c>
      <c r="C68" s="1">
        <f t="shared" si="8"/>
        <v>225</v>
      </c>
      <c r="D68" s="1637">
        <v>0</v>
      </c>
      <c r="E68" s="1637">
        <v>0</v>
      </c>
      <c r="F68" s="1637">
        <v>0</v>
      </c>
      <c r="G68" s="1637">
        <v>0</v>
      </c>
      <c r="H68" s="1637">
        <v>0</v>
      </c>
      <c r="I68" s="1637">
        <v>1</v>
      </c>
      <c r="J68" s="140">
        <f t="shared" si="9"/>
        <v>1</v>
      </c>
      <c r="K68" s="140">
        <f t="shared" si="10"/>
        <v>0</v>
      </c>
      <c r="L68" s="1637">
        <f t="shared" si="11"/>
        <v>0</v>
      </c>
      <c r="M68" s="1" t="s">
        <v>2431</v>
      </c>
      <c r="N68" s="1" t="s">
        <v>2436</v>
      </c>
    </row>
    <row r="69" spans="1:17" x14ac:dyDescent="0.4">
      <c r="A69" s="1">
        <v>171691</v>
      </c>
      <c r="B69" s="1637">
        <v>45</v>
      </c>
      <c r="C69" s="1">
        <f t="shared" si="8"/>
        <v>225</v>
      </c>
      <c r="D69" s="1637">
        <v>0</v>
      </c>
      <c r="E69" s="1637">
        <v>0</v>
      </c>
      <c r="F69" s="1637">
        <v>0</v>
      </c>
      <c r="G69" s="1637">
        <v>0</v>
      </c>
      <c r="H69" s="1637">
        <v>0</v>
      </c>
      <c r="I69" s="1637">
        <v>1</v>
      </c>
      <c r="J69" s="140">
        <f t="shared" si="9"/>
        <v>1</v>
      </c>
      <c r="K69" s="140">
        <f t="shared" si="10"/>
        <v>0</v>
      </c>
      <c r="L69" s="1637">
        <f t="shared" si="11"/>
        <v>0</v>
      </c>
      <c r="M69" s="1" t="s">
        <v>2433</v>
      </c>
      <c r="N69" s="1" t="s">
        <v>2434</v>
      </c>
    </row>
    <row r="70" spans="1:17" x14ac:dyDescent="0.4">
      <c r="A70" s="16">
        <v>171692</v>
      </c>
      <c r="B70" s="953">
        <v>45</v>
      </c>
      <c r="C70" s="16">
        <f t="shared" si="8"/>
        <v>225</v>
      </c>
      <c r="D70" s="953">
        <v>0</v>
      </c>
      <c r="E70" s="953">
        <v>0</v>
      </c>
      <c r="F70" s="953">
        <v>0</v>
      </c>
      <c r="G70" s="953">
        <v>0</v>
      </c>
      <c r="H70" s="953">
        <v>0</v>
      </c>
      <c r="I70" s="953">
        <v>0</v>
      </c>
      <c r="J70" s="954">
        <f t="shared" si="9"/>
        <v>0</v>
      </c>
      <c r="K70" s="954">
        <f t="shared" si="10"/>
        <v>0</v>
      </c>
      <c r="L70" s="953">
        <f t="shared" si="11"/>
        <v>0</v>
      </c>
      <c r="M70" s="16" t="s">
        <v>2433</v>
      </c>
      <c r="N70" s="16" t="s">
        <v>2434</v>
      </c>
      <c r="O70" t="s">
        <v>2435</v>
      </c>
    </row>
    <row r="71" spans="1:17" x14ac:dyDescent="0.4">
      <c r="A71" s="16">
        <v>171693</v>
      </c>
      <c r="B71" s="789">
        <v>0</v>
      </c>
      <c r="C71" s="16">
        <f t="shared" si="8"/>
        <v>0</v>
      </c>
      <c r="D71" s="789">
        <v>0</v>
      </c>
      <c r="E71" s="789"/>
      <c r="F71" s="789"/>
      <c r="G71" s="789"/>
      <c r="H71" s="789"/>
      <c r="I71" s="789"/>
      <c r="J71" s="790">
        <f t="shared" si="9"/>
        <v>0</v>
      </c>
      <c r="K71" s="790">
        <f t="shared" si="10"/>
        <v>0</v>
      </c>
      <c r="L71" s="789">
        <f t="shared" si="11"/>
        <v>0</v>
      </c>
      <c r="M71" s="16"/>
      <c r="N71" s="16" t="s">
        <v>2432</v>
      </c>
      <c r="O71" s="16" t="s">
        <v>2437</v>
      </c>
      <c r="P71" s="16"/>
      <c r="Q71" s="16"/>
    </row>
    <row r="72" spans="1:17" x14ac:dyDescent="0.4">
      <c r="A72" s="1">
        <v>171694</v>
      </c>
      <c r="B72" s="1637">
        <v>45</v>
      </c>
      <c r="C72" s="1">
        <f t="shared" si="8"/>
        <v>225</v>
      </c>
      <c r="D72" s="1637">
        <v>0</v>
      </c>
      <c r="E72" s="1637">
        <v>0</v>
      </c>
      <c r="F72" s="1637">
        <v>0</v>
      </c>
      <c r="G72" s="1637">
        <v>0</v>
      </c>
      <c r="H72" s="1637">
        <v>0</v>
      </c>
      <c r="I72" s="1637">
        <v>1</v>
      </c>
      <c r="J72" s="140">
        <f t="shared" si="9"/>
        <v>1</v>
      </c>
      <c r="K72" s="140">
        <f t="shared" si="10"/>
        <v>0</v>
      </c>
      <c r="L72" s="1637">
        <f t="shared" si="11"/>
        <v>0</v>
      </c>
      <c r="M72" s="1" t="s">
        <v>2438</v>
      </c>
      <c r="N72" s="1" t="s">
        <v>2439</v>
      </c>
    </row>
    <row r="73" spans="1:17" x14ac:dyDescent="0.4">
      <c r="A73" s="1">
        <v>171695</v>
      </c>
      <c r="B73" s="1637">
        <v>120</v>
      </c>
      <c r="C73" s="1">
        <f t="shared" si="8"/>
        <v>600</v>
      </c>
      <c r="D73" s="1637">
        <v>1</v>
      </c>
      <c r="E73" s="1637">
        <v>1</v>
      </c>
      <c r="F73" s="1637">
        <v>1</v>
      </c>
      <c r="G73" s="1637">
        <v>1</v>
      </c>
      <c r="H73" s="1637">
        <v>1</v>
      </c>
      <c r="I73" s="1637">
        <v>1</v>
      </c>
      <c r="J73" s="140">
        <f t="shared" si="9"/>
        <v>6</v>
      </c>
      <c r="K73" s="140">
        <f t="shared" si="10"/>
        <v>5</v>
      </c>
      <c r="L73" s="1637">
        <f t="shared" si="11"/>
        <v>600</v>
      </c>
      <c r="M73" s="1" t="s">
        <v>2441</v>
      </c>
      <c r="N73" s="1" t="s">
        <v>2442</v>
      </c>
    </row>
    <row r="74" spans="1:17" x14ac:dyDescent="0.4">
      <c r="A74" s="1">
        <v>171696</v>
      </c>
      <c r="B74" s="1637">
        <v>60</v>
      </c>
      <c r="C74" s="1">
        <f t="shared" si="8"/>
        <v>300</v>
      </c>
      <c r="D74" s="1637">
        <v>0</v>
      </c>
      <c r="E74" s="1637">
        <v>0</v>
      </c>
      <c r="F74" s="1637">
        <v>1</v>
      </c>
      <c r="G74" s="1637">
        <v>1</v>
      </c>
      <c r="H74" s="1637">
        <v>1</v>
      </c>
      <c r="I74" s="1637">
        <v>1</v>
      </c>
      <c r="J74" s="140">
        <f t="shared" si="9"/>
        <v>4</v>
      </c>
      <c r="K74" s="140">
        <f t="shared" si="10"/>
        <v>3</v>
      </c>
      <c r="L74" s="1637">
        <f t="shared" si="11"/>
        <v>180</v>
      </c>
      <c r="M74" s="1" t="s">
        <v>2443</v>
      </c>
      <c r="N74" s="1" t="s">
        <v>2444</v>
      </c>
    </row>
    <row r="75" spans="1:17" x14ac:dyDescent="0.4">
      <c r="A75" s="1">
        <v>171697</v>
      </c>
      <c r="B75" s="1646">
        <v>45</v>
      </c>
      <c r="C75" s="1">
        <f t="shared" si="8"/>
        <v>225</v>
      </c>
      <c r="D75" s="1646">
        <v>0</v>
      </c>
      <c r="E75" s="1646">
        <v>0</v>
      </c>
      <c r="F75" s="1646">
        <v>0</v>
      </c>
      <c r="G75" s="1646">
        <v>0</v>
      </c>
      <c r="H75" s="1646">
        <v>0</v>
      </c>
      <c r="I75" s="1646">
        <v>1</v>
      </c>
      <c r="J75" s="1649">
        <f t="shared" si="9"/>
        <v>1</v>
      </c>
      <c r="K75" s="1649">
        <f t="shared" si="10"/>
        <v>0</v>
      </c>
      <c r="L75" s="1646">
        <f t="shared" si="11"/>
        <v>0</v>
      </c>
      <c r="M75" s="1" t="s">
        <v>2445</v>
      </c>
      <c r="N75" s="1" t="s">
        <v>2446</v>
      </c>
    </row>
    <row r="76" spans="1:17" x14ac:dyDescent="0.4">
      <c r="A76" s="16">
        <v>171698</v>
      </c>
      <c r="B76" s="1584">
        <v>45</v>
      </c>
      <c r="C76" s="16">
        <f t="shared" si="8"/>
        <v>225</v>
      </c>
      <c r="D76" s="1584">
        <v>0</v>
      </c>
      <c r="E76" s="1584">
        <v>0</v>
      </c>
      <c r="F76" s="1584">
        <v>0</v>
      </c>
      <c r="G76" s="1584">
        <v>0</v>
      </c>
      <c r="H76" s="1584">
        <v>0</v>
      </c>
      <c r="I76" s="1584">
        <v>0</v>
      </c>
      <c r="J76" s="1585">
        <f t="shared" si="9"/>
        <v>0</v>
      </c>
      <c r="K76" s="1585">
        <f t="shared" si="10"/>
        <v>0</v>
      </c>
      <c r="L76" s="1584">
        <f t="shared" si="11"/>
        <v>0</v>
      </c>
      <c r="M76" s="16" t="s">
        <v>2416</v>
      </c>
      <c r="N76" s="16" t="s">
        <v>2417</v>
      </c>
    </row>
    <row r="77" spans="1:17" x14ac:dyDescent="0.4">
      <c r="A77" s="1">
        <v>171699</v>
      </c>
      <c r="B77" s="1646">
        <v>60</v>
      </c>
      <c r="C77" s="1">
        <f t="shared" si="8"/>
        <v>300</v>
      </c>
      <c r="D77" s="1646">
        <v>0</v>
      </c>
      <c r="E77" s="1646">
        <v>0</v>
      </c>
      <c r="F77" s="1646">
        <v>0</v>
      </c>
      <c r="G77" s="1646">
        <v>0</v>
      </c>
      <c r="H77" s="1646">
        <v>0</v>
      </c>
      <c r="I77" s="1646">
        <v>1</v>
      </c>
      <c r="J77" s="1649">
        <f t="shared" si="9"/>
        <v>1</v>
      </c>
      <c r="K77" s="1649">
        <f t="shared" si="10"/>
        <v>0</v>
      </c>
      <c r="L77" s="1646">
        <f t="shared" si="11"/>
        <v>0</v>
      </c>
      <c r="M77" s="1" t="s">
        <v>2445</v>
      </c>
      <c r="N77" s="1" t="s">
        <v>2446</v>
      </c>
    </row>
    <row r="78" spans="1:17" x14ac:dyDescent="0.4">
      <c r="A78" s="16">
        <v>171700</v>
      </c>
      <c r="B78" s="902">
        <v>60</v>
      </c>
      <c r="C78" s="16">
        <f t="shared" si="8"/>
        <v>300</v>
      </c>
      <c r="D78" s="902">
        <v>0</v>
      </c>
      <c r="E78" s="902">
        <v>0</v>
      </c>
      <c r="F78" s="902">
        <v>0</v>
      </c>
      <c r="G78" s="902">
        <v>0</v>
      </c>
      <c r="H78" s="902">
        <v>0</v>
      </c>
      <c r="I78" s="902">
        <v>0</v>
      </c>
      <c r="J78" s="903">
        <f t="shared" si="9"/>
        <v>0</v>
      </c>
      <c r="K78" s="903">
        <f t="shared" si="10"/>
        <v>0</v>
      </c>
      <c r="L78" s="902">
        <f t="shared" si="11"/>
        <v>0</v>
      </c>
      <c r="M78" s="16" t="s">
        <v>2447</v>
      </c>
      <c r="N78" s="16" t="s">
        <v>2448</v>
      </c>
    </row>
    <row r="79" spans="1:17" x14ac:dyDescent="0.4">
      <c r="A79" s="1">
        <v>171701</v>
      </c>
      <c r="B79" s="1690">
        <v>60</v>
      </c>
      <c r="C79" s="1">
        <f t="shared" si="8"/>
        <v>300</v>
      </c>
      <c r="D79" s="1690">
        <v>0</v>
      </c>
      <c r="E79" s="1690">
        <v>0</v>
      </c>
      <c r="F79" s="1690">
        <v>0</v>
      </c>
      <c r="G79" s="1690">
        <v>0</v>
      </c>
      <c r="H79" s="1690">
        <v>1</v>
      </c>
      <c r="I79" s="1690">
        <v>1</v>
      </c>
      <c r="J79" s="1693">
        <f t="shared" si="9"/>
        <v>2</v>
      </c>
      <c r="K79" s="1693">
        <f t="shared" si="10"/>
        <v>1</v>
      </c>
      <c r="L79" s="1690">
        <f t="shared" si="11"/>
        <v>60</v>
      </c>
      <c r="M79" s="1" t="s">
        <v>2449</v>
      </c>
      <c r="N79" s="1" t="s">
        <v>2450</v>
      </c>
    </row>
    <row r="80" spans="1:17" x14ac:dyDescent="0.4">
      <c r="A80" s="1">
        <v>171702</v>
      </c>
      <c r="B80" s="1690">
        <v>45</v>
      </c>
      <c r="C80" s="1">
        <f t="shared" si="8"/>
        <v>225</v>
      </c>
      <c r="D80" s="1690">
        <v>0</v>
      </c>
      <c r="E80" s="1690">
        <v>0</v>
      </c>
      <c r="F80" s="1690">
        <v>0</v>
      </c>
      <c r="G80" s="1690">
        <v>0</v>
      </c>
      <c r="H80" s="1690">
        <v>0</v>
      </c>
      <c r="I80" s="1690">
        <v>1</v>
      </c>
      <c r="J80" s="1693">
        <f t="shared" si="9"/>
        <v>1</v>
      </c>
      <c r="K80" s="1693">
        <f t="shared" si="10"/>
        <v>0</v>
      </c>
      <c r="L80" s="1690">
        <f t="shared" si="11"/>
        <v>0</v>
      </c>
      <c r="M80" s="1" t="s">
        <v>2452</v>
      </c>
      <c r="N80" s="1" t="s">
        <v>2453</v>
      </c>
    </row>
    <row r="81" spans="1:15" x14ac:dyDescent="0.4">
      <c r="A81" s="16">
        <v>171703</v>
      </c>
      <c r="B81" s="819">
        <v>45</v>
      </c>
      <c r="C81" s="16">
        <f t="shared" si="8"/>
        <v>225</v>
      </c>
      <c r="D81" s="819">
        <v>0</v>
      </c>
      <c r="E81" s="819">
        <v>0</v>
      </c>
      <c r="F81" s="819">
        <v>0</v>
      </c>
      <c r="G81" s="819">
        <v>0</v>
      </c>
      <c r="H81" s="819">
        <v>0</v>
      </c>
      <c r="I81" s="819">
        <v>0</v>
      </c>
      <c r="J81" s="820">
        <f t="shared" si="9"/>
        <v>0</v>
      </c>
      <c r="K81" s="820">
        <f t="shared" si="10"/>
        <v>0</v>
      </c>
      <c r="L81" s="819">
        <f t="shared" si="11"/>
        <v>0</v>
      </c>
      <c r="M81" s="16" t="s">
        <v>2452</v>
      </c>
      <c r="N81" s="16" t="s">
        <v>2453</v>
      </c>
    </row>
    <row r="82" spans="1:15" x14ac:dyDescent="0.4">
      <c r="A82" s="16">
        <v>171704</v>
      </c>
      <c r="B82" s="1015">
        <v>45</v>
      </c>
      <c r="C82" s="16">
        <f t="shared" si="8"/>
        <v>225</v>
      </c>
      <c r="D82" s="1015">
        <v>0</v>
      </c>
      <c r="E82" s="1015">
        <v>0</v>
      </c>
      <c r="F82" s="1015">
        <v>0</v>
      </c>
      <c r="G82" s="1015">
        <v>0</v>
      </c>
      <c r="H82" s="1015">
        <v>0</v>
      </c>
      <c r="I82" s="1015">
        <v>0</v>
      </c>
      <c r="J82" s="1016">
        <f t="shared" si="9"/>
        <v>0</v>
      </c>
      <c r="K82" s="1016">
        <f t="shared" si="10"/>
        <v>0</v>
      </c>
      <c r="L82" s="1015">
        <f t="shared" si="11"/>
        <v>0</v>
      </c>
      <c r="M82" s="16" t="s">
        <v>2452</v>
      </c>
      <c r="N82" s="16" t="s">
        <v>2453</v>
      </c>
    </row>
    <row r="83" spans="1:15" x14ac:dyDescent="0.4">
      <c r="A83" s="16">
        <v>171705</v>
      </c>
      <c r="B83" s="1189">
        <v>60</v>
      </c>
      <c r="C83" s="16">
        <f t="shared" si="8"/>
        <v>300</v>
      </c>
      <c r="D83" s="1189">
        <v>0</v>
      </c>
      <c r="E83" s="1189">
        <v>0</v>
      </c>
      <c r="F83" s="1189">
        <v>0</v>
      </c>
      <c r="G83" s="1189">
        <v>0</v>
      </c>
      <c r="H83" s="1189">
        <v>0</v>
      </c>
      <c r="I83" s="1189">
        <v>1</v>
      </c>
      <c r="J83" s="1190">
        <f t="shared" si="9"/>
        <v>1</v>
      </c>
      <c r="K83" s="1190">
        <f t="shared" si="10"/>
        <v>0</v>
      </c>
      <c r="L83" s="1189">
        <f t="shared" si="11"/>
        <v>0</v>
      </c>
      <c r="M83" s="16" t="s">
        <v>2454</v>
      </c>
      <c r="N83" s="16" t="s">
        <v>2455</v>
      </c>
      <c r="O83" t="s">
        <v>3095</v>
      </c>
    </row>
    <row r="84" spans="1:15" x14ac:dyDescent="0.4">
      <c r="A84" s="16">
        <v>171706</v>
      </c>
      <c r="B84" s="1165">
        <v>60</v>
      </c>
      <c r="C84" s="16">
        <f t="shared" si="8"/>
        <v>300</v>
      </c>
      <c r="D84" s="1165">
        <v>0</v>
      </c>
      <c r="E84" s="1165">
        <v>0</v>
      </c>
      <c r="F84" s="1165">
        <v>0</v>
      </c>
      <c r="G84" s="1165">
        <v>0</v>
      </c>
      <c r="H84" s="1165">
        <v>0</v>
      </c>
      <c r="I84" s="1165">
        <v>0</v>
      </c>
      <c r="J84" s="1166">
        <f t="shared" si="9"/>
        <v>0</v>
      </c>
      <c r="K84" s="1166">
        <f t="shared" si="10"/>
        <v>0</v>
      </c>
      <c r="L84" s="1165">
        <f t="shared" si="11"/>
        <v>0</v>
      </c>
      <c r="M84" s="16" t="s">
        <v>2454</v>
      </c>
      <c r="N84" s="16" t="s">
        <v>2455</v>
      </c>
    </row>
    <row r="85" spans="1:15" x14ac:dyDescent="0.4">
      <c r="A85" s="16">
        <v>171707</v>
      </c>
      <c r="B85" s="1124">
        <v>45</v>
      </c>
      <c r="C85" s="16">
        <f t="shared" si="8"/>
        <v>225</v>
      </c>
      <c r="D85" s="1124">
        <v>0</v>
      </c>
      <c r="E85" s="1124">
        <v>0</v>
      </c>
      <c r="F85" s="1124">
        <v>0</v>
      </c>
      <c r="G85" s="1124">
        <v>0</v>
      </c>
      <c r="H85" s="1124">
        <v>0</v>
      </c>
      <c r="I85" s="1124">
        <v>0</v>
      </c>
      <c r="J85" s="1125">
        <f t="shared" si="9"/>
        <v>0</v>
      </c>
      <c r="K85" s="1125">
        <f t="shared" si="10"/>
        <v>0</v>
      </c>
      <c r="L85" s="1124">
        <f t="shared" si="11"/>
        <v>0</v>
      </c>
      <c r="M85" s="16" t="s">
        <v>2456</v>
      </c>
      <c r="N85" s="16" t="s">
        <v>2457</v>
      </c>
      <c r="O85" s="36"/>
    </row>
    <row r="86" spans="1:15" x14ac:dyDescent="0.4">
      <c r="A86" s="16">
        <v>171708</v>
      </c>
      <c r="B86" s="1233">
        <v>60</v>
      </c>
      <c r="C86" s="16">
        <f t="shared" ref="C86:C117" si="12">SUM(B86*5)</f>
        <v>300</v>
      </c>
      <c r="D86" s="1233">
        <v>0</v>
      </c>
      <c r="E86" s="1233">
        <v>0</v>
      </c>
      <c r="F86" s="1233">
        <v>0</v>
      </c>
      <c r="G86" s="1233">
        <v>0</v>
      </c>
      <c r="H86" s="1233">
        <v>0</v>
      </c>
      <c r="I86" s="1233">
        <v>0</v>
      </c>
      <c r="J86" s="1234">
        <f t="shared" ref="J86:J117" si="13">SUM(D86:I86)</f>
        <v>0</v>
      </c>
      <c r="K86" s="1234">
        <f t="shared" ref="K86:K117" si="14">SUM(D86:H86)</f>
        <v>0</v>
      </c>
      <c r="L86" s="1233">
        <f t="shared" ref="L86:L117" si="15">B86*K86</f>
        <v>0</v>
      </c>
      <c r="M86" s="16" t="s">
        <v>2458</v>
      </c>
      <c r="N86" s="16" t="s">
        <v>2459</v>
      </c>
    </row>
    <row r="87" spans="1:15" x14ac:dyDescent="0.4">
      <c r="A87" s="16">
        <v>171709</v>
      </c>
      <c r="B87" s="970">
        <v>60</v>
      </c>
      <c r="C87" s="16">
        <f t="shared" si="12"/>
        <v>300</v>
      </c>
      <c r="D87" s="970">
        <v>0</v>
      </c>
      <c r="E87" s="970">
        <v>0</v>
      </c>
      <c r="F87" s="970">
        <v>0</v>
      </c>
      <c r="G87" s="970">
        <v>0</v>
      </c>
      <c r="H87" s="970">
        <v>0</v>
      </c>
      <c r="I87" s="970">
        <v>0</v>
      </c>
      <c r="J87" s="971">
        <f t="shared" si="13"/>
        <v>0</v>
      </c>
      <c r="K87" s="971">
        <f t="shared" si="14"/>
        <v>0</v>
      </c>
      <c r="L87" s="970">
        <f t="shared" si="15"/>
        <v>0</v>
      </c>
      <c r="M87" s="16" t="s">
        <v>2460</v>
      </c>
      <c r="N87" s="16" t="s">
        <v>2461</v>
      </c>
    </row>
    <row r="88" spans="1:15" x14ac:dyDescent="0.4">
      <c r="A88" s="16">
        <v>171710</v>
      </c>
      <c r="B88" s="789"/>
      <c r="C88" s="16">
        <f t="shared" si="12"/>
        <v>0</v>
      </c>
      <c r="D88" s="789"/>
      <c r="E88" s="789"/>
      <c r="F88" s="789"/>
      <c r="G88" s="789"/>
      <c r="H88" s="789"/>
      <c r="I88" s="789"/>
      <c r="J88" s="790">
        <f t="shared" si="13"/>
        <v>0</v>
      </c>
      <c r="K88" s="790">
        <f t="shared" si="14"/>
        <v>0</v>
      </c>
      <c r="L88" s="789">
        <f t="shared" si="15"/>
        <v>0</v>
      </c>
      <c r="M88" s="16" t="s">
        <v>2480</v>
      </c>
      <c r="N88" s="16"/>
    </row>
    <row r="89" spans="1:15" x14ac:dyDescent="0.4">
      <c r="A89" s="16">
        <v>171711</v>
      </c>
      <c r="B89" s="1647">
        <v>60</v>
      </c>
      <c r="C89" s="16">
        <f t="shared" si="12"/>
        <v>300</v>
      </c>
      <c r="D89" s="1647">
        <v>0</v>
      </c>
      <c r="E89" s="1647">
        <v>0</v>
      </c>
      <c r="F89" s="1647">
        <v>0</v>
      </c>
      <c r="G89" s="1647">
        <v>0</v>
      </c>
      <c r="H89" s="1647">
        <v>0</v>
      </c>
      <c r="I89" s="1647">
        <v>0</v>
      </c>
      <c r="J89" s="1648">
        <f t="shared" si="13"/>
        <v>0</v>
      </c>
      <c r="K89" s="1648">
        <f t="shared" si="14"/>
        <v>0</v>
      </c>
      <c r="L89" s="1647">
        <f t="shared" si="15"/>
        <v>0</v>
      </c>
      <c r="M89" s="16" t="s">
        <v>2460</v>
      </c>
      <c r="N89" s="16" t="s">
        <v>2461</v>
      </c>
    </row>
    <row r="90" spans="1:15" x14ac:dyDescent="0.4">
      <c r="A90" s="16">
        <v>171712</v>
      </c>
      <c r="B90" s="1074">
        <v>60</v>
      </c>
      <c r="C90" s="16">
        <f t="shared" si="12"/>
        <v>300</v>
      </c>
      <c r="D90" s="1074">
        <v>0</v>
      </c>
      <c r="E90" s="1074">
        <v>0</v>
      </c>
      <c r="F90" s="1074">
        <v>0</v>
      </c>
      <c r="G90" s="1074">
        <v>0</v>
      </c>
      <c r="H90" s="1074">
        <v>0</v>
      </c>
      <c r="I90" s="1074">
        <v>0</v>
      </c>
      <c r="J90" s="1075">
        <f t="shared" si="13"/>
        <v>0</v>
      </c>
      <c r="K90" s="1075">
        <f t="shared" si="14"/>
        <v>0</v>
      </c>
      <c r="L90" s="1074">
        <f t="shared" si="15"/>
        <v>0</v>
      </c>
      <c r="M90" s="16" t="s">
        <v>2463</v>
      </c>
      <c r="N90" s="16" t="s">
        <v>2464</v>
      </c>
    </row>
    <row r="91" spans="1:15" x14ac:dyDescent="0.4">
      <c r="A91" s="16">
        <v>171713</v>
      </c>
      <c r="B91" s="1074">
        <v>50</v>
      </c>
      <c r="C91" s="16">
        <f t="shared" si="12"/>
        <v>250</v>
      </c>
      <c r="D91" s="1074">
        <v>0</v>
      </c>
      <c r="E91" s="1074">
        <v>0</v>
      </c>
      <c r="F91" s="1074">
        <v>0</v>
      </c>
      <c r="G91" s="1074">
        <v>0</v>
      </c>
      <c r="H91" s="1074">
        <v>0</v>
      </c>
      <c r="I91" s="1074">
        <v>0</v>
      </c>
      <c r="J91" s="1075">
        <f t="shared" si="13"/>
        <v>0</v>
      </c>
      <c r="K91" s="1075">
        <f t="shared" si="14"/>
        <v>0</v>
      </c>
      <c r="L91" s="1074">
        <f t="shared" si="15"/>
        <v>0</v>
      </c>
      <c r="M91" s="16" t="s">
        <v>2463</v>
      </c>
      <c r="N91" s="16" t="s">
        <v>2464</v>
      </c>
    </row>
    <row r="92" spans="1:15" x14ac:dyDescent="0.4">
      <c r="A92" s="16">
        <v>171714</v>
      </c>
      <c r="B92" s="1074">
        <v>50</v>
      </c>
      <c r="C92" s="16">
        <f t="shared" si="12"/>
        <v>250</v>
      </c>
      <c r="D92" s="1074">
        <v>0</v>
      </c>
      <c r="E92" s="1074">
        <v>0</v>
      </c>
      <c r="F92" s="1074">
        <v>0</v>
      </c>
      <c r="G92" s="1074">
        <v>0</v>
      </c>
      <c r="H92" s="1074">
        <v>0</v>
      </c>
      <c r="I92" s="1074">
        <v>0</v>
      </c>
      <c r="J92" s="1075">
        <f t="shared" si="13"/>
        <v>0</v>
      </c>
      <c r="K92" s="1075">
        <f t="shared" si="14"/>
        <v>0</v>
      </c>
      <c r="L92" s="1074">
        <f t="shared" si="15"/>
        <v>0</v>
      </c>
      <c r="M92" s="16" t="s">
        <v>2463</v>
      </c>
      <c r="N92" s="16" t="s">
        <v>2464</v>
      </c>
    </row>
    <row r="93" spans="1:15" x14ac:dyDescent="0.4">
      <c r="A93" s="1">
        <v>171715</v>
      </c>
      <c r="B93" s="1690">
        <v>45</v>
      </c>
      <c r="C93" s="1">
        <f t="shared" si="12"/>
        <v>225</v>
      </c>
      <c r="D93" s="1690">
        <v>1</v>
      </c>
      <c r="E93" s="1690">
        <v>1</v>
      </c>
      <c r="F93" s="1690">
        <v>1</v>
      </c>
      <c r="G93" s="1690">
        <v>1</v>
      </c>
      <c r="H93" s="1690">
        <v>1</v>
      </c>
      <c r="I93" s="1690">
        <v>1</v>
      </c>
      <c r="J93" s="1693">
        <f t="shared" si="13"/>
        <v>6</v>
      </c>
      <c r="K93" s="1693">
        <f t="shared" si="14"/>
        <v>5</v>
      </c>
      <c r="L93" s="1690">
        <f t="shared" si="15"/>
        <v>225</v>
      </c>
      <c r="M93" s="1" t="s">
        <v>2465</v>
      </c>
      <c r="N93" s="1" t="s">
        <v>2466</v>
      </c>
    </row>
    <row r="94" spans="1:15" x14ac:dyDescent="0.4">
      <c r="A94" s="16">
        <v>171716</v>
      </c>
      <c r="B94" s="840">
        <v>60</v>
      </c>
      <c r="C94" s="16">
        <f t="shared" si="12"/>
        <v>300</v>
      </c>
      <c r="D94" s="840">
        <v>0</v>
      </c>
      <c r="E94" s="840">
        <v>0</v>
      </c>
      <c r="F94" s="840">
        <v>0</v>
      </c>
      <c r="G94" s="840">
        <v>0</v>
      </c>
      <c r="H94" s="840">
        <v>0</v>
      </c>
      <c r="I94" s="840">
        <v>0</v>
      </c>
      <c r="J94" s="841">
        <f t="shared" si="13"/>
        <v>0</v>
      </c>
      <c r="K94" s="841">
        <f t="shared" si="14"/>
        <v>0</v>
      </c>
      <c r="L94" s="840">
        <f t="shared" si="15"/>
        <v>0</v>
      </c>
      <c r="M94" s="16" t="s">
        <v>2465</v>
      </c>
      <c r="N94" s="16" t="s">
        <v>2466</v>
      </c>
    </row>
    <row r="95" spans="1:15" x14ac:dyDescent="0.4">
      <c r="A95" s="1">
        <v>171717</v>
      </c>
      <c r="B95" s="1690">
        <v>45</v>
      </c>
      <c r="C95" s="1">
        <f t="shared" si="12"/>
        <v>225</v>
      </c>
      <c r="D95" s="1690">
        <v>0</v>
      </c>
      <c r="E95" s="1690">
        <v>0</v>
      </c>
      <c r="F95" s="1690">
        <v>0</v>
      </c>
      <c r="G95" s="1690">
        <v>0</v>
      </c>
      <c r="H95" s="1690">
        <v>1</v>
      </c>
      <c r="I95" s="1690">
        <v>1</v>
      </c>
      <c r="J95" s="1693">
        <f t="shared" si="13"/>
        <v>2</v>
      </c>
      <c r="K95" s="1693">
        <f t="shared" si="14"/>
        <v>1</v>
      </c>
      <c r="L95" s="1690">
        <f t="shared" si="15"/>
        <v>45</v>
      </c>
      <c r="M95" s="1" t="s">
        <v>2467</v>
      </c>
      <c r="N95" s="1" t="s">
        <v>2468</v>
      </c>
    </row>
    <row r="96" spans="1:15" x14ac:dyDescent="0.4">
      <c r="A96" s="16">
        <v>171718</v>
      </c>
      <c r="B96" s="1074">
        <v>45</v>
      </c>
      <c r="C96" s="16">
        <f t="shared" si="12"/>
        <v>225</v>
      </c>
      <c r="D96" s="1074">
        <v>0</v>
      </c>
      <c r="E96" s="1074">
        <v>0</v>
      </c>
      <c r="F96" s="1074">
        <v>0</v>
      </c>
      <c r="G96" s="1074">
        <v>0</v>
      </c>
      <c r="H96" s="1074">
        <v>0</v>
      </c>
      <c r="I96" s="1074">
        <v>0</v>
      </c>
      <c r="J96" s="1075">
        <f t="shared" si="13"/>
        <v>0</v>
      </c>
      <c r="K96" s="1075">
        <f t="shared" si="14"/>
        <v>0</v>
      </c>
      <c r="L96" s="1074">
        <f t="shared" si="15"/>
        <v>0</v>
      </c>
      <c r="M96" s="16" t="s">
        <v>2467</v>
      </c>
      <c r="N96" s="16" t="s">
        <v>2468</v>
      </c>
    </row>
    <row r="97" spans="1:14" x14ac:dyDescent="0.4">
      <c r="A97" s="16">
        <v>171719</v>
      </c>
      <c r="B97" s="1074">
        <v>60</v>
      </c>
      <c r="C97" s="16">
        <f t="shared" si="12"/>
        <v>300</v>
      </c>
      <c r="D97" s="1074">
        <v>0</v>
      </c>
      <c r="E97" s="1074">
        <v>0</v>
      </c>
      <c r="F97" s="1074">
        <v>0</v>
      </c>
      <c r="G97" s="1074">
        <v>0</v>
      </c>
      <c r="H97" s="1074">
        <v>0</v>
      </c>
      <c r="I97" s="1074">
        <v>0</v>
      </c>
      <c r="J97" s="1075">
        <f t="shared" si="13"/>
        <v>0</v>
      </c>
      <c r="K97" s="1075">
        <f t="shared" si="14"/>
        <v>0</v>
      </c>
      <c r="L97" s="1074">
        <f t="shared" si="15"/>
        <v>0</v>
      </c>
      <c r="M97" s="16" t="s">
        <v>2467</v>
      </c>
      <c r="N97" s="16" t="s">
        <v>2468</v>
      </c>
    </row>
    <row r="98" spans="1:14" x14ac:dyDescent="0.4">
      <c r="A98" s="1">
        <v>171720</v>
      </c>
      <c r="B98" s="1690">
        <v>45</v>
      </c>
      <c r="C98" s="1">
        <f t="shared" si="12"/>
        <v>225</v>
      </c>
      <c r="D98" s="1690">
        <v>0</v>
      </c>
      <c r="E98" s="1690">
        <v>1</v>
      </c>
      <c r="F98" s="1690">
        <v>1</v>
      </c>
      <c r="G98" s="1690">
        <v>1</v>
      </c>
      <c r="H98" s="1690">
        <v>1</v>
      </c>
      <c r="I98" s="1690">
        <v>1</v>
      </c>
      <c r="J98" s="1693">
        <f t="shared" si="13"/>
        <v>5</v>
      </c>
      <c r="K98" s="1693">
        <f t="shared" si="14"/>
        <v>4</v>
      </c>
      <c r="L98" s="1690">
        <f t="shared" si="15"/>
        <v>180</v>
      </c>
      <c r="M98" s="1" t="s">
        <v>2469</v>
      </c>
      <c r="N98" s="1" t="s">
        <v>2470</v>
      </c>
    </row>
    <row r="99" spans="1:14" x14ac:dyDescent="0.4">
      <c r="A99" s="16">
        <v>171721</v>
      </c>
      <c r="B99" s="1242">
        <v>45</v>
      </c>
      <c r="C99" s="16">
        <f t="shared" si="12"/>
        <v>225</v>
      </c>
      <c r="D99" s="1242">
        <v>0</v>
      </c>
      <c r="E99" s="1242">
        <v>0</v>
      </c>
      <c r="F99" s="1242">
        <v>0</v>
      </c>
      <c r="G99" s="1242">
        <v>0</v>
      </c>
      <c r="H99" s="1242">
        <v>0</v>
      </c>
      <c r="I99" s="1242">
        <v>0</v>
      </c>
      <c r="J99" s="1243">
        <f t="shared" si="13"/>
        <v>0</v>
      </c>
      <c r="K99" s="1243">
        <f t="shared" si="14"/>
        <v>0</v>
      </c>
      <c r="L99" s="1242">
        <f t="shared" si="15"/>
        <v>0</v>
      </c>
      <c r="M99" s="16" t="s">
        <v>2469</v>
      </c>
      <c r="N99" s="16" t="s">
        <v>2470</v>
      </c>
    </row>
    <row r="100" spans="1:14" x14ac:dyDescent="0.4">
      <c r="A100" s="16">
        <v>171722</v>
      </c>
      <c r="B100" s="1106">
        <v>45</v>
      </c>
      <c r="C100" s="16">
        <f t="shared" si="12"/>
        <v>225</v>
      </c>
      <c r="D100" s="1106">
        <v>0</v>
      </c>
      <c r="E100" s="1106">
        <v>0</v>
      </c>
      <c r="F100" s="1106">
        <v>0</v>
      </c>
      <c r="G100" s="1106">
        <v>0</v>
      </c>
      <c r="H100" s="1106">
        <v>0</v>
      </c>
      <c r="I100" s="1106">
        <v>0</v>
      </c>
      <c r="J100" s="1107">
        <f t="shared" si="13"/>
        <v>0</v>
      </c>
      <c r="K100" s="1107">
        <f t="shared" si="14"/>
        <v>0</v>
      </c>
      <c r="L100" s="1106">
        <f t="shared" si="15"/>
        <v>0</v>
      </c>
      <c r="M100" s="16" t="s">
        <v>2471</v>
      </c>
      <c r="N100" s="16" t="s">
        <v>2472</v>
      </c>
    </row>
    <row r="101" spans="1:14" x14ac:dyDescent="0.4">
      <c r="A101" s="1">
        <v>171723</v>
      </c>
      <c r="B101" s="1690">
        <v>60</v>
      </c>
      <c r="C101" s="1">
        <f t="shared" si="12"/>
        <v>300</v>
      </c>
      <c r="D101" s="1690">
        <v>0</v>
      </c>
      <c r="E101" s="1690">
        <v>0</v>
      </c>
      <c r="F101" s="1690">
        <v>0</v>
      </c>
      <c r="G101" s="1690">
        <v>0</v>
      </c>
      <c r="H101" s="1690">
        <v>0</v>
      </c>
      <c r="I101" s="1690">
        <v>1</v>
      </c>
      <c r="J101" s="1693">
        <f t="shared" si="13"/>
        <v>1</v>
      </c>
      <c r="K101" s="1693">
        <f t="shared" si="14"/>
        <v>0</v>
      </c>
      <c r="L101" s="1690">
        <f t="shared" si="15"/>
        <v>0</v>
      </c>
      <c r="M101" s="1" t="s">
        <v>2471</v>
      </c>
      <c r="N101" s="1" t="s">
        <v>2472</v>
      </c>
    </row>
    <row r="102" spans="1:14" x14ac:dyDescent="0.4">
      <c r="A102" s="16">
        <v>171724</v>
      </c>
      <c r="B102" s="1058">
        <v>45</v>
      </c>
      <c r="C102" s="16">
        <f t="shared" si="12"/>
        <v>225</v>
      </c>
      <c r="D102" s="1058">
        <v>0</v>
      </c>
      <c r="E102" s="1058">
        <v>0</v>
      </c>
      <c r="F102" s="1058">
        <v>0</v>
      </c>
      <c r="G102" s="1058">
        <v>0</v>
      </c>
      <c r="H102" s="1058">
        <v>0</v>
      </c>
      <c r="I102" s="1058">
        <v>0</v>
      </c>
      <c r="J102" s="1059">
        <f t="shared" si="13"/>
        <v>0</v>
      </c>
      <c r="K102" s="1059">
        <f t="shared" si="14"/>
        <v>0</v>
      </c>
      <c r="L102" s="1058">
        <f t="shared" si="15"/>
        <v>0</v>
      </c>
      <c r="M102" s="16" t="s">
        <v>2473</v>
      </c>
      <c r="N102" s="16" t="s">
        <v>2474</v>
      </c>
    </row>
    <row r="103" spans="1:14" x14ac:dyDescent="0.4">
      <c r="A103" s="16">
        <v>171725</v>
      </c>
      <c r="B103" s="1058">
        <v>60</v>
      </c>
      <c r="C103" s="16">
        <f t="shared" si="12"/>
        <v>300</v>
      </c>
      <c r="D103" s="1058">
        <v>0</v>
      </c>
      <c r="E103" s="1058">
        <v>0</v>
      </c>
      <c r="F103" s="1058">
        <v>0</v>
      </c>
      <c r="G103" s="1058">
        <v>0</v>
      </c>
      <c r="H103" s="1058">
        <v>0</v>
      </c>
      <c r="I103" s="1058">
        <v>0</v>
      </c>
      <c r="J103" s="1059">
        <f t="shared" si="13"/>
        <v>0</v>
      </c>
      <c r="K103" s="1059">
        <f t="shared" si="14"/>
        <v>0</v>
      </c>
      <c r="L103" s="1058">
        <f t="shared" si="15"/>
        <v>0</v>
      </c>
      <c r="M103" s="16" t="s">
        <v>2473</v>
      </c>
      <c r="N103" s="16" t="s">
        <v>2474</v>
      </c>
    </row>
    <row r="104" spans="1:14" x14ac:dyDescent="0.4">
      <c r="A104" s="16">
        <v>171726</v>
      </c>
      <c r="B104" s="1058">
        <v>45</v>
      </c>
      <c r="C104" s="16">
        <f t="shared" si="12"/>
        <v>225</v>
      </c>
      <c r="D104" s="1058">
        <v>0</v>
      </c>
      <c r="E104" s="1058">
        <v>0</v>
      </c>
      <c r="F104" s="1058">
        <v>0</v>
      </c>
      <c r="G104" s="1058">
        <v>0</v>
      </c>
      <c r="H104" s="1058">
        <v>0</v>
      </c>
      <c r="I104" s="1058">
        <v>1</v>
      </c>
      <c r="J104" s="1059">
        <f t="shared" si="13"/>
        <v>1</v>
      </c>
      <c r="K104" s="1059">
        <f t="shared" si="14"/>
        <v>0</v>
      </c>
      <c r="L104" s="1058">
        <f t="shared" si="15"/>
        <v>0</v>
      </c>
      <c r="M104" s="16" t="s">
        <v>2473</v>
      </c>
      <c r="N104" s="16" t="s">
        <v>2474</v>
      </c>
    </row>
    <row r="105" spans="1:14" x14ac:dyDescent="0.4">
      <c r="A105" s="16">
        <v>171727</v>
      </c>
      <c r="B105" s="1058">
        <v>45</v>
      </c>
      <c r="C105" s="16">
        <f t="shared" si="12"/>
        <v>225</v>
      </c>
      <c r="D105" s="1058">
        <v>0</v>
      </c>
      <c r="E105" s="1058">
        <v>0</v>
      </c>
      <c r="F105" s="1058">
        <v>0</v>
      </c>
      <c r="G105" s="1058">
        <v>0</v>
      </c>
      <c r="H105" s="1058">
        <v>0</v>
      </c>
      <c r="I105" s="1058">
        <v>0</v>
      </c>
      <c r="J105" s="1059">
        <f t="shared" si="13"/>
        <v>0</v>
      </c>
      <c r="K105" s="1059">
        <f t="shared" si="14"/>
        <v>0</v>
      </c>
      <c r="L105" s="1058">
        <f t="shared" si="15"/>
        <v>0</v>
      </c>
      <c r="M105" s="16" t="s">
        <v>2475</v>
      </c>
      <c r="N105" s="16" t="s">
        <v>2476</v>
      </c>
    </row>
    <row r="106" spans="1:14" x14ac:dyDescent="0.4">
      <c r="A106" s="16">
        <v>171728</v>
      </c>
      <c r="B106" s="1074">
        <v>60</v>
      </c>
      <c r="C106" s="16">
        <f t="shared" si="12"/>
        <v>300</v>
      </c>
      <c r="D106" s="1074">
        <v>0</v>
      </c>
      <c r="E106" s="1074">
        <v>0</v>
      </c>
      <c r="F106" s="1074">
        <v>0</v>
      </c>
      <c r="G106" s="1074">
        <v>0</v>
      </c>
      <c r="H106" s="1074">
        <v>0</v>
      </c>
      <c r="I106" s="1074">
        <v>0</v>
      </c>
      <c r="J106" s="1075">
        <f t="shared" si="13"/>
        <v>0</v>
      </c>
      <c r="K106" s="1075">
        <f t="shared" si="14"/>
        <v>0</v>
      </c>
      <c r="L106" s="1074">
        <f t="shared" si="15"/>
        <v>0</v>
      </c>
      <c r="M106" s="16" t="s">
        <v>2475</v>
      </c>
      <c r="N106" s="16" t="s">
        <v>2476</v>
      </c>
    </row>
    <row r="107" spans="1:14" x14ac:dyDescent="0.4">
      <c r="A107" s="1">
        <v>171729</v>
      </c>
      <c r="B107" s="1690">
        <v>60</v>
      </c>
      <c r="C107" s="1">
        <f t="shared" si="12"/>
        <v>300</v>
      </c>
      <c r="D107" s="1690">
        <v>0</v>
      </c>
      <c r="E107" s="1690">
        <v>0</v>
      </c>
      <c r="F107" s="1690">
        <v>0</v>
      </c>
      <c r="G107" s="1690">
        <v>0</v>
      </c>
      <c r="H107" s="1690">
        <v>0</v>
      </c>
      <c r="I107" s="1690">
        <v>1</v>
      </c>
      <c r="J107" s="1693">
        <f t="shared" si="13"/>
        <v>1</v>
      </c>
      <c r="K107" s="1693">
        <f t="shared" si="14"/>
        <v>0</v>
      </c>
      <c r="L107" s="1690">
        <f t="shared" si="15"/>
        <v>0</v>
      </c>
      <c r="M107" s="1" t="s">
        <v>2475</v>
      </c>
      <c r="N107" s="1" t="s">
        <v>2476</v>
      </c>
    </row>
    <row r="108" spans="1:14" x14ac:dyDescent="0.4">
      <c r="A108" s="16">
        <v>171730</v>
      </c>
      <c r="B108" s="1058">
        <v>60</v>
      </c>
      <c r="C108" s="16">
        <f t="shared" si="12"/>
        <v>300</v>
      </c>
      <c r="D108" s="1058">
        <v>0</v>
      </c>
      <c r="E108" s="1058">
        <v>0</v>
      </c>
      <c r="F108" s="1058">
        <v>0</v>
      </c>
      <c r="G108" s="1058">
        <v>0</v>
      </c>
      <c r="H108" s="1058">
        <v>0</v>
      </c>
      <c r="I108" s="1058">
        <v>0</v>
      </c>
      <c r="J108" s="1059">
        <f t="shared" si="13"/>
        <v>0</v>
      </c>
      <c r="K108" s="1059">
        <f t="shared" si="14"/>
        <v>0</v>
      </c>
      <c r="L108" s="1058">
        <f t="shared" si="15"/>
        <v>0</v>
      </c>
      <c r="M108" s="16" t="s">
        <v>2477</v>
      </c>
      <c r="N108" s="16" t="s">
        <v>2478</v>
      </c>
    </row>
    <row r="109" spans="1:14" x14ac:dyDescent="0.4">
      <c r="A109" s="16">
        <v>171731</v>
      </c>
      <c r="B109" s="1252">
        <v>60</v>
      </c>
      <c r="C109" s="16">
        <f t="shared" si="12"/>
        <v>300</v>
      </c>
      <c r="D109" s="1252">
        <v>0</v>
      </c>
      <c r="E109" s="1252">
        <v>0</v>
      </c>
      <c r="F109" s="1252">
        <v>0</v>
      </c>
      <c r="G109" s="1252">
        <v>0</v>
      </c>
      <c r="H109" s="1252">
        <v>0</v>
      </c>
      <c r="I109" s="1252">
        <v>0</v>
      </c>
      <c r="J109" s="1254">
        <f t="shared" si="13"/>
        <v>0</v>
      </c>
      <c r="K109" s="1254">
        <f t="shared" si="14"/>
        <v>0</v>
      </c>
      <c r="L109" s="1252">
        <f t="shared" si="15"/>
        <v>0</v>
      </c>
      <c r="M109" s="16" t="s">
        <v>2477</v>
      </c>
      <c r="N109" s="16" t="s">
        <v>2478</v>
      </c>
    </row>
    <row r="110" spans="1:14" x14ac:dyDescent="0.4">
      <c r="A110" s="16">
        <v>171732</v>
      </c>
      <c r="B110" s="1058">
        <v>60</v>
      </c>
      <c r="C110" s="16">
        <f t="shared" si="12"/>
        <v>300</v>
      </c>
      <c r="D110" s="1058">
        <v>0</v>
      </c>
      <c r="E110" s="1058">
        <v>0</v>
      </c>
      <c r="F110" s="1058">
        <v>0</v>
      </c>
      <c r="G110" s="1058">
        <v>0</v>
      </c>
      <c r="H110" s="1058">
        <v>0</v>
      </c>
      <c r="I110" s="1058">
        <v>0</v>
      </c>
      <c r="J110" s="1059">
        <f t="shared" si="13"/>
        <v>0</v>
      </c>
      <c r="K110" s="1059">
        <f t="shared" si="14"/>
        <v>0</v>
      </c>
      <c r="L110" s="1058">
        <f t="shared" si="15"/>
        <v>0</v>
      </c>
      <c r="M110" s="16" t="s">
        <v>2477</v>
      </c>
      <c r="N110" s="16" t="s">
        <v>2478</v>
      </c>
    </row>
    <row r="111" spans="1:14" x14ac:dyDescent="0.4">
      <c r="A111" s="16">
        <v>171733</v>
      </c>
      <c r="B111" s="1058">
        <v>50</v>
      </c>
      <c r="C111" s="16">
        <f t="shared" si="12"/>
        <v>250</v>
      </c>
      <c r="D111" s="1058">
        <v>0</v>
      </c>
      <c r="E111" s="1058">
        <v>0</v>
      </c>
      <c r="F111" s="1058">
        <v>0</v>
      </c>
      <c r="G111" s="1058">
        <v>0</v>
      </c>
      <c r="H111" s="1058">
        <v>0</v>
      </c>
      <c r="I111" s="1058">
        <v>0</v>
      </c>
      <c r="J111" s="1059">
        <f t="shared" si="13"/>
        <v>0</v>
      </c>
      <c r="K111" s="1059">
        <f t="shared" si="14"/>
        <v>0</v>
      </c>
      <c r="L111" s="1058">
        <f t="shared" si="15"/>
        <v>0</v>
      </c>
      <c r="M111" s="16" t="s">
        <v>2491</v>
      </c>
      <c r="N111" s="16"/>
    </row>
    <row r="112" spans="1:14" x14ac:dyDescent="0.4">
      <c r="A112" s="1">
        <v>171734</v>
      </c>
      <c r="B112" s="1690">
        <v>90</v>
      </c>
      <c r="C112" s="1">
        <f t="shared" si="12"/>
        <v>450</v>
      </c>
      <c r="D112" s="1690">
        <v>0</v>
      </c>
      <c r="E112" s="1690">
        <v>0</v>
      </c>
      <c r="F112" s="1690">
        <v>0</v>
      </c>
      <c r="G112" s="1690">
        <v>0</v>
      </c>
      <c r="H112" s="1690">
        <v>0</v>
      </c>
      <c r="I112" s="1690">
        <v>1</v>
      </c>
      <c r="J112" s="1693">
        <f t="shared" si="13"/>
        <v>1</v>
      </c>
      <c r="K112" s="1693">
        <f t="shared" si="14"/>
        <v>0</v>
      </c>
      <c r="L112" s="1690">
        <f t="shared" si="15"/>
        <v>0</v>
      </c>
      <c r="M112" s="1" t="s">
        <v>2492</v>
      </c>
      <c r="N112" s="1" t="s">
        <v>2493</v>
      </c>
    </row>
    <row r="113" spans="1:14" x14ac:dyDescent="0.4">
      <c r="A113" s="16">
        <v>171735</v>
      </c>
      <c r="B113" s="998">
        <v>60</v>
      </c>
      <c r="C113" s="16">
        <f t="shared" si="12"/>
        <v>300</v>
      </c>
      <c r="D113" s="998">
        <v>0</v>
      </c>
      <c r="E113" s="998">
        <v>0</v>
      </c>
      <c r="F113" s="998">
        <v>0</v>
      </c>
      <c r="G113" s="998">
        <v>0</v>
      </c>
      <c r="H113" s="998">
        <v>0</v>
      </c>
      <c r="I113" s="998">
        <v>0</v>
      </c>
      <c r="J113" s="999">
        <f t="shared" si="13"/>
        <v>0</v>
      </c>
      <c r="K113" s="999">
        <f t="shared" si="14"/>
        <v>0</v>
      </c>
      <c r="L113" s="998">
        <f t="shared" si="15"/>
        <v>0</v>
      </c>
      <c r="M113" s="16" t="s">
        <v>2494</v>
      </c>
      <c r="N113" s="16" t="s">
        <v>2495</v>
      </c>
    </row>
    <row r="114" spans="1:14" x14ac:dyDescent="0.4">
      <c r="A114" s="16">
        <v>171736</v>
      </c>
      <c r="B114" s="939">
        <v>45</v>
      </c>
      <c r="C114" s="16">
        <f t="shared" si="12"/>
        <v>225</v>
      </c>
      <c r="D114" s="939">
        <v>0</v>
      </c>
      <c r="E114" s="939">
        <v>0</v>
      </c>
      <c r="F114" s="939">
        <v>0</v>
      </c>
      <c r="G114" s="939">
        <v>0</v>
      </c>
      <c r="H114" s="939">
        <v>0</v>
      </c>
      <c r="I114" s="939">
        <v>0</v>
      </c>
      <c r="J114" s="940">
        <f t="shared" si="13"/>
        <v>0</v>
      </c>
      <c r="K114" s="940">
        <f t="shared" si="14"/>
        <v>0</v>
      </c>
      <c r="L114" s="939">
        <f t="shared" si="15"/>
        <v>0</v>
      </c>
      <c r="M114" s="16" t="s">
        <v>2494</v>
      </c>
      <c r="N114" s="16" t="s">
        <v>2495</v>
      </c>
    </row>
    <row r="115" spans="1:14" x14ac:dyDescent="0.4">
      <c r="A115" s="16">
        <v>171737</v>
      </c>
      <c r="B115" s="1612">
        <v>60</v>
      </c>
      <c r="C115" s="16">
        <f t="shared" si="12"/>
        <v>300</v>
      </c>
      <c r="D115" s="1612">
        <v>0</v>
      </c>
      <c r="E115" s="1612">
        <v>0</v>
      </c>
      <c r="F115" s="1612">
        <v>0</v>
      </c>
      <c r="G115" s="1612">
        <v>0</v>
      </c>
      <c r="H115" s="1612">
        <v>0</v>
      </c>
      <c r="I115" s="1612">
        <v>0</v>
      </c>
      <c r="J115" s="1613">
        <f t="shared" si="13"/>
        <v>0</v>
      </c>
      <c r="K115" s="1613">
        <f t="shared" si="14"/>
        <v>0</v>
      </c>
      <c r="L115" s="1612">
        <f t="shared" si="15"/>
        <v>0</v>
      </c>
      <c r="M115" s="16" t="s">
        <v>2496</v>
      </c>
      <c r="N115" s="16" t="s">
        <v>2497</v>
      </c>
    </row>
    <row r="116" spans="1:14" x14ac:dyDescent="0.4">
      <c r="A116" s="16">
        <v>171738</v>
      </c>
      <c r="B116" s="1001">
        <v>45</v>
      </c>
      <c r="C116" s="16">
        <f t="shared" si="12"/>
        <v>225</v>
      </c>
      <c r="D116" s="1001">
        <v>0</v>
      </c>
      <c r="E116" s="1001">
        <v>0</v>
      </c>
      <c r="F116" s="1001">
        <v>0</v>
      </c>
      <c r="G116" s="1001">
        <v>0</v>
      </c>
      <c r="H116" s="1001">
        <v>0</v>
      </c>
      <c r="I116" s="1001">
        <v>0</v>
      </c>
      <c r="J116" s="1002">
        <f t="shared" si="13"/>
        <v>0</v>
      </c>
      <c r="K116" s="1002">
        <f t="shared" si="14"/>
        <v>0</v>
      </c>
      <c r="L116" s="1001">
        <f t="shared" si="15"/>
        <v>0</v>
      </c>
      <c r="M116" s="16" t="s">
        <v>2496</v>
      </c>
      <c r="N116" s="16" t="s">
        <v>2497</v>
      </c>
    </row>
    <row r="117" spans="1:14" x14ac:dyDescent="0.4">
      <c r="A117" s="16">
        <v>171739</v>
      </c>
      <c r="B117" s="1173">
        <v>60</v>
      </c>
      <c r="C117" s="16">
        <f t="shared" si="12"/>
        <v>300</v>
      </c>
      <c r="D117" s="1173">
        <v>0</v>
      </c>
      <c r="E117" s="1173">
        <v>0</v>
      </c>
      <c r="F117" s="1173">
        <v>0</v>
      </c>
      <c r="G117" s="1173">
        <v>0</v>
      </c>
      <c r="H117" s="1173">
        <v>0</v>
      </c>
      <c r="I117" s="1173">
        <v>0</v>
      </c>
      <c r="J117" s="1174">
        <f t="shared" si="13"/>
        <v>0</v>
      </c>
      <c r="K117" s="1174">
        <f t="shared" si="14"/>
        <v>0</v>
      </c>
      <c r="L117" s="1173">
        <f t="shared" si="15"/>
        <v>0</v>
      </c>
      <c r="M117" s="16" t="s">
        <v>2496</v>
      </c>
      <c r="N117" s="16" t="s">
        <v>2497</v>
      </c>
    </row>
    <row r="118" spans="1:14" x14ac:dyDescent="0.4">
      <c r="A118" s="16">
        <v>181740</v>
      </c>
      <c r="B118" s="1120">
        <v>60</v>
      </c>
      <c r="C118" s="16">
        <f t="shared" ref="C118:C147" si="16">SUM(B118*5)</f>
        <v>300</v>
      </c>
      <c r="D118" s="1120">
        <v>0</v>
      </c>
      <c r="E118" s="1120">
        <v>0</v>
      </c>
      <c r="F118" s="1120">
        <v>0</v>
      </c>
      <c r="G118" s="1120">
        <v>0</v>
      </c>
      <c r="H118" s="1120">
        <v>0</v>
      </c>
      <c r="I118" s="1120">
        <v>0</v>
      </c>
      <c r="J118" s="1121">
        <f t="shared" ref="J118:J147" si="17">SUM(D118:I118)</f>
        <v>0</v>
      </c>
      <c r="K118" s="1121">
        <f t="shared" ref="K118:K147" si="18">SUM(D118:H118)</f>
        <v>0</v>
      </c>
      <c r="L118" s="1120">
        <f t="shared" ref="L118:L147" si="19">B118*K118</f>
        <v>0</v>
      </c>
      <c r="M118" s="16" t="s">
        <v>2496</v>
      </c>
      <c r="N118" s="16" t="s">
        <v>2497</v>
      </c>
    </row>
    <row r="119" spans="1:14" x14ac:dyDescent="0.4">
      <c r="A119" s="16">
        <v>181741</v>
      </c>
      <c r="B119" s="1265">
        <v>60</v>
      </c>
      <c r="C119" s="16">
        <f t="shared" si="16"/>
        <v>300</v>
      </c>
      <c r="D119" s="1265">
        <v>0</v>
      </c>
      <c r="E119" s="1265">
        <v>0</v>
      </c>
      <c r="F119" s="1265">
        <v>0</v>
      </c>
      <c r="G119" s="1265">
        <v>0</v>
      </c>
      <c r="H119" s="1265">
        <v>0</v>
      </c>
      <c r="I119" s="1265">
        <v>0</v>
      </c>
      <c r="J119" s="1266">
        <f t="shared" si="17"/>
        <v>0</v>
      </c>
      <c r="K119" s="1266">
        <f t="shared" si="18"/>
        <v>0</v>
      </c>
      <c r="L119" s="1265">
        <f t="shared" si="19"/>
        <v>0</v>
      </c>
      <c r="M119" s="16" t="s">
        <v>2496</v>
      </c>
      <c r="N119" s="16" t="s">
        <v>2497</v>
      </c>
    </row>
    <row r="120" spans="1:14" x14ac:dyDescent="0.4">
      <c r="A120" s="16">
        <v>181742</v>
      </c>
      <c r="B120" s="1361">
        <v>45</v>
      </c>
      <c r="C120" s="16">
        <f t="shared" si="16"/>
        <v>225</v>
      </c>
      <c r="D120" s="1361">
        <v>0</v>
      </c>
      <c r="E120" s="1361">
        <v>0</v>
      </c>
      <c r="F120" s="1361">
        <v>0</v>
      </c>
      <c r="G120" s="1361">
        <v>0</v>
      </c>
      <c r="H120" s="1361">
        <v>0</v>
      </c>
      <c r="I120" s="1361">
        <v>0</v>
      </c>
      <c r="J120" s="1362">
        <f t="shared" si="17"/>
        <v>0</v>
      </c>
      <c r="K120" s="1362">
        <f t="shared" si="18"/>
        <v>0</v>
      </c>
      <c r="L120" s="1361">
        <f t="shared" si="19"/>
        <v>0</v>
      </c>
      <c r="M120" s="16" t="s">
        <v>2498</v>
      </c>
      <c r="N120" s="16" t="s">
        <v>2499</v>
      </c>
    </row>
    <row r="121" spans="1:14" x14ac:dyDescent="0.4">
      <c r="A121" s="1">
        <v>181743</v>
      </c>
      <c r="B121" s="1690">
        <v>60</v>
      </c>
      <c r="C121" s="1">
        <f t="shared" si="16"/>
        <v>300</v>
      </c>
      <c r="D121" s="1690">
        <v>0</v>
      </c>
      <c r="E121" s="1690">
        <v>0</v>
      </c>
      <c r="F121" s="1690">
        <v>1</v>
      </c>
      <c r="G121" s="1690">
        <v>1</v>
      </c>
      <c r="H121" s="1690">
        <v>1</v>
      </c>
      <c r="I121" s="1690">
        <v>1</v>
      </c>
      <c r="J121" s="1693">
        <f t="shared" si="17"/>
        <v>4</v>
      </c>
      <c r="K121" s="1693">
        <f t="shared" si="18"/>
        <v>3</v>
      </c>
      <c r="L121" s="1690">
        <f t="shared" si="19"/>
        <v>180</v>
      </c>
      <c r="M121" s="1" t="s">
        <v>2498</v>
      </c>
      <c r="N121" s="1" t="s">
        <v>2499</v>
      </c>
    </row>
    <row r="122" spans="1:14" x14ac:dyDescent="0.4">
      <c r="A122" s="16">
        <v>181744</v>
      </c>
      <c r="B122" s="1187">
        <v>60</v>
      </c>
      <c r="C122" s="16">
        <f t="shared" si="16"/>
        <v>300</v>
      </c>
      <c r="D122" s="1187">
        <v>0</v>
      </c>
      <c r="E122" s="1187">
        <v>0</v>
      </c>
      <c r="F122" s="1187">
        <v>0</v>
      </c>
      <c r="G122" s="1187">
        <v>0</v>
      </c>
      <c r="H122" s="1187">
        <v>0</v>
      </c>
      <c r="I122" s="1187">
        <v>0</v>
      </c>
      <c r="J122" s="1188">
        <f t="shared" si="17"/>
        <v>0</v>
      </c>
      <c r="K122" s="1188">
        <f t="shared" si="18"/>
        <v>0</v>
      </c>
      <c r="L122" s="1187">
        <f t="shared" si="19"/>
        <v>0</v>
      </c>
      <c r="M122" s="16" t="s">
        <v>2498</v>
      </c>
      <c r="N122" s="16" t="s">
        <v>2499</v>
      </c>
    </row>
    <row r="123" spans="1:14" x14ac:dyDescent="0.4">
      <c r="A123" s="16">
        <v>181745</v>
      </c>
      <c r="B123" s="960">
        <v>45</v>
      </c>
      <c r="C123" s="16">
        <f t="shared" si="16"/>
        <v>225</v>
      </c>
      <c r="D123" s="960">
        <v>0</v>
      </c>
      <c r="E123" s="960">
        <v>0</v>
      </c>
      <c r="F123" s="960">
        <v>0</v>
      </c>
      <c r="G123" s="960">
        <v>0</v>
      </c>
      <c r="H123" s="960">
        <v>0</v>
      </c>
      <c r="I123" s="960">
        <v>0</v>
      </c>
      <c r="J123" s="961">
        <f t="shared" si="17"/>
        <v>0</v>
      </c>
      <c r="K123" s="961">
        <f t="shared" si="18"/>
        <v>0</v>
      </c>
      <c r="L123" s="960">
        <f t="shared" si="19"/>
        <v>0</v>
      </c>
      <c r="M123" s="16" t="s">
        <v>2498</v>
      </c>
      <c r="N123" s="16" t="s">
        <v>2499</v>
      </c>
    </row>
    <row r="124" spans="1:14" x14ac:dyDescent="0.4">
      <c r="A124" s="16">
        <v>181746</v>
      </c>
      <c r="B124" s="1518">
        <v>45</v>
      </c>
      <c r="C124" s="16">
        <f t="shared" si="16"/>
        <v>225</v>
      </c>
      <c r="D124" s="1518">
        <v>0</v>
      </c>
      <c r="E124" s="1518">
        <v>0</v>
      </c>
      <c r="F124" s="1518">
        <v>0</v>
      </c>
      <c r="G124" s="1518">
        <v>0</v>
      </c>
      <c r="H124" s="1518">
        <v>0</v>
      </c>
      <c r="I124" s="1518">
        <v>0</v>
      </c>
      <c r="J124" s="1519">
        <f t="shared" si="17"/>
        <v>0</v>
      </c>
      <c r="K124" s="1519">
        <f t="shared" si="18"/>
        <v>0</v>
      </c>
      <c r="L124" s="1518">
        <f t="shared" si="19"/>
        <v>0</v>
      </c>
      <c r="M124" s="16" t="s">
        <v>2498</v>
      </c>
      <c r="N124" s="16" t="s">
        <v>2499</v>
      </c>
    </row>
    <row r="125" spans="1:14" x14ac:dyDescent="0.4">
      <c r="A125" s="16">
        <v>181747</v>
      </c>
      <c r="B125" s="1058">
        <v>60</v>
      </c>
      <c r="C125" s="16">
        <f t="shared" si="16"/>
        <v>300</v>
      </c>
      <c r="D125" s="1058">
        <v>0</v>
      </c>
      <c r="E125" s="1058">
        <v>0</v>
      </c>
      <c r="F125" s="1058">
        <v>0</v>
      </c>
      <c r="G125" s="1058">
        <v>0</v>
      </c>
      <c r="H125" s="1058">
        <v>0</v>
      </c>
      <c r="I125" s="1058">
        <v>0</v>
      </c>
      <c r="J125" s="1059">
        <f t="shared" si="17"/>
        <v>0</v>
      </c>
      <c r="K125" s="1059">
        <f t="shared" si="18"/>
        <v>0</v>
      </c>
      <c r="L125" s="1058">
        <f t="shared" si="19"/>
        <v>0</v>
      </c>
      <c r="M125" s="16" t="s">
        <v>2500</v>
      </c>
      <c r="N125" s="16" t="s">
        <v>2501</v>
      </c>
    </row>
    <row r="126" spans="1:14" x14ac:dyDescent="0.4">
      <c r="A126" s="16">
        <v>181748</v>
      </c>
      <c r="B126" s="1167">
        <v>45</v>
      </c>
      <c r="C126" s="16">
        <f t="shared" si="16"/>
        <v>225</v>
      </c>
      <c r="D126" s="1167">
        <v>0</v>
      </c>
      <c r="E126" s="1167">
        <v>0</v>
      </c>
      <c r="F126" s="1167">
        <v>0</v>
      </c>
      <c r="G126" s="1167">
        <v>0</v>
      </c>
      <c r="H126" s="1167">
        <v>0</v>
      </c>
      <c r="I126" s="1167">
        <v>0</v>
      </c>
      <c r="J126" s="1168">
        <f t="shared" si="17"/>
        <v>0</v>
      </c>
      <c r="K126" s="1168">
        <f t="shared" si="18"/>
        <v>0</v>
      </c>
      <c r="L126" s="1167">
        <f t="shared" si="19"/>
        <v>0</v>
      </c>
      <c r="M126" s="16" t="s">
        <v>2500</v>
      </c>
      <c r="N126" s="16" t="s">
        <v>2501</v>
      </c>
    </row>
    <row r="127" spans="1:14" x14ac:dyDescent="0.4">
      <c r="A127" s="16">
        <v>181749</v>
      </c>
      <c r="B127" s="1367">
        <v>100</v>
      </c>
      <c r="C127" s="16">
        <f t="shared" si="16"/>
        <v>500</v>
      </c>
      <c r="D127" s="1367">
        <v>0</v>
      </c>
      <c r="E127" s="1367">
        <v>0</v>
      </c>
      <c r="F127" s="1367">
        <v>0</v>
      </c>
      <c r="G127" s="1367">
        <v>0</v>
      </c>
      <c r="H127" s="1367">
        <v>0</v>
      </c>
      <c r="I127" s="1367">
        <v>0</v>
      </c>
      <c r="J127" s="1368">
        <f t="shared" si="17"/>
        <v>0</v>
      </c>
      <c r="K127" s="1368">
        <f t="shared" si="18"/>
        <v>0</v>
      </c>
      <c r="L127" s="1367">
        <f t="shared" si="19"/>
        <v>0</v>
      </c>
      <c r="M127" s="16" t="s">
        <v>2502</v>
      </c>
      <c r="N127" s="16" t="s">
        <v>2503</v>
      </c>
    </row>
    <row r="128" spans="1:14" x14ac:dyDescent="0.4">
      <c r="A128" s="16">
        <v>181750</v>
      </c>
      <c r="B128" s="1104">
        <v>60</v>
      </c>
      <c r="C128" s="16">
        <f t="shared" si="16"/>
        <v>300</v>
      </c>
      <c r="D128" s="1104">
        <v>0</v>
      </c>
      <c r="E128" s="1104">
        <v>0</v>
      </c>
      <c r="F128" s="1104">
        <v>0</v>
      </c>
      <c r="G128" s="1104">
        <v>0</v>
      </c>
      <c r="H128" s="1104">
        <v>0</v>
      </c>
      <c r="I128" s="1104">
        <v>0</v>
      </c>
      <c r="J128" s="1105">
        <f t="shared" si="17"/>
        <v>0</v>
      </c>
      <c r="K128" s="1105">
        <f t="shared" si="18"/>
        <v>0</v>
      </c>
      <c r="L128" s="1104">
        <f t="shared" si="19"/>
        <v>0</v>
      </c>
      <c r="M128" s="16" t="s">
        <v>2504</v>
      </c>
      <c r="N128" s="16" t="s">
        <v>2505</v>
      </c>
    </row>
    <row r="129" spans="1:15" x14ac:dyDescent="0.4">
      <c r="A129" s="1">
        <v>181751</v>
      </c>
      <c r="B129" s="1690">
        <v>60</v>
      </c>
      <c r="C129" s="1">
        <f t="shared" si="16"/>
        <v>300</v>
      </c>
      <c r="D129" s="1690">
        <v>0</v>
      </c>
      <c r="E129" s="1690">
        <v>0</v>
      </c>
      <c r="F129" s="1690">
        <v>0</v>
      </c>
      <c r="G129" s="1690">
        <v>0</v>
      </c>
      <c r="H129" s="1690">
        <v>1</v>
      </c>
      <c r="I129" s="1690">
        <v>1</v>
      </c>
      <c r="J129" s="1693">
        <f t="shared" si="17"/>
        <v>2</v>
      </c>
      <c r="K129" s="1693">
        <f t="shared" si="18"/>
        <v>1</v>
      </c>
      <c r="L129" s="1690">
        <f t="shared" si="19"/>
        <v>60</v>
      </c>
      <c r="M129" s="1" t="s">
        <v>2504</v>
      </c>
      <c r="N129" s="1" t="s">
        <v>2505</v>
      </c>
    </row>
    <row r="130" spans="1:15" x14ac:dyDescent="0.4">
      <c r="A130" s="1">
        <v>181752</v>
      </c>
      <c r="B130" s="1690">
        <v>90</v>
      </c>
      <c r="C130" s="1">
        <f t="shared" si="16"/>
        <v>450</v>
      </c>
      <c r="D130" s="1690">
        <v>0</v>
      </c>
      <c r="E130" s="1690">
        <v>0</v>
      </c>
      <c r="F130" s="1690">
        <v>0</v>
      </c>
      <c r="G130" s="1690">
        <v>0</v>
      </c>
      <c r="H130" s="1690">
        <v>1</v>
      </c>
      <c r="I130" s="1690">
        <v>1</v>
      </c>
      <c r="J130" s="1693">
        <f t="shared" si="17"/>
        <v>2</v>
      </c>
      <c r="K130" s="1693">
        <f t="shared" si="18"/>
        <v>1</v>
      </c>
      <c r="L130" s="1690">
        <f t="shared" si="19"/>
        <v>90</v>
      </c>
      <c r="M130" s="1" t="s">
        <v>2504</v>
      </c>
      <c r="N130" s="1" t="s">
        <v>2505</v>
      </c>
    </row>
    <row r="131" spans="1:15" x14ac:dyDescent="0.4">
      <c r="A131" s="16">
        <v>181753</v>
      </c>
      <c r="B131" s="1256">
        <v>45</v>
      </c>
      <c r="C131" s="16">
        <f t="shared" si="16"/>
        <v>225</v>
      </c>
      <c r="D131" s="1256">
        <v>0</v>
      </c>
      <c r="E131" s="1256">
        <v>0</v>
      </c>
      <c r="F131" s="1256">
        <v>0</v>
      </c>
      <c r="G131" s="1256">
        <v>0</v>
      </c>
      <c r="H131" s="1256">
        <v>0</v>
      </c>
      <c r="I131" s="1256">
        <v>0</v>
      </c>
      <c r="J131" s="1257">
        <f t="shared" si="17"/>
        <v>0</v>
      </c>
      <c r="K131" s="1257">
        <f t="shared" si="18"/>
        <v>0</v>
      </c>
      <c r="L131" s="1256">
        <f t="shared" si="19"/>
        <v>0</v>
      </c>
      <c r="M131" s="16" t="s">
        <v>2506</v>
      </c>
      <c r="N131" s="16" t="s">
        <v>2507</v>
      </c>
    </row>
    <row r="132" spans="1:15" x14ac:dyDescent="0.4">
      <c r="A132" s="16">
        <v>181754</v>
      </c>
      <c r="B132" s="1171">
        <v>60</v>
      </c>
      <c r="C132" s="16">
        <f t="shared" si="16"/>
        <v>300</v>
      </c>
      <c r="D132" s="1171">
        <v>0</v>
      </c>
      <c r="E132" s="1171">
        <v>0</v>
      </c>
      <c r="F132" s="1171">
        <v>0</v>
      </c>
      <c r="G132" s="1171">
        <v>0</v>
      </c>
      <c r="H132" s="1171">
        <v>0</v>
      </c>
      <c r="I132" s="1171">
        <v>0</v>
      </c>
      <c r="J132" s="1172">
        <f t="shared" si="17"/>
        <v>0</v>
      </c>
      <c r="K132" s="1172">
        <f t="shared" si="18"/>
        <v>0</v>
      </c>
      <c r="L132" s="1171">
        <f t="shared" si="19"/>
        <v>0</v>
      </c>
      <c r="M132" s="16" t="s">
        <v>2506</v>
      </c>
      <c r="N132" s="16" t="s">
        <v>2507</v>
      </c>
    </row>
    <row r="133" spans="1:15" x14ac:dyDescent="0.4">
      <c r="A133" s="16">
        <v>181755</v>
      </c>
      <c r="B133" s="1144">
        <v>45</v>
      </c>
      <c r="C133" s="16">
        <f t="shared" si="16"/>
        <v>225</v>
      </c>
      <c r="D133" s="1144">
        <v>0</v>
      </c>
      <c r="E133" s="1144">
        <v>0</v>
      </c>
      <c r="F133" s="1144">
        <v>0</v>
      </c>
      <c r="G133" s="1144">
        <v>0</v>
      </c>
      <c r="H133" s="1144">
        <v>0</v>
      </c>
      <c r="I133" s="1144">
        <v>0</v>
      </c>
      <c r="J133" s="1145">
        <f t="shared" si="17"/>
        <v>0</v>
      </c>
      <c r="K133" s="1145">
        <f t="shared" si="18"/>
        <v>0</v>
      </c>
      <c r="L133" s="1144">
        <f t="shared" si="19"/>
        <v>0</v>
      </c>
      <c r="M133" s="16" t="s">
        <v>2508</v>
      </c>
      <c r="N133" s="16" t="s">
        <v>2509</v>
      </c>
    </row>
    <row r="134" spans="1:15" x14ac:dyDescent="0.4">
      <c r="A134" s="16">
        <v>181756</v>
      </c>
      <c r="B134" s="1324">
        <v>60</v>
      </c>
      <c r="C134" s="16">
        <f t="shared" si="16"/>
        <v>300</v>
      </c>
      <c r="D134" s="1324">
        <v>0</v>
      </c>
      <c r="E134" s="1324">
        <v>0</v>
      </c>
      <c r="F134" s="1324">
        <v>0</v>
      </c>
      <c r="G134" s="1324">
        <v>0</v>
      </c>
      <c r="H134" s="1324">
        <v>0</v>
      </c>
      <c r="I134" s="1324">
        <v>0</v>
      </c>
      <c r="J134" s="1325">
        <f t="shared" si="17"/>
        <v>0</v>
      </c>
      <c r="K134" s="1325">
        <f t="shared" si="18"/>
        <v>0</v>
      </c>
      <c r="L134" s="1324">
        <f t="shared" si="19"/>
        <v>0</v>
      </c>
      <c r="M134" s="16" t="s">
        <v>2508</v>
      </c>
      <c r="N134" s="16" t="s">
        <v>2509</v>
      </c>
    </row>
    <row r="135" spans="1:15" x14ac:dyDescent="0.4">
      <c r="A135" s="1">
        <v>181757</v>
      </c>
      <c r="B135" s="1690">
        <v>60</v>
      </c>
      <c r="C135" s="1">
        <f t="shared" si="16"/>
        <v>300</v>
      </c>
      <c r="D135" s="1690">
        <v>0</v>
      </c>
      <c r="E135" s="1690">
        <v>0</v>
      </c>
      <c r="F135" s="1690">
        <v>0</v>
      </c>
      <c r="G135" s="1690">
        <v>0</v>
      </c>
      <c r="H135" s="1690">
        <v>0</v>
      </c>
      <c r="I135" s="1690">
        <v>1</v>
      </c>
      <c r="J135" s="1693">
        <f t="shared" si="17"/>
        <v>1</v>
      </c>
      <c r="K135" s="1693">
        <f t="shared" si="18"/>
        <v>0</v>
      </c>
      <c r="L135" s="1690">
        <f t="shared" si="19"/>
        <v>0</v>
      </c>
      <c r="M135" s="1" t="s">
        <v>2510</v>
      </c>
      <c r="N135" s="1" t="s">
        <v>2511</v>
      </c>
    </row>
    <row r="136" spans="1:15" x14ac:dyDescent="0.4">
      <c r="A136" s="1">
        <v>181758</v>
      </c>
      <c r="B136" s="1690">
        <v>45</v>
      </c>
      <c r="C136" s="1">
        <f t="shared" si="16"/>
        <v>225</v>
      </c>
      <c r="D136" s="1690">
        <v>0</v>
      </c>
      <c r="E136" s="1690">
        <v>0</v>
      </c>
      <c r="F136" s="1690">
        <v>0</v>
      </c>
      <c r="G136" s="1690">
        <v>0</v>
      </c>
      <c r="H136" s="1690">
        <v>0</v>
      </c>
      <c r="I136" s="1690">
        <v>1</v>
      </c>
      <c r="J136" s="1693">
        <f t="shared" si="17"/>
        <v>1</v>
      </c>
      <c r="K136" s="1693">
        <f t="shared" si="18"/>
        <v>0</v>
      </c>
      <c r="L136" s="1690">
        <f t="shared" si="19"/>
        <v>0</v>
      </c>
      <c r="M136" s="1" t="s">
        <v>2482</v>
      </c>
      <c r="N136" s="1" t="s">
        <v>2483</v>
      </c>
    </row>
    <row r="137" spans="1:15" x14ac:dyDescent="0.4">
      <c r="A137" s="16">
        <v>181759</v>
      </c>
      <c r="B137" s="1056">
        <v>45</v>
      </c>
      <c r="C137" s="16">
        <f t="shared" si="16"/>
        <v>225</v>
      </c>
      <c r="D137" s="1056">
        <v>0</v>
      </c>
      <c r="E137" s="1056">
        <v>0</v>
      </c>
      <c r="F137" s="1056">
        <v>0</v>
      </c>
      <c r="G137" s="1056">
        <v>0</v>
      </c>
      <c r="H137" s="1056">
        <v>0</v>
      </c>
      <c r="I137" s="1056">
        <v>0</v>
      </c>
      <c r="J137" s="1057">
        <f t="shared" si="17"/>
        <v>0</v>
      </c>
      <c r="K137" s="1057">
        <f t="shared" si="18"/>
        <v>0</v>
      </c>
      <c r="L137" s="1056">
        <f t="shared" si="19"/>
        <v>0</v>
      </c>
      <c r="M137" s="16" t="s">
        <v>2482</v>
      </c>
      <c r="N137" s="16" t="s">
        <v>2483</v>
      </c>
    </row>
    <row r="138" spans="1:15" x14ac:dyDescent="0.4">
      <c r="A138" s="16">
        <v>181760</v>
      </c>
      <c r="B138" s="1041">
        <v>45</v>
      </c>
      <c r="C138" s="16">
        <f t="shared" si="16"/>
        <v>225</v>
      </c>
      <c r="D138" s="1041">
        <v>0</v>
      </c>
      <c r="E138" s="1041">
        <v>0</v>
      </c>
      <c r="F138" s="1041">
        <v>0</v>
      </c>
      <c r="G138" s="1041">
        <v>0</v>
      </c>
      <c r="H138" s="1041">
        <v>0</v>
      </c>
      <c r="I138" s="1041">
        <v>0</v>
      </c>
      <c r="J138" s="1042">
        <f t="shared" si="17"/>
        <v>0</v>
      </c>
      <c r="K138" s="1042">
        <f t="shared" si="18"/>
        <v>0</v>
      </c>
      <c r="L138" s="1041">
        <f t="shared" si="19"/>
        <v>0</v>
      </c>
      <c r="M138" s="16" t="s">
        <v>2482</v>
      </c>
      <c r="N138" s="16" t="s">
        <v>2483</v>
      </c>
    </row>
    <row r="139" spans="1:15" x14ac:dyDescent="0.4">
      <c r="A139" s="16">
        <v>181761</v>
      </c>
      <c r="B139" s="1267">
        <v>45</v>
      </c>
      <c r="C139" s="16">
        <f t="shared" si="16"/>
        <v>225</v>
      </c>
      <c r="D139" s="1267">
        <v>0</v>
      </c>
      <c r="E139" s="1267">
        <v>0</v>
      </c>
      <c r="F139" s="1267">
        <v>0</v>
      </c>
      <c r="G139" s="1267">
        <v>0</v>
      </c>
      <c r="H139" s="1267">
        <v>0</v>
      </c>
      <c r="I139" s="1267">
        <v>0</v>
      </c>
      <c r="J139" s="1268">
        <f t="shared" si="17"/>
        <v>0</v>
      </c>
      <c r="K139" s="1268">
        <f t="shared" si="18"/>
        <v>0</v>
      </c>
      <c r="L139" s="1267">
        <f t="shared" si="19"/>
        <v>0</v>
      </c>
      <c r="M139" s="16" t="s">
        <v>2484</v>
      </c>
      <c r="N139" s="16" t="s">
        <v>2485</v>
      </c>
    </row>
    <row r="140" spans="1:15" x14ac:dyDescent="0.4">
      <c r="A140" s="1">
        <v>181762</v>
      </c>
      <c r="B140" s="1690">
        <v>60</v>
      </c>
      <c r="C140" s="1">
        <f t="shared" si="16"/>
        <v>300</v>
      </c>
      <c r="D140" s="1690">
        <v>0</v>
      </c>
      <c r="E140" s="1690">
        <v>0</v>
      </c>
      <c r="F140" s="1690">
        <v>0</v>
      </c>
      <c r="G140" s="1690">
        <v>1</v>
      </c>
      <c r="H140" s="1690">
        <v>1</v>
      </c>
      <c r="I140" s="1690">
        <v>1</v>
      </c>
      <c r="J140" s="1693">
        <f t="shared" si="17"/>
        <v>3</v>
      </c>
      <c r="K140" s="1693">
        <f t="shared" si="18"/>
        <v>2</v>
      </c>
      <c r="L140" s="1690">
        <f t="shared" si="19"/>
        <v>120</v>
      </c>
      <c r="M140" s="1" t="s">
        <v>2486</v>
      </c>
      <c r="N140" s="1" t="s">
        <v>2487</v>
      </c>
    </row>
    <row r="141" spans="1:15" x14ac:dyDescent="0.4">
      <c r="A141" s="1">
        <v>181763</v>
      </c>
      <c r="B141" s="1690">
        <v>0</v>
      </c>
      <c r="C141" s="1">
        <f t="shared" si="16"/>
        <v>0</v>
      </c>
      <c r="D141" s="1690">
        <v>0</v>
      </c>
      <c r="E141" s="1690">
        <v>0</v>
      </c>
      <c r="F141" s="1690">
        <v>0</v>
      </c>
      <c r="G141" s="1690">
        <v>1</v>
      </c>
      <c r="H141" s="1690">
        <v>1</v>
      </c>
      <c r="I141" s="1690">
        <v>1</v>
      </c>
      <c r="J141" s="1693">
        <f t="shared" si="17"/>
        <v>3</v>
      </c>
      <c r="K141" s="1693">
        <f t="shared" si="18"/>
        <v>2</v>
      </c>
      <c r="L141" s="1690">
        <f t="shared" si="19"/>
        <v>0</v>
      </c>
      <c r="M141" s="1" t="s">
        <v>2486</v>
      </c>
      <c r="N141" s="1" t="s">
        <v>2487</v>
      </c>
      <c r="O141" t="s">
        <v>2488</v>
      </c>
    </row>
    <row r="142" spans="1:15" x14ac:dyDescent="0.4">
      <c r="A142" s="16">
        <v>181764</v>
      </c>
      <c r="B142" s="945">
        <v>60</v>
      </c>
      <c r="C142" s="16">
        <f t="shared" si="16"/>
        <v>300</v>
      </c>
      <c r="D142" s="945">
        <v>0</v>
      </c>
      <c r="E142" s="945">
        <v>0</v>
      </c>
      <c r="F142" s="945">
        <v>0</v>
      </c>
      <c r="G142" s="945">
        <v>0</v>
      </c>
      <c r="H142" s="945">
        <v>0</v>
      </c>
      <c r="I142" s="945">
        <v>0</v>
      </c>
      <c r="J142" s="946">
        <f t="shared" si="17"/>
        <v>0</v>
      </c>
      <c r="K142" s="946">
        <f t="shared" si="18"/>
        <v>0</v>
      </c>
      <c r="L142" s="945">
        <f t="shared" si="19"/>
        <v>0</v>
      </c>
      <c r="M142" s="16" t="s">
        <v>2489</v>
      </c>
      <c r="N142" s="16" t="s">
        <v>2490</v>
      </c>
    </row>
    <row r="143" spans="1:15" x14ac:dyDescent="0.4">
      <c r="A143" s="16">
        <v>181765</v>
      </c>
      <c r="B143" s="1089">
        <v>45</v>
      </c>
      <c r="C143" s="16">
        <f t="shared" si="16"/>
        <v>225</v>
      </c>
      <c r="D143" s="1089">
        <v>0</v>
      </c>
      <c r="E143" s="1089">
        <v>0</v>
      </c>
      <c r="F143" s="1089">
        <v>0</v>
      </c>
      <c r="G143" s="1089">
        <v>0</v>
      </c>
      <c r="H143" s="1089">
        <v>0</v>
      </c>
      <c r="I143" s="1089">
        <v>0</v>
      </c>
      <c r="J143" s="1090">
        <f t="shared" si="17"/>
        <v>0</v>
      </c>
      <c r="K143" s="1090">
        <f t="shared" si="18"/>
        <v>0</v>
      </c>
      <c r="L143" s="1089">
        <f t="shared" si="19"/>
        <v>0</v>
      </c>
      <c r="M143" s="16" t="s">
        <v>2489</v>
      </c>
      <c r="N143" s="16" t="s">
        <v>2490</v>
      </c>
    </row>
    <row r="144" spans="1:15" x14ac:dyDescent="0.4">
      <c r="A144" s="1">
        <v>181766</v>
      </c>
      <c r="B144" s="1690">
        <v>45</v>
      </c>
      <c r="C144" s="1">
        <f t="shared" si="16"/>
        <v>225</v>
      </c>
      <c r="D144" s="1690">
        <v>0</v>
      </c>
      <c r="E144" s="1690">
        <v>0</v>
      </c>
      <c r="F144" s="1690">
        <v>0</v>
      </c>
      <c r="G144" s="1690">
        <v>0</v>
      </c>
      <c r="H144" s="1690">
        <v>0</v>
      </c>
      <c r="I144" s="1690">
        <v>1</v>
      </c>
      <c r="J144" s="1693">
        <f t="shared" si="17"/>
        <v>1</v>
      </c>
      <c r="K144" s="1693">
        <f t="shared" si="18"/>
        <v>0</v>
      </c>
      <c r="L144" s="1690">
        <f t="shared" si="19"/>
        <v>0</v>
      </c>
      <c r="M144" s="1" t="s">
        <v>2489</v>
      </c>
      <c r="N144" s="1" t="s">
        <v>2490</v>
      </c>
    </row>
    <row r="145" spans="1:15" x14ac:dyDescent="0.4">
      <c r="A145" s="1">
        <v>181767</v>
      </c>
      <c r="B145" s="1690">
        <v>45</v>
      </c>
      <c r="C145" s="1">
        <f t="shared" si="16"/>
        <v>225</v>
      </c>
      <c r="D145" s="1690">
        <v>0</v>
      </c>
      <c r="E145" s="1690">
        <v>0</v>
      </c>
      <c r="F145" s="1690">
        <v>0</v>
      </c>
      <c r="G145" s="1690">
        <v>0</v>
      </c>
      <c r="H145" s="1690">
        <v>0</v>
      </c>
      <c r="I145" s="1690">
        <v>1</v>
      </c>
      <c r="J145" s="1693">
        <f t="shared" si="17"/>
        <v>1</v>
      </c>
      <c r="K145" s="1693">
        <f t="shared" si="18"/>
        <v>0</v>
      </c>
      <c r="L145" s="1690">
        <f t="shared" si="19"/>
        <v>0</v>
      </c>
      <c r="M145" s="1" t="s">
        <v>2512</v>
      </c>
      <c r="N145" s="1" t="s">
        <v>2513</v>
      </c>
    </row>
    <row r="146" spans="1:15" x14ac:dyDescent="0.4">
      <c r="A146" s="16">
        <v>181768</v>
      </c>
      <c r="B146" s="1058">
        <v>60</v>
      </c>
      <c r="C146" s="16">
        <f t="shared" si="16"/>
        <v>300</v>
      </c>
      <c r="D146" s="1058">
        <v>0</v>
      </c>
      <c r="E146" s="1058">
        <v>0</v>
      </c>
      <c r="F146" s="1058">
        <v>0</v>
      </c>
      <c r="G146" s="1058">
        <v>0</v>
      </c>
      <c r="H146" s="1058">
        <v>0</v>
      </c>
      <c r="I146" s="1058">
        <v>0</v>
      </c>
      <c r="J146" s="1059">
        <f t="shared" si="17"/>
        <v>0</v>
      </c>
      <c r="K146" s="1059">
        <f t="shared" si="18"/>
        <v>0</v>
      </c>
      <c r="L146" s="1058">
        <f t="shared" si="19"/>
        <v>0</v>
      </c>
      <c r="M146" s="16" t="s">
        <v>2514</v>
      </c>
      <c r="N146" s="16" t="s">
        <v>2515</v>
      </c>
    </row>
    <row r="147" spans="1:15" x14ac:dyDescent="0.4">
      <c r="A147" s="16">
        <v>181769</v>
      </c>
      <c r="B147" s="1404">
        <v>60</v>
      </c>
      <c r="C147" s="16">
        <f t="shared" si="16"/>
        <v>300</v>
      </c>
      <c r="D147" s="1404">
        <v>0</v>
      </c>
      <c r="E147" s="1404">
        <v>0</v>
      </c>
      <c r="F147" s="1404">
        <v>0</v>
      </c>
      <c r="G147" s="1404">
        <v>0</v>
      </c>
      <c r="H147" s="1404">
        <v>0</v>
      </c>
      <c r="I147" s="1404">
        <v>0</v>
      </c>
      <c r="J147" s="1405">
        <f t="shared" si="17"/>
        <v>0</v>
      </c>
      <c r="K147" s="1405">
        <f t="shared" si="18"/>
        <v>0</v>
      </c>
      <c r="L147" s="1404">
        <f t="shared" si="19"/>
        <v>0</v>
      </c>
      <c r="M147" s="16" t="s">
        <v>2517</v>
      </c>
      <c r="N147" s="16" t="s">
        <v>2518</v>
      </c>
    </row>
    <row r="148" spans="1:15" x14ac:dyDescent="0.4">
      <c r="A148" s="16">
        <v>181770</v>
      </c>
      <c r="B148" s="951">
        <v>60</v>
      </c>
      <c r="C148" s="16">
        <f t="shared" ref="C148:C177" si="20">SUM(B148*5)</f>
        <v>300</v>
      </c>
      <c r="D148" s="951">
        <v>0</v>
      </c>
      <c r="E148" s="951">
        <v>0</v>
      </c>
      <c r="F148" s="951">
        <v>0</v>
      </c>
      <c r="G148" s="951">
        <v>0</v>
      </c>
      <c r="H148" s="951">
        <v>0</v>
      </c>
      <c r="I148" s="951">
        <v>1</v>
      </c>
      <c r="J148" s="952">
        <f t="shared" ref="J148:J177" si="21">SUM(D148:I148)</f>
        <v>1</v>
      </c>
      <c r="K148" s="952">
        <f t="shared" ref="K148:K177" si="22">SUM(D148:H148)</f>
        <v>0</v>
      </c>
      <c r="L148" s="951">
        <f t="shared" ref="L148:L177" si="23">B148*K148</f>
        <v>0</v>
      </c>
      <c r="M148" s="16" t="s">
        <v>2519</v>
      </c>
      <c r="N148" s="16" t="s">
        <v>2520</v>
      </c>
    </row>
    <row r="149" spans="1:15" x14ac:dyDescent="0.4">
      <c r="A149" s="16">
        <v>181771</v>
      </c>
      <c r="B149" s="1248">
        <v>45</v>
      </c>
      <c r="C149" s="16">
        <f t="shared" si="20"/>
        <v>225</v>
      </c>
      <c r="D149" s="1248">
        <v>0</v>
      </c>
      <c r="E149" s="1248">
        <v>0</v>
      </c>
      <c r="F149" s="1248">
        <v>0</v>
      </c>
      <c r="G149" s="1248">
        <v>0</v>
      </c>
      <c r="H149" s="1248">
        <v>0</v>
      </c>
      <c r="I149" s="1248">
        <v>0</v>
      </c>
      <c r="J149" s="1249">
        <f t="shared" si="21"/>
        <v>0</v>
      </c>
      <c r="K149" s="1249">
        <f t="shared" si="22"/>
        <v>0</v>
      </c>
      <c r="L149" s="1248">
        <f t="shared" si="23"/>
        <v>0</v>
      </c>
      <c r="M149" s="16" t="s">
        <v>2519</v>
      </c>
      <c r="N149" s="16" t="s">
        <v>2520</v>
      </c>
    </row>
    <row r="150" spans="1:15" x14ac:dyDescent="0.4">
      <c r="A150" s="16">
        <v>181772</v>
      </c>
      <c r="B150" s="1051">
        <v>60</v>
      </c>
      <c r="C150" s="16">
        <f t="shared" si="20"/>
        <v>300</v>
      </c>
      <c r="D150" s="1051">
        <v>0</v>
      </c>
      <c r="E150" s="1051">
        <v>0</v>
      </c>
      <c r="F150" s="1051">
        <v>0</v>
      </c>
      <c r="G150" s="1051">
        <v>0</v>
      </c>
      <c r="H150" s="1051">
        <v>0</v>
      </c>
      <c r="I150" s="1051">
        <v>0</v>
      </c>
      <c r="J150" s="1052">
        <f t="shared" si="21"/>
        <v>0</v>
      </c>
      <c r="K150" s="1052">
        <f t="shared" si="22"/>
        <v>0</v>
      </c>
      <c r="L150" s="1051">
        <f t="shared" si="23"/>
        <v>0</v>
      </c>
      <c r="M150" s="16" t="s">
        <v>2521</v>
      </c>
      <c r="N150" s="16" t="s">
        <v>2522</v>
      </c>
    </row>
    <row r="151" spans="1:15" x14ac:dyDescent="0.4">
      <c r="A151" s="16">
        <v>181773</v>
      </c>
      <c r="B151" s="1051">
        <v>45</v>
      </c>
      <c r="C151" s="16">
        <f t="shared" si="20"/>
        <v>225</v>
      </c>
      <c r="D151" s="1051">
        <v>0</v>
      </c>
      <c r="E151" s="1051">
        <v>0</v>
      </c>
      <c r="F151" s="1051">
        <v>0</v>
      </c>
      <c r="G151" s="1051">
        <v>0</v>
      </c>
      <c r="H151" s="1051">
        <v>0</v>
      </c>
      <c r="I151" s="1051">
        <v>0</v>
      </c>
      <c r="J151" s="1052">
        <f t="shared" si="21"/>
        <v>0</v>
      </c>
      <c r="K151" s="1052">
        <f t="shared" si="22"/>
        <v>0</v>
      </c>
      <c r="L151" s="1051">
        <f t="shared" si="23"/>
        <v>0</v>
      </c>
      <c r="M151" s="16" t="s">
        <v>2524</v>
      </c>
      <c r="N151" s="16" t="s">
        <v>2525</v>
      </c>
    </row>
    <row r="152" spans="1:15" x14ac:dyDescent="0.4">
      <c r="A152" s="1">
        <v>181774</v>
      </c>
      <c r="B152" s="1690">
        <v>45</v>
      </c>
      <c r="C152" s="1">
        <f t="shared" si="20"/>
        <v>225</v>
      </c>
      <c r="D152" s="1690">
        <v>0</v>
      </c>
      <c r="E152" s="1690">
        <v>0</v>
      </c>
      <c r="F152" s="1690">
        <v>0</v>
      </c>
      <c r="G152" s="1690">
        <v>0</v>
      </c>
      <c r="H152" s="1690">
        <v>0</v>
      </c>
      <c r="I152" s="1690">
        <v>1</v>
      </c>
      <c r="J152" s="1693">
        <f t="shared" si="21"/>
        <v>1</v>
      </c>
      <c r="K152" s="1693">
        <f t="shared" si="22"/>
        <v>0</v>
      </c>
      <c r="L152" s="1690">
        <f t="shared" si="23"/>
        <v>0</v>
      </c>
      <c r="M152" s="1" t="s">
        <v>2524</v>
      </c>
      <c r="N152" s="1" t="s">
        <v>2525</v>
      </c>
    </row>
    <row r="153" spans="1:15" x14ac:dyDescent="0.4">
      <c r="A153" s="1">
        <v>181775</v>
      </c>
      <c r="B153" s="1690">
        <v>45</v>
      </c>
      <c r="C153" s="1">
        <f t="shared" si="20"/>
        <v>225</v>
      </c>
      <c r="D153" s="1690">
        <v>0</v>
      </c>
      <c r="E153" s="1690">
        <v>0</v>
      </c>
      <c r="F153" s="1690">
        <v>0</v>
      </c>
      <c r="G153" s="1690">
        <v>0</v>
      </c>
      <c r="H153" s="1690">
        <v>1</v>
      </c>
      <c r="I153" s="1690">
        <v>1</v>
      </c>
      <c r="J153" s="1693">
        <f t="shared" si="21"/>
        <v>2</v>
      </c>
      <c r="K153" s="1693">
        <f t="shared" si="22"/>
        <v>1</v>
      </c>
      <c r="L153" s="1690">
        <f t="shared" si="23"/>
        <v>45</v>
      </c>
      <c r="M153" s="1" t="s">
        <v>2526</v>
      </c>
      <c r="N153" s="1" t="s">
        <v>2527</v>
      </c>
    </row>
    <row r="154" spans="1:15" x14ac:dyDescent="0.4">
      <c r="A154" s="1">
        <v>181776</v>
      </c>
      <c r="B154" s="1690">
        <v>60</v>
      </c>
      <c r="C154" s="1">
        <f t="shared" si="20"/>
        <v>300</v>
      </c>
      <c r="D154" s="1690">
        <v>0</v>
      </c>
      <c r="E154" s="1690">
        <v>0</v>
      </c>
      <c r="F154" s="1690">
        <v>0</v>
      </c>
      <c r="G154" s="1690">
        <v>0</v>
      </c>
      <c r="H154" s="1690">
        <v>1</v>
      </c>
      <c r="I154" s="1690">
        <v>1</v>
      </c>
      <c r="J154" s="1693">
        <f t="shared" si="21"/>
        <v>2</v>
      </c>
      <c r="K154" s="1693">
        <f t="shared" si="22"/>
        <v>1</v>
      </c>
      <c r="L154" s="1690">
        <v>0</v>
      </c>
      <c r="M154" s="1" t="s">
        <v>2526</v>
      </c>
      <c r="N154" s="1" t="s">
        <v>2527</v>
      </c>
      <c r="O154" t="s">
        <v>3681</v>
      </c>
    </row>
    <row r="155" spans="1:15" x14ac:dyDescent="0.4">
      <c r="A155" s="16">
        <v>181777</v>
      </c>
      <c r="B155" s="1204">
        <v>60</v>
      </c>
      <c r="C155" s="16">
        <f t="shared" si="20"/>
        <v>300</v>
      </c>
      <c r="D155" s="1204">
        <v>0</v>
      </c>
      <c r="E155" s="1204">
        <v>0</v>
      </c>
      <c r="F155" s="1204">
        <v>0</v>
      </c>
      <c r="G155" s="1204">
        <v>0</v>
      </c>
      <c r="H155" s="1204">
        <v>0</v>
      </c>
      <c r="I155" s="1204">
        <v>0</v>
      </c>
      <c r="J155" s="1205">
        <f t="shared" si="21"/>
        <v>0</v>
      </c>
      <c r="K155" s="1205">
        <f t="shared" si="22"/>
        <v>0</v>
      </c>
      <c r="L155" s="1204">
        <f t="shared" si="23"/>
        <v>0</v>
      </c>
      <c r="M155" s="16" t="s">
        <v>2526</v>
      </c>
      <c r="N155" s="16" t="s">
        <v>2527</v>
      </c>
    </row>
    <row r="156" spans="1:15" x14ac:dyDescent="0.4">
      <c r="A156" s="16">
        <v>181778</v>
      </c>
      <c r="B156" s="1028">
        <v>60</v>
      </c>
      <c r="C156" s="16">
        <f t="shared" si="20"/>
        <v>300</v>
      </c>
      <c r="D156" s="1028">
        <v>0</v>
      </c>
      <c r="E156" s="1028">
        <v>0</v>
      </c>
      <c r="F156" s="1028">
        <v>0</v>
      </c>
      <c r="G156" s="1028">
        <v>0</v>
      </c>
      <c r="H156" s="1028">
        <v>0</v>
      </c>
      <c r="I156" s="1028">
        <v>0</v>
      </c>
      <c r="J156" s="1029">
        <f t="shared" si="21"/>
        <v>0</v>
      </c>
      <c r="K156" s="1029">
        <f t="shared" si="22"/>
        <v>0</v>
      </c>
      <c r="L156" s="1028">
        <f t="shared" si="23"/>
        <v>0</v>
      </c>
      <c r="M156" s="16" t="s">
        <v>2528</v>
      </c>
      <c r="N156" s="16" t="s">
        <v>2529</v>
      </c>
    </row>
    <row r="157" spans="1:15" x14ac:dyDescent="0.4">
      <c r="A157" s="16">
        <v>181779</v>
      </c>
      <c r="B157" s="1051">
        <v>60</v>
      </c>
      <c r="C157" s="16">
        <f t="shared" si="20"/>
        <v>300</v>
      </c>
      <c r="D157" s="1051">
        <v>0</v>
      </c>
      <c r="E157" s="1051">
        <v>0</v>
      </c>
      <c r="F157" s="1051">
        <v>0</v>
      </c>
      <c r="G157" s="1051">
        <v>0</v>
      </c>
      <c r="H157" s="1051">
        <v>0</v>
      </c>
      <c r="I157" s="1051">
        <v>0</v>
      </c>
      <c r="J157" s="1052">
        <f t="shared" si="21"/>
        <v>0</v>
      </c>
      <c r="K157" s="1052">
        <f t="shared" si="22"/>
        <v>0</v>
      </c>
      <c r="L157" s="1051">
        <f t="shared" si="23"/>
        <v>0</v>
      </c>
      <c r="M157" s="16" t="s">
        <v>2528</v>
      </c>
      <c r="N157" s="16" t="s">
        <v>2529</v>
      </c>
    </row>
    <row r="158" spans="1:15" x14ac:dyDescent="0.4">
      <c r="A158" s="16">
        <v>181780</v>
      </c>
      <c r="B158" s="1598">
        <v>60</v>
      </c>
      <c r="C158" s="16">
        <f t="shared" si="20"/>
        <v>300</v>
      </c>
      <c r="D158" s="1598">
        <v>0</v>
      </c>
      <c r="E158" s="1598">
        <v>0</v>
      </c>
      <c r="F158" s="1598">
        <v>0</v>
      </c>
      <c r="G158" s="1598">
        <v>0</v>
      </c>
      <c r="H158" s="1598">
        <v>0</v>
      </c>
      <c r="I158" s="1598">
        <v>0</v>
      </c>
      <c r="J158" s="1599">
        <f t="shared" si="21"/>
        <v>0</v>
      </c>
      <c r="K158" s="1599">
        <f t="shared" si="22"/>
        <v>0</v>
      </c>
      <c r="L158" s="1598">
        <f t="shared" si="23"/>
        <v>0</v>
      </c>
      <c r="M158" s="16" t="s">
        <v>2530</v>
      </c>
      <c r="N158" s="16" t="s">
        <v>2531</v>
      </c>
    </row>
    <row r="159" spans="1:15" x14ac:dyDescent="0.4">
      <c r="A159" s="16">
        <v>181781</v>
      </c>
      <c r="B159" s="1326">
        <v>60</v>
      </c>
      <c r="C159" s="16">
        <f t="shared" si="20"/>
        <v>300</v>
      </c>
      <c r="D159" s="1326">
        <v>0</v>
      </c>
      <c r="E159" s="1326">
        <v>0</v>
      </c>
      <c r="F159" s="1326">
        <v>0</v>
      </c>
      <c r="G159" s="1326">
        <v>0</v>
      </c>
      <c r="H159" s="1326">
        <v>0</v>
      </c>
      <c r="I159" s="1326">
        <v>0</v>
      </c>
      <c r="J159" s="1327">
        <f t="shared" si="21"/>
        <v>0</v>
      </c>
      <c r="K159" s="1327">
        <f t="shared" si="22"/>
        <v>0</v>
      </c>
      <c r="L159" s="1326">
        <f t="shared" si="23"/>
        <v>0</v>
      </c>
      <c r="M159" s="16" t="s">
        <v>2530</v>
      </c>
      <c r="N159" s="16" t="s">
        <v>2531</v>
      </c>
    </row>
    <row r="160" spans="1:15" x14ac:dyDescent="0.4">
      <c r="A160" s="16">
        <v>181782</v>
      </c>
      <c r="B160" s="1242">
        <v>90</v>
      </c>
      <c r="C160" s="16">
        <f t="shared" si="20"/>
        <v>450</v>
      </c>
      <c r="D160" s="1242">
        <v>0</v>
      </c>
      <c r="E160" s="1242">
        <v>0</v>
      </c>
      <c r="F160" s="1242">
        <v>0</v>
      </c>
      <c r="G160" s="1242">
        <v>0</v>
      </c>
      <c r="H160" s="1242">
        <v>0</v>
      </c>
      <c r="I160" s="1242">
        <v>0</v>
      </c>
      <c r="J160" s="1243">
        <f t="shared" si="21"/>
        <v>0</v>
      </c>
      <c r="K160" s="1243">
        <f t="shared" si="22"/>
        <v>0</v>
      </c>
      <c r="L160" s="1242">
        <f t="shared" si="23"/>
        <v>0</v>
      </c>
      <c r="M160" s="16" t="s">
        <v>2532</v>
      </c>
      <c r="N160" s="16" t="s">
        <v>2533</v>
      </c>
    </row>
    <row r="161" spans="1:23" x14ac:dyDescent="0.4">
      <c r="A161" s="16">
        <v>181783</v>
      </c>
      <c r="B161" s="918">
        <v>60</v>
      </c>
      <c r="C161" s="16">
        <f t="shared" si="20"/>
        <v>300</v>
      </c>
      <c r="D161" s="918">
        <v>0</v>
      </c>
      <c r="E161" s="918">
        <v>0</v>
      </c>
      <c r="F161" s="918">
        <v>0</v>
      </c>
      <c r="G161" s="918">
        <v>0</v>
      </c>
      <c r="H161" s="918">
        <v>0</v>
      </c>
      <c r="I161" s="918">
        <v>0</v>
      </c>
      <c r="J161" s="919">
        <f t="shared" si="21"/>
        <v>0</v>
      </c>
      <c r="K161" s="919">
        <f t="shared" si="22"/>
        <v>0</v>
      </c>
      <c r="L161" s="918">
        <f t="shared" si="23"/>
        <v>0</v>
      </c>
      <c r="M161" s="16" t="s">
        <v>2534</v>
      </c>
      <c r="N161" s="16" t="s">
        <v>2535</v>
      </c>
    </row>
    <row r="162" spans="1:23" x14ac:dyDescent="0.4">
      <c r="A162" s="16">
        <v>181784</v>
      </c>
      <c r="B162" s="912">
        <v>45</v>
      </c>
      <c r="C162" s="16">
        <f t="shared" si="20"/>
        <v>225</v>
      </c>
      <c r="D162" s="912">
        <v>0</v>
      </c>
      <c r="E162" s="912">
        <v>0</v>
      </c>
      <c r="F162" s="912">
        <v>0</v>
      </c>
      <c r="G162" s="912">
        <v>0</v>
      </c>
      <c r="H162" s="912">
        <v>0</v>
      </c>
      <c r="I162" s="912">
        <v>0</v>
      </c>
      <c r="J162" s="913">
        <f t="shared" si="21"/>
        <v>0</v>
      </c>
      <c r="K162" s="913">
        <f t="shared" si="22"/>
        <v>0</v>
      </c>
      <c r="L162" s="912">
        <f t="shared" si="23"/>
        <v>0</v>
      </c>
      <c r="M162" s="16" t="s">
        <v>2536</v>
      </c>
      <c r="N162" s="16" t="s">
        <v>2537</v>
      </c>
    </row>
    <row r="163" spans="1:23" x14ac:dyDescent="0.4">
      <c r="A163" s="16">
        <v>181785</v>
      </c>
      <c r="B163" s="1398">
        <v>45</v>
      </c>
      <c r="C163" s="16">
        <f t="shared" si="20"/>
        <v>225</v>
      </c>
      <c r="D163" s="1398">
        <v>0</v>
      </c>
      <c r="E163" s="1398">
        <v>0</v>
      </c>
      <c r="F163" s="1398">
        <v>0</v>
      </c>
      <c r="G163" s="1398">
        <v>0</v>
      </c>
      <c r="H163" s="1398">
        <v>0</v>
      </c>
      <c r="I163" s="1398">
        <v>0</v>
      </c>
      <c r="J163" s="1399">
        <f t="shared" si="21"/>
        <v>0</v>
      </c>
      <c r="K163" s="1399">
        <f t="shared" si="22"/>
        <v>0</v>
      </c>
      <c r="L163" s="1398">
        <f t="shared" si="23"/>
        <v>0</v>
      </c>
      <c r="M163" s="16" t="s">
        <v>2536</v>
      </c>
      <c r="N163" s="16" t="s">
        <v>2537</v>
      </c>
    </row>
    <row r="164" spans="1:23" x14ac:dyDescent="0.4">
      <c r="A164" s="1">
        <v>181786</v>
      </c>
      <c r="B164" s="1710">
        <v>45</v>
      </c>
      <c r="C164" s="1">
        <f t="shared" si="20"/>
        <v>225</v>
      </c>
      <c r="D164" s="1710">
        <v>0</v>
      </c>
      <c r="E164" s="1710">
        <v>0</v>
      </c>
      <c r="F164" s="1710">
        <v>0</v>
      </c>
      <c r="G164" s="1710">
        <v>0</v>
      </c>
      <c r="H164" s="1710">
        <v>1</v>
      </c>
      <c r="I164" s="1710">
        <v>1</v>
      </c>
      <c r="J164" s="1711">
        <f t="shared" si="21"/>
        <v>2</v>
      </c>
      <c r="K164" s="1711">
        <f t="shared" si="22"/>
        <v>1</v>
      </c>
      <c r="L164" s="1710">
        <f t="shared" si="23"/>
        <v>45</v>
      </c>
      <c r="M164" s="1" t="s">
        <v>2538</v>
      </c>
      <c r="N164" s="1" t="s">
        <v>2539</v>
      </c>
    </row>
    <row r="165" spans="1:23" x14ac:dyDescent="0.4">
      <c r="A165" s="16">
        <v>181787</v>
      </c>
      <c r="B165" s="1242">
        <v>45</v>
      </c>
      <c r="C165" s="16">
        <f t="shared" si="20"/>
        <v>225</v>
      </c>
      <c r="D165" s="1242">
        <v>0</v>
      </c>
      <c r="E165" s="1242">
        <v>0</v>
      </c>
      <c r="F165" s="1242">
        <v>0</v>
      </c>
      <c r="G165" s="1242">
        <v>0</v>
      </c>
      <c r="H165" s="1242">
        <v>0</v>
      </c>
      <c r="I165" s="1242">
        <v>0</v>
      </c>
      <c r="J165" s="1243">
        <f t="shared" si="21"/>
        <v>0</v>
      </c>
      <c r="K165" s="1243">
        <f t="shared" si="22"/>
        <v>0</v>
      </c>
      <c r="L165" s="1242">
        <f t="shared" si="23"/>
        <v>0</v>
      </c>
      <c r="M165" s="16" t="s">
        <v>2540</v>
      </c>
      <c r="N165" s="16" t="s">
        <v>2541</v>
      </c>
    </row>
    <row r="166" spans="1:23" x14ac:dyDescent="0.4">
      <c r="A166" s="16">
        <v>181788</v>
      </c>
      <c r="B166" s="1242">
        <v>60</v>
      </c>
      <c r="C166" s="16">
        <v>300</v>
      </c>
      <c r="D166" s="1242">
        <v>0</v>
      </c>
      <c r="E166" s="1242">
        <v>0</v>
      </c>
      <c r="F166" s="1242">
        <v>0</v>
      </c>
      <c r="G166" s="1242">
        <v>0</v>
      </c>
      <c r="H166" s="1242">
        <v>0</v>
      </c>
      <c r="I166" s="1242">
        <v>0</v>
      </c>
      <c r="J166" s="1243">
        <f t="shared" si="21"/>
        <v>0</v>
      </c>
      <c r="K166" s="1243">
        <f t="shared" si="22"/>
        <v>0</v>
      </c>
      <c r="L166" s="1242">
        <f t="shared" si="23"/>
        <v>0</v>
      </c>
      <c r="M166" s="16" t="s">
        <v>2540</v>
      </c>
      <c r="N166" s="16" t="s">
        <v>2541</v>
      </c>
    </row>
    <row r="167" spans="1:23" x14ac:dyDescent="0.4">
      <c r="A167" s="16">
        <v>181789</v>
      </c>
      <c r="B167" s="1252">
        <v>60</v>
      </c>
      <c r="C167" s="16">
        <f t="shared" si="20"/>
        <v>300</v>
      </c>
      <c r="D167" s="1252">
        <v>0</v>
      </c>
      <c r="E167" s="1252">
        <v>0</v>
      </c>
      <c r="F167" s="1252">
        <v>0</v>
      </c>
      <c r="G167" s="1252">
        <v>0</v>
      </c>
      <c r="H167" s="1252">
        <v>0</v>
      </c>
      <c r="I167" s="1252">
        <v>0</v>
      </c>
      <c r="J167" s="1254">
        <f t="shared" si="21"/>
        <v>0</v>
      </c>
      <c r="K167" s="1254">
        <f t="shared" si="22"/>
        <v>0</v>
      </c>
      <c r="L167" s="1252">
        <f t="shared" si="23"/>
        <v>0</v>
      </c>
      <c r="M167" s="16" t="s">
        <v>2540</v>
      </c>
      <c r="N167" s="16" t="s">
        <v>2541</v>
      </c>
    </row>
    <row r="168" spans="1:23" x14ac:dyDescent="0.4">
      <c r="A168" s="1">
        <v>181790</v>
      </c>
      <c r="B168" s="1710">
        <v>60</v>
      </c>
      <c r="C168" s="1">
        <f t="shared" si="20"/>
        <v>300</v>
      </c>
      <c r="D168" s="1710">
        <v>0</v>
      </c>
      <c r="E168" s="1710">
        <v>0</v>
      </c>
      <c r="F168" s="1710">
        <v>1</v>
      </c>
      <c r="G168" s="1710">
        <v>1</v>
      </c>
      <c r="H168" s="1710">
        <v>1</v>
      </c>
      <c r="I168" s="1710">
        <v>1</v>
      </c>
      <c r="J168" s="1711">
        <f t="shared" si="21"/>
        <v>4</v>
      </c>
      <c r="K168" s="1711">
        <f t="shared" si="22"/>
        <v>3</v>
      </c>
      <c r="L168" s="1710">
        <f t="shared" si="23"/>
        <v>180</v>
      </c>
      <c r="M168" s="1" t="s">
        <v>2542</v>
      </c>
      <c r="N168" s="1" t="s">
        <v>2543</v>
      </c>
    </row>
    <row r="169" spans="1:23" x14ac:dyDescent="0.4">
      <c r="A169" s="1">
        <v>181791</v>
      </c>
      <c r="B169" s="1710">
        <v>60</v>
      </c>
      <c r="C169" s="1">
        <f t="shared" si="20"/>
        <v>300</v>
      </c>
      <c r="D169" s="1710">
        <v>0</v>
      </c>
      <c r="E169" s="1710">
        <v>0</v>
      </c>
      <c r="F169" s="1710">
        <v>0</v>
      </c>
      <c r="G169" s="1710">
        <v>0</v>
      </c>
      <c r="H169" s="1710">
        <v>0</v>
      </c>
      <c r="I169" s="1710">
        <v>1</v>
      </c>
      <c r="J169" s="1711">
        <f t="shared" si="21"/>
        <v>1</v>
      </c>
      <c r="K169" s="1711">
        <f t="shared" si="22"/>
        <v>0</v>
      </c>
      <c r="L169" s="1710">
        <f t="shared" si="23"/>
        <v>0</v>
      </c>
      <c r="M169" s="1" t="s">
        <v>2544</v>
      </c>
      <c r="N169" s="1" t="s">
        <v>2545</v>
      </c>
    </row>
    <row r="170" spans="1:23" x14ac:dyDescent="0.4">
      <c r="A170" s="1">
        <v>181792</v>
      </c>
      <c r="B170" s="1710">
        <v>45</v>
      </c>
      <c r="C170" s="1">
        <f t="shared" si="20"/>
        <v>225</v>
      </c>
      <c r="D170" s="1710">
        <v>0</v>
      </c>
      <c r="E170" s="1710">
        <v>0</v>
      </c>
      <c r="F170" s="1710">
        <v>0</v>
      </c>
      <c r="G170" s="1710">
        <v>0</v>
      </c>
      <c r="H170" s="1710">
        <v>0</v>
      </c>
      <c r="I170" s="1710">
        <v>1</v>
      </c>
      <c r="J170" s="1711">
        <f t="shared" si="21"/>
        <v>1</v>
      </c>
      <c r="K170" s="1711">
        <f t="shared" si="22"/>
        <v>0</v>
      </c>
      <c r="L170" s="1710">
        <f t="shared" si="23"/>
        <v>0</v>
      </c>
      <c r="M170" s="1" t="s">
        <v>2546</v>
      </c>
      <c r="N170" s="1" t="s">
        <v>2547</v>
      </c>
    </row>
    <row r="171" spans="1:23" x14ac:dyDescent="0.4">
      <c r="A171" s="1">
        <v>181793</v>
      </c>
      <c r="B171" s="1710">
        <v>60</v>
      </c>
      <c r="C171" s="1">
        <f t="shared" si="20"/>
        <v>300</v>
      </c>
      <c r="D171" s="1710">
        <v>0</v>
      </c>
      <c r="E171" s="1710">
        <v>0</v>
      </c>
      <c r="F171" s="1710">
        <v>1</v>
      </c>
      <c r="G171" s="1710">
        <v>1</v>
      </c>
      <c r="H171" s="1710">
        <v>1</v>
      </c>
      <c r="I171" s="1710">
        <v>1</v>
      </c>
      <c r="J171" s="1711">
        <f t="shared" si="21"/>
        <v>4</v>
      </c>
      <c r="K171" s="1711">
        <f t="shared" si="22"/>
        <v>3</v>
      </c>
      <c r="L171" s="1710">
        <f t="shared" si="23"/>
        <v>180</v>
      </c>
      <c r="M171" s="1" t="s">
        <v>2546</v>
      </c>
      <c r="N171" s="1" t="s">
        <v>2547</v>
      </c>
    </row>
    <row r="172" spans="1:23" x14ac:dyDescent="0.4">
      <c r="A172" s="1">
        <v>181794</v>
      </c>
      <c r="B172" s="1710">
        <v>60</v>
      </c>
      <c r="C172" s="1">
        <f t="shared" si="20"/>
        <v>300</v>
      </c>
      <c r="D172" s="1710">
        <v>0</v>
      </c>
      <c r="E172" s="1710">
        <v>0</v>
      </c>
      <c r="F172" s="1710">
        <v>0</v>
      </c>
      <c r="G172" s="1710">
        <v>0</v>
      </c>
      <c r="H172" s="1710">
        <v>0</v>
      </c>
      <c r="I172" s="1710">
        <v>1</v>
      </c>
      <c r="J172" s="1711">
        <f t="shared" si="21"/>
        <v>1</v>
      </c>
      <c r="K172" s="1711">
        <f t="shared" si="22"/>
        <v>0</v>
      </c>
      <c r="L172" s="1710">
        <f t="shared" si="23"/>
        <v>0</v>
      </c>
      <c r="M172" s="1" t="s">
        <v>2548</v>
      </c>
      <c r="N172" s="1" t="s">
        <v>2549</v>
      </c>
      <c r="Q172" s="1" t="s">
        <v>2555</v>
      </c>
      <c r="R172" s="1"/>
      <c r="S172" s="1" t="s">
        <v>2556</v>
      </c>
      <c r="T172" s="1"/>
    </row>
    <row r="173" spans="1:23" x14ac:dyDescent="0.4">
      <c r="A173" s="16">
        <v>181795</v>
      </c>
      <c r="B173" s="1167">
        <v>50</v>
      </c>
      <c r="C173" s="16">
        <f t="shared" si="20"/>
        <v>250</v>
      </c>
      <c r="D173" s="1167">
        <v>0</v>
      </c>
      <c r="E173" s="1167">
        <v>0</v>
      </c>
      <c r="F173" s="1167">
        <v>0</v>
      </c>
      <c r="G173" s="1167">
        <v>0</v>
      </c>
      <c r="H173" s="1167">
        <v>0</v>
      </c>
      <c r="I173" s="1167">
        <v>0</v>
      </c>
      <c r="J173" s="1168">
        <f t="shared" si="21"/>
        <v>0</v>
      </c>
      <c r="K173" s="1168">
        <f t="shared" si="22"/>
        <v>0</v>
      </c>
      <c r="L173" s="1167">
        <f t="shared" si="23"/>
        <v>0</v>
      </c>
      <c r="M173" s="16" t="s">
        <v>2548</v>
      </c>
      <c r="N173" s="16" t="s">
        <v>2549</v>
      </c>
      <c r="Q173" t="s">
        <v>2586</v>
      </c>
    </row>
    <row r="174" spans="1:23" x14ac:dyDescent="0.4">
      <c r="A174" s="16">
        <v>181796</v>
      </c>
      <c r="B174" s="1191">
        <v>50</v>
      </c>
      <c r="C174" s="16">
        <f t="shared" si="20"/>
        <v>250</v>
      </c>
      <c r="D174" s="1191">
        <v>0</v>
      </c>
      <c r="E174" s="1191">
        <v>0</v>
      </c>
      <c r="F174" s="1191">
        <v>0</v>
      </c>
      <c r="G174" s="1191">
        <v>0</v>
      </c>
      <c r="H174" s="1191">
        <v>0</v>
      </c>
      <c r="I174" s="1191">
        <v>0</v>
      </c>
      <c r="J174" s="1192">
        <f t="shared" si="21"/>
        <v>0</v>
      </c>
      <c r="K174" s="1192">
        <f t="shared" si="22"/>
        <v>0</v>
      </c>
      <c r="L174" s="1191">
        <f t="shared" si="23"/>
        <v>0</v>
      </c>
      <c r="M174" s="16" t="s">
        <v>2548</v>
      </c>
      <c r="N174" s="16" t="s">
        <v>2549</v>
      </c>
      <c r="W174" t="s">
        <v>2603</v>
      </c>
    </row>
    <row r="175" spans="1:23" x14ac:dyDescent="0.4">
      <c r="A175" s="16">
        <v>181797</v>
      </c>
      <c r="B175" s="1664">
        <v>45</v>
      </c>
      <c r="C175" s="16">
        <f t="shared" si="20"/>
        <v>225</v>
      </c>
      <c r="D175" s="1664">
        <v>0</v>
      </c>
      <c r="E175" s="1664">
        <v>0</v>
      </c>
      <c r="F175" s="1664">
        <v>0</v>
      </c>
      <c r="G175" s="1664">
        <v>0</v>
      </c>
      <c r="H175" s="1664">
        <v>0</v>
      </c>
      <c r="I175" s="1664">
        <v>0</v>
      </c>
      <c r="J175" s="1665">
        <f t="shared" si="21"/>
        <v>0</v>
      </c>
      <c r="K175" s="1665">
        <f t="shared" si="22"/>
        <v>0</v>
      </c>
      <c r="L175" s="1664">
        <f t="shared" si="23"/>
        <v>0</v>
      </c>
      <c r="M175" s="16" t="s">
        <v>2658</v>
      </c>
      <c r="N175" s="16" t="s">
        <v>2659</v>
      </c>
      <c r="O175" s="36"/>
      <c r="P175" s="36"/>
      <c r="Q175" s="842" t="s">
        <v>2560</v>
      </c>
      <c r="R175" s="845">
        <v>43248</v>
      </c>
      <c r="S175" s="846" t="s">
        <v>2570</v>
      </c>
      <c r="T175" s="847">
        <v>225</v>
      </c>
      <c r="U175" s="846" t="s">
        <v>2571</v>
      </c>
      <c r="V175" s="846"/>
      <c r="W175" t="s">
        <v>2604</v>
      </c>
    </row>
    <row r="176" spans="1:23" x14ac:dyDescent="0.4">
      <c r="A176" s="16">
        <v>181798</v>
      </c>
      <c r="B176" s="1503">
        <v>60</v>
      </c>
      <c r="C176" s="16">
        <f t="shared" si="20"/>
        <v>300</v>
      </c>
      <c r="D176" s="1503">
        <v>0</v>
      </c>
      <c r="E176" s="1503">
        <v>0</v>
      </c>
      <c r="F176" s="1503">
        <v>0</v>
      </c>
      <c r="G176" s="1503">
        <v>0</v>
      </c>
      <c r="H176" s="1503">
        <v>0</v>
      </c>
      <c r="I176" s="1503">
        <v>0</v>
      </c>
      <c r="J176" s="1504">
        <f t="shared" si="21"/>
        <v>0</v>
      </c>
      <c r="K176" s="1504">
        <f t="shared" si="22"/>
        <v>0</v>
      </c>
      <c r="L176" s="1503">
        <f t="shared" si="23"/>
        <v>0</v>
      </c>
      <c r="M176" s="16" t="s">
        <v>2553</v>
      </c>
      <c r="N176" s="16" t="s">
        <v>2554</v>
      </c>
      <c r="O176" s="36"/>
      <c r="P176" s="36"/>
      <c r="Q176" s="842" t="s">
        <v>2561</v>
      </c>
      <c r="W176" t="s">
        <v>2604</v>
      </c>
    </row>
    <row r="177" spans="1:25" x14ac:dyDescent="0.4">
      <c r="A177" s="16">
        <v>181799</v>
      </c>
      <c r="B177" s="1297">
        <v>60</v>
      </c>
      <c r="C177" s="16">
        <f t="shared" si="20"/>
        <v>300</v>
      </c>
      <c r="D177" s="1297">
        <v>0</v>
      </c>
      <c r="E177" s="1297">
        <v>0</v>
      </c>
      <c r="F177" s="1297">
        <v>0</v>
      </c>
      <c r="G177" s="1297">
        <v>0</v>
      </c>
      <c r="H177" s="1297">
        <v>0</v>
      </c>
      <c r="I177" s="1297">
        <v>0</v>
      </c>
      <c r="J177" s="1298">
        <f t="shared" si="21"/>
        <v>0</v>
      </c>
      <c r="K177" s="1298">
        <f t="shared" si="22"/>
        <v>0</v>
      </c>
      <c r="L177" s="1297">
        <f t="shared" si="23"/>
        <v>0</v>
      </c>
      <c r="M177" s="16" t="s">
        <v>2553</v>
      </c>
      <c r="N177" s="16" t="s">
        <v>2554</v>
      </c>
      <c r="O177" s="36"/>
      <c r="P177" s="36"/>
      <c r="Q177" s="842" t="s">
        <v>2562</v>
      </c>
      <c r="R177" s="845">
        <v>43249</v>
      </c>
      <c r="S177" s="846" t="s">
        <v>2572</v>
      </c>
      <c r="T177" s="847">
        <v>300</v>
      </c>
      <c r="U177" s="846" t="s">
        <v>2571</v>
      </c>
      <c r="V177" s="846"/>
      <c r="W177" t="s">
        <v>2604</v>
      </c>
    </row>
    <row r="178" spans="1:25" x14ac:dyDescent="0.4">
      <c r="A178" s="16">
        <v>181800</v>
      </c>
      <c r="B178" s="1100">
        <v>45</v>
      </c>
      <c r="C178" s="16">
        <f t="shared" ref="C178:C236" si="24">SUM(B178*5)</f>
        <v>225</v>
      </c>
      <c r="D178" s="1100">
        <v>0</v>
      </c>
      <c r="E178" s="1100">
        <v>0</v>
      </c>
      <c r="F178" s="1100">
        <v>0</v>
      </c>
      <c r="G178" s="1100">
        <v>0</v>
      </c>
      <c r="H178" s="1100">
        <v>0</v>
      </c>
      <c r="I178" s="1100">
        <v>0</v>
      </c>
      <c r="J178" s="1102">
        <f t="shared" ref="J178:J236" si="25">SUM(D178:I178)</f>
        <v>0</v>
      </c>
      <c r="K178" s="1102">
        <f t="shared" ref="K178:K236" si="26">SUM(D178:H178)</f>
        <v>0</v>
      </c>
      <c r="L178" s="1100">
        <f t="shared" ref="L178:L236" si="27">B178*K178</f>
        <v>0</v>
      </c>
      <c r="M178" s="16" t="s">
        <v>2660</v>
      </c>
      <c r="N178" s="16" t="s">
        <v>2661</v>
      </c>
      <c r="O178" s="36"/>
      <c r="P178" s="36"/>
      <c r="Q178" s="842" t="s">
        <v>2563</v>
      </c>
      <c r="R178" s="853">
        <v>43251</v>
      </c>
      <c r="S178" s="123" t="s">
        <v>2573</v>
      </c>
      <c r="T178" s="854">
        <v>270</v>
      </c>
      <c r="U178" s="123" t="s">
        <v>2571</v>
      </c>
      <c r="V178" s="123"/>
      <c r="W178" t="s">
        <v>2604</v>
      </c>
    </row>
    <row r="179" spans="1:25" x14ac:dyDescent="0.4">
      <c r="A179" s="16">
        <v>181801</v>
      </c>
      <c r="B179" s="1122">
        <v>45</v>
      </c>
      <c r="C179" s="16">
        <f t="shared" si="24"/>
        <v>225</v>
      </c>
      <c r="D179" s="1122">
        <v>0</v>
      </c>
      <c r="E179" s="1122">
        <v>0</v>
      </c>
      <c r="F179" s="1122">
        <v>0</v>
      </c>
      <c r="G179" s="1122">
        <v>0</v>
      </c>
      <c r="H179" s="1122">
        <v>0</v>
      </c>
      <c r="I179" s="1122">
        <v>0</v>
      </c>
      <c r="J179" s="1123">
        <f t="shared" si="25"/>
        <v>0</v>
      </c>
      <c r="K179" s="1123">
        <f t="shared" si="26"/>
        <v>0</v>
      </c>
      <c r="L179" s="1122">
        <f t="shared" si="27"/>
        <v>0</v>
      </c>
      <c r="M179" s="16" t="s">
        <v>2551</v>
      </c>
      <c r="N179" s="16" t="s">
        <v>2552</v>
      </c>
      <c r="O179" s="36"/>
      <c r="P179" s="36"/>
      <c r="Q179" s="842" t="s">
        <v>2564</v>
      </c>
      <c r="W179" t="s">
        <v>2604</v>
      </c>
    </row>
    <row r="180" spans="1:25" x14ac:dyDescent="0.4">
      <c r="A180" s="16">
        <v>181802</v>
      </c>
      <c r="B180" s="970">
        <v>0</v>
      </c>
      <c r="C180" s="16">
        <f t="shared" si="24"/>
        <v>0</v>
      </c>
      <c r="D180" s="970">
        <v>0</v>
      </c>
      <c r="E180" s="970">
        <v>0</v>
      </c>
      <c r="F180" s="970">
        <v>0</v>
      </c>
      <c r="G180" s="970">
        <v>0</v>
      </c>
      <c r="H180" s="970">
        <v>0</v>
      </c>
      <c r="I180" s="970">
        <v>0</v>
      </c>
      <c r="J180" s="971">
        <f t="shared" si="25"/>
        <v>0</v>
      </c>
      <c r="K180" s="971">
        <f t="shared" si="26"/>
        <v>0</v>
      </c>
      <c r="L180" s="970">
        <f t="shared" si="27"/>
        <v>0</v>
      </c>
      <c r="M180" s="16" t="s">
        <v>2584</v>
      </c>
      <c r="N180" s="16" t="s">
        <v>2585</v>
      </c>
      <c r="O180" s="36"/>
      <c r="P180" s="36"/>
      <c r="Q180" s="842" t="s">
        <v>2565</v>
      </c>
      <c r="R180" s="850"/>
      <c r="S180" s="851"/>
      <c r="T180" s="852"/>
      <c r="U180" s="851"/>
      <c r="V180" s="851"/>
      <c r="W180" t="s">
        <v>2604</v>
      </c>
    </row>
    <row r="181" spans="1:25" x14ac:dyDescent="0.4">
      <c r="A181" s="16">
        <v>181803</v>
      </c>
      <c r="B181" s="1058">
        <v>60</v>
      </c>
      <c r="C181" s="16">
        <f t="shared" si="24"/>
        <v>300</v>
      </c>
      <c r="D181" s="1058">
        <v>0</v>
      </c>
      <c r="E181" s="1058">
        <v>0</v>
      </c>
      <c r="F181" s="1058">
        <v>0</v>
      </c>
      <c r="G181" s="1058">
        <v>0</v>
      </c>
      <c r="H181" s="1058">
        <v>0</v>
      </c>
      <c r="I181" s="1058">
        <v>0</v>
      </c>
      <c r="J181" s="1059">
        <f t="shared" si="25"/>
        <v>0</v>
      </c>
      <c r="K181" s="1059">
        <f t="shared" si="26"/>
        <v>0</v>
      </c>
      <c r="L181" s="1058">
        <f t="shared" si="27"/>
        <v>0</v>
      </c>
      <c r="M181" s="16" t="s">
        <v>2584</v>
      </c>
      <c r="N181" s="16" t="s">
        <v>2585</v>
      </c>
      <c r="O181" s="36"/>
      <c r="P181" s="36"/>
      <c r="Q181" s="842" t="s">
        <v>2566</v>
      </c>
      <c r="R181" s="874">
        <v>43254</v>
      </c>
      <c r="S181" s="875" t="s">
        <v>2574</v>
      </c>
      <c r="T181" s="876">
        <v>300</v>
      </c>
      <c r="U181" s="875" t="s">
        <v>2609</v>
      </c>
      <c r="V181" s="875"/>
      <c r="W181" t="s">
        <v>2604</v>
      </c>
    </row>
    <row r="182" spans="1:25" x14ac:dyDescent="0.4">
      <c r="A182" s="16">
        <v>181804</v>
      </c>
      <c r="B182" s="1058">
        <v>45</v>
      </c>
      <c r="C182" s="16">
        <f t="shared" si="24"/>
        <v>225</v>
      </c>
      <c r="D182" s="1058">
        <v>0</v>
      </c>
      <c r="E182" s="1058">
        <v>0</v>
      </c>
      <c r="F182" s="1058">
        <v>0</v>
      </c>
      <c r="G182" s="1058">
        <v>0</v>
      </c>
      <c r="H182" s="1058">
        <v>0</v>
      </c>
      <c r="I182" s="1058">
        <v>0</v>
      </c>
      <c r="J182" s="1059">
        <f t="shared" si="25"/>
        <v>0</v>
      </c>
      <c r="K182" s="1059">
        <f t="shared" si="26"/>
        <v>0</v>
      </c>
      <c r="L182" s="1058">
        <f t="shared" si="27"/>
        <v>0</v>
      </c>
      <c r="M182" s="16" t="s">
        <v>2584</v>
      </c>
      <c r="N182" s="16" t="s">
        <v>2585</v>
      </c>
      <c r="O182" s="36"/>
      <c r="P182" s="36"/>
      <c r="Q182" s="862"/>
      <c r="R182" s="864">
        <v>43254</v>
      </c>
      <c r="S182" s="865" t="s">
        <v>2575</v>
      </c>
      <c r="T182" s="866">
        <v>225</v>
      </c>
      <c r="U182" s="865" t="s">
        <v>2571</v>
      </c>
      <c r="V182" s="865"/>
      <c r="W182" t="s">
        <v>2604</v>
      </c>
    </row>
    <row r="183" spans="1:25" x14ac:dyDescent="0.4">
      <c r="A183" s="1">
        <v>181805</v>
      </c>
      <c r="B183" s="1764">
        <v>45</v>
      </c>
      <c r="C183" s="1">
        <f t="shared" si="24"/>
        <v>225</v>
      </c>
      <c r="D183" s="1764">
        <v>0</v>
      </c>
      <c r="E183" s="1764">
        <v>0</v>
      </c>
      <c r="F183" s="1764">
        <v>0</v>
      </c>
      <c r="G183" s="1764">
        <v>1</v>
      </c>
      <c r="H183" s="1764">
        <v>1</v>
      </c>
      <c r="I183" s="1764">
        <v>1</v>
      </c>
      <c r="J183" s="1765">
        <f t="shared" si="25"/>
        <v>3</v>
      </c>
      <c r="K183" s="1765">
        <f t="shared" si="26"/>
        <v>2</v>
      </c>
      <c r="L183" s="1764">
        <f t="shared" si="27"/>
        <v>90</v>
      </c>
      <c r="M183" s="1" t="s">
        <v>2670</v>
      </c>
      <c r="N183" s="1" t="s">
        <v>2671</v>
      </c>
      <c r="O183" s="36"/>
      <c r="P183" s="36"/>
      <c r="Q183" s="842" t="s">
        <v>2567</v>
      </c>
      <c r="R183" s="2055">
        <v>43264</v>
      </c>
      <c r="S183" s="2054" t="s">
        <v>2576</v>
      </c>
      <c r="T183" s="2056">
        <v>900</v>
      </c>
      <c r="U183" s="2054" t="s">
        <v>2571</v>
      </c>
      <c r="V183" s="2054"/>
      <c r="W183" t="s">
        <v>2604</v>
      </c>
    </row>
    <row r="184" spans="1:25" x14ac:dyDescent="0.4">
      <c r="A184" s="16">
        <v>181806</v>
      </c>
      <c r="B184" s="1225">
        <v>45</v>
      </c>
      <c r="C184" s="16">
        <f t="shared" si="24"/>
        <v>225</v>
      </c>
      <c r="D184" s="1225">
        <v>0</v>
      </c>
      <c r="E184" s="1225">
        <v>0</v>
      </c>
      <c r="F184" s="1225">
        <v>0</v>
      </c>
      <c r="G184" s="1225">
        <v>0</v>
      </c>
      <c r="H184" s="1225">
        <v>0</v>
      </c>
      <c r="I184" s="1225">
        <v>0</v>
      </c>
      <c r="J184" s="1226">
        <f t="shared" si="25"/>
        <v>0</v>
      </c>
      <c r="K184" s="1226">
        <f t="shared" si="26"/>
        <v>0</v>
      </c>
      <c r="L184" s="1225">
        <f t="shared" si="27"/>
        <v>0</v>
      </c>
      <c r="M184" s="16" t="s">
        <v>2670</v>
      </c>
      <c r="N184" s="16" t="s">
        <v>2671</v>
      </c>
      <c r="O184" s="36"/>
      <c r="P184" s="36"/>
      <c r="Q184" s="842" t="s">
        <v>2568</v>
      </c>
      <c r="R184" s="2055"/>
      <c r="S184" s="2054"/>
      <c r="T184" s="2056"/>
      <c r="U184" s="2054"/>
      <c r="V184" s="2054"/>
      <c r="W184" t="s">
        <v>2604</v>
      </c>
      <c r="X184" t="s">
        <v>2577</v>
      </c>
      <c r="Y184" t="s">
        <v>2598</v>
      </c>
    </row>
    <row r="185" spans="1:25" x14ac:dyDescent="0.4">
      <c r="A185" s="1">
        <v>181807</v>
      </c>
      <c r="B185" s="1764">
        <v>60</v>
      </c>
      <c r="C185" s="1">
        <f t="shared" si="24"/>
        <v>300</v>
      </c>
      <c r="D185" s="1764">
        <v>0</v>
      </c>
      <c r="E185" s="1764">
        <v>0</v>
      </c>
      <c r="F185" s="1764">
        <v>0</v>
      </c>
      <c r="G185" s="1764">
        <v>1</v>
      </c>
      <c r="H185" s="1764">
        <v>1</v>
      </c>
      <c r="I185" s="1764">
        <v>1</v>
      </c>
      <c r="J185" s="1765">
        <f t="shared" si="25"/>
        <v>3</v>
      </c>
      <c r="K185" s="1765">
        <f t="shared" si="26"/>
        <v>2</v>
      </c>
      <c r="L185" s="1764">
        <f t="shared" si="27"/>
        <v>120</v>
      </c>
      <c r="M185" s="1" t="s">
        <v>2670</v>
      </c>
      <c r="N185" s="1" t="s">
        <v>2671</v>
      </c>
      <c r="O185" s="36" t="s">
        <v>2825</v>
      </c>
      <c r="P185" s="36"/>
      <c r="Q185" s="842" t="s">
        <v>2567</v>
      </c>
      <c r="R185" s="2055"/>
      <c r="S185" s="2054"/>
      <c r="T185" s="2056"/>
      <c r="U185" s="2054"/>
      <c r="V185" s="2054"/>
      <c r="W185" t="s">
        <v>2604</v>
      </c>
    </row>
    <row r="186" spans="1:25" x14ac:dyDescent="0.4">
      <c r="A186" s="1">
        <v>181808</v>
      </c>
      <c r="B186" s="1764">
        <v>45</v>
      </c>
      <c r="C186" s="1">
        <f t="shared" si="24"/>
        <v>225</v>
      </c>
      <c r="D186" s="1764">
        <v>0</v>
      </c>
      <c r="E186" s="1764">
        <v>1</v>
      </c>
      <c r="F186" s="1764">
        <v>1</v>
      </c>
      <c r="G186" s="1764">
        <v>1</v>
      </c>
      <c r="H186" s="1764">
        <v>1</v>
      </c>
      <c r="I186" s="1764">
        <v>1</v>
      </c>
      <c r="J186" s="1765">
        <f t="shared" si="25"/>
        <v>5</v>
      </c>
      <c r="K186" s="1765">
        <f t="shared" si="26"/>
        <v>4</v>
      </c>
      <c r="L186" s="1764">
        <f t="shared" si="27"/>
        <v>180</v>
      </c>
      <c r="M186" s="1" t="s">
        <v>2670</v>
      </c>
      <c r="N186" s="1" t="s">
        <v>2671</v>
      </c>
      <c r="O186" s="36"/>
      <c r="P186" s="36"/>
      <c r="Q186" s="842" t="s">
        <v>2569</v>
      </c>
      <c r="R186" s="2055"/>
      <c r="S186" s="2054"/>
      <c r="T186" s="2056"/>
      <c r="U186" s="2054"/>
      <c r="V186" s="2054"/>
      <c r="W186" t="s">
        <v>2604</v>
      </c>
    </row>
    <row r="187" spans="1:25" x14ac:dyDescent="0.4">
      <c r="A187" s="16">
        <v>181809</v>
      </c>
      <c r="B187" s="1100">
        <v>50</v>
      </c>
      <c r="C187" s="16">
        <f t="shared" si="24"/>
        <v>250</v>
      </c>
      <c r="D187" s="1100">
        <v>0</v>
      </c>
      <c r="E187" s="1100">
        <v>0</v>
      </c>
      <c r="F187" s="1100">
        <v>0</v>
      </c>
      <c r="G187" s="1100">
        <v>0</v>
      </c>
      <c r="H187" s="1100">
        <v>0</v>
      </c>
      <c r="I187" s="1100">
        <v>0</v>
      </c>
      <c r="J187" s="1102">
        <f t="shared" si="25"/>
        <v>0</v>
      </c>
      <c r="K187" s="1102">
        <f t="shared" si="26"/>
        <v>0</v>
      </c>
      <c r="L187" s="1100">
        <f t="shared" si="27"/>
        <v>0</v>
      </c>
      <c r="M187" s="16" t="s">
        <v>2557</v>
      </c>
      <c r="N187" s="16" t="s">
        <v>2558</v>
      </c>
      <c r="O187" s="36"/>
      <c r="P187" s="36"/>
      <c r="Q187" s="842"/>
      <c r="W187" t="s">
        <v>2604</v>
      </c>
    </row>
    <row r="188" spans="1:25" x14ac:dyDescent="0.4">
      <c r="A188" s="1">
        <v>181810</v>
      </c>
      <c r="B188" s="1764">
        <v>45</v>
      </c>
      <c r="C188" s="1">
        <f t="shared" si="24"/>
        <v>225</v>
      </c>
      <c r="D188" s="1764">
        <v>0</v>
      </c>
      <c r="E188" s="1764">
        <v>0</v>
      </c>
      <c r="F188" s="1764">
        <v>0</v>
      </c>
      <c r="G188" s="1764">
        <v>0</v>
      </c>
      <c r="H188" s="1764">
        <v>1</v>
      </c>
      <c r="I188" s="1764">
        <v>1</v>
      </c>
      <c r="J188" s="1765">
        <f t="shared" si="25"/>
        <v>2</v>
      </c>
      <c r="K188" s="1765">
        <f t="shared" si="26"/>
        <v>1</v>
      </c>
      <c r="L188" s="1764">
        <f t="shared" si="27"/>
        <v>45</v>
      </c>
      <c r="M188" s="1" t="s">
        <v>2557</v>
      </c>
      <c r="N188" s="1" t="s">
        <v>2558</v>
      </c>
      <c r="O188" s="36"/>
      <c r="P188" s="36"/>
      <c r="Q188" s="842"/>
      <c r="R188" s="845">
        <v>43265</v>
      </c>
      <c r="S188" s="846" t="s">
        <v>2578</v>
      </c>
      <c r="T188" s="847">
        <v>225</v>
      </c>
      <c r="U188" s="846" t="s">
        <v>2571</v>
      </c>
      <c r="V188" s="846"/>
      <c r="W188" t="s">
        <v>2604</v>
      </c>
    </row>
    <row r="189" spans="1:25" x14ac:dyDescent="0.4">
      <c r="A189" s="1">
        <v>181811</v>
      </c>
      <c r="B189" s="1764">
        <v>50</v>
      </c>
      <c r="C189" s="1">
        <f t="shared" si="24"/>
        <v>250</v>
      </c>
      <c r="D189" s="1764">
        <v>0</v>
      </c>
      <c r="E189" s="1764">
        <v>0</v>
      </c>
      <c r="F189" s="1764">
        <v>0</v>
      </c>
      <c r="G189" s="1764">
        <v>0</v>
      </c>
      <c r="H189" s="1764">
        <v>0</v>
      </c>
      <c r="I189" s="1764">
        <v>1</v>
      </c>
      <c r="J189" s="1765">
        <f t="shared" si="25"/>
        <v>1</v>
      </c>
      <c r="K189" s="1765">
        <f t="shared" si="26"/>
        <v>0</v>
      </c>
      <c r="L189" s="1764">
        <f t="shared" si="27"/>
        <v>0</v>
      </c>
      <c r="M189" s="1" t="s">
        <v>2557</v>
      </c>
      <c r="N189" s="1" t="s">
        <v>2558</v>
      </c>
      <c r="O189" s="36"/>
      <c r="P189" s="36"/>
      <c r="Q189" s="842"/>
      <c r="R189" s="845">
        <v>43265</v>
      </c>
      <c r="S189" s="846" t="s">
        <v>2579</v>
      </c>
      <c r="T189" s="847">
        <v>250</v>
      </c>
      <c r="U189" s="846" t="s">
        <v>2571</v>
      </c>
      <c r="V189" s="846"/>
      <c r="W189" t="s">
        <v>2604</v>
      </c>
    </row>
    <row r="190" spans="1:25" x14ac:dyDescent="0.4">
      <c r="A190" s="16">
        <v>181812</v>
      </c>
      <c r="B190" s="1140">
        <v>45</v>
      </c>
      <c r="C190" s="16">
        <f t="shared" si="24"/>
        <v>225</v>
      </c>
      <c r="D190" s="1140">
        <v>0</v>
      </c>
      <c r="E190" s="1140">
        <v>0</v>
      </c>
      <c r="F190" s="1140">
        <v>0</v>
      </c>
      <c r="G190" s="1140">
        <v>0</v>
      </c>
      <c r="H190" s="1140">
        <v>0</v>
      </c>
      <c r="I190" s="1140">
        <v>0</v>
      </c>
      <c r="J190" s="1141">
        <f t="shared" si="25"/>
        <v>0</v>
      </c>
      <c r="K190" s="1141">
        <f t="shared" si="26"/>
        <v>0</v>
      </c>
      <c r="L190" s="1140">
        <f t="shared" si="27"/>
        <v>0</v>
      </c>
      <c r="M190" s="16" t="s">
        <v>2668</v>
      </c>
      <c r="N190" s="16" t="s">
        <v>2669</v>
      </c>
      <c r="O190" s="36"/>
      <c r="P190" s="36"/>
      <c r="Q190" s="842"/>
      <c r="R190" s="845">
        <v>43266</v>
      </c>
      <c r="S190" s="846" t="s">
        <v>2580</v>
      </c>
      <c r="T190" s="847">
        <v>250</v>
      </c>
      <c r="U190" s="846" t="s">
        <v>2571</v>
      </c>
      <c r="V190" s="846"/>
      <c r="W190" t="s">
        <v>2604</v>
      </c>
    </row>
    <row r="191" spans="1:25" x14ac:dyDescent="0.4">
      <c r="A191" s="16">
        <v>181813</v>
      </c>
      <c r="B191" s="1058">
        <v>45</v>
      </c>
      <c r="C191" s="16">
        <f t="shared" si="24"/>
        <v>225</v>
      </c>
      <c r="D191" s="1058">
        <v>0</v>
      </c>
      <c r="E191" s="1058">
        <v>0</v>
      </c>
      <c r="F191" s="1058">
        <v>0</v>
      </c>
      <c r="G191" s="1058">
        <v>0</v>
      </c>
      <c r="H191" s="1058">
        <v>0</v>
      </c>
      <c r="I191" s="1058">
        <v>0</v>
      </c>
      <c r="J191" s="1059">
        <f t="shared" si="25"/>
        <v>0</v>
      </c>
      <c r="K191" s="1059">
        <f t="shared" si="26"/>
        <v>0</v>
      </c>
      <c r="L191" s="1058">
        <f t="shared" si="27"/>
        <v>0</v>
      </c>
      <c r="M191" s="16" t="s">
        <v>2666</v>
      </c>
      <c r="N191" s="16" t="s">
        <v>2667</v>
      </c>
      <c r="O191" s="36"/>
      <c r="P191" s="36"/>
      <c r="Q191" s="842"/>
      <c r="R191" s="864">
        <v>43267</v>
      </c>
      <c r="S191" s="865" t="s">
        <v>2581</v>
      </c>
      <c r="T191" s="866">
        <v>225</v>
      </c>
      <c r="U191" s="865" t="s">
        <v>2571</v>
      </c>
      <c r="V191" s="865"/>
      <c r="W191" t="s">
        <v>2604</v>
      </c>
    </row>
    <row r="192" spans="1:25" x14ac:dyDescent="0.4">
      <c r="A192" s="16">
        <v>181814</v>
      </c>
      <c r="B192" s="1087">
        <v>60</v>
      </c>
      <c r="C192" s="16">
        <f t="shared" si="24"/>
        <v>300</v>
      </c>
      <c r="D192" s="1087">
        <v>0</v>
      </c>
      <c r="E192" s="1087">
        <v>0</v>
      </c>
      <c r="F192" s="1087">
        <v>0</v>
      </c>
      <c r="G192" s="1087">
        <v>0</v>
      </c>
      <c r="H192" s="1087">
        <v>0</v>
      </c>
      <c r="I192" s="1087">
        <v>0</v>
      </c>
      <c r="J192" s="1088">
        <f t="shared" si="25"/>
        <v>0</v>
      </c>
      <c r="K192" s="1088">
        <f t="shared" si="26"/>
        <v>0</v>
      </c>
      <c r="L192" s="1087">
        <f t="shared" si="27"/>
        <v>0</v>
      </c>
      <c r="M192" s="16" t="s">
        <v>2664</v>
      </c>
      <c r="N192" s="16" t="s">
        <v>2665</v>
      </c>
      <c r="O192" s="36"/>
      <c r="P192" s="36"/>
      <c r="Q192" s="868"/>
      <c r="R192" s="864">
        <v>43271</v>
      </c>
      <c r="S192" s="865" t="s">
        <v>2582</v>
      </c>
      <c r="T192" s="866">
        <v>300</v>
      </c>
      <c r="U192" s="865" t="s">
        <v>2571</v>
      </c>
      <c r="V192" s="865"/>
      <c r="W192" t="s">
        <v>2604</v>
      </c>
    </row>
    <row r="193" spans="1:27" x14ac:dyDescent="0.4">
      <c r="A193" s="1">
        <v>181815</v>
      </c>
      <c r="B193" s="1764">
        <v>60</v>
      </c>
      <c r="C193" s="1">
        <f t="shared" si="24"/>
        <v>300</v>
      </c>
      <c r="D193" s="1764">
        <v>1</v>
      </c>
      <c r="E193" s="1764">
        <v>1</v>
      </c>
      <c r="F193" s="1764">
        <v>1</v>
      </c>
      <c r="G193" s="1764">
        <v>1</v>
      </c>
      <c r="H193" s="1764">
        <v>1</v>
      </c>
      <c r="I193" s="1764">
        <v>1</v>
      </c>
      <c r="J193" s="1765">
        <f t="shared" si="25"/>
        <v>6</v>
      </c>
      <c r="K193" s="1765">
        <f t="shared" si="26"/>
        <v>5</v>
      </c>
      <c r="L193" s="1764">
        <f t="shared" si="27"/>
        <v>300</v>
      </c>
      <c r="M193" s="1" t="s">
        <v>2662</v>
      </c>
      <c r="N193" s="1" t="s">
        <v>2663</v>
      </c>
      <c r="O193" s="36"/>
      <c r="P193" s="36"/>
      <c r="Q193" s="36"/>
      <c r="R193" s="845">
        <v>43273</v>
      </c>
      <c r="S193" s="846" t="s">
        <v>2583</v>
      </c>
      <c r="T193" s="847">
        <v>300</v>
      </c>
      <c r="U193" s="846" t="s">
        <v>2571</v>
      </c>
      <c r="V193" s="846"/>
      <c r="W193" t="s">
        <v>2604</v>
      </c>
      <c r="X193" s="877" t="s">
        <v>2612</v>
      </c>
      <c r="Y193" s="56">
        <v>41473</v>
      </c>
      <c r="Z193" s="390"/>
      <c r="AA193" s="390"/>
    </row>
    <row r="194" spans="1:27" x14ac:dyDescent="0.4">
      <c r="A194" s="1">
        <v>181816</v>
      </c>
      <c r="B194" s="1764">
        <v>60</v>
      </c>
      <c r="C194" s="1">
        <f t="shared" si="24"/>
        <v>300</v>
      </c>
      <c r="D194" s="1764">
        <v>1</v>
      </c>
      <c r="E194" s="1764">
        <v>1</v>
      </c>
      <c r="F194" s="1764">
        <v>1</v>
      </c>
      <c r="G194" s="1764">
        <v>1</v>
      </c>
      <c r="H194" s="1764">
        <v>1</v>
      </c>
      <c r="I194" s="1764">
        <v>1</v>
      </c>
      <c r="J194" s="1765">
        <f t="shared" si="25"/>
        <v>6</v>
      </c>
      <c r="K194" s="1765">
        <f t="shared" si="26"/>
        <v>5</v>
      </c>
      <c r="L194" s="1764">
        <f t="shared" si="27"/>
        <v>300</v>
      </c>
      <c r="M194" s="1" t="s">
        <v>2587</v>
      </c>
      <c r="N194" s="1" t="s">
        <v>2588</v>
      </c>
    </row>
    <row r="195" spans="1:27" x14ac:dyDescent="0.4">
      <c r="A195" s="1">
        <v>181817</v>
      </c>
      <c r="B195" s="1764">
        <v>60</v>
      </c>
      <c r="C195" s="1">
        <f t="shared" si="24"/>
        <v>300</v>
      </c>
      <c r="D195" s="1764">
        <v>0</v>
      </c>
      <c r="E195" s="1764">
        <v>0</v>
      </c>
      <c r="F195" s="1764">
        <v>0</v>
      </c>
      <c r="G195" s="1764">
        <v>0</v>
      </c>
      <c r="H195" s="1764">
        <v>0</v>
      </c>
      <c r="I195" s="1764">
        <v>1</v>
      </c>
      <c r="J195" s="1765">
        <f t="shared" si="25"/>
        <v>1</v>
      </c>
      <c r="K195" s="1765">
        <f t="shared" si="26"/>
        <v>0</v>
      </c>
      <c r="L195" s="1764">
        <f t="shared" si="27"/>
        <v>0</v>
      </c>
      <c r="M195" s="1" t="s">
        <v>2587</v>
      </c>
      <c r="N195" s="1" t="s">
        <v>2588</v>
      </c>
    </row>
    <row r="196" spans="1:27" x14ac:dyDescent="0.4">
      <c r="A196" s="16">
        <v>181818</v>
      </c>
      <c r="B196" s="980">
        <v>60</v>
      </c>
      <c r="C196" s="16">
        <f t="shared" si="24"/>
        <v>300</v>
      </c>
      <c r="D196" s="980">
        <v>0</v>
      </c>
      <c r="E196" s="980">
        <v>0</v>
      </c>
      <c r="F196" s="980">
        <v>0</v>
      </c>
      <c r="G196" s="980">
        <v>0</v>
      </c>
      <c r="H196" s="980">
        <v>0</v>
      </c>
      <c r="I196" s="980">
        <v>0</v>
      </c>
      <c r="J196" s="981">
        <f t="shared" si="25"/>
        <v>0</v>
      </c>
      <c r="K196" s="981">
        <f t="shared" si="26"/>
        <v>0</v>
      </c>
      <c r="L196" s="980">
        <f t="shared" si="27"/>
        <v>0</v>
      </c>
      <c r="M196" s="16" t="s">
        <v>2587</v>
      </c>
      <c r="N196" s="16" t="s">
        <v>2588</v>
      </c>
    </row>
    <row r="197" spans="1:27" x14ac:dyDescent="0.4">
      <c r="A197" s="16">
        <v>181819</v>
      </c>
      <c r="B197" s="1738">
        <v>60</v>
      </c>
      <c r="C197" s="16">
        <f t="shared" si="24"/>
        <v>300</v>
      </c>
      <c r="D197" s="1738">
        <v>0</v>
      </c>
      <c r="E197" s="1738">
        <v>0</v>
      </c>
      <c r="F197" s="1738">
        <v>0</v>
      </c>
      <c r="G197" s="1738">
        <v>0</v>
      </c>
      <c r="H197" s="1738">
        <v>0</v>
      </c>
      <c r="I197" s="1738">
        <v>0</v>
      </c>
      <c r="J197" s="1739">
        <f t="shared" si="25"/>
        <v>0</v>
      </c>
      <c r="K197" s="1739">
        <f t="shared" si="26"/>
        <v>0</v>
      </c>
      <c r="L197" s="1738">
        <f t="shared" si="27"/>
        <v>0</v>
      </c>
      <c r="M197" s="16" t="s">
        <v>2587</v>
      </c>
      <c r="N197" s="16" t="s">
        <v>2588</v>
      </c>
    </row>
    <row r="198" spans="1:27" x14ac:dyDescent="0.4">
      <c r="A198" s="1">
        <v>181820</v>
      </c>
      <c r="B198" s="1764">
        <v>60</v>
      </c>
      <c r="C198" s="1">
        <f t="shared" si="24"/>
        <v>300</v>
      </c>
      <c r="D198" s="1764">
        <v>0</v>
      </c>
      <c r="E198" s="1764">
        <v>0</v>
      </c>
      <c r="F198" s="1764">
        <v>0</v>
      </c>
      <c r="G198" s="1764">
        <v>1</v>
      </c>
      <c r="H198" s="1764">
        <v>1</v>
      </c>
      <c r="I198" s="1764">
        <v>1</v>
      </c>
      <c r="J198" s="1765">
        <f t="shared" si="25"/>
        <v>3</v>
      </c>
      <c r="K198" s="1765">
        <f t="shared" si="26"/>
        <v>2</v>
      </c>
      <c r="L198" s="1764">
        <f t="shared" si="27"/>
        <v>120</v>
      </c>
      <c r="M198" s="1" t="s">
        <v>2589</v>
      </c>
      <c r="N198" s="1" t="s">
        <v>2590</v>
      </c>
    </row>
    <row r="199" spans="1:27" x14ac:dyDescent="0.4">
      <c r="A199" s="16">
        <v>181821</v>
      </c>
      <c r="B199" s="1087">
        <v>45</v>
      </c>
      <c r="C199" s="16">
        <f t="shared" si="24"/>
        <v>225</v>
      </c>
      <c r="D199" s="1087">
        <v>0</v>
      </c>
      <c r="E199" s="1087">
        <v>0</v>
      </c>
      <c r="F199" s="1087">
        <v>0</v>
      </c>
      <c r="G199" s="1087">
        <v>0</v>
      </c>
      <c r="H199" s="1087">
        <v>0</v>
      </c>
      <c r="I199" s="1087">
        <v>0</v>
      </c>
      <c r="J199" s="1088">
        <f t="shared" si="25"/>
        <v>0</v>
      </c>
      <c r="K199" s="1088">
        <f t="shared" si="26"/>
        <v>0</v>
      </c>
      <c r="L199" s="1087">
        <f t="shared" si="27"/>
        <v>0</v>
      </c>
      <c r="M199" s="16" t="s">
        <v>2591</v>
      </c>
      <c r="N199" s="16" t="s">
        <v>2592</v>
      </c>
    </row>
    <row r="200" spans="1:27" x14ac:dyDescent="0.4">
      <c r="A200" s="16">
        <v>181822</v>
      </c>
      <c r="B200" s="1218">
        <v>45</v>
      </c>
      <c r="C200" s="16">
        <f t="shared" si="24"/>
        <v>225</v>
      </c>
      <c r="D200" s="1218">
        <v>0</v>
      </c>
      <c r="E200" s="1218">
        <v>0</v>
      </c>
      <c r="F200" s="1218">
        <v>0</v>
      </c>
      <c r="G200" s="1218">
        <v>0</v>
      </c>
      <c r="H200" s="1218">
        <v>0</v>
      </c>
      <c r="I200" s="1218">
        <v>0</v>
      </c>
      <c r="J200" s="1219">
        <f t="shared" si="25"/>
        <v>0</v>
      </c>
      <c r="K200" s="1219">
        <f t="shared" si="26"/>
        <v>0</v>
      </c>
      <c r="L200" s="1218">
        <f t="shared" si="27"/>
        <v>0</v>
      </c>
      <c r="M200" s="16" t="s">
        <v>2593</v>
      </c>
      <c r="N200" s="16" t="s">
        <v>2594</v>
      </c>
    </row>
    <row r="201" spans="1:27" x14ac:dyDescent="0.4">
      <c r="A201" s="16">
        <v>181823</v>
      </c>
      <c r="B201" s="1218">
        <v>45</v>
      </c>
      <c r="C201" s="16">
        <f t="shared" si="24"/>
        <v>225</v>
      </c>
      <c r="D201" s="1218">
        <v>0</v>
      </c>
      <c r="E201" s="1218">
        <v>0</v>
      </c>
      <c r="F201" s="1218">
        <v>0</v>
      </c>
      <c r="G201" s="1218">
        <v>0</v>
      </c>
      <c r="H201" s="1218">
        <v>0</v>
      </c>
      <c r="I201" s="1218">
        <v>0</v>
      </c>
      <c r="J201" s="1219">
        <f t="shared" si="25"/>
        <v>0</v>
      </c>
      <c r="K201" s="1219">
        <f t="shared" si="26"/>
        <v>0</v>
      </c>
      <c r="L201" s="1218">
        <f t="shared" si="27"/>
        <v>0</v>
      </c>
      <c r="M201" s="16" t="s">
        <v>2595</v>
      </c>
      <c r="N201" s="16" t="s">
        <v>2596</v>
      </c>
    </row>
    <row r="202" spans="1:27" x14ac:dyDescent="0.4">
      <c r="A202" s="16">
        <v>181824</v>
      </c>
      <c r="B202" s="1252">
        <v>60</v>
      </c>
      <c r="C202" s="16">
        <f t="shared" si="24"/>
        <v>300</v>
      </c>
      <c r="D202" s="1252">
        <v>0</v>
      </c>
      <c r="E202" s="1252">
        <v>0</v>
      </c>
      <c r="F202" s="1252">
        <v>0</v>
      </c>
      <c r="G202" s="1252">
        <v>0</v>
      </c>
      <c r="H202" s="1252">
        <v>0</v>
      </c>
      <c r="I202" s="1252">
        <v>0</v>
      </c>
      <c r="J202" s="1254">
        <f t="shared" si="25"/>
        <v>0</v>
      </c>
      <c r="K202" s="1254">
        <f t="shared" si="26"/>
        <v>0</v>
      </c>
      <c r="L202" s="1252">
        <f t="shared" si="27"/>
        <v>0</v>
      </c>
      <c r="M202" s="16" t="s">
        <v>2595</v>
      </c>
      <c r="N202" s="16" t="s">
        <v>2596</v>
      </c>
    </row>
    <row r="203" spans="1:27" x14ac:dyDescent="0.4">
      <c r="A203" s="16">
        <v>181825</v>
      </c>
      <c r="B203" s="1146">
        <v>45</v>
      </c>
      <c r="C203" s="16">
        <f t="shared" si="24"/>
        <v>225</v>
      </c>
      <c r="D203" s="1146">
        <v>0</v>
      </c>
      <c r="E203" s="1146">
        <v>0</v>
      </c>
      <c r="F203" s="1146">
        <v>0</v>
      </c>
      <c r="G203" s="1146">
        <v>0</v>
      </c>
      <c r="H203" s="1146">
        <v>0</v>
      </c>
      <c r="I203" s="1146">
        <v>0</v>
      </c>
      <c r="J203" s="1147">
        <f t="shared" si="25"/>
        <v>0</v>
      </c>
      <c r="K203" s="1147">
        <f t="shared" si="26"/>
        <v>0</v>
      </c>
      <c r="L203" s="1146">
        <f t="shared" si="27"/>
        <v>0</v>
      </c>
      <c r="M203" s="16" t="s">
        <v>2599</v>
      </c>
      <c r="N203" s="16" t="s">
        <v>2600</v>
      </c>
    </row>
    <row r="204" spans="1:27" x14ac:dyDescent="0.4">
      <c r="A204" s="16">
        <v>181826</v>
      </c>
      <c r="B204" s="985">
        <v>50</v>
      </c>
      <c r="C204" s="16">
        <f t="shared" si="24"/>
        <v>250</v>
      </c>
      <c r="D204" s="985">
        <v>0</v>
      </c>
      <c r="E204" s="985">
        <v>0</v>
      </c>
      <c r="F204" s="985">
        <v>0</v>
      </c>
      <c r="G204" s="985">
        <v>0</v>
      </c>
      <c r="H204" s="985">
        <v>0</v>
      </c>
      <c r="I204" s="985">
        <v>0</v>
      </c>
      <c r="J204" s="986">
        <f t="shared" si="25"/>
        <v>0</v>
      </c>
      <c r="K204" s="986">
        <f t="shared" si="26"/>
        <v>0</v>
      </c>
      <c r="L204" s="985">
        <f t="shared" si="27"/>
        <v>0</v>
      </c>
      <c r="M204" s="16" t="s">
        <v>2601</v>
      </c>
      <c r="N204" s="16" t="s">
        <v>2602</v>
      </c>
    </row>
    <row r="205" spans="1:27" x14ac:dyDescent="0.4">
      <c r="A205" s="16">
        <v>181827</v>
      </c>
      <c r="B205" s="1206">
        <v>60</v>
      </c>
      <c r="C205" s="16">
        <f t="shared" si="24"/>
        <v>300</v>
      </c>
      <c r="D205" s="1206">
        <v>0</v>
      </c>
      <c r="E205" s="1206">
        <v>0</v>
      </c>
      <c r="F205" s="1206">
        <v>0</v>
      </c>
      <c r="G205" s="1206">
        <v>0</v>
      </c>
      <c r="H205" s="1206">
        <v>0</v>
      </c>
      <c r="I205" s="1206">
        <v>0</v>
      </c>
      <c r="J205" s="1208">
        <f t="shared" si="25"/>
        <v>0</v>
      </c>
      <c r="K205" s="1208">
        <f t="shared" si="26"/>
        <v>0</v>
      </c>
      <c r="L205" s="1206">
        <f t="shared" si="27"/>
        <v>0</v>
      </c>
      <c r="M205" s="16" t="s">
        <v>2601</v>
      </c>
      <c r="N205" s="16" t="s">
        <v>2602</v>
      </c>
    </row>
    <row r="206" spans="1:27" x14ac:dyDescent="0.4">
      <c r="A206" s="16">
        <v>181828</v>
      </c>
      <c r="B206" s="1058">
        <v>45</v>
      </c>
      <c r="C206" s="16">
        <f t="shared" si="24"/>
        <v>225</v>
      </c>
      <c r="D206" s="1058">
        <v>0</v>
      </c>
      <c r="E206" s="1058">
        <v>0</v>
      </c>
      <c r="F206" s="1058">
        <v>0</v>
      </c>
      <c r="G206" s="1058">
        <v>0</v>
      </c>
      <c r="H206" s="1058">
        <v>0</v>
      </c>
      <c r="I206" s="1058">
        <v>0</v>
      </c>
      <c r="J206" s="1059">
        <f t="shared" si="25"/>
        <v>0</v>
      </c>
      <c r="K206" s="1059">
        <f t="shared" si="26"/>
        <v>0</v>
      </c>
      <c r="L206" s="1058">
        <f t="shared" si="27"/>
        <v>0</v>
      </c>
      <c r="M206" s="16" t="s">
        <v>2605</v>
      </c>
      <c r="N206" s="16" t="s">
        <v>2606</v>
      </c>
    </row>
    <row r="207" spans="1:27" x14ac:dyDescent="0.4">
      <c r="A207" s="1">
        <v>181829</v>
      </c>
      <c r="B207" s="1801">
        <v>45</v>
      </c>
      <c r="C207" s="1">
        <f t="shared" si="24"/>
        <v>225</v>
      </c>
      <c r="D207" s="1801">
        <v>0</v>
      </c>
      <c r="E207" s="1801">
        <v>0</v>
      </c>
      <c r="F207" s="1801">
        <v>0</v>
      </c>
      <c r="G207" s="1801">
        <v>0</v>
      </c>
      <c r="H207" s="1801">
        <v>0</v>
      </c>
      <c r="I207" s="1801">
        <v>1</v>
      </c>
      <c r="J207" s="1804">
        <f t="shared" si="25"/>
        <v>1</v>
      </c>
      <c r="K207" s="1804">
        <f t="shared" si="26"/>
        <v>0</v>
      </c>
      <c r="L207" s="1801">
        <f t="shared" si="27"/>
        <v>0</v>
      </c>
      <c r="M207" s="1" t="s">
        <v>2607</v>
      </c>
      <c r="N207" s="1" t="s">
        <v>2608</v>
      </c>
    </row>
    <row r="208" spans="1:27" x14ac:dyDescent="0.4">
      <c r="A208" s="1">
        <v>181830</v>
      </c>
      <c r="B208" s="1801">
        <v>45</v>
      </c>
      <c r="C208" s="1">
        <f t="shared" si="24"/>
        <v>225</v>
      </c>
      <c r="D208" s="1801">
        <v>0</v>
      </c>
      <c r="E208" s="1801">
        <v>0</v>
      </c>
      <c r="F208" s="1801">
        <v>0</v>
      </c>
      <c r="G208" s="1801">
        <v>0</v>
      </c>
      <c r="H208" s="1801">
        <v>1</v>
      </c>
      <c r="I208" s="1801">
        <v>1</v>
      </c>
      <c r="J208" s="1804">
        <f t="shared" si="25"/>
        <v>2</v>
      </c>
      <c r="K208" s="1804">
        <f t="shared" si="26"/>
        <v>1</v>
      </c>
      <c r="L208" s="1801">
        <f t="shared" si="27"/>
        <v>45</v>
      </c>
      <c r="M208" s="1" t="s">
        <v>2610</v>
      </c>
      <c r="N208" s="1" t="s">
        <v>2611</v>
      </c>
    </row>
    <row r="209" spans="1:14" x14ac:dyDescent="0.4">
      <c r="A209" s="1">
        <v>181831</v>
      </c>
      <c r="B209" s="1801">
        <v>45</v>
      </c>
      <c r="C209" s="1">
        <f t="shared" si="24"/>
        <v>225</v>
      </c>
      <c r="D209" s="1801">
        <v>0</v>
      </c>
      <c r="E209" s="1801">
        <v>0</v>
      </c>
      <c r="F209" s="1801">
        <v>0</v>
      </c>
      <c r="G209" s="1801">
        <v>0</v>
      </c>
      <c r="H209" s="1801">
        <v>0</v>
      </c>
      <c r="I209" s="1801">
        <v>1</v>
      </c>
      <c r="J209" s="1804">
        <f t="shared" si="25"/>
        <v>1</v>
      </c>
      <c r="K209" s="1804">
        <f t="shared" si="26"/>
        <v>0</v>
      </c>
      <c r="L209" s="1801">
        <f t="shared" si="27"/>
        <v>0</v>
      </c>
      <c r="M209" s="1" t="s">
        <v>2613</v>
      </c>
      <c r="N209" s="1" t="s">
        <v>2614</v>
      </c>
    </row>
    <row r="210" spans="1:14" x14ac:dyDescent="0.4">
      <c r="A210" s="16">
        <v>181832</v>
      </c>
      <c r="B210" s="1252">
        <v>60</v>
      </c>
      <c r="C210" s="16">
        <f t="shared" si="24"/>
        <v>300</v>
      </c>
      <c r="D210" s="1252">
        <v>0</v>
      </c>
      <c r="E210" s="1252">
        <v>0</v>
      </c>
      <c r="F210" s="1252">
        <v>0</v>
      </c>
      <c r="G210" s="1252">
        <v>0</v>
      </c>
      <c r="H210" s="1252">
        <v>0</v>
      </c>
      <c r="I210" s="1252">
        <v>0</v>
      </c>
      <c r="J210" s="1254">
        <f t="shared" si="25"/>
        <v>0</v>
      </c>
      <c r="K210" s="1254">
        <f t="shared" si="26"/>
        <v>0</v>
      </c>
      <c r="L210" s="1252">
        <f t="shared" si="27"/>
        <v>0</v>
      </c>
      <c r="M210" s="16" t="s">
        <v>2615</v>
      </c>
      <c r="N210" s="16" t="s">
        <v>2616</v>
      </c>
    </row>
    <row r="211" spans="1:14" x14ac:dyDescent="0.4">
      <c r="A211" s="1">
        <v>181833</v>
      </c>
      <c r="B211" s="1801">
        <v>50</v>
      </c>
      <c r="C211" s="1">
        <f t="shared" si="24"/>
        <v>250</v>
      </c>
      <c r="D211" s="1801">
        <v>0</v>
      </c>
      <c r="E211" s="1801">
        <v>0</v>
      </c>
      <c r="F211" s="1801">
        <v>0</v>
      </c>
      <c r="G211" s="1801">
        <v>0</v>
      </c>
      <c r="H211" s="1801">
        <v>0</v>
      </c>
      <c r="I211" s="1801">
        <v>1</v>
      </c>
      <c r="J211" s="1804">
        <f t="shared" si="25"/>
        <v>1</v>
      </c>
      <c r="K211" s="1804">
        <f t="shared" si="26"/>
        <v>0</v>
      </c>
      <c r="L211" s="1801">
        <f t="shared" si="27"/>
        <v>0</v>
      </c>
      <c r="M211" s="1" t="s">
        <v>2615</v>
      </c>
      <c r="N211" s="1" t="s">
        <v>2616</v>
      </c>
    </row>
    <row r="212" spans="1:14" x14ac:dyDescent="0.4">
      <c r="A212" s="1">
        <v>181834</v>
      </c>
      <c r="B212" s="1801">
        <v>50</v>
      </c>
      <c r="C212" s="1">
        <f t="shared" si="24"/>
        <v>250</v>
      </c>
      <c r="D212" s="1801">
        <v>0</v>
      </c>
      <c r="E212" s="1801">
        <v>0</v>
      </c>
      <c r="F212" s="1801">
        <v>0</v>
      </c>
      <c r="G212" s="1801">
        <v>0</v>
      </c>
      <c r="H212" s="1801">
        <v>0</v>
      </c>
      <c r="I212" s="1801">
        <v>1</v>
      </c>
      <c r="J212" s="1804">
        <f t="shared" si="25"/>
        <v>1</v>
      </c>
      <c r="K212" s="1804">
        <f t="shared" si="26"/>
        <v>0</v>
      </c>
      <c r="L212" s="1801">
        <f t="shared" si="27"/>
        <v>0</v>
      </c>
      <c r="M212" s="1" t="s">
        <v>2617</v>
      </c>
      <c r="N212" s="1" t="s">
        <v>2618</v>
      </c>
    </row>
    <row r="213" spans="1:14" x14ac:dyDescent="0.4">
      <c r="A213" s="16">
        <v>181835</v>
      </c>
      <c r="B213" s="1342">
        <v>45</v>
      </c>
      <c r="C213" s="16">
        <f t="shared" si="24"/>
        <v>225</v>
      </c>
      <c r="D213" s="1342">
        <v>0</v>
      </c>
      <c r="E213" s="1342">
        <v>0</v>
      </c>
      <c r="F213" s="1342">
        <v>0</v>
      </c>
      <c r="G213" s="1342">
        <v>0</v>
      </c>
      <c r="H213" s="1342">
        <v>0</v>
      </c>
      <c r="I213" s="1342">
        <v>0</v>
      </c>
      <c r="J213" s="1343">
        <f t="shared" si="25"/>
        <v>0</v>
      </c>
      <c r="K213" s="1343">
        <f t="shared" si="26"/>
        <v>0</v>
      </c>
      <c r="L213" s="1342">
        <f t="shared" si="27"/>
        <v>0</v>
      </c>
      <c r="M213" s="16" t="s">
        <v>2619</v>
      </c>
      <c r="N213" s="16" t="s">
        <v>2620</v>
      </c>
    </row>
    <row r="214" spans="1:14" x14ac:dyDescent="0.4">
      <c r="A214" s="16">
        <v>181836</v>
      </c>
      <c r="B214" s="1261">
        <v>50</v>
      </c>
      <c r="C214" s="16">
        <f t="shared" si="24"/>
        <v>250</v>
      </c>
      <c r="D214" s="1261">
        <v>0</v>
      </c>
      <c r="E214" s="1261">
        <v>0</v>
      </c>
      <c r="F214" s="1261">
        <v>0</v>
      </c>
      <c r="G214" s="1261">
        <v>0</v>
      </c>
      <c r="H214" s="1261">
        <v>0</v>
      </c>
      <c r="I214" s="1261">
        <v>0</v>
      </c>
      <c r="J214" s="1262">
        <f t="shared" si="25"/>
        <v>0</v>
      </c>
      <c r="K214" s="1262">
        <f t="shared" si="26"/>
        <v>0</v>
      </c>
      <c r="L214" s="1261">
        <f t="shared" si="27"/>
        <v>0</v>
      </c>
      <c r="M214" s="16" t="s">
        <v>2621</v>
      </c>
      <c r="N214" s="16" t="s">
        <v>2622</v>
      </c>
    </row>
    <row r="215" spans="1:14" x14ac:dyDescent="0.4">
      <c r="A215" s="16">
        <v>181837</v>
      </c>
      <c r="B215" s="1430">
        <v>50</v>
      </c>
      <c r="C215" s="16">
        <f t="shared" si="24"/>
        <v>250</v>
      </c>
      <c r="D215" s="1430">
        <v>0</v>
      </c>
      <c r="E215" s="1430">
        <v>0</v>
      </c>
      <c r="F215" s="1430">
        <v>0</v>
      </c>
      <c r="G215" s="1430">
        <v>0</v>
      </c>
      <c r="H215" s="1430">
        <v>0</v>
      </c>
      <c r="I215" s="1430">
        <v>0</v>
      </c>
      <c r="J215" s="1431">
        <f t="shared" si="25"/>
        <v>0</v>
      </c>
      <c r="K215" s="1431">
        <f t="shared" si="26"/>
        <v>0</v>
      </c>
      <c r="L215" s="1430">
        <f t="shared" si="27"/>
        <v>0</v>
      </c>
      <c r="M215" s="16" t="s">
        <v>2623</v>
      </c>
      <c r="N215" s="16" t="s">
        <v>2624</v>
      </c>
    </row>
    <row r="216" spans="1:14" x14ac:dyDescent="0.4">
      <c r="A216" s="16">
        <v>181838</v>
      </c>
      <c r="B216" s="1319">
        <v>50</v>
      </c>
      <c r="C216" s="16">
        <f t="shared" si="24"/>
        <v>250</v>
      </c>
      <c r="D216" s="1319">
        <v>0</v>
      </c>
      <c r="E216" s="1319">
        <v>0</v>
      </c>
      <c r="F216" s="1319">
        <v>0</v>
      </c>
      <c r="G216" s="1319">
        <v>0</v>
      </c>
      <c r="H216" s="1319">
        <v>0</v>
      </c>
      <c r="I216" s="1319">
        <v>0</v>
      </c>
      <c r="J216" s="1320">
        <f t="shared" si="25"/>
        <v>0</v>
      </c>
      <c r="K216" s="1320">
        <f t="shared" si="26"/>
        <v>0</v>
      </c>
      <c r="L216" s="1319">
        <f t="shared" si="27"/>
        <v>0</v>
      </c>
      <c r="M216" s="16" t="s">
        <v>2625</v>
      </c>
      <c r="N216" s="16" t="s">
        <v>2626</v>
      </c>
    </row>
    <row r="217" spans="1:14" x14ac:dyDescent="0.4">
      <c r="A217" s="16">
        <v>181839</v>
      </c>
      <c r="B217" s="1515">
        <v>45</v>
      </c>
      <c r="C217" s="16">
        <f t="shared" si="24"/>
        <v>225</v>
      </c>
      <c r="D217" s="1515">
        <v>0</v>
      </c>
      <c r="E217" s="1515">
        <v>0</v>
      </c>
      <c r="F217" s="1515">
        <v>0</v>
      </c>
      <c r="G217" s="1515">
        <v>0</v>
      </c>
      <c r="H217" s="1515">
        <v>0</v>
      </c>
      <c r="I217" s="1515">
        <v>0</v>
      </c>
      <c r="J217" s="1516">
        <f t="shared" si="25"/>
        <v>0</v>
      </c>
      <c r="K217" s="1516">
        <f t="shared" si="26"/>
        <v>0</v>
      </c>
      <c r="L217" s="1515">
        <f t="shared" si="27"/>
        <v>0</v>
      </c>
      <c r="M217" s="16" t="s">
        <v>2625</v>
      </c>
      <c r="N217" s="16" t="s">
        <v>2626</v>
      </c>
    </row>
    <row r="218" spans="1:14" x14ac:dyDescent="0.4">
      <c r="A218" s="16">
        <v>181840</v>
      </c>
      <c r="B218" s="1118">
        <v>60</v>
      </c>
      <c r="C218" s="16">
        <f t="shared" si="24"/>
        <v>300</v>
      </c>
      <c r="D218" s="1118">
        <v>0</v>
      </c>
      <c r="E218" s="1118">
        <v>0</v>
      </c>
      <c r="F218" s="1118">
        <v>0</v>
      </c>
      <c r="G218" s="1118">
        <v>0</v>
      </c>
      <c r="H218" s="1118">
        <v>0</v>
      </c>
      <c r="I218" s="1118">
        <v>0</v>
      </c>
      <c r="J218" s="1119">
        <f t="shared" si="25"/>
        <v>0</v>
      </c>
      <c r="K218" s="1119">
        <f t="shared" si="26"/>
        <v>0</v>
      </c>
      <c r="L218" s="1118">
        <f t="shared" si="27"/>
        <v>0</v>
      </c>
      <c r="M218" s="16" t="s">
        <v>2625</v>
      </c>
      <c r="N218" s="16" t="s">
        <v>2626</v>
      </c>
    </row>
    <row r="219" spans="1:14" x14ac:dyDescent="0.4">
      <c r="A219" s="1">
        <v>181841</v>
      </c>
      <c r="B219" s="1801">
        <v>60</v>
      </c>
      <c r="C219" s="1">
        <f t="shared" si="24"/>
        <v>300</v>
      </c>
      <c r="D219" s="1801">
        <v>0</v>
      </c>
      <c r="E219" s="1801">
        <v>0</v>
      </c>
      <c r="F219" s="1801">
        <v>0</v>
      </c>
      <c r="G219" s="1801">
        <v>0</v>
      </c>
      <c r="H219" s="1801">
        <v>0</v>
      </c>
      <c r="I219" s="1801">
        <v>1</v>
      </c>
      <c r="J219" s="1804">
        <f t="shared" si="25"/>
        <v>1</v>
      </c>
      <c r="K219" s="1804">
        <f t="shared" si="26"/>
        <v>0</v>
      </c>
      <c r="L219" s="1801">
        <f t="shared" si="27"/>
        <v>0</v>
      </c>
      <c r="M219" s="1" t="s">
        <v>2625</v>
      </c>
      <c r="N219" s="1" t="s">
        <v>2626</v>
      </c>
    </row>
    <row r="220" spans="1:14" x14ac:dyDescent="0.4">
      <c r="A220" s="1">
        <v>181842</v>
      </c>
      <c r="B220" s="1801">
        <v>45</v>
      </c>
      <c r="C220" s="1">
        <f t="shared" si="24"/>
        <v>225</v>
      </c>
      <c r="D220" s="1801">
        <v>0</v>
      </c>
      <c r="E220" s="1801">
        <v>0</v>
      </c>
      <c r="F220" s="1801">
        <v>0</v>
      </c>
      <c r="G220" s="1801">
        <v>1</v>
      </c>
      <c r="H220" s="1801">
        <v>1</v>
      </c>
      <c r="I220" s="1801">
        <v>1</v>
      </c>
      <c r="J220" s="1804">
        <f t="shared" si="25"/>
        <v>3</v>
      </c>
      <c r="K220" s="1804">
        <f t="shared" si="26"/>
        <v>2</v>
      </c>
      <c r="L220" s="1801">
        <f t="shared" si="27"/>
        <v>90</v>
      </c>
      <c r="M220" s="1" t="s">
        <v>2627</v>
      </c>
      <c r="N220" s="1" t="s">
        <v>2628</v>
      </c>
    </row>
    <row r="221" spans="1:14" x14ac:dyDescent="0.4">
      <c r="A221" s="16">
        <v>181843</v>
      </c>
      <c r="B221" s="1058">
        <v>45</v>
      </c>
      <c r="C221" s="16">
        <f t="shared" si="24"/>
        <v>225</v>
      </c>
      <c r="D221" s="1058">
        <v>0</v>
      </c>
      <c r="E221" s="1058">
        <v>0</v>
      </c>
      <c r="F221" s="1058">
        <v>0</v>
      </c>
      <c r="G221" s="1058">
        <v>0</v>
      </c>
      <c r="H221" s="1058">
        <v>0</v>
      </c>
      <c r="I221" s="1058">
        <v>0</v>
      </c>
      <c r="J221" s="1059">
        <f t="shared" si="25"/>
        <v>0</v>
      </c>
      <c r="K221" s="1059">
        <f t="shared" si="26"/>
        <v>0</v>
      </c>
      <c r="L221" s="1058">
        <f t="shared" si="27"/>
        <v>0</v>
      </c>
      <c r="M221" s="16" t="s">
        <v>2631</v>
      </c>
      <c r="N221" s="16" t="s">
        <v>2632</v>
      </c>
    </row>
    <row r="222" spans="1:14" x14ac:dyDescent="0.4">
      <c r="A222" s="16">
        <v>181844</v>
      </c>
      <c r="B222" s="1287">
        <v>60</v>
      </c>
      <c r="C222" s="16">
        <f t="shared" si="24"/>
        <v>300</v>
      </c>
      <c r="D222" s="1287">
        <v>0</v>
      </c>
      <c r="E222" s="1287">
        <v>0</v>
      </c>
      <c r="F222" s="1287">
        <v>0</v>
      </c>
      <c r="G222" s="1287">
        <v>0</v>
      </c>
      <c r="H222" s="1287">
        <v>0</v>
      </c>
      <c r="I222" s="1287">
        <v>0</v>
      </c>
      <c r="J222" s="1288">
        <f t="shared" si="25"/>
        <v>0</v>
      </c>
      <c r="K222" s="1288">
        <f t="shared" si="26"/>
        <v>0</v>
      </c>
      <c r="L222" s="1287">
        <f t="shared" si="27"/>
        <v>0</v>
      </c>
      <c r="M222" s="16" t="s">
        <v>2629</v>
      </c>
      <c r="N222" s="16" t="s">
        <v>2630</v>
      </c>
    </row>
    <row r="223" spans="1:14" x14ac:dyDescent="0.4">
      <c r="A223" s="1">
        <v>181845</v>
      </c>
      <c r="B223" s="1801">
        <v>60</v>
      </c>
      <c r="C223" s="1">
        <f t="shared" si="24"/>
        <v>300</v>
      </c>
      <c r="D223" s="1801">
        <v>0</v>
      </c>
      <c r="E223" s="1801">
        <v>0</v>
      </c>
      <c r="F223" s="1801">
        <v>0</v>
      </c>
      <c r="G223" s="1801">
        <v>0</v>
      </c>
      <c r="H223" s="1801">
        <v>0</v>
      </c>
      <c r="I223" s="1801">
        <v>1</v>
      </c>
      <c r="J223" s="1804">
        <f t="shared" si="25"/>
        <v>1</v>
      </c>
      <c r="K223" s="1804">
        <f t="shared" si="26"/>
        <v>0</v>
      </c>
      <c r="L223" s="1801">
        <f t="shared" si="27"/>
        <v>0</v>
      </c>
      <c r="M223" s="1" t="s">
        <v>2629</v>
      </c>
      <c r="N223" s="1" t="s">
        <v>2630</v>
      </c>
    </row>
    <row r="224" spans="1:14" x14ac:dyDescent="0.4">
      <c r="A224" s="1">
        <v>181846</v>
      </c>
      <c r="B224" s="1801">
        <v>45</v>
      </c>
      <c r="C224" s="1">
        <f t="shared" si="24"/>
        <v>225</v>
      </c>
      <c r="D224" s="1801">
        <v>0</v>
      </c>
      <c r="E224" s="1801">
        <v>0</v>
      </c>
      <c r="F224" s="1801">
        <v>0</v>
      </c>
      <c r="G224" s="1801">
        <v>0</v>
      </c>
      <c r="H224" s="1801">
        <v>0</v>
      </c>
      <c r="I224" s="1801">
        <v>1</v>
      </c>
      <c r="J224" s="1804">
        <f t="shared" si="25"/>
        <v>1</v>
      </c>
      <c r="K224" s="1804">
        <f t="shared" si="26"/>
        <v>0</v>
      </c>
      <c r="L224" s="1801">
        <f t="shared" si="27"/>
        <v>0</v>
      </c>
      <c r="M224" s="1" t="s">
        <v>2633</v>
      </c>
      <c r="N224" s="1" t="s">
        <v>2634</v>
      </c>
    </row>
    <row r="225" spans="1:15" x14ac:dyDescent="0.4">
      <c r="A225" s="16">
        <v>181847</v>
      </c>
      <c r="B225" s="1526">
        <v>60</v>
      </c>
      <c r="C225" s="16">
        <f t="shared" si="24"/>
        <v>300</v>
      </c>
      <c r="D225" s="1526">
        <v>0</v>
      </c>
      <c r="E225" s="1526">
        <v>0</v>
      </c>
      <c r="F225" s="1526">
        <v>0</v>
      </c>
      <c r="G225" s="1526">
        <v>0</v>
      </c>
      <c r="H225" s="1526">
        <v>0</v>
      </c>
      <c r="I225" s="1526">
        <v>0</v>
      </c>
      <c r="J225" s="1527">
        <f t="shared" si="25"/>
        <v>0</v>
      </c>
      <c r="K225" s="1527">
        <f t="shared" si="26"/>
        <v>0</v>
      </c>
      <c r="L225" s="1526">
        <f t="shared" si="27"/>
        <v>0</v>
      </c>
      <c r="M225" s="16" t="s">
        <v>2629</v>
      </c>
      <c r="N225" s="16" t="s">
        <v>2630</v>
      </c>
    </row>
    <row r="226" spans="1:15" x14ac:dyDescent="0.4">
      <c r="A226" s="16">
        <v>181848</v>
      </c>
      <c r="B226" s="1265">
        <v>45</v>
      </c>
      <c r="C226" s="16">
        <f t="shared" si="24"/>
        <v>225</v>
      </c>
      <c r="D226" s="1265">
        <v>0</v>
      </c>
      <c r="E226" s="1265">
        <v>0</v>
      </c>
      <c r="F226" s="1265">
        <v>0</v>
      </c>
      <c r="G226" s="1265">
        <v>0</v>
      </c>
      <c r="H226" s="1265">
        <v>0</v>
      </c>
      <c r="I226" s="1265">
        <v>0</v>
      </c>
      <c r="J226" s="1266">
        <f t="shared" si="25"/>
        <v>0</v>
      </c>
      <c r="K226" s="1266">
        <f t="shared" si="26"/>
        <v>0</v>
      </c>
      <c r="L226" s="1265">
        <f t="shared" si="27"/>
        <v>0</v>
      </c>
      <c r="M226" s="16" t="s">
        <v>2629</v>
      </c>
      <c r="N226" s="16" t="s">
        <v>2630</v>
      </c>
    </row>
    <row r="227" spans="1:15" x14ac:dyDescent="0.4">
      <c r="A227" s="1">
        <v>181849</v>
      </c>
      <c r="B227" s="1801">
        <v>50</v>
      </c>
      <c r="C227" s="1">
        <f t="shared" si="24"/>
        <v>250</v>
      </c>
      <c r="D227" s="1801">
        <v>0</v>
      </c>
      <c r="E227" s="1801">
        <v>0</v>
      </c>
      <c r="F227" s="1801">
        <v>0</v>
      </c>
      <c r="G227" s="1801">
        <v>0</v>
      </c>
      <c r="H227" s="1801">
        <v>1</v>
      </c>
      <c r="I227" s="1801">
        <v>1</v>
      </c>
      <c r="J227" s="1804">
        <f t="shared" si="25"/>
        <v>2</v>
      </c>
      <c r="K227" s="1804">
        <f t="shared" si="26"/>
        <v>1</v>
      </c>
      <c r="L227" s="1801">
        <f t="shared" si="27"/>
        <v>50</v>
      </c>
      <c r="M227" s="1" t="s">
        <v>2629</v>
      </c>
      <c r="N227" s="1" t="s">
        <v>2630</v>
      </c>
    </row>
    <row r="228" spans="1:15" x14ac:dyDescent="0.4">
      <c r="A228" s="16">
        <v>181850</v>
      </c>
      <c r="B228" s="1131">
        <v>45</v>
      </c>
      <c r="C228" s="16">
        <f t="shared" si="24"/>
        <v>225</v>
      </c>
      <c r="D228" s="1131">
        <v>0</v>
      </c>
      <c r="E228" s="1131">
        <v>0</v>
      </c>
      <c r="F228" s="1131">
        <v>0</v>
      </c>
      <c r="G228" s="1131">
        <v>0</v>
      </c>
      <c r="H228" s="1131">
        <v>0</v>
      </c>
      <c r="I228" s="1131">
        <v>1</v>
      </c>
      <c r="J228" s="1132">
        <f t="shared" si="25"/>
        <v>1</v>
      </c>
      <c r="K228" s="1132">
        <f t="shared" si="26"/>
        <v>0</v>
      </c>
      <c r="L228" s="1131">
        <f t="shared" si="27"/>
        <v>0</v>
      </c>
      <c r="M228" s="16" t="s">
        <v>2635</v>
      </c>
      <c r="N228" s="16" t="s">
        <v>2636</v>
      </c>
    </row>
    <row r="229" spans="1:15" x14ac:dyDescent="0.4">
      <c r="A229" s="1">
        <v>181851</v>
      </c>
      <c r="B229" s="1969">
        <v>60</v>
      </c>
      <c r="C229" s="1">
        <f t="shared" si="24"/>
        <v>300</v>
      </c>
      <c r="D229" s="1969">
        <v>0</v>
      </c>
      <c r="E229" s="1969">
        <v>0</v>
      </c>
      <c r="F229" s="1969">
        <v>0</v>
      </c>
      <c r="G229" s="1969">
        <v>0</v>
      </c>
      <c r="H229" s="1969">
        <v>0</v>
      </c>
      <c r="I229" s="1969"/>
      <c r="J229" s="1970">
        <f t="shared" si="25"/>
        <v>0</v>
      </c>
      <c r="K229" s="1970">
        <f t="shared" si="26"/>
        <v>0</v>
      </c>
      <c r="L229" s="1969">
        <f t="shared" si="27"/>
        <v>0</v>
      </c>
      <c r="M229" s="1" t="s">
        <v>2637</v>
      </c>
      <c r="N229" s="1" t="s">
        <v>2638</v>
      </c>
    </row>
    <row r="230" spans="1:15" x14ac:dyDescent="0.4">
      <c r="A230" s="16">
        <v>181852</v>
      </c>
      <c r="B230" s="1353">
        <v>45</v>
      </c>
      <c r="C230" s="16">
        <f t="shared" si="24"/>
        <v>225</v>
      </c>
      <c r="D230" s="1353">
        <v>0</v>
      </c>
      <c r="E230" s="1353">
        <v>0</v>
      </c>
      <c r="F230" s="1353">
        <v>0</v>
      </c>
      <c r="G230" s="1353">
        <v>0</v>
      </c>
      <c r="H230" s="1353">
        <v>0</v>
      </c>
      <c r="I230" s="1353">
        <v>0</v>
      </c>
      <c r="J230" s="1354">
        <f t="shared" si="25"/>
        <v>0</v>
      </c>
      <c r="K230" s="1354">
        <f t="shared" si="26"/>
        <v>0</v>
      </c>
      <c r="L230" s="1353">
        <f t="shared" si="27"/>
        <v>0</v>
      </c>
      <c r="M230" s="16" t="s">
        <v>2637</v>
      </c>
      <c r="N230" s="16" t="s">
        <v>2638</v>
      </c>
    </row>
    <row r="231" spans="1:15" x14ac:dyDescent="0.4">
      <c r="A231" s="1">
        <v>181853</v>
      </c>
      <c r="B231" s="1801">
        <v>60</v>
      </c>
      <c r="C231" s="1">
        <f t="shared" si="24"/>
        <v>300</v>
      </c>
      <c r="D231" s="1801">
        <v>0</v>
      </c>
      <c r="E231" s="1801">
        <v>0</v>
      </c>
      <c r="F231" s="1801">
        <v>0</v>
      </c>
      <c r="G231" s="1801">
        <v>1</v>
      </c>
      <c r="H231" s="1801">
        <v>1</v>
      </c>
      <c r="I231" s="1801">
        <v>1</v>
      </c>
      <c r="J231" s="1804">
        <f t="shared" si="25"/>
        <v>3</v>
      </c>
      <c r="K231" s="1804">
        <f t="shared" si="26"/>
        <v>2</v>
      </c>
      <c r="L231" s="1801">
        <f t="shared" si="27"/>
        <v>120</v>
      </c>
      <c r="M231" s="1" t="s">
        <v>2637</v>
      </c>
      <c r="N231" s="1" t="s">
        <v>2638</v>
      </c>
    </row>
    <row r="232" spans="1:15" x14ac:dyDescent="0.4">
      <c r="A232" s="16">
        <v>181854</v>
      </c>
      <c r="B232" s="1083">
        <v>45</v>
      </c>
      <c r="C232" s="16">
        <f t="shared" si="24"/>
        <v>225</v>
      </c>
      <c r="D232" s="1083">
        <v>0</v>
      </c>
      <c r="E232" s="1083">
        <v>0</v>
      </c>
      <c r="F232" s="1083">
        <v>0</v>
      </c>
      <c r="G232" s="1083">
        <v>0</v>
      </c>
      <c r="H232" s="1083">
        <v>0</v>
      </c>
      <c r="I232" s="1083">
        <v>0</v>
      </c>
      <c r="J232" s="1084">
        <f t="shared" si="25"/>
        <v>0</v>
      </c>
      <c r="K232" s="1084">
        <f t="shared" si="26"/>
        <v>0</v>
      </c>
      <c r="L232" s="1083">
        <f t="shared" si="27"/>
        <v>0</v>
      </c>
      <c r="M232" s="16" t="s">
        <v>2637</v>
      </c>
      <c r="N232" s="16" t="s">
        <v>2638</v>
      </c>
    </row>
    <row r="233" spans="1:15" x14ac:dyDescent="0.4">
      <c r="A233" s="16">
        <v>181855</v>
      </c>
      <c r="B233" s="1495">
        <v>45</v>
      </c>
      <c r="C233" s="16">
        <f t="shared" si="24"/>
        <v>225</v>
      </c>
      <c r="D233" s="1495">
        <v>0</v>
      </c>
      <c r="E233" s="1495">
        <v>0</v>
      </c>
      <c r="F233" s="1495">
        <v>0</v>
      </c>
      <c r="G233" s="1495">
        <v>0</v>
      </c>
      <c r="H233" s="1495">
        <v>0</v>
      </c>
      <c r="I233" s="1495">
        <v>0</v>
      </c>
      <c r="J233" s="1496">
        <f t="shared" si="25"/>
        <v>0</v>
      </c>
      <c r="K233" s="1496">
        <f t="shared" si="26"/>
        <v>0</v>
      </c>
      <c r="L233" s="1495">
        <f t="shared" si="27"/>
        <v>0</v>
      </c>
      <c r="M233" s="16" t="s">
        <v>2637</v>
      </c>
      <c r="N233" s="16" t="s">
        <v>2638</v>
      </c>
    </row>
    <row r="234" spans="1:15" x14ac:dyDescent="0.4">
      <c r="A234" s="16">
        <v>181856</v>
      </c>
      <c r="B234" s="1489">
        <v>60</v>
      </c>
      <c r="C234" s="16">
        <f t="shared" si="24"/>
        <v>300</v>
      </c>
      <c r="D234" s="1489">
        <v>0</v>
      </c>
      <c r="E234" s="1489">
        <v>0</v>
      </c>
      <c r="F234" s="1489">
        <v>0</v>
      </c>
      <c r="G234" s="1489">
        <v>0</v>
      </c>
      <c r="H234" s="1489">
        <v>0</v>
      </c>
      <c r="I234" s="1489">
        <v>0</v>
      </c>
      <c r="J234" s="1490">
        <f t="shared" si="25"/>
        <v>0</v>
      </c>
      <c r="K234" s="1490">
        <f t="shared" si="26"/>
        <v>0</v>
      </c>
      <c r="L234" s="1489">
        <f t="shared" si="27"/>
        <v>0</v>
      </c>
      <c r="M234" s="16" t="s">
        <v>2637</v>
      </c>
      <c r="N234" s="16" t="s">
        <v>2638</v>
      </c>
    </row>
    <row r="235" spans="1:15" x14ac:dyDescent="0.4">
      <c r="A235" s="1">
        <v>181857</v>
      </c>
      <c r="B235" s="1801">
        <v>60</v>
      </c>
      <c r="C235" s="1">
        <f t="shared" si="24"/>
        <v>300</v>
      </c>
      <c r="D235" s="1801">
        <v>0</v>
      </c>
      <c r="E235" s="1801">
        <v>0</v>
      </c>
      <c r="F235" s="1801">
        <v>0</v>
      </c>
      <c r="G235" s="1801">
        <v>0</v>
      </c>
      <c r="H235" s="1801">
        <v>0</v>
      </c>
      <c r="I235" s="1801">
        <v>1</v>
      </c>
      <c r="J235" s="1804">
        <f t="shared" si="25"/>
        <v>1</v>
      </c>
      <c r="K235" s="1804">
        <f t="shared" si="26"/>
        <v>0</v>
      </c>
      <c r="L235" s="1801">
        <f t="shared" si="27"/>
        <v>0</v>
      </c>
      <c r="M235" s="1" t="s">
        <v>2637</v>
      </c>
      <c r="N235" s="1" t="s">
        <v>2638</v>
      </c>
    </row>
    <row r="236" spans="1:15" x14ac:dyDescent="0.4">
      <c r="A236" s="16">
        <v>181858</v>
      </c>
      <c r="B236" s="1684">
        <v>60</v>
      </c>
      <c r="C236" s="16">
        <f t="shared" si="24"/>
        <v>300</v>
      </c>
      <c r="D236" s="1684">
        <v>0</v>
      </c>
      <c r="E236" s="1684">
        <v>0</v>
      </c>
      <c r="F236" s="1684">
        <v>0</v>
      </c>
      <c r="G236" s="1684">
        <v>0</v>
      </c>
      <c r="H236" s="1684">
        <v>0</v>
      </c>
      <c r="I236" s="1684">
        <v>0</v>
      </c>
      <c r="J236" s="1685">
        <f t="shared" si="25"/>
        <v>0</v>
      </c>
      <c r="K236" s="1685">
        <f t="shared" si="26"/>
        <v>0</v>
      </c>
      <c r="L236" s="1684">
        <f t="shared" si="27"/>
        <v>0</v>
      </c>
      <c r="M236" s="16" t="s">
        <v>2639</v>
      </c>
      <c r="N236" s="16" t="s">
        <v>2640</v>
      </c>
    </row>
    <row r="237" spans="1:15" x14ac:dyDescent="0.4">
      <c r="A237" s="801">
        <v>181859</v>
      </c>
      <c r="B237" s="802">
        <v>60</v>
      </c>
      <c r="C237" s="801">
        <f t="shared" ref="C237:C267" si="28">SUM(B237*5)</f>
        <v>300</v>
      </c>
      <c r="D237" s="802">
        <v>0</v>
      </c>
      <c r="E237" s="802"/>
      <c r="F237" s="802"/>
      <c r="G237" s="802"/>
      <c r="H237" s="802"/>
      <c r="I237" s="802"/>
      <c r="J237" s="803">
        <f t="shared" ref="J237:J267" si="29">SUM(D237:I237)</f>
        <v>0</v>
      </c>
      <c r="K237" s="803">
        <f t="shared" ref="K237:K267" si="30">SUM(D237:H237)</f>
        <v>0</v>
      </c>
      <c r="L237" s="802">
        <f t="shared" ref="L237:L267" si="31">B237*K237</f>
        <v>0</v>
      </c>
      <c r="M237" s="801" t="s">
        <v>2639</v>
      </c>
      <c r="N237" s="804" t="s">
        <v>2640</v>
      </c>
      <c r="O237" t="s">
        <v>2705</v>
      </c>
    </row>
    <row r="238" spans="1:15" x14ac:dyDescent="0.4">
      <c r="A238" s="16">
        <v>181860</v>
      </c>
      <c r="B238" s="1275">
        <v>60</v>
      </c>
      <c r="C238" s="16">
        <f t="shared" si="28"/>
        <v>300</v>
      </c>
      <c r="D238" s="1275">
        <v>0</v>
      </c>
      <c r="E238" s="1275">
        <v>0</v>
      </c>
      <c r="F238" s="1275">
        <v>0</v>
      </c>
      <c r="G238" s="1275">
        <v>0</v>
      </c>
      <c r="H238" s="1275">
        <v>0</v>
      </c>
      <c r="I238" s="1275">
        <v>0</v>
      </c>
      <c r="J238" s="1276">
        <f t="shared" si="29"/>
        <v>0</v>
      </c>
      <c r="K238" s="1276">
        <f t="shared" si="30"/>
        <v>0</v>
      </c>
      <c r="L238" s="1275">
        <f t="shared" si="31"/>
        <v>0</v>
      </c>
      <c r="M238" s="16" t="s">
        <v>2639</v>
      </c>
      <c r="N238" s="16" t="s">
        <v>2640</v>
      </c>
    </row>
    <row r="239" spans="1:15" x14ac:dyDescent="0.4">
      <c r="A239" s="1">
        <v>181861</v>
      </c>
      <c r="B239" s="1801">
        <v>60</v>
      </c>
      <c r="C239" s="1">
        <f t="shared" si="28"/>
        <v>300</v>
      </c>
      <c r="D239" s="1801">
        <v>0</v>
      </c>
      <c r="E239" s="1801">
        <v>0</v>
      </c>
      <c r="F239" s="1801">
        <v>0</v>
      </c>
      <c r="G239" s="1801">
        <v>0</v>
      </c>
      <c r="H239" s="802">
        <v>1</v>
      </c>
      <c r="I239" s="802">
        <v>1</v>
      </c>
      <c r="J239" s="1804">
        <f t="shared" si="29"/>
        <v>2</v>
      </c>
      <c r="K239" s="1804">
        <f t="shared" si="30"/>
        <v>1</v>
      </c>
      <c r="L239" s="1801">
        <f t="shared" si="31"/>
        <v>60</v>
      </c>
      <c r="M239" s="1" t="s">
        <v>2641</v>
      </c>
      <c r="N239" s="1" t="s">
        <v>2642</v>
      </c>
      <c r="O239" t="s">
        <v>3146</v>
      </c>
    </row>
    <row r="240" spans="1:15" x14ac:dyDescent="0.4">
      <c r="A240" s="1">
        <v>181862</v>
      </c>
      <c r="B240" s="1801">
        <v>60</v>
      </c>
      <c r="C240" s="1">
        <v>300</v>
      </c>
      <c r="D240" s="1801">
        <v>0</v>
      </c>
      <c r="E240" s="1801">
        <v>0</v>
      </c>
      <c r="F240" s="1801">
        <v>0</v>
      </c>
      <c r="G240" s="1801">
        <v>0</v>
      </c>
      <c r="H240" s="1801">
        <v>0</v>
      </c>
      <c r="I240" s="1801">
        <v>1</v>
      </c>
      <c r="J240" s="1804">
        <f t="shared" si="29"/>
        <v>1</v>
      </c>
      <c r="K240" s="1804">
        <f t="shared" si="30"/>
        <v>0</v>
      </c>
      <c r="L240" s="1801">
        <f t="shared" si="31"/>
        <v>0</v>
      </c>
      <c r="M240" s="1" t="s">
        <v>2644</v>
      </c>
      <c r="N240" s="1" t="s">
        <v>2645</v>
      </c>
    </row>
    <row r="241" spans="1:15" x14ac:dyDescent="0.4">
      <c r="A241" s="16">
        <v>181863</v>
      </c>
      <c r="B241" s="1146">
        <v>45</v>
      </c>
      <c r="C241" s="16">
        <f t="shared" si="28"/>
        <v>225</v>
      </c>
      <c r="D241" s="1146">
        <v>0</v>
      </c>
      <c r="E241" s="1146">
        <v>0</v>
      </c>
      <c r="F241" s="1146">
        <v>0</v>
      </c>
      <c r="G241" s="1146">
        <v>0</v>
      </c>
      <c r="H241" s="1146">
        <v>0</v>
      </c>
      <c r="I241" s="1146">
        <v>0</v>
      </c>
      <c r="J241" s="1147">
        <f t="shared" si="29"/>
        <v>0</v>
      </c>
      <c r="K241" s="1147">
        <f t="shared" si="30"/>
        <v>0</v>
      </c>
      <c r="L241" s="1146">
        <f t="shared" si="31"/>
        <v>0</v>
      </c>
      <c r="M241" s="16" t="s">
        <v>2644</v>
      </c>
      <c r="N241" s="16" t="s">
        <v>2645</v>
      </c>
    </row>
    <row r="242" spans="1:15" x14ac:dyDescent="0.4">
      <c r="A242" s="16">
        <v>181864</v>
      </c>
      <c r="B242" s="1229">
        <v>45</v>
      </c>
      <c r="C242" s="16">
        <v>225</v>
      </c>
      <c r="D242" s="1229">
        <v>0</v>
      </c>
      <c r="E242" s="1229">
        <v>0</v>
      </c>
      <c r="F242" s="1229">
        <v>0</v>
      </c>
      <c r="G242" s="1229">
        <v>0</v>
      </c>
      <c r="H242" s="1229">
        <v>0</v>
      </c>
      <c r="I242" s="1229">
        <v>0</v>
      </c>
      <c r="J242" s="1230">
        <f t="shared" si="29"/>
        <v>0</v>
      </c>
      <c r="K242" s="1230">
        <f t="shared" si="30"/>
        <v>0</v>
      </c>
      <c r="L242" s="1229">
        <f t="shared" si="31"/>
        <v>0</v>
      </c>
      <c r="M242" s="16" t="s">
        <v>2644</v>
      </c>
      <c r="N242" s="16" t="s">
        <v>2645</v>
      </c>
    </row>
    <row r="243" spans="1:15" x14ac:dyDescent="0.4">
      <c r="A243" s="16">
        <v>181865</v>
      </c>
      <c r="B243" s="1540">
        <v>60</v>
      </c>
      <c r="C243" s="16">
        <v>300</v>
      </c>
      <c r="D243" s="1540">
        <v>0</v>
      </c>
      <c r="E243" s="1540">
        <v>0</v>
      </c>
      <c r="F243" s="1540">
        <v>0</v>
      </c>
      <c r="G243" s="1540">
        <v>0</v>
      </c>
      <c r="H243" s="1540">
        <v>0</v>
      </c>
      <c r="I243" s="1540">
        <v>0</v>
      </c>
      <c r="J243" s="1541">
        <f t="shared" si="29"/>
        <v>0</v>
      </c>
      <c r="K243" s="1541">
        <f t="shared" si="30"/>
        <v>0</v>
      </c>
      <c r="L243" s="1540">
        <f t="shared" si="31"/>
        <v>0</v>
      </c>
      <c r="M243" s="16" t="s">
        <v>2648</v>
      </c>
      <c r="N243" s="16" t="s">
        <v>2656</v>
      </c>
    </row>
    <row r="244" spans="1:15" x14ac:dyDescent="0.4">
      <c r="A244" s="1">
        <v>181866</v>
      </c>
      <c r="B244" s="1835">
        <v>60</v>
      </c>
      <c r="C244" s="1">
        <v>300</v>
      </c>
      <c r="D244" s="1835">
        <v>0</v>
      </c>
      <c r="E244" s="1835">
        <v>0</v>
      </c>
      <c r="F244" s="1835">
        <v>0</v>
      </c>
      <c r="G244" s="1835">
        <v>0</v>
      </c>
      <c r="H244" s="1835">
        <v>0</v>
      </c>
      <c r="I244" s="1835">
        <v>1</v>
      </c>
      <c r="J244" s="1836">
        <f t="shared" si="29"/>
        <v>1</v>
      </c>
      <c r="K244" s="1836">
        <f t="shared" si="30"/>
        <v>0</v>
      </c>
      <c r="L244" s="1835">
        <f t="shared" si="31"/>
        <v>0</v>
      </c>
      <c r="M244" s="1" t="s">
        <v>2648</v>
      </c>
      <c r="N244" s="1" t="s">
        <v>2657</v>
      </c>
    </row>
    <row r="245" spans="1:15" x14ac:dyDescent="0.4">
      <c r="A245" s="1">
        <v>181867</v>
      </c>
      <c r="B245" s="1835">
        <v>50</v>
      </c>
      <c r="C245" s="1">
        <v>250</v>
      </c>
      <c r="D245" s="1835">
        <v>0</v>
      </c>
      <c r="E245" s="1835">
        <v>0</v>
      </c>
      <c r="F245" s="1835">
        <v>0</v>
      </c>
      <c r="G245" s="1835">
        <v>0</v>
      </c>
      <c r="H245" s="1835">
        <v>1</v>
      </c>
      <c r="I245" s="1835">
        <v>1</v>
      </c>
      <c r="J245" s="1836">
        <f t="shared" si="29"/>
        <v>2</v>
      </c>
      <c r="K245" s="1836">
        <f t="shared" si="30"/>
        <v>1</v>
      </c>
      <c r="L245" s="1835">
        <f t="shared" si="31"/>
        <v>50</v>
      </c>
      <c r="M245" s="1" t="s">
        <v>2646</v>
      </c>
      <c r="N245" s="1" t="s">
        <v>2647</v>
      </c>
    </row>
    <row r="246" spans="1:15" x14ac:dyDescent="0.4">
      <c r="A246" s="16">
        <v>181868</v>
      </c>
      <c r="B246" s="1750">
        <v>60</v>
      </c>
      <c r="C246" s="16">
        <v>300</v>
      </c>
      <c r="D246" s="1750">
        <v>0</v>
      </c>
      <c r="E246" s="1750">
        <v>0</v>
      </c>
      <c r="F246" s="1750">
        <v>0</v>
      </c>
      <c r="G246" s="1750">
        <v>0</v>
      </c>
      <c r="H246" s="1750">
        <v>0</v>
      </c>
      <c r="I246" s="1750">
        <v>0</v>
      </c>
      <c r="J246" s="1751">
        <f t="shared" si="29"/>
        <v>0</v>
      </c>
      <c r="K246" s="1751">
        <f t="shared" si="30"/>
        <v>0</v>
      </c>
      <c r="L246" s="1750">
        <f t="shared" si="31"/>
        <v>0</v>
      </c>
      <c r="M246" s="16" t="s">
        <v>2646</v>
      </c>
      <c r="N246" s="16" t="s">
        <v>2647</v>
      </c>
    </row>
    <row r="247" spans="1:15" x14ac:dyDescent="0.4">
      <c r="A247" s="1">
        <v>181869</v>
      </c>
      <c r="B247" s="1835">
        <v>45</v>
      </c>
      <c r="C247" s="1">
        <f>SUM(B247*5)</f>
        <v>225</v>
      </c>
      <c r="D247" s="1835">
        <v>1</v>
      </c>
      <c r="E247" s="1835">
        <v>1</v>
      </c>
      <c r="F247" s="1835">
        <v>1</v>
      </c>
      <c r="G247" s="1835">
        <v>1</v>
      </c>
      <c r="H247" s="1835">
        <v>1</v>
      </c>
      <c r="I247" s="1835">
        <v>1</v>
      </c>
      <c r="J247" s="1836">
        <f>SUM(D247:I247)</f>
        <v>6</v>
      </c>
      <c r="K247" s="1836">
        <f>SUM(D247:H247)</f>
        <v>5</v>
      </c>
      <c r="L247" s="1835">
        <f>B247*K247</f>
        <v>225</v>
      </c>
      <c r="M247" s="1" t="s">
        <v>2649</v>
      </c>
      <c r="N247" s="1" t="s">
        <v>2650</v>
      </c>
    </row>
    <row r="248" spans="1:15" x14ac:dyDescent="0.4">
      <c r="A248" s="16">
        <v>181870</v>
      </c>
      <c r="B248" s="1372">
        <v>60</v>
      </c>
      <c r="C248" s="16">
        <f t="shared" si="28"/>
        <v>300</v>
      </c>
      <c r="D248" s="1372">
        <v>0</v>
      </c>
      <c r="E248" s="1372">
        <v>0</v>
      </c>
      <c r="F248" s="1372">
        <v>0</v>
      </c>
      <c r="G248" s="1372">
        <v>0</v>
      </c>
      <c r="H248" s="1372">
        <v>0</v>
      </c>
      <c r="I248" s="1372">
        <v>0</v>
      </c>
      <c r="J248" s="1373">
        <f t="shared" si="29"/>
        <v>0</v>
      </c>
      <c r="K248" s="1373">
        <f t="shared" si="30"/>
        <v>0</v>
      </c>
      <c r="L248" s="1372">
        <f t="shared" si="31"/>
        <v>0</v>
      </c>
      <c r="M248" s="16" t="s">
        <v>2651</v>
      </c>
      <c r="N248" s="16" t="s">
        <v>2653</v>
      </c>
    </row>
    <row r="249" spans="1:15" x14ac:dyDescent="0.4">
      <c r="A249" s="18">
        <v>181871</v>
      </c>
      <c r="B249" s="1542">
        <v>60</v>
      </c>
      <c r="C249" s="18">
        <v>300</v>
      </c>
      <c r="D249" s="1542">
        <v>0</v>
      </c>
      <c r="E249" s="1542">
        <v>0</v>
      </c>
      <c r="F249" s="1542">
        <v>0</v>
      </c>
      <c r="G249" s="1542">
        <v>0</v>
      </c>
      <c r="H249" s="1542">
        <v>0</v>
      </c>
      <c r="I249" s="1542">
        <v>0</v>
      </c>
      <c r="J249" s="28">
        <f t="shared" si="29"/>
        <v>0</v>
      </c>
      <c r="K249" s="28">
        <f t="shared" si="30"/>
        <v>0</v>
      </c>
      <c r="L249" s="1542">
        <f t="shared" si="31"/>
        <v>0</v>
      </c>
      <c r="M249" s="18" t="s">
        <v>2651</v>
      </c>
      <c r="N249" s="18" t="s">
        <v>2654</v>
      </c>
    </row>
    <row r="250" spans="1:15" x14ac:dyDescent="0.4">
      <c r="A250" s="16">
        <v>181872</v>
      </c>
      <c r="B250" s="1201">
        <v>60</v>
      </c>
      <c r="C250" s="16">
        <v>300</v>
      </c>
      <c r="D250" s="1201">
        <v>0</v>
      </c>
      <c r="E250" s="1201">
        <v>0</v>
      </c>
      <c r="F250" s="1201">
        <v>0</v>
      </c>
      <c r="G250" s="1201">
        <v>0</v>
      </c>
      <c r="H250" s="1201">
        <v>0</v>
      </c>
      <c r="I250" s="1201">
        <v>0</v>
      </c>
      <c r="J250" s="1202">
        <f t="shared" si="29"/>
        <v>0</v>
      </c>
      <c r="K250" s="1202">
        <f t="shared" si="30"/>
        <v>0</v>
      </c>
      <c r="L250" s="1201">
        <f t="shared" si="31"/>
        <v>0</v>
      </c>
      <c r="M250" s="16" t="s">
        <v>2652</v>
      </c>
      <c r="N250" s="16" t="s">
        <v>2655</v>
      </c>
    </row>
    <row r="251" spans="1:15" x14ac:dyDescent="0.4">
      <c r="A251" s="16">
        <v>181873</v>
      </c>
      <c r="B251" s="1419">
        <v>60</v>
      </c>
      <c r="C251" s="16">
        <v>300</v>
      </c>
      <c r="D251" s="1419">
        <v>0</v>
      </c>
      <c r="E251" s="1419">
        <v>0</v>
      </c>
      <c r="F251" s="1419">
        <v>0</v>
      </c>
      <c r="G251" s="1419">
        <v>0</v>
      </c>
      <c r="H251" s="1419">
        <v>0</v>
      </c>
      <c r="I251" s="1419">
        <v>0</v>
      </c>
      <c r="J251" s="1420">
        <f>SUM(D251:I251)</f>
        <v>0</v>
      </c>
      <c r="K251" s="1420">
        <f>SUM(D251:H251)</f>
        <v>0</v>
      </c>
      <c r="L251" s="1419">
        <f>B251*K251</f>
        <v>0</v>
      </c>
      <c r="M251" s="16" t="s">
        <v>2652</v>
      </c>
      <c r="N251" s="16" t="s">
        <v>2655</v>
      </c>
    </row>
    <row r="252" spans="1:15" x14ac:dyDescent="0.4">
      <c r="A252" s="16">
        <v>181874</v>
      </c>
      <c r="B252" s="1135">
        <v>60</v>
      </c>
      <c r="C252" s="16">
        <v>300</v>
      </c>
      <c r="D252" s="1135">
        <v>0</v>
      </c>
      <c r="E252" s="1135">
        <v>0</v>
      </c>
      <c r="F252" s="1135">
        <v>0</v>
      </c>
      <c r="G252" s="1135">
        <v>0</v>
      </c>
      <c r="H252" s="1135">
        <v>0</v>
      </c>
      <c r="I252" s="1135">
        <v>0</v>
      </c>
      <c r="J252" s="1136">
        <f t="shared" si="29"/>
        <v>0</v>
      </c>
      <c r="K252" s="1136">
        <f t="shared" si="30"/>
        <v>0</v>
      </c>
      <c r="L252" s="1135">
        <f t="shared" si="31"/>
        <v>0</v>
      </c>
      <c r="M252" s="16" t="s">
        <v>2652</v>
      </c>
      <c r="N252" s="16" t="s">
        <v>2655</v>
      </c>
    </row>
    <row r="253" spans="1:15" x14ac:dyDescent="0.4">
      <c r="A253" s="16">
        <v>181875</v>
      </c>
      <c r="B253" s="1807">
        <v>45</v>
      </c>
      <c r="C253" s="16">
        <v>300</v>
      </c>
      <c r="D253" s="1807">
        <v>0</v>
      </c>
      <c r="E253" s="1807">
        <v>0</v>
      </c>
      <c r="F253" s="1807">
        <v>0</v>
      </c>
      <c r="G253" s="1807">
        <v>0</v>
      </c>
      <c r="H253" s="1807">
        <v>0</v>
      </c>
      <c r="I253" s="1807">
        <v>0</v>
      </c>
      <c r="J253" s="1808">
        <f t="shared" si="29"/>
        <v>0</v>
      </c>
      <c r="K253" s="1808">
        <f t="shared" si="30"/>
        <v>0</v>
      </c>
      <c r="L253" s="1807">
        <f t="shared" si="31"/>
        <v>0</v>
      </c>
      <c r="M253" s="16" t="s">
        <v>2652</v>
      </c>
      <c r="N253" s="16" t="s">
        <v>2655</v>
      </c>
    </row>
    <row r="254" spans="1:15" x14ac:dyDescent="0.4">
      <c r="A254" s="16">
        <v>181876</v>
      </c>
      <c r="B254" s="1797">
        <v>45</v>
      </c>
      <c r="C254" s="16">
        <f t="shared" si="28"/>
        <v>225</v>
      </c>
      <c r="D254" s="1797">
        <v>0</v>
      </c>
      <c r="E254" s="1797">
        <v>0</v>
      </c>
      <c r="F254" s="1797">
        <v>0</v>
      </c>
      <c r="G254" s="1797">
        <v>0</v>
      </c>
      <c r="H254" s="1797">
        <v>0</v>
      </c>
      <c r="I254" s="1797">
        <v>0</v>
      </c>
      <c r="J254" s="1798">
        <f t="shared" si="29"/>
        <v>0</v>
      </c>
      <c r="K254" s="1798">
        <f t="shared" si="30"/>
        <v>0</v>
      </c>
      <c r="L254" s="1797">
        <f t="shared" si="31"/>
        <v>0</v>
      </c>
      <c r="M254" s="16" t="s">
        <v>2672</v>
      </c>
      <c r="N254" s="18" t="s">
        <v>2673</v>
      </c>
    </row>
    <row r="255" spans="1:15" x14ac:dyDescent="0.4">
      <c r="A255" s="1">
        <v>181877</v>
      </c>
      <c r="B255" s="1835">
        <v>50</v>
      </c>
      <c r="C255" s="1">
        <f t="shared" si="28"/>
        <v>250</v>
      </c>
      <c r="D255" s="1835">
        <v>0</v>
      </c>
      <c r="E255" s="1835">
        <v>0</v>
      </c>
      <c r="F255" s="1835">
        <v>1</v>
      </c>
      <c r="G255" s="1835">
        <v>1</v>
      </c>
      <c r="H255" s="1835">
        <v>1</v>
      </c>
      <c r="I255" s="1835">
        <v>1</v>
      </c>
      <c r="J255" s="1836">
        <f t="shared" si="29"/>
        <v>4</v>
      </c>
      <c r="K255" s="1836">
        <f t="shared" si="30"/>
        <v>3</v>
      </c>
      <c r="L255" s="1835">
        <f t="shared" si="31"/>
        <v>150</v>
      </c>
      <c r="M255" s="1" t="s">
        <v>2674</v>
      </c>
      <c r="N255" s="1" t="s">
        <v>2675</v>
      </c>
      <c r="O255" t="s">
        <v>3877</v>
      </c>
    </row>
    <row r="256" spans="1:15" x14ac:dyDescent="0.4">
      <c r="A256" s="16">
        <v>181878</v>
      </c>
      <c r="B256" s="1235">
        <v>45</v>
      </c>
      <c r="C256" s="16">
        <v>225</v>
      </c>
      <c r="D256" s="1235">
        <v>0</v>
      </c>
      <c r="E256" s="1235">
        <v>0</v>
      </c>
      <c r="F256" s="1235">
        <v>0</v>
      </c>
      <c r="G256" s="1235">
        <v>0</v>
      </c>
      <c r="H256" s="1235">
        <v>0</v>
      </c>
      <c r="I256" s="1235">
        <v>0</v>
      </c>
      <c r="J256" s="1236">
        <f t="shared" si="29"/>
        <v>0</v>
      </c>
      <c r="K256" s="1236">
        <f t="shared" si="30"/>
        <v>0</v>
      </c>
      <c r="L256" s="1235">
        <f t="shared" si="31"/>
        <v>0</v>
      </c>
      <c r="M256" s="16" t="s">
        <v>2676</v>
      </c>
      <c r="N256" s="16" t="s">
        <v>2677</v>
      </c>
    </row>
    <row r="257" spans="1:14" x14ac:dyDescent="0.4">
      <c r="A257" s="16">
        <v>181879</v>
      </c>
      <c r="B257" s="1150">
        <v>50</v>
      </c>
      <c r="C257" s="16">
        <f t="shared" si="28"/>
        <v>250</v>
      </c>
      <c r="D257" s="1150">
        <v>0</v>
      </c>
      <c r="E257" s="1150">
        <v>0</v>
      </c>
      <c r="F257" s="1150">
        <v>0</v>
      </c>
      <c r="G257" s="1150">
        <v>0</v>
      </c>
      <c r="H257" s="1150">
        <v>0</v>
      </c>
      <c r="I257" s="1150">
        <v>0</v>
      </c>
      <c r="J257" s="1151">
        <f t="shared" si="29"/>
        <v>0</v>
      </c>
      <c r="K257" s="1151">
        <f t="shared" si="30"/>
        <v>0</v>
      </c>
      <c r="L257" s="1150">
        <f t="shared" si="31"/>
        <v>0</v>
      </c>
      <c r="M257" s="16" t="s">
        <v>2676</v>
      </c>
      <c r="N257" s="16" t="s">
        <v>2677</v>
      </c>
    </row>
    <row r="258" spans="1:14" x14ac:dyDescent="0.4">
      <c r="A258" s="16">
        <v>181880</v>
      </c>
      <c r="B258" s="1058">
        <v>45</v>
      </c>
      <c r="C258" s="16">
        <v>225</v>
      </c>
      <c r="D258" s="1058">
        <v>0</v>
      </c>
      <c r="E258" s="1058">
        <v>0</v>
      </c>
      <c r="F258" s="1058">
        <v>0</v>
      </c>
      <c r="G258" s="1058">
        <v>0</v>
      </c>
      <c r="H258" s="1058">
        <v>0</v>
      </c>
      <c r="I258" s="1058">
        <v>0</v>
      </c>
      <c r="J258" s="1059">
        <f t="shared" si="29"/>
        <v>0</v>
      </c>
      <c r="K258" s="1059">
        <f t="shared" si="30"/>
        <v>0</v>
      </c>
      <c r="L258" s="1058">
        <f t="shared" si="31"/>
        <v>0</v>
      </c>
      <c r="M258" s="16" t="s">
        <v>2676</v>
      </c>
      <c r="N258" s="16" t="s">
        <v>2677</v>
      </c>
    </row>
    <row r="259" spans="1:14" x14ac:dyDescent="0.4">
      <c r="A259" s="16">
        <v>181881</v>
      </c>
      <c r="B259" s="933">
        <v>45</v>
      </c>
      <c r="C259" s="16">
        <v>0</v>
      </c>
      <c r="D259" s="933">
        <v>0</v>
      </c>
      <c r="E259" s="933">
        <v>0</v>
      </c>
      <c r="F259" s="933">
        <v>0</v>
      </c>
      <c r="G259" s="933">
        <v>0</v>
      </c>
      <c r="H259" s="933">
        <v>0</v>
      </c>
      <c r="I259" s="933">
        <v>0</v>
      </c>
      <c r="J259" s="934">
        <f t="shared" si="29"/>
        <v>0</v>
      </c>
      <c r="K259" s="934">
        <f t="shared" si="30"/>
        <v>0</v>
      </c>
      <c r="L259" s="933">
        <f t="shared" si="31"/>
        <v>0</v>
      </c>
      <c r="M259" s="16" t="s">
        <v>2678</v>
      </c>
      <c r="N259" s="16" t="s">
        <v>2679</v>
      </c>
    </row>
    <row r="260" spans="1:14" x14ac:dyDescent="0.4">
      <c r="A260" s="16">
        <v>181882</v>
      </c>
      <c r="B260" s="1485">
        <v>50</v>
      </c>
      <c r="C260" s="16">
        <v>250</v>
      </c>
      <c r="D260" s="1485">
        <v>0</v>
      </c>
      <c r="E260" s="1485">
        <v>0</v>
      </c>
      <c r="F260" s="1485">
        <v>0</v>
      </c>
      <c r="G260" s="1485">
        <v>0</v>
      </c>
      <c r="H260" s="1485">
        <v>0</v>
      </c>
      <c r="I260" s="1485">
        <v>0</v>
      </c>
      <c r="J260" s="1486">
        <f t="shared" si="29"/>
        <v>0</v>
      </c>
      <c r="K260" s="1486">
        <f t="shared" si="30"/>
        <v>0</v>
      </c>
      <c r="L260" s="1485">
        <f t="shared" si="31"/>
        <v>0</v>
      </c>
      <c r="M260" s="16" t="s">
        <v>2678</v>
      </c>
      <c r="N260" s="16" t="s">
        <v>2679</v>
      </c>
    </row>
    <row r="261" spans="1:14" x14ac:dyDescent="0.4">
      <c r="A261" s="16">
        <v>181883</v>
      </c>
      <c r="B261" s="1447">
        <v>100</v>
      </c>
      <c r="C261" s="16">
        <f t="shared" si="28"/>
        <v>500</v>
      </c>
      <c r="D261" s="1447">
        <v>0</v>
      </c>
      <c r="E261" s="1447">
        <v>0</v>
      </c>
      <c r="F261" s="1447">
        <v>0</v>
      </c>
      <c r="G261" s="1447">
        <v>0</v>
      </c>
      <c r="H261" s="1447">
        <v>0</v>
      </c>
      <c r="I261" s="1447">
        <v>0</v>
      </c>
      <c r="J261" s="1448">
        <f t="shared" si="29"/>
        <v>0</v>
      </c>
      <c r="K261" s="1448">
        <f t="shared" si="30"/>
        <v>0</v>
      </c>
      <c r="L261" s="1447">
        <f t="shared" si="31"/>
        <v>0</v>
      </c>
      <c r="M261" s="16" t="s">
        <v>2678</v>
      </c>
      <c r="N261" s="16" t="s">
        <v>2679</v>
      </c>
    </row>
    <row r="262" spans="1:14" x14ac:dyDescent="0.4">
      <c r="A262" s="1">
        <v>181884</v>
      </c>
      <c r="B262" s="1835">
        <v>45</v>
      </c>
      <c r="C262" s="1">
        <f t="shared" si="28"/>
        <v>225</v>
      </c>
      <c r="D262" s="1835">
        <v>0</v>
      </c>
      <c r="E262" s="1835">
        <v>0</v>
      </c>
      <c r="F262" s="1835">
        <v>0</v>
      </c>
      <c r="G262" s="1835">
        <v>0</v>
      </c>
      <c r="H262" s="1835">
        <v>0</v>
      </c>
      <c r="I262" s="1835">
        <v>1</v>
      </c>
      <c r="J262" s="1836">
        <f t="shared" si="29"/>
        <v>1</v>
      </c>
      <c r="K262" s="1836">
        <f t="shared" si="30"/>
        <v>0</v>
      </c>
      <c r="L262" s="1835">
        <f t="shared" si="31"/>
        <v>0</v>
      </c>
      <c r="M262" s="1" t="s">
        <v>2680</v>
      </c>
      <c r="N262" s="1" t="s">
        <v>2681</v>
      </c>
    </row>
    <row r="263" spans="1:14" x14ac:dyDescent="0.4">
      <c r="A263" s="16">
        <v>181885</v>
      </c>
      <c r="B263" s="1267">
        <v>45</v>
      </c>
      <c r="C263" s="16">
        <f t="shared" si="28"/>
        <v>225</v>
      </c>
      <c r="D263" s="1267">
        <v>0</v>
      </c>
      <c r="E263" s="1267">
        <v>0</v>
      </c>
      <c r="F263" s="1267">
        <v>0</v>
      </c>
      <c r="G263" s="1267">
        <v>0</v>
      </c>
      <c r="H263" s="1267">
        <v>0</v>
      </c>
      <c r="I263" s="1267">
        <v>0</v>
      </c>
      <c r="J263" s="1268">
        <f t="shared" si="29"/>
        <v>0</v>
      </c>
      <c r="K263" s="1268">
        <f t="shared" si="30"/>
        <v>0</v>
      </c>
      <c r="L263" s="1267">
        <f t="shared" si="31"/>
        <v>0</v>
      </c>
      <c r="M263" s="16" t="s">
        <v>2682</v>
      </c>
      <c r="N263" s="16" t="s">
        <v>2683</v>
      </c>
    </row>
    <row r="264" spans="1:14" x14ac:dyDescent="0.4">
      <c r="A264" s="16">
        <v>181886</v>
      </c>
      <c r="B264" s="1408">
        <v>60</v>
      </c>
      <c r="C264" s="16">
        <f t="shared" si="28"/>
        <v>300</v>
      </c>
      <c r="D264" s="1408">
        <v>0</v>
      </c>
      <c r="E264" s="1408">
        <v>0</v>
      </c>
      <c r="F264" s="1408">
        <v>0</v>
      </c>
      <c r="G264" s="1408">
        <v>0</v>
      </c>
      <c r="H264" s="1408">
        <v>0</v>
      </c>
      <c r="I264" s="1408">
        <v>0</v>
      </c>
      <c r="J264" s="1409">
        <f t="shared" si="29"/>
        <v>0</v>
      </c>
      <c r="K264" s="1409">
        <f t="shared" si="30"/>
        <v>0</v>
      </c>
      <c r="L264" s="1408">
        <f t="shared" si="31"/>
        <v>0</v>
      </c>
      <c r="M264" s="16" t="s">
        <v>2682</v>
      </c>
      <c r="N264" s="16" t="s">
        <v>2683</v>
      </c>
    </row>
    <row r="265" spans="1:14" x14ac:dyDescent="0.4">
      <c r="A265" s="16">
        <v>181887</v>
      </c>
      <c r="B265" s="1568">
        <v>45</v>
      </c>
      <c r="C265" s="16">
        <f t="shared" si="28"/>
        <v>225</v>
      </c>
      <c r="D265" s="1568">
        <v>0</v>
      </c>
      <c r="E265" s="1568">
        <v>0</v>
      </c>
      <c r="F265" s="1568">
        <v>0</v>
      </c>
      <c r="G265" s="1568">
        <v>0</v>
      </c>
      <c r="H265" s="1568">
        <v>0</v>
      </c>
      <c r="I265" s="1568">
        <v>0</v>
      </c>
      <c r="J265" s="1569">
        <f t="shared" si="29"/>
        <v>0</v>
      </c>
      <c r="K265" s="1569">
        <f t="shared" si="30"/>
        <v>0</v>
      </c>
      <c r="L265" s="1568">
        <f t="shared" si="31"/>
        <v>0</v>
      </c>
      <c r="M265" s="16" t="s">
        <v>2684</v>
      </c>
      <c r="N265" s="16" t="s">
        <v>2685</v>
      </c>
    </row>
    <row r="266" spans="1:14" x14ac:dyDescent="0.4">
      <c r="A266" s="1">
        <v>181888</v>
      </c>
      <c r="B266" s="1835">
        <v>45</v>
      </c>
      <c r="C266" s="1">
        <f t="shared" si="28"/>
        <v>225</v>
      </c>
      <c r="D266" s="1835">
        <v>0</v>
      </c>
      <c r="E266" s="1835">
        <v>1</v>
      </c>
      <c r="F266" s="1835">
        <v>1</v>
      </c>
      <c r="G266" s="1835">
        <v>1</v>
      </c>
      <c r="H266" s="1835">
        <v>1</v>
      </c>
      <c r="I266" s="1835">
        <v>1</v>
      </c>
      <c r="J266" s="1836">
        <f t="shared" si="29"/>
        <v>5</v>
      </c>
      <c r="K266" s="1836">
        <f t="shared" si="30"/>
        <v>4</v>
      </c>
      <c r="L266" s="1835">
        <f t="shared" si="31"/>
        <v>180</v>
      </c>
      <c r="M266" s="1" t="s">
        <v>2686</v>
      </c>
      <c r="N266" s="1" t="s">
        <v>2687</v>
      </c>
    </row>
    <row r="267" spans="1:14" x14ac:dyDescent="0.4">
      <c r="A267" s="16">
        <v>181889</v>
      </c>
      <c r="B267" s="980">
        <v>45</v>
      </c>
      <c r="C267" s="16">
        <f t="shared" si="28"/>
        <v>225</v>
      </c>
      <c r="D267" s="980">
        <v>0</v>
      </c>
      <c r="E267" s="980">
        <v>0</v>
      </c>
      <c r="F267" s="980">
        <v>0</v>
      </c>
      <c r="G267" s="980">
        <v>0</v>
      </c>
      <c r="H267" s="980">
        <v>0</v>
      </c>
      <c r="I267" s="980">
        <v>0</v>
      </c>
      <c r="J267" s="981">
        <f t="shared" si="29"/>
        <v>0</v>
      </c>
      <c r="K267" s="981">
        <f t="shared" si="30"/>
        <v>0</v>
      </c>
      <c r="L267" s="980">
        <f t="shared" si="31"/>
        <v>0</v>
      </c>
      <c r="M267" s="16" t="s">
        <v>2686</v>
      </c>
      <c r="N267" s="16" t="s">
        <v>2687</v>
      </c>
    </row>
    <row r="268" spans="1:14" x14ac:dyDescent="0.4">
      <c r="A268" s="16">
        <v>181890</v>
      </c>
      <c r="B268" s="1398">
        <v>45</v>
      </c>
      <c r="C268" s="16">
        <f t="shared" ref="C268:C298" si="32">SUM(B268*5)</f>
        <v>225</v>
      </c>
      <c r="D268" s="1398">
        <v>0</v>
      </c>
      <c r="E268" s="1398">
        <v>0</v>
      </c>
      <c r="F268" s="1398">
        <v>0</v>
      </c>
      <c r="G268" s="1398">
        <v>0</v>
      </c>
      <c r="H268" s="1398">
        <v>0</v>
      </c>
      <c r="I268" s="1398">
        <v>0</v>
      </c>
      <c r="J268" s="1399">
        <f t="shared" ref="J268:J298" si="33">SUM(D268:I268)</f>
        <v>0</v>
      </c>
      <c r="K268" s="1399">
        <f t="shared" ref="K268:K298" si="34">SUM(D268:H268)</f>
        <v>0</v>
      </c>
      <c r="L268" s="1398">
        <f t="shared" ref="L268:L298" si="35">B268*K268</f>
        <v>0</v>
      </c>
      <c r="M268" s="16" t="s">
        <v>2174</v>
      </c>
      <c r="N268" s="16" t="s">
        <v>2688</v>
      </c>
    </row>
    <row r="269" spans="1:14" x14ac:dyDescent="0.4">
      <c r="A269" s="16">
        <v>181891</v>
      </c>
      <c r="B269" s="1398">
        <v>120</v>
      </c>
      <c r="C269" s="16">
        <f t="shared" si="32"/>
        <v>600</v>
      </c>
      <c r="D269" s="1398">
        <v>0</v>
      </c>
      <c r="E269" s="1398">
        <v>0</v>
      </c>
      <c r="F269" s="1398">
        <v>0</v>
      </c>
      <c r="G269" s="1398">
        <v>0</v>
      </c>
      <c r="H269" s="1398">
        <v>0</v>
      </c>
      <c r="I269" s="1398">
        <v>0</v>
      </c>
      <c r="J269" s="1399">
        <f t="shared" si="33"/>
        <v>0</v>
      </c>
      <c r="K269" s="1399">
        <f t="shared" si="34"/>
        <v>0</v>
      </c>
      <c r="L269" s="1398">
        <f t="shared" si="35"/>
        <v>0</v>
      </c>
      <c r="M269" s="16" t="s">
        <v>2689</v>
      </c>
      <c r="N269" s="16" t="s">
        <v>2690</v>
      </c>
    </row>
    <row r="270" spans="1:14" x14ac:dyDescent="0.4">
      <c r="A270" s="16">
        <v>181892</v>
      </c>
      <c r="B270" s="1359">
        <v>45</v>
      </c>
      <c r="C270" s="16">
        <f t="shared" si="32"/>
        <v>225</v>
      </c>
      <c r="D270" s="1359">
        <v>0</v>
      </c>
      <c r="E270" s="1359">
        <v>0</v>
      </c>
      <c r="F270" s="1359">
        <v>0</v>
      </c>
      <c r="G270" s="1359">
        <v>0</v>
      </c>
      <c r="H270" s="1359">
        <v>0</v>
      </c>
      <c r="I270" s="1359">
        <v>0</v>
      </c>
      <c r="J270" s="1360">
        <f t="shared" si="33"/>
        <v>0</v>
      </c>
      <c r="K270" s="1360">
        <f t="shared" si="34"/>
        <v>0</v>
      </c>
      <c r="L270" s="1359">
        <f t="shared" si="35"/>
        <v>0</v>
      </c>
      <c r="M270" s="16" t="s">
        <v>2691</v>
      </c>
      <c r="N270" s="16" t="s">
        <v>2692</v>
      </c>
    </row>
    <row r="271" spans="1:14" x14ac:dyDescent="0.4">
      <c r="A271" s="16">
        <v>181893</v>
      </c>
      <c r="B271" s="1039">
        <v>45</v>
      </c>
      <c r="C271" s="16">
        <f t="shared" si="32"/>
        <v>225</v>
      </c>
      <c r="D271" s="1039">
        <v>0</v>
      </c>
      <c r="E271" s="1039">
        <v>0</v>
      </c>
      <c r="F271" s="1039">
        <v>0</v>
      </c>
      <c r="G271" s="1039">
        <v>0</v>
      </c>
      <c r="H271" s="1039">
        <v>0</v>
      </c>
      <c r="I271" s="1039">
        <v>0</v>
      </c>
      <c r="J271" s="1040">
        <f t="shared" si="33"/>
        <v>0</v>
      </c>
      <c r="K271" s="1040">
        <f t="shared" si="34"/>
        <v>0</v>
      </c>
      <c r="L271" s="1039">
        <f t="shared" si="35"/>
        <v>0</v>
      </c>
      <c r="M271" s="16" t="s">
        <v>2691</v>
      </c>
      <c r="N271" s="16" t="s">
        <v>2692</v>
      </c>
    </row>
    <row r="272" spans="1:14" x14ac:dyDescent="0.4">
      <c r="A272" s="16">
        <v>181894</v>
      </c>
      <c r="B272" s="996">
        <v>60</v>
      </c>
      <c r="C272" s="16">
        <f t="shared" si="32"/>
        <v>300</v>
      </c>
      <c r="D272" s="996">
        <v>0</v>
      </c>
      <c r="E272" s="996">
        <v>0</v>
      </c>
      <c r="F272" s="996">
        <v>0</v>
      </c>
      <c r="G272" s="996">
        <v>0</v>
      </c>
      <c r="H272" s="996">
        <v>0</v>
      </c>
      <c r="I272" s="996">
        <v>0</v>
      </c>
      <c r="J272" s="997">
        <f t="shared" si="33"/>
        <v>0</v>
      </c>
      <c r="K272" s="997">
        <f t="shared" si="34"/>
        <v>0</v>
      </c>
      <c r="L272" s="996">
        <f t="shared" si="35"/>
        <v>0</v>
      </c>
      <c r="M272" s="16" t="s">
        <v>2693</v>
      </c>
      <c r="N272" s="16" t="s">
        <v>2694</v>
      </c>
    </row>
    <row r="273" spans="1:14" x14ac:dyDescent="0.4">
      <c r="A273" s="16">
        <v>181895</v>
      </c>
      <c r="B273" s="1148">
        <v>100</v>
      </c>
      <c r="C273" s="16">
        <f t="shared" si="32"/>
        <v>500</v>
      </c>
      <c r="D273" s="1148">
        <v>0</v>
      </c>
      <c r="E273" s="1148">
        <v>0</v>
      </c>
      <c r="F273" s="1148">
        <v>0</v>
      </c>
      <c r="G273" s="1148">
        <v>0</v>
      </c>
      <c r="H273" s="1148">
        <v>0</v>
      </c>
      <c r="I273" s="1148">
        <v>0</v>
      </c>
      <c r="J273" s="1149">
        <f t="shared" si="33"/>
        <v>0</v>
      </c>
      <c r="K273" s="1149">
        <f t="shared" si="34"/>
        <v>0</v>
      </c>
      <c r="L273" s="1148">
        <f t="shared" si="35"/>
        <v>0</v>
      </c>
      <c r="M273" s="16" t="s">
        <v>2693</v>
      </c>
      <c r="N273" s="16" t="s">
        <v>2694</v>
      </c>
    </row>
    <row r="274" spans="1:14" x14ac:dyDescent="0.4">
      <c r="A274" s="16">
        <v>181896</v>
      </c>
      <c r="B274" s="1252">
        <v>60</v>
      </c>
      <c r="C274" s="16">
        <f t="shared" si="32"/>
        <v>300</v>
      </c>
      <c r="D274" s="1252">
        <v>0</v>
      </c>
      <c r="E274" s="1252">
        <v>0</v>
      </c>
      <c r="F274" s="1252">
        <v>0</v>
      </c>
      <c r="G274" s="1252">
        <v>0</v>
      </c>
      <c r="H274" s="1252">
        <v>0</v>
      </c>
      <c r="I274" s="1252">
        <v>0</v>
      </c>
      <c r="J274" s="1254">
        <f t="shared" si="33"/>
        <v>0</v>
      </c>
      <c r="K274" s="1254">
        <f t="shared" si="34"/>
        <v>0</v>
      </c>
      <c r="L274" s="1252">
        <f t="shared" si="35"/>
        <v>0</v>
      </c>
      <c r="M274" s="16" t="s">
        <v>2693</v>
      </c>
      <c r="N274" s="16" t="s">
        <v>2694</v>
      </c>
    </row>
    <row r="275" spans="1:14" x14ac:dyDescent="0.4">
      <c r="A275" s="16">
        <v>181897</v>
      </c>
      <c r="B275" s="1265">
        <v>60</v>
      </c>
      <c r="C275" s="16">
        <f t="shared" si="32"/>
        <v>300</v>
      </c>
      <c r="D275" s="1265">
        <v>0</v>
      </c>
      <c r="E275" s="1265">
        <v>0</v>
      </c>
      <c r="F275" s="1265">
        <v>0</v>
      </c>
      <c r="G275" s="1265">
        <v>0</v>
      </c>
      <c r="H275" s="1265">
        <v>0</v>
      </c>
      <c r="I275" s="1265">
        <v>0</v>
      </c>
      <c r="J275" s="1266">
        <f t="shared" si="33"/>
        <v>0</v>
      </c>
      <c r="K275" s="1266">
        <f t="shared" si="34"/>
        <v>0</v>
      </c>
      <c r="L275" s="1265">
        <f t="shared" si="35"/>
        <v>0</v>
      </c>
      <c r="M275" s="16" t="s">
        <v>2695</v>
      </c>
      <c r="N275" s="16" t="s">
        <v>2696</v>
      </c>
    </row>
    <row r="276" spans="1:14" x14ac:dyDescent="0.4">
      <c r="A276" s="1">
        <v>181898</v>
      </c>
      <c r="B276" s="1835">
        <v>60</v>
      </c>
      <c r="C276" s="1">
        <f t="shared" si="32"/>
        <v>300</v>
      </c>
      <c r="D276" s="1835">
        <v>0</v>
      </c>
      <c r="E276" s="1835">
        <v>0</v>
      </c>
      <c r="F276" s="1835">
        <v>0</v>
      </c>
      <c r="G276" s="1835">
        <v>0</v>
      </c>
      <c r="H276" s="1835">
        <v>0</v>
      </c>
      <c r="I276" s="1835">
        <v>0</v>
      </c>
      <c r="J276" s="1836">
        <f t="shared" si="33"/>
        <v>0</v>
      </c>
      <c r="K276" s="1836">
        <f t="shared" si="34"/>
        <v>0</v>
      </c>
      <c r="L276" s="1835">
        <f t="shared" si="35"/>
        <v>0</v>
      </c>
      <c r="M276" s="1" t="s">
        <v>2695</v>
      </c>
      <c r="N276" s="1" t="s">
        <v>2696</v>
      </c>
    </row>
    <row r="277" spans="1:14" x14ac:dyDescent="0.4">
      <c r="A277" s="1">
        <v>181899</v>
      </c>
      <c r="B277" s="1845">
        <v>45</v>
      </c>
      <c r="C277" s="1">
        <f t="shared" si="32"/>
        <v>225</v>
      </c>
      <c r="D277" s="1845">
        <v>1</v>
      </c>
      <c r="E277" s="1845">
        <v>1</v>
      </c>
      <c r="F277" s="1845">
        <v>1</v>
      </c>
      <c r="G277" s="1845">
        <v>1</v>
      </c>
      <c r="H277" s="1845">
        <v>1</v>
      </c>
      <c r="I277" s="1845">
        <v>1</v>
      </c>
      <c r="J277" s="1846">
        <f t="shared" si="33"/>
        <v>6</v>
      </c>
      <c r="K277" s="1846">
        <f t="shared" si="34"/>
        <v>5</v>
      </c>
      <c r="L277" s="1845">
        <f t="shared" si="35"/>
        <v>225</v>
      </c>
      <c r="M277" s="1" t="s">
        <v>2697</v>
      </c>
      <c r="N277" s="1" t="s">
        <v>2698</v>
      </c>
    </row>
    <row r="278" spans="1:14" x14ac:dyDescent="0.4">
      <c r="A278" s="16">
        <v>181900</v>
      </c>
      <c r="B278" s="1070">
        <v>45</v>
      </c>
      <c r="C278" s="16">
        <f t="shared" si="32"/>
        <v>225</v>
      </c>
      <c r="D278" s="1070">
        <v>0</v>
      </c>
      <c r="E278" s="1070">
        <v>0</v>
      </c>
      <c r="F278" s="1070">
        <v>0</v>
      </c>
      <c r="G278" s="1070">
        <v>0</v>
      </c>
      <c r="H278" s="1070">
        <v>0</v>
      </c>
      <c r="I278" s="1070">
        <v>0</v>
      </c>
      <c r="J278" s="1071">
        <f t="shared" si="33"/>
        <v>0</v>
      </c>
      <c r="K278" s="1071">
        <f t="shared" si="34"/>
        <v>0</v>
      </c>
      <c r="L278" s="1070">
        <f t="shared" si="35"/>
        <v>0</v>
      </c>
      <c r="M278" s="16" t="s">
        <v>2699</v>
      </c>
      <c r="N278" s="16" t="s">
        <v>2700</v>
      </c>
    </row>
    <row r="279" spans="1:14" x14ac:dyDescent="0.4">
      <c r="A279" s="16">
        <v>181901</v>
      </c>
      <c r="B279" s="1161">
        <v>60</v>
      </c>
      <c r="C279" s="16">
        <f t="shared" si="32"/>
        <v>300</v>
      </c>
      <c r="D279" s="1161">
        <v>0</v>
      </c>
      <c r="E279" s="1161">
        <v>0</v>
      </c>
      <c r="F279" s="1161">
        <v>0</v>
      </c>
      <c r="G279" s="1161">
        <v>0</v>
      </c>
      <c r="H279" s="1161">
        <v>0</v>
      </c>
      <c r="I279" s="1161">
        <v>0</v>
      </c>
      <c r="J279" s="1162">
        <f t="shared" si="33"/>
        <v>0</v>
      </c>
      <c r="K279" s="1162">
        <f t="shared" si="34"/>
        <v>0</v>
      </c>
      <c r="L279" s="1161">
        <f t="shared" si="35"/>
        <v>0</v>
      </c>
      <c r="M279" s="16" t="s">
        <v>2699</v>
      </c>
      <c r="N279" s="16" t="s">
        <v>2700</v>
      </c>
    </row>
    <row r="280" spans="1:14" x14ac:dyDescent="0.4">
      <c r="A280" s="16">
        <v>181902</v>
      </c>
      <c r="B280" s="1135">
        <v>50</v>
      </c>
      <c r="C280" s="16">
        <f t="shared" si="32"/>
        <v>250</v>
      </c>
      <c r="D280" s="1135">
        <v>0</v>
      </c>
      <c r="E280" s="1135">
        <v>0</v>
      </c>
      <c r="F280" s="1135">
        <v>0</v>
      </c>
      <c r="G280" s="1135">
        <v>0</v>
      </c>
      <c r="H280" s="1135">
        <v>0</v>
      </c>
      <c r="I280" s="1135">
        <v>0</v>
      </c>
      <c r="J280" s="1136">
        <f t="shared" si="33"/>
        <v>0</v>
      </c>
      <c r="K280" s="1136">
        <f t="shared" si="34"/>
        <v>0</v>
      </c>
      <c r="L280" s="1135">
        <f t="shared" si="35"/>
        <v>0</v>
      </c>
      <c r="M280" s="16" t="s">
        <v>2701</v>
      </c>
      <c r="N280" s="16" t="s">
        <v>2702</v>
      </c>
    </row>
    <row r="281" spans="1:14" x14ac:dyDescent="0.4">
      <c r="A281" s="1">
        <v>181903</v>
      </c>
      <c r="B281" s="1845">
        <v>45</v>
      </c>
      <c r="C281" s="1">
        <f t="shared" si="32"/>
        <v>225</v>
      </c>
      <c r="D281" s="1845">
        <v>0</v>
      </c>
      <c r="E281" s="1845">
        <v>1</v>
      </c>
      <c r="F281" s="1845">
        <v>1</v>
      </c>
      <c r="G281" s="1845">
        <v>1</v>
      </c>
      <c r="H281" s="1845">
        <v>1</v>
      </c>
      <c r="I281" s="1845">
        <v>1</v>
      </c>
      <c r="J281" s="1846">
        <f t="shared" si="33"/>
        <v>5</v>
      </c>
      <c r="K281" s="1846">
        <f t="shared" si="34"/>
        <v>4</v>
      </c>
      <c r="L281" s="1845">
        <f t="shared" si="35"/>
        <v>180</v>
      </c>
      <c r="M281" s="1" t="s">
        <v>2703</v>
      </c>
      <c r="N281" s="1" t="s">
        <v>2704</v>
      </c>
    </row>
    <row r="282" spans="1:14" x14ac:dyDescent="0.4">
      <c r="A282" s="1">
        <v>181904</v>
      </c>
      <c r="B282" s="1845">
        <v>60</v>
      </c>
      <c r="C282" s="1">
        <f t="shared" si="32"/>
        <v>300</v>
      </c>
      <c r="D282" s="1845">
        <v>0</v>
      </c>
      <c r="E282" s="1845">
        <v>0</v>
      </c>
      <c r="F282" s="1845">
        <v>0</v>
      </c>
      <c r="G282" s="1845">
        <v>0</v>
      </c>
      <c r="H282" s="1845">
        <v>0</v>
      </c>
      <c r="I282" s="1845">
        <v>1</v>
      </c>
      <c r="J282" s="1846">
        <f t="shared" si="33"/>
        <v>1</v>
      </c>
      <c r="K282" s="1846">
        <f t="shared" si="34"/>
        <v>0</v>
      </c>
      <c r="L282" s="1845">
        <f t="shared" si="35"/>
        <v>0</v>
      </c>
      <c r="M282" s="1" t="s">
        <v>2706</v>
      </c>
      <c r="N282" s="1" t="s">
        <v>2707</v>
      </c>
    </row>
    <row r="283" spans="1:14" x14ac:dyDescent="0.4">
      <c r="A283" s="1">
        <v>181905</v>
      </c>
      <c r="B283" s="1845">
        <v>45</v>
      </c>
      <c r="C283" s="1">
        <f t="shared" si="32"/>
        <v>225</v>
      </c>
      <c r="D283" s="1845">
        <v>0</v>
      </c>
      <c r="E283" s="1845">
        <v>0</v>
      </c>
      <c r="F283" s="1845">
        <v>0</v>
      </c>
      <c r="G283" s="1845">
        <v>0</v>
      </c>
      <c r="H283" s="1845">
        <v>0</v>
      </c>
      <c r="I283" s="1845">
        <v>0</v>
      </c>
      <c r="J283" s="1846">
        <f t="shared" si="33"/>
        <v>0</v>
      </c>
      <c r="K283" s="1846">
        <f t="shared" si="34"/>
        <v>0</v>
      </c>
      <c r="L283" s="1845">
        <f t="shared" si="35"/>
        <v>0</v>
      </c>
      <c r="M283" s="1" t="s">
        <v>2706</v>
      </c>
      <c r="N283" s="1" t="s">
        <v>2707</v>
      </c>
    </row>
    <row r="284" spans="1:14" x14ac:dyDescent="0.4">
      <c r="A284" s="2048">
        <v>181906</v>
      </c>
      <c r="B284" s="2033">
        <v>35</v>
      </c>
      <c r="C284" s="2048">
        <f>SUM(B284*10)</f>
        <v>350</v>
      </c>
      <c r="D284" s="1632">
        <v>0</v>
      </c>
      <c r="E284" s="1632">
        <v>0</v>
      </c>
      <c r="F284" s="1632">
        <v>0</v>
      </c>
      <c r="G284" s="1632">
        <v>0</v>
      </c>
      <c r="H284" s="1632">
        <v>0</v>
      </c>
      <c r="I284" s="1632">
        <v>0</v>
      </c>
      <c r="J284" s="2033">
        <f>SUM(D284:I285)</f>
        <v>0</v>
      </c>
      <c r="K284" s="2033">
        <f>SUM(D284:H285)</f>
        <v>0</v>
      </c>
      <c r="L284" s="2033">
        <f t="shared" si="35"/>
        <v>0</v>
      </c>
      <c r="M284" s="2033" t="s">
        <v>2708</v>
      </c>
      <c r="N284" s="2033" t="s">
        <v>2709</v>
      </c>
    </row>
    <row r="285" spans="1:14" x14ac:dyDescent="0.4">
      <c r="A285" s="2048"/>
      <c r="B285" s="2033"/>
      <c r="C285" s="2048"/>
      <c r="D285" s="1632">
        <v>0</v>
      </c>
      <c r="E285" s="1632">
        <v>0</v>
      </c>
      <c r="F285" s="1632">
        <v>0</v>
      </c>
      <c r="G285" s="1632">
        <v>0</v>
      </c>
      <c r="H285" s="1632">
        <v>0</v>
      </c>
      <c r="I285" s="1632">
        <v>0</v>
      </c>
      <c r="J285" s="2033"/>
      <c r="K285" s="2033"/>
      <c r="L285" s="2033"/>
      <c r="M285" s="2033"/>
      <c r="N285" s="2033"/>
    </row>
    <row r="286" spans="1:14" x14ac:dyDescent="0.4">
      <c r="A286" s="16">
        <v>181907</v>
      </c>
      <c r="B286" s="1053">
        <v>60</v>
      </c>
      <c r="C286" s="16">
        <f t="shared" si="32"/>
        <v>300</v>
      </c>
      <c r="D286" s="1053">
        <v>0</v>
      </c>
      <c r="E286" s="1053">
        <v>0</v>
      </c>
      <c r="F286" s="1053">
        <v>0</v>
      </c>
      <c r="G286" s="1053">
        <v>0</v>
      </c>
      <c r="H286" s="1053">
        <v>0</v>
      </c>
      <c r="I286" s="1053">
        <v>0</v>
      </c>
      <c r="J286" s="1054">
        <f t="shared" si="33"/>
        <v>0</v>
      </c>
      <c r="K286" s="1054">
        <f t="shared" si="34"/>
        <v>0</v>
      </c>
      <c r="L286" s="1053">
        <f t="shared" si="35"/>
        <v>0</v>
      </c>
      <c r="M286" s="16" t="s">
        <v>2710</v>
      </c>
      <c r="N286" s="16" t="s">
        <v>2711</v>
      </c>
    </row>
    <row r="287" spans="1:14" x14ac:dyDescent="0.4">
      <c r="A287" s="16">
        <v>181908</v>
      </c>
      <c r="B287" s="1413">
        <v>60</v>
      </c>
      <c r="C287" s="16">
        <f t="shared" si="32"/>
        <v>300</v>
      </c>
      <c r="D287" s="1413">
        <v>0</v>
      </c>
      <c r="E287" s="1413">
        <v>0</v>
      </c>
      <c r="F287" s="1413">
        <v>0</v>
      </c>
      <c r="G287" s="1413">
        <v>0</v>
      </c>
      <c r="H287" s="1413">
        <v>0</v>
      </c>
      <c r="I287" s="1413">
        <v>0</v>
      </c>
      <c r="J287" s="1414">
        <f t="shared" si="33"/>
        <v>0</v>
      </c>
      <c r="K287" s="1414">
        <f t="shared" si="34"/>
        <v>0</v>
      </c>
      <c r="L287" s="1413">
        <f t="shared" si="35"/>
        <v>0</v>
      </c>
      <c r="M287" s="16" t="s">
        <v>2712</v>
      </c>
      <c r="N287" s="16" t="s">
        <v>2713</v>
      </c>
    </row>
    <row r="288" spans="1:14" x14ac:dyDescent="0.4">
      <c r="A288" s="16">
        <v>181909</v>
      </c>
      <c r="B288" s="1053">
        <v>45</v>
      </c>
      <c r="C288" s="16">
        <f t="shared" si="32"/>
        <v>225</v>
      </c>
      <c r="D288" s="1053">
        <v>0</v>
      </c>
      <c r="E288" s="1053">
        <v>0</v>
      </c>
      <c r="F288" s="1053">
        <v>0</v>
      </c>
      <c r="G288" s="1053">
        <v>0</v>
      </c>
      <c r="H288" s="1053">
        <v>0</v>
      </c>
      <c r="I288" s="1053">
        <v>0</v>
      </c>
      <c r="J288" s="1054">
        <f t="shared" si="33"/>
        <v>0</v>
      </c>
      <c r="K288" s="1054">
        <f t="shared" si="34"/>
        <v>0</v>
      </c>
      <c r="L288" s="1053">
        <f t="shared" si="35"/>
        <v>0</v>
      </c>
      <c r="M288" s="16" t="s">
        <v>2715</v>
      </c>
      <c r="N288" s="16" t="s">
        <v>2714</v>
      </c>
    </row>
    <row r="289" spans="1:15" x14ac:dyDescent="0.4">
      <c r="A289" s="16">
        <v>181910</v>
      </c>
      <c r="B289" s="1511">
        <v>45</v>
      </c>
      <c r="C289" s="16">
        <f t="shared" si="32"/>
        <v>225</v>
      </c>
      <c r="D289" s="1511">
        <v>0</v>
      </c>
      <c r="E289" s="1511">
        <v>0</v>
      </c>
      <c r="F289" s="1511">
        <v>0</v>
      </c>
      <c r="G289" s="1511">
        <v>0</v>
      </c>
      <c r="H289" s="1511">
        <v>0</v>
      </c>
      <c r="I289" s="1511">
        <v>0</v>
      </c>
      <c r="J289" s="1512">
        <f t="shared" si="33"/>
        <v>0</v>
      </c>
      <c r="K289" s="1512">
        <f t="shared" si="34"/>
        <v>0</v>
      </c>
      <c r="L289" s="1511">
        <f t="shared" si="35"/>
        <v>0</v>
      </c>
      <c r="M289" s="16" t="s">
        <v>2715</v>
      </c>
      <c r="N289" s="16" t="s">
        <v>2714</v>
      </c>
    </row>
    <row r="290" spans="1:15" x14ac:dyDescent="0.4">
      <c r="A290" s="16">
        <v>181911</v>
      </c>
      <c r="B290" s="1092">
        <v>45</v>
      </c>
      <c r="C290" s="16">
        <f t="shared" si="32"/>
        <v>225</v>
      </c>
      <c r="D290" s="1092">
        <v>0</v>
      </c>
      <c r="E290" s="1092">
        <v>0</v>
      </c>
      <c r="F290" s="1092">
        <v>0</v>
      </c>
      <c r="G290" s="1092">
        <v>0</v>
      </c>
      <c r="H290" s="1092">
        <v>0</v>
      </c>
      <c r="I290" s="1092">
        <v>0</v>
      </c>
      <c r="J290" s="1093">
        <f t="shared" si="33"/>
        <v>0</v>
      </c>
      <c r="K290" s="1093">
        <f t="shared" si="34"/>
        <v>0</v>
      </c>
      <c r="L290" s="1092">
        <f t="shared" si="35"/>
        <v>0</v>
      </c>
      <c r="M290" s="16" t="s">
        <v>2715</v>
      </c>
      <c r="N290" s="16" t="s">
        <v>2714</v>
      </c>
    </row>
    <row r="291" spans="1:15" x14ac:dyDescent="0.4">
      <c r="A291" s="1">
        <v>181912</v>
      </c>
      <c r="B291" s="1845">
        <v>45</v>
      </c>
      <c r="C291" s="1">
        <f t="shared" si="32"/>
        <v>225</v>
      </c>
      <c r="D291" s="1845">
        <v>0</v>
      </c>
      <c r="E291" s="1845">
        <v>0</v>
      </c>
      <c r="F291" s="1845">
        <v>0</v>
      </c>
      <c r="G291" s="1845">
        <v>0</v>
      </c>
      <c r="H291" s="1845">
        <v>1</v>
      </c>
      <c r="I291" s="1845">
        <v>1</v>
      </c>
      <c r="J291" s="1846">
        <f t="shared" si="33"/>
        <v>2</v>
      </c>
      <c r="K291" s="1846">
        <f t="shared" si="34"/>
        <v>1</v>
      </c>
      <c r="L291" s="1845">
        <f t="shared" si="35"/>
        <v>45</v>
      </c>
      <c r="M291" s="1" t="s">
        <v>2715</v>
      </c>
      <c r="N291" s="1" t="s">
        <v>2714</v>
      </c>
    </row>
    <row r="292" spans="1:15" x14ac:dyDescent="0.4">
      <c r="A292" s="16">
        <v>181913</v>
      </c>
      <c r="B292" s="1092">
        <v>45</v>
      </c>
      <c r="C292" s="16">
        <f t="shared" si="32"/>
        <v>225</v>
      </c>
      <c r="D292" s="1092">
        <v>0</v>
      </c>
      <c r="E292" s="1092">
        <v>0</v>
      </c>
      <c r="F292" s="1092">
        <v>0</v>
      </c>
      <c r="G292" s="1092">
        <v>0</v>
      </c>
      <c r="H292" s="1092">
        <v>0</v>
      </c>
      <c r="I292" s="1092">
        <v>1</v>
      </c>
      <c r="J292" s="1093">
        <f t="shared" si="33"/>
        <v>1</v>
      </c>
      <c r="K292" s="1093">
        <f t="shared" si="34"/>
        <v>0</v>
      </c>
      <c r="L292" s="1092">
        <f t="shared" si="35"/>
        <v>0</v>
      </c>
      <c r="M292" s="16" t="s">
        <v>2716</v>
      </c>
      <c r="N292" s="16" t="s">
        <v>2717</v>
      </c>
      <c r="O292" s="36" t="s">
        <v>2983</v>
      </c>
    </row>
    <row r="293" spans="1:15" x14ac:dyDescent="0.4">
      <c r="A293" s="16">
        <v>181914</v>
      </c>
      <c r="B293" s="1853">
        <v>45</v>
      </c>
      <c r="C293" s="16">
        <f t="shared" si="32"/>
        <v>225</v>
      </c>
      <c r="D293" s="1853">
        <v>0</v>
      </c>
      <c r="E293" s="1853">
        <v>0</v>
      </c>
      <c r="F293" s="1853">
        <v>0</v>
      </c>
      <c r="G293" s="1853">
        <v>0</v>
      </c>
      <c r="H293" s="1853">
        <v>0</v>
      </c>
      <c r="I293" s="1853">
        <v>0</v>
      </c>
      <c r="J293" s="1854">
        <f t="shared" si="33"/>
        <v>0</v>
      </c>
      <c r="K293" s="1854">
        <f t="shared" si="34"/>
        <v>0</v>
      </c>
      <c r="L293" s="1853">
        <f t="shared" si="35"/>
        <v>0</v>
      </c>
      <c r="M293" s="16" t="s">
        <v>2718</v>
      </c>
      <c r="N293" s="16" t="s">
        <v>2719</v>
      </c>
    </row>
    <row r="294" spans="1:15" x14ac:dyDescent="0.4">
      <c r="A294" s="1">
        <v>181915</v>
      </c>
      <c r="B294" s="1845">
        <v>60</v>
      </c>
      <c r="C294" s="1">
        <f t="shared" si="32"/>
        <v>300</v>
      </c>
      <c r="D294" s="1845">
        <v>0</v>
      </c>
      <c r="E294" s="1845">
        <v>1</v>
      </c>
      <c r="F294" s="1845">
        <v>1</v>
      </c>
      <c r="G294" s="1845">
        <v>1</v>
      </c>
      <c r="H294" s="1845">
        <v>1</v>
      </c>
      <c r="I294" s="1845">
        <v>1</v>
      </c>
      <c r="J294" s="1846">
        <f t="shared" si="33"/>
        <v>5</v>
      </c>
      <c r="K294" s="1846">
        <f t="shared" si="34"/>
        <v>4</v>
      </c>
      <c r="L294" s="1845">
        <f t="shared" si="35"/>
        <v>240</v>
      </c>
      <c r="M294" s="1" t="s">
        <v>2718</v>
      </c>
      <c r="N294" s="1" t="s">
        <v>2719</v>
      </c>
    </row>
    <row r="295" spans="1:15" x14ac:dyDescent="0.4">
      <c r="A295" s="16">
        <v>181916</v>
      </c>
      <c r="B295" s="1406">
        <v>45</v>
      </c>
      <c r="C295" s="16">
        <f t="shared" si="32"/>
        <v>225</v>
      </c>
      <c r="D295" s="1406">
        <v>0</v>
      </c>
      <c r="E295" s="1406">
        <v>0</v>
      </c>
      <c r="F295" s="1406">
        <v>0</v>
      </c>
      <c r="G295" s="1406">
        <v>0</v>
      </c>
      <c r="H295" s="1406">
        <v>0</v>
      </c>
      <c r="I295" s="1406">
        <v>0</v>
      </c>
      <c r="J295" s="1407">
        <f t="shared" si="33"/>
        <v>0</v>
      </c>
      <c r="K295" s="1407">
        <f t="shared" si="34"/>
        <v>0</v>
      </c>
      <c r="L295" s="1406">
        <f t="shared" si="35"/>
        <v>0</v>
      </c>
      <c r="M295" s="16" t="s">
        <v>2720</v>
      </c>
      <c r="N295" s="16" t="s">
        <v>2721</v>
      </c>
    </row>
    <row r="296" spans="1:15" x14ac:dyDescent="0.4">
      <c r="A296" s="1">
        <v>181917</v>
      </c>
      <c r="B296" s="1845">
        <v>45</v>
      </c>
      <c r="C296" s="1">
        <f>SUM(B296*5)</f>
        <v>225</v>
      </c>
      <c r="D296" s="1845">
        <v>0</v>
      </c>
      <c r="E296" s="1845">
        <v>0</v>
      </c>
      <c r="F296" s="1845">
        <v>1</v>
      </c>
      <c r="G296" s="1845">
        <v>1</v>
      </c>
      <c r="H296" s="1845">
        <v>1</v>
      </c>
      <c r="I296" s="1845">
        <v>1</v>
      </c>
      <c r="J296" s="1846">
        <f>SUM(D296:I296)</f>
        <v>4</v>
      </c>
      <c r="K296" s="1846">
        <f>SUM(D296:H296)</f>
        <v>3</v>
      </c>
      <c r="L296" s="1845">
        <f>B296*K296</f>
        <v>135</v>
      </c>
      <c r="M296" s="1" t="s">
        <v>2722</v>
      </c>
      <c r="N296" s="1" t="s">
        <v>2723</v>
      </c>
    </row>
    <row r="297" spans="1:15" x14ac:dyDescent="0.4">
      <c r="A297" s="16">
        <v>181918</v>
      </c>
      <c r="B297" s="1728">
        <v>60</v>
      </c>
      <c r="C297" s="16">
        <f t="shared" si="32"/>
        <v>300</v>
      </c>
      <c r="D297" s="1728">
        <v>0</v>
      </c>
      <c r="E297" s="1728">
        <v>0</v>
      </c>
      <c r="F297" s="1728">
        <v>0</v>
      </c>
      <c r="G297" s="1728">
        <v>0</v>
      </c>
      <c r="H297" s="1728">
        <v>0</v>
      </c>
      <c r="I297" s="1728">
        <v>0</v>
      </c>
      <c r="J297" s="1729">
        <f t="shared" si="33"/>
        <v>0</v>
      </c>
      <c r="K297" s="1729">
        <f t="shared" si="34"/>
        <v>0</v>
      </c>
      <c r="L297" s="1728">
        <f t="shared" si="35"/>
        <v>0</v>
      </c>
      <c r="M297" s="16" t="s">
        <v>2724</v>
      </c>
      <c r="N297" s="16" t="s">
        <v>2725</v>
      </c>
    </row>
    <row r="298" spans="1:15" x14ac:dyDescent="0.4">
      <c r="A298" s="16">
        <v>181919</v>
      </c>
      <c r="B298" s="1284">
        <v>45</v>
      </c>
      <c r="C298" s="16">
        <f t="shared" si="32"/>
        <v>225</v>
      </c>
      <c r="D298" s="1284">
        <v>0</v>
      </c>
      <c r="E298" s="1284">
        <v>0</v>
      </c>
      <c r="F298" s="1284">
        <v>0</v>
      </c>
      <c r="G298" s="1284">
        <v>0</v>
      </c>
      <c r="H298" s="1284">
        <v>0</v>
      </c>
      <c r="I298" s="1284">
        <v>0</v>
      </c>
      <c r="J298" s="1285">
        <f t="shared" si="33"/>
        <v>0</v>
      </c>
      <c r="K298" s="1285">
        <f t="shared" si="34"/>
        <v>0</v>
      </c>
      <c r="L298" s="1284">
        <f t="shared" si="35"/>
        <v>0</v>
      </c>
      <c r="M298" s="16" t="s">
        <v>2724</v>
      </c>
      <c r="N298" s="16" t="s">
        <v>2725</v>
      </c>
    </row>
    <row r="299" spans="1:15" x14ac:dyDescent="0.4">
      <c r="A299" s="16">
        <v>181920</v>
      </c>
      <c r="B299" s="1238">
        <v>50</v>
      </c>
      <c r="C299" s="16">
        <f t="shared" ref="C299:C318" si="36">SUM(B299*5)</f>
        <v>250</v>
      </c>
      <c r="D299" s="1238">
        <v>0</v>
      </c>
      <c r="E299" s="1238">
        <v>0</v>
      </c>
      <c r="F299" s="1238">
        <v>0</v>
      </c>
      <c r="G299" s="1238">
        <v>0</v>
      </c>
      <c r="H299" s="1238">
        <v>0</v>
      </c>
      <c r="I299" s="1238">
        <v>0</v>
      </c>
      <c r="J299" s="1239">
        <f t="shared" ref="J299:J318" si="37">SUM(D299:I299)</f>
        <v>0</v>
      </c>
      <c r="K299" s="1239">
        <f t="shared" ref="K299:K318" si="38">SUM(D299:H299)</f>
        <v>0</v>
      </c>
      <c r="L299" s="1238">
        <f t="shared" ref="L299:L318" si="39">B299*K299</f>
        <v>0</v>
      </c>
      <c r="M299" s="16" t="s">
        <v>2726</v>
      </c>
      <c r="N299" s="16" t="s">
        <v>2727</v>
      </c>
    </row>
    <row r="300" spans="1:15" x14ac:dyDescent="0.4">
      <c r="A300" s="16">
        <v>181921</v>
      </c>
      <c r="B300" s="1291">
        <v>45</v>
      </c>
      <c r="C300" s="16">
        <f t="shared" si="36"/>
        <v>225</v>
      </c>
      <c r="D300" s="1291">
        <v>0</v>
      </c>
      <c r="E300" s="1291">
        <v>0</v>
      </c>
      <c r="F300" s="1291">
        <v>0</v>
      </c>
      <c r="G300" s="1291">
        <v>0</v>
      </c>
      <c r="H300" s="1291">
        <v>0</v>
      </c>
      <c r="I300" s="1291">
        <v>0</v>
      </c>
      <c r="J300" s="1292">
        <f t="shared" si="37"/>
        <v>0</v>
      </c>
      <c r="K300" s="1292">
        <f t="shared" si="38"/>
        <v>0</v>
      </c>
      <c r="L300" s="1291">
        <f t="shared" si="39"/>
        <v>0</v>
      </c>
      <c r="M300" s="16" t="s">
        <v>2728</v>
      </c>
      <c r="N300" s="16" t="s">
        <v>2729</v>
      </c>
    </row>
    <row r="301" spans="1:15" x14ac:dyDescent="0.4">
      <c r="A301" s="1">
        <v>181922</v>
      </c>
      <c r="B301" s="1845">
        <v>45</v>
      </c>
      <c r="C301" s="1">
        <f t="shared" si="36"/>
        <v>225</v>
      </c>
      <c r="D301" s="1845">
        <v>0</v>
      </c>
      <c r="E301" s="1845">
        <v>0</v>
      </c>
      <c r="F301" s="1845">
        <v>0</v>
      </c>
      <c r="G301" s="1845">
        <v>0</v>
      </c>
      <c r="H301" s="1845">
        <v>1</v>
      </c>
      <c r="I301" s="1845">
        <v>1</v>
      </c>
      <c r="J301" s="1846">
        <f t="shared" si="37"/>
        <v>2</v>
      </c>
      <c r="K301" s="1846">
        <f t="shared" si="38"/>
        <v>1</v>
      </c>
      <c r="L301" s="1845">
        <f t="shared" si="39"/>
        <v>45</v>
      </c>
      <c r="M301" s="1" t="s">
        <v>2728</v>
      </c>
      <c r="N301" s="1" t="s">
        <v>2729</v>
      </c>
    </row>
    <row r="302" spans="1:15" x14ac:dyDescent="0.4">
      <c r="A302" s="16">
        <v>181923</v>
      </c>
      <c r="B302" s="1439">
        <v>45</v>
      </c>
      <c r="C302" s="16">
        <f t="shared" si="36"/>
        <v>225</v>
      </c>
      <c r="D302" s="1439">
        <v>0</v>
      </c>
      <c r="E302" s="1439">
        <v>0</v>
      </c>
      <c r="F302" s="1439">
        <v>0</v>
      </c>
      <c r="G302" s="1439">
        <v>0</v>
      </c>
      <c r="H302" s="1439">
        <v>0</v>
      </c>
      <c r="I302" s="1439">
        <v>0</v>
      </c>
      <c r="J302" s="1440">
        <f t="shared" si="37"/>
        <v>0</v>
      </c>
      <c r="K302" s="1440">
        <f t="shared" si="38"/>
        <v>0</v>
      </c>
      <c r="L302" s="1439">
        <f t="shared" si="39"/>
        <v>0</v>
      </c>
      <c r="M302" s="16" t="s">
        <v>2728</v>
      </c>
      <c r="N302" s="16" t="s">
        <v>2729</v>
      </c>
    </row>
    <row r="303" spans="1:15" x14ac:dyDescent="0.4">
      <c r="A303" s="16">
        <v>181924</v>
      </c>
      <c r="B303" s="1221">
        <v>50</v>
      </c>
      <c r="C303" s="16">
        <f t="shared" si="36"/>
        <v>250</v>
      </c>
      <c r="D303" s="1221">
        <v>0</v>
      </c>
      <c r="E303" s="1221">
        <v>0</v>
      </c>
      <c r="F303" s="1221">
        <v>0</v>
      </c>
      <c r="G303" s="1221">
        <v>0</v>
      </c>
      <c r="H303" s="1221">
        <v>0</v>
      </c>
      <c r="I303" s="1221">
        <v>0</v>
      </c>
      <c r="J303" s="1222">
        <f t="shared" si="37"/>
        <v>0</v>
      </c>
      <c r="K303" s="1222">
        <f t="shared" si="38"/>
        <v>0</v>
      </c>
      <c r="L303" s="1221">
        <f t="shared" si="39"/>
        <v>0</v>
      </c>
      <c r="M303" s="16" t="s">
        <v>2730</v>
      </c>
      <c r="N303" s="16" t="s">
        <v>2731</v>
      </c>
    </row>
    <row r="304" spans="1:15" x14ac:dyDescent="0.4">
      <c r="A304" s="16">
        <v>181925</v>
      </c>
      <c r="B304" s="1427">
        <v>45</v>
      </c>
      <c r="C304" s="16">
        <f t="shared" si="36"/>
        <v>225</v>
      </c>
      <c r="D304" s="1427">
        <v>0</v>
      </c>
      <c r="E304" s="1427">
        <v>0</v>
      </c>
      <c r="F304" s="1427">
        <v>0</v>
      </c>
      <c r="G304" s="1427">
        <v>0</v>
      </c>
      <c r="H304" s="1427">
        <v>0</v>
      </c>
      <c r="I304" s="1427">
        <v>0</v>
      </c>
      <c r="J304" s="1428">
        <f t="shared" si="37"/>
        <v>0</v>
      </c>
      <c r="K304" s="1428">
        <f t="shared" si="38"/>
        <v>0</v>
      </c>
      <c r="L304" s="1427">
        <f t="shared" si="39"/>
        <v>0</v>
      </c>
      <c r="M304" s="16" t="s">
        <v>2730</v>
      </c>
      <c r="N304" s="16" t="s">
        <v>2731</v>
      </c>
    </row>
    <row r="305" spans="1:15" x14ac:dyDescent="0.4">
      <c r="A305" s="1">
        <v>181926</v>
      </c>
      <c r="B305" s="1845">
        <v>60</v>
      </c>
      <c r="C305" s="1">
        <f t="shared" si="36"/>
        <v>300</v>
      </c>
      <c r="D305" s="1845">
        <v>0</v>
      </c>
      <c r="E305" s="1845">
        <v>0</v>
      </c>
      <c r="F305" s="1845">
        <v>0</v>
      </c>
      <c r="G305" s="1845">
        <v>0</v>
      </c>
      <c r="H305" s="1845">
        <v>1</v>
      </c>
      <c r="I305" s="1845">
        <v>1</v>
      </c>
      <c r="J305" s="1846">
        <f t="shared" si="37"/>
        <v>2</v>
      </c>
      <c r="K305" s="1846">
        <f t="shared" si="38"/>
        <v>1</v>
      </c>
      <c r="L305" s="1845">
        <f t="shared" si="39"/>
        <v>60</v>
      </c>
      <c r="M305" s="1" t="s">
        <v>2730</v>
      </c>
      <c r="N305" s="1" t="s">
        <v>2731</v>
      </c>
    </row>
    <row r="306" spans="1:15" x14ac:dyDescent="0.4">
      <c r="A306" s="1">
        <v>181927</v>
      </c>
      <c r="B306" s="1845">
        <v>60</v>
      </c>
      <c r="C306" s="1">
        <f t="shared" si="36"/>
        <v>300</v>
      </c>
      <c r="D306" s="1845">
        <v>0</v>
      </c>
      <c r="E306" s="1845">
        <v>0</v>
      </c>
      <c r="F306" s="1845">
        <v>0</v>
      </c>
      <c r="G306" s="1845">
        <v>0</v>
      </c>
      <c r="H306" s="1845">
        <v>0</v>
      </c>
      <c r="I306" s="1845">
        <v>1</v>
      </c>
      <c r="J306" s="1846">
        <f t="shared" si="37"/>
        <v>1</v>
      </c>
      <c r="K306" s="1846">
        <f t="shared" si="38"/>
        <v>0</v>
      </c>
      <c r="L306" s="1845">
        <f t="shared" si="39"/>
        <v>0</v>
      </c>
      <c r="M306" s="1" t="s">
        <v>2730</v>
      </c>
      <c r="N306" s="1" t="s">
        <v>2731</v>
      </c>
      <c r="O306" t="s">
        <v>3146</v>
      </c>
    </row>
    <row r="307" spans="1:15" x14ac:dyDescent="0.4">
      <c r="A307" s="16">
        <v>181928</v>
      </c>
      <c r="B307" s="1520">
        <v>60</v>
      </c>
      <c r="C307" s="16">
        <f t="shared" si="36"/>
        <v>300</v>
      </c>
      <c r="D307" s="1520">
        <v>0</v>
      </c>
      <c r="E307" s="1520">
        <v>0</v>
      </c>
      <c r="F307" s="1520">
        <v>0</v>
      </c>
      <c r="G307" s="1520">
        <v>0</v>
      </c>
      <c r="H307" s="1520">
        <v>0</v>
      </c>
      <c r="I307" s="1520">
        <v>0</v>
      </c>
      <c r="J307" s="1521">
        <f t="shared" si="37"/>
        <v>0</v>
      </c>
      <c r="K307" s="1521">
        <f t="shared" si="38"/>
        <v>0</v>
      </c>
      <c r="L307" s="1520">
        <f t="shared" si="39"/>
        <v>0</v>
      </c>
      <c r="M307" s="16" t="s">
        <v>2732</v>
      </c>
      <c r="N307" s="16" t="s">
        <v>2733</v>
      </c>
    </row>
    <row r="308" spans="1:15" x14ac:dyDescent="0.4">
      <c r="A308" s="16">
        <v>181929</v>
      </c>
      <c r="B308" s="1053">
        <v>45</v>
      </c>
      <c r="C308" s="16">
        <f t="shared" si="36"/>
        <v>225</v>
      </c>
      <c r="D308" s="1053">
        <v>0</v>
      </c>
      <c r="E308" s="1053">
        <v>0</v>
      </c>
      <c r="F308" s="1053">
        <v>0</v>
      </c>
      <c r="G308" s="1053">
        <v>0</v>
      </c>
      <c r="H308" s="1053">
        <v>0</v>
      </c>
      <c r="I308" s="1053">
        <v>0</v>
      </c>
      <c r="J308" s="1054">
        <f t="shared" si="37"/>
        <v>0</v>
      </c>
      <c r="K308" s="1054">
        <f t="shared" si="38"/>
        <v>0</v>
      </c>
      <c r="L308" s="1053">
        <f t="shared" si="39"/>
        <v>0</v>
      </c>
      <c r="M308" s="16" t="s">
        <v>2734</v>
      </c>
      <c r="N308" s="16" t="s">
        <v>2735</v>
      </c>
    </row>
    <row r="309" spans="1:15" x14ac:dyDescent="0.4">
      <c r="A309" s="16">
        <v>181930</v>
      </c>
      <c r="B309" s="1398">
        <v>60</v>
      </c>
      <c r="C309" s="16">
        <f t="shared" si="36"/>
        <v>300</v>
      </c>
      <c r="D309" s="1398">
        <v>0</v>
      </c>
      <c r="E309" s="1398">
        <v>0</v>
      </c>
      <c r="F309" s="1398">
        <v>0</v>
      </c>
      <c r="G309" s="1398">
        <v>0</v>
      </c>
      <c r="H309" s="1398">
        <v>0</v>
      </c>
      <c r="I309" s="1398">
        <v>0</v>
      </c>
      <c r="J309" s="1399">
        <f t="shared" si="37"/>
        <v>0</v>
      </c>
      <c r="K309" s="1399">
        <f t="shared" si="38"/>
        <v>0</v>
      </c>
      <c r="L309" s="1398">
        <f t="shared" si="39"/>
        <v>0</v>
      </c>
      <c r="M309" s="16" t="s">
        <v>2734</v>
      </c>
      <c r="N309" s="16" t="s">
        <v>2735</v>
      </c>
    </row>
    <row r="310" spans="1:15" x14ac:dyDescent="0.4">
      <c r="A310" s="16">
        <v>181931</v>
      </c>
      <c r="B310" s="1357">
        <v>45</v>
      </c>
      <c r="C310" s="16">
        <f t="shared" si="36"/>
        <v>225</v>
      </c>
      <c r="D310" s="1357">
        <v>0</v>
      </c>
      <c r="E310" s="1357">
        <v>0</v>
      </c>
      <c r="F310" s="1357">
        <v>0</v>
      </c>
      <c r="G310" s="1357">
        <v>0</v>
      </c>
      <c r="H310" s="1357">
        <v>0</v>
      </c>
      <c r="I310" s="1357">
        <v>0</v>
      </c>
      <c r="J310" s="1358">
        <f t="shared" si="37"/>
        <v>0</v>
      </c>
      <c r="K310" s="1358">
        <f t="shared" si="38"/>
        <v>0</v>
      </c>
      <c r="L310" s="1357">
        <f t="shared" si="39"/>
        <v>0</v>
      </c>
      <c r="M310" s="16" t="s">
        <v>2734</v>
      </c>
      <c r="N310" s="16" t="s">
        <v>2735</v>
      </c>
    </row>
    <row r="311" spans="1:15" x14ac:dyDescent="0.4">
      <c r="A311" s="16">
        <v>181932</v>
      </c>
      <c r="B311" s="1772">
        <v>60</v>
      </c>
      <c r="C311" s="16">
        <f t="shared" si="36"/>
        <v>300</v>
      </c>
      <c r="D311" s="1772">
        <v>0</v>
      </c>
      <c r="E311" s="1772">
        <v>0</v>
      </c>
      <c r="F311" s="1772">
        <v>0</v>
      </c>
      <c r="G311" s="1772">
        <v>0</v>
      </c>
      <c r="H311" s="1772">
        <v>0</v>
      </c>
      <c r="I311" s="1772">
        <v>0</v>
      </c>
      <c r="J311" s="1773">
        <f t="shared" si="37"/>
        <v>0</v>
      </c>
      <c r="K311" s="1773">
        <f t="shared" si="38"/>
        <v>0</v>
      </c>
      <c r="L311" s="1772">
        <f t="shared" si="39"/>
        <v>0</v>
      </c>
      <c r="M311" s="16" t="s">
        <v>2736</v>
      </c>
      <c r="N311" s="16" t="s">
        <v>2737</v>
      </c>
    </row>
    <row r="312" spans="1:15" x14ac:dyDescent="0.4">
      <c r="A312" s="16">
        <v>181933</v>
      </c>
      <c r="B312" s="1191">
        <v>50</v>
      </c>
      <c r="C312" s="16">
        <f t="shared" si="36"/>
        <v>250</v>
      </c>
      <c r="D312" s="1191">
        <v>0</v>
      </c>
      <c r="E312" s="1191">
        <v>0</v>
      </c>
      <c r="F312" s="1191">
        <v>0</v>
      </c>
      <c r="G312" s="1191">
        <v>0</v>
      </c>
      <c r="H312" s="1191">
        <v>0</v>
      </c>
      <c r="I312" s="1191">
        <v>0</v>
      </c>
      <c r="J312" s="1192">
        <f t="shared" si="37"/>
        <v>0</v>
      </c>
      <c r="K312" s="1192">
        <f t="shared" si="38"/>
        <v>0</v>
      </c>
      <c r="L312" s="1191">
        <f t="shared" si="39"/>
        <v>0</v>
      </c>
      <c r="M312" s="16" t="s">
        <v>2738</v>
      </c>
      <c r="N312" s="16" t="s">
        <v>2739</v>
      </c>
    </row>
    <row r="313" spans="1:15" x14ac:dyDescent="0.4">
      <c r="A313" s="16">
        <v>181934</v>
      </c>
      <c r="B313" s="1104">
        <v>45</v>
      </c>
      <c r="C313" s="16">
        <f t="shared" si="36"/>
        <v>225</v>
      </c>
      <c r="D313" s="1104">
        <v>0</v>
      </c>
      <c r="E313" s="1104">
        <v>0</v>
      </c>
      <c r="F313" s="1104">
        <v>0</v>
      </c>
      <c r="G313" s="1104">
        <v>0</v>
      </c>
      <c r="H313" s="1104">
        <v>0</v>
      </c>
      <c r="I313" s="1104">
        <v>0</v>
      </c>
      <c r="J313" s="1105">
        <f t="shared" si="37"/>
        <v>0</v>
      </c>
      <c r="K313" s="1105">
        <f t="shared" si="38"/>
        <v>0</v>
      </c>
      <c r="L313" s="1104">
        <f t="shared" si="39"/>
        <v>0</v>
      </c>
      <c r="M313" s="16" t="s">
        <v>2738</v>
      </c>
      <c r="N313" s="16" t="s">
        <v>2739</v>
      </c>
    </row>
    <row r="314" spans="1:15" x14ac:dyDescent="0.4">
      <c r="A314" s="1">
        <v>181935</v>
      </c>
      <c r="B314" s="1849">
        <v>60</v>
      </c>
      <c r="C314" s="1">
        <f t="shared" si="36"/>
        <v>300</v>
      </c>
      <c r="D314" s="1849">
        <v>0</v>
      </c>
      <c r="E314" s="1849">
        <v>0</v>
      </c>
      <c r="F314" s="1849">
        <v>0</v>
      </c>
      <c r="G314" s="1849">
        <v>0</v>
      </c>
      <c r="H314" s="1849">
        <v>0</v>
      </c>
      <c r="I314" s="1849">
        <v>1</v>
      </c>
      <c r="J314" s="1852">
        <f t="shared" si="37"/>
        <v>1</v>
      </c>
      <c r="K314" s="1852">
        <f t="shared" si="38"/>
        <v>0</v>
      </c>
      <c r="L314" s="1849">
        <f t="shared" si="39"/>
        <v>0</v>
      </c>
      <c r="M314" s="1" t="s">
        <v>2738</v>
      </c>
      <c r="N314" s="1" t="s">
        <v>2739</v>
      </c>
    </row>
    <row r="315" spans="1:15" x14ac:dyDescent="0.4">
      <c r="A315" s="16">
        <v>181936</v>
      </c>
      <c r="B315" s="1839">
        <v>45</v>
      </c>
      <c r="C315" s="16">
        <f t="shared" si="36"/>
        <v>225</v>
      </c>
      <c r="D315" s="1839">
        <v>0</v>
      </c>
      <c r="E315" s="1839">
        <v>0</v>
      </c>
      <c r="F315" s="1839">
        <v>0</v>
      </c>
      <c r="G315" s="1839">
        <v>0</v>
      </c>
      <c r="H315" s="1839">
        <v>0</v>
      </c>
      <c r="I315" s="1839">
        <v>1</v>
      </c>
      <c r="J315" s="1840">
        <f t="shared" si="37"/>
        <v>1</v>
      </c>
      <c r="K315" s="1840">
        <f t="shared" si="38"/>
        <v>0</v>
      </c>
      <c r="L315" s="1839">
        <f t="shared" si="39"/>
        <v>0</v>
      </c>
      <c r="M315" s="16" t="s">
        <v>2738</v>
      </c>
      <c r="N315" s="16" t="s">
        <v>2739</v>
      </c>
    </row>
    <row r="316" spans="1:15" x14ac:dyDescent="0.4">
      <c r="A316" s="16">
        <v>181937</v>
      </c>
      <c r="B316" s="1427">
        <v>45</v>
      </c>
      <c r="C316" s="16">
        <f t="shared" si="36"/>
        <v>225</v>
      </c>
      <c r="D316" s="1427">
        <v>0</v>
      </c>
      <c r="E316" s="1427">
        <v>0</v>
      </c>
      <c r="F316" s="1427">
        <v>0</v>
      </c>
      <c r="G316" s="1427">
        <v>0</v>
      </c>
      <c r="H316" s="1427">
        <v>0</v>
      </c>
      <c r="I316" s="1427">
        <v>0</v>
      </c>
      <c r="J316" s="1428">
        <f t="shared" si="37"/>
        <v>0</v>
      </c>
      <c r="K316" s="1428">
        <f t="shared" si="38"/>
        <v>0</v>
      </c>
      <c r="L316" s="1427">
        <f t="shared" si="39"/>
        <v>0</v>
      </c>
      <c r="M316" s="16" t="s">
        <v>2738</v>
      </c>
      <c r="N316" s="16" t="s">
        <v>2739</v>
      </c>
    </row>
    <row r="317" spans="1:15" x14ac:dyDescent="0.4">
      <c r="A317" s="16">
        <v>181938</v>
      </c>
      <c r="B317" s="1513">
        <v>45</v>
      </c>
      <c r="C317" s="16">
        <f t="shared" si="36"/>
        <v>225</v>
      </c>
      <c r="D317" s="1513">
        <v>0</v>
      </c>
      <c r="E317" s="1513">
        <v>0</v>
      </c>
      <c r="F317" s="1513">
        <v>0</v>
      </c>
      <c r="G317" s="1513">
        <v>0</v>
      </c>
      <c r="H317" s="1513">
        <v>0</v>
      </c>
      <c r="I317" s="1513">
        <v>0</v>
      </c>
      <c r="J317" s="1514">
        <f t="shared" si="37"/>
        <v>0</v>
      </c>
      <c r="K317" s="1514">
        <f t="shared" si="38"/>
        <v>0</v>
      </c>
      <c r="L317" s="1513">
        <f t="shared" si="39"/>
        <v>0</v>
      </c>
      <c r="M317" s="16" t="s">
        <v>2738</v>
      </c>
      <c r="N317" s="16" t="s">
        <v>2739</v>
      </c>
    </row>
    <row r="318" spans="1:15" x14ac:dyDescent="0.4">
      <c r="A318" s="16">
        <v>181939</v>
      </c>
      <c r="B318" s="1165">
        <v>90</v>
      </c>
      <c r="C318" s="16">
        <f t="shared" si="36"/>
        <v>450</v>
      </c>
      <c r="D318" s="1165">
        <v>0</v>
      </c>
      <c r="E318" s="1165">
        <v>0</v>
      </c>
      <c r="F318" s="1165">
        <v>0</v>
      </c>
      <c r="G318" s="1165">
        <v>0</v>
      </c>
      <c r="H318" s="1165">
        <v>0</v>
      </c>
      <c r="I318" s="1165">
        <v>0</v>
      </c>
      <c r="J318" s="1166">
        <f t="shared" si="37"/>
        <v>0</v>
      </c>
      <c r="K318" s="1166">
        <f t="shared" si="38"/>
        <v>0</v>
      </c>
      <c r="L318" s="1165">
        <f t="shared" si="39"/>
        <v>0</v>
      </c>
      <c r="M318" s="16" t="s">
        <v>2738</v>
      </c>
      <c r="N318" s="16" t="s">
        <v>2739</v>
      </c>
    </row>
    <row r="319" spans="1:15" x14ac:dyDescent="0.4">
      <c r="A319" s="16">
        <v>181940</v>
      </c>
      <c r="B319" s="1347">
        <v>60</v>
      </c>
      <c r="C319" s="16">
        <f t="shared" ref="C319:C328" si="40">SUM(B319*5)</f>
        <v>300</v>
      </c>
      <c r="D319" s="1347">
        <v>0</v>
      </c>
      <c r="E319" s="1347">
        <v>0</v>
      </c>
      <c r="F319" s="1347">
        <v>0</v>
      </c>
      <c r="G319" s="1347">
        <v>0</v>
      </c>
      <c r="H319" s="1347">
        <v>0</v>
      </c>
      <c r="I319" s="1347">
        <v>0</v>
      </c>
      <c r="J319" s="1349">
        <f t="shared" ref="J319:J328" si="41">SUM(D319:I319)</f>
        <v>0</v>
      </c>
      <c r="K319" s="1349">
        <f t="shared" ref="K319:K328" si="42">SUM(D319:H319)</f>
        <v>0</v>
      </c>
      <c r="L319" s="1347">
        <f t="shared" ref="L319:L328" si="43">B319*K319</f>
        <v>0</v>
      </c>
      <c r="M319" s="16" t="s">
        <v>2740</v>
      </c>
      <c r="N319" s="16" t="s">
        <v>2741</v>
      </c>
    </row>
    <row r="320" spans="1:15" x14ac:dyDescent="0.4">
      <c r="A320" s="16">
        <v>181941</v>
      </c>
      <c r="B320" s="1455">
        <v>45</v>
      </c>
      <c r="C320" s="16">
        <f t="shared" si="40"/>
        <v>225</v>
      </c>
      <c r="D320" s="1455">
        <v>0</v>
      </c>
      <c r="E320" s="1455">
        <v>0</v>
      </c>
      <c r="F320" s="1455">
        <v>0</v>
      </c>
      <c r="G320" s="1455">
        <v>0</v>
      </c>
      <c r="H320" s="1455">
        <v>0</v>
      </c>
      <c r="I320" s="1455">
        <v>0</v>
      </c>
      <c r="J320" s="1456">
        <f t="shared" si="41"/>
        <v>0</v>
      </c>
      <c r="K320" s="1456">
        <f t="shared" si="42"/>
        <v>0</v>
      </c>
      <c r="L320" s="1455">
        <f t="shared" si="43"/>
        <v>0</v>
      </c>
      <c r="M320" s="16" t="s">
        <v>2740</v>
      </c>
      <c r="N320" s="16" t="s">
        <v>2741</v>
      </c>
    </row>
    <row r="321" spans="1:26" x14ac:dyDescent="0.4">
      <c r="A321" s="16">
        <v>181942</v>
      </c>
      <c r="B321" s="1351">
        <v>45</v>
      </c>
      <c r="C321" s="16">
        <f t="shared" si="40"/>
        <v>225</v>
      </c>
      <c r="D321" s="1351">
        <v>0</v>
      </c>
      <c r="E321" s="1351">
        <v>0</v>
      </c>
      <c r="F321" s="1351">
        <v>0</v>
      </c>
      <c r="G321" s="1351">
        <v>0</v>
      </c>
      <c r="H321" s="1351">
        <v>0</v>
      </c>
      <c r="I321" s="1351">
        <v>0</v>
      </c>
      <c r="J321" s="1352">
        <f t="shared" si="41"/>
        <v>0</v>
      </c>
      <c r="K321" s="1352">
        <f t="shared" si="42"/>
        <v>0</v>
      </c>
      <c r="L321" s="1351">
        <f t="shared" si="43"/>
        <v>0</v>
      </c>
      <c r="M321" s="16" t="s">
        <v>2740</v>
      </c>
      <c r="N321" s="16" t="s">
        <v>2741</v>
      </c>
    </row>
    <row r="322" spans="1:26" x14ac:dyDescent="0.4">
      <c r="A322" s="16">
        <v>181943</v>
      </c>
      <c r="B322" s="31">
        <v>45</v>
      </c>
      <c r="C322" s="16">
        <f>SUM(B322*3)</f>
        <v>135</v>
      </c>
      <c r="D322" s="1381">
        <v>0</v>
      </c>
      <c r="E322" s="1381">
        <v>0</v>
      </c>
      <c r="F322" s="1381">
        <v>0</v>
      </c>
      <c r="G322" s="1381"/>
      <c r="H322" s="1381"/>
      <c r="I322" s="1381"/>
      <c r="J322" s="1382">
        <f t="shared" si="41"/>
        <v>0</v>
      </c>
      <c r="K322" s="1382">
        <f t="shared" si="42"/>
        <v>0</v>
      </c>
      <c r="L322" s="1381">
        <f t="shared" si="43"/>
        <v>0</v>
      </c>
      <c r="M322" s="16" t="s">
        <v>2742</v>
      </c>
      <c r="N322" s="16" t="s">
        <v>2743</v>
      </c>
      <c r="O322" t="s">
        <v>2744</v>
      </c>
    </row>
    <row r="323" spans="1:26" x14ac:dyDescent="0.4">
      <c r="A323" s="16">
        <v>181944</v>
      </c>
      <c r="B323" s="31">
        <v>45</v>
      </c>
      <c r="C323" s="16">
        <f>SUM(B323*2)</f>
        <v>90</v>
      </c>
      <c r="D323" s="1252">
        <v>0</v>
      </c>
      <c r="E323" s="1252">
        <v>0</v>
      </c>
      <c r="F323" s="1252">
        <v>0</v>
      </c>
      <c r="G323" s="1252"/>
      <c r="H323" s="1252"/>
      <c r="I323" s="1252"/>
      <c r="J323" s="1254">
        <f t="shared" si="41"/>
        <v>0</v>
      </c>
      <c r="K323" s="1254">
        <f t="shared" si="42"/>
        <v>0</v>
      </c>
      <c r="L323" s="1252">
        <f t="shared" si="43"/>
        <v>0</v>
      </c>
      <c r="M323" s="16" t="s">
        <v>2742</v>
      </c>
      <c r="N323" s="16" t="s">
        <v>2743</v>
      </c>
      <c r="O323" t="s">
        <v>2745</v>
      </c>
    </row>
    <row r="324" spans="1:26" x14ac:dyDescent="0.4">
      <c r="A324" s="16">
        <v>181945</v>
      </c>
      <c r="B324" s="1678">
        <v>60</v>
      </c>
      <c r="C324" s="16">
        <f t="shared" si="40"/>
        <v>300</v>
      </c>
      <c r="D324" s="1678">
        <v>0</v>
      </c>
      <c r="E324" s="1678">
        <v>0</v>
      </c>
      <c r="F324" s="1678">
        <v>0</v>
      </c>
      <c r="G324" s="1678">
        <v>0</v>
      </c>
      <c r="H324" s="1678">
        <v>0</v>
      </c>
      <c r="I324" s="1678">
        <v>0</v>
      </c>
      <c r="J324" s="1679">
        <f t="shared" si="41"/>
        <v>0</v>
      </c>
      <c r="K324" s="1679">
        <f t="shared" si="42"/>
        <v>0</v>
      </c>
      <c r="L324" s="1678">
        <f t="shared" si="43"/>
        <v>0</v>
      </c>
      <c r="M324" s="16" t="s">
        <v>2746</v>
      </c>
      <c r="N324" s="16" t="s">
        <v>2747</v>
      </c>
    </row>
    <row r="325" spans="1:26" x14ac:dyDescent="0.4">
      <c r="A325" s="1">
        <v>181946</v>
      </c>
      <c r="B325" s="1857">
        <v>60</v>
      </c>
      <c r="C325" s="1">
        <f t="shared" si="40"/>
        <v>300</v>
      </c>
      <c r="D325" s="1857">
        <v>0</v>
      </c>
      <c r="E325" s="1857">
        <v>0</v>
      </c>
      <c r="F325" s="1857">
        <v>0</v>
      </c>
      <c r="G325" s="1857">
        <v>0</v>
      </c>
      <c r="H325" s="1857">
        <v>0</v>
      </c>
      <c r="I325" s="1857">
        <v>1</v>
      </c>
      <c r="J325" s="1859">
        <f t="shared" si="41"/>
        <v>1</v>
      </c>
      <c r="K325" s="1859">
        <f t="shared" si="42"/>
        <v>0</v>
      </c>
      <c r="L325" s="1857">
        <f t="shared" si="43"/>
        <v>0</v>
      </c>
      <c r="M325" s="1" t="s">
        <v>2746</v>
      </c>
      <c r="N325" s="1" t="s">
        <v>2747</v>
      </c>
    </row>
    <row r="326" spans="1:26" x14ac:dyDescent="0.4">
      <c r="A326" s="16">
        <v>181947</v>
      </c>
      <c r="B326" s="1483">
        <v>60</v>
      </c>
      <c r="C326" s="16">
        <f t="shared" si="40"/>
        <v>300</v>
      </c>
      <c r="D326" s="1483">
        <v>0</v>
      </c>
      <c r="E326" s="1483">
        <v>0</v>
      </c>
      <c r="F326" s="1483">
        <v>0</v>
      </c>
      <c r="G326" s="1483">
        <v>0</v>
      </c>
      <c r="H326" s="1483">
        <v>0</v>
      </c>
      <c r="I326" s="1483">
        <v>0</v>
      </c>
      <c r="J326" s="1484">
        <f t="shared" si="41"/>
        <v>0</v>
      </c>
      <c r="K326" s="1484">
        <f t="shared" si="42"/>
        <v>0</v>
      </c>
      <c r="L326" s="1483">
        <f t="shared" si="43"/>
        <v>0</v>
      </c>
      <c r="M326" s="16" t="s">
        <v>2748</v>
      </c>
      <c r="N326" s="16" t="s">
        <v>2749</v>
      </c>
    </row>
    <row r="327" spans="1:26" x14ac:dyDescent="0.4">
      <c r="A327" s="1">
        <v>181948</v>
      </c>
      <c r="B327" s="1878">
        <v>45</v>
      </c>
      <c r="C327" s="1">
        <f t="shared" si="40"/>
        <v>225</v>
      </c>
      <c r="D327" s="1878">
        <v>0</v>
      </c>
      <c r="E327" s="1878">
        <v>0</v>
      </c>
      <c r="F327" s="1878">
        <v>0</v>
      </c>
      <c r="G327" s="1878">
        <v>0</v>
      </c>
      <c r="H327" s="1878">
        <v>1</v>
      </c>
      <c r="I327" s="1878">
        <v>1</v>
      </c>
      <c r="J327" s="1879">
        <f t="shared" si="41"/>
        <v>2</v>
      </c>
      <c r="K327" s="1879">
        <f t="shared" si="42"/>
        <v>1</v>
      </c>
      <c r="L327" s="1878">
        <f t="shared" si="43"/>
        <v>45</v>
      </c>
      <c r="M327" s="1" t="s">
        <v>2750</v>
      </c>
      <c r="N327" s="1" t="s">
        <v>2751</v>
      </c>
    </row>
    <row r="328" spans="1:26" x14ac:dyDescent="0.4">
      <c r="A328" s="16">
        <v>181949</v>
      </c>
      <c r="B328" s="1864">
        <v>60</v>
      </c>
      <c r="C328" s="16">
        <f t="shared" si="40"/>
        <v>300</v>
      </c>
      <c r="D328" s="1864">
        <v>0</v>
      </c>
      <c r="E328" s="1864">
        <v>0</v>
      </c>
      <c r="F328" s="1864">
        <v>0</v>
      </c>
      <c r="G328" s="1864">
        <v>0</v>
      </c>
      <c r="H328" s="1864">
        <v>0</v>
      </c>
      <c r="I328" s="1864">
        <v>0</v>
      </c>
      <c r="J328" s="1865">
        <f t="shared" si="41"/>
        <v>0</v>
      </c>
      <c r="K328" s="1865">
        <f t="shared" si="42"/>
        <v>0</v>
      </c>
      <c r="L328" s="1864">
        <f t="shared" si="43"/>
        <v>0</v>
      </c>
      <c r="M328" s="16" t="s">
        <v>2750</v>
      </c>
      <c r="N328" s="16" t="s">
        <v>2751</v>
      </c>
    </row>
    <row r="329" spans="1:26" x14ac:dyDescent="0.4">
      <c r="A329" s="16">
        <v>181950</v>
      </c>
      <c r="B329" s="1278">
        <v>60</v>
      </c>
      <c r="C329" s="16">
        <f t="shared" ref="C329:C358" si="44">SUM(B329*5)</f>
        <v>300</v>
      </c>
      <c r="D329" s="1278">
        <v>0</v>
      </c>
      <c r="E329" s="1278">
        <v>0</v>
      </c>
      <c r="F329" s="1278">
        <v>0</v>
      </c>
      <c r="G329" s="1278">
        <v>0</v>
      </c>
      <c r="H329" s="1278">
        <v>0</v>
      </c>
      <c r="I329" s="1278">
        <v>0</v>
      </c>
      <c r="J329" s="1279">
        <f t="shared" ref="J329:J358" si="45">SUM(D329:I329)</f>
        <v>0</v>
      </c>
      <c r="K329" s="1279">
        <f t="shared" ref="K329:K358" si="46">SUM(D329:H329)</f>
        <v>0</v>
      </c>
      <c r="L329" s="1278">
        <f t="shared" ref="L329:L358" si="47">B329*K329</f>
        <v>0</v>
      </c>
      <c r="M329" s="16" t="s">
        <v>2752</v>
      </c>
      <c r="N329" s="16" t="s">
        <v>2753</v>
      </c>
    </row>
    <row r="330" spans="1:26" x14ac:dyDescent="0.4">
      <c r="A330" s="16">
        <v>181951</v>
      </c>
      <c r="B330" s="1275">
        <v>45</v>
      </c>
      <c r="C330" s="16">
        <f t="shared" si="44"/>
        <v>225</v>
      </c>
      <c r="D330" s="1275">
        <v>0</v>
      </c>
      <c r="E330" s="1275">
        <v>0</v>
      </c>
      <c r="F330" s="1275">
        <v>0</v>
      </c>
      <c r="G330" s="1275">
        <v>0</v>
      </c>
      <c r="H330" s="1275">
        <v>0</v>
      </c>
      <c r="I330" s="1275">
        <v>0</v>
      </c>
      <c r="J330" s="1276">
        <f t="shared" si="45"/>
        <v>0</v>
      </c>
      <c r="K330" s="1276">
        <f t="shared" si="46"/>
        <v>0</v>
      </c>
      <c r="L330" s="1275">
        <f t="shared" si="47"/>
        <v>0</v>
      </c>
      <c r="M330" s="30" t="s">
        <v>2754</v>
      </c>
      <c r="N330" s="16" t="s">
        <v>2755</v>
      </c>
    </row>
    <row r="331" spans="1:26" x14ac:dyDescent="0.4">
      <c r="A331" s="16">
        <v>181952</v>
      </c>
      <c r="B331" s="1475">
        <v>45</v>
      </c>
      <c r="C331" s="16">
        <f t="shared" si="44"/>
        <v>225</v>
      </c>
      <c r="D331" s="1475">
        <v>0</v>
      </c>
      <c r="E331" s="1475">
        <v>0</v>
      </c>
      <c r="F331" s="1475">
        <v>0</v>
      </c>
      <c r="G331" s="1475">
        <v>0</v>
      </c>
      <c r="H331" s="1475">
        <v>0</v>
      </c>
      <c r="I331" s="1475">
        <v>0</v>
      </c>
      <c r="J331" s="1476">
        <f t="shared" si="45"/>
        <v>0</v>
      </c>
      <c r="K331" s="1476">
        <f t="shared" si="46"/>
        <v>0</v>
      </c>
      <c r="L331" s="1475">
        <f t="shared" si="47"/>
        <v>0</v>
      </c>
      <c r="M331" s="30" t="s">
        <v>2756</v>
      </c>
      <c r="N331" s="16" t="s">
        <v>2757</v>
      </c>
    </row>
    <row r="332" spans="1:26" x14ac:dyDescent="0.4">
      <c r="A332" s="16">
        <v>181953</v>
      </c>
      <c r="B332" s="1353">
        <v>60</v>
      </c>
      <c r="C332" s="16">
        <f t="shared" si="44"/>
        <v>300</v>
      </c>
      <c r="D332" s="1353">
        <v>0</v>
      </c>
      <c r="E332" s="1353">
        <v>0</v>
      </c>
      <c r="F332" s="1353">
        <v>0</v>
      </c>
      <c r="G332" s="1353">
        <v>0</v>
      </c>
      <c r="H332" s="1353">
        <v>0</v>
      </c>
      <c r="I332" s="1353">
        <v>0</v>
      </c>
      <c r="J332" s="1354">
        <f t="shared" si="45"/>
        <v>0</v>
      </c>
      <c r="K332" s="1354">
        <f t="shared" si="46"/>
        <v>0</v>
      </c>
      <c r="L332" s="1353">
        <f t="shared" si="47"/>
        <v>0</v>
      </c>
      <c r="M332" s="30" t="s">
        <v>2758</v>
      </c>
      <c r="N332" s="16" t="s">
        <v>2759</v>
      </c>
    </row>
    <row r="333" spans="1:26" x14ac:dyDescent="0.4">
      <c r="A333" s="123">
        <v>181954</v>
      </c>
      <c r="B333" s="992">
        <v>60</v>
      </c>
      <c r="C333" s="123">
        <f t="shared" si="44"/>
        <v>300</v>
      </c>
      <c r="D333" s="992">
        <v>0</v>
      </c>
      <c r="E333" s="992">
        <v>1</v>
      </c>
      <c r="F333" s="992">
        <v>1</v>
      </c>
      <c r="G333" s="992">
        <v>1</v>
      </c>
      <c r="H333" s="992">
        <v>1</v>
      </c>
      <c r="I333" s="992">
        <v>1</v>
      </c>
      <c r="J333" s="253">
        <f t="shared" si="45"/>
        <v>5</v>
      </c>
      <c r="K333" s="253">
        <f t="shared" si="46"/>
        <v>4</v>
      </c>
      <c r="L333" s="992">
        <f t="shared" si="47"/>
        <v>240</v>
      </c>
      <c r="M333" s="993" t="s">
        <v>2758</v>
      </c>
      <c r="N333" s="123" t="s">
        <v>2759</v>
      </c>
      <c r="O333" s="36"/>
      <c r="P333" s="36" t="s">
        <v>2850</v>
      </c>
      <c r="Q333" s="36"/>
      <c r="R333" s="36"/>
      <c r="S333" s="36"/>
      <c r="W333" t="s">
        <v>2851</v>
      </c>
      <c r="Z333" t="s">
        <v>3060</v>
      </c>
    </row>
    <row r="334" spans="1:26" x14ac:dyDescent="0.4">
      <c r="A334" s="1">
        <v>181955</v>
      </c>
      <c r="B334" s="1887">
        <v>45</v>
      </c>
      <c r="C334" s="1">
        <f t="shared" si="44"/>
        <v>225</v>
      </c>
      <c r="D334" s="1887">
        <v>0</v>
      </c>
      <c r="E334" s="1887">
        <v>0</v>
      </c>
      <c r="F334" s="1887">
        <v>0</v>
      </c>
      <c r="G334" s="1887">
        <v>0</v>
      </c>
      <c r="H334" s="1887">
        <v>1</v>
      </c>
      <c r="I334" s="1887">
        <v>1</v>
      </c>
      <c r="J334" s="1888">
        <f t="shared" si="45"/>
        <v>2</v>
      </c>
      <c r="K334" s="1888">
        <f t="shared" si="46"/>
        <v>1</v>
      </c>
      <c r="L334" s="1887">
        <f t="shared" si="47"/>
        <v>45</v>
      </c>
      <c r="M334" s="141" t="s">
        <v>2760</v>
      </c>
      <c r="N334" s="1" t="s">
        <v>2761</v>
      </c>
    </row>
    <row r="335" spans="1:26" x14ac:dyDescent="0.4">
      <c r="A335" s="16">
        <v>181956</v>
      </c>
      <c r="B335" s="1430">
        <v>45</v>
      </c>
      <c r="C335" s="16">
        <f t="shared" si="44"/>
        <v>225</v>
      </c>
      <c r="D335" s="1430">
        <v>0</v>
      </c>
      <c r="E335" s="1430">
        <v>0</v>
      </c>
      <c r="F335" s="1430">
        <v>0</v>
      </c>
      <c r="G335" s="1430">
        <v>0</v>
      </c>
      <c r="H335" s="1430">
        <v>0</v>
      </c>
      <c r="I335" s="1430">
        <v>0</v>
      </c>
      <c r="J335" s="1431">
        <f t="shared" si="45"/>
        <v>0</v>
      </c>
      <c r="K335" s="1431">
        <f t="shared" si="46"/>
        <v>0</v>
      </c>
      <c r="L335" s="1430">
        <f t="shared" si="47"/>
        <v>0</v>
      </c>
      <c r="M335" s="30" t="s">
        <v>2760</v>
      </c>
      <c r="N335" s="16" t="s">
        <v>2761</v>
      </c>
    </row>
    <row r="336" spans="1:26" x14ac:dyDescent="0.4">
      <c r="A336" s="16">
        <v>181957</v>
      </c>
      <c r="B336" s="1604">
        <v>120</v>
      </c>
      <c r="C336" s="16">
        <f t="shared" si="44"/>
        <v>600</v>
      </c>
      <c r="D336" s="1604">
        <v>0</v>
      </c>
      <c r="E336" s="1604">
        <v>0</v>
      </c>
      <c r="F336" s="1604">
        <v>0</v>
      </c>
      <c r="G336" s="1604">
        <v>0</v>
      </c>
      <c r="H336" s="1604">
        <v>0</v>
      </c>
      <c r="I336" s="1604">
        <v>0</v>
      </c>
      <c r="J336" s="1605">
        <f t="shared" si="45"/>
        <v>0</v>
      </c>
      <c r="K336" s="1605">
        <f t="shared" si="46"/>
        <v>0</v>
      </c>
      <c r="L336" s="1604">
        <f t="shared" si="47"/>
        <v>0</v>
      </c>
      <c r="M336" s="30" t="s">
        <v>2760</v>
      </c>
      <c r="N336" s="16" t="s">
        <v>2761</v>
      </c>
    </row>
    <row r="337" spans="1:14" x14ac:dyDescent="0.4">
      <c r="A337" s="16">
        <v>181958</v>
      </c>
      <c r="B337" s="1334">
        <v>45</v>
      </c>
      <c r="C337" s="16">
        <f t="shared" si="44"/>
        <v>225</v>
      </c>
      <c r="D337" s="1334">
        <v>0</v>
      </c>
      <c r="E337" s="1334">
        <v>0</v>
      </c>
      <c r="F337" s="1334">
        <v>0</v>
      </c>
      <c r="G337" s="1334">
        <v>0</v>
      </c>
      <c r="H337" s="1334">
        <v>0</v>
      </c>
      <c r="I337" s="1334">
        <v>0</v>
      </c>
      <c r="J337" s="1335">
        <f t="shared" si="45"/>
        <v>0</v>
      </c>
      <c r="K337" s="1335">
        <f t="shared" si="46"/>
        <v>0</v>
      </c>
      <c r="L337" s="1334">
        <f t="shared" si="47"/>
        <v>0</v>
      </c>
      <c r="M337" s="30" t="s">
        <v>2760</v>
      </c>
      <c r="N337" s="16" t="s">
        <v>2761</v>
      </c>
    </row>
    <row r="338" spans="1:14" x14ac:dyDescent="0.4">
      <c r="A338" s="1">
        <v>181959</v>
      </c>
      <c r="B338" s="1887">
        <v>60</v>
      </c>
      <c r="C338" s="1">
        <f t="shared" si="44"/>
        <v>300</v>
      </c>
      <c r="D338" s="1887">
        <v>0</v>
      </c>
      <c r="E338" s="1887">
        <v>0</v>
      </c>
      <c r="F338" s="1887">
        <v>0</v>
      </c>
      <c r="G338" s="1887">
        <v>0</v>
      </c>
      <c r="H338" s="1887">
        <v>0</v>
      </c>
      <c r="I338" s="1887">
        <v>1</v>
      </c>
      <c r="J338" s="1888">
        <f t="shared" si="45"/>
        <v>1</v>
      </c>
      <c r="K338" s="1888">
        <f t="shared" si="46"/>
        <v>0</v>
      </c>
      <c r="L338" s="1887">
        <f t="shared" si="47"/>
        <v>0</v>
      </c>
      <c r="M338" s="141" t="s">
        <v>2762</v>
      </c>
      <c r="N338" s="1" t="s">
        <v>2763</v>
      </c>
    </row>
    <row r="339" spans="1:14" x14ac:dyDescent="0.4">
      <c r="A339" s="16">
        <v>181960</v>
      </c>
      <c r="B339" s="1776">
        <v>45</v>
      </c>
      <c r="C339" s="16">
        <f t="shared" si="44"/>
        <v>225</v>
      </c>
      <c r="D339" s="1776">
        <v>0</v>
      </c>
      <c r="E339" s="1776">
        <v>0</v>
      </c>
      <c r="F339" s="1776">
        <v>0</v>
      </c>
      <c r="G339" s="1776">
        <v>0</v>
      </c>
      <c r="H339" s="1776">
        <v>0</v>
      </c>
      <c r="I339" s="1776">
        <v>0</v>
      </c>
      <c r="J339" s="1777">
        <f t="shared" si="45"/>
        <v>0</v>
      </c>
      <c r="K339" s="1777">
        <f t="shared" si="46"/>
        <v>0</v>
      </c>
      <c r="L339" s="1776">
        <f t="shared" si="47"/>
        <v>0</v>
      </c>
      <c r="M339" s="30" t="s">
        <v>2762</v>
      </c>
      <c r="N339" s="16" t="s">
        <v>2763</v>
      </c>
    </row>
    <row r="340" spans="1:14" x14ac:dyDescent="0.4">
      <c r="A340" s="1">
        <v>181961</v>
      </c>
      <c r="B340" s="1887">
        <v>45</v>
      </c>
      <c r="C340" s="1">
        <f t="shared" si="44"/>
        <v>225</v>
      </c>
      <c r="D340" s="1887">
        <v>0</v>
      </c>
      <c r="E340" s="1887">
        <v>0</v>
      </c>
      <c r="F340" s="1887">
        <v>0</v>
      </c>
      <c r="G340" s="1887">
        <v>0</v>
      </c>
      <c r="H340" s="1887">
        <v>1</v>
      </c>
      <c r="I340" s="1887">
        <v>1</v>
      </c>
      <c r="J340" s="1888">
        <f t="shared" si="45"/>
        <v>2</v>
      </c>
      <c r="K340" s="1888">
        <f t="shared" si="46"/>
        <v>1</v>
      </c>
      <c r="L340" s="1887">
        <f t="shared" si="47"/>
        <v>45</v>
      </c>
      <c r="M340" s="141" t="s">
        <v>2764</v>
      </c>
      <c r="N340" s="1" t="s">
        <v>2767</v>
      </c>
    </row>
    <row r="341" spans="1:14" x14ac:dyDescent="0.4">
      <c r="A341" s="16">
        <v>181962</v>
      </c>
      <c r="B341" s="1680">
        <v>45</v>
      </c>
      <c r="C341" s="16">
        <f t="shared" si="44"/>
        <v>225</v>
      </c>
      <c r="D341" s="1680">
        <v>0</v>
      </c>
      <c r="E341" s="1680">
        <v>0</v>
      </c>
      <c r="F341" s="1680">
        <v>0</v>
      </c>
      <c r="G341" s="1680">
        <v>0</v>
      </c>
      <c r="H341" s="1680">
        <v>0</v>
      </c>
      <c r="I341" s="1680">
        <v>0</v>
      </c>
      <c r="J341" s="1681">
        <f t="shared" si="45"/>
        <v>0</v>
      </c>
      <c r="K341" s="1681">
        <f t="shared" si="46"/>
        <v>0</v>
      </c>
      <c r="L341" s="1680">
        <f t="shared" si="47"/>
        <v>0</v>
      </c>
      <c r="M341" s="30" t="s">
        <v>2765</v>
      </c>
      <c r="N341" s="16" t="s">
        <v>2767</v>
      </c>
    </row>
    <row r="342" spans="1:14" x14ac:dyDescent="0.4">
      <c r="A342" s="1">
        <v>181963</v>
      </c>
      <c r="B342" s="1887">
        <v>60</v>
      </c>
      <c r="C342" s="1">
        <f t="shared" si="44"/>
        <v>300</v>
      </c>
      <c r="D342" s="1887">
        <v>0</v>
      </c>
      <c r="E342" s="1887">
        <v>0</v>
      </c>
      <c r="F342" s="1887">
        <v>0</v>
      </c>
      <c r="G342" s="1887">
        <v>1</v>
      </c>
      <c r="H342" s="1887">
        <v>1</v>
      </c>
      <c r="I342" s="1887">
        <v>1</v>
      </c>
      <c r="J342" s="1888">
        <f t="shared" si="45"/>
        <v>3</v>
      </c>
      <c r="K342" s="1888">
        <f t="shared" si="46"/>
        <v>2</v>
      </c>
      <c r="L342" s="1887">
        <f t="shared" si="47"/>
        <v>120</v>
      </c>
      <c r="M342" s="141" t="s">
        <v>2766</v>
      </c>
      <c r="N342" s="1" t="s">
        <v>2767</v>
      </c>
    </row>
    <row r="343" spans="1:14" x14ac:dyDescent="0.4">
      <c r="A343" s="16">
        <v>181964</v>
      </c>
      <c r="B343" s="1465">
        <v>45</v>
      </c>
      <c r="C343" s="16">
        <f t="shared" si="44"/>
        <v>225</v>
      </c>
      <c r="D343" s="1465">
        <v>0</v>
      </c>
      <c r="E343" s="1465">
        <v>0</v>
      </c>
      <c r="F343" s="1465">
        <v>0</v>
      </c>
      <c r="G343" s="1465">
        <v>0</v>
      </c>
      <c r="H343" s="1465">
        <v>0</v>
      </c>
      <c r="I343" s="1465">
        <v>0</v>
      </c>
      <c r="J343" s="1466">
        <f t="shared" si="45"/>
        <v>0</v>
      </c>
      <c r="K343" s="1466">
        <f t="shared" si="46"/>
        <v>0</v>
      </c>
      <c r="L343" s="1465">
        <f t="shared" si="47"/>
        <v>0</v>
      </c>
      <c r="M343" s="30" t="s">
        <v>2764</v>
      </c>
      <c r="N343" s="16" t="s">
        <v>2767</v>
      </c>
    </row>
    <row r="344" spans="1:14" x14ac:dyDescent="0.4">
      <c r="A344" s="16">
        <v>181965</v>
      </c>
      <c r="B344" s="1045">
        <v>45</v>
      </c>
      <c r="C344" s="16">
        <f t="shared" si="44"/>
        <v>225</v>
      </c>
      <c r="D344" s="1045">
        <v>0</v>
      </c>
      <c r="E344" s="1045">
        <v>0</v>
      </c>
      <c r="F344" s="1045">
        <v>0</v>
      </c>
      <c r="G344" s="1045">
        <v>0</v>
      </c>
      <c r="H344" s="1045">
        <v>0</v>
      </c>
      <c r="I344" s="1045">
        <v>0</v>
      </c>
      <c r="J344" s="1046">
        <f t="shared" si="45"/>
        <v>0</v>
      </c>
      <c r="K344" s="1046">
        <f t="shared" si="46"/>
        <v>0</v>
      </c>
      <c r="L344" s="1045">
        <f t="shared" si="47"/>
        <v>0</v>
      </c>
      <c r="M344" s="30" t="s">
        <v>2768</v>
      </c>
      <c r="N344" s="16" t="s">
        <v>2769</v>
      </c>
    </row>
    <row r="345" spans="1:14" x14ac:dyDescent="0.4">
      <c r="A345" s="16">
        <v>181966</v>
      </c>
      <c r="B345" s="1265">
        <v>45</v>
      </c>
      <c r="C345" s="16">
        <f t="shared" si="44"/>
        <v>225</v>
      </c>
      <c r="D345" s="1265">
        <v>0</v>
      </c>
      <c r="E345" s="1265">
        <v>0</v>
      </c>
      <c r="F345" s="1265">
        <v>0</v>
      </c>
      <c r="G345" s="1265">
        <v>0</v>
      </c>
      <c r="H345" s="1265">
        <v>0</v>
      </c>
      <c r="I345" s="1265">
        <v>0</v>
      </c>
      <c r="J345" s="1266">
        <f t="shared" si="45"/>
        <v>0</v>
      </c>
      <c r="K345" s="1266">
        <f t="shared" si="46"/>
        <v>0</v>
      </c>
      <c r="L345" s="1265">
        <f t="shared" si="47"/>
        <v>0</v>
      </c>
      <c r="M345" s="30" t="s">
        <v>2770</v>
      </c>
      <c r="N345" s="16" t="s">
        <v>2771</v>
      </c>
    </row>
    <row r="346" spans="1:14" x14ac:dyDescent="0.4">
      <c r="A346" s="1">
        <v>181967</v>
      </c>
      <c r="B346" s="1897">
        <v>45</v>
      </c>
      <c r="C346" s="1">
        <f t="shared" si="44"/>
        <v>225</v>
      </c>
      <c r="D346" s="1897">
        <v>0</v>
      </c>
      <c r="E346" s="1897">
        <v>0</v>
      </c>
      <c r="F346" s="1897">
        <v>0</v>
      </c>
      <c r="G346" s="1897">
        <v>0</v>
      </c>
      <c r="H346" s="1897">
        <v>0</v>
      </c>
      <c r="I346" s="1897">
        <v>0</v>
      </c>
      <c r="J346" s="1900">
        <f t="shared" si="45"/>
        <v>0</v>
      </c>
      <c r="K346" s="1900">
        <f t="shared" si="46"/>
        <v>0</v>
      </c>
      <c r="L346" s="1897">
        <f t="shared" si="47"/>
        <v>0</v>
      </c>
      <c r="M346" s="141" t="s">
        <v>2770</v>
      </c>
      <c r="N346" s="1" t="s">
        <v>2771</v>
      </c>
    </row>
    <row r="347" spans="1:14" x14ac:dyDescent="0.4">
      <c r="A347" s="1">
        <v>181968</v>
      </c>
      <c r="B347" s="1897">
        <v>60</v>
      </c>
      <c r="C347" s="1">
        <f t="shared" si="44"/>
        <v>300</v>
      </c>
      <c r="D347" s="1897">
        <v>0</v>
      </c>
      <c r="E347" s="1897">
        <v>0</v>
      </c>
      <c r="F347" s="1897">
        <v>0</v>
      </c>
      <c r="G347" s="1897">
        <v>0</v>
      </c>
      <c r="H347" s="1897">
        <v>0</v>
      </c>
      <c r="I347" s="1897">
        <v>1</v>
      </c>
      <c r="J347" s="1900">
        <f t="shared" si="45"/>
        <v>1</v>
      </c>
      <c r="K347" s="1900">
        <f t="shared" si="46"/>
        <v>0</v>
      </c>
      <c r="L347" s="1897">
        <f t="shared" si="47"/>
        <v>0</v>
      </c>
      <c r="M347" s="141" t="s">
        <v>2770</v>
      </c>
      <c r="N347" s="1" t="s">
        <v>2771</v>
      </c>
    </row>
    <row r="348" spans="1:14" x14ac:dyDescent="0.4">
      <c r="A348" s="16">
        <v>181969</v>
      </c>
      <c r="B348" s="1385">
        <v>60</v>
      </c>
      <c r="C348" s="16">
        <f t="shared" si="44"/>
        <v>300</v>
      </c>
      <c r="D348" s="1385">
        <v>0</v>
      </c>
      <c r="E348" s="1385">
        <v>0</v>
      </c>
      <c r="F348" s="1385">
        <v>0</v>
      </c>
      <c r="G348" s="1385">
        <v>0</v>
      </c>
      <c r="H348" s="1385">
        <v>0</v>
      </c>
      <c r="I348" s="1385">
        <v>0</v>
      </c>
      <c r="J348" s="1386">
        <f t="shared" si="45"/>
        <v>0</v>
      </c>
      <c r="K348" s="1386">
        <f t="shared" si="46"/>
        <v>0</v>
      </c>
      <c r="L348" s="1385">
        <f t="shared" si="47"/>
        <v>0</v>
      </c>
      <c r="M348" s="30" t="s">
        <v>2770</v>
      </c>
      <c r="N348" s="16" t="s">
        <v>2771</v>
      </c>
    </row>
    <row r="349" spans="1:14" x14ac:dyDescent="0.4">
      <c r="A349" s="1">
        <v>181970</v>
      </c>
      <c r="B349" s="1897">
        <v>60</v>
      </c>
      <c r="C349" s="1">
        <f t="shared" si="44"/>
        <v>300</v>
      </c>
      <c r="D349" s="1897">
        <v>0</v>
      </c>
      <c r="E349" s="1897">
        <v>0</v>
      </c>
      <c r="F349" s="1897">
        <v>0</v>
      </c>
      <c r="G349" s="1897">
        <v>0</v>
      </c>
      <c r="H349" s="1897">
        <v>0</v>
      </c>
      <c r="I349" s="1897">
        <v>1</v>
      </c>
      <c r="J349" s="1900">
        <f t="shared" si="45"/>
        <v>1</v>
      </c>
      <c r="K349" s="1900">
        <f t="shared" si="46"/>
        <v>0</v>
      </c>
      <c r="L349" s="1897">
        <f t="shared" si="47"/>
        <v>0</v>
      </c>
      <c r="M349" s="141" t="s">
        <v>2770</v>
      </c>
      <c r="N349" s="1" t="s">
        <v>2771</v>
      </c>
    </row>
    <row r="350" spans="1:14" x14ac:dyDescent="0.4">
      <c r="A350" s="16">
        <v>181971</v>
      </c>
      <c r="B350" s="1284">
        <v>45</v>
      </c>
      <c r="C350" s="16">
        <f t="shared" si="44"/>
        <v>225</v>
      </c>
      <c r="D350" s="1284">
        <v>0</v>
      </c>
      <c r="E350" s="1284">
        <v>0</v>
      </c>
      <c r="F350" s="1284">
        <v>0</v>
      </c>
      <c r="G350" s="1284">
        <v>0</v>
      </c>
      <c r="H350" s="1284">
        <v>0</v>
      </c>
      <c r="I350" s="1284">
        <v>0</v>
      </c>
      <c r="J350" s="1285">
        <f t="shared" si="45"/>
        <v>0</v>
      </c>
      <c r="K350" s="1285">
        <f t="shared" si="46"/>
        <v>0</v>
      </c>
      <c r="L350" s="1284">
        <f t="shared" si="47"/>
        <v>0</v>
      </c>
      <c r="M350" s="30" t="s">
        <v>2773</v>
      </c>
      <c r="N350" s="16" t="s">
        <v>2774</v>
      </c>
    </row>
    <row r="351" spans="1:14" x14ac:dyDescent="0.4">
      <c r="A351" s="16">
        <v>181972</v>
      </c>
      <c r="B351" s="1885">
        <v>60</v>
      </c>
      <c r="C351" s="16">
        <f t="shared" si="44"/>
        <v>300</v>
      </c>
      <c r="D351" s="1885">
        <v>0</v>
      </c>
      <c r="E351" s="1885">
        <v>0</v>
      </c>
      <c r="F351" s="1885">
        <v>0</v>
      </c>
      <c r="G351" s="1885">
        <v>0</v>
      </c>
      <c r="H351" s="1885">
        <v>0</v>
      </c>
      <c r="I351" s="1885">
        <v>0</v>
      </c>
      <c r="J351" s="1886">
        <f t="shared" si="45"/>
        <v>0</v>
      </c>
      <c r="K351" s="1886">
        <f t="shared" si="46"/>
        <v>0</v>
      </c>
      <c r="L351" s="1885">
        <f t="shared" si="47"/>
        <v>0</v>
      </c>
      <c r="M351" s="30" t="s">
        <v>2773</v>
      </c>
      <c r="N351" s="16" t="s">
        <v>2774</v>
      </c>
    </row>
    <row r="352" spans="1:14" x14ac:dyDescent="0.4">
      <c r="A352" s="1">
        <v>181973</v>
      </c>
      <c r="B352" s="1897">
        <v>90</v>
      </c>
      <c r="C352" s="1">
        <f t="shared" si="44"/>
        <v>450</v>
      </c>
      <c r="D352" s="1897">
        <v>0</v>
      </c>
      <c r="E352" s="1897">
        <v>0</v>
      </c>
      <c r="F352" s="1897">
        <v>0</v>
      </c>
      <c r="G352" s="1897">
        <v>0</v>
      </c>
      <c r="H352" s="1897">
        <v>0</v>
      </c>
      <c r="I352" s="1897">
        <v>1</v>
      </c>
      <c r="J352" s="1900">
        <f t="shared" si="45"/>
        <v>1</v>
      </c>
      <c r="K352" s="1900">
        <f t="shared" si="46"/>
        <v>0</v>
      </c>
      <c r="L352" s="1897">
        <f t="shared" si="47"/>
        <v>0</v>
      </c>
      <c r="M352" s="141" t="s">
        <v>2773</v>
      </c>
      <c r="N352" s="1" t="s">
        <v>2774</v>
      </c>
    </row>
    <row r="353" spans="1:14" x14ac:dyDescent="0.4">
      <c r="A353" s="16">
        <v>181974</v>
      </c>
      <c r="B353" s="1841">
        <v>60</v>
      </c>
      <c r="C353" s="16">
        <f t="shared" si="44"/>
        <v>300</v>
      </c>
      <c r="D353" s="1841">
        <v>0</v>
      </c>
      <c r="E353" s="1841">
        <v>0</v>
      </c>
      <c r="F353" s="1841">
        <v>0</v>
      </c>
      <c r="G353" s="1841">
        <v>0</v>
      </c>
      <c r="H353" s="1841">
        <v>0</v>
      </c>
      <c r="I353" s="1841">
        <v>0</v>
      </c>
      <c r="J353" s="1842">
        <f t="shared" si="45"/>
        <v>0</v>
      </c>
      <c r="K353" s="1842">
        <f t="shared" si="46"/>
        <v>0</v>
      </c>
      <c r="L353" s="1841">
        <f t="shared" si="47"/>
        <v>0</v>
      </c>
      <c r="M353" s="30" t="s">
        <v>2775</v>
      </c>
      <c r="N353" t="s">
        <v>2776</v>
      </c>
    </row>
    <row r="354" spans="1:14" x14ac:dyDescent="0.4">
      <c r="A354" s="16">
        <v>181975</v>
      </c>
      <c r="B354" s="1513">
        <v>90</v>
      </c>
      <c r="C354" s="16">
        <f t="shared" si="44"/>
        <v>450</v>
      </c>
      <c r="D354" s="1513">
        <v>0</v>
      </c>
      <c r="E354" s="1513">
        <v>0</v>
      </c>
      <c r="F354" s="1513">
        <v>0</v>
      </c>
      <c r="G354" s="1513">
        <v>0</v>
      </c>
      <c r="H354" s="1513">
        <v>0</v>
      </c>
      <c r="I354" s="1513">
        <v>0</v>
      </c>
      <c r="J354" s="1514">
        <f t="shared" si="45"/>
        <v>0</v>
      </c>
      <c r="K354" s="1514">
        <f t="shared" si="46"/>
        <v>0</v>
      </c>
      <c r="L354" s="1513">
        <f t="shared" si="47"/>
        <v>0</v>
      </c>
      <c r="M354" s="30" t="s">
        <v>2775</v>
      </c>
      <c r="N354" s="16" t="s">
        <v>2776</v>
      </c>
    </row>
    <row r="355" spans="1:14" x14ac:dyDescent="0.4">
      <c r="A355" s="16">
        <v>181976</v>
      </c>
      <c r="B355" s="1293">
        <v>50</v>
      </c>
      <c r="C355" s="16">
        <f t="shared" si="44"/>
        <v>250</v>
      </c>
      <c r="D355" s="1293">
        <v>0</v>
      </c>
      <c r="E355" s="1293">
        <v>0</v>
      </c>
      <c r="F355" s="1293">
        <v>0</v>
      </c>
      <c r="G355" s="1293">
        <v>0</v>
      </c>
      <c r="H355" s="1293">
        <v>0</v>
      </c>
      <c r="I355" s="1293">
        <v>0</v>
      </c>
      <c r="J355" s="1294">
        <f t="shared" si="45"/>
        <v>0</v>
      </c>
      <c r="K355" s="1294">
        <f t="shared" si="46"/>
        <v>0</v>
      </c>
      <c r="L355" s="1293">
        <f t="shared" si="47"/>
        <v>0</v>
      </c>
      <c r="M355" s="30" t="s">
        <v>2775</v>
      </c>
      <c r="N355" s="16" t="s">
        <v>2776</v>
      </c>
    </row>
    <row r="356" spans="1:14" x14ac:dyDescent="0.4">
      <c r="A356" s="16">
        <v>181977</v>
      </c>
      <c r="B356" s="1404">
        <v>45</v>
      </c>
      <c r="C356" s="16">
        <f t="shared" si="44"/>
        <v>225</v>
      </c>
      <c r="D356" s="1404">
        <v>0</v>
      </c>
      <c r="E356" s="1404">
        <v>0</v>
      </c>
      <c r="F356" s="1404">
        <v>0</v>
      </c>
      <c r="G356" s="1404">
        <v>0</v>
      </c>
      <c r="H356" s="1404">
        <v>0</v>
      </c>
      <c r="I356" s="1404">
        <v>0</v>
      </c>
      <c r="J356" s="1405">
        <f t="shared" si="45"/>
        <v>0</v>
      </c>
      <c r="K356" s="1405">
        <f t="shared" si="46"/>
        <v>0</v>
      </c>
      <c r="L356" s="1404">
        <f t="shared" si="47"/>
        <v>0</v>
      </c>
      <c r="M356" s="30" t="s">
        <v>2775</v>
      </c>
      <c r="N356" s="16" t="s">
        <v>2776</v>
      </c>
    </row>
    <row r="357" spans="1:14" x14ac:dyDescent="0.4">
      <c r="A357" s="16">
        <v>181978</v>
      </c>
      <c r="B357" s="1271">
        <v>45</v>
      </c>
      <c r="C357" s="16">
        <f t="shared" si="44"/>
        <v>225</v>
      </c>
      <c r="D357" s="1271">
        <v>0</v>
      </c>
      <c r="E357" s="1271">
        <v>0</v>
      </c>
      <c r="F357" s="1271">
        <v>0</v>
      </c>
      <c r="G357" s="1271">
        <v>0</v>
      </c>
      <c r="H357" s="1271">
        <v>0</v>
      </c>
      <c r="I357" s="1271">
        <v>0</v>
      </c>
      <c r="J357" s="1273">
        <f t="shared" si="45"/>
        <v>0</v>
      </c>
      <c r="K357" s="1273">
        <f t="shared" si="46"/>
        <v>0</v>
      </c>
      <c r="L357" s="1271">
        <f t="shared" si="47"/>
        <v>0</v>
      </c>
      <c r="M357" s="30" t="s">
        <v>2777</v>
      </c>
      <c r="N357" s="16" t="s">
        <v>2778</v>
      </c>
    </row>
    <row r="358" spans="1:14" x14ac:dyDescent="0.4">
      <c r="A358" s="1">
        <v>181979</v>
      </c>
      <c r="B358" s="1897">
        <v>120</v>
      </c>
      <c r="C358" s="1">
        <f t="shared" si="44"/>
        <v>600</v>
      </c>
      <c r="D358" s="1897">
        <v>0</v>
      </c>
      <c r="E358" s="1897">
        <v>0</v>
      </c>
      <c r="F358" s="1897">
        <v>0</v>
      </c>
      <c r="G358" s="1897">
        <v>0</v>
      </c>
      <c r="H358" s="1897">
        <v>0</v>
      </c>
      <c r="I358" s="1897">
        <v>1</v>
      </c>
      <c r="J358" s="1900">
        <f t="shared" si="45"/>
        <v>1</v>
      </c>
      <c r="K358" s="1900">
        <f t="shared" si="46"/>
        <v>0</v>
      </c>
      <c r="L358" s="1897">
        <f t="shared" si="47"/>
        <v>0</v>
      </c>
      <c r="M358" s="141" t="s">
        <v>2777</v>
      </c>
      <c r="N358" s="1" t="s">
        <v>2778</v>
      </c>
    </row>
    <row r="359" spans="1:14" x14ac:dyDescent="0.4">
      <c r="A359" s="1">
        <v>181980</v>
      </c>
      <c r="B359" s="1897">
        <v>60</v>
      </c>
      <c r="C359" s="1">
        <v>300</v>
      </c>
      <c r="D359" s="1897">
        <v>0</v>
      </c>
      <c r="E359" s="1897">
        <v>0</v>
      </c>
      <c r="F359" s="1897">
        <v>0</v>
      </c>
      <c r="G359" s="1897">
        <v>0</v>
      </c>
      <c r="H359" s="1897">
        <v>0</v>
      </c>
      <c r="I359" s="1897">
        <v>1</v>
      </c>
      <c r="J359" s="1900">
        <f t="shared" ref="J359:J388" si="48">SUM(D359:I359)</f>
        <v>1</v>
      </c>
      <c r="K359" s="1900">
        <f t="shared" ref="K359:K388" si="49">SUM(D359:H359)</f>
        <v>0</v>
      </c>
      <c r="L359" s="1897">
        <f t="shared" ref="L359:L388" si="50">B359*K359</f>
        <v>0</v>
      </c>
      <c r="M359" s="141" t="s">
        <v>2779</v>
      </c>
      <c r="N359" s="1" t="s">
        <v>2780</v>
      </c>
    </row>
    <row r="360" spans="1:14" x14ac:dyDescent="0.4">
      <c r="A360" s="1">
        <v>181981</v>
      </c>
      <c r="B360" s="1897">
        <v>45</v>
      </c>
      <c r="C360" s="1">
        <f t="shared" ref="C360:C388" si="51">SUM(B360*5)</f>
        <v>225</v>
      </c>
      <c r="D360" s="1897">
        <v>0</v>
      </c>
      <c r="E360" s="1897">
        <v>0</v>
      </c>
      <c r="F360" s="1897">
        <v>0</v>
      </c>
      <c r="G360" s="1897">
        <v>0</v>
      </c>
      <c r="H360" s="1897">
        <v>0</v>
      </c>
      <c r="I360" s="1897">
        <v>1</v>
      </c>
      <c r="J360" s="1900">
        <f t="shared" si="48"/>
        <v>1</v>
      </c>
      <c r="K360" s="1900">
        <f t="shared" si="49"/>
        <v>0</v>
      </c>
      <c r="L360" s="1897">
        <f t="shared" si="50"/>
        <v>0</v>
      </c>
      <c r="M360" s="141" t="s">
        <v>2781</v>
      </c>
      <c r="N360" s="1" t="s">
        <v>2780</v>
      </c>
    </row>
    <row r="361" spans="1:14" x14ac:dyDescent="0.4">
      <c r="A361" s="18">
        <v>181982</v>
      </c>
      <c r="B361" s="1378">
        <v>60</v>
      </c>
      <c r="C361" s="18">
        <f t="shared" si="51"/>
        <v>300</v>
      </c>
      <c r="D361" s="1378">
        <v>0</v>
      </c>
      <c r="E361" s="1378">
        <v>0</v>
      </c>
      <c r="F361" s="1378">
        <v>0</v>
      </c>
      <c r="G361" s="1378">
        <v>0</v>
      </c>
      <c r="H361" s="1378">
        <v>0</v>
      </c>
      <c r="I361" s="1378">
        <v>0</v>
      </c>
      <c r="J361" s="28">
        <f t="shared" si="48"/>
        <v>0</v>
      </c>
      <c r="K361" s="28">
        <f t="shared" si="49"/>
        <v>0</v>
      </c>
      <c r="L361" s="1378">
        <f t="shared" si="50"/>
        <v>0</v>
      </c>
      <c r="M361" s="67" t="s">
        <v>2781</v>
      </c>
      <c r="N361" s="18" t="s">
        <v>2780</v>
      </c>
    </row>
    <row r="362" spans="1:14" x14ac:dyDescent="0.4">
      <c r="A362" s="1">
        <v>181983</v>
      </c>
      <c r="B362" s="1897">
        <v>60</v>
      </c>
      <c r="C362" s="1">
        <f t="shared" si="51"/>
        <v>300</v>
      </c>
      <c r="D362" s="1897">
        <v>0</v>
      </c>
      <c r="E362" s="1897">
        <v>0</v>
      </c>
      <c r="F362" s="1897">
        <v>0</v>
      </c>
      <c r="G362" s="1897">
        <v>0</v>
      </c>
      <c r="H362" s="1897">
        <v>0</v>
      </c>
      <c r="I362" s="1897">
        <v>1</v>
      </c>
      <c r="J362" s="1900">
        <f t="shared" si="48"/>
        <v>1</v>
      </c>
      <c r="K362" s="1900">
        <f t="shared" si="49"/>
        <v>0</v>
      </c>
      <c r="L362" s="1897">
        <f t="shared" si="50"/>
        <v>0</v>
      </c>
      <c r="M362" s="141" t="s">
        <v>2782</v>
      </c>
      <c r="N362" s="1" t="s">
        <v>2783</v>
      </c>
    </row>
    <row r="363" spans="1:14" x14ac:dyDescent="0.4">
      <c r="A363" s="1">
        <v>181984</v>
      </c>
      <c r="B363" s="1897">
        <v>45</v>
      </c>
      <c r="C363" s="1">
        <f t="shared" si="51"/>
        <v>225</v>
      </c>
      <c r="D363" s="1897">
        <v>0</v>
      </c>
      <c r="E363" s="1897">
        <v>0</v>
      </c>
      <c r="F363" s="1897">
        <v>1</v>
      </c>
      <c r="G363" s="1897">
        <v>1</v>
      </c>
      <c r="H363" s="1897">
        <v>1</v>
      </c>
      <c r="I363" s="1897">
        <v>1</v>
      </c>
      <c r="J363" s="1900">
        <f t="shared" si="48"/>
        <v>4</v>
      </c>
      <c r="K363" s="1900">
        <f t="shared" si="49"/>
        <v>3</v>
      </c>
      <c r="L363" s="1897">
        <f t="shared" si="50"/>
        <v>135</v>
      </c>
      <c r="M363" s="141" t="s">
        <v>2782</v>
      </c>
      <c r="N363" s="1" t="s">
        <v>2783</v>
      </c>
    </row>
    <row r="364" spans="1:14" x14ac:dyDescent="0.4">
      <c r="A364" s="1">
        <v>181985</v>
      </c>
      <c r="B364" s="1897">
        <v>45</v>
      </c>
      <c r="C364" s="1">
        <f t="shared" si="51"/>
        <v>225</v>
      </c>
      <c r="D364" s="1897">
        <v>0</v>
      </c>
      <c r="E364" s="1897">
        <v>0</v>
      </c>
      <c r="F364" s="1897">
        <v>0</v>
      </c>
      <c r="G364" s="1897">
        <v>1</v>
      </c>
      <c r="H364" s="1897">
        <v>1</v>
      </c>
      <c r="I364" s="1897">
        <v>1</v>
      </c>
      <c r="J364" s="1900">
        <f t="shared" si="48"/>
        <v>3</v>
      </c>
      <c r="K364" s="1900">
        <f t="shared" si="49"/>
        <v>2</v>
      </c>
      <c r="L364" s="1897">
        <f t="shared" si="50"/>
        <v>90</v>
      </c>
      <c r="M364" s="141" t="s">
        <v>2784</v>
      </c>
      <c r="N364" s="1" t="s">
        <v>2785</v>
      </c>
    </row>
    <row r="365" spans="1:14" x14ac:dyDescent="0.4">
      <c r="A365" s="16">
        <v>181986</v>
      </c>
      <c r="B365" s="1146">
        <v>45</v>
      </c>
      <c r="C365" s="16">
        <f t="shared" si="51"/>
        <v>225</v>
      </c>
      <c r="D365" s="1146">
        <v>0</v>
      </c>
      <c r="E365" s="1146">
        <v>0</v>
      </c>
      <c r="F365" s="1146">
        <v>0</v>
      </c>
      <c r="G365" s="1146">
        <v>0</v>
      </c>
      <c r="H365" s="1146">
        <v>0</v>
      </c>
      <c r="I365" s="1146">
        <v>0</v>
      </c>
      <c r="J365" s="1147">
        <f t="shared" si="48"/>
        <v>0</v>
      </c>
      <c r="K365" s="1147">
        <f t="shared" si="49"/>
        <v>0</v>
      </c>
      <c r="L365" s="1146">
        <f t="shared" si="50"/>
        <v>0</v>
      </c>
      <c r="M365" s="30" t="s">
        <v>2786</v>
      </c>
      <c r="N365" s="16" t="s">
        <v>2787</v>
      </c>
    </row>
    <row r="366" spans="1:14" x14ac:dyDescent="0.4">
      <c r="A366" s="16">
        <v>181987</v>
      </c>
      <c r="B366" s="1726">
        <v>45</v>
      </c>
      <c r="C366" s="16">
        <f t="shared" si="51"/>
        <v>225</v>
      </c>
      <c r="D366" s="1726">
        <v>0</v>
      </c>
      <c r="E366" s="1726">
        <v>0</v>
      </c>
      <c r="F366" s="1726">
        <v>0</v>
      </c>
      <c r="G366" s="1726">
        <v>0</v>
      </c>
      <c r="H366" s="1726">
        <v>0</v>
      </c>
      <c r="I366" s="1726">
        <v>0</v>
      </c>
      <c r="J366" s="1727">
        <f t="shared" si="48"/>
        <v>0</v>
      </c>
      <c r="K366" s="1727">
        <f t="shared" si="49"/>
        <v>0</v>
      </c>
      <c r="L366" s="1726">
        <f t="shared" si="50"/>
        <v>0</v>
      </c>
      <c r="M366" s="30" t="s">
        <v>2788</v>
      </c>
      <c r="N366" s="16" t="s">
        <v>2789</v>
      </c>
    </row>
    <row r="367" spans="1:14" x14ac:dyDescent="0.4">
      <c r="A367" s="1">
        <v>181988</v>
      </c>
      <c r="B367" s="1897">
        <v>45</v>
      </c>
      <c r="C367" s="1">
        <f t="shared" si="51"/>
        <v>225</v>
      </c>
      <c r="D367" s="1897">
        <v>0</v>
      </c>
      <c r="E367" s="1897">
        <v>0</v>
      </c>
      <c r="F367" s="1897">
        <v>0</v>
      </c>
      <c r="G367" s="1897">
        <v>0</v>
      </c>
      <c r="H367" s="1897">
        <v>1</v>
      </c>
      <c r="I367" s="1897">
        <v>1</v>
      </c>
      <c r="J367" s="1900">
        <f t="shared" si="48"/>
        <v>2</v>
      </c>
      <c r="K367" s="1900">
        <f t="shared" si="49"/>
        <v>1</v>
      </c>
      <c r="L367" s="1897">
        <f t="shared" si="50"/>
        <v>45</v>
      </c>
      <c r="M367" s="141" t="s">
        <v>2786</v>
      </c>
      <c r="N367" s="1" t="s">
        <v>2790</v>
      </c>
    </row>
    <row r="368" spans="1:14" x14ac:dyDescent="0.4">
      <c r="A368" s="1">
        <v>181989</v>
      </c>
      <c r="B368" s="1897">
        <v>50</v>
      </c>
      <c r="C368" s="1">
        <f t="shared" si="51"/>
        <v>250</v>
      </c>
      <c r="D368" s="1897">
        <v>0</v>
      </c>
      <c r="E368" s="1897">
        <v>0</v>
      </c>
      <c r="F368" s="1897">
        <v>0</v>
      </c>
      <c r="G368" s="1897">
        <v>0</v>
      </c>
      <c r="H368" s="1897">
        <v>1</v>
      </c>
      <c r="I368" s="1897">
        <v>1</v>
      </c>
      <c r="J368" s="1900">
        <f t="shared" si="48"/>
        <v>2</v>
      </c>
      <c r="K368" s="1900">
        <f t="shared" si="49"/>
        <v>1</v>
      </c>
      <c r="L368" s="1897">
        <f t="shared" si="50"/>
        <v>50</v>
      </c>
      <c r="M368" s="141" t="s">
        <v>2786</v>
      </c>
      <c r="N368" s="1" t="s">
        <v>2791</v>
      </c>
    </row>
    <row r="369" spans="1:15" x14ac:dyDescent="0.4">
      <c r="A369" s="16">
        <v>181990</v>
      </c>
      <c r="B369" s="1584">
        <v>60</v>
      </c>
      <c r="C369" s="16">
        <f t="shared" si="51"/>
        <v>300</v>
      </c>
      <c r="D369" s="1584">
        <v>0</v>
      </c>
      <c r="E369" s="1584">
        <v>0</v>
      </c>
      <c r="F369" s="1584">
        <v>0</v>
      </c>
      <c r="G369" s="1584">
        <v>0</v>
      </c>
      <c r="H369" s="1584">
        <v>0</v>
      </c>
      <c r="I369" s="1584">
        <v>0</v>
      </c>
      <c r="J369" s="1585">
        <f t="shared" si="48"/>
        <v>0</v>
      </c>
      <c r="K369" s="1585">
        <f t="shared" si="49"/>
        <v>0</v>
      </c>
      <c r="L369" s="1584">
        <f t="shared" si="50"/>
        <v>0</v>
      </c>
      <c r="M369" s="30" t="s">
        <v>2792</v>
      </c>
      <c r="N369" s="16" t="s">
        <v>2793</v>
      </c>
    </row>
    <row r="370" spans="1:15" x14ac:dyDescent="0.4">
      <c r="A370" s="16">
        <v>181991</v>
      </c>
      <c r="B370" s="1252">
        <v>60</v>
      </c>
      <c r="C370" s="16">
        <f t="shared" si="51"/>
        <v>300</v>
      </c>
      <c r="D370" s="1252">
        <v>0</v>
      </c>
      <c r="E370" s="1252">
        <v>0</v>
      </c>
      <c r="F370" s="1252">
        <v>0</v>
      </c>
      <c r="G370" s="1252">
        <v>0</v>
      </c>
      <c r="H370" s="1252">
        <v>0</v>
      </c>
      <c r="I370" s="1252">
        <v>0</v>
      </c>
      <c r="J370" s="1254">
        <f t="shared" si="48"/>
        <v>0</v>
      </c>
      <c r="K370" s="1254">
        <f t="shared" si="49"/>
        <v>0</v>
      </c>
      <c r="L370" s="1252">
        <f t="shared" si="50"/>
        <v>0</v>
      </c>
      <c r="M370" s="30" t="s">
        <v>2794</v>
      </c>
      <c r="N370" s="16" t="s">
        <v>2795</v>
      </c>
    </row>
    <row r="371" spans="1:15" x14ac:dyDescent="0.4">
      <c r="A371" s="16">
        <v>181992</v>
      </c>
      <c r="B371" s="1252">
        <v>45</v>
      </c>
      <c r="C371" s="16">
        <f t="shared" si="51"/>
        <v>225</v>
      </c>
      <c r="D371" s="1252">
        <v>0</v>
      </c>
      <c r="E371" s="1252">
        <v>0</v>
      </c>
      <c r="F371" s="1252">
        <v>0</v>
      </c>
      <c r="G371" s="1252">
        <v>0</v>
      </c>
      <c r="H371" s="1252">
        <v>0</v>
      </c>
      <c r="I371" s="1252">
        <v>0</v>
      </c>
      <c r="J371" s="1254">
        <f t="shared" si="48"/>
        <v>0</v>
      </c>
      <c r="K371" s="1254">
        <f t="shared" si="49"/>
        <v>0</v>
      </c>
      <c r="L371" s="1252">
        <f t="shared" si="50"/>
        <v>0</v>
      </c>
      <c r="M371" s="30" t="s">
        <v>2796</v>
      </c>
      <c r="N371" s="16" t="s">
        <v>2795</v>
      </c>
    </row>
    <row r="372" spans="1:15" x14ac:dyDescent="0.4">
      <c r="A372" s="1">
        <v>181993</v>
      </c>
      <c r="B372" s="1897">
        <v>45</v>
      </c>
      <c r="C372" s="1">
        <f t="shared" si="51"/>
        <v>225</v>
      </c>
      <c r="D372" s="1897">
        <v>0</v>
      </c>
      <c r="E372" s="1897">
        <v>0</v>
      </c>
      <c r="F372" s="1897">
        <v>0</v>
      </c>
      <c r="G372" s="1897">
        <v>1</v>
      </c>
      <c r="H372" s="1897">
        <v>1</v>
      </c>
      <c r="I372" s="1897">
        <v>1</v>
      </c>
      <c r="J372" s="1900">
        <f t="shared" si="48"/>
        <v>3</v>
      </c>
      <c r="K372" s="1900">
        <f t="shared" si="49"/>
        <v>2</v>
      </c>
      <c r="L372" s="1897">
        <f t="shared" si="50"/>
        <v>90</v>
      </c>
      <c r="M372" s="141" t="s">
        <v>2797</v>
      </c>
      <c r="N372" s="1" t="s">
        <v>2795</v>
      </c>
    </row>
    <row r="373" spans="1:15" x14ac:dyDescent="0.4">
      <c r="A373" s="1">
        <v>181994</v>
      </c>
      <c r="B373" s="1897">
        <v>45</v>
      </c>
      <c r="C373" s="1">
        <f t="shared" si="51"/>
        <v>225</v>
      </c>
      <c r="D373" s="1897">
        <v>0</v>
      </c>
      <c r="E373" s="1897">
        <v>0</v>
      </c>
      <c r="F373" s="1897">
        <v>0</v>
      </c>
      <c r="G373" s="1897">
        <v>0</v>
      </c>
      <c r="H373" s="1897">
        <v>1</v>
      </c>
      <c r="I373" s="1897">
        <v>1</v>
      </c>
      <c r="J373" s="1900">
        <f t="shared" si="48"/>
        <v>2</v>
      </c>
      <c r="K373" s="1900">
        <f t="shared" si="49"/>
        <v>1</v>
      </c>
      <c r="L373" s="1897">
        <f t="shared" si="50"/>
        <v>45</v>
      </c>
      <c r="M373" s="141" t="s">
        <v>2798</v>
      </c>
      <c r="N373" s="1" t="s">
        <v>2799</v>
      </c>
    </row>
    <row r="374" spans="1:15" x14ac:dyDescent="0.4">
      <c r="A374" s="1">
        <v>181995</v>
      </c>
      <c r="B374" s="1897">
        <v>60</v>
      </c>
      <c r="C374" s="1">
        <f t="shared" si="51"/>
        <v>300</v>
      </c>
      <c r="D374" s="1897">
        <v>0</v>
      </c>
      <c r="E374" s="1897">
        <v>0</v>
      </c>
      <c r="F374" s="1897">
        <v>0</v>
      </c>
      <c r="G374" s="1897">
        <v>1</v>
      </c>
      <c r="H374" s="1897">
        <v>1</v>
      </c>
      <c r="I374" s="1897">
        <v>1</v>
      </c>
      <c r="J374" s="1900">
        <f t="shared" si="48"/>
        <v>3</v>
      </c>
      <c r="K374" s="1900">
        <f t="shared" si="49"/>
        <v>2</v>
      </c>
      <c r="L374" s="1897">
        <f t="shared" si="50"/>
        <v>120</v>
      </c>
      <c r="M374" s="141" t="s">
        <v>2797</v>
      </c>
      <c r="N374" s="1" t="s">
        <v>2800</v>
      </c>
    </row>
    <row r="375" spans="1:15" x14ac:dyDescent="0.4">
      <c r="A375" s="16">
        <v>181996</v>
      </c>
      <c r="B375" s="1757">
        <v>50</v>
      </c>
      <c r="C375" s="16">
        <f t="shared" si="51"/>
        <v>250</v>
      </c>
      <c r="D375" s="1757">
        <v>0</v>
      </c>
      <c r="E375" s="1757">
        <v>0</v>
      </c>
      <c r="F375" s="1757">
        <v>0</v>
      </c>
      <c r="G375" s="1757">
        <v>0</v>
      </c>
      <c r="H375" s="1757">
        <v>0</v>
      </c>
      <c r="I375" s="1757">
        <v>0</v>
      </c>
      <c r="J375" s="1758">
        <f t="shared" si="48"/>
        <v>0</v>
      </c>
      <c r="K375" s="1758">
        <f t="shared" si="49"/>
        <v>0</v>
      </c>
      <c r="L375" s="1757">
        <f t="shared" si="50"/>
        <v>0</v>
      </c>
      <c r="M375" s="30" t="s">
        <v>2801</v>
      </c>
      <c r="N375" s="16" t="s">
        <v>2802</v>
      </c>
    </row>
    <row r="376" spans="1:15" x14ac:dyDescent="0.4">
      <c r="A376" s="16">
        <v>181997</v>
      </c>
      <c r="B376" s="1914">
        <v>45</v>
      </c>
      <c r="C376" s="16">
        <f t="shared" si="51"/>
        <v>225</v>
      </c>
      <c r="D376" s="1914">
        <v>0</v>
      </c>
      <c r="E376" s="1914">
        <v>0</v>
      </c>
      <c r="F376" s="1914">
        <v>1</v>
      </c>
      <c r="G376" s="1914">
        <v>1</v>
      </c>
      <c r="H376" s="1914">
        <v>1</v>
      </c>
      <c r="I376" s="1914">
        <v>1</v>
      </c>
      <c r="J376" s="1915">
        <f t="shared" si="48"/>
        <v>4</v>
      </c>
      <c r="K376" s="1915">
        <f t="shared" si="49"/>
        <v>3</v>
      </c>
      <c r="L376" s="1914">
        <f t="shared" si="50"/>
        <v>135</v>
      </c>
      <c r="M376" s="30" t="s">
        <v>2803</v>
      </c>
      <c r="N376" s="16" t="s">
        <v>2804</v>
      </c>
    </row>
    <row r="377" spans="1:15" x14ac:dyDescent="0.4">
      <c r="A377" s="16">
        <v>181998</v>
      </c>
      <c r="B377" s="1740">
        <v>45</v>
      </c>
      <c r="C377" s="16">
        <f t="shared" si="51"/>
        <v>225</v>
      </c>
      <c r="D377" s="1740">
        <v>0</v>
      </c>
      <c r="E377" s="1740">
        <v>0</v>
      </c>
      <c r="F377" s="1740">
        <v>0</v>
      </c>
      <c r="G377" s="1740">
        <v>0</v>
      </c>
      <c r="H377" s="1740">
        <v>0</v>
      </c>
      <c r="I377" s="1740">
        <v>0</v>
      </c>
      <c r="J377" s="1741">
        <f t="shared" si="48"/>
        <v>0</v>
      </c>
      <c r="K377" s="1741">
        <f t="shared" si="49"/>
        <v>0</v>
      </c>
      <c r="L377" s="1740">
        <f t="shared" si="50"/>
        <v>0</v>
      </c>
      <c r="M377" s="30" t="s">
        <v>2803</v>
      </c>
      <c r="N377" s="16" t="s">
        <v>2804</v>
      </c>
    </row>
    <row r="378" spans="1:15" x14ac:dyDescent="0.4">
      <c r="A378" s="16">
        <v>181999</v>
      </c>
      <c r="B378" s="1708">
        <v>45</v>
      </c>
      <c r="C378" s="16">
        <f t="shared" si="51"/>
        <v>225</v>
      </c>
      <c r="D378" s="1708">
        <v>0</v>
      </c>
      <c r="E378" s="1708">
        <v>0</v>
      </c>
      <c r="F378" s="1708">
        <v>0</v>
      </c>
      <c r="G378" s="1708">
        <v>0</v>
      </c>
      <c r="H378" s="1708">
        <v>0</v>
      </c>
      <c r="I378" s="1708">
        <v>0</v>
      </c>
      <c r="J378" s="1709">
        <f t="shared" si="48"/>
        <v>0</v>
      </c>
      <c r="K378" s="1709">
        <f t="shared" si="49"/>
        <v>0</v>
      </c>
      <c r="L378" s="1708">
        <f t="shared" si="50"/>
        <v>0</v>
      </c>
      <c r="M378" s="30" t="s">
        <v>2805</v>
      </c>
      <c r="N378" s="16" t="s">
        <v>2806</v>
      </c>
    </row>
    <row r="379" spans="1:15" x14ac:dyDescent="0.4">
      <c r="A379" s="16">
        <v>182000</v>
      </c>
      <c r="B379" s="1307">
        <v>60</v>
      </c>
      <c r="C379" s="16">
        <f t="shared" si="51"/>
        <v>300</v>
      </c>
      <c r="D379" s="1307">
        <v>0</v>
      </c>
      <c r="E379" s="1307">
        <v>0</v>
      </c>
      <c r="F379" s="1307">
        <v>0</v>
      </c>
      <c r="G379" s="1307">
        <v>0</v>
      </c>
      <c r="H379" s="1307">
        <v>0</v>
      </c>
      <c r="I379" s="1307">
        <v>0</v>
      </c>
      <c r="J379" s="1308">
        <f t="shared" si="48"/>
        <v>0</v>
      </c>
      <c r="K379" s="1308">
        <f t="shared" si="49"/>
        <v>0</v>
      </c>
      <c r="L379" s="1307">
        <f t="shared" si="50"/>
        <v>0</v>
      </c>
      <c r="M379" s="30" t="s">
        <v>2805</v>
      </c>
      <c r="N379" s="16" t="s">
        <v>2806</v>
      </c>
    </row>
    <row r="380" spans="1:15" x14ac:dyDescent="0.4">
      <c r="A380" s="16">
        <v>182001</v>
      </c>
      <c r="B380" s="1604">
        <v>45</v>
      </c>
      <c r="C380" s="16">
        <f t="shared" si="51"/>
        <v>225</v>
      </c>
      <c r="D380" s="1604">
        <v>0</v>
      </c>
      <c r="E380" s="1604">
        <v>0</v>
      </c>
      <c r="F380" s="1604">
        <v>0</v>
      </c>
      <c r="G380" s="1604">
        <v>0</v>
      </c>
      <c r="H380" s="1604">
        <v>0</v>
      </c>
      <c r="I380" s="1604">
        <v>0</v>
      </c>
      <c r="J380" s="1605">
        <f t="shared" si="48"/>
        <v>0</v>
      </c>
      <c r="K380" s="1605">
        <f t="shared" si="49"/>
        <v>0</v>
      </c>
      <c r="L380" s="1604">
        <f t="shared" si="50"/>
        <v>0</v>
      </c>
      <c r="M380" s="30" t="s">
        <v>2807</v>
      </c>
      <c r="N380" s="16" t="s">
        <v>2808</v>
      </c>
      <c r="O380" t="s">
        <v>3531</v>
      </c>
    </row>
    <row r="381" spans="1:15" x14ac:dyDescent="0.4">
      <c r="A381" s="16">
        <v>182002</v>
      </c>
      <c r="B381" s="1902">
        <v>45</v>
      </c>
      <c r="C381" s="16">
        <f t="shared" si="51"/>
        <v>225</v>
      </c>
      <c r="D381" s="1902">
        <v>0</v>
      </c>
      <c r="E381" s="1902">
        <v>0</v>
      </c>
      <c r="F381" s="1902">
        <v>0</v>
      </c>
      <c r="G381" s="1902">
        <v>0</v>
      </c>
      <c r="H381" s="1902">
        <v>0</v>
      </c>
      <c r="I381" s="1902">
        <v>0</v>
      </c>
      <c r="J381" s="1903">
        <f t="shared" si="48"/>
        <v>0</v>
      </c>
      <c r="K381" s="1903">
        <f t="shared" si="49"/>
        <v>0</v>
      </c>
      <c r="L381" s="1902">
        <f t="shared" si="50"/>
        <v>0</v>
      </c>
      <c r="M381" s="30" t="s">
        <v>2809</v>
      </c>
      <c r="N381" s="16" t="s">
        <v>2810</v>
      </c>
    </row>
    <row r="382" spans="1:15" x14ac:dyDescent="0.4">
      <c r="A382" s="16">
        <v>182003</v>
      </c>
      <c r="B382" s="1404">
        <v>60</v>
      </c>
      <c r="C382" s="16">
        <f t="shared" si="51"/>
        <v>300</v>
      </c>
      <c r="D382" s="1404">
        <v>0</v>
      </c>
      <c r="E382" s="1404">
        <v>0</v>
      </c>
      <c r="F382" s="1404">
        <v>0</v>
      </c>
      <c r="G382" s="1404">
        <v>0</v>
      </c>
      <c r="H382" s="1404">
        <v>0</v>
      </c>
      <c r="I382" s="1404">
        <v>0</v>
      </c>
      <c r="J382" s="1405">
        <f t="shared" si="48"/>
        <v>0</v>
      </c>
      <c r="K382" s="1405">
        <f t="shared" si="49"/>
        <v>0</v>
      </c>
      <c r="L382" s="1404">
        <f t="shared" si="50"/>
        <v>0</v>
      </c>
      <c r="M382" s="30" t="s">
        <v>2809</v>
      </c>
      <c r="N382" s="16" t="s">
        <v>2810</v>
      </c>
    </row>
    <row r="383" spans="1:15" x14ac:dyDescent="0.4">
      <c r="A383" s="16">
        <v>182004</v>
      </c>
      <c r="B383" s="1914">
        <v>60</v>
      </c>
      <c r="C383" s="16">
        <f t="shared" si="51"/>
        <v>300</v>
      </c>
      <c r="D383" s="1914">
        <v>0</v>
      </c>
      <c r="E383" s="1914">
        <v>0</v>
      </c>
      <c r="F383" s="1914">
        <v>0</v>
      </c>
      <c r="G383" s="1914">
        <v>0</v>
      </c>
      <c r="H383" s="1914">
        <v>0</v>
      </c>
      <c r="I383" s="1914">
        <v>1</v>
      </c>
      <c r="J383" s="1915">
        <f t="shared" si="48"/>
        <v>1</v>
      </c>
      <c r="K383" s="1915">
        <f t="shared" si="49"/>
        <v>0</v>
      </c>
      <c r="L383" s="1914">
        <f t="shared" si="50"/>
        <v>0</v>
      </c>
      <c r="M383" s="30" t="s">
        <v>2809</v>
      </c>
      <c r="N383" s="16" t="s">
        <v>2810</v>
      </c>
    </row>
    <row r="384" spans="1:15" x14ac:dyDescent="0.4">
      <c r="A384" s="16">
        <v>182005</v>
      </c>
      <c r="B384" s="1155">
        <v>45</v>
      </c>
      <c r="C384" s="16">
        <f t="shared" si="51"/>
        <v>225</v>
      </c>
      <c r="D384" s="1155">
        <v>0</v>
      </c>
      <c r="E384" s="1155">
        <v>0</v>
      </c>
      <c r="F384" s="1155">
        <v>0</v>
      </c>
      <c r="G384" s="1155">
        <v>0</v>
      </c>
      <c r="H384" s="1155">
        <v>0</v>
      </c>
      <c r="I384" s="1155">
        <v>0</v>
      </c>
      <c r="J384" s="1156">
        <f t="shared" si="48"/>
        <v>0</v>
      </c>
      <c r="K384" s="1156">
        <f t="shared" si="49"/>
        <v>0</v>
      </c>
      <c r="L384" s="1155">
        <f t="shared" si="50"/>
        <v>0</v>
      </c>
      <c r="M384" s="30" t="s">
        <v>2807</v>
      </c>
      <c r="N384" s="16" t="s">
        <v>2808</v>
      </c>
    </row>
    <row r="385" spans="1:17" x14ac:dyDescent="0.4">
      <c r="A385" s="16">
        <v>182006</v>
      </c>
      <c r="B385" s="1501">
        <v>60</v>
      </c>
      <c r="C385" s="16">
        <f t="shared" si="51"/>
        <v>300</v>
      </c>
      <c r="D385" s="1501">
        <v>0</v>
      </c>
      <c r="E385" s="1501">
        <v>0</v>
      </c>
      <c r="F385" s="1501">
        <v>0</v>
      </c>
      <c r="G385" s="1501">
        <v>0</v>
      </c>
      <c r="H385" s="1501">
        <v>0</v>
      </c>
      <c r="I385" s="1501">
        <v>0</v>
      </c>
      <c r="J385" s="1502">
        <f t="shared" si="48"/>
        <v>0</v>
      </c>
      <c r="K385" s="1502">
        <f t="shared" si="49"/>
        <v>0</v>
      </c>
      <c r="L385" s="1501">
        <f t="shared" si="50"/>
        <v>0</v>
      </c>
      <c r="M385" s="30" t="s">
        <v>2807</v>
      </c>
      <c r="N385" s="16" t="s">
        <v>2808</v>
      </c>
    </row>
    <row r="386" spans="1:17" x14ac:dyDescent="0.4">
      <c r="A386" s="16">
        <v>182007</v>
      </c>
      <c r="B386" s="1520">
        <v>60</v>
      </c>
      <c r="C386" s="16">
        <f t="shared" si="51"/>
        <v>300</v>
      </c>
      <c r="D386" s="1520">
        <v>0</v>
      </c>
      <c r="E386" s="1520">
        <v>0</v>
      </c>
      <c r="F386" s="1520">
        <v>0</v>
      </c>
      <c r="G386" s="1520">
        <v>0</v>
      </c>
      <c r="H386" s="1520">
        <v>0</v>
      </c>
      <c r="I386" s="1520">
        <v>0</v>
      </c>
      <c r="J386" s="1521">
        <f t="shared" si="48"/>
        <v>0</v>
      </c>
      <c r="K386" s="1521">
        <f t="shared" si="49"/>
        <v>0</v>
      </c>
      <c r="L386" s="1520">
        <f t="shared" si="50"/>
        <v>0</v>
      </c>
      <c r="M386" s="30" t="s">
        <v>2807</v>
      </c>
      <c r="N386" s="16" t="s">
        <v>2808</v>
      </c>
    </row>
    <row r="387" spans="1:17" x14ac:dyDescent="0.4">
      <c r="A387" s="16">
        <v>182008</v>
      </c>
      <c r="B387" s="1072">
        <v>60</v>
      </c>
      <c r="C387" s="16">
        <f t="shared" si="51"/>
        <v>300</v>
      </c>
      <c r="D387" s="1072">
        <v>0</v>
      </c>
      <c r="E387" s="1072">
        <v>0</v>
      </c>
      <c r="F387" s="1072">
        <v>0</v>
      </c>
      <c r="G387" s="1072">
        <v>0</v>
      </c>
      <c r="H387" s="1072">
        <v>0</v>
      </c>
      <c r="I387" s="1072">
        <v>0</v>
      </c>
      <c r="J387" s="1073">
        <f t="shared" si="48"/>
        <v>0</v>
      </c>
      <c r="K387" s="1073">
        <f t="shared" si="49"/>
        <v>0</v>
      </c>
      <c r="L387" s="1072">
        <f t="shared" si="50"/>
        <v>0</v>
      </c>
      <c r="M387" s="30" t="s">
        <v>2811</v>
      </c>
      <c r="N387" s="16" t="s">
        <v>2812</v>
      </c>
    </row>
    <row r="388" spans="1:17" x14ac:dyDescent="0.4">
      <c r="A388" s="16">
        <v>182009</v>
      </c>
      <c r="B388" s="1085">
        <v>45</v>
      </c>
      <c r="C388" s="16">
        <f t="shared" si="51"/>
        <v>225</v>
      </c>
      <c r="D388" s="1085">
        <v>0</v>
      </c>
      <c r="E388" s="1085">
        <v>0</v>
      </c>
      <c r="F388" s="1085">
        <v>0</v>
      </c>
      <c r="G388" s="1085">
        <v>0</v>
      </c>
      <c r="H388" s="1085">
        <v>0</v>
      </c>
      <c r="I388" s="1085">
        <v>0</v>
      </c>
      <c r="J388" s="1086">
        <f t="shared" si="48"/>
        <v>0</v>
      </c>
      <c r="K388" s="1086">
        <f t="shared" si="49"/>
        <v>0</v>
      </c>
      <c r="L388" s="1085">
        <f t="shared" si="50"/>
        <v>0</v>
      </c>
      <c r="M388" s="30" t="s">
        <v>2811</v>
      </c>
      <c r="N388" s="16" t="s">
        <v>2812</v>
      </c>
    </row>
    <row r="389" spans="1:17" x14ac:dyDescent="0.4">
      <c r="A389" s="16">
        <v>182010</v>
      </c>
      <c r="B389" s="1338">
        <v>45</v>
      </c>
      <c r="C389" s="16">
        <f t="shared" ref="C389:C414" si="52">SUM(B389*5)</f>
        <v>225</v>
      </c>
      <c r="D389" s="1338">
        <v>0</v>
      </c>
      <c r="E389" s="1338">
        <v>0</v>
      </c>
      <c r="F389" s="1338">
        <v>0</v>
      </c>
      <c r="G389" s="1338">
        <v>0</v>
      </c>
      <c r="H389" s="1338">
        <v>0</v>
      </c>
      <c r="I389" s="1338">
        <v>0</v>
      </c>
      <c r="J389" s="1339">
        <f t="shared" ref="J389:J414" si="53">SUM(D389:I389)</f>
        <v>0</v>
      </c>
      <c r="K389" s="1339">
        <f t="shared" ref="K389:K414" si="54">SUM(D389:H389)</f>
        <v>0</v>
      </c>
      <c r="L389" s="1338">
        <f t="shared" ref="L389:L414" si="55">B389*K389</f>
        <v>0</v>
      </c>
      <c r="M389" s="30" t="s">
        <v>2813</v>
      </c>
      <c r="N389" s="16" t="s">
        <v>2814</v>
      </c>
    </row>
    <row r="390" spans="1:17" x14ac:dyDescent="0.4">
      <c r="A390" s="16">
        <v>182011</v>
      </c>
      <c r="B390" s="1419">
        <v>45</v>
      </c>
      <c r="C390" s="16">
        <f t="shared" si="52"/>
        <v>225</v>
      </c>
      <c r="D390" s="1419">
        <v>0</v>
      </c>
      <c r="E390" s="1419">
        <v>0</v>
      </c>
      <c r="F390" s="1419">
        <v>0</v>
      </c>
      <c r="G390" s="1419">
        <v>0</v>
      </c>
      <c r="H390" s="1419">
        <v>0</v>
      </c>
      <c r="I390" s="1419">
        <v>0</v>
      </c>
      <c r="J390" s="1420">
        <f t="shared" si="53"/>
        <v>0</v>
      </c>
      <c r="K390" s="1420">
        <f t="shared" si="54"/>
        <v>0</v>
      </c>
      <c r="L390" s="1419">
        <f t="shared" si="55"/>
        <v>0</v>
      </c>
      <c r="M390" s="30" t="s">
        <v>2815</v>
      </c>
      <c r="N390" s="16" t="s">
        <v>2814</v>
      </c>
    </row>
    <row r="391" spans="1:17" x14ac:dyDescent="0.4">
      <c r="A391" s="16">
        <v>182012</v>
      </c>
      <c r="B391" s="1252">
        <v>45</v>
      </c>
      <c r="C391" s="16">
        <f t="shared" si="52"/>
        <v>225</v>
      </c>
      <c r="D391" s="1252">
        <v>0</v>
      </c>
      <c r="E391" s="1252">
        <v>0</v>
      </c>
      <c r="F391" s="1252">
        <v>0</v>
      </c>
      <c r="G391" s="1252">
        <v>0</v>
      </c>
      <c r="H391" s="1252">
        <v>0</v>
      </c>
      <c r="I391" s="1252">
        <v>0</v>
      </c>
      <c r="J391" s="1254">
        <f t="shared" si="53"/>
        <v>0</v>
      </c>
      <c r="K391" s="1254">
        <f t="shared" si="54"/>
        <v>0</v>
      </c>
      <c r="L391" s="1252">
        <f t="shared" si="55"/>
        <v>0</v>
      </c>
      <c r="M391" s="30" t="s">
        <v>2815</v>
      </c>
      <c r="N391" s="16" t="s">
        <v>2814</v>
      </c>
    </row>
    <row r="392" spans="1:17" x14ac:dyDescent="0.4">
      <c r="A392" s="16">
        <v>182013</v>
      </c>
      <c r="B392" s="1626">
        <v>45</v>
      </c>
      <c r="C392" s="16">
        <f t="shared" si="52"/>
        <v>225</v>
      </c>
      <c r="D392" s="1626">
        <v>0</v>
      </c>
      <c r="E392" s="1626">
        <v>0</v>
      </c>
      <c r="F392" s="1626">
        <v>0</v>
      </c>
      <c r="G392" s="1626">
        <v>0</v>
      </c>
      <c r="H392" s="1626">
        <v>0</v>
      </c>
      <c r="I392" s="1626">
        <v>0</v>
      </c>
      <c r="J392" s="1627">
        <f t="shared" si="53"/>
        <v>0</v>
      </c>
      <c r="K392" s="1627">
        <f t="shared" si="54"/>
        <v>0</v>
      </c>
      <c r="L392" s="1626">
        <f t="shared" si="55"/>
        <v>0</v>
      </c>
      <c r="M392" s="30" t="s">
        <v>2816</v>
      </c>
      <c r="N392" s="16" t="s">
        <v>2817</v>
      </c>
    </row>
    <row r="393" spans="1:17" x14ac:dyDescent="0.4">
      <c r="A393" s="16">
        <v>182014</v>
      </c>
      <c r="B393" s="1906">
        <v>60</v>
      </c>
      <c r="C393" s="16">
        <f t="shared" si="52"/>
        <v>300</v>
      </c>
      <c r="D393" s="1906">
        <v>0</v>
      </c>
      <c r="E393" s="1906">
        <v>0</v>
      </c>
      <c r="F393" s="1906">
        <v>0</v>
      </c>
      <c r="G393" s="1906">
        <v>0</v>
      </c>
      <c r="H393" s="1906">
        <v>0</v>
      </c>
      <c r="I393" s="1906">
        <v>0</v>
      </c>
      <c r="J393" s="1907">
        <f t="shared" si="53"/>
        <v>0</v>
      </c>
      <c r="K393" s="1907">
        <f t="shared" si="54"/>
        <v>0</v>
      </c>
      <c r="L393" s="1906">
        <f t="shared" si="55"/>
        <v>0</v>
      </c>
      <c r="M393" s="30" t="s">
        <v>2816</v>
      </c>
      <c r="N393" s="16" t="s">
        <v>2818</v>
      </c>
    </row>
    <row r="394" spans="1:17" x14ac:dyDescent="0.4">
      <c r="A394" s="16">
        <v>182015</v>
      </c>
      <c r="B394" s="1058">
        <v>45</v>
      </c>
      <c r="C394" s="16">
        <f t="shared" si="52"/>
        <v>225</v>
      </c>
      <c r="D394" s="1058">
        <v>0</v>
      </c>
      <c r="E394" s="1058">
        <v>0</v>
      </c>
      <c r="F394" s="1058">
        <v>0</v>
      </c>
      <c r="G394" s="1058">
        <v>0</v>
      </c>
      <c r="H394" s="1058">
        <v>0</v>
      </c>
      <c r="I394" s="1058">
        <v>0</v>
      </c>
      <c r="J394" s="1059">
        <f t="shared" si="53"/>
        <v>0</v>
      </c>
      <c r="K394" s="1059">
        <f t="shared" si="54"/>
        <v>0</v>
      </c>
      <c r="L394" s="1058">
        <f t="shared" si="55"/>
        <v>0</v>
      </c>
      <c r="M394" s="30" t="s">
        <v>2819</v>
      </c>
      <c r="N394" s="16" t="s">
        <v>2820</v>
      </c>
    </row>
    <row r="395" spans="1:17" x14ac:dyDescent="0.4">
      <c r="A395" s="16">
        <v>182016</v>
      </c>
      <c r="B395" s="1914">
        <v>60</v>
      </c>
      <c r="C395" s="16">
        <f t="shared" si="52"/>
        <v>300</v>
      </c>
      <c r="D395" s="1914">
        <v>0</v>
      </c>
      <c r="E395" s="1914">
        <v>0</v>
      </c>
      <c r="F395" s="1914">
        <v>1</v>
      </c>
      <c r="G395" s="1914">
        <v>1</v>
      </c>
      <c r="H395" s="1914">
        <v>1</v>
      </c>
      <c r="I395" s="1914">
        <v>1</v>
      </c>
      <c r="J395" s="1915">
        <f t="shared" si="53"/>
        <v>4</v>
      </c>
      <c r="K395" s="1915">
        <f t="shared" si="54"/>
        <v>3</v>
      </c>
      <c r="L395" s="1914">
        <f t="shared" si="55"/>
        <v>180</v>
      </c>
      <c r="M395" s="30" t="s">
        <v>2821</v>
      </c>
      <c r="N395" s="16" t="s">
        <v>2822</v>
      </c>
    </row>
    <row r="396" spans="1:17" x14ac:dyDescent="0.4">
      <c r="A396" s="16">
        <v>182017</v>
      </c>
      <c r="B396" s="1914">
        <v>60</v>
      </c>
      <c r="C396" s="16">
        <f t="shared" si="52"/>
        <v>300</v>
      </c>
      <c r="D396" s="1914">
        <v>0</v>
      </c>
      <c r="E396" s="1914">
        <v>0</v>
      </c>
      <c r="F396" s="1914">
        <v>0</v>
      </c>
      <c r="G396" s="1914">
        <v>0</v>
      </c>
      <c r="H396" s="1914">
        <v>0</v>
      </c>
      <c r="I396" s="1914">
        <v>0</v>
      </c>
      <c r="J396" s="1915">
        <f t="shared" si="53"/>
        <v>0</v>
      </c>
      <c r="K396" s="1915">
        <f t="shared" si="54"/>
        <v>0</v>
      </c>
      <c r="L396" s="1914">
        <f t="shared" si="55"/>
        <v>0</v>
      </c>
      <c r="M396" s="30" t="s">
        <v>2823</v>
      </c>
      <c r="N396" s="16" t="s">
        <v>2824</v>
      </c>
    </row>
    <row r="397" spans="1:17" x14ac:dyDescent="0.4">
      <c r="A397" s="16">
        <v>182018</v>
      </c>
      <c r="B397" s="1015">
        <v>45</v>
      </c>
      <c r="C397" s="16">
        <f t="shared" si="52"/>
        <v>225</v>
      </c>
      <c r="D397" s="1015">
        <v>0</v>
      </c>
      <c r="E397" s="1015">
        <v>0</v>
      </c>
      <c r="F397" s="1015">
        <v>0</v>
      </c>
      <c r="G397" s="1015">
        <v>0</v>
      </c>
      <c r="H397" s="1015">
        <v>0</v>
      </c>
      <c r="I397" s="1015">
        <v>0</v>
      </c>
      <c r="J397" s="1016">
        <f t="shared" si="53"/>
        <v>0</v>
      </c>
      <c r="K397" s="1016">
        <f t="shared" si="54"/>
        <v>0</v>
      </c>
      <c r="L397" s="1015">
        <f>B397*K397</f>
        <v>0</v>
      </c>
      <c r="M397" s="30" t="s">
        <v>2826</v>
      </c>
      <c r="N397" s="16" t="s">
        <v>2827</v>
      </c>
    </row>
    <row r="398" spans="1:17" x14ac:dyDescent="0.4">
      <c r="A398" s="1497">
        <v>182019</v>
      </c>
      <c r="B398" s="1498">
        <v>120</v>
      </c>
      <c r="C398" s="1497">
        <f t="shared" si="52"/>
        <v>600</v>
      </c>
      <c r="D398" s="1498">
        <v>0</v>
      </c>
      <c r="E398" s="1498">
        <v>0</v>
      </c>
      <c r="F398" s="1498">
        <v>1</v>
      </c>
      <c r="G398" s="1498">
        <v>1</v>
      </c>
      <c r="H398" s="1498">
        <v>1</v>
      </c>
      <c r="I398" s="1498">
        <v>1</v>
      </c>
      <c r="J398" s="1499">
        <f t="shared" si="53"/>
        <v>4</v>
      </c>
      <c r="K398" s="1499">
        <f t="shared" si="54"/>
        <v>3</v>
      </c>
      <c r="L398" s="1498">
        <f t="shared" si="55"/>
        <v>360</v>
      </c>
      <c r="M398" s="1500" t="s">
        <v>2826</v>
      </c>
      <c r="N398" s="1497" t="s">
        <v>2827</v>
      </c>
      <c r="O398" s="1497" t="s">
        <v>3473</v>
      </c>
      <c r="P398" s="1497"/>
      <c r="Q398" s="1497"/>
    </row>
    <row r="399" spans="1:17" x14ac:dyDescent="0.4">
      <c r="A399" s="16">
        <v>182020</v>
      </c>
      <c r="B399" s="1009">
        <v>45</v>
      </c>
      <c r="C399" s="16">
        <v>45</v>
      </c>
      <c r="D399" s="1009">
        <v>0</v>
      </c>
      <c r="E399" s="1009"/>
      <c r="F399" s="1009"/>
      <c r="G399" s="1009"/>
      <c r="H399" s="1009"/>
      <c r="I399" s="1009"/>
      <c r="J399" s="1010">
        <f t="shared" si="53"/>
        <v>0</v>
      </c>
      <c r="K399" s="1010">
        <f t="shared" si="54"/>
        <v>0</v>
      </c>
      <c r="L399" s="1009">
        <f t="shared" si="55"/>
        <v>0</v>
      </c>
      <c r="M399" s="30" t="s">
        <v>2828</v>
      </c>
      <c r="N399" s="16" t="s">
        <v>2829</v>
      </c>
      <c r="O399" s="2038" t="s">
        <v>2830</v>
      </c>
      <c r="P399" s="2038"/>
    </row>
    <row r="400" spans="1:17" x14ac:dyDescent="0.4">
      <c r="A400" s="16">
        <v>182021</v>
      </c>
      <c r="B400" s="1068">
        <v>45</v>
      </c>
      <c r="C400" s="16">
        <v>45</v>
      </c>
      <c r="D400" s="1068">
        <v>0</v>
      </c>
      <c r="E400" s="1068"/>
      <c r="F400" s="1068"/>
      <c r="G400" s="1068"/>
      <c r="H400" s="1068"/>
      <c r="I400" s="1068"/>
      <c r="J400" s="1069">
        <f t="shared" si="53"/>
        <v>0</v>
      </c>
      <c r="K400" s="1069">
        <f t="shared" si="54"/>
        <v>0</v>
      </c>
      <c r="L400" s="1068">
        <f t="shared" si="55"/>
        <v>0</v>
      </c>
      <c r="M400" s="30" t="s">
        <v>2828</v>
      </c>
      <c r="N400" s="16" t="s">
        <v>2829</v>
      </c>
      <c r="O400" s="2038"/>
      <c r="P400" s="2038"/>
    </row>
    <row r="401" spans="1:14" x14ac:dyDescent="0.4">
      <c r="A401" s="16">
        <v>182022</v>
      </c>
      <c r="B401" s="1252">
        <v>60</v>
      </c>
      <c r="C401" s="16">
        <f>SUM(B401*5)</f>
        <v>300</v>
      </c>
      <c r="D401" s="1252">
        <v>0</v>
      </c>
      <c r="E401" s="1252">
        <v>0</v>
      </c>
      <c r="F401" s="1252">
        <v>0</v>
      </c>
      <c r="G401" s="1252">
        <v>0</v>
      </c>
      <c r="H401" s="1252">
        <v>0</v>
      </c>
      <c r="I401" s="1252">
        <v>0</v>
      </c>
      <c r="J401" s="1254">
        <f t="shared" si="53"/>
        <v>0</v>
      </c>
      <c r="K401" s="1254">
        <f t="shared" si="54"/>
        <v>0</v>
      </c>
      <c r="L401" s="1252">
        <f t="shared" si="55"/>
        <v>0</v>
      </c>
      <c r="M401" s="30" t="s">
        <v>2828</v>
      </c>
      <c r="N401" s="16" t="s">
        <v>2829</v>
      </c>
    </row>
    <row r="402" spans="1:14" x14ac:dyDescent="0.4">
      <c r="A402" s="16">
        <v>182023</v>
      </c>
      <c r="B402" s="1914">
        <v>45</v>
      </c>
      <c r="C402" s="16">
        <v>225</v>
      </c>
      <c r="D402" s="1914">
        <v>0</v>
      </c>
      <c r="E402" s="1914">
        <v>0</v>
      </c>
      <c r="F402" s="1914">
        <v>0</v>
      </c>
      <c r="G402" s="1914">
        <v>0</v>
      </c>
      <c r="H402" s="1914">
        <v>0</v>
      </c>
      <c r="I402" s="1914">
        <v>1</v>
      </c>
      <c r="J402" s="1915">
        <f t="shared" si="53"/>
        <v>1</v>
      </c>
      <c r="K402" s="1915">
        <f t="shared" si="54"/>
        <v>0</v>
      </c>
      <c r="L402" s="1914">
        <f t="shared" si="55"/>
        <v>0</v>
      </c>
      <c r="M402" s="30" t="s">
        <v>2831</v>
      </c>
      <c r="N402" s="16" t="s">
        <v>2832</v>
      </c>
    </row>
    <row r="403" spans="1:14" x14ac:dyDescent="0.4">
      <c r="A403" s="16">
        <v>182024</v>
      </c>
      <c r="B403" s="1369">
        <v>50</v>
      </c>
      <c r="C403" s="16">
        <v>250</v>
      </c>
      <c r="D403" s="1369">
        <v>0</v>
      </c>
      <c r="E403" s="1369">
        <v>0</v>
      </c>
      <c r="F403" s="1369">
        <v>0</v>
      </c>
      <c r="G403" s="1369">
        <v>0</v>
      </c>
      <c r="H403" s="1369">
        <v>0</v>
      </c>
      <c r="I403" s="1369">
        <v>0</v>
      </c>
      <c r="J403" s="1370">
        <f t="shared" si="53"/>
        <v>0</v>
      </c>
      <c r="K403" s="1370">
        <f t="shared" si="54"/>
        <v>0</v>
      </c>
      <c r="L403" s="1369">
        <f t="shared" si="55"/>
        <v>0</v>
      </c>
      <c r="M403" s="30" t="s">
        <v>2833</v>
      </c>
      <c r="N403" s="30" t="s">
        <v>2834</v>
      </c>
    </row>
    <row r="404" spans="1:14" x14ac:dyDescent="0.4">
      <c r="A404" s="16">
        <v>182025</v>
      </c>
      <c r="B404" s="1326">
        <v>50</v>
      </c>
      <c r="C404" s="16">
        <f t="shared" si="52"/>
        <v>250</v>
      </c>
      <c r="D404" s="1326">
        <v>0</v>
      </c>
      <c r="E404" s="1326">
        <v>0</v>
      </c>
      <c r="F404" s="1326">
        <v>0</v>
      </c>
      <c r="G404" s="1326">
        <v>0</v>
      </c>
      <c r="H404" s="1326">
        <v>0</v>
      </c>
      <c r="I404" s="1326">
        <v>0</v>
      </c>
      <c r="J404" s="1327">
        <f t="shared" si="53"/>
        <v>0</v>
      </c>
      <c r="K404" s="1327">
        <f t="shared" si="54"/>
        <v>0</v>
      </c>
      <c r="L404" s="1326">
        <f t="shared" si="55"/>
        <v>0</v>
      </c>
      <c r="M404" s="30" t="s">
        <v>2836</v>
      </c>
      <c r="N404" s="30" t="s">
        <v>2837</v>
      </c>
    </row>
    <row r="405" spans="1:14" x14ac:dyDescent="0.4">
      <c r="A405" s="16">
        <v>182026</v>
      </c>
      <c r="B405" s="1505">
        <v>60</v>
      </c>
      <c r="C405" s="16">
        <f t="shared" si="52"/>
        <v>300</v>
      </c>
      <c r="D405" s="1505">
        <v>0</v>
      </c>
      <c r="E405" s="1505">
        <v>0</v>
      </c>
      <c r="F405" s="1505">
        <v>0</v>
      </c>
      <c r="G405" s="1505">
        <v>0</v>
      </c>
      <c r="H405" s="1505">
        <v>0</v>
      </c>
      <c r="I405" s="1505">
        <v>0</v>
      </c>
      <c r="J405" s="1506">
        <f t="shared" si="53"/>
        <v>0</v>
      </c>
      <c r="K405" s="1506">
        <f t="shared" si="54"/>
        <v>0</v>
      </c>
      <c r="L405" s="1505">
        <f t="shared" si="55"/>
        <v>0</v>
      </c>
      <c r="M405" s="30" t="s">
        <v>2836</v>
      </c>
      <c r="N405" s="30" t="s">
        <v>2837</v>
      </c>
    </row>
    <row r="406" spans="1:14" x14ac:dyDescent="0.4">
      <c r="A406" s="16">
        <v>182027</v>
      </c>
      <c r="B406" s="1795">
        <v>45</v>
      </c>
      <c r="C406" s="16">
        <f t="shared" si="52"/>
        <v>225</v>
      </c>
      <c r="D406" s="1795">
        <v>0</v>
      </c>
      <c r="E406" s="1795">
        <v>0</v>
      </c>
      <c r="F406" s="1795">
        <v>0</v>
      </c>
      <c r="G406" s="1795">
        <v>0</v>
      </c>
      <c r="H406" s="1795">
        <v>0</v>
      </c>
      <c r="I406" s="1795">
        <v>0</v>
      </c>
      <c r="J406" s="1796">
        <f t="shared" si="53"/>
        <v>0</v>
      </c>
      <c r="K406" s="1796">
        <f t="shared" si="54"/>
        <v>0</v>
      </c>
      <c r="L406" s="1795">
        <f t="shared" si="55"/>
        <v>0</v>
      </c>
      <c r="M406" s="30" t="s">
        <v>2836</v>
      </c>
      <c r="N406" s="29" t="s">
        <v>2837</v>
      </c>
    </row>
    <row r="407" spans="1:14" x14ac:dyDescent="0.4">
      <c r="A407" s="16">
        <v>182028</v>
      </c>
      <c r="B407" s="1795">
        <v>60</v>
      </c>
      <c r="C407" s="16">
        <f t="shared" si="52"/>
        <v>300</v>
      </c>
      <c r="D407" s="1795">
        <v>0</v>
      </c>
      <c r="E407" s="1795">
        <v>0</v>
      </c>
      <c r="F407" s="1795">
        <v>0</v>
      </c>
      <c r="G407" s="1795">
        <v>0</v>
      </c>
      <c r="H407" s="1795">
        <v>0</v>
      </c>
      <c r="I407" s="1795">
        <v>0</v>
      </c>
      <c r="J407" s="1796">
        <f t="shared" si="53"/>
        <v>0</v>
      </c>
      <c r="K407" s="1796">
        <f t="shared" si="54"/>
        <v>0</v>
      </c>
      <c r="L407" s="1795">
        <f t="shared" si="55"/>
        <v>0</v>
      </c>
      <c r="M407" s="30" t="s">
        <v>2838</v>
      </c>
      <c r="N407" s="30" t="s">
        <v>2839</v>
      </c>
    </row>
    <row r="408" spans="1:14" x14ac:dyDescent="0.4">
      <c r="A408" s="16">
        <v>182029</v>
      </c>
      <c r="B408" s="1195">
        <v>45</v>
      </c>
      <c r="C408" s="16">
        <f t="shared" si="52"/>
        <v>225</v>
      </c>
      <c r="D408" s="1195">
        <v>0</v>
      </c>
      <c r="E408" s="1195">
        <v>0</v>
      </c>
      <c r="F408" s="1195">
        <v>0</v>
      </c>
      <c r="G408" s="1195">
        <v>0</v>
      </c>
      <c r="H408" s="1195">
        <v>0</v>
      </c>
      <c r="I408" s="1195">
        <v>0</v>
      </c>
      <c r="J408" s="1196">
        <f t="shared" si="53"/>
        <v>0</v>
      </c>
      <c r="K408" s="1196">
        <f t="shared" si="54"/>
        <v>0</v>
      </c>
      <c r="L408" s="1195">
        <f t="shared" si="55"/>
        <v>0</v>
      </c>
      <c r="M408" s="30" t="s">
        <v>2838</v>
      </c>
      <c r="N408" s="30" t="s">
        <v>2839</v>
      </c>
    </row>
    <row r="409" spans="1:14" x14ac:dyDescent="0.4">
      <c r="A409" s="16">
        <v>182030</v>
      </c>
      <c r="B409" s="1914">
        <v>45</v>
      </c>
      <c r="C409" s="16">
        <f t="shared" si="52"/>
        <v>225</v>
      </c>
      <c r="D409" s="1914">
        <v>0</v>
      </c>
      <c r="E409" s="1914">
        <v>0</v>
      </c>
      <c r="F409" s="1914">
        <v>0</v>
      </c>
      <c r="G409" s="1914">
        <v>0</v>
      </c>
      <c r="H409" s="1914"/>
      <c r="I409" s="1914">
        <v>1</v>
      </c>
      <c r="J409" s="1915">
        <f t="shared" si="53"/>
        <v>1</v>
      </c>
      <c r="K409" s="1915">
        <f t="shared" si="54"/>
        <v>0</v>
      </c>
      <c r="L409" s="1914">
        <f t="shared" si="55"/>
        <v>0</v>
      </c>
      <c r="M409" s="30" t="s">
        <v>2838</v>
      </c>
      <c r="N409" s="30" t="s">
        <v>2839</v>
      </c>
    </row>
    <row r="410" spans="1:14" x14ac:dyDescent="0.4">
      <c r="A410" s="16">
        <v>182031</v>
      </c>
      <c r="B410" s="1369">
        <v>45</v>
      </c>
      <c r="C410" s="16">
        <f t="shared" si="52"/>
        <v>225</v>
      </c>
      <c r="D410" s="1369">
        <v>0</v>
      </c>
      <c r="E410" s="1369">
        <v>0</v>
      </c>
      <c r="F410" s="1369">
        <v>0</v>
      </c>
      <c r="G410" s="1369">
        <v>0</v>
      </c>
      <c r="H410" s="1369">
        <v>0</v>
      </c>
      <c r="I410" s="1369">
        <v>0</v>
      </c>
      <c r="J410" s="1370">
        <f t="shared" si="53"/>
        <v>0</v>
      </c>
      <c r="K410" s="1370">
        <f t="shared" si="54"/>
        <v>0</v>
      </c>
      <c r="L410" s="1369">
        <f t="shared" si="55"/>
        <v>0</v>
      </c>
      <c r="M410" s="30" t="s">
        <v>2840</v>
      </c>
      <c r="N410" s="30" t="s">
        <v>2841</v>
      </c>
    </row>
    <row r="411" spans="1:14" x14ac:dyDescent="0.4">
      <c r="A411" s="16">
        <v>182032</v>
      </c>
      <c r="B411" s="1914">
        <v>45</v>
      </c>
      <c r="C411" s="16">
        <f t="shared" si="52"/>
        <v>225</v>
      </c>
      <c r="D411" s="1914">
        <v>0</v>
      </c>
      <c r="E411" s="1914">
        <v>0</v>
      </c>
      <c r="F411" s="1914">
        <v>0</v>
      </c>
      <c r="G411" s="1914">
        <v>0</v>
      </c>
      <c r="H411" s="1914">
        <v>0</v>
      </c>
      <c r="I411" s="1914">
        <v>1</v>
      </c>
      <c r="J411" s="1915">
        <f t="shared" si="53"/>
        <v>1</v>
      </c>
      <c r="K411" s="1915">
        <f t="shared" si="54"/>
        <v>0</v>
      </c>
      <c r="L411" s="1914">
        <f t="shared" si="55"/>
        <v>0</v>
      </c>
      <c r="M411" s="30" t="s">
        <v>2842</v>
      </c>
      <c r="N411" s="30" t="s">
        <v>2841</v>
      </c>
    </row>
    <row r="412" spans="1:14" x14ac:dyDescent="0.4">
      <c r="A412" s="16">
        <v>182033</v>
      </c>
      <c r="B412" s="1752">
        <v>50</v>
      </c>
      <c r="C412" s="16">
        <f t="shared" si="52"/>
        <v>250</v>
      </c>
      <c r="D412" s="1752">
        <v>0</v>
      </c>
      <c r="E412" s="1752">
        <v>0</v>
      </c>
      <c r="F412" s="1752">
        <v>0</v>
      </c>
      <c r="G412" s="1752">
        <v>0</v>
      </c>
      <c r="H412" s="1752">
        <v>0</v>
      </c>
      <c r="I412" s="1752">
        <v>0</v>
      </c>
      <c r="J412" s="1753">
        <f t="shared" si="53"/>
        <v>0</v>
      </c>
      <c r="K412" s="1753">
        <f t="shared" si="54"/>
        <v>0</v>
      </c>
      <c r="L412" s="1752">
        <f t="shared" si="55"/>
        <v>0</v>
      </c>
      <c r="M412" s="30" t="s">
        <v>2843</v>
      </c>
      <c r="N412" s="30" t="s">
        <v>2844</v>
      </c>
    </row>
    <row r="413" spans="1:14" x14ac:dyDescent="0.4">
      <c r="A413" s="16">
        <v>182034</v>
      </c>
      <c r="B413" s="1520">
        <v>45</v>
      </c>
      <c r="C413" s="16">
        <f t="shared" si="52"/>
        <v>225</v>
      </c>
      <c r="D413" s="1520">
        <v>0</v>
      </c>
      <c r="E413" s="1520">
        <v>0</v>
      </c>
      <c r="F413" s="1520">
        <v>0</v>
      </c>
      <c r="G413" s="1520">
        <v>0</v>
      </c>
      <c r="H413" s="1520">
        <v>0</v>
      </c>
      <c r="I413" s="1520">
        <v>0</v>
      </c>
      <c r="J413" s="1521">
        <f t="shared" si="53"/>
        <v>0</v>
      </c>
      <c r="K413" s="1521">
        <f t="shared" si="54"/>
        <v>0</v>
      </c>
      <c r="L413" s="1520">
        <f t="shared" si="55"/>
        <v>0</v>
      </c>
      <c r="M413" s="30" t="s">
        <v>2843</v>
      </c>
      <c r="N413" s="30" t="s">
        <v>2845</v>
      </c>
    </row>
    <row r="414" spans="1:14" x14ac:dyDescent="0.4">
      <c r="A414" s="16">
        <v>182035</v>
      </c>
      <c r="B414" s="1914">
        <v>45</v>
      </c>
      <c r="C414" s="16">
        <f t="shared" si="52"/>
        <v>225</v>
      </c>
      <c r="D414" s="1914">
        <v>0</v>
      </c>
      <c r="E414" s="1914">
        <v>0</v>
      </c>
      <c r="F414" s="1914">
        <v>0</v>
      </c>
      <c r="G414" s="1914">
        <v>0</v>
      </c>
      <c r="H414" s="1914">
        <v>0</v>
      </c>
      <c r="I414" s="1914">
        <v>1</v>
      </c>
      <c r="J414" s="1915">
        <f t="shared" si="53"/>
        <v>1</v>
      </c>
      <c r="K414" s="1915">
        <f t="shared" si="54"/>
        <v>0</v>
      </c>
      <c r="L414" s="1914">
        <f t="shared" si="55"/>
        <v>0</v>
      </c>
      <c r="M414" s="30" t="s">
        <v>2846</v>
      </c>
      <c r="N414" s="30" t="s">
        <v>2847</v>
      </c>
    </row>
    <row r="415" spans="1:14" x14ac:dyDescent="0.4">
      <c r="A415" s="16">
        <v>182036</v>
      </c>
      <c r="B415" s="1914">
        <v>45</v>
      </c>
      <c r="C415" s="16">
        <f t="shared" ref="C415:C448" si="56">SUM(B415*5)</f>
        <v>225</v>
      </c>
      <c r="D415" s="1914">
        <v>0</v>
      </c>
      <c r="E415" s="1914">
        <v>0</v>
      </c>
      <c r="F415" s="1914">
        <v>0</v>
      </c>
      <c r="G415" s="1914">
        <v>0</v>
      </c>
      <c r="H415" s="1914">
        <v>0</v>
      </c>
      <c r="I415" s="1914">
        <v>1</v>
      </c>
      <c r="J415" s="1915">
        <f t="shared" ref="J415:J448" si="57">SUM(D415:I415)</f>
        <v>1</v>
      </c>
      <c r="K415" s="1915">
        <f t="shared" ref="K415:K448" si="58">SUM(D415:H415)</f>
        <v>0</v>
      </c>
      <c r="L415" s="1914">
        <f t="shared" ref="L415:L448" si="59">B415*K415</f>
        <v>0</v>
      </c>
      <c r="M415" s="30" t="s">
        <v>2846</v>
      </c>
      <c r="N415" s="30" t="s">
        <v>2847</v>
      </c>
    </row>
    <row r="416" spans="1:14" x14ac:dyDescent="0.4">
      <c r="A416" s="16">
        <v>182037</v>
      </c>
      <c r="B416" s="1914">
        <v>50</v>
      </c>
      <c r="C416" s="16">
        <f t="shared" si="56"/>
        <v>250</v>
      </c>
      <c r="D416" s="1914">
        <v>0</v>
      </c>
      <c r="E416" s="1914">
        <v>0</v>
      </c>
      <c r="F416" s="1914">
        <v>0</v>
      </c>
      <c r="G416" s="1914">
        <v>0</v>
      </c>
      <c r="H416" s="1914">
        <v>1</v>
      </c>
      <c r="I416" s="1914">
        <v>1</v>
      </c>
      <c r="J416" s="1915">
        <f t="shared" si="57"/>
        <v>2</v>
      </c>
      <c r="K416" s="1915">
        <f t="shared" si="58"/>
        <v>1</v>
      </c>
      <c r="L416" s="1914">
        <f t="shared" si="59"/>
        <v>50</v>
      </c>
      <c r="M416" s="30" t="s">
        <v>2848</v>
      </c>
      <c r="N416" s="30" t="s">
        <v>2849</v>
      </c>
    </row>
    <row r="417" spans="1:14" x14ac:dyDescent="0.4">
      <c r="A417" s="16">
        <v>182038</v>
      </c>
      <c r="B417" s="1561">
        <v>60</v>
      </c>
      <c r="C417" s="16">
        <f t="shared" si="56"/>
        <v>300</v>
      </c>
      <c r="D417" s="1561">
        <v>0</v>
      </c>
      <c r="E417" s="1561">
        <v>0</v>
      </c>
      <c r="F417" s="1561">
        <v>0</v>
      </c>
      <c r="G417" s="1561">
        <v>0</v>
      </c>
      <c r="H417" s="1561">
        <v>0</v>
      </c>
      <c r="I417" s="1561">
        <v>0</v>
      </c>
      <c r="J417" s="1562">
        <f t="shared" si="57"/>
        <v>0</v>
      </c>
      <c r="K417" s="1562">
        <f t="shared" si="58"/>
        <v>0</v>
      </c>
      <c r="L417" s="1561">
        <f t="shared" si="59"/>
        <v>0</v>
      </c>
      <c r="M417" s="30" t="s">
        <v>2848</v>
      </c>
      <c r="N417" s="30" t="s">
        <v>2849</v>
      </c>
    </row>
    <row r="418" spans="1:14" x14ac:dyDescent="0.4">
      <c r="A418" s="16">
        <v>182039</v>
      </c>
      <c r="B418" s="1212">
        <v>45</v>
      </c>
      <c r="C418" s="16">
        <f t="shared" si="56"/>
        <v>225</v>
      </c>
      <c r="D418" s="1212">
        <v>0</v>
      </c>
      <c r="E418" s="1212">
        <v>0</v>
      </c>
      <c r="F418" s="1212">
        <v>0</v>
      </c>
      <c r="G418" s="1212">
        <v>0</v>
      </c>
      <c r="H418" s="1212">
        <v>0</v>
      </c>
      <c r="I418" s="1212">
        <v>0</v>
      </c>
      <c r="J418" s="1213">
        <f t="shared" si="57"/>
        <v>0</v>
      </c>
      <c r="K418" s="1213">
        <f t="shared" si="58"/>
        <v>0</v>
      </c>
      <c r="L418" s="1212">
        <f t="shared" si="59"/>
        <v>0</v>
      </c>
      <c r="M418" s="30" t="s">
        <v>2853</v>
      </c>
      <c r="N418" s="30" t="s">
        <v>2854</v>
      </c>
    </row>
    <row r="419" spans="1:14" x14ac:dyDescent="0.4">
      <c r="A419" s="16">
        <v>182040</v>
      </c>
      <c r="B419" s="1914">
        <v>60</v>
      </c>
      <c r="C419" s="16">
        <f t="shared" si="56"/>
        <v>300</v>
      </c>
      <c r="D419" s="1914">
        <v>0</v>
      </c>
      <c r="E419" s="1914">
        <v>0</v>
      </c>
      <c r="F419" s="1914">
        <v>0</v>
      </c>
      <c r="G419" s="1914">
        <v>1</v>
      </c>
      <c r="H419" s="1914">
        <v>1</v>
      </c>
      <c r="I419" s="1914">
        <v>1</v>
      </c>
      <c r="J419" s="1915">
        <f t="shared" si="57"/>
        <v>3</v>
      </c>
      <c r="K419" s="1915">
        <f t="shared" si="58"/>
        <v>2</v>
      </c>
      <c r="L419" s="1914">
        <f t="shared" si="59"/>
        <v>120</v>
      </c>
      <c r="M419" s="30" t="s">
        <v>2853</v>
      </c>
      <c r="N419" s="30" t="s">
        <v>2854</v>
      </c>
    </row>
    <row r="420" spans="1:14" x14ac:dyDescent="0.4">
      <c r="A420" s="16">
        <v>182041</v>
      </c>
      <c r="B420" s="1616">
        <v>45</v>
      </c>
      <c r="C420" s="16">
        <f t="shared" si="56"/>
        <v>225</v>
      </c>
      <c r="D420" s="1616">
        <v>0</v>
      </c>
      <c r="E420" s="1616">
        <v>0</v>
      </c>
      <c r="F420" s="1616">
        <v>0</v>
      </c>
      <c r="G420" s="1616">
        <v>0</v>
      </c>
      <c r="H420" s="1616">
        <v>0</v>
      </c>
      <c r="I420" s="1616">
        <v>0</v>
      </c>
      <c r="J420" s="1617">
        <f t="shared" si="57"/>
        <v>0</v>
      </c>
      <c r="K420" s="1617">
        <f t="shared" si="58"/>
        <v>0</v>
      </c>
      <c r="L420" s="1616">
        <f t="shared" si="59"/>
        <v>0</v>
      </c>
      <c r="M420" s="30" t="s">
        <v>2853</v>
      </c>
      <c r="N420" s="30" t="s">
        <v>2854</v>
      </c>
    </row>
    <row r="421" spans="1:14" x14ac:dyDescent="0.4">
      <c r="A421" s="16">
        <v>182042</v>
      </c>
      <c r="B421" s="1513">
        <v>60</v>
      </c>
      <c r="C421" s="16">
        <f t="shared" si="56"/>
        <v>300</v>
      </c>
      <c r="D421" s="1513">
        <v>0</v>
      </c>
      <c r="E421" s="1513">
        <v>0</v>
      </c>
      <c r="F421" s="1513">
        <v>0</v>
      </c>
      <c r="G421" s="1513">
        <v>0</v>
      </c>
      <c r="H421" s="1513">
        <v>0</v>
      </c>
      <c r="I421" s="1513">
        <v>0</v>
      </c>
      <c r="J421" s="1514">
        <f t="shared" si="57"/>
        <v>0</v>
      </c>
      <c r="K421" s="1514">
        <f t="shared" si="58"/>
        <v>0</v>
      </c>
      <c r="L421" s="1513">
        <f t="shared" si="59"/>
        <v>0</v>
      </c>
      <c r="M421" s="30" t="s">
        <v>2855</v>
      </c>
      <c r="N421" s="30" t="s">
        <v>2856</v>
      </c>
    </row>
    <row r="422" spans="1:14" x14ac:dyDescent="0.4">
      <c r="A422" s="16">
        <v>182043</v>
      </c>
      <c r="B422" s="1383">
        <v>50</v>
      </c>
      <c r="C422" s="16">
        <f t="shared" si="56"/>
        <v>250</v>
      </c>
      <c r="D422" s="1383">
        <v>0</v>
      </c>
      <c r="E422" s="1383">
        <v>0</v>
      </c>
      <c r="F422" s="1383">
        <v>0</v>
      </c>
      <c r="G422" s="1383">
        <v>0</v>
      </c>
      <c r="H422" s="1383">
        <v>0</v>
      </c>
      <c r="I422" s="1383">
        <v>0</v>
      </c>
      <c r="J422" s="1384">
        <f t="shared" si="57"/>
        <v>0</v>
      </c>
      <c r="K422" s="1384">
        <f t="shared" si="58"/>
        <v>0</v>
      </c>
      <c r="L422" s="1383">
        <f t="shared" si="59"/>
        <v>0</v>
      </c>
      <c r="M422" s="30" t="s">
        <v>2855</v>
      </c>
      <c r="N422" s="30" t="s">
        <v>2856</v>
      </c>
    </row>
    <row r="423" spans="1:14" x14ac:dyDescent="0.4">
      <c r="A423" s="16">
        <v>182044</v>
      </c>
      <c r="B423" s="1914">
        <v>60</v>
      </c>
      <c r="C423" s="16">
        <f t="shared" si="56"/>
        <v>300</v>
      </c>
      <c r="D423" s="1914">
        <v>0</v>
      </c>
      <c r="E423" s="1914">
        <v>0</v>
      </c>
      <c r="F423" s="1914">
        <v>0</v>
      </c>
      <c r="G423" s="1914">
        <v>0</v>
      </c>
      <c r="H423" s="1914">
        <v>0</v>
      </c>
      <c r="I423" s="1914">
        <v>0</v>
      </c>
      <c r="J423" s="1915">
        <f t="shared" si="57"/>
        <v>0</v>
      </c>
      <c r="K423" s="1915">
        <f t="shared" si="58"/>
        <v>0</v>
      </c>
      <c r="L423" s="1914">
        <f t="shared" si="59"/>
        <v>0</v>
      </c>
      <c r="M423" s="30" t="s">
        <v>2855</v>
      </c>
      <c r="N423" s="30" t="s">
        <v>2856</v>
      </c>
    </row>
    <row r="424" spans="1:14" x14ac:dyDescent="0.4">
      <c r="A424" s="16">
        <v>182045</v>
      </c>
      <c r="B424" s="1914">
        <v>60</v>
      </c>
      <c r="C424" s="16">
        <f t="shared" si="56"/>
        <v>300</v>
      </c>
      <c r="D424" s="1914">
        <v>0</v>
      </c>
      <c r="E424" s="1914">
        <v>0</v>
      </c>
      <c r="F424" s="1914">
        <v>0</v>
      </c>
      <c r="G424" s="1914">
        <v>0</v>
      </c>
      <c r="H424" s="1914">
        <v>0</v>
      </c>
      <c r="I424" s="1914">
        <v>1</v>
      </c>
      <c r="J424" s="1915">
        <f t="shared" si="57"/>
        <v>1</v>
      </c>
      <c r="K424" s="1915">
        <f t="shared" si="58"/>
        <v>0</v>
      </c>
      <c r="L424" s="1914">
        <f t="shared" si="59"/>
        <v>0</v>
      </c>
      <c r="M424" s="30" t="s">
        <v>2858</v>
      </c>
      <c r="N424" s="30" t="s">
        <v>2859</v>
      </c>
    </row>
    <row r="425" spans="1:14" x14ac:dyDescent="0.4">
      <c r="A425" s="16">
        <v>182046</v>
      </c>
      <c r="B425" s="1914">
        <v>50</v>
      </c>
      <c r="C425" s="16">
        <f t="shared" si="56"/>
        <v>250</v>
      </c>
      <c r="D425" s="1914">
        <v>0</v>
      </c>
      <c r="E425" s="1914">
        <v>0</v>
      </c>
      <c r="F425" s="1914">
        <v>0</v>
      </c>
      <c r="G425" s="1914">
        <v>0</v>
      </c>
      <c r="H425" s="1914">
        <v>0</v>
      </c>
      <c r="I425" s="1914">
        <v>1</v>
      </c>
      <c r="J425" s="1915">
        <f t="shared" si="57"/>
        <v>1</v>
      </c>
      <c r="K425" s="1915">
        <f t="shared" si="58"/>
        <v>0</v>
      </c>
      <c r="L425" s="1914">
        <f t="shared" si="59"/>
        <v>0</v>
      </c>
      <c r="M425" s="30" t="s">
        <v>2858</v>
      </c>
      <c r="N425" s="30" t="s">
        <v>2859</v>
      </c>
    </row>
    <row r="426" spans="1:14" x14ac:dyDescent="0.4">
      <c r="A426" s="16">
        <v>182047</v>
      </c>
      <c r="B426" s="1914">
        <v>60</v>
      </c>
      <c r="C426" s="16">
        <f t="shared" si="56"/>
        <v>300</v>
      </c>
      <c r="D426" s="1914">
        <v>0</v>
      </c>
      <c r="E426" s="1914">
        <v>0</v>
      </c>
      <c r="F426" s="1914">
        <v>0</v>
      </c>
      <c r="G426" s="1914">
        <v>0</v>
      </c>
      <c r="H426" s="1914">
        <v>1</v>
      </c>
      <c r="I426" s="1914">
        <v>1</v>
      </c>
      <c r="J426" s="1915">
        <f t="shared" si="57"/>
        <v>2</v>
      </c>
      <c r="K426" s="1915">
        <f t="shared" si="58"/>
        <v>1</v>
      </c>
      <c r="L426" s="1914">
        <f t="shared" si="59"/>
        <v>60</v>
      </c>
      <c r="M426" s="30" t="s">
        <v>2858</v>
      </c>
      <c r="N426" s="30" t="s">
        <v>2859</v>
      </c>
    </row>
    <row r="427" spans="1:14" x14ac:dyDescent="0.4">
      <c r="A427" s="16">
        <v>182048</v>
      </c>
      <c r="B427" s="1914">
        <v>60</v>
      </c>
      <c r="C427" s="16">
        <f t="shared" si="56"/>
        <v>300</v>
      </c>
      <c r="D427" s="1914">
        <v>1</v>
      </c>
      <c r="E427" s="1914">
        <v>1</v>
      </c>
      <c r="F427" s="1914">
        <v>1</v>
      </c>
      <c r="G427" s="1914">
        <v>1</v>
      </c>
      <c r="H427" s="1914">
        <v>1</v>
      </c>
      <c r="I427" s="1914">
        <v>1</v>
      </c>
      <c r="J427" s="1915">
        <f t="shared" si="57"/>
        <v>6</v>
      </c>
      <c r="K427" s="1915">
        <f t="shared" si="58"/>
        <v>5</v>
      </c>
      <c r="L427" s="1914">
        <f t="shared" si="59"/>
        <v>300</v>
      </c>
      <c r="M427" s="30" t="s">
        <v>2861</v>
      </c>
      <c r="N427" s="30" t="s">
        <v>2860</v>
      </c>
    </row>
    <row r="428" spans="1:14" x14ac:dyDescent="0.4">
      <c r="A428" s="16">
        <v>182049</v>
      </c>
      <c r="B428" s="1177">
        <v>60</v>
      </c>
      <c r="C428" s="16">
        <f t="shared" si="56"/>
        <v>300</v>
      </c>
      <c r="D428" s="1177">
        <v>0</v>
      </c>
      <c r="E428" s="1177">
        <v>0</v>
      </c>
      <c r="F428" s="1177">
        <v>0</v>
      </c>
      <c r="G428" s="1177">
        <v>0</v>
      </c>
      <c r="H428" s="1177">
        <v>0</v>
      </c>
      <c r="I428" s="1177">
        <v>0</v>
      </c>
      <c r="J428" s="1178">
        <f t="shared" si="57"/>
        <v>0</v>
      </c>
      <c r="K428" s="1178">
        <f t="shared" si="58"/>
        <v>0</v>
      </c>
      <c r="L428" s="1177">
        <f t="shared" si="59"/>
        <v>0</v>
      </c>
      <c r="M428" s="30" t="s">
        <v>2861</v>
      </c>
      <c r="N428" s="30" t="s">
        <v>2860</v>
      </c>
    </row>
    <row r="429" spans="1:14" x14ac:dyDescent="0.4">
      <c r="A429" s="16">
        <v>182050</v>
      </c>
      <c r="B429" s="1914">
        <v>60</v>
      </c>
      <c r="C429" s="16">
        <f t="shared" si="56"/>
        <v>300</v>
      </c>
      <c r="D429" s="1914">
        <v>0</v>
      </c>
      <c r="E429" s="1914">
        <v>1</v>
      </c>
      <c r="F429" s="1914">
        <v>1</v>
      </c>
      <c r="G429" s="1914">
        <v>1</v>
      </c>
      <c r="H429" s="1914">
        <v>1</v>
      </c>
      <c r="I429" s="1914">
        <v>1</v>
      </c>
      <c r="J429" s="1915">
        <f t="shared" si="57"/>
        <v>5</v>
      </c>
      <c r="K429" s="1915">
        <f t="shared" si="58"/>
        <v>4</v>
      </c>
      <c r="L429" s="1914">
        <f t="shared" si="59"/>
        <v>240</v>
      </c>
      <c r="M429" s="30" t="s">
        <v>2862</v>
      </c>
      <c r="N429" s="30" t="s">
        <v>2863</v>
      </c>
    </row>
    <row r="430" spans="1:14" x14ac:dyDescent="0.4">
      <c r="A430" s="16">
        <v>182051</v>
      </c>
      <c r="B430" s="1491">
        <v>60</v>
      </c>
      <c r="C430" s="16">
        <f t="shared" si="56"/>
        <v>300</v>
      </c>
      <c r="D430" s="1491">
        <v>0</v>
      </c>
      <c r="E430" s="1491">
        <v>0</v>
      </c>
      <c r="F430" s="1491">
        <v>0</v>
      </c>
      <c r="G430" s="1491">
        <v>0</v>
      </c>
      <c r="H430" s="1491">
        <v>0</v>
      </c>
      <c r="I430" s="1491">
        <v>0</v>
      </c>
      <c r="J430" s="1492">
        <f t="shared" si="57"/>
        <v>0</v>
      </c>
      <c r="K430" s="1492">
        <f t="shared" si="58"/>
        <v>0</v>
      </c>
      <c r="L430" s="1491">
        <f t="shared" si="59"/>
        <v>0</v>
      </c>
      <c r="M430" s="30" t="s">
        <v>2862</v>
      </c>
      <c r="N430" s="30" t="s">
        <v>2863</v>
      </c>
    </row>
    <row r="431" spans="1:14" x14ac:dyDescent="0.4">
      <c r="A431" s="16">
        <v>182052</v>
      </c>
      <c r="B431" s="1914">
        <v>45</v>
      </c>
      <c r="C431" s="16">
        <f t="shared" si="56"/>
        <v>225</v>
      </c>
      <c r="D431" s="1914">
        <v>0</v>
      </c>
      <c r="E431" s="1914">
        <v>0</v>
      </c>
      <c r="F431" s="1914">
        <v>0</v>
      </c>
      <c r="G431" s="1914">
        <v>0</v>
      </c>
      <c r="H431" s="1914">
        <v>0</v>
      </c>
      <c r="I431" s="1914">
        <v>1</v>
      </c>
      <c r="J431" s="1915">
        <f t="shared" si="57"/>
        <v>1</v>
      </c>
      <c r="K431" s="1915">
        <f t="shared" si="58"/>
        <v>0</v>
      </c>
      <c r="L431" s="1914">
        <f t="shared" si="59"/>
        <v>0</v>
      </c>
      <c r="M431" s="30" t="s">
        <v>2864</v>
      </c>
      <c r="N431" s="30" t="s">
        <v>2865</v>
      </c>
    </row>
    <row r="432" spans="1:14" x14ac:dyDescent="0.4">
      <c r="A432" s="16">
        <v>182053</v>
      </c>
      <c r="B432" s="1914">
        <v>60</v>
      </c>
      <c r="C432" s="16">
        <f t="shared" si="56"/>
        <v>300</v>
      </c>
      <c r="D432" s="1914">
        <v>0</v>
      </c>
      <c r="E432" s="1914">
        <v>0</v>
      </c>
      <c r="F432" s="1914">
        <v>0</v>
      </c>
      <c r="G432" s="1914">
        <v>0</v>
      </c>
      <c r="H432" s="1914">
        <v>0</v>
      </c>
      <c r="I432" s="1914">
        <v>1</v>
      </c>
      <c r="J432" s="1915">
        <f t="shared" si="57"/>
        <v>1</v>
      </c>
      <c r="K432" s="1915">
        <f t="shared" si="58"/>
        <v>0</v>
      </c>
      <c r="L432" s="1914">
        <f t="shared" si="59"/>
        <v>0</v>
      </c>
      <c r="M432" s="30" t="s">
        <v>2866</v>
      </c>
      <c r="N432" s="30" t="s">
        <v>2867</v>
      </c>
    </row>
    <row r="433" spans="1:18" x14ac:dyDescent="0.4">
      <c r="A433" s="16">
        <v>182054</v>
      </c>
      <c r="B433" s="1252">
        <v>50</v>
      </c>
      <c r="C433" s="16">
        <f t="shared" si="56"/>
        <v>250</v>
      </c>
      <c r="D433" s="1252">
        <v>0</v>
      </c>
      <c r="E433" s="1252">
        <v>0</v>
      </c>
      <c r="F433" s="1252">
        <v>0</v>
      </c>
      <c r="G433" s="1252">
        <v>0</v>
      </c>
      <c r="H433" s="1252">
        <v>0</v>
      </c>
      <c r="I433" s="1252">
        <v>0</v>
      </c>
      <c r="J433" s="1254">
        <f t="shared" si="57"/>
        <v>0</v>
      </c>
      <c r="K433" s="1254">
        <f t="shared" si="58"/>
        <v>0</v>
      </c>
      <c r="L433" s="1252">
        <f t="shared" si="59"/>
        <v>0</v>
      </c>
      <c r="M433" s="30" t="s">
        <v>2866</v>
      </c>
      <c r="N433" s="30" t="s">
        <v>2867</v>
      </c>
    </row>
    <row r="434" spans="1:18" x14ac:dyDescent="0.4">
      <c r="A434" s="16">
        <v>182055</v>
      </c>
      <c r="B434" s="1536">
        <v>60</v>
      </c>
      <c r="C434" s="16">
        <f t="shared" si="56"/>
        <v>300</v>
      </c>
      <c r="D434" s="1536">
        <v>0</v>
      </c>
      <c r="E434" s="1536">
        <v>0</v>
      </c>
      <c r="F434" s="1536">
        <v>0</v>
      </c>
      <c r="G434" s="1536">
        <v>0</v>
      </c>
      <c r="H434" s="1536">
        <v>0</v>
      </c>
      <c r="I434" s="1536">
        <v>0</v>
      </c>
      <c r="J434" s="1537">
        <f t="shared" si="57"/>
        <v>0</v>
      </c>
      <c r="K434" s="1537">
        <f t="shared" si="58"/>
        <v>0</v>
      </c>
      <c r="L434" s="1536">
        <f t="shared" si="59"/>
        <v>0</v>
      </c>
      <c r="M434" s="30" t="s">
        <v>2866</v>
      </c>
      <c r="N434" s="30" t="s">
        <v>2867</v>
      </c>
    </row>
    <row r="435" spans="1:18" x14ac:dyDescent="0.4">
      <c r="A435" s="16">
        <v>182056</v>
      </c>
      <c r="B435" s="1221">
        <v>45</v>
      </c>
      <c r="C435" s="16">
        <f t="shared" si="56"/>
        <v>225</v>
      </c>
      <c r="D435" s="1221">
        <v>0</v>
      </c>
      <c r="E435" s="1221">
        <v>0</v>
      </c>
      <c r="F435" s="1221">
        <v>0</v>
      </c>
      <c r="G435" s="1221">
        <v>0</v>
      </c>
      <c r="H435" s="1221">
        <v>0</v>
      </c>
      <c r="I435" s="1221">
        <v>0</v>
      </c>
      <c r="J435" s="1222">
        <f t="shared" si="57"/>
        <v>0</v>
      </c>
      <c r="K435" s="1222">
        <f t="shared" si="58"/>
        <v>0</v>
      </c>
      <c r="L435" s="1221">
        <f t="shared" si="59"/>
        <v>0</v>
      </c>
      <c r="M435" s="30" t="s">
        <v>2868</v>
      </c>
      <c r="N435" s="30" t="s">
        <v>2869</v>
      </c>
    </row>
    <row r="436" spans="1:18" x14ac:dyDescent="0.4">
      <c r="A436" s="16">
        <v>182057</v>
      </c>
      <c r="B436" s="1918">
        <v>90</v>
      </c>
      <c r="C436" s="16">
        <f t="shared" si="56"/>
        <v>450</v>
      </c>
      <c r="D436" s="1918">
        <v>0</v>
      </c>
      <c r="E436" s="1918">
        <v>0</v>
      </c>
      <c r="F436" s="1918">
        <v>0</v>
      </c>
      <c r="G436" s="1918">
        <v>0</v>
      </c>
      <c r="H436" s="1918">
        <v>0</v>
      </c>
      <c r="I436" s="1918">
        <v>1</v>
      </c>
      <c r="J436" s="1919">
        <f t="shared" si="57"/>
        <v>1</v>
      </c>
      <c r="K436" s="1919">
        <f t="shared" si="58"/>
        <v>0</v>
      </c>
      <c r="L436" s="1918">
        <f t="shared" si="59"/>
        <v>0</v>
      </c>
      <c r="M436" s="30" t="s">
        <v>2868</v>
      </c>
      <c r="N436" s="30" t="s">
        <v>2869</v>
      </c>
    </row>
    <row r="437" spans="1:18" x14ac:dyDescent="0.4">
      <c r="A437" s="16">
        <v>182058</v>
      </c>
      <c r="B437" s="1918">
        <v>45</v>
      </c>
      <c r="C437" s="16">
        <f t="shared" si="56"/>
        <v>225</v>
      </c>
      <c r="D437" s="1918">
        <v>0</v>
      </c>
      <c r="E437" s="1918">
        <v>0</v>
      </c>
      <c r="F437" s="1918">
        <v>0</v>
      </c>
      <c r="G437" s="1918">
        <v>0</v>
      </c>
      <c r="H437" s="1918">
        <v>0</v>
      </c>
      <c r="I437" s="1918">
        <v>1</v>
      </c>
      <c r="J437" s="1919">
        <f t="shared" si="57"/>
        <v>1</v>
      </c>
      <c r="K437" s="1919">
        <f t="shared" si="58"/>
        <v>0</v>
      </c>
      <c r="L437" s="1918">
        <f t="shared" si="59"/>
        <v>0</v>
      </c>
      <c r="M437" s="30" t="s">
        <v>2868</v>
      </c>
      <c r="N437" s="30" t="s">
        <v>2869</v>
      </c>
    </row>
    <row r="438" spans="1:18" x14ac:dyDescent="0.4">
      <c r="A438" s="16">
        <v>182059</v>
      </c>
      <c r="B438" s="1918">
        <v>45</v>
      </c>
      <c r="C438" s="16">
        <f t="shared" si="56"/>
        <v>225</v>
      </c>
      <c r="D438" s="1918">
        <v>0</v>
      </c>
      <c r="E438" s="1918">
        <v>0</v>
      </c>
      <c r="F438" s="1918">
        <v>0</v>
      </c>
      <c r="G438" s="1918">
        <v>0</v>
      </c>
      <c r="H438" s="1918">
        <v>0</v>
      </c>
      <c r="I438" s="1918">
        <v>1</v>
      </c>
      <c r="J438" s="1919">
        <f t="shared" si="57"/>
        <v>1</v>
      </c>
      <c r="K438" s="1919">
        <f t="shared" si="58"/>
        <v>0</v>
      </c>
      <c r="L438" s="1918">
        <f t="shared" si="59"/>
        <v>0</v>
      </c>
      <c r="M438" s="30" t="s">
        <v>2870</v>
      </c>
      <c r="N438" s="30" t="s">
        <v>2871</v>
      </c>
    </row>
    <row r="439" spans="1:18" x14ac:dyDescent="0.4">
      <c r="A439" s="16">
        <v>182060</v>
      </c>
      <c r="B439" s="1918">
        <v>45</v>
      </c>
      <c r="C439" s="16">
        <f t="shared" si="56"/>
        <v>225</v>
      </c>
      <c r="D439" s="1918">
        <v>0</v>
      </c>
      <c r="E439" s="1918">
        <v>0</v>
      </c>
      <c r="F439" s="1918">
        <v>0</v>
      </c>
      <c r="G439" s="1918">
        <v>0</v>
      </c>
      <c r="H439" s="1918">
        <v>0</v>
      </c>
      <c r="I439" s="1918">
        <v>1</v>
      </c>
      <c r="J439" s="1919">
        <f t="shared" si="57"/>
        <v>1</v>
      </c>
      <c r="K439" s="1919">
        <f t="shared" si="58"/>
        <v>0</v>
      </c>
      <c r="L439" s="1918">
        <f t="shared" si="59"/>
        <v>0</v>
      </c>
      <c r="M439" s="30" t="s">
        <v>2870</v>
      </c>
      <c r="N439" s="30" t="s">
        <v>2871</v>
      </c>
    </row>
    <row r="440" spans="1:18" x14ac:dyDescent="0.4">
      <c r="A440" s="16">
        <v>182061</v>
      </c>
      <c r="B440" s="1918">
        <v>45</v>
      </c>
      <c r="C440" s="16">
        <f t="shared" si="56"/>
        <v>225</v>
      </c>
      <c r="D440" s="1918">
        <v>0</v>
      </c>
      <c r="E440" s="1918">
        <v>0</v>
      </c>
      <c r="F440" s="1918">
        <v>0</v>
      </c>
      <c r="G440" s="1918">
        <v>0</v>
      </c>
      <c r="H440" s="1918">
        <v>0</v>
      </c>
      <c r="I440" s="1918">
        <v>0</v>
      </c>
      <c r="J440" s="1919">
        <f t="shared" si="57"/>
        <v>0</v>
      </c>
      <c r="K440" s="1919">
        <f t="shared" si="58"/>
        <v>0</v>
      </c>
      <c r="L440" s="1918">
        <f t="shared" si="59"/>
        <v>0</v>
      </c>
      <c r="M440" s="30" t="s">
        <v>2873</v>
      </c>
      <c r="N440" s="30" t="s">
        <v>2874</v>
      </c>
    </row>
    <row r="441" spans="1:18" x14ac:dyDescent="0.4">
      <c r="A441" s="16">
        <v>182062</v>
      </c>
      <c r="B441" s="1918">
        <v>120</v>
      </c>
      <c r="C441" s="16">
        <f t="shared" si="56"/>
        <v>600</v>
      </c>
      <c r="D441" s="1918">
        <v>0</v>
      </c>
      <c r="E441" s="1918">
        <v>0</v>
      </c>
      <c r="F441" s="1918">
        <v>0</v>
      </c>
      <c r="G441" s="1918">
        <v>1</v>
      </c>
      <c r="H441" s="1918">
        <v>1</v>
      </c>
      <c r="I441" s="1918">
        <v>1</v>
      </c>
      <c r="J441" s="1919">
        <f t="shared" si="57"/>
        <v>3</v>
      </c>
      <c r="K441" s="1919">
        <f t="shared" si="58"/>
        <v>2</v>
      </c>
      <c r="L441" s="1918">
        <f t="shared" si="59"/>
        <v>240</v>
      </c>
      <c r="M441" s="30" t="s">
        <v>2873</v>
      </c>
      <c r="N441" s="30" t="s">
        <v>2874</v>
      </c>
    </row>
    <row r="442" spans="1:18" x14ac:dyDescent="0.4">
      <c r="A442" s="1960">
        <v>182063</v>
      </c>
      <c r="B442" s="1961">
        <v>45</v>
      </c>
      <c r="C442" s="1960">
        <f t="shared" si="56"/>
        <v>225</v>
      </c>
      <c r="D442" s="1961">
        <v>0</v>
      </c>
      <c r="E442" s="1961">
        <v>0</v>
      </c>
      <c r="F442" s="1961">
        <v>0</v>
      </c>
      <c r="G442" s="1961">
        <v>0</v>
      </c>
      <c r="H442" s="1961">
        <v>0</v>
      </c>
      <c r="I442" s="1961">
        <v>0</v>
      </c>
      <c r="J442" s="1962">
        <f t="shared" si="57"/>
        <v>0</v>
      </c>
      <c r="K442" s="1962">
        <f t="shared" si="58"/>
        <v>0</v>
      </c>
      <c r="L442" s="1961">
        <f t="shared" si="59"/>
        <v>0</v>
      </c>
      <c r="M442" s="1963" t="s">
        <v>2873</v>
      </c>
      <c r="N442" s="1963" t="s">
        <v>2874</v>
      </c>
      <c r="O442" t="s">
        <v>3375</v>
      </c>
      <c r="P442" s="56">
        <v>43752</v>
      </c>
      <c r="Q442" s="1960" t="s">
        <v>3897</v>
      </c>
      <c r="R442" s="1960"/>
    </row>
    <row r="443" spans="1:18" x14ac:dyDescent="0.4">
      <c r="A443" s="16">
        <v>182064</v>
      </c>
      <c r="B443" s="1918">
        <v>45</v>
      </c>
      <c r="C443" s="16">
        <f t="shared" si="56"/>
        <v>225</v>
      </c>
      <c r="D443" s="1918">
        <v>0</v>
      </c>
      <c r="E443" s="1918">
        <v>0</v>
      </c>
      <c r="F443" s="1918">
        <v>0</v>
      </c>
      <c r="G443" s="1918">
        <v>0</v>
      </c>
      <c r="H443" s="1918">
        <v>0</v>
      </c>
      <c r="I443" s="1918">
        <v>0</v>
      </c>
      <c r="J443" s="1919">
        <f t="shared" si="57"/>
        <v>0</v>
      </c>
      <c r="K443" s="1919">
        <f t="shared" si="58"/>
        <v>0</v>
      </c>
      <c r="L443" s="1918">
        <f t="shared" si="59"/>
        <v>0</v>
      </c>
      <c r="M443" s="30" t="s">
        <v>2888</v>
      </c>
      <c r="N443" s="30" t="s">
        <v>2889</v>
      </c>
    </row>
    <row r="444" spans="1:18" x14ac:dyDescent="0.4">
      <c r="A444" s="16">
        <v>182065</v>
      </c>
      <c r="B444" s="1918">
        <v>45</v>
      </c>
      <c r="C444" s="16">
        <f t="shared" si="56"/>
        <v>225</v>
      </c>
      <c r="D444" s="1918">
        <v>0</v>
      </c>
      <c r="E444" s="1918">
        <v>0</v>
      </c>
      <c r="F444" s="1918">
        <v>0</v>
      </c>
      <c r="G444" s="1918">
        <v>0</v>
      </c>
      <c r="H444" s="1918">
        <v>0</v>
      </c>
      <c r="I444" s="1918">
        <v>1</v>
      </c>
      <c r="J444" s="1919">
        <f t="shared" si="57"/>
        <v>1</v>
      </c>
      <c r="K444" s="1919">
        <f t="shared" si="58"/>
        <v>0</v>
      </c>
      <c r="L444" s="1918">
        <f t="shared" si="59"/>
        <v>0</v>
      </c>
      <c r="M444" s="30" t="s">
        <v>2890</v>
      </c>
      <c r="N444" s="30" t="s">
        <v>2891</v>
      </c>
    </row>
    <row r="445" spans="1:18" x14ac:dyDescent="0.4">
      <c r="A445" s="16">
        <v>182066</v>
      </c>
      <c r="B445" s="1918">
        <v>70</v>
      </c>
      <c r="C445" s="16">
        <f t="shared" si="56"/>
        <v>350</v>
      </c>
      <c r="D445" s="1918">
        <v>0</v>
      </c>
      <c r="E445" s="1918">
        <v>0</v>
      </c>
      <c r="F445" s="1918">
        <v>0</v>
      </c>
      <c r="G445" s="1918">
        <v>0</v>
      </c>
      <c r="H445" s="1918">
        <v>0</v>
      </c>
      <c r="I445" s="1918">
        <v>0</v>
      </c>
      <c r="J445" s="1919">
        <f t="shared" si="57"/>
        <v>0</v>
      </c>
      <c r="K445" s="1919">
        <f t="shared" si="58"/>
        <v>0</v>
      </c>
      <c r="L445" s="1918">
        <f t="shared" si="59"/>
        <v>0</v>
      </c>
      <c r="M445" s="30" t="s">
        <v>2890</v>
      </c>
      <c r="N445" s="30" t="s">
        <v>2891</v>
      </c>
    </row>
    <row r="446" spans="1:18" x14ac:dyDescent="0.4">
      <c r="A446" s="16">
        <v>182067</v>
      </c>
      <c r="B446" s="1918">
        <v>60</v>
      </c>
      <c r="C446" s="16">
        <f t="shared" si="56"/>
        <v>300</v>
      </c>
      <c r="D446" s="1918">
        <v>0</v>
      </c>
      <c r="E446" s="1918">
        <v>0</v>
      </c>
      <c r="F446" s="1918">
        <v>0</v>
      </c>
      <c r="G446" s="1918">
        <v>0</v>
      </c>
      <c r="H446" s="1918">
        <v>0</v>
      </c>
      <c r="I446" s="1918">
        <v>0</v>
      </c>
      <c r="J446" s="1919">
        <f t="shared" si="57"/>
        <v>0</v>
      </c>
      <c r="K446" s="1919">
        <f t="shared" si="58"/>
        <v>0</v>
      </c>
      <c r="L446" s="1918">
        <f t="shared" si="59"/>
        <v>0</v>
      </c>
      <c r="M446" s="30" t="s">
        <v>2890</v>
      </c>
      <c r="N446" s="30" t="s">
        <v>2891</v>
      </c>
    </row>
    <row r="447" spans="1:18" x14ac:dyDescent="0.4">
      <c r="A447" s="16">
        <v>182068</v>
      </c>
      <c r="B447" s="1918">
        <v>45</v>
      </c>
      <c r="C447" s="16">
        <f t="shared" si="56"/>
        <v>225</v>
      </c>
      <c r="D447" s="1918">
        <v>0</v>
      </c>
      <c r="E447" s="1918">
        <v>0</v>
      </c>
      <c r="F447" s="1918">
        <v>0</v>
      </c>
      <c r="G447" s="1918">
        <v>0</v>
      </c>
      <c r="H447" s="1918">
        <v>0</v>
      </c>
      <c r="I447" s="1918">
        <v>0</v>
      </c>
      <c r="J447" s="1919">
        <f t="shared" si="57"/>
        <v>0</v>
      </c>
      <c r="K447" s="1919">
        <f t="shared" si="58"/>
        <v>0</v>
      </c>
      <c r="L447" s="1918">
        <f t="shared" si="59"/>
        <v>0</v>
      </c>
      <c r="M447" s="30" t="s">
        <v>2892</v>
      </c>
      <c r="N447" s="30" t="s">
        <v>2893</v>
      </c>
    </row>
    <row r="448" spans="1:18" x14ac:dyDescent="0.4">
      <c r="A448" s="16">
        <v>182069</v>
      </c>
      <c r="B448" s="1918">
        <v>50</v>
      </c>
      <c r="C448" s="16">
        <f t="shared" si="56"/>
        <v>250</v>
      </c>
      <c r="D448" s="1918">
        <v>0</v>
      </c>
      <c r="E448" s="1918">
        <v>0</v>
      </c>
      <c r="F448" s="1918">
        <v>0</v>
      </c>
      <c r="G448" s="1918">
        <v>0</v>
      </c>
      <c r="H448" s="1918">
        <v>0</v>
      </c>
      <c r="I448" s="1918">
        <v>0</v>
      </c>
      <c r="J448" s="1919">
        <f t="shared" si="57"/>
        <v>0</v>
      </c>
      <c r="K448" s="1919">
        <f t="shared" si="58"/>
        <v>0</v>
      </c>
      <c r="L448" s="1918">
        <f t="shared" si="59"/>
        <v>0</v>
      </c>
      <c r="M448" s="30" t="s">
        <v>2894</v>
      </c>
      <c r="N448" s="30" t="s">
        <v>2895</v>
      </c>
    </row>
    <row r="449" spans="1:15" x14ac:dyDescent="0.4">
      <c r="A449" s="16">
        <v>182070</v>
      </c>
      <c r="B449" s="1918">
        <v>45</v>
      </c>
      <c r="C449" s="16">
        <f t="shared" ref="C449:C478" si="60">SUM(B449*5)</f>
        <v>225</v>
      </c>
      <c r="D449" s="1918">
        <v>0</v>
      </c>
      <c r="E449" s="1918">
        <v>0</v>
      </c>
      <c r="F449" s="1918">
        <v>0</v>
      </c>
      <c r="G449" s="1918">
        <v>0</v>
      </c>
      <c r="H449" s="1918">
        <v>0</v>
      </c>
      <c r="I449" s="1918">
        <v>1</v>
      </c>
      <c r="J449" s="1919">
        <f t="shared" ref="J449:J478" si="61">SUM(D449:I449)</f>
        <v>1</v>
      </c>
      <c r="K449" s="1919">
        <f t="shared" ref="K449:K478" si="62">SUM(D449:H449)</f>
        <v>0</v>
      </c>
      <c r="L449" s="1918">
        <f t="shared" ref="L449:L478" si="63">B449*K449</f>
        <v>0</v>
      </c>
      <c r="M449" s="30" t="s">
        <v>2897</v>
      </c>
      <c r="N449" s="30" t="s">
        <v>2896</v>
      </c>
    </row>
    <row r="450" spans="1:15" x14ac:dyDescent="0.4">
      <c r="A450" s="16">
        <v>182071</v>
      </c>
      <c r="B450" s="1256">
        <v>60</v>
      </c>
      <c r="C450" s="16">
        <f t="shared" si="60"/>
        <v>300</v>
      </c>
      <c r="D450" s="1256">
        <v>0</v>
      </c>
      <c r="E450" s="1256">
        <v>0</v>
      </c>
      <c r="F450" s="1256">
        <v>0</v>
      </c>
      <c r="G450" s="1256">
        <v>0</v>
      </c>
      <c r="H450" s="1256">
        <v>0</v>
      </c>
      <c r="I450" s="1256">
        <v>0</v>
      </c>
      <c r="J450" s="1257">
        <f t="shared" si="61"/>
        <v>0</v>
      </c>
      <c r="K450" s="1257">
        <f t="shared" si="62"/>
        <v>0</v>
      </c>
      <c r="L450" s="1256">
        <f t="shared" si="63"/>
        <v>0</v>
      </c>
      <c r="M450" s="30" t="s">
        <v>2898</v>
      </c>
      <c r="N450" s="30" t="s">
        <v>2899</v>
      </c>
    </row>
    <row r="451" spans="1:15" x14ac:dyDescent="0.4">
      <c r="A451" s="16">
        <v>182072</v>
      </c>
      <c r="B451" s="1250">
        <v>60</v>
      </c>
      <c r="C451" s="16">
        <f t="shared" si="60"/>
        <v>300</v>
      </c>
      <c r="D451" s="1250">
        <v>0</v>
      </c>
      <c r="E451" s="1250">
        <v>0</v>
      </c>
      <c r="F451" s="1250">
        <v>0</v>
      </c>
      <c r="G451" s="1250">
        <v>0</v>
      </c>
      <c r="H451" s="1250">
        <v>0</v>
      </c>
      <c r="I451" s="1250">
        <v>0</v>
      </c>
      <c r="J451" s="1251">
        <f t="shared" si="61"/>
        <v>0</v>
      </c>
      <c r="K451" s="1251">
        <f t="shared" si="62"/>
        <v>0</v>
      </c>
      <c r="L451" s="1250">
        <f t="shared" si="63"/>
        <v>0</v>
      </c>
      <c r="M451" s="30" t="s">
        <v>2900</v>
      </c>
      <c r="N451" s="30" t="s">
        <v>2901</v>
      </c>
    </row>
    <row r="452" spans="1:15" x14ac:dyDescent="0.4">
      <c r="A452" s="16">
        <v>182073</v>
      </c>
      <c r="B452" s="1342">
        <v>50</v>
      </c>
      <c r="C452" s="16">
        <f t="shared" si="60"/>
        <v>250</v>
      </c>
      <c r="D452" s="1342">
        <v>0</v>
      </c>
      <c r="E452" s="1342">
        <v>0</v>
      </c>
      <c r="F452" s="1342">
        <v>0</v>
      </c>
      <c r="G452" s="1342">
        <v>0</v>
      </c>
      <c r="H452" s="1342">
        <v>0</v>
      </c>
      <c r="I452" s="1342">
        <v>0</v>
      </c>
      <c r="J452" s="1343">
        <f t="shared" si="61"/>
        <v>0</v>
      </c>
      <c r="K452" s="1343">
        <f t="shared" si="62"/>
        <v>0</v>
      </c>
      <c r="L452" s="1342">
        <f t="shared" si="63"/>
        <v>0</v>
      </c>
      <c r="M452" s="30" t="s">
        <v>2902</v>
      </c>
      <c r="N452" s="30" t="s">
        <v>2903</v>
      </c>
    </row>
    <row r="453" spans="1:15" x14ac:dyDescent="0.4">
      <c r="A453" s="16">
        <v>182074</v>
      </c>
      <c r="B453" s="1922">
        <v>45</v>
      </c>
      <c r="C453" s="16">
        <f t="shared" si="60"/>
        <v>225</v>
      </c>
      <c r="D453" s="1922">
        <v>0</v>
      </c>
      <c r="E453" s="1922">
        <v>0</v>
      </c>
      <c r="F453" s="1922">
        <v>0</v>
      </c>
      <c r="G453" s="1922">
        <v>0</v>
      </c>
      <c r="H453" s="1922">
        <v>0</v>
      </c>
      <c r="I453" s="1922">
        <v>1</v>
      </c>
      <c r="J453" s="1923">
        <f t="shared" si="61"/>
        <v>1</v>
      </c>
      <c r="K453" s="1923">
        <f t="shared" si="62"/>
        <v>0</v>
      </c>
      <c r="L453" s="1922">
        <f t="shared" si="63"/>
        <v>0</v>
      </c>
      <c r="M453" s="30" t="s">
        <v>2902</v>
      </c>
      <c r="N453" s="30" t="s">
        <v>2903</v>
      </c>
    </row>
    <row r="454" spans="1:15" x14ac:dyDescent="0.4">
      <c r="A454" s="16">
        <v>182075</v>
      </c>
      <c r="B454" s="1922">
        <v>45</v>
      </c>
      <c r="C454" s="16">
        <f t="shared" si="60"/>
        <v>225</v>
      </c>
      <c r="D454" s="1922">
        <v>0</v>
      </c>
      <c r="E454" s="1922">
        <v>0</v>
      </c>
      <c r="F454" s="1922">
        <v>0</v>
      </c>
      <c r="G454" s="1922">
        <v>0</v>
      </c>
      <c r="H454" s="1922">
        <v>0</v>
      </c>
      <c r="I454" s="1922">
        <v>0</v>
      </c>
      <c r="J454" s="1923">
        <f t="shared" si="61"/>
        <v>0</v>
      </c>
      <c r="K454" s="1923">
        <f t="shared" si="62"/>
        <v>0</v>
      </c>
      <c r="L454" s="1922">
        <f t="shared" si="63"/>
        <v>0</v>
      </c>
      <c r="M454" s="30" t="s">
        <v>2902</v>
      </c>
      <c r="N454" s="30" t="s">
        <v>2905</v>
      </c>
    </row>
    <row r="455" spans="1:15" x14ac:dyDescent="0.4">
      <c r="A455" s="16">
        <v>182076</v>
      </c>
      <c r="B455" s="1922">
        <v>60</v>
      </c>
      <c r="C455" s="16">
        <f t="shared" si="60"/>
        <v>300</v>
      </c>
      <c r="D455" s="1922">
        <v>0</v>
      </c>
      <c r="E455" s="1922">
        <v>0</v>
      </c>
      <c r="F455" s="1922">
        <v>0</v>
      </c>
      <c r="G455" s="1922">
        <v>1</v>
      </c>
      <c r="H455" s="1922">
        <v>1</v>
      </c>
      <c r="I455" s="1922">
        <v>1</v>
      </c>
      <c r="J455" s="1923">
        <f t="shared" si="61"/>
        <v>3</v>
      </c>
      <c r="K455" s="1923">
        <f t="shared" si="62"/>
        <v>2</v>
      </c>
      <c r="L455" s="1922">
        <f t="shared" si="63"/>
        <v>120</v>
      </c>
      <c r="M455" s="30" t="s">
        <v>2904</v>
      </c>
      <c r="N455" s="30" t="s">
        <v>2903</v>
      </c>
    </row>
    <row r="456" spans="1:15" x14ac:dyDescent="0.4">
      <c r="A456" s="16">
        <v>182077</v>
      </c>
      <c r="B456" s="1922">
        <v>60</v>
      </c>
      <c r="C456" s="16">
        <f t="shared" si="60"/>
        <v>300</v>
      </c>
      <c r="D456" s="1922">
        <v>1</v>
      </c>
      <c r="E456" s="1922">
        <v>1</v>
      </c>
      <c r="F456" s="1922">
        <v>1</v>
      </c>
      <c r="G456" s="1922">
        <v>1</v>
      </c>
      <c r="H456" s="1922">
        <v>1</v>
      </c>
      <c r="I456" s="1922">
        <v>1</v>
      </c>
      <c r="J456" s="1923">
        <f t="shared" si="61"/>
        <v>6</v>
      </c>
      <c r="K456" s="1923">
        <f t="shared" si="62"/>
        <v>5</v>
      </c>
      <c r="L456" s="1922">
        <f t="shared" si="63"/>
        <v>300</v>
      </c>
      <c r="M456" s="30" t="s">
        <v>2902</v>
      </c>
      <c r="N456" s="30" t="s">
        <v>2903</v>
      </c>
    </row>
    <row r="457" spans="1:15" x14ac:dyDescent="0.4">
      <c r="A457" s="16">
        <v>182078</v>
      </c>
      <c r="B457" s="1922">
        <v>60</v>
      </c>
      <c r="C457" s="16">
        <f t="shared" si="60"/>
        <v>300</v>
      </c>
      <c r="D457" s="1922">
        <v>0</v>
      </c>
      <c r="E457" s="1922">
        <v>1</v>
      </c>
      <c r="F457" s="1922">
        <v>1</v>
      </c>
      <c r="G457" s="1922">
        <v>1</v>
      </c>
      <c r="H457" s="1922">
        <v>1</v>
      </c>
      <c r="I457" s="1922">
        <v>1</v>
      </c>
      <c r="J457" s="1923">
        <f t="shared" si="61"/>
        <v>5</v>
      </c>
      <c r="K457" s="1923">
        <f t="shared" si="62"/>
        <v>4</v>
      </c>
      <c r="L457" s="1922">
        <f t="shared" si="63"/>
        <v>240</v>
      </c>
      <c r="M457" s="30" t="s">
        <v>2902</v>
      </c>
      <c r="N457" s="30" t="s">
        <v>2903</v>
      </c>
    </row>
    <row r="458" spans="1:15" x14ac:dyDescent="0.4">
      <c r="A458" s="16">
        <v>182079</v>
      </c>
      <c r="B458" s="1922">
        <v>60</v>
      </c>
      <c r="C458" s="16">
        <f t="shared" si="60"/>
        <v>300</v>
      </c>
      <c r="D458" s="1922">
        <v>0</v>
      </c>
      <c r="E458" s="1922">
        <v>0</v>
      </c>
      <c r="F458" s="1922">
        <v>0</v>
      </c>
      <c r="G458" s="1922">
        <v>0</v>
      </c>
      <c r="H458" s="1922">
        <v>0</v>
      </c>
      <c r="I458" s="1922">
        <v>0</v>
      </c>
      <c r="J458" s="1923">
        <f t="shared" si="61"/>
        <v>0</v>
      </c>
      <c r="K458" s="1923">
        <f t="shared" si="62"/>
        <v>0</v>
      </c>
      <c r="L458" s="1922">
        <f t="shared" si="63"/>
        <v>0</v>
      </c>
      <c r="M458" s="30" t="s">
        <v>2906</v>
      </c>
      <c r="N458" s="30" t="s">
        <v>2907</v>
      </c>
    </row>
    <row r="459" spans="1:15" x14ac:dyDescent="0.4">
      <c r="A459" s="16">
        <v>182080</v>
      </c>
      <c r="B459" s="1922">
        <v>60</v>
      </c>
      <c r="C459" s="16">
        <f t="shared" si="60"/>
        <v>300</v>
      </c>
      <c r="D459" s="1922">
        <v>0</v>
      </c>
      <c r="E459" s="1922">
        <v>0</v>
      </c>
      <c r="F459" s="1922">
        <v>0</v>
      </c>
      <c r="G459" s="1922">
        <v>0</v>
      </c>
      <c r="H459" s="1922">
        <v>0</v>
      </c>
      <c r="I459" s="1922">
        <v>0</v>
      </c>
      <c r="J459" s="1923">
        <f t="shared" si="61"/>
        <v>0</v>
      </c>
      <c r="K459" s="1923">
        <f t="shared" si="62"/>
        <v>0</v>
      </c>
      <c r="L459" s="1922">
        <f t="shared" si="63"/>
        <v>0</v>
      </c>
      <c r="M459" s="30" t="s">
        <v>2906</v>
      </c>
      <c r="N459" s="30" t="s">
        <v>2907</v>
      </c>
    </row>
    <row r="460" spans="1:15" x14ac:dyDescent="0.4">
      <c r="A460" s="16">
        <v>182081</v>
      </c>
      <c r="B460" s="1922">
        <v>45</v>
      </c>
      <c r="C460" s="16">
        <f t="shared" si="60"/>
        <v>225</v>
      </c>
      <c r="D460" s="1922">
        <v>0</v>
      </c>
      <c r="E460" s="1922">
        <v>0</v>
      </c>
      <c r="F460" s="1922">
        <v>1</v>
      </c>
      <c r="G460" s="1922">
        <v>1</v>
      </c>
      <c r="H460" s="1922">
        <v>1</v>
      </c>
      <c r="I460" s="1922">
        <v>1</v>
      </c>
      <c r="J460" s="1923">
        <f t="shared" si="61"/>
        <v>4</v>
      </c>
      <c r="K460" s="1923">
        <f t="shared" si="62"/>
        <v>3</v>
      </c>
      <c r="L460" s="1922">
        <f t="shared" si="63"/>
        <v>135</v>
      </c>
      <c r="M460" s="30" t="s">
        <v>2906</v>
      </c>
      <c r="N460" s="30" t="s">
        <v>2907</v>
      </c>
      <c r="O460" t="s">
        <v>3380</v>
      </c>
    </row>
    <row r="461" spans="1:15" x14ac:dyDescent="0.4">
      <c r="A461" s="16">
        <v>182082</v>
      </c>
      <c r="B461" s="1922">
        <v>90</v>
      </c>
      <c r="C461" s="16">
        <f t="shared" si="60"/>
        <v>450</v>
      </c>
      <c r="D461" s="1922">
        <v>0</v>
      </c>
      <c r="E461" s="1922">
        <v>0</v>
      </c>
      <c r="F461" s="1922">
        <v>0</v>
      </c>
      <c r="G461" s="1922">
        <v>0</v>
      </c>
      <c r="H461" s="1922">
        <v>0</v>
      </c>
      <c r="I461" s="1922">
        <v>0</v>
      </c>
      <c r="J461" s="1923">
        <f t="shared" si="61"/>
        <v>0</v>
      </c>
      <c r="K461" s="1923">
        <f t="shared" si="62"/>
        <v>0</v>
      </c>
      <c r="L461" s="1922">
        <f t="shared" si="63"/>
        <v>0</v>
      </c>
      <c r="M461" s="30" t="s">
        <v>2908</v>
      </c>
      <c r="N461" s="30" t="s">
        <v>2909</v>
      </c>
    </row>
    <row r="462" spans="1:15" x14ac:dyDescent="0.4">
      <c r="A462" s="16">
        <v>182083</v>
      </c>
      <c r="B462" s="1922">
        <v>45</v>
      </c>
      <c r="C462" s="16">
        <f t="shared" si="60"/>
        <v>225</v>
      </c>
      <c r="D462" s="1922">
        <v>0</v>
      </c>
      <c r="E462" s="1922">
        <v>0</v>
      </c>
      <c r="F462" s="1922">
        <v>0</v>
      </c>
      <c r="G462" s="1922">
        <v>0</v>
      </c>
      <c r="H462" s="1922">
        <v>0</v>
      </c>
      <c r="I462" s="1922">
        <v>0</v>
      </c>
      <c r="J462" s="1923">
        <f t="shared" si="61"/>
        <v>0</v>
      </c>
      <c r="K462" s="1923">
        <f t="shared" si="62"/>
        <v>0</v>
      </c>
      <c r="L462" s="1922">
        <f t="shared" si="63"/>
        <v>0</v>
      </c>
      <c r="M462" s="30" t="s">
        <v>2910</v>
      </c>
      <c r="N462" s="30" t="s">
        <v>2911</v>
      </c>
    </row>
    <row r="463" spans="1:15" x14ac:dyDescent="0.4">
      <c r="A463" s="16">
        <v>182084</v>
      </c>
      <c r="B463" s="1922">
        <v>60</v>
      </c>
      <c r="C463" s="16">
        <f t="shared" si="60"/>
        <v>300</v>
      </c>
      <c r="D463" s="1922">
        <v>0</v>
      </c>
      <c r="E463" s="1922">
        <v>0</v>
      </c>
      <c r="F463" s="1922">
        <v>0</v>
      </c>
      <c r="G463" s="1922">
        <v>1</v>
      </c>
      <c r="H463" s="1922">
        <v>1</v>
      </c>
      <c r="I463" s="1922">
        <v>1</v>
      </c>
      <c r="J463" s="1923">
        <f t="shared" si="61"/>
        <v>3</v>
      </c>
      <c r="K463" s="1923">
        <f t="shared" si="62"/>
        <v>2</v>
      </c>
      <c r="L463" s="1922">
        <f t="shared" si="63"/>
        <v>120</v>
      </c>
      <c r="M463" s="30" t="s">
        <v>2910</v>
      </c>
      <c r="N463" s="30" t="s">
        <v>2911</v>
      </c>
    </row>
    <row r="464" spans="1:15" x14ac:dyDescent="0.4">
      <c r="A464" s="16">
        <v>182085</v>
      </c>
      <c r="B464" s="1922">
        <v>55</v>
      </c>
      <c r="C464" s="16">
        <f t="shared" si="60"/>
        <v>275</v>
      </c>
      <c r="D464" s="1922">
        <v>1</v>
      </c>
      <c r="E464" s="1922">
        <v>1</v>
      </c>
      <c r="F464" s="1922">
        <v>1</v>
      </c>
      <c r="G464" s="1922">
        <v>1</v>
      </c>
      <c r="H464" s="1922">
        <v>1</v>
      </c>
      <c r="I464" s="1922">
        <v>1</v>
      </c>
      <c r="J464" s="1923">
        <f t="shared" si="61"/>
        <v>6</v>
      </c>
      <c r="K464" s="1923">
        <f t="shared" si="62"/>
        <v>5</v>
      </c>
      <c r="L464" s="1922">
        <f t="shared" si="63"/>
        <v>275</v>
      </c>
      <c r="M464" s="30" t="s">
        <v>2910</v>
      </c>
      <c r="N464" s="30" t="s">
        <v>2911</v>
      </c>
    </row>
    <row r="465" spans="1:17" x14ac:dyDescent="0.4">
      <c r="A465" s="16">
        <v>182086</v>
      </c>
      <c r="B465" s="1922">
        <v>45</v>
      </c>
      <c r="C465" s="16">
        <f t="shared" si="60"/>
        <v>225</v>
      </c>
      <c r="D465" s="1922">
        <v>0</v>
      </c>
      <c r="E465" s="1922">
        <v>0</v>
      </c>
      <c r="F465" s="1922">
        <v>0</v>
      </c>
      <c r="G465" s="1922">
        <v>0</v>
      </c>
      <c r="H465" s="1922">
        <v>0</v>
      </c>
      <c r="I465" s="1922">
        <v>0</v>
      </c>
      <c r="J465" s="1923">
        <f t="shared" si="61"/>
        <v>0</v>
      </c>
      <c r="K465" s="1923">
        <f t="shared" si="62"/>
        <v>0</v>
      </c>
      <c r="L465" s="1922">
        <f t="shared" si="63"/>
        <v>0</v>
      </c>
      <c r="M465" s="30" t="s">
        <v>2910</v>
      </c>
      <c r="N465" s="30" t="s">
        <v>2911</v>
      </c>
    </row>
    <row r="466" spans="1:17" x14ac:dyDescent="0.4">
      <c r="A466" s="16">
        <v>182087</v>
      </c>
      <c r="B466" s="1922">
        <v>45</v>
      </c>
      <c r="C466" s="16">
        <f t="shared" si="60"/>
        <v>225</v>
      </c>
      <c r="D466" s="1922">
        <v>0</v>
      </c>
      <c r="E466" s="1922">
        <v>0</v>
      </c>
      <c r="F466" s="1922">
        <v>0</v>
      </c>
      <c r="G466" s="1922">
        <v>0</v>
      </c>
      <c r="H466" s="1922">
        <v>0</v>
      </c>
      <c r="I466" s="1922">
        <v>1</v>
      </c>
      <c r="J466" s="1923">
        <f t="shared" si="61"/>
        <v>1</v>
      </c>
      <c r="K466" s="1923">
        <f t="shared" si="62"/>
        <v>0</v>
      </c>
      <c r="L466" s="1922">
        <f t="shared" si="63"/>
        <v>0</v>
      </c>
      <c r="M466" s="30" t="s">
        <v>2910</v>
      </c>
      <c r="N466" s="30" t="s">
        <v>2911</v>
      </c>
    </row>
    <row r="467" spans="1:17" x14ac:dyDescent="0.4">
      <c r="A467" s="16">
        <v>182088</v>
      </c>
      <c r="B467" s="1922">
        <v>45</v>
      </c>
      <c r="C467" s="16">
        <f t="shared" si="60"/>
        <v>225</v>
      </c>
      <c r="D467" s="1922">
        <v>0</v>
      </c>
      <c r="E467" s="1922">
        <v>0</v>
      </c>
      <c r="F467" s="1922">
        <v>0</v>
      </c>
      <c r="G467" s="1922">
        <v>0</v>
      </c>
      <c r="H467" s="1922">
        <v>0</v>
      </c>
      <c r="I467" s="1922">
        <v>0</v>
      </c>
      <c r="J467" s="1923">
        <f t="shared" si="61"/>
        <v>0</v>
      </c>
      <c r="K467" s="1923">
        <f t="shared" si="62"/>
        <v>0</v>
      </c>
      <c r="L467" s="1922">
        <f t="shared" si="63"/>
        <v>0</v>
      </c>
      <c r="M467" s="30" t="s">
        <v>2910</v>
      </c>
      <c r="N467" s="30" t="s">
        <v>2911</v>
      </c>
      <c r="O467" s="16" t="s">
        <v>3213</v>
      </c>
      <c r="P467" s="16"/>
    </row>
    <row r="468" spans="1:17" x14ac:dyDescent="0.4">
      <c r="A468" s="16">
        <v>182089</v>
      </c>
      <c r="B468" s="1922">
        <v>60</v>
      </c>
      <c r="C468" s="16">
        <f t="shared" si="60"/>
        <v>300</v>
      </c>
      <c r="D468" s="1922">
        <v>0</v>
      </c>
      <c r="E468" s="1922">
        <v>0</v>
      </c>
      <c r="F468" s="1922">
        <v>0</v>
      </c>
      <c r="G468" s="1922">
        <v>0</v>
      </c>
      <c r="H468" s="1922">
        <v>0</v>
      </c>
      <c r="I468" s="1922">
        <v>0</v>
      </c>
      <c r="J468" s="1923">
        <f t="shared" si="61"/>
        <v>0</v>
      </c>
      <c r="K468" s="1923">
        <f t="shared" si="62"/>
        <v>0</v>
      </c>
      <c r="L468" s="1922">
        <f t="shared" si="63"/>
        <v>0</v>
      </c>
      <c r="M468" s="30" t="s">
        <v>2912</v>
      </c>
      <c r="N468" s="30" t="s">
        <v>2913</v>
      </c>
    </row>
    <row r="469" spans="1:17" x14ac:dyDescent="0.4">
      <c r="A469" s="16">
        <v>182090</v>
      </c>
      <c r="B469" s="1922">
        <v>45</v>
      </c>
      <c r="C469" s="16">
        <f t="shared" si="60"/>
        <v>225</v>
      </c>
      <c r="D469" s="1922">
        <v>0</v>
      </c>
      <c r="E469" s="1922">
        <v>0</v>
      </c>
      <c r="F469" s="1922">
        <v>0</v>
      </c>
      <c r="G469" s="1922">
        <v>0</v>
      </c>
      <c r="H469" s="1922">
        <v>0</v>
      </c>
      <c r="I469" s="1922">
        <v>0</v>
      </c>
      <c r="J469" s="1923">
        <f t="shared" si="61"/>
        <v>0</v>
      </c>
      <c r="K469" s="1923">
        <f t="shared" si="62"/>
        <v>0</v>
      </c>
      <c r="L469" s="1922">
        <f t="shared" si="63"/>
        <v>0</v>
      </c>
      <c r="M469" s="30" t="s">
        <v>2912</v>
      </c>
      <c r="N469" s="30" t="s">
        <v>2913</v>
      </c>
    </row>
    <row r="470" spans="1:17" x14ac:dyDescent="0.4">
      <c r="A470" s="16">
        <v>182091</v>
      </c>
      <c r="B470" s="1922">
        <v>45</v>
      </c>
      <c r="C470" s="16">
        <f t="shared" si="60"/>
        <v>225</v>
      </c>
      <c r="D470" s="1922">
        <v>0</v>
      </c>
      <c r="E470" s="1922">
        <v>0</v>
      </c>
      <c r="F470" s="1922">
        <v>0</v>
      </c>
      <c r="G470" s="1922">
        <v>0</v>
      </c>
      <c r="H470" s="1922">
        <v>0</v>
      </c>
      <c r="I470" s="1922">
        <v>0</v>
      </c>
      <c r="J470" s="1923">
        <f t="shared" si="61"/>
        <v>0</v>
      </c>
      <c r="K470" s="1923">
        <f t="shared" si="62"/>
        <v>0</v>
      </c>
      <c r="L470" s="1922">
        <f t="shared" si="63"/>
        <v>0</v>
      </c>
      <c r="M470" s="30" t="s">
        <v>2912</v>
      </c>
      <c r="N470" s="30" t="s">
        <v>2913</v>
      </c>
      <c r="O470" t="s">
        <v>3215</v>
      </c>
    </row>
    <row r="471" spans="1:17" x14ac:dyDescent="0.4">
      <c r="A471" s="16">
        <v>182092</v>
      </c>
      <c r="B471" s="1922">
        <v>45</v>
      </c>
      <c r="C471" s="16">
        <f t="shared" si="60"/>
        <v>225</v>
      </c>
      <c r="D471" s="1922">
        <v>0</v>
      </c>
      <c r="E471" s="1922">
        <v>0</v>
      </c>
      <c r="F471" s="1922">
        <v>0</v>
      </c>
      <c r="G471" s="1922">
        <v>0</v>
      </c>
      <c r="H471" s="1922">
        <v>0</v>
      </c>
      <c r="I471" s="1922">
        <v>0</v>
      </c>
      <c r="J471" s="1923">
        <f t="shared" si="61"/>
        <v>0</v>
      </c>
      <c r="K471" s="1923">
        <f t="shared" si="62"/>
        <v>0</v>
      </c>
      <c r="L471" s="1922">
        <f t="shared" si="63"/>
        <v>0</v>
      </c>
      <c r="M471" s="30" t="s">
        <v>2912</v>
      </c>
      <c r="N471" s="30" t="s">
        <v>2913</v>
      </c>
    </row>
    <row r="472" spans="1:17" x14ac:dyDescent="0.4">
      <c r="A472" s="16">
        <v>182093</v>
      </c>
      <c r="B472" s="1922">
        <v>45</v>
      </c>
      <c r="C472" s="16">
        <f t="shared" si="60"/>
        <v>225</v>
      </c>
      <c r="D472" s="1922">
        <v>0</v>
      </c>
      <c r="E472" s="1922">
        <v>0</v>
      </c>
      <c r="F472" s="1922">
        <v>0</v>
      </c>
      <c r="G472" s="1922">
        <v>0</v>
      </c>
      <c r="H472" s="1922">
        <v>0</v>
      </c>
      <c r="I472" s="1922">
        <v>0</v>
      </c>
      <c r="J472" s="1923">
        <f t="shared" si="61"/>
        <v>0</v>
      </c>
      <c r="K472" s="1923">
        <f t="shared" si="62"/>
        <v>0</v>
      </c>
      <c r="L472" s="1922">
        <f t="shared" si="63"/>
        <v>0</v>
      </c>
      <c r="M472" s="30" t="s">
        <v>2912</v>
      </c>
      <c r="N472" s="30" t="s">
        <v>2913</v>
      </c>
    </row>
    <row r="473" spans="1:17" x14ac:dyDescent="0.4">
      <c r="A473" s="16">
        <v>182094</v>
      </c>
      <c r="B473" s="1922">
        <v>45</v>
      </c>
      <c r="C473" s="16">
        <f>SUM(B473*1)</f>
        <v>45</v>
      </c>
      <c r="D473" s="1922">
        <v>0</v>
      </c>
      <c r="E473" s="1922"/>
      <c r="F473" s="1922"/>
      <c r="G473" s="1922"/>
      <c r="H473" s="1922"/>
      <c r="I473" s="1922"/>
      <c r="J473" s="1923">
        <f t="shared" si="61"/>
        <v>0</v>
      </c>
      <c r="K473" s="1923">
        <f t="shared" si="62"/>
        <v>0</v>
      </c>
      <c r="L473" s="1922">
        <f t="shared" si="63"/>
        <v>0</v>
      </c>
      <c r="M473" s="30" t="s">
        <v>2912</v>
      </c>
      <c r="N473" s="30" t="s">
        <v>2913</v>
      </c>
    </row>
    <row r="474" spans="1:17" x14ac:dyDescent="0.4">
      <c r="A474" s="16">
        <v>182095</v>
      </c>
      <c r="B474" s="1922">
        <v>60</v>
      </c>
      <c r="C474" s="16">
        <f t="shared" si="60"/>
        <v>300</v>
      </c>
      <c r="D474" s="1922">
        <v>0</v>
      </c>
      <c r="E474" s="1922">
        <v>0</v>
      </c>
      <c r="F474" s="1922">
        <v>0</v>
      </c>
      <c r="G474" s="1922">
        <v>0</v>
      </c>
      <c r="H474" s="1922">
        <v>0</v>
      </c>
      <c r="I474" s="1922">
        <v>1</v>
      </c>
      <c r="J474" s="1923">
        <f t="shared" si="61"/>
        <v>1</v>
      </c>
      <c r="K474" s="1923">
        <f t="shared" si="62"/>
        <v>0</v>
      </c>
      <c r="L474" s="1922">
        <f t="shared" si="63"/>
        <v>0</v>
      </c>
      <c r="M474" s="30" t="s">
        <v>2912</v>
      </c>
      <c r="N474" s="30" t="s">
        <v>2913</v>
      </c>
    </row>
    <row r="475" spans="1:17" x14ac:dyDescent="0.4">
      <c r="A475" s="16">
        <v>182096</v>
      </c>
      <c r="B475" s="1922">
        <v>60</v>
      </c>
      <c r="C475" s="16">
        <f t="shared" si="60"/>
        <v>300</v>
      </c>
      <c r="D475" s="1922">
        <v>0</v>
      </c>
      <c r="E475" s="1922">
        <v>0</v>
      </c>
      <c r="F475" s="1922">
        <v>0</v>
      </c>
      <c r="G475" s="1922">
        <v>0</v>
      </c>
      <c r="H475" s="1922">
        <v>0</v>
      </c>
      <c r="I475" s="1922">
        <v>0</v>
      </c>
      <c r="J475" s="1923">
        <f t="shared" si="61"/>
        <v>0</v>
      </c>
      <c r="K475" s="1923">
        <f t="shared" si="62"/>
        <v>0</v>
      </c>
      <c r="L475" s="1922">
        <f t="shared" si="63"/>
        <v>0</v>
      </c>
      <c r="M475" s="30" t="s">
        <v>2914</v>
      </c>
      <c r="N475" s="30" t="s">
        <v>2915</v>
      </c>
    </row>
    <row r="476" spans="1:17" x14ac:dyDescent="0.4">
      <c r="A476" s="16">
        <v>182097</v>
      </c>
      <c r="B476" s="1922">
        <v>60</v>
      </c>
      <c r="C476" s="16">
        <f t="shared" si="60"/>
        <v>300</v>
      </c>
      <c r="D476" s="1922">
        <v>0</v>
      </c>
      <c r="E476" s="1922">
        <v>0</v>
      </c>
      <c r="F476" s="1922">
        <v>0</v>
      </c>
      <c r="G476" s="1922">
        <v>0</v>
      </c>
      <c r="H476" s="1922">
        <v>0</v>
      </c>
      <c r="I476" s="1922">
        <v>0</v>
      </c>
      <c r="J476" s="1923">
        <f t="shared" si="61"/>
        <v>0</v>
      </c>
      <c r="K476" s="1923">
        <f t="shared" si="62"/>
        <v>0</v>
      </c>
      <c r="L476" s="1922">
        <f t="shared" si="63"/>
        <v>0</v>
      </c>
      <c r="M476" s="30" t="s">
        <v>2914</v>
      </c>
      <c r="N476" s="30" t="s">
        <v>2915</v>
      </c>
    </row>
    <row r="477" spans="1:17" x14ac:dyDescent="0.4">
      <c r="A477" s="16">
        <v>182098</v>
      </c>
      <c r="B477" s="1922">
        <v>45</v>
      </c>
      <c r="C477" s="16">
        <f t="shared" si="60"/>
        <v>225</v>
      </c>
      <c r="D477" s="1922">
        <v>0</v>
      </c>
      <c r="E477" s="1922">
        <v>0</v>
      </c>
      <c r="F477" s="1922">
        <v>0</v>
      </c>
      <c r="G477" s="1922">
        <v>0</v>
      </c>
      <c r="H477" s="1922">
        <v>0</v>
      </c>
      <c r="I477" s="1922">
        <v>0</v>
      </c>
      <c r="J477" s="1923">
        <f t="shared" si="61"/>
        <v>0</v>
      </c>
      <c r="K477" s="1923">
        <f t="shared" si="62"/>
        <v>0</v>
      </c>
      <c r="L477" s="1922">
        <f t="shared" si="63"/>
        <v>0</v>
      </c>
      <c r="M477" s="30" t="s">
        <v>2914</v>
      </c>
      <c r="N477" s="30" t="s">
        <v>2915</v>
      </c>
    </row>
    <row r="478" spans="1:17" x14ac:dyDescent="0.4">
      <c r="A478" s="16">
        <v>182099</v>
      </c>
      <c r="B478" s="1922">
        <v>45</v>
      </c>
      <c r="C478" s="16">
        <f t="shared" si="60"/>
        <v>225</v>
      </c>
      <c r="D478" s="1922">
        <v>0</v>
      </c>
      <c r="E478" s="1922">
        <v>0</v>
      </c>
      <c r="F478" s="1922">
        <v>0</v>
      </c>
      <c r="G478" s="1922">
        <v>0</v>
      </c>
      <c r="H478" s="1922">
        <v>0</v>
      </c>
      <c r="I478" s="1922">
        <v>0</v>
      </c>
      <c r="J478" s="1923">
        <f t="shared" si="61"/>
        <v>0</v>
      </c>
      <c r="K478" s="1923">
        <f t="shared" si="62"/>
        <v>0</v>
      </c>
      <c r="L478" s="1922">
        <f t="shared" si="63"/>
        <v>0</v>
      </c>
      <c r="M478" s="30" t="s">
        <v>2916</v>
      </c>
      <c r="N478" s="30" t="s">
        <v>2917</v>
      </c>
      <c r="Q478" t="s">
        <v>3175</v>
      </c>
    </row>
    <row r="479" spans="1:17" x14ac:dyDescent="0.4">
      <c r="A479" s="16">
        <v>182100</v>
      </c>
      <c r="B479" s="1922">
        <v>45</v>
      </c>
      <c r="C479" s="16">
        <f t="shared" ref="C479:C485" si="64">SUM(B479*5)</f>
        <v>225</v>
      </c>
      <c r="D479" s="1922">
        <v>0</v>
      </c>
      <c r="E479" s="1922">
        <v>0</v>
      </c>
      <c r="F479" s="1922">
        <v>0</v>
      </c>
      <c r="G479" s="1922">
        <v>0</v>
      </c>
      <c r="H479" s="1922">
        <v>0</v>
      </c>
      <c r="I479" s="1922">
        <v>1</v>
      </c>
      <c r="J479" s="1923">
        <f t="shared" ref="J479:J485" si="65">SUM(D479:I479)</f>
        <v>1</v>
      </c>
      <c r="K479" s="1923">
        <f t="shared" ref="K479:K485" si="66">SUM(D479:H479)</f>
        <v>0</v>
      </c>
      <c r="L479" s="1922">
        <f t="shared" ref="L479:L485" si="67">B479*K479</f>
        <v>0</v>
      </c>
      <c r="M479" s="30" t="s">
        <v>2918</v>
      </c>
      <c r="N479" s="30" t="s">
        <v>2919</v>
      </c>
    </row>
    <row r="480" spans="1:17" x14ac:dyDescent="0.4">
      <c r="A480" s="16">
        <v>182101</v>
      </c>
      <c r="B480" s="1293">
        <v>60</v>
      </c>
      <c r="C480" s="16">
        <f t="shared" si="64"/>
        <v>300</v>
      </c>
      <c r="D480" s="1293">
        <v>0</v>
      </c>
      <c r="E480" s="1293">
        <v>0</v>
      </c>
      <c r="F480" s="1293">
        <v>0</v>
      </c>
      <c r="G480" s="1293">
        <v>0</v>
      </c>
      <c r="H480" s="1293">
        <v>0</v>
      </c>
      <c r="I480" s="1293">
        <v>0</v>
      </c>
      <c r="J480" s="1294">
        <f t="shared" si="65"/>
        <v>0</v>
      </c>
      <c r="K480" s="1294">
        <f t="shared" si="66"/>
        <v>0</v>
      </c>
      <c r="L480" s="1293">
        <f t="shared" si="67"/>
        <v>0</v>
      </c>
      <c r="M480" s="30" t="s">
        <v>2918</v>
      </c>
      <c r="N480" s="30" t="s">
        <v>2919</v>
      </c>
    </row>
    <row r="481" spans="1:14" x14ac:dyDescent="0.4">
      <c r="A481" s="16">
        <v>182102</v>
      </c>
      <c r="B481" s="1231">
        <v>45</v>
      </c>
      <c r="C481" s="16">
        <f t="shared" si="64"/>
        <v>225</v>
      </c>
      <c r="D481" s="1231">
        <v>0</v>
      </c>
      <c r="E481" s="1231">
        <v>0</v>
      </c>
      <c r="F481" s="1231">
        <v>0</v>
      </c>
      <c r="G481" s="1231">
        <v>0</v>
      </c>
      <c r="H481" s="1231">
        <v>0</v>
      </c>
      <c r="I481" s="1231">
        <v>0</v>
      </c>
      <c r="J481" s="1232">
        <f t="shared" si="65"/>
        <v>0</v>
      </c>
      <c r="K481" s="1232">
        <f t="shared" si="66"/>
        <v>0</v>
      </c>
      <c r="L481" s="1231">
        <f t="shared" si="67"/>
        <v>0</v>
      </c>
      <c r="M481" s="30" t="s">
        <v>2920</v>
      </c>
      <c r="N481" s="30" t="s">
        <v>2921</v>
      </c>
    </row>
    <row r="482" spans="1:14" x14ac:dyDescent="0.4">
      <c r="A482" s="2">
        <v>182103</v>
      </c>
      <c r="B482" s="1925">
        <v>45</v>
      </c>
      <c r="C482" s="2">
        <f t="shared" si="64"/>
        <v>225</v>
      </c>
      <c r="D482" s="1925">
        <v>0</v>
      </c>
      <c r="E482" s="1925">
        <v>0</v>
      </c>
      <c r="F482" s="1925">
        <v>0</v>
      </c>
      <c r="G482" s="1925">
        <v>0</v>
      </c>
      <c r="H482" s="1925">
        <v>0</v>
      </c>
      <c r="I482" s="1925">
        <v>1</v>
      </c>
      <c r="J482" s="1924">
        <f t="shared" si="65"/>
        <v>1</v>
      </c>
      <c r="K482" s="1924">
        <f t="shared" si="66"/>
        <v>0</v>
      </c>
      <c r="L482" s="1925">
        <f t="shared" si="67"/>
        <v>0</v>
      </c>
      <c r="M482" s="955" t="s">
        <v>2920</v>
      </c>
      <c r="N482" s="955" t="s">
        <v>2921</v>
      </c>
    </row>
    <row r="483" spans="1:14" x14ac:dyDescent="0.4">
      <c r="A483" s="16">
        <v>182104</v>
      </c>
      <c r="B483" s="1926">
        <v>120</v>
      </c>
      <c r="C483" s="16">
        <f t="shared" si="64"/>
        <v>600</v>
      </c>
      <c r="D483" s="1926">
        <v>0</v>
      </c>
      <c r="E483" s="1926">
        <v>0</v>
      </c>
      <c r="F483" s="1926">
        <v>0</v>
      </c>
      <c r="G483" s="1926">
        <v>0</v>
      </c>
      <c r="H483" s="1926">
        <v>0</v>
      </c>
      <c r="I483" s="1926">
        <v>0</v>
      </c>
      <c r="J483" s="1927">
        <f t="shared" si="65"/>
        <v>0</v>
      </c>
      <c r="K483" s="1927">
        <f t="shared" si="66"/>
        <v>0</v>
      </c>
      <c r="L483" s="1926">
        <f t="shared" si="67"/>
        <v>0</v>
      </c>
      <c r="M483" s="30" t="s">
        <v>2920</v>
      </c>
      <c r="N483" s="30" t="s">
        <v>2921</v>
      </c>
    </row>
    <row r="484" spans="1:14" x14ac:dyDescent="0.4">
      <c r="A484" s="36">
        <v>182105</v>
      </c>
      <c r="B484" s="1017">
        <v>45</v>
      </c>
      <c r="C484" s="36">
        <f t="shared" si="64"/>
        <v>225</v>
      </c>
      <c r="D484" s="1011">
        <v>0</v>
      </c>
      <c r="E484" s="1011">
        <v>0</v>
      </c>
      <c r="F484" s="1011">
        <v>0</v>
      </c>
      <c r="G484" s="1011">
        <v>0</v>
      </c>
      <c r="H484" s="1011">
        <v>1</v>
      </c>
      <c r="I484" s="1011">
        <v>1</v>
      </c>
      <c r="J484" s="1012">
        <f t="shared" si="65"/>
        <v>2</v>
      </c>
      <c r="K484" s="1012">
        <f t="shared" si="66"/>
        <v>1</v>
      </c>
      <c r="L484" s="1011">
        <f t="shared" si="67"/>
        <v>45</v>
      </c>
      <c r="M484" s="955" t="s">
        <v>2922</v>
      </c>
      <c r="N484" s="955" t="s">
        <v>2923</v>
      </c>
    </row>
    <row r="485" spans="1:14" x14ac:dyDescent="0.4">
      <c r="A485" s="36">
        <v>182106</v>
      </c>
      <c r="B485" s="1018">
        <v>60</v>
      </c>
      <c r="C485" s="36">
        <f t="shared" si="64"/>
        <v>300</v>
      </c>
      <c r="D485" s="1011">
        <v>0</v>
      </c>
      <c r="E485" s="1011">
        <v>0</v>
      </c>
      <c r="F485" s="1011">
        <v>0</v>
      </c>
      <c r="G485" s="1011">
        <v>0</v>
      </c>
      <c r="H485" s="1011">
        <v>0</v>
      </c>
      <c r="I485" s="1011">
        <v>0</v>
      </c>
      <c r="J485" s="1012">
        <f t="shared" si="65"/>
        <v>0</v>
      </c>
      <c r="K485" s="1012">
        <f t="shared" si="66"/>
        <v>0</v>
      </c>
      <c r="L485" s="1011">
        <f t="shared" si="67"/>
        <v>0</v>
      </c>
      <c r="M485" s="955" t="s">
        <v>2922</v>
      </c>
      <c r="N485" s="955" t="s">
        <v>2923</v>
      </c>
    </row>
  </sheetData>
  <mergeCells count="28">
    <mergeCell ref="D5:I5"/>
    <mergeCell ref="L16:L17"/>
    <mergeCell ref="M16:M17"/>
    <mergeCell ref="N16:N17"/>
    <mergeCell ref="A4:A5"/>
    <mergeCell ref="D4:I4"/>
    <mergeCell ref="M4:M5"/>
    <mergeCell ref="N4:N5"/>
    <mergeCell ref="A16:A17"/>
    <mergeCell ref="B16:B17"/>
    <mergeCell ref="C16:C17"/>
    <mergeCell ref="J16:J17"/>
    <mergeCell ref="K16:K17"/>
    <mergeCell ref="R183:R186"/>
    <mergeCell ref="S183:S186"/>
    <mergeCell ref="T183:T186"/>
    <mergeCell ref="U183:V186"/>
    <mergeCell ref="P4:P5"/>
    <mergeCell ref="Q4:Q5"/>
    <mergeCell ref="O399:P400"/>
    <mergeCell ref="M284:M285"/>
    <mergeCell ref="N284:N285"/>
    <mergeCell ref="A284:A285"/>
    <mergeCell ref="B284:B285"/>
    <mergeCell ref="C284:C285"/>
    <mergeCell ref="J284:J285"/>
    <mergeCell ref="K284:K285"/>
    <mergeCell ref="L284:L285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622"/>
  <sheetViews>
    <sheetView tabSelected="1" topLeftCell="A586" zoomScaleNormal="100" workbookViewId="0">
      <selection activeCell="AB592" sqref="AB592"/>
    </sheetView>
  </sheetViews>
  <sheetFormatPr defaultRowHeight="17.399999999999999" x14ac:dyDescent="0.4"/>
  <cols>
    <col min="1" max="1" width="10.8984375" customWidth="1"/>
    <col min="4" max="11" width="5.59765625" customWidth="1"/>
    <col min="13" max="13" width="13.19921875" customWidth="1"/>
    <col min="14" max="14" width="12.09765625" customWidth="1"/>
  </cols>
  <sheetData>
    <row r="1" spans="1:17" x14ac:dyDescent="0.4">
      <c r="A1" s="5"/>
      <c r="B1" s="1021"/>
      <c r="C1" s="1021" t="s">
        <v>171</v>
      </c>
      <c r="D1" s="1021"/>
      <c r="E1" s="1021"/>
      <c r="F1" s="1021"/>
      <c r="G1" s="1021"/>
      <c r="H1" s="1021"/>
      <c r="I1" s="1021"/>
      <c r="J1" s="5"/>
      <c r="K1" s="5"/>
      <c r="L1" s="1021" t="s">
        <v>171</v>
      </c>
      <c r="M1" s="278"/>
      <c r="N1" s="278" t="s">
        <v>1487</v>
      </c>
      <c r="O1" s="1021"/>
      <c r="P1" s="1021"/>
      <c r="Q1" s="1021"/>
    </row>
    <row r="2" spans="1:17" x14ac:dyDescent="0.4">
      <c r="A2" s="5" t="s">
        <v>172</v>
      </c>
      <c r="B2" s="1021"/>
      <c r="C2" s="1021" t="s">
        <v>173</v>
      </c>
      <c r="D2" s="1021" t="s">
        <v>174</v>
      </c>
      <c r="E2" s="1021"/>
      <c r="F2" s="1021"/>
      <c r="G2" s="1021"/>
      <c r="H2" s="1021"/>
      <c r="I2" s="1021"/>
      <c r="J2" s="5"/>
      <c r="K2" s="5"/>
      <c r="L2" s="1021" t="s">
        <v>2924</v>
      </c>
      <c r="M2" s="279"/>
      <c r="N2" s="279" t="s">
        <v>2925</v>
      </c>
      <c r="O2" s="1021"/>
      <c r="P2" s="1021"/>
      <c r="Q2" s="1021"/>
    </row>
    <row r="3" spans="1:17" x14ac:dyDescent="0.4">
      <c r="A3" s="36"/>
      <c r="B3" s="1023"/>
      <c r="C3" s="250">
        <f>SUM(C6:C824)</f>
        <v>162030</v>
      </c>
      <c r="D3" s="1023"/>
      <c r="E3" s="1023"/>
      <c r="F3" s="1023"/>
      <c r="G3" s="1023"/>
      <c r="H3" s="1023"/>
      <c r="I3" s="1023"/>
      <c r="J3" s="36"/>
      <c r="K3" s="36"/>
      <c r="L3" s="250">
        <f>SUM(L6:L621)</f>
        <v>21735</v>
      </c>
      <c r="M3" s="250"/>
      <c r="N3" s="1027">
        <f>L3/C3</f>
        <v>0.13414182558785409</v>
      </c>
      <c r="O3" s="1023"/>
      <c r="P3" s="1023"/>
      <c r="Q3" s="1023"/>
    </row>
    <row r="4" spans="1:17" x14ac:dyDescent="0.4">
      <c r="A4" s="2035" t="s">
        <v>182</v>
      </c>
      <c r="B4" s="1022" t="s">
        <v>176</v>
      </c>
      <c r="C4" s="1022" t="s">
        <v>177</v>
      </c>
      <c r="D4" s="2041"/>
      <c r="E4" s="2042"/>
      <c r="F4" s="2042"/>
      <c r="G4" s="2042"/>
      <c r="H4" s="2042"/>
      <c r="I4" s="2043"/>
      <c r="J4" s="33" t="s">
        <v>178</v>
      </c>
      <c r="K4" s="33" t="s">
        <v>179</v>
      </c>
      <c r="L4" s="33" t="s">
        <v>896</v>
      </c>
      <c r="M4" s="2035" t="s">
        <v>187</v>
      </c>
      <c r="N4" s="2035" t="s">
        <v>188</v>
      </c>
      <c r="O4" s="1022" t="s">
        <v>180</v>
      </c>
      <c r="P4" s="2035" t="s">
        <v>181</v>
      </c>
      <c r="Q4" s="2035" t="s">
        <v>35</v>
      </c>
    </row>
    <row r="5" spans="1:17" x14ac:dyDescent="0.4">
      <c r="A5" s="2036"/>
      <c r="B5" s="1022" t="s">
        <v>183</v>
      </c>
      <c r="C5" s="1022" t="s">
        <v>183</v>
      </c>
      <c r="D5" s="2039" t="s">
        <v>184</v>
      </c>
      <c r="E5" s="2039"/>
      <c r="F5" s="2039"/>
      <c r="G5" s="2039"/>
      <c r="H5" s="2039"/>
      <c r="I5" s="2039"/>
      <c r="J5" s="34" t="s">
        <v>185</v>
      </c>
      <c r="K5" s="34" t="s">
        <v>185</v>
      </c>
      <c r="L5" s="34" t="s">
        <v>49</v>
      </c>
      <c r="M5" s="2036"/>
      <c r="N5" s="2036"/>
      <c r="O5" s="1022" t="s">
        <v>189</v>
      </c>
      <c r="P5" s="2036"/>
      <c r="Q5" s="2036"/>
    </row>
    <row r="6" spans="1:17" x14ac:dyDescent="0.4">
      <c r="A6" s="36">
        <v>182107</v>
      </c>
      <c r="B6">
        <v>60</v>
      </c>
      <c r="C6" s="36">
        <f t="shared" ref="C6:C28" si="0">SUM(B6*5)</f>
        <v>300</v>
      </c>
      <c r="D6" s="1023">
        <v>0</v>
      </c>
      <c r="E6" s="1023">
        <v>0</v>
      </c>
      <c r="F6" s="1023">
        <v>0</v>
      </c>
      <c r="G6" s="1023">
        <v>0</v>
      </c>
      <c r="H6" s="1023">
        <v>0</v>
      </c>
      <c r="I6" s="1023">
        <v>1</v>
      </c>
      <c r="J6" s="1025">
        <f>SUM(D6:I6)</f>
        <v>1</v>
      </c>
      <c r="K6" s="1025">
        <f t="shared" ref="K6:K28" si="1">SUM(D6:H6)</f>
        <v>0</v>
      </c>
      <c r="L6" s="1023">
        <f t="shared" ref="L6:L28" si="2">B6*K6</f>
        <v>0</v>
      </c>
      <c r="M6" s="955" t="s">
        <v>2926</v>
      </c>
      <c r="N6" s="955" t="s">
        <v>2927</v>
      </c>
    </row>
    <row r="7" spans="1:17" x14ac:dyDescent="0.4">
      <c r="A7" s="16">
        <v>182108</v>
      </c>
      <c r="B7" s="16">
        <v>60</v>
      </c>
      <c r="C7" s="16">
        <f t="shared" si="0"/>
        <v>300</v>
      </c>
      <c r="D7" s="1736">
        <v>0</v>
      </c>
      <c r="E7" s="1736">
        <v>0</v>
      </c>
      <c r="F7" s="1736">
        <v>0</v>
      </c>
      <c r="G7" s="1736">
        <v>0</v>
      </c>
      <c r="H7" s="1736">
        <v>0</v>
      </c>
      <c r="I7" s="1736">
        <v>0</v>
      </c>
      <c r="J7" s="1737">
        <f t="shared" ref="J7:J28" si="3">SUM(D7:I7)</f>
        <v>0</v>
      </c>
      <c r="K7" s="1737">
        <f t="shared" si="1"/>
        <v>0</v>
      </c>
      <c r="L7" s="1736">
        <f t="shared" si="2"/>
        <v>0</v>
      </c>
      <c r="M7" s="30" t="s">
        <v>2928</v>
      </c>
      <c r="N7" s="30" t="s">
        <v>2929</v>
      </c>
      <c r="O7" s="16" t="s">
        <v>3545</v>
      </c>
    </row>
    <row r="8" spans="1:17" x14ac:dyDescent="0.4">
      <c r="A8" s="36">
        <v>182109</v>
      </c>
      <c r="B8">
        <v>90</v>
      </c>
      <c r="C8" s="36">
        <f t="shared" si="0"/>
        <v>450</v>
      </c>
      <c r="D8" s="1023">
        <v>0</v>
      </c>
      <c r="E8" s="1023">
        <v>0</v>
      </c>
      <c r="F8" s="1023">
        <v>1</v>
      </c>
      <c r="G8" s="1023">
        <v>1</v>
      </c>
      <c r="H8" s="1023">
        <v>1</v>
      </c>
      <c r="I8" s="1023">
        <v>1</v>
      </c>
      <c r="J8" s="1025">
        <f t="shared" si="3"/>
        <v>4</v>
      </c>
      <c r="K8" s="1025">
        <f t="shared" si="1"/>
        <v>3</v>
      </c>
      <c r="L8" s="1023">
        <f t="shared" si="2"/>
        <v>270</v>
      </c>
      <c r="M8" s="955" t="s">
        <v>2928</v>
      </c>
      <c r="N8" s="955" t="s">
        <v>2929</v>
      </c>
    </row>
    <row r="9" spans="1:17" x14ac:dyDescent="0.4">
      <c r="A9" s="16">
        <v>182110</v>
      </c>
      <c r="B9" s="16">
        <v>45</v>
      </c>
      <c r="C9" s="16">
        <f t="shared" si="0"/>
        <v>225</v>
      </c>
      <c r="D9" s="1724">
        <v>0</v>
      </c>
      <c r="E9" s="1724">
        <v>0</v>
      </c>
      <c r="F9" s="1724">
        <v>0</v>
      </c>
      <c r="G9" s="1724">
        <v>0</v>
      </c>
      <c r="H9" s="1724">
        <v>0</v>
      </c>
      <c r="I9" s="1724">
        <v>0</v>
      </c>
      <c r="J9" s="1725">
        <f t="shared" si="3"/>
        <v>0</v>
      </c>
      <c r="K9" s="1725">
        <f t="shared" si="1"/>
        <v>0</v>
      </c>
      <c r="L9" s="1724">
        <f t="shared" si="2"/>
        <v>0</v>
      </c>
      <c r="M9" s="30" t="s">
        <v>2930</v>
      </c>
      <c r="N9" s="30" t="s">
        <v>2931</v>
      </c>
    </row>
    <row r="10" spans="1:17" x14ac:dyDescent="0.4">
      <c r="A10" s="36">
        <v>182111</v>
      </c>
      <c r="B10">
        <v>45</v>
      </c>
      <c r="C10" s="36">
        <f t="shared" si="0"/>
        <v>225</v>
      </c>
      <c r="D10" s="1023">
        <v>0</v>
      </c>
      <c r="E10" s="1023">
        <v>0</v>
      </c>
      <c r="F10" s="1023">
        <v>0</v>
      </c>
      <c r="G10" s="1023">
        <v>0</v>
      </c>
      <c r="H10" s="1023">
        <v>0</v>
      </c>
      <c r="I10" s="1023">
        <v>0</v>
      </c>
      <c r="J10" s="1025">
        <f t="shared" si="3"/>
        <v>0</v>
      </c>
      <c r="K10" s="1025">
        <f t="shared" si="1"/>
        <v>0</v>
      </c>
      <c r="L10" s="1023">
        <f t="shared" si="2"/>
        <v>0</v>
      </c>
      <c r="M10" s="955" t="s">
        <v>2932</v>
      </c>
      <c r="N10" s="955" t="s">
        <v>2933</v>
      </c>
    </row>
    <row r="11" spans="1:17" x14ac:dyDescent="0.4">
      <c r="A11" s="16">
        <v>182112</v>
      </c>
      <c r="B11" s="16">
        <v>50</v>
      </c>
      <c r="C11" s="16">
        <f t="shared" si="0"/>
        <v>250</v>
      </c>
      <c r="D11" s="1866">
        <v>0</v>
      </c>
      <c r="E11" s="1866">
        <v>0</v>
      </c>
      <c r="F11" s="1866">
        <v>0</v>
      </c>
      <c r="G11" s="1866">
        <v>0</v>
      </c>
      <c r="H11" s="1866">
        <v>0</v>
      </c>
      <c r="I11" s="1866">
        <v>0</v>
      </c>
      <c r="J11" s="1867">
        <f t="shared" si="3"/>
        <v>0</v>
      </c>
      <c r="K11" s="1867">
        <f t="shared" si="1"/>
        <v>0</v>
      </c>
      <c r="L11" s="1866">
        <f t="shared" si="2"/>
        <v>0</v>
      </c>
      <c r="M11" s="30" t="s">
        <v>2932</v>
      </c>
      <c r="N11" s="30" t="s">
        <v>2933</v>
      </c>
    </row>
    <row r="12" spans="1:17" x14ac:dyDescent="0.4">
      <c r="A12" s="16">
        <v>182113</v>
      </c>
      <c r="B12" s="16">
        <v>60</v>
      </c>
      <c r="C12" s="16">
        <f t="shared" si="0"/>
        <v>300</v>
      </c>
      <c r="D12" s="1401">
        <v>0</v>
      </c>
      <c r="E12" s="1401">
        <v>0</v>
      </c>
      <c r="F12" s="1401">
        <v>0</v>
      </c>
      <c r="G12" s="1401">
        <v>0</v>
      </c>
      <c r="H12" s="1401">
        <v>0</v>
      </c>
      <c r="I12" s="1401">
        <v>0</v>
      </c>
      <c r="J12" s="1402">
        <f t="shared" si="3"/>
        <v>0</v>
      </c>
      <c r="K12" s="1402">
        <f t="shared" si="1"/>
        <v>0</v>
      </c>
      <c r="L12" s="1401">
        <f t="shared" si="2"/>
        <v>0</v>
      </c>
      <c r="M12" s="30" t="s">
        <v>2934</v>
      </c>
      <c r="N12" s="30" t="s">
        <v>2935</v>
      </c>
    </row>
    <row r="13" spans="1:17" x14ac:dyDescent="0.4">
      <c r="A13" s="36">
        <v>182114</v>
      </c>
      <c r="B13">
        <v>60</v>
      </c>
      <c r="C13" s="36">
        <f t="shared" si="0"/>
        <v>300</v>
      </c>
      <c r="D13" s="1023">
        <v>0</v>
      </c>
      <c r="E13" s="1023">
        <v>0</v>
      </c>
      <c r="F13" s="1023">
        <v>0</v>
      </c>
      <c r="G13" s="1023">
        <v>0</v>
      </c>
      <c r="H13" s="1023">
        <v>0</v>
      </c>
      <c r="I13" s="1023">
        <v>1</v>
      </c>
      <c r="J13" s="1025">
        <f t="shared" si="3"/>
        <v>1</v>
      </c>
      <c r="K13" s="1025">
        <f t="shared" si="1"/>
        <v>0</v>
      </c>
      <c r="L13" s="1023">
        <f t="shared" si="2"/>
        <v>0</v>
      </c>
      <c r="M13" s="955" t="s">
        <v>2936</v>
      </c>
      <c r="N13" s="955" t="s">
        <v>2937</v>
      </c>
    </row>
    <row r="14" spans="1:17" x14ac:dyDescent="0.4">
      <c r="A14" s="16">
        <v>182115</v>
      </c>
      <c r="B14" s="16">
        <v>45</v>
      </c>
      <c r="C14" s="16">
        <f t="shared" si="0"/>
        <v>225</v>
      </c>
      <c r="D14" s="1328">
        <v>0</v>
      </c>
      <c r="E14" s="1328">
        <v>0</v>
      </c>
      <c r="F14" s="1328">
        <v>0</v>
      </c>
      <c r="G14" s="1328">
        <v>0</v>
      </c>
      <c r="H14" s="1328">
        <v>0</v>
      </c>
      <c r="I14" s="1328">
        <v>0</v>
      </c>
      <c r="J14" s="1329">
        <f t="shared" si="3"/>
        <v>0</v>
      </c>
      <c r="K14" s="1329">
        <f t="shared" si="1"/>
        <v>0</v>
      </c>
      <c r="L14" s="1328">
        <f t="shared" si="2"/>
        <v>0</v>
      </c>
      <c r="M14" s="30" t="s">
        <v>2938</v>
      </c>
      <c r="N14" s="30" t="s">
        <v>2939</v>
      </c>
    </row>
    <row r="15" spans="1:17" x14ac:dyDescent="0.4">
      <c r="A15" s="16">
        <v>182116</v>
      </c>
      <c r="B15" s="16">
        <v>45</v>
      </c>
      <c r="C15" s="16">
        <f t="shared" si="0"/>
        <v>225</v>
      </c>
      <c r="D15" s="1473">
        <v>0</v>
      </c>
      <c r="E15" s="1473">
        <v>0</v>
      </c>
      <c r="F15" s="1473">
        <v>0</v>
      </c>
      <c r="G15" s="1473">
        <v>0</v>
      </c>
      <c r="H15" s="1473">
        <v>0</v>
      </c>
      <c r="I15" s="1473">
        <v>0</v>
      </c>
      <c r="J15" s="1474">
        <f t="shared" si="3"/>
        <v>0</v>
      </c>
      <c r="K15" s="1474">
        <f t="shared" si="1"/>
        <v>0</v>
      </c>
      <c r="L15" s="1473">
        <f t="shared" si="2"/>
        <v>0</v>
      </c>
      <c r="M15" s="30" t="s">
        <v>2938</v>
      </c>
      <c r="N15" s="30" t="s">
        <v>2939</v>
      </c>
    </row>
    <row r="16" spans="1:17" x14ac:dyDescent="0.4">
      <c r="A16" s="16">
        <v>182117</v>
      </c>
      <c r="B16" s="16">
        <v>60</v>
      </c>
      <c r="C16" s="16">
        <f t="shared" si="0"/>
        <v>300</v>
      </c>
      <c r="D16" s="1280">
        <v>0</v>
      </c>
      <c r="E16" s="1280">
        <v>0</v>
      </c>
      <c r="F16" s="1280">
        <v>0</v>
      </c>
      <c r="G16" s="1280">
        <v>0</v>
      </c>
      <c r="H16" s="1280">
        <v>0</v>
      </c>
      <c r="I16" s="1280">
        <v>0</v>
      </c>
      <c r="J16" s="1281">
        <f t="shared" si="3"/>
        <v>0</v>
      </c>
      <c r="K16" s="1281">
        <f t="shared" si="1"/>
        <v>0</v>
      </c>
      <c r="L16" s="1280">
        <f t="shared" si="2"/>
        <v>0</v>
      </c>
      <c r="M16" s="30" t="s">
        <v>2938</v>
      </c>
      <c r="N16" s="30" t="s">
        <v>2939</v>
      </c>
    </row>
    <row r="17" spans="1:14" x14ac:dyDescent="0.4">
      <c r="A17" s="36">
        <v>182118</v>
      </c>
      <c r="B17">
        <v>45</v>
      </c>
      <c r="C17" s="36">
        <f t="shared" si="0"/>
        <v>225</v>
      </c>
      <c r="D17" s="1023">
        <v>0</v>
      </c>
      <c r="E17" s="1023">
        <v>0</v>
      </c>
      <c r="F17" s="1023">
        <v>0</v>
      </c>
      <c r="G17" s="1023">
        <v>0</v>
      </c>
      <c r="H17" s="1023">
        <v>0</v>
      </c>
      <c r="I17" s="1023">
        <v>1</v>
      </c>
      <c r="J17" s="1025">
        <f t="shared" si="3"/>
        <v>1</v>
      </c>
      <c r="K17" s="1025">
        <f t="shared" si="1"/>
        <v>0</v>
      </c>
      <c r="L17" s="1023">
        <f t="shared" si="2"/>
        <v>0</v>
      </c>
      <c r="M17" s="955" t="s">
        <v>2940</v>
      </c>
      <c r="N17" s="955" t="s">
        <v>2941</v>
      </c>
    </row>
    <row r="18" spans="1:14" x14ac:dyDescent="0.4">
      <c r="A18" s="16">
        <v>182119</v>
      </c>
      <c r="B18" s="16">
        <v>90</v>
      </c>
      <c r="C18" s="16">
        <f t="shared" si="0"/>
        <v>450</v>
      </c>
      <c r="D18" s="1933">
        <v>0</v>
      </c>
      <c r="E18" s="1933">
        <v>0</v>
      </c>
      <c r="F18" s="1933">
        <v>0</v>
      </c>
      <c r="G18" s="1933">
        <v>0</v>
      </c>
      <c r="H18" s="1933">
        <v>0</v>
      </c>
      <c r="I18" s="1933">
        <v>0</v>
      </c>
      <c r="J18" s="1934">
        <f t="shared" si="3"/>
        <v>0</v>
      </c>
      <c r="K18" s="1934">
        <f t="shared" si="1"/>
        <v>0</v>
      </c>
      <c r="L18" s="1933">
        <f t="shared" si="2"/>
        <v>0</v>
      </c>
      <c r="M18" s="30" t="s">
        <v>2942</v>
      </c>
      <c r="N18" s="30" t="s">
        <v>2943</v>
      </c>
    </row>
    <row r="19" spans="1:14" x14ac:dyDescent="0.4">
      <c r="A19" s="36">
        <v>182120</v>
      </c>
      <c r="B19">
        <v>45</v>
      </c>
      <c r="C19" s="36">
        <f t="shared" si="0"/>
        <v>225</v>
      </c>
      <c r="D19" s="1023">
        <v>0</v>
      </c>
      <c r="E19" s="1023">
        <v>0</v>
      </c>
      <c r="F19" s="1023">
        <v>0</v>
      </c>
      <c r="G19" s="1023">
        <v>0</v>
      </c>
      <c r="H19" s="1023">
        <v>1</v>
      </c>
      <c r="I19" s="1023">
        <v>1</v>
      </c>
      <c r="J19" s="1025">
        <f t="shared" si="3"/>
        <v>2</v>
      </c>
      <c r="K19" s="1025">
        <f t="shared" si="1"/>
        <v>1</v>
      </c>
      <c r="L19" s="1023">
        <f t="shared" si="2"/>
        <v>45</v>
      </c>
      <c r="M19" s="955" t="s">
        <v>2944</v>
      </c>
      <c r="N19" s="955" t="s">
        <v>2945</v>
      </c>
    </row>
    <row r="20" spans="1:14" x14ac:dyDescent="0.4">
      <c r="A20" s="16">
        <v>182121</v>
      </c>
      <c r="B20" s="16">
        <v>60</v>
      </c>
      <c r="C20" s="16">
        <f t="shared" si="0"/>
        <v>300</v>
      </c>
      <c r="D20" s="1904">
        <v>0</v>
      </c>
      <c r="E20" s="1904">
        <v>0</v>
      </c>
      <c r="F20" s="1904">
        <v>0</v>
      </c>
      <c r="G20" s="1904">
        <v>0</v>
      </c>
      <c r="H20" s="1904">
        <v>0</v>
      </c>
      <c r="I20" s="1904">
        <v>0</v>
      </c>
      <c r="J20" s="1905">
        <f t="shared" si="3"/>
        <v>0</v>
      </c>
      <c r="K20" s="1905">
        <f t="shared" si="1"/>
        <v>0</v>
      </c>
      <c r="L20" s="1904">
        <f t="shared" si="2"/>
        <v>0</v>
      </c>
      <c r="M20" s="30" t="s">
        <v>2946</v>
      </c>
      <c r="N20" s="30" t="s">
        <v>2947</v>
      </c>
    </row>
    <row r="21" spans="1:14" x14ac:dyDescent="0.4">
      <c r="A21" s="16">
        <v>182122</v>
      </c>
      <c r="B21" s="16">
        <v>45</v>
      </c>
      <c r="C21" s="16">
        <f t="shared" si="0"/>
        <v>225</v>
      </c>
      <c r="D21" s="1387">
        <v>0</v>
      </c>
      <c r="E21" s="1387">
        <v>0</v>
      </c>
      <c r="F21" s="1387">
        <v>0</v>
      </c>
      <c r="G21" s="1387">
        <v>0</v>
      </c>
      <c r="H21" s="1387">
        <v>0</v>
      </c>
      <c r="I21" s="1387">
        <v>0</v>
      </c>
      <c r="J21" s="1388">
        <f t="shared" si="3"/>
        <v>0</v>
      </c>
      <c r="K21" s="1388">
        <f t="shared" si="1"/>
        <v>0</v>
      </c>
      <c r="L21" s="1387">
        <f t="shared" si="2"/>
        <v>0</v>
      </c>
      <c r="M21" s="30" t="s">
        <v>2946</v>
      </c>
      <c r="N21" s="30" t="s">
        <v>2947</v>
      </c>
    </row>
    <row r="22" spans="1:14" x14ac:dyDescent="0.4">
      <c r="A22" s="16">
        <v>182123</v>
      </c>
      <c r="B22" s="16">
        <v>50</v>
      </c>
      <c r="C22" s="16">
        <f t="shared" si="0"/>
        <v>250</v>
      </c>
      <c r="D22" s="1920">
        <v>0</v>
      </c>
      <c r="E22" s="1920">
        <v>0</v>
      </c>
      <c r="F22" s="1920">
        <v>0</v>
      </c>
      <c r="G22" s="1920">
        <v>0</v>
      </c>
      <c r="H22" s="1920">
        <v>0</v>
      </c>
      <c r="I22" s="1920">
        <v>0</v>
      </c>
      <c r="J22" s="1921">
        <f t="shared" si="3"/>
        <v>0</v>
      </c>
      <c r="K22" s="1921">
        <f t="shared" si="1"/>
        <v>0</v>
      </c>
      <c r="L22" s="1920">
        <f t="shared" si="2"/>
        <v>0</v>
      </c>
      <c r="M22" s="30" t="s">
        <v>2948</v>
      </c>
      <c r="N22" s="30" t="s">
        <v>2949</v>
      </c>
    </row>
    <row r="23" spans="1:14" x14ac:dyDescent="0.4">
      <c r="A23" s="16">
        <v>182124</v>
      </c>
      <c r="B23" s="16">
        <v>60</v>
      </c>
      <c r="C23" s="16">
        <f t="shared" si="0"/>
        <v>300</v>
      </c>
      <c r="D23" s="1620">
        <v>0</v>
      </c>
      <c r="E23" s="1620">
        <v>0</v>
      </c>
      <c r="F23" s="1620">
        <v>0</v>
      </c>
      <c r="G23" s="1620">
        <v>0</v>
      </c>
      <c r="H23" s="1620">
        <v>0</v>
      </c>
      <c r="I23" s="1620">
        <v>0</v>
      </c>
      <c r="J23" s="1621">
        <f t="shared" si="3"/>
        <v>0</v>
      </c>
      <c r="K23" s="1621">
        <f t="shared" si="1"/>
        <v>0</v>
      </c>
      <c r="L23" s="1620">
        <f t="shared" si="2"/>
        <v>0</v>
      </c>
      <c r="M23" s="30" t="s">
        <v>1912</v>
      </c>
      <c r="N23" s="30" t="s">
        <v>2950</v>
      </c>
    </row>
    <row r="24" spans="1:14" x14ac:dyDescent="0.4">
      <c r="A24" s="1">
        <v>182125</v>
      </c>
      <c r="B24" s="1">
        <v>60</v>
      </c>
      <c r="C24" s="1">
        <f t="shared" si="0"/>
        <v>300</v>
      </c>
      <c r="D24" s="1969">
        <v>0</v>
      </c>
      <c r="E24" s="1969">
        <v>0</v>
      </c>
      <c r="F24" s="1969">
        <v>0</v>
      </c>
      <c r="G24" s="1969">
        <v>0</v>
      </c>
      <c r="H24" s="1969">
        <v>0</v>
      </c>
      <c r="I24" s="1969">
        <v>0</v>
      </c>
      <c r="J24" s="1970">
        <f t="shared" si="3"/>
        <v>0</v>
      </c>
      <c r="K24" s="1970">
        <f t="shared" si="1"/>
        <v>0</v>
      </c>
      <c r="L24" s="1969">
        <f t="shared" si="2"/>
        <v>0</v>
      </c>
      <c r="M24" s="141" t="s">
        <v>1914</v>
      </c>
      <c r="N24" s="141" t="s">
        <v>2951</v>
      </c>
    </row>
    <row r="25" spans="1:14" x14ac:dyDescent="0.4">
      <c r="A25" s="16">
        <v>182126</v>
      </c>
      <c r="B25" s="16">
        <v>60</v>
      </c>
      <c r="C25" s="16">
        <f t="shared" si="0"/>
        <v>300</v>
      </c>
      <c r="D25" s="1383">
        <v>0</v>
      </c>
      <c r="E25" s="1383">
        <v>0</v>
      </c>
      <c r="F25" s="1383">
        <v>0</v>
      </c>
      <c r="G25" s="1383">
        <v>0</v>
      </c>
      <c r="H25" s="1383">
        <v>0</v>
      </c>
      <c r="I25" s="1383">
        <v>0</v>
      </c>
      <c r="J25" s="1384">
        <f t="shared" si="3"/>
        <v>0</v>
      </c>
      <c r="K25" s="1384">
        <f t="shared" si="1"/>
        <v>0</v>
      </c>
      <c r="L25" s="1383">
        <f t="shared" si="2"/>
        <v>0</v>
      </c>
      <c r="M25" s="30" t="s">
        <v>1914</v>
      </c>
      <c r="N25" s="30" t="s">
        <v>2951</v>
      </c>
    </row>
    <row r="26" spans="1:14" x14ac:dyDescent="0.4">
      <c r="A26" s="16">
        <v>182127</v>
      </c>
      <c r="B26" s="16">
        <v>45</v>
      </c>
      <c r="C26" s="16">
        <f t="shared" si="0"/>
        <v>225</v>
      </c>
      <c r="D26" s="1551">
        <v>0</v>
      </c>
      <c r="E26" s="1551">
        <v>0</v>
      </c>
      <c r="F26" s="1551">
        <v>0</v>
      </c>
      <c r="G26" s="1551">
        <v>0</v>
      </c>
      <c r="H26" s="1551">
        <v>0</v>
      </c>
      <c r="I26" s="1551">
        <v>0</v>
      </c>
      <c r="J26" s="1552">
        <f t="shared" si="3"/>
        <v>0</v>
      </c>
      <c r="K26" s="1552">
        <f t="shared" si="1"/>
        <v>0</v>
      </c>
      <c r="L26" s="1551">
        <f t="shared" si="2"/>
        <v>0</v>
      </c>
      <c r="M26" s="30" t="s">
        <v>1914</v>
      </c>
      <c r="N26" s="30" t="s">
        <v>2951</v>
      </c>
    </row>
    <row r="27" spans="1:14" x14ac:dyDescent="0.4">
      <c r="A27" s="16">
        <v>182128</v>
      </c>
      <c r="B27" s="16">
        <v>45</v>
      </c>
      <c r="C27" s="16">
        <f t="shared" si="0"/>
        <v>225</v>
      </c>
      <c r="D27" s="1933">
        <v>0</v>
      </c>
      <c r="E27" s="1933">
        <v>0</v>
      </c>
      <c r="F27" s="1933">
        <v>0</v>
      </c>
      <c r="G27" s="1933">
        <v>0</v>
      </c>
      <c r="H27" s="1933">
        <v>0</v>
      </c>
      <c r="I27" s="1933">
        <v>0</v>
      </c>
      <c r="J27" s="1934">
        <f t="shared" si="3"/>
        <v>0</v>
      </c>
      <c r="K27" s="1934">
        <f t="shared" si="1"/>
        <v>0</v>
      </c>
      <c r="L27" s="1933">
        <f t="shared" si="2"/>
        <v>0</v>
      </c>
      <c r="M27" s="30" t="s">
        <v>2952</v>
      </c>
      <c r="N27" s="30" t="s">
        <v>2953</v>
      </c>
    </row>
    <row r="28" spans="1:14" x14ac:dyDescent="0.4">
      <c r="A28" s="16">
        <v>182129</v>
      </c>
      <c r="B28" s="16">
        <v>50</v>
      </c>
      <c r="C28" s="16">
        <f t="shared" si="0"/>
        <v>250</v>
      </c>
      <c r="D28" s="1579">
        <v>0</v>
      </c>
      <c r="E28" s="1579">
        <v>0</v>
      </c>
      <c r="F28" s="1579">
        <v>0</v>
      </c>
      <c r="G28" s="1579">
        <v>0</v>
      </c>
      <c r="H28" s="1579">
        <v>0</v>
      </c>
      <c r="I28" s="1579">
        <v>0</v>
      </c>
      <c r="J28" s="1580">
        <f t="shared" si="3"/>
        <v>0</v>
      </c>
      <c r="K28" s="1580">
        <f t="shared" si="1"/>
        <v>0</v>
      </c>
      <c r="L28" s="1579">
        <f t="shared" si="2"/>
        <v>0</v>
      </c>
      <c r="M28" s="30" t="s">
        <v>2952</v>
      </c>
      <c r="N28" s="30" t="s">
        <v>2953</v>
      </c>
    </row>
    <row r="29" spans="1:14" x14ac:dyDescent="0.4">
      <c r="A29" s="16">
        <v>192130</v>
      </c>
      <c r="B29" s="16">
        <v>100</v>
      </c>
      <c r="C29" s="16">
        <f t="shared" ref="C29:C58" si="4">SUM(B29*5)</f>
        <v>500</v>
      </c>
      <c r="D29" s="1933">
        <v>0</v>
      </c>
      <c r="E29" s="1933">
        <v>0</v>
      </c>
      <c r="F29" s="1933">
        <v>0</v>
      </c>
      <c r="G29" s="1933">
        <v>0</v>
      </c>
      <c r="H29" s="1933">
        <v>0</v>
      </c>
      <c r="I29" s="1933">
        <v>0</v>
      </c>
      <c r="J29" s="1934">
        <f t="shared" ref="J29:J58" si="5">SUM(D29:I29)</f>
        <v>0</v>
      </c>
      <c r="K29" s="1934">
        <f t="shared" ref="K29:K58" si="6">SUM(D29:H29)</f>
        <v>0</v>
      </c>
      <c r="L29" s="1933">
        <f t="shared" ref="L29:L58" si="7">B29*K29</f>
        <v>0</v>
      </c>
      <c r="M29" s="30" t="s">
        <v>2952</v>
      </c>
      <c r="N29" s="30" t="s">
        <v>2953</v>
      </c>
    </row>
    <row r="30" spans="1:14" x14ac:dyDescent="0.4">
      <c r="A30" s="36">
        <v>192131</v>
      </c>
      <c r="B30">
        <v>50</v>
      </c>
      <c r="C30" s="36">
        <f t="shared" si="4"/>
        <v>250</v>
      </c>
      <c r="D30" s="1047">
        <v>0</v>
      </c>
      <c r="E30" s="1047">
        <v>0</v>
      </c>
      <c r="F30" s="1047">
        <v>0</v>
      </c>
      <c r="G30" s="1047">
        <v>0</v>
      </c>
      <c r="H30" s="1047">
        <v>0</v>
      </c>
      <c r="I30" s="1047">
        <v>0</v>
      </c>
      <c r="J30" s="1048">
        <f t="shared" si="5"/>
        <v>0</v>
      </c>
      <c r="K30" s="1048">
        <f t="shared" si="6"/>
        <v>0</v>
      </c>
      <c r="L30" s="1047">
        <f t="shared" si="7"/>
        <v>0</v>
      </c>
      <c r="M30" s="955" t="s">
        <v>2952</v>
      </c>
      <c r="N30" s="955" t="s">
        <v>2953</v>
      </c>
    </row>
    <row r="31" spans="1:14" x14ac:dyDescent="0.4">
      <c r="A31" s="16">
        <v>192132</v>
      </c>
      <c r="B31" s="16">
        <v>45</v>
      </c>
      <c r="C31" s="16">
        <f t="shared" si="4"/>
        <v>225</v>
      </c>
      <c r="D31" s="1332">
        <v>0</v>
      </c>
      <c r="E31" s="1332">
        <v>0</v>
      </c>
      <c r="F31" s="1332">
        <v>0</v>
      </c>
      <c r="G31" s="1332">
        <v>0</v>
      </c>
      <c r="H31" s="1332">
        <v>0</v>
      </c>
      <c r="I31" s="1332">
        <v>0</v>
      </c>
      <c r="J31" s="1333">
        <f t="shared" si="5"/>
        <v>0</v>
      </c>
      <c r="K31" s="1333">
        <f t="shared" si="6"/>
        <v>0</v>
      </c>
      <c r="L31" s="1332">
        <f t="shared" si="7"/>
        <v>0</v>
      </c>
      <c r="M31" s="30" t="s">
        <v>2954</v>
      </c>
      <c r="N31" s="30" t="s">
        <v>2955</v>
      </c>
    </row>
    <row r="32" spans="1:14" x14ac:dyDescent="0.4">
      <c r="A32" s="16">
        <v>192133</v>
      </c>
      <c r="B32" s="16">
        <v>45</v>
      </c>
      <c r="C32" s="16">
        <f t="shared" si="4"/>
        <v>225</v>
      </c>
      <c r="D32" s="1573">
        <v>0</v>
      </c>
      <c r="E32" s="1573">
        <v>0</v>
      </c>
      <c r="F32" s="1573">
        <v>0</v>
      </c>
      <c r="G32" s="1573">
        <v>0</v>
      </c>
      <c r="H32" s="1573">
        <v>0</v>
      </c>
      <c r="I32" s="1573">
        <v>0</v>
      </c>
      <c r="J32" s="1574">
        <f t="shared" si="5"/>
        <v>0</v>
      </c>
      <c r="K32" s="1574">
        <f t="shared" si="6"/>
        <v>0</v>
      </c>
      <c r="L32" s="1573">
        <f t="shared" si="7"/>
        <v>0</v>
      </c>
      <c r="M32" s="30" t="s">
        <v>2954</v>
      </c>
      <c r="N32" s="30" t="s">
        <v>2955</v>
      </c>
    </row>
    <row r="33" spans="1:14" x14ac:dyDescent="0.4">
      <c r="A33" s="36">
        <v>192134</v>
      </c>
      <c r="B33">
        <v>45</v>
      </c>
      <c r="C33" s="36">
        <f t="shared" si="4"/>
        <v>225</v>
      </c>
      <c r="D33" s="1047">
        <v>0</v>
      </c>
      <c r="E33" s="1047">
        <v>0</v>
      </c>
      <c r="F33" s="1047">
        <v>0</v>
      </c>
      <c r="G33" s="1047">
        <v>0</v>
      </c>
      <c r="H33" s="1047">
        <v>1</v>
      </c>
      <c r="I33" s="1047">
        <v>1</v>
      </c>
      <c r="J33" s="1048">
        <f t="shared" si="5"/>
        <v>2</v>
      </c>
      <c r="K33" s="1048">
        <f t="shared" si="6"/>
        <v>1</v>
      </c>
      <c r="L33" s="1047">
        <f t="shared" si="7"/>
        <v>45</v>
      </c>
      <c r="M33" s="955" t="s">
        <v>2957</v>
      </c>
      <c r="N33" s="955" t="s">
        <v>2958</v>
      </c>
    </row>
    <row r="34" spans="1:14" x14ac:dyDescent="0.4">
      <c r="A34" s="16">
        <v>192135</v>
      </c>
      <c r="B34" s="16">
        <v>60</v>
      </c>
      <c r="C34" s="16">
        <f t="shared" si="4"/>
        <v>300</v>
      </c>
      <c r="D34" s="1297">
        <v>0</v>
      </c>
      <c r="E34" s="1297">
        <v>0</v>
      </c>
      <c r="F34" s="1297">
        <v>0</v>
      </c>
      <c r="G34" s="1297">
        <v>0</v>
      </c>
      <c r="H34" s="1297">
        <v>0</v>
      </c>
      <c r="I34" s="1297">
        <v>0</v>
      </c>
      <c r="J34" s="1298">
        <f t="shared" si="5"/>
        <v>0</v>
      </c>
      <c r="K34" s="1298">
        <f t="shared" si="6"/>
        <v>0</v>
      </c>
      <c r="L34" s="1297">
        <f t="shared" si="7"/>
        <v>0</v>
      </c>
      <c r="M34" s="30" t="s">
        <v>2957</v>
      </c>
      <c r="N34" s="30" t="s">
        <v>2958</v>
      </c>
    </row>
    <row r="35" spans="1:14" x14ac:dyDescent="0.4">
      <c r="A35" s="36">
        <v>192136</v>
      </c>
      <c r="B35">
        <v>60</v>
      </c>
      <c r="C35" s="36">
        <f t="shared" si="4"/>
        <v>300</v>
      </c>
      <c r="D35" s="1047">
        <v>0</v>
      </c>
      <c r="E35" s="1047">
        <v>0</v>
      </c>
      <c r="F35" s="1047">
        <v>0</v>
      </c>
      <c r="G35" s="1047">
        <v>0</v>
      </c>
      <c r="H35" s="1047">
        <v>0</v>
      </c>
      <c r="I35" s="1047">
        <v>1</v>
      </c>
      <c r="J35" s="1048">
        <f t="shared" si="5"/>
        <v>1</v>
      </c>
      <c r="K35" s="1048">
        <f t="shared" si="6"/>
        <v>0</v>
      </c>
      <c r="L35" s="1047">
        <f t="shared" si="7"/>
        <v>0</v>
      </c>
      <c r="M35" s="955" t="s">
        <v>2961</v>
      </c>
      <c r="N35" s="955" t="s">
        <v>2962</v>
      </c>
    </row>
    <row r="36" spans="1:14" x14ac:dyDescent="0.4">
      <c r="A36" s="16">
        <v>192137</v>
      </c>
      <c r="B36" s="16">
        <v>45</v>
      </c>
      <c r="C36" s="16">
        <f t="shared" si="4"/>
        <v>225</v>
      </c>
      <c r="D36" s="1813">
        <v>0</v>
      </c>
      <c r="E36" s="1813">
        <v>0</v>
      </c>
      <c r="F36" s="1813">
        <v>0</v>
      </c>
      <c r="G36" s="1813">
        <v>0</v>
      </c>
      <c r="H36" s="1813">
        <v>0</v>
      </c>
      <c r="I36" s="1813">
        <v>0</v>
      </c>
      <c r="J36" s="1814">
        <f t="shared" si="5"/>
        <v>0</v>
      </c>
      <c r="K36" s="1814">
        <f t="shared" si="6"/>
        <v>0</v>
      </c>
      <c r="L36" s="1813">
        <f t="shared" si="7"/>
        <v>0</v>
      </c>
      <c r="M36" s="30" t="s">
        <v>2959</v>
      </c>
      <c r="N36" s="30" t="s">
        <v>2960</v>
      </c>
    </row>
    <row r="37" spans="1:14" x14ac:dyDescent="0.4">
      <c r="A37" s="16">
        <v>192138</v>
      </c>
      <c r="B37" s="16">
        <v>45</v>
      </c>
      <c r="C37" s="16">
        <f t="shared" si="4"/>
        <v>225</v>
      </c>
      <c r="D37" s="1445">
        <v>0</v>
      </c>
      <c r="E37" s="1445">
        <v>0</v>
      </c>
      <c r="F37" s="1445">
        <v>0</v>
      </c>
      <c r="G37" s="1445">
        <v>0</v>
      </c>
      <c r="H37" s="1445">
        <v>0</v>
      </c>
      <c r="I37" s="1445">
        <v>0</v>
      </c>
      <c r="J37" s="1446">
        <f t="shared" si="5"/>
        <v>0</v>
      </c>
      <c r="K37" s="1446">
        <f t="shared" si="6"/>
        <v>0</v>
      </c>
      <c r="L37" s="1445">
        <f t="shared" si="7"/>
        <v>0</v>
      </c>
      <c r="M37" s="30" t="s">
        <v>2959</v>
      </c>
      <c r="N37" s="30" t="s">
        <v>2960</v>
      </c>
    </row>
    <row r="38" spans="1:14" x14ac:dyDescent="0.4">
      <c r="A38" s="36">
        <v>192139</v>
      </c>
      <c r="B38">
        <v>45</v>
      </c>
      <c r="C38" s="36">
        <f t="shared" si="4"/>
        <v>225</v>
      </c>
      <c r="D38" s="1047">
        <v>0</v>
      </c>
      <c r="E38" s="1047">
        <v>0</v>
      </c>
      <c r="F38" s="1047">
        <v>0</v>
      </c>
      <c r="G38" s="1047">
        <v>0</v>
      </c>
      <c r="H38" s="1047">
        <v>0</v>
      </c>
      <c r="I38" s="1047">
        <v>1</v>
      </c>
      <c r="J38" s="1048">
        <f t="shared" si="5"/>
        <v>1</v>
      </c>
      <c r="K38" s="1048">
        <f t="shared" si="6"/>
        <v>0</v>
      </c>
      <c r="L38" s="1047">
        <f t="shared" si="7"/>
        <v>0</v>
      </c>
      <c r="M38" s="955" t="s">
        <v>2961</v>
      </c>
      <c r="N38" s="955" t="s">
        <v>2962</v>
      </c>
    </row>
    <row r="39" spans="1:14" x14ac:dyDescent="0.4">
      <c r="A39" s="36">
        <v>192140</v>
      </c>
      <c r="B39">
        <v>90</v>
      </c>
      <c r="C39" s="36">
        <f t="shared" si="4"/>
        <v>450</v>
      </c>
      <c r="D39" s="1047">
        <v>0</v>
      </c>
      <c r="E39" s="1047">
        <v>0</v>
      </c>
      <c r="F39" s="1047">
        <v>0</v>
      </c>
      <c r="G39" s="1047">
        <v>1</v>
      </c>
      <c r="H39" s="1047">
        <v>1</v>
      </c>
      <c r="I39" s="1047">
        <v>1</v>
      </c>
      <c r="J39" s="1048">
        <f t="shared" si="5"/>
        <v>3</v>
      </c>
      <c r="K39" s="1048">
        <f t="shared" si="6"/>
        <v>2</v>
      </c>
      <c r="L39" s="1047">
        <f t="shared" si="7"/>
        <v>180</v>
      </c>
      <c r="M39" s="955" t="s">
        <v>2968</v>
      </c>
      <c r="N39" s="955" t="s">
        <v>2962</v>
      </c>
    </row>
    <row r="40" spans="1:14" x14ac:dyDescent="0.4">
      <c r="A40" s="16">
        <v>192141</v>
      </c>
      <c r="B40" s="16">
        <v>45</v>
      </c>
      <c r="C40" s="16">
        <f t="shared" si="4"/>
        <v>225</v>
      </c>
      <c r="D40" s="1408">
        <v>0</v>
      </c>
      <c r="E40" s="1408">
        <v>0</v>
      </c>
      <c r="F40" s="1408">
        <v>0</v>
      </c>
      <c r="G40" s="1408">
        <v>0</v>
      </c>
      <c r="H40" s="1408">
        <v>0</v>
      </c>
      <c r="I40" s="1408">
        <v>0</v>
      </c>
      <c r="J40" s="1409">
        <f t="shared" si="5"/>
        <v>0</v>
      </c>
      <c r="K40" s="1409">
        <f t="shared" si="6"/>
        <v>0</v>
      </c>
      <c r="L40" s="1408">
        <f t="shared" si="7"/>
        <v>0</v>
      </c>
      <c r="M40" s="30" t="s">
        <v>1924</v>
      </c>
      <c r="N40" s="30" t="s">
        <v>2969</v>
      </c>
    </row>
    <row r="41" spans="1:14" x14ac:dyDescent="0.4">
      <c r="A41" s="16">
        <v>192142</v>
      </c>
      <c r="B41" s="16">
        <v>45</v>
      </c>
      <c r="C41" s="16">
        <f t="shared" si="4"/>
        <v>225</v>
      </c>
      <c r="D41" s="1839">
        <v>0</v>
      </c>
      <c r="E41" s="1839">
        <v>0</v>
      </c>
      <c r="F41" s="1839">
        <v>0</v>
      </c>
      <c r="G41" s="1839">
        <v>0</v>
      </c>
      <c r="H41" s="1839">
        <v>0</v>
      </c>
      <c r="I41" s="1839">
        <v>0</v>
      </c>
      <c r="J41" s="1840">
        <f t="shared" si="5"/>
        <v>0</v>
      </c>
      <c r="K41" s="1840">
        <f t="shared" si="6"/>
        <v>0</v>
      </c>
      <c r="L41" s="1839">
        <f t="shared" si="7"/>
        <v>0</v>
      </c>
      <c r="M41" s="30" t="s">
        <v>1924</v>
      </c>
      <c r="N41" s="30" t="s">
        <v>2969</v>
      </c>
    </row>
    <row r="42" spans="1:14" x14ac:dyDescent="0.4">
      <c r="A42" s="16">
        <v>192143</v>
      </c>
      <c r="B42" s="16">
        <v>60</v>
      </c>
      <c r="C42" s="16">
        <f t="shared" si="4"/>
        <v>300</v>
      </c>
      <c r="D42" s="1469">
        <v>0</v>
      </c>
      <c r="E42" s="1469">
        <v>0</v>
      </c>
      <c r="F42" s="1469">
        <v>0</v>
      </c>
      <c r="G42" s="1469">
        <v>0</v>
      </c>
      <c r="H42" s="1469">
        <v>0</v>
      </c>
      <c r="I42" s="1469">
        <v>0</v>
      </c>
      <c r="J42" s="1470">
        <f t="shared" si="5"/>
        <v>0</v>
      </c>
      <c r="K42" s="1470">
        <f t="shared" si="6"/>
        <v>0</v>
      </c>
      <c r="L42" s="1469">
        <f t="shared" si="7"/>
        <v>0</v>
      </c>
      <c r="M42" s="30" t="s">
        <v>1924</v>
      </c>
      <c r="N42" s="30" t="s">
        <v>2969</v>
      </c>
    </row>
    <row r="43" spans="1:14" x14ac:dyDescent="0.4">
      <c r="A43" s="322">
        <v>192144</v>
      </c>
      <c r="B43" s="322"/>
      <c r="C43" s="322">
        <f t="shared" si="4"/>
        <v>0</v>
      </c>
      <c r="D43" s="323">
        <v>1</v>
      </c>
      <c r="E43" s="323">
        <v>1</v>
      </c>
      <c r="F43" s="323">
        <v>1</v>
      </c>
      <c r="G43" s="323">
        <v>1</v>
      </c>
      <c r="H43" s="323">
        <v>1</v>
      </c>
      <c r="I43" s="323">
        <v>1</v>
      </c>
      <c r="J43" s="324">
        <f t="shared" si="5"/>
        <v>6</v>
      </c>
      <c r="K43" s="324">
        <f t="shared" si="6"/>
        <v>5</v>
      </c>
      <c r="L43" s="323">
        <f t="shared" si="7"/>
        <v>0</v>
      </c>
      <c r="M43" s="322" t="s">
        <v>2963</v>
      </c>
      <c r="N43" s="322"/>
    </row>
    <row r="44" spans="1:14" x14ac:dyDescent="0.4">
      <c r="A44" s="22">
        <v>192145</v>
      </c>
      <c r="B44" s="22">
        <v>45</v>
      </c>
      <c r="C44" s="22">
        <f t="shared" si="4"/>
        <v>225</v>
      </c>
      <c r="D44" s="557">
        <v>0</v>
      </c>
      <c r="E44" s="557">
        <v>0</v>
      </c>
      <c r="F44" s="557">
        <v>0</v>
      </c>
      <c r="G44" s="557">
        <v>0</v>
      </c>
      <c r="H44" s="557">
        <v>0</v>
      </c>
      <c r="I44" s="557">
        <v>0</v>
      </c>
      <c r="J44" s="24">
        <f t="shared" si="5"/>
        <v>0</v>
      </c>
      <c r="K44" s="24">
        <f t="shared" si="6"/>
        <v>0</v>
      </c>
      <c r="L44" s="557">
        <f t="shared" si="7"/>
        <v>0</v>
      </c>
      <c r="M44" s="29" t="s">
        <v>1927</v>
      </c>
      <c r="N44" s="29" t="s">
        <v>2967</v>
      </c>
    </row>
    <row r="45" spans="1:14" x14ac:dyDescent="0.4">
      <c r="A45" s="16">
        <v>192146</v>
      </c>
      <c r="B45" s="16">
        <v>45</v>
      </c>
      <c r="C45" s="16">
        <f t="shared" si="4"/>
        <v>225</v>
      </c>
      <c r="D45" s="1827">
        <v>0</v>
      </c>
      <c r="E45" s="1827">
        <v>0</v>
      </c>
      <c r="F45" s="1827">
        <v>0</v>
      </c>
      <c r="G45" s="1827">
        <v>0</v>
      </c>
      <c r="H45" s="1827">
        <v>0</v>
      </c>
      <c r="I45" s="1827">
        <v>0</v>
      </c>
      <c r="J45" s="1828">
        <f t="shared" si="5"/>
        <v>0</v>
      </c>
      <c r="K45" s="1828">
        <f t="shared" si="6"/>
        <v>0</v>
      </c>
      <c r="L45" s="1827">
        <f t="shared" si="7"/>
        <v>0</v>
      </c>
      <c r="M45" s="30" t="s">
        <v>2965</v>
      </c>
      <c r="N45" s="30" t="s">
        <v>2966</v>
      </c>
    </row>
    <row r="46" spans="1:14" x14ac:dyDescent="0.4">
      <c r="A46" s="16">
        <v>192147</v>
      </c>
      <c r="B46" s="16">
        <v>45</v>
      </c>
      <c r="C46" s="16">
        <f t="shared" si="4"/>
        <v>225</v>
      </c>
      <c r="D46" s="1793">
        <v>0</v>
      </c>
      <c r="E46" s="1793">
        <v>0</v>
      </c>
      <c r="F46" s="1793">
        <v>0</v>
      </c>
      <c r="G46" s="1793">
        <v>0</v>
      </c>
      <c r="H46" s="1793">
        <v>0</v>
      </c>
      <c r="I46" s="1793">
        <v>0</v>
      </c>
      <c r="J46" s="1794">
        <f t="shared" si="5"/>
        <v>0</v>
      </c>
      <c r="K46" s="1794">
        <f t="shared" si="6"/>
        <v>0</v>
      </c>
      <c r="L46" s="1793">
        <f t="shared" si="7"/>
        <v>0</v>
      </c>
      <c r="M46" s="30" t="s">
        <v>2970</v>
      </c>
      <c r="N46" s="30" t="s">
        <v>2971</v>
      </c>
    </row>
    <row r="47" spans="1:14" x14ac:dyDescent="0.4">
      <c r="A47" s="16">
        <v>192148</v>
      </c>
      <c r="B47" s="16">
        <v>60</v>
      </c>
      <c r="C47" s="16">
        <f t="shared" si="4"/>
        <v>300</v>
      </c>
      <c r="D47" s="1443">
        <v>0</v>
      </c>
      <c r="E47" s="1443">
        <v>0</v>
      </c>
      <c r="F47" s="1443">
        <v>0</v>
      </c>
      <c r="G47" s="1443">
        <v>0</v>
      </c>
      <c r="H47" s="1443">
        <v>0</v>
      </c>
      <c r="I47" s="1443">
        <v>0</v>
      </c>
      <c r="J47" s="1444">
        <f t="shared" si="5"/>
        <v>0</v>
      </c>
      <c r="K47" s="1444">
        <f t="shared" si="6"/>
        <v>0</v>
      </c>
      <c r="L47" s="1443">
        <f t="shared" si="7"/>
        <v>0</v>
      </c>
      <c r="M47" s="30" t="s">
        <v>2970</v>
      </c>
      <c r="N47" s="30" t="s">
        <v>2971</v>
      </c>
    </row>
    <row r="48" spans="1:14" x14ac:dyDescent="0.4">
      <c r="A48" s="22">
        <v>192149</v>
      </c>
      <c r="B48" s="22">
        <v>60</v>
      </c>
      <c r="C48" s="22">
        <f t="shared" si="4"/>
        <v>300</v>
      </c>
      <c r="D48" s="557">
        <v>0</v>
      </c>
      <c r="E48" s="557">
        <v>0</v>
      </c>
      <c r="F48" s="557">
        <v>0</v>
      </c>
      <c r="G48" s="557">
        <v>0</v>
      </c>
      <c r="H48" s="557">
        <v>0</v>
      </c>
      <c r="I48" s="557">
        <v>0</v>
      </c>
      <c r="J48" s="24">
        <f t="shared" si="5"/>
        <v>0</v>
      </c>
      <c r="K48" s="24">
        <f t="shared" si="6"/>
        <v>0</v>
      </c>
      <c r="L48" s="557">
        <f t="shared" si="7"/>
        <v>0</v>
      </c>
      <c r="M48" s="29" t="s">
        <v>2972</v>
      </c>
      <c r="N48" s="29" t="s">
        <v>2973</v>
      </c>
    </row>
    <row r="49" spans="1:18" x14ac:dyDescent="0.4">
      <c r="A49" s="36">
        <v>192150</v>
      </c>
      <c r="B49">
        <v>60</v>
      </c>
      <c r="C49" s="36">
        <f t="shared" si="4"/>
        <v>300</v>
      </c>
      <c r="D49" s="1047">
        <v>0</v>
      </c>
      <c r="E49" s="1047">
        <v>0</v>
      </c>
      <c r="F49" s="1047">
        <v>1</v>
      </c>
      <c r="G49" s="1047">
        <v>1</v>
      </c>
      <c r="H49" s="1047">
        <v>1</v>
      </c>
      <c r="I49" s="1047">
        <v>1</v>
      </c>
      <c r="J49" s="1048">
        <f t="shared" si="5"/>
        <v>4</v>
      </c>
      <c r="K49" s="1048">
        <f t="shared" si="6"/>
        <v>3</v>
      </c>
      <c r="L49" s="1047">
        <f t="shared" si="7"/>
        <v>180</v>
      </c>
      <c r="M49" s="955" t="s">
        <v>1931</v>
      </c>
      <c r="N49" s="955" t="s">
        <v>2974</v>
      </c>
    </row>
    <row r="50" spans="1:18" x14ac:dyDescent="0.4">
      <c r="A50" s="16">
        <v>192151</v>
      </c>
      <c r="B50" s="16">
        <v>45</v>
      </c>
      <c r="C50" s="16">
        <f t="shared" si="4"/>
        <v>225</v>
      </c>
      <c r="D50" s="1467">
        <v>0</v>
      </c>
      <c r="E50" s="1467">
        <v>0</v>
      </c>
      <c r="F50" s="1467">
        <v>0</v>
      </c>
      <c r="G50" s="1467">
        <v>0</v>
      </c>
      <c r="H50" s="1467">
        <v>0</v>
      </c>
      <c r="I50" s="1467">
        <v>0</v>
      </c>
      <c r="J50" s="1468">
        <f t="shared" si="5"/>
        <v>0</v>
      </c>
      <c r="K50" s="1468">
        <f t="shared" si="6"/>
        <v>0</v>
      </c>
      <c r="L50" s="1467">
        <f t="shared" si="7"/>
        <v>0</v>
      </c>
      <c r="M50" s="30" t="s">
        <v>1931</v>
      </c>
      <c r="N50" s="30" t="s">
        <v>2974</v>
      </c>
    </row>
    <row r="51" spans="1:18" x14ac:dyDescent="0.4">
      <c r="A51" s="16">
        <v>192152</v>
      </c>
      <c r="B51" s="16">
        <v>45</v>
      </c>
      <c r="C51" s="16">
        <f t="shared" si="4"/>
        <v>225</v>
      </c>
      <c r="D51" s="1654">
        <v>0</v>
      </c>
      <c r="E51" s="1654">
        <v>0</v>
      </c>
      <c r="F51" s="1654">
        <v>0</v>
      </c>
      <c r="G51" s="1654">
        <v>0</v>
      </c>
      <c r="H51" s="1654">
        <v>0</v>
      </c>
      <c r="I51" s="1654">
        <v>0</v>
      </c>
      <c r="J51" s="1655">
        <f t="shared" si="5"/>
        <v>0</v>
      </c>
      <c r="K51" s="1655">
        <f t="shared" si="6"/>
        <v>0</v>
      </c>
      <c r="L51" s="1654">
        <f t="shared" si="7"/>
        <v>0</v>
      </c>
      <c r="M51" s="30" t="s">
        <v>1931</v>
      </c>
      <c r="N51" s="30" t="s">
        <v>2974</v>
      </c>
    </row>
    <row r="52" spans="1:18" x14ac:dyDescent="0.4">
      <c r="A52" s="16">
        <v>192153</v>
      </c>
      <c r="B52" s="16">
        <v>60</v>
      </c>
      <c r="C52" s="16">
        <f t="shared" si="4"/>
        <v>300</v>
      </c>
      <c r="D52" s="1501">
        <v>0</v>
      </c>
      <c r="E52" s="1501">
        <v>0</v>
      </c>
      <c r="F52" s="1501">
        <v>0</v>
      </c>
      <c r="G52" s="1501">
        <v>0</v>
      </c>
      <c r="H52" s="1501">
        <v>0</v>
      </c>
      <c r="I52" s="1501">
        <v>0</v>
      </c>
      <c r="J52" s="1502">
        <f t="shared" si="5"/>
        <v>0</v>
      </c>
      <c r="K52" s="1502">
        <f t="shared" si="6"/>
        <v>0</v>
      </c>
      <c r="L52" s="1501">
        <f t="shared" si="7"/>
        <v>0</v>
      </c>
      <c r="M52" s="30" t="s">
        <v>2975</v>
      </c>
      <c r="N52" s="30" t="s">
        <v>2976</v>
      </c>
    </row>
    <row r="53" spans="1:18" x14ac:dyDescent="0.4">
      <c r="A53" s="16">
        <v>192154</v>
      </c>
      <c r="B53" s="16">
        <v>70</v>
      </c>
      <c r="C53" s="16">
        <f t="shared" si="4"/>
        <v>350</v>
      </c>
      <c r="D53" s="1267">
        <v>0</v>
      </c>
      <c r="E53" s="1267">
        <v>0</v>
      </c>
      <c r="F53" s="1267">
        <v>0</v>
      </c>
      <c r="G53" s="1267">
        <v>0</v>
      </c>
      <c r="H53" s="1267">
        <v>0</v>
      </c>
      <c r="I53" s="1267">
        <v>0</v>
      </c>
      <c r="J53" s="1268">
        <f t="shared" si="5"/>
        <v>0</v>
      </c>
      <c r="K53" s="1268">
        <f t="shared" si="6"/>
        <v>0</v>
      </c>
      <c r="L53" s="1267">
        <f t="shared" si="7"/>
        <v>0</v>
      </c>
      <c r="M53" s="30" t="s">
        <v>2975</v>
      </c>
      <c r="N53" s="30" t="s">
        <v>2976</v>
      </c>
    </row>
    <row r="54" spans="1:18" x14ac:dyDescent="0.4">
      <c r="A54" s="16">
        <v>192155</v>
      </c>
      <c r="B54" s="16">
        <v>70</v>
      </c>
      <c r="C54" s="16">
        <f t="shared" si="4"/>
        <v>350</v>
      </c>
      <c r="D54" s="1193">
        <v>0</v>
      </c>
      <c r="E54" s="1193">
        <v>0</v>
      </c>
      <c r="F54" s="1193">
        <v>0</v>
      </c>
      <c r="G54" s="1193">
        <v>0</v>
      </c>
      <c r="H54" s="1193">
        <v>0</v>
      </c>
      <c r="I54" s="1193">
        <v>0</v>
      </c>
      <c r="J54" s="1194">
        <f t="shared" si="5"/>
        <v>0</v>
      </c>
      <c r="K54" s="1194">
        <f t="shared" si="6"/>
        <v>0</v>
      </c>
      <c r="L54" s="1193">
        <f t="shared" si="7"/>
        <v>0</v>
      </c>
      <c r="M54" s="30" t="s">
        <v>2975</v>
      </c>
      <c r="N54" s="30" t="s">
        <v>2976</v>
      </c>
    </row>
    <row r="55" spans="1:18" x14ac:dyDescent="0.4">
      <c r="A55" s="36">
        <v>192156</v>
      </c>
      <c r="B55">
        <v>50</v>
      </c>
      <c r="C55" s="36">
        <f t="shared" si="4"/>
        <v>250</v>
      </c>
      <c r="D55" s="1047">
        <v>0</v>
      </c>
      <c r="E55" s="1047">
        <v>1</v>
      </c>
      <c r="F55" s="1047">
        <v>1</v>
      </c>
      <c r="G55" s="1047">
        <v>1</v>
      </c>
      <c r="H55" s="1047">
        <v>1</v>
      </c>
      <c r="I55" s="1047">
        <v>1</v>
      </c>
      <c r="J55" s="1048">
        <f t="shared" si="5"/>
        <v>5</v>
      </c>
      <c r="K55" s="1048">
        <f t="shared" si="6"/>
        <v>4</v>
      </c>
      <c r="L55" s="1047">
        <f t="shared" si="7"/>
        <v>200</v>
      </c>
      <c r="M55" s="955" t="s">
        <v>2977</v>
      </c>
      <c r="N55" s="955" t="s">
        <v>2978</v>
      </c>
    </row>
    <row r="56" spans="1:18" x14ac:dyDescent="0.4">
      <c r="A56" s="16">
        <v>192157</v>
      </c>
      <c r="B56" s="16">
        <v>60</v>
      </c>
      <c r="C56" s="16">
        <f t="shared" si="4"/>
        <v>300</v>
      </c>
      <c r="D56" s="1265">
        <v>0</v>
      </c>
      <c r="E56" s="1265">
        <v>0</v>
      </c>
      <c r="F56" s="1265">
        <v>0</v>
      </c>
      <c r="G56" s="1265">
        <v>0</v>
      </c>
      <c r="H56" s="1265">
        <v>0</v>
      </c>
      <c r="I56" s="1265">
        <v>0</v>
      </c>
      <c r="J56" s="1266">
        <f t="shared" si="5"/>
        <v>0</v>
      </c>
      <c r="K56" s="1266">
        <f t="shared" si="6"/>
        <v>0</v>
      </c>
      <c r="L56" s="1265">
        <f t="shared" si="7"/>
        <v>0</v>
      </c>
      <c r="M56" s="30" t="s">
        <v>2977</v>
      </c>
      <c r="N56" s="30" t="s">
        <v>2978</v>
      </c>
    </row>
    <row r="57" spans="1:18" x14ac:dyDescent="0.4">
      <c r="A57" s="16">
        <v>192158</v>
      </c>
      <c r="B57" s="16">
        <v>45</v>
      </c>
      <c r="C57" s="16">
        <f t="shared" si="4"/>
        <v>225</v>
      </c>
      <c r="D57" s="1199">
        <v>0</v>
      </c>
      <c r="E57" s="1199">
        <v>0</v>
      </c>
      <c r="F57" s="1199">
        <v>0</v>
      </c>
      <c r="G57" s="1199">
        <v>0</v>
      </c>
      <c r="H57" s="1199">
        <v>0</v>
      </c>
      <c r="I57" s="1199">
        <v>0</v>
      </c>
      <c r="J57" s="1200">
        <f t="shared" si="5"/>
        <v>0</v>
      </c>
      <c r="K57" s="1200">
        <f t="shared" si="6"/>
        <v>0</v>
      </c>
      <c r="L57" s="1199">
        <f t="shared" si="7"/>
        <v>0</v>
      </c>
      <c r="M57" s="30" t="s">
        <v>2979</v>
      </c>
      <c r="N57" s="30" t="s">
        <v>2980</v>
      </c>
    </row>
    <row r="58" spans="1:18" x14ac:dyDescent="0.4">
      <c r="A58" s="36">
        <v>192159</v>
      </c>
      <c r="B58">
        <v>60</v>
      </c>
      <c r="C58" s="36">
        <f t="shared" si="4"/>
        <v>300</v>
      </c>
      <c r="D58" s="1047">
        <v>0</v>
      </c>
      <c r="E58" s="1047">
        <v>0</v>
      </c>
      <c r="F58" s="1047">
        <v>0</v>
      </c>
      <c r="G58" s="1047">
        <v>0</v>
      </c>
      <c r="H58" s="1047">
        <v>0</v>
      </c>
      <c r="I58" s="1047">
        <v>1</v>
      </c>
      <c r="J58" s="1048">
        <f t="shared" si="5"/>
        <v>1</v>
      </c>
      <c r="K58" s="1048">
        <f t="shared" si="6"/>
        <v>0</v>
      </c>
      <c r="L58" s="1047">
        <f t="shared" si="7"/>
        <v>0</v>
      </c>
      <c r="M58" s="955" t="s">
        <v>2979</v>
      </c>
      <c r="N58" s="955" t="s">
        <v>2980</v>
      </c>
    </row>
    <row r="59" spans="1:18" x14ac:dyDescent="0.4">
      <c r="A59" s="16">
        <v>192160</v>
      </c>
      <c r="B59" s="16">
        <v>60</v>
      </c>
      <c r="C59" s="16">
        <f t="shared" ref="C59:C88" si="8">SUM(B59*5)</f>
        <v>300</v>
      </c>
      <c r="D59" s="1459">
        <v>0</v>
      </c>
      <c r="E59" s="1459">
        <v>0</v>
      </c>
      <c r="F59" s="1459">
        <v>0</v>
      </c>
      <c r="G59" s="1459">
        <v>0</v>
      </c>
      <c r="H59" s="1459">
        <v>0</v>
      </c>
      <c r="I59" s="1459">
        <v>0</v>
      </c>
      <c r="J59" s="1460">
        <f t="shared" ref="J59:J88" si="9">SUM(D59:I59)</f>
        <v>0</v>
      </c>
      <c r="K59" s="1460">
        <f t="shared" ref="K59:K88" si="10">SUM(D59:H59)</f>
        <v>0</v>
      </c>
      <c r="L59" s="1459">
        <f t="shared" ref="L59:L88" si="11">B59*K59</f>
        <v>0</v>
      </c>
      <c r="M59" s="30" t="s">
        <v>2979</v>
      </c>
      <c r="N59" s="30" t="s">
        <v>2980</v>
      </c>
    </row>
    <row r="60" spans="1:18" x14ac:dyDescent="0.4">
      <c r="A60" s="16">
        <v>192161</v>
      </c>
      <c r="B60" s="16">
        <v>60</v>
      </c>
      <c r="C60" s="16">
        <f>SUM(B60*5)</f>
        <v>300</v>
      </c>
      <c r="D60" s="1459">
        <v>0</v>
      </c>
      <c r="E60" s="1459">
        <v>0</v>
      </c>
      <c r="F60" s="1459">
        <v>0</v>
      </c>
      <c r="G60" s="1459">
        <v>0</v>
      </c>
      <c r="H60" s="1459">
        <v>0</v>
      </c>
      <c r="I60" s="1459">
        <v>0</v>
      </c>
      <c r="J60" s="1460">
        <f>SUM(D60:I60)</f>
        <v>0</v>
      </c>
      <c r="K60" s="1460">
        <f>SUM(D60:H60)</f>
        <v>0</v>
      </c>
      <c r="L60" s="1459">
        <f>B60*K60</f>
        <v>0</v>
      </c>
      <c r="M60" s="30" t="s">
        <v>2981</v>
      </c>
      <c r="N60" s="30" t="s">
        <v>2982</v>
      </c>
    </row>
    <row r="61" spans="1:18" x14ac:dyDescent="0.4">
      <c r="A61" s="16">
        <v>192162</v>
      </c>
      <c r="B61" s="16">
        <v>45</v>
      </c>
      <c r="C61" s="16">
        <f>SUM(B61*5)</f>
        <v>225</v>
      </c>
      <c r="D61" s="1291">
        <v>0</v>
      </c>
      <c r="E61" s="1291">
        <v>0</v>
      </c>
      <c r="F61" s="1291">
        <v>0</v>
      </c>
      <c r="G61" s="1291">
        <v>0</v>
      </c>
      <c r="H61" s="1291">
        <v>0</v>
      </c>
      <c r="I61" s="1291">
        <v>0</v>
      </c>
      <c r="J61" s="1292">
        <f>SUM(D61:I61)</f>
        <v>0</v>
      </c>
      <c r="K61" s="1292">
        <f>SUM(D61:H61)</f>
        <v>0</v>
      </c>
      <c r="L61" s="1291">
        <f>B61*K61</f>
        <v>0</v>
      </c>
      <c r="M61" s="30" t="s">
        <v>2981</v>
      </c>
      <c r="N61" s="30" t="s">
        <v>2982</v>
      </c>
    </row>
    <row r="62" spans="1:18" x14ac:dyDescent="0.4">
      <c r="A62" s="16">
        <v>192163</v>
      </c>
      <c r="B62" s="16">
        <v>45</v>
      </c>
      <c r="C62" s="16">
        <f t="shared" si="8"/>
        <v>225</v>
      </c>
      <c r="D62" s="1392">
        <v>0</v>
      </c>
      <c r="E62" s="1392">
        <v>0</v>
      </c>
      <c r="F62" s="1392">
        <v>0</v>
      </c>
      <c r="G62" s="1392">
        <v>0</v>
      </c>
      <c r="H62" s="1392">
        <v>0</v>
      </c>
      <c r="I62" s="1392">
        <v>0</v>
      </c>
      <c r="J62" s="1393">
        <f t="shared" si="9"/>
        <v>0</v>
      </c>
      <c r="K62" s="1393">
        <f t="shared" si="10"/>
        <v>0</v>
      </c>
      <c r="L62" s="1392">
        <f t="shared" si="11"/>
        <v>0</v>
      </c>
      <c r="M62" s="30" t="s">
        <v>2984</v>
      </c>
      <c r="N62" s="30" t="s">
        <v>2985</v>
      </c>
      <c r="O62" s="18" t="s">
        <v>2986</v>
      </c>
      <c r="P62" s="18"/>
      <c r="Q62" s="18"/>
      <c r="R62" s="18"/>
    </row>
    <row r="63" spans="1:18" x14ac:dyDescent="0.4">
      <c r="A63" s="36">
        <v>192164</v>
      </c>
      <c r="B63">
        <v>90</v>
      </c>
      <c r="C63" s="36">
        <f t="shared" si="8"/>
        <v>450</v>
      </c>
      <c r="D63" s="1060">
        <v>0</v>
      </c>
      <c r="E63" s="1060">
        <v>0</v>
      </c>
      <c r="F63" s="1060">
        <v>0</v>
      </c>
      <c r="G63" s="1060">
        <v>0</v>
      </c>
      <c r="H63" s="1060">
        <v>1</v>
      </c>
      <c r="I63" s="1060">
        <v>1</v>
      </c>
      <c r="J63" s="1061">
        <f t="shared" si="9"/>
        <v>2</v>
      </c>
      <c r="K63" s="1061">
        <f t="shared" si="10"/>
        <v>1</v>
      </c>
      <c r="L63" s="1060">
        <f t="shared" si="11"/>
        <v>90</v>
      </c>
      <c r="M63" s="955" t="s">
        <v>2984</v>
      </c>
      <c r="N63" s="955" t="s">
        <v>2985</v>
      </c>
    </row>
    <row r="64" spans="1:18" x14ac:dyDescent="0.4">
      <c r="A64" s="16">
        <v>192165</v>
      </c>
      <c r="B64" s="16">
        <v>60</v>
      </c>
      <c r="C64" s="16">
        <f t="shared" si="8"/>
        <v>300</v>
      </c>
      <c r="D64" s="1240">
        <v>0</v>
      </c>
      <c r="E64" s="1240">
        <v>0</v>
      </c>
      <c r="F64" s="1240">
        <v>0</v>
      </c>
      <c r="G64" s="1240">
        <v>0</v>
      </c>
      <c r="H64" s="1240">
        <v>0</v>
      </c>
      <c r="I64" s="1240">
        <v>0</v>
      </c>
      <c r="J64" s="1241">
        <f t="shared" si="9"/>
        <v>0</v>
      </c>
      <c r="K64" s="1241">
        <f t="shared" si="10"/>
        <v>0</v>
      </c>
      <c r="L64" s="1240">
        <f t="shared" si="11"/>
        <v>0</v>
      </c>
      <c r="M64" s="30" t="s">
        <v>2987</v>
      </c>
      <c r="N64" s="30" t="s">
        <v>2988</v>
      </c>
    </row>
    <row r="65" spans="1:23" x14ac:dyDescent="0.4">
      <c r="A65" s="36">
        <v>192166</v>
      </c>
      <c r="B65">
        <v>60</v>
      </c>
      <c r="C65" s="36">
        <f t="shared" si="8"/>
        <v>300</v>
      </c>
      <c r="D65" s="1060">
        <v>0</v>
      </c>
      <c r="E65" s="1060">
        <v>0</v>
      </c>
      <c r="F65" s="1060">
        <v>0</v>
      </c>
      <c r="G65" s="1060">
        <v>1</v>
      </c>
      <c r="H65" s="1060">
        <v>1</v>
      </c>
      <c r="I65" s="1060">
        <v>1</v>
      </c>
      <c r="J65" s="1061">
        <f t="shared" si="9"/>
        <v>3</v>
      </c>
      <c r="K65" s="1061">
        <f t="shared" si="10"/>
        <v>2</v>
      </c>
      <c r="L65" s="1060">
        <f t="shared" si="11"/>
        <v>120</v>
      </c>
      <c r="M65" s="955" t="s">
        <v>2987</v>
      </c>
      <c r="N65" s="955" t="s">
        <v>2988</v>
      </c>
    </row>
    <row r="66" spans="1:23" x14ac:dyDescent="0.4">
      <c r="A66" s="16">
        <v>192167</v>
      </c>
      <c r="B66" s="16">
        <v>50</v>
      </c>
      <c r="C66" s="16">
        <f t="shared" si="8"/>
        <v>250</v>
      </c>
      <c r="D66" s="1280">
        <v>0</v>
      </c>
      <c r="E66" s="1280">
        <v>0</v>
      </c>
      <c r="F66" s="1280">
        <v>0</v>
      </c>
      <c r="G66" s="1280">
        <v>0</v>
      </c>
      <c r="H66" s="1280">
        <v>0</v>
      </c>
      <c r="I66" s="1280">
        <v>0</v>
      </c>
      <c r="J66" s="1281">
        <f t="shared" si="9"/>
        <v>0</v>
      </c>
      <c r="K66" s="1281">
        <f t="shared" si="10"/>
        <v>0</v>
      </c>
      <c r="L66" s="1280">
        <f t="shared" si="11"/>
        <v>0</v>
      </c>
      <c r="M66" s="30" t="s">
        <v>2989</v>
      </c>
      <c r="N66" s="30" t="s">
        <v>2990</v>
      </c>
    </row>
    <row r="67" spans="1:23" x14ac:dyDescent="0.4">
      <c r="A67" s="16">
        <v>192168</v>
      </c>
      <c r="B67" s="16">
        <v>45</v>
      </c>
      <c r="C67" s="16">
        <f t="shared" si="8"/>
        <v>225</v>
      </c>
      <c r="D67" s="1457">
        <v>0</v>
      </c>
      <c r="E67" s="1457">
        <v>0</v>
      </c>
      <c r="F67" s="1457">
        <v>0</v>
      </c>
      <c r="G67" s="1457">
        <v>0</v>
      </c>
      <c r="H67" s="1457">
        <v>0</v>
      </c>
      <c r="I67" s="1457">
        <v>0</v>
      </c>
      <c r="J67" s="1458">
        <f t="shared" si="9"/>
        <v>0</v>
      </c>
      <c r="K67" s="1458">
        <f t="shared" si="10"/>
        <v>0</v>
      </c>
      <c r="L67" s="1457">
        <f t="shared" si="11"/>
        <v>0</v>
      </c>
      <c r="M67" s="30" t="s">
        <v>2989</v>
      </c>
      <c r="N67" s="30" t="s">
        <v>2990</v>
      </c>
    </row>
    <row r="68" spans="1:23" x14ac:dyDescent="0.4">
      <c r="A68" s="1078">
        <v>192169</v>
      </c>
      <c r="B68" s="1078">
        <v>0</v>
      </c>
      <c r="C68" s="1078">
        <f t="shared" si="8"/>
        <v>0</v>
      </c>
      <c r="D68" s="1079">
        <v>1</v>
      </c>
      <c r="E68" s="1079">
        <v>1</v>
      </c>
      <c r="F68" s="1079">
        <v>1</v>
      </c>
      <c r="G68" s="1079">
        <v>1</v>
      </c>
      <c r="H68" s="1079">
        <v>1</v>
      </c>
      <c r="I68" s="1079">
        <v>1</v>
      </c>
      <c r="J68" s="1080">
        <f t="shared" si="9"/>
        <v>6</v>
      </c>
      <c r="K68" s="1080">
        <f t="shared" si="10"/>
        <v>5</v>
      </c>
      <c r="L68" s="1079">
        <f t="shared" si="11"/>
        <v>0</v>
      </c>
      <c r="M68" s="1081" t="s">
        <v>2989</v>
      </c>
      <c r="N68" s="1081" t="s">
        <v>2992</v>
      </c>
      <c r="O68" s="1078" t="s">
        <v>2991</v>
      </c>
    </row>
    <row r="69" spans="1:23" x14ac:dyDescent="0.4">
      <c r="A69" s="16">
        <v>192170</v>
      </c>
      <c r="B69" s="16">
        <v>60</v>
      </c>
      <c r="C69" s="16">
        <f t="shared" si="8"/>
        <v>300</v>
      </c>
      <c r="D69" s="1647">
        <v>0</v>
      </c>
      <c r="E69" s="1647">
        <v>0</v>
      </c>
      <c r="F69" s="1647">
        <v>0</v>
      </c>
      <c r="G69" s="1647">
        <v>0</v>
      </c>
      <c r="H69" s="1647">
        <v>0</v>
      </c>
      <c r="I69" s="1647">
        <v>0</v>
      </c>
      <c r="J69" s="1648">
        <f t="shared" si="9"/>
        <v>0</v>
      </c>
      <c r="K69" s="1648">
        <f t="shared" si="10"/>
        <v>0</v>
      </c>
      <c r="L69" s="1647">
        <f t="shared" si="11"/>
        <v>0</v>
      </c>
      <c r="M69" s="30" t="s">
        <v>1942</v>
      </c>
      <c r="N69" s="30" t="s">
        <v>2994</v>
      </c>
    </row>
    <row r="70" spans="1:23" x14ac:dyDescent="0.4">
      <c r="A70" s="16">
        <v>192171</v>
      </c>
      <c r="B70" s="16">
        <v>60</v>
      </c>
      <c r="C70" s="16">
        <f t="shared" si="8"/>
        <v>300</v>
      </c>
      <c r="D70" s="1864">
        <v>0</v>
      </c>
      <c r="E70" s="1864">
        <v>0</v>
      </c>
      <c r="F70" s="1864">
        <v>0</v>
      </c>
      <c r="G70" s="1864">
        <v>0</v>
      </c>
      <c r="H70" s="1864">
        <v>0</v>
      </c>
      <c r="I70" s="1864">
        <v>0</v>
      </c>
      <c r="J70" s="1865">
        <f t="shared" si="9"/>
        <v>0</v>
      </c>
      <c r="K70" s="1865">
        <f t="shared" si="10"/>
        <v>0</v>
      </c>
      <c r="L70" s="1864">
        <f t="shared" si="11"/>
        <v>0</v>
      </c>
      <c r="M70" s="30" t="s">
        <v>1942</v>
      </c>
      <c r="N70" s="30" t="s">
        <v>2994</v>
      </c>
    </row>
    <row r="71" spans="1:23" x14ac:dyDescent="0.4">
      <c r="A71" s="16">
        <v>192172</v>
      </c>
      <c r="B71" s="16">
        <v>45</v>
      </c>
      <c r="C71" s="16">
        <f t="shared" si="8"/>
        <v>225</v>
      </c>
      <c r="D71" s="1398">
        <v>0</v>
      </c>
      <c r="E71" s="1398">
        <v>0</v>
      </c>
      <c r="F71" s="1398">
        <v>0</v>
      </c>
      <c r="G71" s="1398">
        <v>0</v>
      </c>
      <c r="H71" s="1398">
        <v>0</v>
      </c>
      <c r="I71" s="1398">
        <v>0</v>
      </c>
      <c r="J71" s="1399">
        <f t="shared" si="9"/>
        <v>0</v>
      </c>
      <c r="K71" s="1399">
        <f t="shared" si="10"/>
        <v>0</v>
      </c>
      <c r="L71" s="1398">
        <f t="shared" si="11"/>
        <v>0</v>
      </c>
      <c r="M71" s="30" t="s">
        <v>2995</v>
      </c>
      <c r="N71" s="30" t="s">
        <v>2996</v>
      </c>
      <c r="W71" t="s">
        <v>2993</v>
      </c>
    </row>
    <row r="72" spans="1:23" x14ac:dyDescent="0.4">
      <c r="A72" s="16">
        <v>192173</v>
      </c>
      <c r="B72" s="16">
        <v>45</v>
      </c>
      <c r="C72" s="16">
        <f t="shared" si="8"/>
        <v>225</v>
      </c>
      <c r="D72" s="1269">
        <v>0</v>
      </c>
      <c r="E72" s="1269">
        <v>0</v>
      </c>
      <c r="F72" s="1269">
        <v>0</v>
      </c>
      <c r="G72" s="1269">
        <v>0</v>
      </c>
      <c r="H72" s="1269">
        <v>0</v>
      </c>
      <c r="I72" s="1269">
        <v>0</v>
      </c>
      <c r="J72" s="1270">
        <f t="shared" si="9"/>
        <v>0</v>
      </c>
      <c r="K72" s="1270">
        <f t="shared" si="10"/>
        <v>0</v>
      </c>
      <c r="L72" s="1269">
        <f t="shared" si="11"/>
        <v>0</v>
      </c>
      <c r="M72" s="30" t="s">
        <v>2995</v>
      </c>
      <c r="N72" s="30" t="s">
        <v>2996</v>
      </c>
    </row>
    <row r="73" spans="1:23" x14ac:dyDescent="0.4">
      <c r="A73" s="36">
        <v>192174</v>
      </c>
      <c r="B73">
        <v>50</v>
      </c>
      <c r="C73" s="36">
        <f t="shared" si="8"/>
        <v>250</v>
      </c>
      <c r="D73" s="1060">
        <v>0</v>
      </c>
      <c r="E73" s="1060">
        <v>0</v>
      </c>
      <c r="F73" s="1060">
        <v>0</v>
      </c>
      <c r="G73" s="1060">
        <v>0</v>
      </c>
      <c r="H73" s="1060">
        <v>0</v>
      </c>
      <c r="I73" s="1060">
        <v>1</v>
      </c>
      <c r="J73" s="1061">
        <f t="shared" si="9"/>
        <v>1</v>
      </c>
      <c r="K73" s="1061">
        <f t="shared" si="10"/>
        <v>0</v>
      </c>
      <c r="L73" s="1060">
        <f t="shared" si="11"/>
        <v>0</v>
      </c>
      <c r="M73" s="955" t="s">
        <v>2995</v>
      </c>
      <c r="N73" s="955" t="s">
        <v>2996</v>
      </c>
    </row>
    <row r="74" spans="1:23" x14ac:dyDescent="0.4">
      <c r="A74" s="16">
        <v>192175</v>
      </c>
      <c r="B74" s="16">
        <v>45</v>
      </c>
      <c r="C74" s="16">
        <f t="shared" si="8"/>
        <v>225</v>
      </c>
      <c r="D74" s="1437">
        <v>0</v>
      </c>
      <c r="E74" s="1437">
        <v>0</v>
      </c>
      <c r="F74" s="1437">
        <v>0</v>
      </c>
      <c r="G74" s="1437">
        <v>0</v>
      </c>
      <c r="H74" s="1437">
        <v>0</v>
      </c>
      <c r="I74" s="1437">
        <v>0</v>
      </c>
      <c r="J74" s="1438">
        <f t="shared" si="9"/>
        <v>0</v>
      </c>
      <c r="K74" s="1438">
        <f t="shared" si="10"/>
        <v>0</v>
      </c>
      <c r="L74" s="1437">
        <f t="shared" si="11"/>
        <v>0</v>
      </c>
      <c r="M74" s="30" t="s">
        <v>2995</v>
      </c>
      <c r="N74" s="30" t="s">
        <v>2996</v>
      </c>
      <c r="O74" t="s">
        <v>3349</v>
      </c>
    </row>
    <row r="75" spans="1:23" x14ac:dyDescent="0.4">
      <c r="A75" s="16">
        <v>192176</v>
      </c>
      <c r="B75" s="16">
        <v>60</v>
      </c>
      <c r="C75" s="16">
        <f t="shared" si="8"/>
        <v>300</v>
      </c>
      <c r="D75" s="1696">
        <v>0</v>
      </c>
      <c r="E75" s="1696">
        <v>0</v>
      </c>
      <c r="F75" s="1696">
        <v>0</v>
      </c>
      <c r="G75" s="1696">
        <v>0</v>
      </c>
      <c r="H75" s="1696">
        <v>0</v>
      </c>
      <c r="I75" s="1696">
        <v>0</v>
      </c>
      <c r="J75" s="1697">
        <f t="shared" si="9"/>
        <v>0</v>
      </c>
      <c r="K75" s="1697">
        <f t="shared" si="10"/>
        <v>0</v>
      </c>
      <c r="L75" s="1696">
        <f t="shared" si="11"/>
        <v>0</v>
      </c>
      <c r="M75" s="30" t="s">
        <v>2995</v>
      </c>
      <c r="N75" s="30" t="s">
        <v>2996</v>
      </c>
    </row>
    <row r="76" spans="1:23" x14ac:dyDescent="0.4">
      <c r="A76" s="16">
        <v>192177</v>
      </c>
      <c r="B76" s="16">
        <v>45</v>
      </c>
      <c r="C76" s="16">
        <f t="shared" si="8"/>
        <v>225</v>
      </c>
      <c r="D76" s="1471">
        <v>0</v>
      </c>
      <c r="E76" s="1471">
        <v>0</v>
      </c>
      <c r="F76" s="1471">
        <v>0</v>
      </c>
      <c r="G76" s="1471">
        <v>0</v>
      </c>
      <c r="H76" s="1471">
        <v>0</v>
      </c>
      <c r="I76" s="1471">
        <v>0</v>
      </c>
      <c r="J76" s="1472">
        <f t="shared" si="9"/>
        <v>0</v>
      </c>
      <c r="K76" s="1472">
        <f t="shared" si="10"/>
        <v>0</v>
      </c>
      <c r="L76" s="1471">
        <f t="shared" si="11"/>
        <v>0</v>
      </c>
      <c r="M76" s="30" t="s">
        <v>2997</v>
      </c>
      <c r="N76" s="30" t="s">
        <v>2998</v>
      </c>
    </row>
    <row r="77" spans="1:23" x14ac:dyDescent="0.4">
      <c r="A77" s="36">
        <v>192178</v>
      </c>
      <c r="B77">
        <v>45</v>
      </c>
      <c r="C77" s="36">
        <f t="shared" si="8"/>
        <v>225</v>
      </c>
      <c r="D77" s="1060">
        <v>0</v>
      </c>
      <c r="E77" s="1060">
        <v>0</v>
      </c>
      <c r="F77" s="1060">
        <v>0</v>
      </c>
      <c r="G77" s="1060">
        <v>1</v>
      </c>
      <c r="H77" s="1060">
        <v>1</v>
      </c>
      <c r="I77" s="1060">
        <v>1</v>
      </c>
      <c r="J77" s="1061">
        <f t="shared" si="9"/>
        <v>3</v>
      </c>
      <c r="K77" s="1061">
        <f t="shared" si="10"/>
        <v>2</v>
      </c>
      <c r="L77" s="1060">
        <f t="shared" si="11"/>
        <v>90</v>
      </c>
      <c r="M77" s="955" t="s">
        <v>2997</v>
      </c>
      <c r="N77" s="955" t="s">
        <v>2998</v>
      </c>
    </row>
    <row r="78" spans="1:23" x14ac:dyDescent="0.4">
      <c r="A78" s="22">
        <v>192179</v>
      </c>
      <c r="B78" s="22">
        <v>60</v>
      </c>
      <c r="C78" s="22">
        <f t="shared" si="8"/>
        <v>300</v>
      </c>
      <c r="D78" s="557">
        <v>0</v>
      </c>
      <c r="E78" s="557">
        <v>0</v>
      </c>
      <c r="F78" s="557">
        <v>0</v>
      </c>
      <c r="G78" s="557">
        <v>0</v>
      </c>
      <c r="H78" s="557">
        <v>0</v>
      </c>
      <c r="I78" s="557">
        <v>0</v>
      </c>
      <c r="J78" s="24">
        <f t="shared" si="9"/>
        <v>0</v>
      </c>
      <c r="K78" s="24">
        <f t="shared" si="10"/>
        <v>0</v>
      </c>
      <c r="L78" s="557">
        <f t="shared" si="11"/>
        <v>0</v>
      </c>
      <c r="M78" s="29" t="s">
        <v>2999</v>
      </c>
      <c r="N78" s="29" t="s">
        <v>3000</v>
      </c>
    </row>
    <row r="79" spans="1:23" x14ac:dyDescent="0.4">
      <c r="A79" s="36">
        <v>192180</v>
      </c>
      <c r="B79">
        <v>45</v>
      </c>
      <c r="C79" s="36">
        <f t="shared" si="8"/>
        <v>225</v>
      </c>
      <c r="D79" s="1060">
        <v>0</v>
      </c>
      <c r="E79" s="1060">
        <v>0</v>
      </c>
      <c r="F79" s="1060">
        <v>0</v>
      </c>
      <c r="G79" s="1060">
        <v>0</v>
      </c>
      <c r="H79" s="1060">
        <v>0</v>
      </c>
      <c r="I79" s="1060">
        <v>1</v>
      </c>
      <c r="J79" s="1061">
        <f t="shared" si="9"/>
        <v>1</v>
      </c>
      <c r="K79" s="1061">
        <f t="shared" si="10"/>
        <v>0</v>
      </c>
      <c r="L79" s="1060">
        <f t="shared" si="11"/>
        <v>0</v>
      </c>
      <c r="M79" s="955" t="s">
        <v>2999</v>
      </c>
      <c r="N79" s="955" t="s">
        <v>3000</v>
      </c>
    </row>
    <row r="80" spans="1:23" x14ac:dyDescent="0.4">
      <c r="A80" s="36">
        <v>192181</v>
      </c>
      <c r="B80">
        <v>45</v>
      </c>
      <c r="C80" s="36">
        <f t="shared" si="8"/>
        <v>225</v>
      </c>
      <c r="D80" s="1060">
        <v>0</v>
      </c>
      <c r="E80" s="1060">
        <v>0</v>
      </c>
      <c r="F80" s="1060">
        <v>0</v>
      </c>
      <c r="G80" s="1060">
        <v>0</v>
      </c>
      <c r="H80" s="1060">
        <v>1</v>
      </c>
      <c r="I80" s="1060">
        <v>1</v>
      </c>
      <c r="J80" s="1061">
        <f t="shared" si="9"/>
        <v>2</v>
      </c>
      <c r="K80" s="1061">
        <f t="shared" si="10"/>
        <v>1</v>
      </c>
      <c r="L80" s="1060">
        <f t="shared" si="11"/>
        <v>45</v>
      </c>
      <c r="M80" s="955" t="s">
        <v>2999</v>
      </c>
      <c r="N80" s="955" t="s">
        <v>3000</v>
      </c>
    </row>
    <row r="81" spans="1:14" x14ac:dyDescent="0.4">
      <c r="A81" s="16">
        <v>192182</v>
      </c>
      <c r="B81" s="16">
        <v>50</v>
      </c>
      <c r="C81" s="16">
        <f t="shared" si="8"/>
        <v>250</v>
      </c>
      <c r="D81" s="1782">
        <v>0</v>
      </c>
      <c r="E81" s="1782">
        <v>0</v>
      </c>
      <c r="F81" s="1782">
        <v>0</v>
      </c>
      <c r="G81" s="1782">
        <v>0</v>
      </c>
      <c r="H81" s="1782">
        <v>0</v>
      </c>
      <c r="I81" s="1782">
        <v>0</v>
      </c>
      <c r="J81" s="1783">
        <f t="shared" si="9"/>
        <v>0</v>
      </c>
      <c r="K81" s="1783">
        <f t="shared" si="10"/>
        <v>0</v>
      </c>
      <c r="L81" s="1782">
        <f t="shared" si="11"/>
        <v>0</v>
      </c>
      <c r="M81" s="30" t="s">
        <v>3001</v>
      </c>
      <c r="N81" s="30" t="s">
        <v>3002</v>
      </c>
    </row>
    <row r="82" spans="1:14" x14ac:dyDescent="0.4">
      <c r="A82" s="36">
        <v>192183</v>
      </c>
      <c r="B82">
        <v>50</v>
      </c>
      <c r="C82" s="36">
        <f t="shared" si="8"/>
        <v>250</v>
      </c>
      <c r="D82" s="1060">
        <v>0</v>
      </c>
      <c r="E82" s="1060">
        <v>0</v>
      </c>
      <c r="F82" s="1060">
        <v>0</v>
      </c>
      <c r="G82" s="1060">
        <v>0</v>
      </c>
      <c r="H82" s="1060">
        <v>0</v>
      </c>
      <c r="I82" s="1060">
        <v>1</v>
      </c>
      <c r="J82" s="1061">
        <f t="shared" si="9"/>
        <v>1</v>
      </c>
      <c r="K82" s="1061">
        <f t="shared" si="10"/>
        <v>0</v>
      </c>
      <c r="L82" s="1060">
        <f t="shared" si="11"/>
        <v>0</v>
      </c>
      <c r="M82" s="955" t="s">
        <v>3001</v>
      </c>
      <c r="N82" s="955" t="s">
        <v>3002</v>
      </c>
    </row>
    <row r="83" spans="1:14" x14ac:dyDescent="0.4">
      <c r="A83" s="36">
        <v>192184</v>
      </c>
      <c r="B83">
        <v>45</v>
      </c>
      <c r="C83" s="36">
        <f t="shared" si="8"/>
        <v>225</v>
      </c>
      <c r="D83" s="1060">
        <v>0</v>
      </c>
      <c r="E83" s="1060">
        <v>0</v>
      </c>
      <c r="F83" s="1060">
        <v>0</v>
      </c>
      <c r="G83" s="1060">
        <v>0</v>
      </c>
      <c r="H83" s="1060">
        <v>0</v>
      </c>
      <c r="I83" s="1060">
        <v>1</v>
      </c>
      <c r="J83" s="1061">
        <f t="shared" si="9"/>
        <v>1</v>
      </c>
      <c r="K83" s="1061">
        <f t="shared" si="10"/>
        <v>0</v>
      </c>
      <c r="L83" s="1060">
        <f t="shared" si="11"/>
        <v>0</v>
      </c>
      <c r="M83" s="955" t="s">
        <v>3001</v>
      </c>
      <c r="N83" s="955" t="s">
        <v>3002</v>
      </c>
    </row>
    <row r="84" spans="1:14" x14ac:dyDescent="0.4">
      <c r="A84" s="16">
        <v>192185</v>
      </c>
      <c r="B84" s="16">
        <v>60</v>
      </c>
      <c r="C84" s="16">
        <f t="shared" si="8"/>
        <v>300</v>
      </c>
      <c r="D84" s="1847">
        <v>0</v>
      </c>
      <c r="E84" s="1847">
        <v>0</v>
      </c>
      <c r="F84" s="1847">
        <v>0</v>
      </c>
      <c r="G84" s="1847">
        <v>0</v>
      </c>
      <c r="H84" s="1847">
        <v>0</v>
      </c>
      <c r="I84" s="1847">
        <v>0</v>
      </c>
      <c r="J84" s="1848">
        <f t="shared" si="9"/>
        <v>0</v>
      </c>
      <c r="K84" s="1848">
        <f t="shared" si="10"/>
        <v>0</v>
      </c>
      <c r="L84" s="1847">
        <f t="shared" si="11"/>
        <v>0</v>
      </c>
      <c r="M84" s="30" t="s">
        <v>3001</v>
      </c>
      <c r="N84" s="30" t="s">
        <v>3002</v>
      </c>
    </row>
    <row r="85" spans="1:14" x14ac:dyDescent="0.4">
      <c r="A85" s="16">
        <v>192186</v>
      </c>
      <c r="B85" s="16">
        <v>45</v>
      </c>
      <c r="C85" s="16">
        <f t="shared" si="8"/>
        <v>225</v>
      </c>
      <c r="D85" s="1210">
        <v>0</v>
      </c>
      <c r="E85" s="1210">
        <v>0</v>
      </c>
      <c r="F85" s="1210">
        <v>0</v>
      </c>
      <c r="G85" s="1210">
        <v>0</v>
      </c>
      <c r="H85" s="1210">
        <v>0</v>
      </c>
      <c r="I85" s="1210">
        <v>0</v>
      </c>
      <c r="J85" s="1211">
        <f t="shared" si="9"/>
        <v>0</v>
      </c>
      <c r="K85" s="1211">
        <f t="shared" si="10"/>
        <v>0</v>
      </c>
      <c r="L85" s="1210">
        <f t="shared" si="11"/>
        <v>0</v>
      </c>
      <c r="M85" s="30" t="s">
        <v>3003</v>
      </c>
      <c r="N85" s="30" t="s">
        <v>3004</v>
      </c>
    </row>
    <row r="86" spans="1:14" x14ac:dyDescent="0.4">
      <c r="A86" s="16">
        <v>192187</v>
      </c>
      <c r="B86" s="16">
        <v>70</v>
      </c>
      <c r="C86" s="16">
        <f t="shared" si="8"/>
        <v>350</v>
      </c>
      <c r="D86" s="1584">
        <v>0</v>
      </c>
      <c r="E86" s="1584">
        <v>0</v>
      </c>
      <c r="F86" s="1584">
        <v>0</v>
      </c>
      <c r="G86" s="1584">
        <v>0</v>
      </c>
      <c r="H86" s="1584">
        <v>0</v>
      </c>
      <c r="I86" s="1584">
        <v>0</v>
      </c>
      <c r="J86" s="1585">
        <f t="shared" si="9"/>
        <v>0</v>
      </c>
      <c r="K86" s="1585">
        <f t="shared" si="10"/>
        <v>0</v>
      </c>
      <c r="L86" s="1584">
        <f t="shared" si="11"/>
        <v>0</v>
      </c>
      <c r="M86" s="30" t="s">
        <v>3003</v>
      </c>
      <c r="N86" s="30" t="s">
        <v>3004</v>
      </c>
    </row>
    <row r="87" spans="1:14" x14ac:dyDescent="0.4">
      <c r="A87" s="36">
        <v>192188</v>
      </c>
      <c r="B87">
        <v>60</v>
      </c>
      <c r="C87" s="36">
        <f t="shared" si="8"/>
        <v>300</v>
      </c>
      <c r="D87" s="1060">
        <v>0</v>
      </c>
      <c r="E87" s="1060">
        <v>0</v>
      </c>
      <c r="F87" s="1060">
        <v>0</v>
      </c>
      <c r="G87" s="1060">
        <v>0</v>
      </c>
      <c r="H87" s="1060">
        <v>0</v>
      </c>
      <c r="I87" s="1060">
        <v>0</v>
      </c>
      <c r="J87" s="1061">
        <f t="shared" si="9"/>
        <v>0</v>
      </c>
      <c r="K87" s="1061">
        <f t="shared" si="10"/>
        <v>0</v>
      </c>
      <c r="L87" s="1060">
        <f t="shared" si="11"/>
        <v>0</v>
      </c>
      <c r="M87" s="955" t="s">
        <v>3003</v>
      </c>
      <c r="N87" s="955" t="s">
        <v>3004</v>
      </c>
    </row>
    <row r="88" spans="1:14" x14ac:dyDescent="0.4">
      <c r="A88" s="16">
        <v>192189</v>
      </c>
      <c r="B88" s="16">
        <v>45</v>
      </c>
      <c r="C88" s="16">
        <f t="shared" si="8"/>
        <v>225</v>
      </c>
      <c r="D88" s="1252">
        <v>0</v>
      </c>
      <c r="E88" s="1252">
        <v>0</v>
      </c>
      <c r="F88" s="1252">
        <v>0</v>
      </c>
      <c r="G88" s="1252">
        <v>0</v>
      </c>
      <c r="H88" s="1252">
        <v>0</v>
      </c>
      <c r="I88" s="1252">
        <v>0</v>
      </c>
      <c r="J88" s="1254">
        <f t="shared" si="9"/>
        <v>0</v>
      </c>
      <c r="K88" s="1254">
        <f t="shared" si="10"/>
        <v>0</v>
      </c>
      <c r="L88" s="1252">
        <f t="shared" si="11"/>
        <v>0</v>
      </c>
      <c r="M88" s="30" t="s">
        <v>3005</v>
      </c>
      <c r="N88" s="30" t="s">
        <v>3006</v>
      </c>
    </row>
    <row r="89" spans="1:14" x14ac:dyDescent="0.4">
      <c r="A89" s="16">
        <v>192190</v>
      </c>
      <c r="B89" s="16">
        <v>60</v>
      </c>
      <c r="C89" s="16">
        <f t="shared" ref="C89:C118" si="12">SUM(B89*5)</f>
        <v>300</v>
      </c>
      <c r="D89" s="1379">
        <v>0</v>
      </c>
      <c r="E89" s="1379">
        <v>0</v>
      </c>
      <c r="F89" s="1379">
        <v>0</v>
      </c>
      <c r="G89" s="1379">
        <v>0</v>
      </c>
      <c r="H89" s="1379">
        <v>0</v>
      </c>
      <c r="I89" s="1379">
        <v>0</v>
      </c>
      <c r="J89" s="1380">
        <f t="shared" ref="J89:J118" si="13">SUM(D89:I89)</f>
        <v>0</v>
      </c>
      <c r="K89" s="1380">
        <f t="shared" ref="K89:K118" si="14">SUM(D89:H89)</f>
        <v>0</v>
      </c>
      <c r="L89" s="1379">
        <f t="shared" ref="L89:L118" si="15">B89*K89</f>
        <v>0</v>
      </c>
      <c r="M89" s="30" t="s">
        <v>3005</v>
      </c>
      <c r="N89" s="30" t="s">
        <v>3006</v>
      </c>
    </row>
    <row r="90" spans="1:14" x14ac:dyDescent="0.4">
      <c r="A90" s="1">
        <v>192191</v>
      </c>
      <c r="B90" s="1">
        <v>50</v>
      </c>
      <c r="C90" s="1">
        <f t="shared" si="12"/>
        <v>250</v>
      </c>
      <c r="D90" s="2025">
        <v>0</v>
      </c>
      <c r="E90" s="2025">
        <v>0</v>
      </c>
      <c r="F90" s="2025">
        <v>0</v>
      </c>
      <c r="G90" s="2025">
        <v>0</v>
      </c>
      <c r="H90" s="2025">
        <v>0</v>
      </c>
      <c r="I90" s="2025">
        <v>0</v>
      </c>
      <c r="J90" s="2026">
        <f t="shared" si="13"/>
        <v>0</v>
      </c>
      <c r="K90" s="2026">
        <f t="shared" si="14"/>
        <v>0</v>
      </c>
      <c r="L90" s="2025">
        <f t="shared" si="15"/>
        <v>0</v>
      </c>
      <c r="M90" s="141" t="s">
        <v>3005</v>
      </c>
      <c r="N90" s="141" t="s">
        <v>3006</v>
      </c>
    </row>
    <row r="91" spans="1:14" x14ac:dyDescent="0.4">
      <c r="A91" s="36">
        <v>192192</v>
      </c>
      <c r="B91">
        <v>60</v>
      </c>
      <c r="C91" s="36">
        <f t="shared" si="12"/>
        <v>300</v>
      </c>
      <c r="D91" s="1101">
        <v>0</v>
      </c>
      <c r="E91" s="1101">
        <v>0</v>
      </c>
      <c r="F91" s="1101">
        <v>0</v>
      </c>
      <c r="G91" s="1101">
        <v>0</v>
      </c>
      <c r="H91" s="1101">
        <v>1</v>
      </c>
      <c r="I91" s="1101">
        <v>1</v>
      </c>
      <c r="J91" s="1103">
        <f t="shared" si="13"/>
        <v>2</v>
      </c>
      <c r="K91" s="1103">
        <f t="shared" si="14"/>
        <v>1</v>
      </c>
      <c r="L91" s="1101">
        <f t="shared" si="15"/>
        <v>60</v>
      </c>
      <c r="M91" s="955" t="s">
        <v>3005</v>
      </c>
      <c r="N91" s="955" t="s">
        <v>3006</v>
      </c>
    </row>
    <row r="92" spans="1:14" x14ac:dyDescent="0.4">
      <c r="A92" s="16">
        <v>192193</v>
      </c>
      <c r="B92" s="16">
        <v>45</v>
      </c>
      <c r="C92" s="16">
        <f t="shared" si="12"/>
        <v>225</v>
      </c>
      <c r="D92" s="1760">
        <v>0</v>
      </c>
      <c r="E92" s="1760">
        <v>0</v>
      </c>
      <c r="F92" s="1760">
        <v>0</v>
      </c>
      <c r="G92" s="1760">
        <v>0</v>
      </c>
      <c r="H92" s="1760">
        <v>0</v>
      </c>
      <c r="I92" s="1760">
        <v>0</v>
      </c>
      <c r="J92" s="1761">
        <f t="shared" si="13"/>
        <v>0</v>
      </c>
      <c r="K92" s="1761">
        <f t="shared" si="14"/>
        <v>0</v>
      </c>
      <c r="L92" s="1760">
        <f t="shared" si="15"/>
        <v>0</v>
      </c>
      <c r="M92" s="30" t="s">
        <v>3007</v>
      </c>
      <c r="N92" s="30" t="s">
        <v>3008</v>
      </c>
    </row>
    <row r="93" spans="1:14" x14ac:dyDescent="0.4">
      <c r="A93" s="16">
        <v>192194</v>
      </c>
      <c r="B93" s="16">
        <v>60</v>
      </c>
      <c r="C93" s="16">
        <f t="shared" si="12"/>
        <v>300</v>
      </c>
      <c r="D93" s="1493">
        <v>0</v>
      </c>
      <c r="E93" s="1493">
        <v>0</v>
      </c>
      <c r="F93" s="1493">
        <v>0</v>
      </c>
      <c r="G93" s="1493">
        <v>0</v>
      </c>
      <c r="H93" s="1493">
        <v>0</v>
      </c>
      <c r="I93" s="1493">
        <v>0</v>
      </c>
      <c r="J93" s="1494">
        <f t="shared" si="13"/>
        <v>0</v>
      </c>
      <c r="K93" s="1494">
        <f t="shared" si="14"/>
        <v>0</v>
      </c>
      <c r="L93" s="1493">
        <f t="shared" si="15"/>
        <v>0</v>
      </c>
      <c r="M93" s="30" t="s">
        <v>3007</v>
      </c>
      <c r="N93" s="30" t="s">
        <v>3008</v>
      </c>
    </row>
    <row r="94" spans="1:14" x14ac:dyDescent="0.4">
      <c r="A94" s="36">
        <v>192195</v>
      </c>
      <c r="B94">
        <v>50</v>
      </c>
      <c r="C94" s="36">
        <f t="shared" si="12"/>
        <v>250</v>
      </c>
      <c r="D94" s="1101">
        <v>0</v>
      </c>
      <c r="E94" s="1101">
        <v>0</v>
      </c>
      <c r="F94" s="1101">
        <v>0</v>
      </c>
      <c r="G94" s="1101">
        <v>0</v>
      </c>
      <c r="H94" s="1101">
        <v>1</v>
      </c>
      <c r="I94" s="1101">
        <v>1</v>
      </c>
      <c r="J94" s="1103">
        <f t="shared" si="13"/>
        <v>2</v>
      </c>
      <c r="K94" s="1103">
        <f t="shared" si="14"/>
        <v>1</v>
      </c>
      <c r="L94" s="1101">
        <f t="shared" si="15"/>
        <v>50</v>
      </c>
      <c r="M94" s="955" t="s">
        <v>3007</v>
      </c>
      <c r="N94" s="955" t="s">
        <v>3008</v>
      </c>
    </row>
    <row r="95" spans="1:14" x14ac:dyDescent="0.4">
      <c r="A95" s="16">
        <v>192196</v>
      </c>
      <c r="B95" s="16">
        <v>60</v>
      </c>
      <c r="C95" s="16">
        <f t="shared" si="12"/>
        <v>300</v>
      </c>
      <c r="D95" s="1309">
        <v>0</v>
      </c>
      <c r="E95" s="1309">
        <v>0</v>
      </c>
      <c r="F95" s="1309">
        <v>0</v>
      </c>
      <c r="G95" s="1309">
        <v>0</v>
      </c>
      <c r="H95" s="1309">
        <v>0</v>
      </c>
      <c r="I95" s="1309">
        <v>0</v>
      </c>
      <c r="J95" s="1310">
        <f t="shared" si="13"/>
        <v>0</v>
      </c>
      <c r="K95" s="1310">
        <f t="shared" si="14"/>
        <v>0</v>
      </c>
      <c r="L95" s="1309">
        <f t="shared" si="15"/>
        <v>0</v>
      </c>
      <c r="M95" s="30" t="s">
        <v>1953</v>
      </c>
      <c r="N95" s="30" t="s">
        <v>3008</v>
      </c>
    </row>
    <row r="96" spans="1:14" x14ac:dyDescent="0.4">
      <c r="A96" s="36">
        <v>192197</v>
      </c>
      <c r="B96">
        <v>60</v>
      </c>
      <c r="C96" s="36">
        <f t="shared" si="12"/>
        <v>300</v>
      </c>
      <c r="D96" s="1101">
        <v>0</v>
      </c>
      <c r="E96" s="1101">
        <v>1</v>
      </c>
      <c r="F96" s="1101">
        <v>1</v>
      </c>
      <c r="G96" s="1101">
        <v>1</v>
      </c>
      <c r="H96" s="1101">
        <v>1</v>
      </c>
      <c r="I96" s="1101">
        <v>1</v>
      </c>
      <c r="J96" s="1103">
        <f t="shared" si="13"/>
        <v>5</v>
      </c>
      <c r="K96" s="1103">
        <f t="shared" si="14"/>
        <v>4</v>
      </c>
      <c r="L96" s="1101">
        <f t="shared" si="15"/>
        <v>240</v>
      </c>
      <c r="M96" s="955" t="s">
        <v>1953</v>
      </c>
      <c r="N96" s="955" t="s">
        <v>3008</v>
      </c>
    </row>
    <row r="97" spans="1:18" x14ac:dyDescent="0.4">
      <c r="A97" s="5">
        <v>192198</v>
      </c>
      <c r="B97" s="5">
        <v>45</v>
      </c>
      <c r="C97" s="5">
        <f t="shared" si="12"/>
        <v>225</v>
      </c>
      <c r="D97" s="1928">
        <v>0</v>
      </c>
      <c r="E97" s="1928">
        <v>0</v>
      </c>
      <c r="F97" s="1928">
        <v>0</v>
      </c>
      <c r="G97" s="1928">
        <v>0</v>
      </c>
      <c r="H97" s="1928">
        <v>0</v>
      </c>
      <c r="I97" s="1928">
        <v>0</v>
      </c>
      <c r="J97" s="1929">
        <f t="shared" si="13"/>
        <v>0</v>
      </c>
      <c r="K97" s="1929">
        <f t="shared" si="14"/>
        <v>0</v>
      </c>
      <c r="L97" s="1928">
        <f t="shared" si="15"/>
        <v>0</v>
      </c>
      <c r="M97" s="1930" t="s">
        <v>3010</v>
      </c>
      <c r="N97" s="1930" t="s">
        <v>3011</v>
      </c>
      <c r="O97" s="987" t="s">
        <v>2986</v>
      </c>
      <c r="P97" s="987"/>
      <c r="Q97" s="987"/>
      <c r="R97" s="987"/>
    </row>
    <row r="98" spans="1:18" x14ac:dyDescent="0.4">
      <c r="A98" s="36">
        <v>192199</v>
      </c>
      <c r="B98">
        <v>60</v>
      </c>
      <c r="C98" s="36">
        <f t="shared" si="12"/>
        <v>300</v>
      </c>
      <c r="D98" s="1101">
        <v>0</v>
      </c>
      <c r="E98" s="1101">
        <v>0</v>
      </c>
      <c r="F98" s="1101">
        <v>0</v>
      </c>
      <c r="G98" s="1101">
        <v>0</v>
      </c>
      <c r="H98" s="1101">
        <v>0</v>
      </c>
      <c r="I98" s="1101">
        <v>1</v>
      </c>
      <c r="J98" s="1103">
        <f t="shared" si="13"/>
        <v>1</v>
      </c>
      <c r="K98" s="1103">
        <f t="shared" si="14"/>
        <v>0</v>
      </c>
      <c r="L98" s="1101">
        <f t="shared" si="15"/>
        <v>0</v>
      </c>
      <c r="M98" s="955" t="s">
        <v>3012</v>
      </c>
      <c r="N98" s="955" t="s">
        <v>3013</v>
      </c>
    </row>
    <row r="99" spans="1:18" x14ac:dyDescent="0.4">
      <c r="A99" s="36">
        <v>192200</v>
      </c>
      <c r="B99">
        <v>45</v>
      </c>
      <c r="C99" s="36">
        <f t="shared" si="12"/>
        <v>225</v>
      </c>
      <c r="D99" s="1101">
        <v>0</v>
      </c>
      <c r="E99" s="1101">
        <v>0</v>
      </c>
      <c r="F99" s="1101">
        <v>0</v>
      </c>
      <c r="G99" s="1101">
        <v>0</v>
      </c>
      <c r="H99" s="1101">
        <v>0</v>
      </c>
      <c r="I99" s="1101">
        <v>1</v>
      </c>
      <c r="J99" s="1103">
        <f t="shared" si="13"/>
        <v>1</v>
      </c>
      <c r="K99" s="1103">
        <f t="shared" si="14"/>
        <v>0</v>
      </c>
      <c r="L99" s="1101">
        <f t="shared" si="15"/>
        <v>0</v>
      </c>
      <c r="M99" s="955" t="s">
        <v>3012</v>
      </c>
      <c r="N99" s="955" t="s">
        <v>3013</v>
      </c>
    </row>
    <row r="100" spans="1:18" x14ac:dyDescent="0.4">
      <c r="A100" s="36">
        <v>192201</v>
      </c>
      <c r="B100">
        <v>45</v>
      </c>
      <c r="C100" s="36">
        <f t="shared" si="12"/>
        <v>225</v>
      </c>
      <c r="D100" s="1101">
        <v>0</v>
      </c>
      <c r="E100" s="1101">
        <v>0</v>
      </c>
      <c r="F100" s="1101">
        <v>0</v>
      </c>
      <c r="G100" s="1101">
        <v>1</v>
      </c>
      <c r="H100" s="1101">
        <v>1</v>
      </c>
      <c r="I100" s="1101">
        <v>1</v>
      </c>
      <c r="J100" s="1103">
        <f t="shared" si="13"/>
        <v>3</v>
      </c>
      <c r="K100" s="1103">
        <f t="shared" si="14"/>
        <v>2</v>
      </c>
      <c r="L100" s="1101">
        <f t="shared" si="15"/>
        <v>90</v>
      </c>
      <c r="M100" s="955" t="s">
        <v>3012</v>
      </c>
      <c r="N100" s="955" t="s">
        <v>3013</v>
      </c>
    </row>
    <row r="101" spans="1:18" x14ac:dyDescent="0.4">
      <c r="A101" s="1">
        <v>192202</v>
      </c>
      <c r="B101" s="1">
        <v>60</v>
      </c>
      <c r="C101" s="1">
        <f t="shared" si="12"/>
        <v>300</v>
      </c>
      <c r="D101" s="2017">
        <v>0</v>
      </c>
      <c r="E101" s="2017">
        <v>0</v>
      </c>
      <c r="F101" s="2017">
        <v>0</v>
      </c>
      <c r="G101" s="2017">
        <v>0</v>
      </c>
      <c r="H101" s="2017">
        <v>0</v>
      </c>
      <c r="I101" s="2017">
        <v>0</v>
      </c>
      <c r="J101" s="2018">
        <f t="shared" si="13"/>
        <v>0</v>
      </c>
      <c r="K101" s="2018">
        <f t="shared" si="14"/>
        <v>0</v>
      </c>
      <c r="L101" s="2017">
        <f t="shared" si="15"/>
        <v>0</v>
      </c>
      <c r="M101" s="141" t="s">
        <v>3014</v>
      </c>
      <c r="N101" s="141" t="s">
        <v>3015</v>
      </c>
    </row>
    <row r="102" spans="1:18" x14ac:dyDescent="0.4">
      <c r="A102" s="36">
        <v>192203</v>
      </c>
      <c r="B102">
        <v>60</v>
      </c>
      <c r="C102" s="36">
        <f t="shared" si="12"/>
        <v>300</v>
      </c>
      <c r="D102" s="1101">
        <v>0</v>
      </c>
      <c r="E102" s="1101">
        <v>0</v>
      </c>
      <c r="F102" s="1101">
        <v>0</v>
      </c>
      <c r="G102" s="1101">
        <v>1</v>
      </c>
      <c r="H102" s="1101">
        <v>1</v>
      </c>
      <c r="I102" s="1101">
        <v>1</v>
      </c>
      <c r="J102" s="1103">
        <f t="shared" si="13"/>
        <v>3</v>
      </c>
      <c r="K102" s="1103">
        <f t="shared" si="14"/>
        <v>2</v>
      </c>
      <c r="L102" s="1101">
        <f t="shared" si="15"/>
        <v>120</v>
      </c>
      <c r="M102" s="955" t="s">
        <v>3016</v>
      </c>
      <c r="N102" s="955" t="s">
        <v>3017</v>
      </c>
    </row>
    <row r="103" spans="1:18" x14ac:dyDescent="0.4">
      <c r="A103" s="36">
        <v>192204</v>
      </c>
      <c r="B103">
        <v>45</v>
      </c>
      <c r="C103" s="36">
        <f t="shared" si="12"/>
        <v>225</v>
      </c>
      <c r="D103" s="1101">
        <v>1</v>
      </c>
      <c r="E103" s="1101">
        <v>1</v>
      </c>
      <c r="F103" s="1101">
        <v>1</v>
      </c>
      <c r="G103" s="1101">
        <v>1</v>
      </c>
      <c r="H103" s="1101">
        <v>1</v>
      </c>
      <c r="I103" s="1101">
        <v>1</v>
      </c>
      <c r="J103" s="1103">
        <f t="shared" si="13"/>
        <v>6</v>
      </c>
      <c r="K103" s="1103">
        <f t="shared" si="14"/>
        <v>5</v>
      </c>
      <c r="L103" s="1101">
        <f t="shared" si="15"/>
        <v>225</v>
      </c>
      <c r="M103" s="955" t="s">
        <v>3018</v>
      </c>
      <c r="N103" s="955" t="s">
        <v>3019</v>
      </c>
    </row>
    <row r="104" spans="1:18" x14ac:dyDescent="0.4">
      <c r="A104" s="16">
        <v>192205</v>
      </c>
      <c r="B104" s="16">
        <v>90</v>
      </c>
      <c r="C104" s="16">
        <f t="shared" si="12"/>
        <v>450</v>
      </c>
      <c r="D104" s="1668">
        <v>0</v>
      </c>
      <c r="E104" s="1668">
        <v>0</v>
      </c>
      <c r="F104" s="1668">
        <v>0</v>
      </c>
      <c r="G104" s="1668">
        <v>0</v>
      </c>
      <c r="H104" s="1668">
        <v>0</v>
      </c>
      <c r="I104" s="1668">
        <v>0</v>
      </c>
      <c r="J104" s="1669">
        <f t="shared" si="13"/>
        <v>0</v>
      </c>
      <c r="K104" s="1669">
        <f t="shared" si="14"/>
        <v>0</v>
      </c>
      <c r="L104" s="1668">
        <f t="shared" si="15"/>
        <v>0</v>
      </c>
      <c r="M104" s="30" t="s">
        <v>3020</v>
      </c>
      <c r="N104" s="30" t="s">
        <v>3021</v>
      </c>
    </row>
    <row r="105" spans="1:18" x14ac:dyDescent="0.4">
      <c r="A105" s="16">
        <v>192206</v>
      </c>
      <c r="B105" s="16">
        <v>60</v>
      </c>
      <c r="C105" s="16">
        <f t="shared" si="12"/>
        <v>300</v>
      </c>
      <c r="D105" s="1355">
        <v>0</v>
      </c>
      <c r="E105" s="1355">
        <v>0</v>
      </c>
      <c r="F105" s="1355">
        <v>0</v>
      </c>
      <c r="G105" s="1355">
        <v>0</v>
      </c>
      <c r="H105" s="1355">
        <v>0</v>
      </c>
      <c r="I105" s="1355">
        <v>0</v>
      </c>
      <c r="J105" s="1356">
        <f t="shared" si="13"/>
        <v>0</v>
      </c>
      <c r="K105" s="1356">
        <f t="shared" si="14"/>
        <v>0</v>
      </c>
      <c r="L105" s="1355">
        <f t="shared" si="15"/>
        <v>0</v>
      </c>
      <c r="M105" s="30" t="s">
        <v>3022</v>
      </c>
      <c r="N105" s="30" t="s">
        <v>3023</v>
      </c>
    </row>
    <row r="106" spans="1:18" x14ac:dyDescent="0.4">
      <c r="A106" s="16">
        <v>192207</v>
      </c>
      <c r="B106" s="16">
        <v>45</v>
      </c>
      <c r="C106" s="16">
        <f t="shared" si="12"/>
        <v>225</v>
      </c>
      <c r="D106" s="1660">
        <v>0</v>
      </c>
      <c r="E106" s="1660">
        <v>0</v>
      </c>
      <c r="F106" s="1660">
        <v>0</v>
      </c>
      <c r="G106" s="1660">
        <v>0</v>
      </c>
      <c r="H106" s="1660">
        <v>0</v>
      </c>
      <c r="I106" s="1660">
        <v>0</v>
      </c>
      <c r="J106" s="1661">
        <f t="shared" si="13"/>
        <v>0</v>
      </c>
      <c r="K106" s="1661">
        <f t="shared" si="14"/>
        <v>0</v>
      </c>
      <c r="L106" s="1660">
        <f t="shared" si="15"/>
        <v>0</v>
      </c>
      <c r="M106" s="30" t="s">
        <v>3022</v>
      </c>
      <c r="N106" s="30" t="s">
        <v>3023</v>
      </c>
    </row>
    <row r="107" spans="1:18" x14ac:dyDescent="0.4">
      <c r="A107" s="36">
        <v>192208</v>
      </c>
      <c r="B107">
        <v>60</v>
      </c>
      <c r="C107" s="36">
        <f t="shared" si="12"/>
        <v>300</v>
      </c>
      <c r="D107" s="1101">
        <v>0</v>
      </c>
      <c r="E107" s="1101">
        <v>0</v>
      </c>
      <c r="F107" s="1101">
        <v>0</v>
      </c>
      <c r="G107" s="1101">
        <v>0</v>
      </c>
      <c r="H107" s="1101">
        <v>1</v>
      </c>
      <c r="I107" s="1101">
        <v>1</v>
      </c>
      <c r="J107" s="1103">
        <f t="shared" si="13"/>
        <v>2</v>
      </c>
      <c r="K107" s="1103">
        <f t="shared" si="14"/>
        <v>1</v>
      </c>
      <c r="L107" s="1101">
        <f t="shared" si="15"/>
        <v>60</v>
      </c>
      <c r="M107" s="955" t="s">
        <v>3024</v>
      </c>
      <c r="N107" s="955" t="s">
        <v>3025</v>
      </c>
    </row>
    <row r="108" spans="1:18" x14ac:dyDescent="0.4">
      <c r="A108" s="16">
        <v>192209</v>
      </c>
      <c r="B108" s="16">
        <v>60</v>
      </c>
      <c r="C108" s="16">
        <f t="shared" si="12"/>
        <v>300</v>
      </c>
      <c r="D108" s="1526">
        <v>0</v>
      </c>
      <c r="E108" s="1526">
        <v>0</v>
      </c>
      <c r="F108" s="1526">
        <v>0</v>
      </c>
      <c r="G108" s="1526">
        <v>0</v>
      </c>
      <c r="H108" s="1526">
        <v>0</v>
      </c>
      <c r="I108" s="1526">
        <v>0</v>
      </c>
      <c r="J108" s="1527">
        <f t="shared" si="13"/>
        <v>0</v>
      </c>
      <c r="K108" s="1527">
        <f t="shared" si="14"/>
        <v>0</v>
      </c>
      <c r="L108" s="1526">
        <f t="shared" si="15"/>
        <v>0</v>
      </c>
      <c r="M108" s="30" t="s">
        <v>3024</v>
      </c>
      <c r="N108" s="30" t="s">
        <v>3025</v>
      </c>
    </row>
    <row r="109" spans="1:18" x14ac:dyDescent="0.4">
      <c r="A109" s="16">
        <v>192210</v>
      </c>
      <c r="B109" s="16">
        <v>45</v>
      </c>
      <c r="C109" s="16">
        <f t="shared" si="12"/>
        <v>225</v>
      </c>
      <c r="D109" s="1898">
        <v>0</v>
      </c>
      <c r="E109" s="1898">
        <v>0</v>
      </c>
      <c r="F109" s="1898">
        <v>0</v>
      </c>
      <c r="G109" s="1898">
        <v>0</v>
      </c>
      <c r="H109" s="1898">
        <v>0</v>
      </c>
      <c r="I109" s="1898">
        <v>0</v>
      </c>
      <c r="J109" s="1899">
        <f t="shared" si="13"/>
        <v>0</v>
      </c>
      <c r="K109" s="1899">
        <f t="shared" si="14"/>
        <v>0</v>
      </c>
      <c r="L109" s="1898">
        <f t="shared" si="15"/>
        <v>0</v>
      </c>
      <c r="M109" s="30" t="s">
        <v>3026</v>
      </c>
      <c r="N109" s="30" t="s">
        <v>3027</v>
      </c>
    </row>
    <row r="110" spans="1:18" x14ac:dyDescent="0.4">
      <c r="A110" s="36">
        <v>192211</v>
      </c>
      <c r="B110">
        <v>45</v>
      </c>
      <c r="C110" s="36">
        <f t="shared" si="12"/>
        <v>225</v>
      </c>
      <c r="D110" s="1101">
        <v>0</v>
      </c>
      <c r="E110" s="1101">
        <v>0</v>
      </c>
      <c r="F110" s="1101">
        <v>0</v>
      </c>
      <c r="G110" s="1101">
        <v>0</v>
      </c>
      <c r="H110" s="1101">
        <v>1</v>
      </c>
      <c r="I110" s="1101">
        <v>1</v>
      </c>
      <c r="J110" s="1103">
        <f t="shared" si="13"/>
        <v>2</v>
      </c>
      <c r="K110" s="1103">
        <f t="shared" si="14"/>
        <v>1</v>
      </c>
      <c r="L110" s="1101">
        <f t="shared" si="15"/>
        <v>45</v>
      </c>
      <c r="M110" s="955" t="s">
        <v>3026</v>
      </c>
      <c r="N110" s="955" t="s">
        <v>3027</v>
      </c>
    </row>
    <row r="111" spans="1:18" x14ac:dyDescent="0.4">
      <c r="A111" s="36">
        <v>192212</v>
      </c>
      <c r="B111">
        <v>45</v>
      </c>
      <c r="C111" s="36">
        <f t="shared" si="12"/>
        <v>225</v>
      </c>
      <c r="D111" s="1101">
        <v>0</v>
      </c>
      <c r="E111" s="1101">
        <v>0</v>
      </c>
      <c r="F111" s="1101">
        <v>0</v>
      </c>
      <c r="G111" s="1101">
        <v>1</v>
      </c>
      <c r="H111" s="1101">
        <v>1</v>
      </c>
      <c r="I111" s="1101">
        <v>1</v>
      </c>
      <c r="J111" s="1103">
        <f t="shared" si="13"/>
        <v>3</v>
      </c>
      <c r="K111" s="1103">
        <f t="shared" si="14"/>
        <v>2</v>
      </c>
      <c r="L111" s="1101">
        <f t="shared" si="15"/>
        <v>90</v>
      </c>
      <c r="M111" s="955" t="s">
        <v>3029</v>
      </c>
      <c r="N111" s="955" t="s">
        <v>3030</v>
      </c>
      <c r="O111" s="987" t="s">
        <v>3031</v>
      </c>
      <c r="P111" s="987"/>
      <c r="Q111" s="987"/>
      <c r="R111" s="987"/>
    </row>
    <row r="112" spans="1:18" x14ac:dyDescent="0.4">
      <c r="A112" s="16">
        <v>192213</v>
      </c>
      <c r="B112" s="16">
        <v>45</v>
      </c>
      <c r="C112" s="16">
        <f t="shared" si="12"/>
        <v>225</v>
      </c>
      <c r="D112" s="1374">
        <v>0</v>
      </c>
      <c r="E112" s="1374">
        <v>0</v>
      </c>
      <c r="F112" s="1374">
        <v>0</v>
      </c>
      <c r="G112" s="1374">
        <v>0</v>
      </c>
      <c r="H112" s="1374">
        <v>0</v>
      </c>
      <c r="I112" s="1374">
        <v>0</v>
      </c>
      <c r="J112" s="1376">
        <f t="shared" si="13"/>
        <v>0</v>
      </c>
      <c r="K112" s="1376">
        <f t="shared" si="14"/>
        <v>0</v>
      </c>
      <c r="L112" s="1374">
        <f t="shared" si="15"/>
        <v>0</v>
      </c>
      <c r="M112" s="30" t="s">
        <v>3029</v>
      </c>
      <c r="N112" s="30" t="s">
        <v>3030</v>
      </c>
    </row>
    <row r="113" spans="1:18" x14ac:dyDescent="0.4">
      <c r="A113" s="16">
        <v>192214</v>
      </c>
      <c r="B113" s="16">
        <v>45</v>
      </c>
      <c r="C113" s="16">
        <f t="shared" si="12"/>
        <v>225</v>
      </c>
      <c r="D113" s="1322">
        <v>0</v>
      </c>
      <c r="E113" s="1322">
        <v>0</v>
      </c>
      <c r="F113" s="1322">
        <v>0</v>
      </c>
      <c r="G113" s="1322">
        <v>0</v>
      </c>
      <c r="H113" s="1322">
        <v>0</v>
      </c>
      <c r="I113" s="1322">
        <v>0</v>
      </c>
      <c r="J113" s="1323">
        <f t="shared" si="13"/>
        <v>0</v>
      </c>
      <c r="K113" s="1323">
        <f t="shared" si="14"/>
        <v>0</v>
      </c>
      <c r="L113" s="1322">
        <f t="shared" si="15"/>
        <v>0</v>
      </c>
      <c r="M113" s="30" t="s">
        <v>3032</v>
      </c>
      <c r="N113" s="30" t="s">
        <v>3033</v>
      </c>
    </row>
    <row r="114" spans="1:18" x14ac:dyDescent="0.4">
      <c r="A114" s="36">
        <v>192215</v>
      </c>
      <c r="B114">
        <v>60</v>
      </c>
      <c r="C114" s="36">
        <f t="shared" si="12"/>
        <v>300</v>
      </c>
      <c r="D114" s="1101">
        <v>0</v>
      </c>
      <c r="E114" s="1101">
        <v>0</v>
      </c>
      <c r="F114" s="1101">
        <v>0</v>
      </c>
      <c r="G114" s="1101">
        <v>0</v>
      </c>
      <c r="H114" s="1101">
        <v>0</v>
      </c>
      <c r="I114" s="1101">
        <v>1</v>
      </c>
      <c r="J114" s="1103">
        <f t="shared" si="13"/>
        <v>1</v>
      </c>
      <c r="K114" s="1901">
        <f t="shared" si="14"/>
        <v>0</v>
      </c>
      <c r="L114" s="1101">
        <f t="shared" si="15"/>
        <v>0</v>
      </c>
      <c r="M114" s="955" t="s">
        <v>3032</v>
      </c>
      <c r="N114" s="955" t="s">
        <v>3033</v>
      </c>
    </row>
    <row r="115" spans="1:18" x14ac:dyDescent="0.4">
      <c r="A115" s="16">
        <v>192216</v>
      </c>
      <c r="B115" s="16">
        <v>60</v>
      </c>
      <c r="C115" s="16">
        <f t="shared" si="12"/>
        <v>300</v>
      </c>
      <c r="D115" s="1672">
        <v>0</v>
      </c>
      <c r="E115" s="1672">
        <v>0</v>
      </c>
      <c r="F115" s="1672">
        <v>0</v>
      </c>
      <c r="G115" s="1672">
        <v>0</v>
      </c>
      <c r="H115" s="1672">
        <v>0</v>
      </c>
      <c r="I115" s="1672">
        <v>0</v>
      </c>
      <c r="J115" s="1673">
        <f t="shared" si="13"/>
        <v>0</v>
      </c>
      <c r="K115" s="1673">
        <f t="shared" si="14"/>
        <v>0</v>
      </c>
      <c r="L115" s="1672">
        <f t="shared" si="15"/>
        <v>0</v>
      </c>
      <c r="M115" s="30" t="s">
        <v>3032</v>
      </c>
      <c r="N115" s="30" t="s">
        <v>3033</v>
      </c>
    </row>
    <row r="116" spans="1:18" x14ac:dyDescent="0.4">
      <c r="A116" s="36">
        <v>192217</v>
      </c>
      <c r="B116">
        <v>120</v>
      </c>
      <c r="C116" s="36">
        <f t="shared" si="12"/>
        <v>600</v>
      </c>
      <c r="D116" s="1101">
        <v>0</v>
      </c>
      <c r="E116" s="1101">
        <v>0</v>
      </c>
      <c r="F116" s="1101">
        <v>0</v>
      </c>
      <c r="G116" s="1101">
        <v>0</v>
      </c>
      <c r="H116" s="1101">
        <v>1</v>
      </c>
      <c r="I116" s="1101">
        <v>1</v>
      </c>
      <c r="J116" s="1103">
        <f t="shared" si="13"/>
        <v>2</v>
      </c>
      <c r="K116" s="1103">
        <f t="shared" si="14"/>
        <v>1</v>
      </c>
      <c r="L116" s="1101">
        <f t="shared" si="15"/>
        <v>120</v>
      </c>
      <c r="M116" s="955" t="s">
        <v>3034</v>
      </c>
      <c r="N116" s="955" t="s">
        <v>3035</v>
      </c>
    </row>
    <row r="117" spans="1:18" x14ac:dyDescent="0.4">
      <c r="A117" s="16">
        <v>192218</v>
      </c>
      <c r="B117" s="16">
        <v>60</v>
      </c>
      <c r="C117" s="16">
        <f t="shared" si="12"/>
        <v>300</v>
      </c>
      <c r="D117" s="1926">
        <v>0</v>
      </c>
      <c r="E117" s="1926">
        <v>0</v>
      </c>
      <c r="F117" s="1926">
        <v>0</v>
      </c>
      <c r="G117" s="1926">
        <v>0</v>
      </c>
      <c r="H117" s="1926">
        <v>0</v>
      </c>
      <c r="I117" s="1926">
        <v>0</v>
      </c>
      <c r="J117" s="1927">
        <f t="shared" si="13"/>
        <v>0</v>
      </c>
      <c r="K117" s="1927">
        <f t="shared" si="14"/>
        <v>0</v>
      </c>
      <c r="L117" s="1926">
        <f t="shared" si="15"/>
        <v>0</v>
      </c>
      <c r="M117" s="30" t="s">
        <v>3034</v>
      </c>
      <c r="N117" s="30" t="s">
        <v>3035</v>
      </c>
    </row>
    <row r="118" spans="1:18" x14ac:dyDescent="0.4">
      <c r="A118" s="36">
        <v>192219</v>
      </c>
      <c r="B118">
        <v>45</v>
      </c>
      <c r="C118" s="36">
        <f t="shared" si="12"/>
        <v>225</v>
      </c>
      <c r="D118" s="1101">
        <v>0</v>
      </c>
      <c r="E118" s="1101">
        <v>0</v>
      </c>
      <c r="F118" s="1101">
        <v>0</v>
      </c>
      <c r="G118" s="1101">
        <v>0</v>
      </c>
      <c r="H118" s="1101">
        <v>0</v>
      </c>
      <c r="I118" s="1101">
        <v>1</v>
      </c>
      <c r="J118" s="1103">
        <f t="shared" si="13"/>
        <v>1</v>
      </c>
      <c r="K118" s="1103">
        <f t="shared" si="14"/>
        <v>0</v>
      </c>
      <c r="L118" s="1101">
        <f t="shared" si="15"/>
        <v>0</v>
      </c>
      <c r="M118" s="955" t="s">
        <v>3034</v>
      </c>
      <c r="N118" s="955" t="s">
        <v>3035</v>
      </c>
    </row>
    <row r="119" spans="1:18" x14ac:dyDescent="0.4">
      <c r="A119" s="36">
        <v>192220</v>
      </c>
      <c r="B119">
        <v>60</v>
      </c>
      <c r="C119" s="36">
        <f t="shared" ref="C119:C148" si="16">SUM(B119*5)</f>
        <v>300</v>
      </c>
      <c r="D119" s="1127">
        <v>0</v>
      </c>
      <c r="E119" s="1127">
        <v>0</v>
      </c>
      <c r="F119" s="1127">
        <v>0</v>
      </c>
      <c r="G119" s="1127">
        <v>0</v>
      </c>
      <c r="H119" s="1127">
        <v>0</v>
      </c>
      <c r="I119" s="1127">
        <v>1</v>
      </c>
      <c r="J119" s="1128">
        <f t="shared" ref="J119:J148" si="17">SUM(D119:I119)</f>
        <v>1</v>
      </c>
      <c r="K119" s="1128">
        <f t="shared" ref="K119:K148" si="18">SUM(D119:H119)</f>
        <v>0</v>
      </c>
      <c r="L119" s="1127">
        <f t="shared" ref="L119:L148" si="19">B119*K119</f>
        <v>0</v>
      </c>
      <c r="M119" s="955" t="s">
        <v>1965</v>
      </c>
      <c r="N119" s="955" t="s">
        <v>3037</v>
      </c>
      <c r="O119" s="987" t="s">
        <v>3038</v>
      </c>
      <c r="P119" s="987"/>
      <c r="Q119" s="987"/>
      <c r="R119" s="987"/>
    </row>
    <row r="120" spans="1:18" x14ac:dyDescent="0.4">
      <c r="A120" s="16">
        <v>192221</v>
      </c>
      <c r="B120" s="16">
        <v>60</v>
      </c>
      <c r="C120" s="16">
        <f t="shared" si="16"/>
        <v>300</v>
      </c>
      <c r="D120" s="1379">
        <v>0</v>
      </c>
      <c r="E120" s="1379">
        <v>0</v>
      </c>
      <c r="F120" s="1379">
        <v>0</v>
      </c>
      <c r="G120" s="1379">
        <v>0</v>
      </c>
      <c r="H120" s="1379">
        <v>0</v>
      </c>
      <c r="I120" s="1379">
        <v>0</v>
      </c>
      <c r="J120" s="1380">
        <f t="shared" si="17"/>
        <v>0</v>
      </c>
      <c r="K120" s="1380">
        <f t="shared" si="18"/>
        <v>0</v>
      </c>
      <c r="L120" s="1379">
        <f t="shared" si="19"/>
        <v>0</v>
      </c>
      <c r="M120" s="30" t="s">
        <v>3039</v>
      </c>
      <c r="N120" s="30" t="s">
        <v>3040</v>
      </c>
    </row>
    <row r="121" spans="1:18" x14ac:dyDescent="0.4">
      <c r="A121" s="16">
        <v>192222</v>
      </c>
      <c r="B121" s="16">
        <v>45</v>
      </c>
      <c r="C121" s="16">
        <f t="shared" si="16"/>
        <v>225</v>
      </c>
      <c r="D121" s="1357">
        <v>0</v>
      </c>
      <c r="E121" s="1357">
        <v>0</v>
      </c>
      <c r="F121" s="1357">
        <v>0</v>
      </c>
      <c r="G121" s="1357">
        <v>0</v>
      </c>
      <c r="H121" s="1357">
        <v>0</v>
      </c>
      <c r="I121" s="1357">
        <v>0</v>
      </c>
      <c r="J121" s="1358">
        <f t="shared" si="17"/>
        <v>0</v>
      </c>
      <c r="K121" s="1358">
        <f t="shared" si="18"/>
        <v>0</v>
      </c>
      <c r="L121" s="1357">
        <f t="shared" si="19"/>
        <v>0</v>
      </c>
      <c r="M121" s="30" t="s">
        <v>3041</v>
      </c>
      <c r="N121" s="30" t="s">
        <v>3042</v>
      </c>
    </row>
    <row r="122" spans="1:18" x14ac:dyDescent="0.4">
      <c r="A122" s="36">
        <v>192223</v>
      </c>
      <c r="B122">
        <v>60</v>
      </c>
      <c r="C122" s="36">
        <f t="shared" si="16"/>
        <v>300</v>
      </c>
      <c r="D122" s="1127">
        <v>0</v>
      </c>
      <c r="E122" s="1127">
        <v>0</v>
      </c>
      <c r="F122" s="1127">
        <v>1</v>
      </c>
      <c r="G122" s="1127">
        <v>1</v>
      </c>
      <c r="H122" s="1127">
        <v>1</v>
      </c>
      <c r="I122" s="1127">
        <v>1</v>
      </c>
      <c r="J122" s="1128">
        <f t="shared" si="17"/>
        <v>4</v>
      </c>
      <c r="K122" s="1128">
        <f t="shared" si="18"/>
        <v>3</v>
      </c>
      <c r="L122" s="1127">
        <f t="shared" si="19"/>
        <v>180</v>
      </c>
      <c r="M122" s="955" t="s">
        <v>3041</v>
      </c>
      <c r="N122" s="955" t="s">
        <v>3042</v>
      </c>
    </row>
    <row r="123" spans="1:18" x14ac:dyDescent="0.4">
      <c r="A123" s="16">
        <v>192224</v>
      </c>
      <c r="B123" s="16">
        <v>45</v>
      </c>
      <c r="C123" s="16">
        <f t="shared" si="16"/>
        <v>225</v>
      </c>
      <c r="D123" s="1425">
        <v>0</v>
      </c>
      <c r="E123" s="1425">
        <v>0</v>
      </c>
      <c r="F123" s="1425">
        <v>0</v>
      </c>
      <c r="G123" s="1425">
        <v>0</v>
      </c>
      <c r="H123" s="1425">
        <v>0</v>
      </c>
      <c r="I123" s="1425">
        <v>0</v>
      </c>
      <c r="J123" s="1426">
        <f t="shared" si="17"/>
        <v>0</v>
      </c>
      <c r="K123" s="1426">
        <f t="shared" si="18"/>
        <v>0</v>
      </c>
      <c r="L123" s="1425">
        <f t="shared" si="19"/>
        <v>0</v>
      </c>
      <c r="M123" s="30" t="s">
        <v>3043</v>
      </c>
      <c r="N123" s="30" t="s">
        <v>3044</v>
      </c>
    </row>
    <row r="124" spans="1:18" x14ac:dyDescent="0.4">
      <c r="A124" s="16">
        <v>192225</v>
      </c>
      <c r="B124" s="16">
        <v>60</v>
      </c>
      <c r="C124" s="16">
        <f t="shared" si="16"/>
        <v>300</v>
      </c>
      <c r="D124" s="1766">
        <v>0</v>
      </c>
      <c r="E124" s="1766">
        <v>0</v>
      </c>
      <c r="F124" s="1766">
        <v>0</v>
      </c>
      <c r="G124" s="1766">
        <v>0</v>
      </c>
      <c r="H124" s="1766">
        <v>0</v>
      </c>
      <c r="I124" s="1766">
        <v>0</v>
      </c>
      <c r="J124" s="1767">
        <f t="shared" si="17"/>
        <v>0</v>
      </c>
      <c r="K124" s="1767">
        <f t="shared" si="18"/>
        <v>0</v>
      </c>
      <c r="L124" s="1766">
        <f t="shared" si="19"/>
        <v>0</v>
      </c>
      <c r="M124" s="30" t="s">
        <v>3043</v>
      </c>
      <c r="N124" s="30" t="s">
        <v>3044</v>
      </c>
    </row>
    <row r="125" spans="1:18" x14ac:dyDescent="0.4">
      <c r="A125" s="16">
        <v>192226</v>
      </c>
      <c r="B125" s="16">
        <v>45</v>
      </c>
      <c r="C125" s="16">
        <f t="shared" si="16"/>
        <v>225</v>
      </c>
      <c r="D125" s="1650">
        <v>0</v>
      </c>
      <c r="E125" s="1650">
        <v>0</v>
      </c>
      <c r="F125" s="1650">
        <v>0</v>
      </c>
      <c r="G125" s="1650">
        <v>0</v>
      </c>
      <c r="H125" s="1650">
        <v>0</v>
      </c>
      <c r="I125" s="1650">
        <v>0</v>
      </c>
      <c r="J125" s="1651">
        <f t="shared" si="17"/>
        <v>0</v>
      </c>
      <c r="K125" s="1651">
        <f t="shared" si="18"/>
        <v>0</v>
      </c>
      <c r="L125" s="1650">
        <f t="shared" si="19"/>
        <v>0</v>
      </c>
      <c r="M125" s="30" t="s">
        <v>3045</v>
      </c>
      <c r="N125" s="30" t="s">
        <v>3046</v>
      </c>
    </row>
    <row r="126" spans="1:18" x14ac:dyDescent="0.4">
      <c r="A126" s="16">
        <v>192227</v>
      </c>
      <c r="B126" s="16">
        <v>60</v>
      </c>
      <c r="C126" s="16">
        <f t="shared" si="16"/>
        <v>300</v>
      </c>
      <c r="D126" s="1650">
        <v>0</v>
      </c>
      <c r="E126" s="1650">
        <v>0</v>
      </c>
      <c r="F126" s="1650">
        <v>0</v>
      </c>
      <c r="G126" s="1650">
        <v>0</v>
      </c>
      <c r="H126" s="1650">
        <v>0</v>
      </c>
      <c r="I126" s="1650">
        <v>0</v>
      </c>
      <c r="J126" s="1651">
        <f t="shared" si="17"/>
        <v>0</v>
      </c>
      <c r="K126" s="1651">
        <f t="shared" si="18"/>
        <v>0</v>
      </c>
      <c r="L126" s="1650">
        <f t="shared" si="19"/>
        <v>0</v>
      </c>
      <c r="M126" s="30" t="s">
        <v>3045</v>
      </c>
      <c r="N126" s="30" t="s">
        <v>3046</v>
      </c>
    </row>
    <row r="127" spans="1:18" x14ac:dyDescent="0.4">
      <c r="A127" s="36">
        <v>192228</v>
      </c>
      <c r="B127">
        <v>60</v>
      </c>
      <c r="C127" s="36">
        <f t="shared" si="16"/>
        <v>300</v>
      </c>
      <c r="D127" s="1127">
        <v>0</v>
      </c>
      <c r="E127" s="1127">
        <v>0</v>
      </c>
      <c r="F127" s="1127">
        <v>0</v>
      </c>
      <c r="G127" s="1127">
        <v>0</v>
      </c>
      <c r="H127" s="1127">
        <v>0</v>
      </c>
      <c r="I127" s="1127">
        <v>1</v>
      </c>
      <c r="J127" s="1128">
        <f t="shared" si="17"/>
        <v>1</v>
      </c>
      <c r="K127" s="1128">
        <f t="shared" si="18"/>
        <v>0</v>
      </c>
      <c r="L127" s="1127">
        <f t="shared" si="19"/>
        <v>0</v>
      </c>
      <c r="M127" s="955" t="s">
        <v>3045</v>
      </c>
      <c r="N127" s="955" t="s">
        <v>3046</v>
      </c>
    </row>
    <row r="128" spans="1:18" x14ac:dyDescent="0.4">
      <c r="A128" s="36">
        <v>192229</v>
      </c>
      <c r="B128">
        <v>45</v>
      </c>
      <c r="C128" s="36">
        <f t="shared" si="16"/>
        <v>225</v>
      </c>
      <c r="D128" s="1127">
        <v>0</v>
      </c>
      <c r="E128" s="1127">
        <v>0</v>
      </c>
      <c r="F128" s="1127">
        <v>0</v>
      </c>
      <c r="G128" s="1127">
        <v>1</v>
      </c>
      <c r="H128" s="1127">
        <v>1</v>
      </c>
      <c r="I128" s="1127">
        <v>1</v>
      </c>
      <c r="J128" s="1128">
        <f t="shared" si="17"/>
        <v>3</v>
      </c>
      <c r="K128" s="1128">
        <f t="shared" si="18"/>
        <v>2</v>
      </c>
      <c r="L128" s="1127">
        <f t="shared" si="19"/>
        <v>90</v>
      </c>
      <c r="M128" s="955" t="s">
        <v>3045</v>
      </c>
      <c r="N128" s="955" t="s">
        <v>3046</v>
      </c>
    </row>
    <row r="129" spans="1:28" x14ac:dyDescent="0.4">
      <c r="A129" s="18">
        <v>192230</v>
      </c>
      <c r="B129" s="18">
        <v>60</v>
      </c>
      <c r="C129" s="18">
        <f t="shared" si="16"/>
        <v>300</v>
      </c>
      <c r="D129" s="1517">
        <v>0</v>
      </c>
      <c r="E129" s="1517">
        <v>0</v>
      </c>
      <c r="F129" s="1517">
        <v>0</v>
      </c>
      <c r="G129" s="1517">
        <v>0</v>
      </c>
      <c r="H129" s="1517">
        <v>0</v>
      </c>
      <c r="I129" s="1517">
        <v>0</v>
      </c>
      <c r="J129" s="28">
        <f t="shared" si="17"/>
        <v>0</v>
      </c>
      <c r="K129" s="28">
        <f t="shared" si="18"/>
        <v>0</v>
      </c>
      <c r="L129" s="1517">
        <f t="shared" si="19"/>
        <v>0</v>
      </c>
      <c r="M129" s="67" t="s">
        <v>3045</v>
      </c>
      <c r="N129" s="67" t="s">
        <v>3046</v>
      </c>
    </row>
    <row r="130" spans="1:28" x14ac:dyDescent="0.4">
      <c r="A130" s="36">
        <v>192231</v>
      </c>
      <c r="B130">
        <v>45</v>
      </c>
      <c r="C130" s="36">
        <f t="shared" si="16"/>
        <v>225</v>
      </c>
      <c r="D130" s="1127">
        <v>0</v>
      </c>
      <c r="E130" s="1127">
        <v>0</v>
      </c>
      <c r="F130" s="1127">
        <v>0</v>
      </c>
      <c r="G130" s="1127">
        <v>0</v>
      </c>
      <c r="H130" s="1127">
        <v>0</v>
      </c>
      <c r="I130" s="1127">
        <v>1</v>
      </c>
      <c r="J130" s="1128">
        <f t="shared" si="17"/>
        <v>1</v>
      </c>
      <c r="K130" s="1128">
        <f t="shared" si="18"/>
        <v>0</v>
      </c>
      <c r="L130" s="1127">
        <f t="shared" si="19"/>
        <v>0</v>
      </c>
      <c r="M130" s="955" t="s">
        <v>3047</v>
      </c>
      <c r="N130" s="955" t="s">
        <v>3048</v>
      </c>
    </row>
    <row r="131" spans="1:28" x14ac:dyDescent="0.4">
      <c r="A131" s="359">
        <v>192232</v>
      </c>
      <c r="B131" s="359">
        <v>60</v>
      </c>
      <c r="C131" s="359">
        <f t="shared" si="16"/>
        <v>300</v>
      </c>
      <c r="D131" s="1967">
        <v>0</v>
      </c>
      <c r="E131" s="1967">
        <v>0</v>
      </c>
      <c r="F131" s="1967">
        <v>0</v>
      </c>
      <c r="G131" s="1967">
        <v>0</v>
      </c>
      <c r="H131" s="1967">
        <v>0</v>
      </c>
      <c r="I131" s="1967">
        <v>0</v>
      </c>
      <c r="J131" s="360">
        <f t="shared" si="17"/>
        <v>0</v>
      </c>
      <c r="K131" s="360">
        <f t="shared" si="18"/>
        <v>0</v>
      </c>
      <c r="L131" s="1967">
        <f t="shared" si="19"/>
        <v>0</v>
      </c>
      <c r="M131" s="1968" t="s">
        <v>3047</v>
      </c>
      <c r="N131" s="1968" t="s">
        <v>3048</v>
      </c>
    </row>
    <row r="132" spans="1:28" x14ac:dyDescent="0.4">
      <c r="A132" s="36">
        <v>192233</v>
      </c>
      <c r="B132">
        <v>60</v>
      </c>
      <c r="C132" s="36">
        <f t="shared" si="16"/>
        <v>300</v>
      </c>
      <c r="D132" s="1127">
        <v>0</v>
      </c>
      <c r="E132" s="1127">
        <v>0</v>
      </c>
      <c r="F132" s="1127">
        <v>0</v>
      </c>
      <c r="G132" s="1127">
        <v>0</v>
      </c>
      <c r="H132" s="1127">
        <v>1</v>
      </c>
      <c r="I132" s="1127">
        <v>1</v>
      </c>
      <c r="J132" s="1128">
        <f t="shared" si="17"/>
        <v>2</v>
      </c>
      <c r="K132" s="1128">
        <f t="shared" si="18"/>
        <v>1</v>
      </c>
      <c r="L132" s="1127">
        <f t="shared" si="19"/>
        <v>60</v>
      </c>
      <c r="M132" s="955" t="s">
        <v>3047</v>
      </c>
      <c r="N132" s="955" t="s">
        <v>3048</v>
      </c>
    </row>
    <row r="133" spans="1:28" x14ac:dyDescent="0.4">
      <c r="A133" s="16">
        <v>192234</v>
      </c>
      <c r="B133" s="16">
        <v>60</v>
      </c>
      <c r="C133" s="16">
        <f t="shared" si="16"/>
        <v>300</v>
      </c>
      <c r="D133" s="1926">
        <v>0</v>
      </c>
      <c r="E133" s="1926">
        <v>0</v>
      </c>
      <c r="F133" s="1926">
        <v>0</v>
      </c>
      <c r="G133" s="1926">
        <v>0</v>
      </c>
      <c r="H133" s="1926">
        <v>0</v>
      </c>
      <c r="I133" s="1926">
        <v>0</v>
      </c>
      <c r="J133" s="1927">
        <f t="shared" si="17"/>
        <v>0</v>
      </c>
      <c r="K133" s="1927">
        <f t="shared" si="18"/>
        <v>0</v>
      </c>
      <c r="L133" s="1926">
        <f t="shared" si="19"/>
        <v>0</v>
      </c>
      <c r="M133" s="30" t="s">
        <v>3049</v>
      </c>
      <c r="N133" s="30" t="s">
        <v>3050</v>
      </c>
    </row>
    <row r="134" spans="1:28" x14ac:dyDescent="0.4">
      <c r="A134" s="16">
        <v>192235</v>
      </c>
      <c r="B134" s="16">
        <v>45</v>
      </c>
      <c r="C134" s="16">
        <f t="shared" si="16"/>
        <v>225</v>
      </c>
      <c r="D134" s="1336">
        <v>0</v>
      </c>
      <c r="E134" s="1336">
        <v>0</v>
      </c>
      <c r="F134" s="1336">
        <v>0</v>
      </c>
      <c r="G134" s="1336">
        <v>0</v>
      </c>
      <c r="H134" s="1336">
        <v>0</v>
      </c>
      <c r="I134" s="1336">
        <v>0</v>
      </c>
      <c r="J134" s="1337">
        <f t="shared" si="17"/>
        <v>0</v>
      </c>
      <c r="K134" s="1337">
        <f t="shared" si="18"/>
        <v>0</v>
      </c>
      <c r="L134" s="1336">
        <f t="shared" si="19"/>
        <v>0</v>
      </c>
      <c r="M134" s="30" t="s">
        <v>3049</v>
      </c>
      <c r="N134" s="30" t="s">
        <v>3050</v>
      </c>
    </row>
    <row r="135" spans="1:28" x14ac:dyDescent="0.4">
      <c r="A135" s="16">
        <v>192236</v>
      </c>
      <c r="B135" s="16">
        <v>60</v>
      </c>
      <c r="C135" s="16">
        <f t="shared" si="16"/>
        <v>300</v>
      </c>
      <c r="D135" s="1596">
        <v>0</v>
      </c>
      <c r="E135" s="1596">
        <v>0</v>
      </c>
      <c r="F135" s="1596">
        <v>0</v>
      </c>
      <c r="G135" s="1596">
        <v>0</v>
      </c>
      <c r="H135" s="1596">
        <v>0</v>
      </c>
      <c r="I135" s="1596">
        <v>0</v>
      </c>
      <c r="J135" s="1597">
        <f t="shared" si="17"/>
        <v>0</v>
      </c>
      <c r="K135" s="1597">
        <f t="shared" si="18"/>
        <v>0</v>
      </c>
      <c r="L135" s="1596">
        <f t="shared" si="19"/>
        <v>0</v>
      </c>
      <c r="M135" s="30" t="s">
        <v>3051</v>
      </c>
      <c r="N135" s="30" t="s">
        <v>3052</v>
      </c>
    </row>
    <row r="136" spans="1:28" x14ac:dyDescent="0.4">
      <c r="A136" s="1">
        <v>192237</v>
      </c>
      <c r="B136" s="1">
        <v>60</v>
      </c>
      <c r="C136" s="1">
        <f t="shared" si="16"/>
        <v>300</v>
      </c>
      <c r="D136" s="2019">
        <v>0</v>
      </c>
      <c r="E136" s="2019">
        <v>0</v>
      </c>
      <c r="F136" s="2019">
        <v>0</v>
      </c>
      <c r="G136" s="2019">
        <v>0</v>
      </c>
      <c r="H136" s="2019">
        <v>0</v>
      </c>
      <c r="I136" s="2019">
        <v>0</v>
      </c>
      <c r="J136" s="2020">
        <f t="shared" si="17"/>
        <v>0</v>
      </c>
      <c r="K136" s="2020">
        <f t="shared" si="18"/>
        <v>0</v>
      </c>
      <c r="L136" s="2019">
        <f t="shared" si="19"/>
        <v>0</v>
      </c>
      <c r="M136" s="141" t="s">
        <v>3053</v>
      </c>
      <c r="N136" s="141" t="s">
        <v>3054</v>
      </c>
    </row>
    <row r="137" spans="1:28" x14ac:dyDescent="0.4">
      <c r="A137" s="16">
        <v>192238</v>
      </c>
      <c r="B137" s="16">
        <v>45</v>
      </c>
      <c r="C137" s="16">
        <f t="shared" si="16"/>
        <v>225</v>
      </c>
      <c r="D137" s="1708">
        <v>0</v>
      </c>
      <c r="E137" s="1708">
        <v>0</v>
      </c>
      <c r="F137" s="1708">
        <v>0</v>
      </c>
      <c r="G137" s="1708">
        <v>0</v>
      </c>
      <c r="H137" s="1708">
        <v>0</v>
      </c>
      <c r="I137" s="1708">
        <v>0</v>
      </c>
      <c r="J137" s="1709">
        <f t="shared" si="17"/>
        <v>0</v>
      </c>
      <c r="K137" s="1709">
        <f t="shared" si="18"/>
        <v>0</v>
      </c>
      <c r="L137" s="1708">
        <f t="shared" si="19"/>
        <v>0</v>
      </c>
      <c r="M137" s="30" t="s">
        <v>3053</v>
      </c>
      <c r="N137" s="30" t="s">
        <v>3054</v>
      </c>
    </row>
    <row r="138" spans="1:28" x14ac:dyDescent="0.4">
      <c r="A138" s="36">
        <v>192239</v>
      </c>
      <c r="B138">
        <v>60</v>
      </c>
      <c r="C138" s="36">
        <f t="shared" si="16"/>
        <v>300</v>
      </c>
      <c r="D138" s="1127">
        <v>0</v>
      </c>
      <c r="E138" s="1127">
        <v>0</v>
      </c>
      <c r="F138" s="1127">
        <v>0</v>
      </c>
      <c r="G138" s="1127">
        <v>1</v>
      </c>
      <c r="H138" s="1127">
        <v>1</v>
      </c>
      <c r="I138" s="1127">
        <v>1</v>
      </c>
      <c r="J138" s="1128">
        <f t="shared" si="17"/>
        <v>3</v>
      </c>
      <c r="K138" s="1128">
        <f t="shared" si="18"/>
        <v>2</v>
      </c>
      <c r="L138" s="1127">
        <f t="shared" si="19"/>
        <v>120</v>
      </c>
      <c r="M138" s="955" t="s">
        <v>3055</v>
      </c>
      <c r="N138" s="955" t="s">
        <v>3056</v>
      </c>
    </row>
    <row r="139" spans="1:28" x14ac:dyDescent="0.4">
      <c r="A139" s="36">
        <v>192240</v>
      </c>
      <c r="B139">
        <v>45</v>
      </c>
      <c r="C139" s="36">
        <f t="shared" si="16"/>
        <v>225</v>
      </c>
      <c r="D139" s="1127">
        <v>0</v>
      </c>
      <c r="E139" s="1127">
        <v>1</v>
      </c>
      <c r="F139" s="1127">
        <v>1</v>
      </c>
      <c r="G139" s="1127">
        <v>1</v>
      </c>
      <c r="H139" s="1127">
        <v>1</v>
      </c>
      <c r="I139" s="1127">
        <v>1</v>
      </c>
      <c r="J139" s="1128">
        <f t="shared" si="17"/>
        <v>5</v>
      </c>
      <c r="K139" s="1128">
        <f t="shared" si="18"/>
        <v>4</v>
      </c>
      <c r="L139" s="1127">
        <f t="shared" si="19"/>
        <v>180</v>
      </c>
      <c r="M139" s="955" t="s">
        <v>1976</v>
      </c>
      <c r="N139" s="955" t="s">
        <v>3057</v>
      </c>
    </row>
    <row r="140" spans="1:28" x14ac:dyDescent="0.4">
      <c r="A140" s="16">
        <v>192241</v>
      </c>
      <c r="B140" s="16">
        <v>45</v>
      </c>
      <c r="C140" s="16">
        <f t="shared" si="16"/>
        <v>225</v>
      </c>
      <c r="D140" s="1926">
        <v>0</v>
      </c>
      <c r="E140" s="1926">
        <v>0</v>
      </c>
      <c r="F140" s="1926">
        <v>0</v>
      </c>
      <c r="G140" s="1926">
        <v>0</v>
      </c>
      <c r="H140" s="1926">
        <v>0</v>
      </c>
      <c r="I140" s="1926">
        <v>0</v>
      </c>
      <c r="J140" s="1927">
        <f t="shared" si="17"/>
        <v>0</v>
      </c>
      <c r="K140" s="1927">
        <f t="shared" si="18"/>
        <v>0</v>
      </c>
      <c r="L140" s="1926">
        <f t="shared" si="19"/>
        <v>0</v>
      </c>
      <c r="M140" s="30" t="s">
        <v>3058</v>
      </c>
      <c r="N140" s="30" t="s">
        <v>3059</v>
      </c>
    </row>
    <row r="141" spans="1:28" x14ac:dyDescent="0.4">
      <c r="A141" s="123">
        <v>192242</v>
      </c>
      <c r="B141" s="123">
        <v>0</v>
      </c>
      <c r="C141" s="123">
        <f t="shared" si="16"/>
        <v>0</v>
      </c>
      <c r="D141" s="1154">
        <v>0</v>
      </c>
      <c r="E141" s="1154">
        <v>0</v>
      </c>
      <c r="F141" s="1154">
        <v>1</v>
      </c>
      <c r="G141" s="1154">
        <v>1</v>
      </c>
      <c r="H141" s="1154">
        <v>1</v>
      </c>
      <c r="I141" s="1154">
        <v>1</v>
      </c>
      <c r="J141" s="253">
        <f t="shared" si="17"/>
        <v>4</v>
      </c>
      <c r="K141" s="253">
        <f t="shared" si="18"/>
        <v>3</v>
      </c>
      <c r="L141" s="1154">
        <f t="shared" si="19"/>
        <v>0</v>
      </c>
      <c r="M141" s="993" t="s">
        <v>3062</v>
      </c>
      <c r="N141" s="993" t="s">
        <v>3061</v>
      </c>
      <c r="O141" s="123" t="s">
        <v>2850</v>
      </c>
      <c r="P141" s="123"/>
      <c r="Q141" s="123"/>
      <c r="R141" s="123"/>
      <c r="S141" s="123"/>
      <c r="T141" s="123"/>
      <c r="U141" s="123"/>
      <c r="V141" s="123" t="s">
        <v>2851</v>
      </c>
      <c r="W141" s="123"/>
      <c r="X141" s="123"/>
      <c r="Y141" s="123" t="s">
        <v>3060</v>
      </c>
      <c r="Z141" s="123"/>
      <c r="AA141" s="123"/>
      <c r="AB141" s="123"/>
    </row>
    <row r="142" spans="1:28" x14ac:dyDescent="0.4">
      <c r="A142" s="16">
        <v>192243</v>
      </c>
      <c r="B142" s="16">
        <v>45</v>
      </c>
      <c r="C142" s="16">
        <f t="shared" si="16"/>
        <v>225</v>
      </c>
      <c r="D142" s="1330">
        <v>0</v>
      </c>
      <c r="E142" s="1330">
        <v>0</v>
      </c>
      <c r="F142" s="1330">
        <v>0</v>
      </c>
      <c r="G142" s="1330">
        <v>0</v>
      </c>
      <c r="H142" s="1330">
        <v>0</v>
      </c>
      <c r="I142" s="1330">
        <v>0</v>
      </c>
      <c r="J142" s="1331">
        <f t="shared" si="17"/>
        <v>0</v>
      </c>
      <c r="K142" s="1331">
        <f t="shared" si="18"/>
        <v>0</v>
      </c>
      <c r="L142" s="1330">
        <f t="shared" si="19"/>
        <v>0</v>
      </c>
      <c r="M142" s="30" t="s">
        <v>3063</v>
      </c>
      <c r="N142" s="30" t="s">
        <v>3064</v>
      </c>
    </row>
    <row r="143" spans="1:28" x14ac:dyDescent="0.4">
      <c r="A143" s="36">
        <v>192244</v>
      </c>
      <c r="B143">
        <v>45</v>
      </c>
      <c r="C143" s="36">
        <f t="shared" si="16"/>
        <v>225</v>
      </c>
      <c r="D143" s="1127">
        <v>1</v>
      </c>
      <c r="E143" s="1127">
        <v>1</v>
      </c>
      <c r="F143" s="1127">
        <v>1</v>
      </c>
      <c r="G143" s="1127">
        <v>1</v>
      </c>
      <c r="H143" s="1127">
        <v>1</v>
      </c>
      <c r="I143" s="1127">
        <v>1</v>
      </c>
      <c r="J143" s="1128">
        <f t="shared" si="17"/>
        <v>6</v>
      </c>
      <c r="K143" s="1128">
        <f t="shared" si="18"/>
        <v>5</v>
      </c>
      <c r="L143" s="1127">
        <f t="shared" si="19"/>
        <v>225</v>
      </c>
      <c r="M143" s="955" t="s">
        <v>3063</v>
      </c>
      <c r="N143" s="955" t="s">
        <v>3064</v>
      </c>
    </row>
    <row r="144" spans="1:28" x14ac:dyDescent="0.4">
      <c r="A144" s="16">
        <v>192245</v>
      </c>
      <c r="B144" s="16">
        <v>45</v>
      </c>
      <c r="C144" s="16">
        <f t="shared" si="16"/>
        <v>225</v>
      </c>
      <c r="D144" s="1526">
        <v>0</v>
      </c>
      <c r="E144" s="1526">
        <v>0</v>
      </c>
      <c r="F144" s="1526">
        <v>0</v>
      </c>
      <c r="G144" s="1526">
        <v>0</v>
      </c>
      <c r="H144" s="1526">
        <v>0</v>
      </c>
      <c r="I144" s="1526">
        <v>0</v>
      </c>
      <c r="J144" s="1527">
        <f t="shared" si="17"/>
        <v>0</v>
      </c>
      <c r="K144" s="1527">
        <f t="shared" si="18"/>
        <v>0</v>
      </c>
      <c r="L144" s="1526">
        <f t="shared" si="19"/>
        <v>0</v>
      </c>
      <c r="M144" s="30" t="s">
        <v>3063</v>
      </c>
      <c r="N144" s="30" t="s">
        <v>3065</v>
      </c>
    </row>
    <row r="145" spans="1:20" x14ac:dyDescent="0.4">
      <c r="A145" s="36">
        <v>192246</v>
      </c>
      <c r="B145">
        <v>60</v>
      </c>
      <c r="C145" s="36">
        <f t="shared" si="16"/>
        <v>300</v>
      </c>
      <c r="D145" s="1127">
        <v>0</v>
      </c>
      <c r="E145" s="1127">
        <v>1</v>
      </c>
      <c r="F145" s="1127">
        <v>1</v>
      </c>
      <c r="G145" s="1127">
        <v>1</v>
      </c>
      <c r="H145" s="1127">
        <v>1</v>
      </c>
      <c r="I145" s="1127">
        <v>1</v>
      </c>
      <c r="J145" s="1128">
        <f t="shared" si="17"/>
        <v>5</v>
      </c>
      <c r="K145" s="1128">
        <f t="shared" si="18"/>
        <v>4</v>
      </c>
      <c r="L145" s="1127">
        <f t="shared" si="19"/>
        <v>240</v>
      </c>
      <c r="M145" s="955" t="s">
        <v>3063</v>
      </c>
      <c r="N145" s="955" t="s">
        <v>3064</v>
      </c>
    </row>
    <row r="146" spans="1:20" x14ac:dyDescent="0.4">
      <c r="A146" s="36">
        <v>192247</v>
      </c>
      <c r="B146">
        <v>60</v>
      </c>
      <c r="C146" s="36">
        <f t="shared" si="16"/>
        <v>300</v>
      </c>
      <c r="D146" s="1127">
        <v>0</v>
      </c>
      <c r="E146" s="1127">
        <v>0</v>
      </c>
      <c r="F146" s="1127">
        <v>0</v>
      </c>
      <c r="G146" s="1127">
        <v>0</v>
      </c>
      <c r="H146" s="1127">
        <v>0</v>
      </c>
      <c r="I146" s="1127">
        <v>1</v>
      </c>
      <c r="J146" s="1128">
        <f t="shared" si="17"/>
        <v>1</v>
      </c>
      <c r="K146" s="1128">
        <f t="shared" si="18"/>
        <v>0</v>
      </c>
      <c r="L146" s="1127">
        <f t="shared" si="19"/>
        <v>0</v>
      </c>
      <c r="M146" s="955" t="s">
        <v>3067</v>
      </c>
      <c r="N146" s="955" t="s">
        <v>3068</v>
      </c>
    </row>
    <row r="147" spans="1:20" x14ac:dyDescent="0.4">
      <c r="A147" s="36">
        <v>192248</v>
      </c>
      <c r="B147">
        <v>45</v>
      </c>
      <c r="C147" s="36">
        <f t="shared" si="16"/>
        <v>225</v>
      </c>
      <c r="D147" s="1127">
        <v>0</v>
      </c>
      <c r="E147" s="1127">
        <v>0</v>
      </c>
      <c r="F147" s="1127">
        <v>0</v>
      </c>
      <c r="G147" s="1127">
        <v>1</v>
      </c>
      <c r="H147" s="1127">
        <v>1</v>
      </c>
      <c r="I147" s="1127">
        <v>1</v>
      </c>
      <c r="J147" s="1128">
        <f t="shared" si="17"/>
        <v>3</v>
      </c>
      <c r="K147" s="1128">
        <f t="shared" si="18"/>
        <v>2</v>
      </c>
      <c r="L147" s="1127">
        <f t="shared" si="19"/>
        <v>90</v>
      </c>
      <c r="M147" s="955" t="s">
        <v>3067</v>
      </c>
      <c r="N147" s="955" t="s">
        <v>3068</v>
      </c>
    </row>
    <row r="148" spans="1:20" x14ac:dyDescent="0.4">
      <c r="A148" s="16">
        <v>192249</v>
      </c>
      <c r="B148" s="16">
        <v>45</v>
      </c>
      <c r="C148" s="16">
        <f t="shared" si="16"/>
        <v>225</v>
      </c>
      <c r="D148" s="1363">
        <v>0</v>
      </c>
      <c r="E148" s="1363">
        <v>0</v>
      </c>
      <c r="F148" s="1363">
        <v>0</v>
      </c>
      <c r="G148" s="1363">
        <v>0</v>
      </c>
      <c r="H148" s="1363">
        <v>0</v>
      </c>
      <c r="I148" s="1363">
        <v>0</v>
      </c>
      <c r="J148" s="1364">
        <f t="shared" si="17"/>
        <v>0</v>
      </c>
      <c r="K148" s="1364">
        <f t="shared" si="18"/>
        <v>0</v>
      </c>
      <c r="L148" s="1363">
        <f t="shared" si="19"/>
        <v>0</v>
      </c>
      <c r="M148" s="30" t="s">
        <v>3069</v>
      </c>
      <c r="N148" s="30" t="s">
        <v>3070</v>
      </c>
    </row>
    <row r="149" spans="1:20" x14ac:dyDescent="0.4">
      <c r="A149" s="16">
        <v>192250</v>
      </c>
      <c r="B149" s="16">
        <v>60</v>
      </c>
      <c r="C149" s="16">
        <f t="shared" ref="C149:C178" si="20">SUM(B149*5)</f>
        <v>300</v>
      </c>
      <c r="D149" s="1839">
        <v>0</v>
      </c>
      <c r="E149" s="1839">
        <v>0</v>
      </c>
      <c r="F149" s="1839">
        <v>0</v>
      </c>
      <c r="G149" s="1839">
        <v>0</v>
      </c>
      <c r="H149" s="1839">
        <v>0</v>
      </c>
      <c r="I149" s="1839">
        <v>0</v>
      </c>
      <c r="J149" s="1840">
        <f t="shared" ref="J149:J178" si="21">SUM(D149:I149)</f>
        <v>0</v>
      </c>
      <c r="K149" s="1840">
        <f t="shared" ref="K149:K178" si="22">SUM(D149:H149)</f>
        <v>0</v>
      </c>
      <c r="L149" s="1839">
        <f t="shared" ref="L149:L178" si="23">B149*K149</f>
        <v>0</v>
      </c>
      <c r="M149" s="30" t="s">
        <v>3069</v>
      </c>
      <c r="N149" s="30" t="s">
        <v>3070</v>
      </c>
    </row>
    <row r="150" spans="1:20" x14ac:dyDescent="0.4">
      <c r="A150" s="36">
        <v>192251</v>
      </c>
      <c r="B150">
        <v>60</v>
      </c>
      <c r="C150" s="36">
        <f t="shared" si="20"/>
        <v>300</v>
      </c>
      <c r="D150" s="1152">
        <v>0</v>
      </c>
      <c r="E150" s="1152">
        <v>0</v>
      </c>
      <c r="F150" s="1152">
        <v>0</v>
      </c>
      <c r="G150" s="1152">
        <v>1</v>
      </c>
      <c r="H150" s="1152">
        <v>1</v>
      </c>
      <c r="I150" s="1152">
        <v>1</v>
      </c>
      <c r="J150" s="1153">
        <f t="shared" si="21"/>
        <v>3</v>
      </c>
      <c r="K150" s="1153">
        <f t="shared" si="22"/>
        <v>2</v>
      </c>
      <c r="L150" s="1152">
        <f t="shared" si="23"/>
        <v>120</v>
      </c>
      <c r="M150" s="955" t="s">
        <v>3069</v>
      </c>
      <c r="N150" s="955" t="s">
        <v>3070</v>
      </c>
    </row>
    <row r="151" spans="1:20" x14ac:dyDescent="0.4">
      <c r="A151" s="16">
        <v>192252</v>
      </c>
      <c r="B151" s="16">
        <v>45</v>
      </c>
      <c r="C151" s="16">
        <f t="shared" si="20"/>
        <v>225</v>
      </c>
      <c r="D151" s="1870">
        <v>0</v>
      </c>
      <c r="E151" s="1870">
        <v>0</v>
      </c>
      <c r="F151" s="1870">
        <v>0</v>
      </c>
      <c r="G151" s="1870">
        <v>0</v>
      </c>
      <c r="H151" s="1870">
        <v>0</v>
      </c>
      <c r="I151" s="1870">
        <v>0</v>
      </c>
      <c r="J151" s="1871">
        <f t="shared" si="21"/>
        <v>0</v>
      </c>
      <c r="K151" s="1871">
        <f t="shared" si="22"/>
        <v>0</v>
      </c>
      <c r="L151" s="1870">
        <f t="shared" si="23"/>
        <v>0</v>
      </c>
      <c r="M151" s="30" t="s">
        <v>3071</v>
      </c>
      <c r="N151" s="30" t="s">
        <v>3072</v>
      </c>
    </row>
    <row r="152" spans="1:20" x14ac:dyDescent="0.4">
      <c r="A152" s="16">
        <v>192253</v>
      </c>
      <c r="B152" s="16">
        <v>45</v>
      </c>
      <c r="C152" s="16">
        <f t="shared" si="20"/>
        <v>225</v>
      </c>
      <c r="D152" s="1463">
        <v>0</v>
      </c>
      <c r="E152" s="1463">
        <v>0</v>
      </c>
      <c r="F152" s="1463">
        <v>0</v>
      </c>
      <c r="G152" s="1463">
        <v>0</v>
      </c>
      <c r="H152" s="1463">
        <v>0</v>
      </c>
      <c r="I152" s="1463">
        <v>0</v>
      </c>
      <c r="J152" s="1464">
        <f t="shared" si="21"/>
        <v>0</v>
      </c>
      <c r="K152" s="1464">
        <f t="shared" si="22"/>
        <v>0</v>
      </c>
      <c r="L152" s="1463">
        <f t="shared" si="23"/>
        <v>0</v>
      </c>
      <c r="M152" s="30" t="s">
        <v>3073</v>
      </c>
      <c r="N152" s="30" t="s">
        <v>3074</v>
      </c>
    </row>
    <row r="153" spans="1:20" x14ac:dyDescent="0.4">
      <c r="A153" s="1">
        <v>192254</v>
      </c>
      <c r="B153" s="1">
        <v>45</v>
      </c>
      <c r="C153" s="1">
        <f t="shared" si="20"/>
        <v>225</v>
      </c>
      <c r="D153" s="1953">
        <v>0</v>
      </c>
      <c r="E153" s="1953">
        <v>0</v>
      </c>
      <c r="F153" s="1953">
        <v>0</v>
      </c>
      <c r="G153" s="1953">
        <v>0</v>
      </c>
      <c r="H153" s="1953">
        <v>0</v>
      </c>
      <c r="I153" s="1953">
        <v>0</v>
      </c>
      <c r="J153" s="1956">
        <f t="shared" si="21"/>
        <v>0</v>
      </c>
      <c r="K153" s="1956">
        <f t="shared" si="22"/>
        <v>0</v>
      </c>
      <c r="L153" s="1953">
        <f t="shared" si="23"/>
        <v>0</v>
      </c>
      <c r="M153" s="141" t="s">
        <v>3073</v>
      </c>
      <c r="N153" s="141" t="s">
        <v>3074</v>
      </c>
    </row>
    <row r="154" spans="1:20" x14ac:dyDescent="0.4">
      <c r="A154" s="36">
        <v>192255</v>
      </c>
      <c r="B154">
        <v>50</v>
      </c>
      <c r="C154" s="36">
        <f t="shared" si="20"/>
        <v>250</v>
      </c>
      <c r="D154" s="1152">
        <v>0</v>
      </c>
      <c r="E154" s="1152">
        <v>0</v>
      </c>
      <c r="F154" s="1152">
        <v>0</v>
      </c>
      <c r="G154" s="1152">
        <v>0</v>
      </c>
      <c r="H154" s="1152">
        <v>0</v>
      </c>
      <c r="I154" s="1152">
        <v>1</v>
      </c>
      <c r="J154" s="1153">
        <f t="shared" si="21"/>
        <v>1</v>
      </c>
      <c r="K154" s="1153">
        <f t="shared" si="22"/>
        <v>0</v>
      </c>
      <c r="L154" s="1152">
        <f t="shared" si="23"/>
        <v>0</v>
      </c>
      <c r="M154" s="955" t="s">
        <v>3073</v>
      </c>
      <c r="N154" s="955" t="s">
        <v>3074</v>
      </c>
    </row>
    <row r="155" spans="1:20" x14ac:dyDescent="0.4">
      <c r="A155" s="1">
        <v>192256</v>
      </c>
      <c r="B155" s="1">
        <v>60</v>
      </c>
      <c r="C155" s="1">
        <f t="shared" si="20"/>
        <v>300</v>
      </c>
      <c r="D155" s="1973">
        <v>0</v>
      </c>
      <c r="E155" s="1973">
        <v>0</v>
      </c>
      <c r="F155" s="1973">
        <v>0</v>
      </c>
      <c r="G155" s="1973">
        <v>0</v>
      </c>
      <c r="H155" s="1973">
        <v>0</v>
      </c>
      <c r="I155" s="1973">
        <v>0</v>
      </c>
      <c r="J155" s="1974">
        <f t="shared" si="21"/>
        <v>0</v>
      </c>
      <c r="K155" s="1974">
        <f t="shared" si="22"/>
        <v>0</v>
      </c>
      <c r="L155" s="1973">
        <f t="shared" si="23"/>
        <v>0</v>
      </c>
      <c r="M155" s="141" t="s">
        <v>3073</v>
      </c>
      <c r="N155" s="141" t="s">
        <v>3074</v>
      </c>
    </row>
    <row r="156" spans="1:20" x14ac:dyDescent="0.4">
      <c r="A156" s="1">
        <v>192257</v>
      </c>
      <c r="B156" s="1">
        <v>90</v>
      </c>
      <c r="C156" s="1">
        <f t="shared" si="20"/>
        <v>450</v>
      </c>
      <c r="D156" s="1958">
        <v>0</v>
      </c>
      <c r="E156" s="1958">
        <v>0</v>
      </c>
      <c r="F156" s="1958">
        <v>0</v>
      </c>
      <c r="G156" s="1958">
        <v>0</v>
      </c>
      <c r="H156" s="1958">
        <v>0</v>
      </c>
      <c r="I156" s="1958">
        <v>0</v>
      </c>
      <c r="J156" s="1959">
        <f t="shared" si="21"/>
        <v>0</v>
      </c>
      <c r="K156" s="1959">
        <f t="shared" si="22"/>
        <v>0</v>
      </c>
      <c r="L156" s="1958">
        <f t="shared" si="23"/>
        <v>0</v>
      </c>
      <c r="M156" s="141" t="s">
        <v>3073</v>
      </c>
      <c r="N156" s="141" t="s">
        <v>3074</v>
      </c>
    </row>
    <row r="157" spans="1:20" x14ac:dyDescent="0.4">
      <c r="A157" s="36">
        <v>192258</v>
      </c>
      <c r="B157">
        <v>45</v>
      </c>
      <c r="C157" s="36">
        <f t="shared" si="20"/>
        <v>225</v>
      </c>
      <c r="D157" s="1152">
        <v>0</v>
      </c>
      <c r="E157" s="1152">
        <v>0</v>
      </c>
      <c r="F157" s="1152">
        <v>0</v>
      </c>
      <c r="G157" s="1152">
        <v>0</v>
      </c>
      <c r="H157" s="1152">
        <v>0</v>
      </c>
      <c r="I157" s="1152">
        <v>1</v>
      </c>
      <c r="J157" s="1153">
        <f t="shared" si="21"/>
        <v>1</v>
      </c>
      <c r="K157" s="1153">
        <f t="shared" si="22"/>
        <v>0</v>
      </c>
      <c r="L157" s="1152">
        <f t="shared" si="23"/>
        <v>0</v>
      </c>
      <c r="M157" s="955" t="s">
        <v>3073</v>
      </c>
      <c r="N157" s="955" t="s">
        <v>3074</v>
      </c>
    </row>
    <row r="158" spans="1:20" x14ac:dyDescent="0.4">
      <c r="A158" s="16">
        <v>192259</v>
      </c>
      <c r="B158" s="16">
        <v>0</v>
      </c>
      <c r="C158" s="16">
        <f t="shared" si="20"/>
        <v>0</v>
      </c>
      <c r="D158" s="1204">
        <v>0</v>
      </c>
      <c r="E158" s="1204"/>
      <c r="F158" s="1204"/>
      <c r="G158" s="1204"/>
      <c r="H158" s="1204"/>
      <c r="I158" s="1204"/>
      <c r="J158" s="1205">
        <f t="shared" si="21"/>
        <v>0</v>
      </c>
      <c r="K158" s="1205">
        <f t="shared" si="22"/>
        <v>0</v>
      </c>
      <c r="L158" s="1204">
        <f t="shared" si="23"/>
        <v>0</v>
      </c>
      <c r="M158" s="30" t="s">
        <v>1988</v>
      </c>
      <c r="N158" s="30" t="s">
        <v>3075</v>
      </c>
      <c r="O158" s="16" t="s">
        <v>3076</v>
      </c>
      <c r="P158" s="16"/>
      <c r="Q158" s="16"/>
      <c r="R158" s="16"/>
      <c r="S158" s="16"/>
      <c r="T158" s="16"/>
    </row>
    <row r="159" spans="1:20" x14ac:dyDescent="0.4">
      <c r="A159" s="36">
        <v>192260</v>
      </c>
      <c r="B159">
        <v>45</v>
      </c>
      <c r="C159" s="36">
        <f t="shared" si="20"/>
        <v>225</v>
      </c>
      <c r="D159" s="1152">
        <v>0</v>
      </c>
      <c r="E159" s="1152">
        <v>0</v>
      </c>
      <c r="F159" s="1152">
        <v>0</v>
      </c>
      <c r="G159" s="1152">
        <v>0</v>
      </c>
      <c r="H159" s="1152">
        <v>1</v>
      </c>
      <c r="I159" s="1152">
        <v>1</v>
      </c>
      <c r="J159" s="1153">
        <f t="shared" si="21"/>
        <v>2</v>
      </c>
      <c r="K159" s="1153">
        <f t="shared" si="22"/>
        <v>1</v>
      </c>
      <c r="L159" s="1152">
        <f t="shared" si="23"/>
        <v>45</v>
      </c>
      <c r="M159" s="955" t="s">
        <v>1990</v>
      </c>
      <c r="N159" s="955" t="s">
        <v>3077</v>
      </c>
    </row>
    <row r="160" spans="1:20" x14ac:dyDescent="0.4">
      <c r="A160" s="16">
        <v>192261</v>
      </c>
      <c r="B160" s="16">
        <v>60</v>
      </c>
      <c r="C160" s="16">
        <f t="shared" si="20"/>
        <v>300</v>
      </c>
      <c r="D160" s="1817">
        <v>0</v>
      </c>
      <c r="E160" s="1817">
        <v>0</v>
      </c>
      <c r="F160" s="1817">
        <v>0</v>
      </c>
      <c r="G160" s="1817">
        <v>0</v>
      </c>
      <c r="H160" s="1817">
        <v>0</v>
      </c>
      <c r="I160" s="1817">
        <v>0</v>
      </c>
      <c r="J160" s="1818">
        <f t="shared" si="21"/>
        <v>0</v>
      </c>
      <c r="K160" s="1818">
        <f t="shared" si="22"/>
        <v>0</v>
      </c>
      <c r="L160" s="1817">
        <f t="shared" si="23"/>
        <v>0</v>
      </c>
      <c r="M160" s="30" t="s">
        <v>3078</v>
      </c>
      <c r="N160" s="30" t="s">
        <v>3080</v>
      </c>
    </row>
    <row r="161" spans="1:15" x14ac:dyDescent="0.4">
      <c r="A161" s="1">
        <v>192262</v>
      </c>
      <c r="B161" s="1">
        <v>60</v>
      </c>
      <c r="C161" s="1">
        <f t="shared" si="20"/>
        <v>300</v>
      </c>
      <c r="D161" s="1964">
        <v>0</v>
      </c>
      <c r="E161" s="1964">
        <v>0</v>
      </c>
      <c r="F161" s="1964">
        <v>0</v>
      </c>
      <c r="G161" s="1964">
        <v>0</v>
      </c>
      <c r="H161" s="1964">
        <v>0</v>
      </c>
      <c r="I161" s="1964">
        <v>0</v>
      </c>
      <c r="J161" s="1966">
        <f t="shared" si="21"/>
        <v>0</v>
      </c>
      <c r="K161" s="1966">
        <f t="shared" si="22"/>
        <v>0</v>
      </c>
      <c r="L161" s="1964">
        <f t="shared" si="23"/>
        <v>0</v>
      </c>
      <c r="M161" s="141" t="s">
        <v>3078</v>
      </c>
      <c r="N161" s="141" t="s">
        <v>3079</v>
      </c>
    </row>
    <row r="162" spans="1:15" x14ac:dyDescent="0.4">
      <c r="A162" s="22">
        <v>192263</v>
      </c>
      <c r="B162" s="22">
        <v>0</v>
      </c>
      <c r="C162" s="22">
        <f t="shared" si="20"/>
        <v>0</v>
      </c>
      <c r="D162" s="557">
        <v>0</v>
      </c>
      <c r="E162" s="557">
        <v>0</v>
      </c>
      <c r="F162" s="557">
        <v>0</v>
      </c>
      <c r="G162" s="557">
        <v>0</v>
      </c>
      <c r="H162" s="557">
        <v>0</v>
      </c>
      <c r="I162" s="557">
        <v>0</v>
      </c>
      <c r="J162" s="24">
        <f t="shared" si="21"/>
        <v>0</v>
      </c>
      <c r="K162" s="24">
        <f t="shared" si="22"/>
        <v>0</v>
      </c>
      <c r="L162" s="557">
        <f t="shared" si="23"/>
        <v>0</v>
      </c>
      <c r="M162" s="29" t="s">
        <v>3078</v>
      </c>
      <c r="N162" s="29" t="s">
        <v>3080</v>
      </c>
      <c r="O162" t="s">
        <v>3081</v>
      </c>
    </row>
    <row r="163" spans="1:15" x14ac:dyDescent="0.4">
      <c r="A163" s="16">
        <v>192264</v>
      </c>
      <c r="B163" s="16">
        <v>60</v>
      </c>
      <c r="C163" s="16">
        <f t="shared" si="20"/>
        <v>300</v>
      </c>
      <c r="D163" s="1837">
        <v>0</v>
      </c>
      <c r="E163" s="1837">
        <v>0</v>
      </c>
      <c r="F163" s="1837">
        <v>0</v>
      </c>
      <c r="G163" s="1837">
        <v>0</v>
      </c>
      <c r="H163" s="1837">
        <v>0</v>
      </c>
      <c r="I163" s="1837">
        <v>0</v>
      </c>
      <c r="J163" s="1838">
        <f t="shared" si="21"/>
        <v>0</v>
      </c>
      <c r="K163" s="1838">
        <f t="shared" si="22"/>
        <v>0</v>
      </c>
      <c r="L163" s="1837">
        <f t="shared" si="23"/>
        <v>0</v>
      </c>
      <c r="M163" s="30" t="s">
        <v>3082</v>
      </c>
      <c r="N163" s="30" t="s">
        <v>3083</v>
      </c>
    </row>
    <row r="164" spans="1:15" x14ac:dyDescent="0.4">
      <c r="A164" s="36">
        <v>192265</v>
      </c>
      <c r="B164" s="36">
        <v>45</v>
      </c>
      <c r="C164" s="36">
        <f t="shared" si="20"/>
        <v>225</v>
      </c>
      <c r="D164" s="1670">
        <v>0</v>
      </c>
      <c r="E164" s="1670">
        <v>0</v>
      </c>
      <c r="F164" s="1670">
        <v>1</v>
      </c>
      <c r="G164" s="1670">
        <v>1</v>
      </c>
      <c r="H164" s="1670">
        <v>1</v>
      </c>
      <c r="I164" s="1670">
        <v>1</v>
      </c>
      <c r="J164" s="1671">
        <f t="shared" si="21"/>
        <v>4</v>
      </c>
      <c r="K164" s="1671">
        <f t="shared" si="22"/>
        <v>3</v>
      </c>
      <c r="L164" s="1670">
        <f t="shared" si="23"/>
        <v>135</v>
      </c>
      <c r="M164" s="1290" t="s">
        <v>3082</v>
      </c>
      <c r="N164" s="1290" t="s">
        <v>3083</v>
      </c>
    </row>
    <row r="165" spans="1:15" x14ac:dyDescent="0.4">
      <c r="A165" s="36">
        <v>192266</v>
      </c>
      <c r="B165">
        <v>90</v>
      </c>
      <c r="C165" s="36">
        <f t="shared" si="20"/>
        <v>450</v>
      </c>
      <c r="D165" s="1152">
        <v>0</v>
      </c>
      <c r="E165" s="1152">
        <v>0</v>
      </c>
      <c r="F165" s="1152">
        <v>1</v>
      </c>
      <c r="G165" s="1152">
        <v>1</v>
      </c>
      <c r="H165" s="1152">
        <v>1</v>
      </c>
      <c r="I165" s="1152">
        <v>1</v>
      </c>
      <c r="J165" s="1153">
        <f t="shared" si="21"/>
        <v>4</v>
      </c>
      <c r="K165" s="1153">
        <f t="shared" si="22"/>
        <v>3</v>
      </c>
      <c r="L165" s="1152">
        <f t="shared" si="23"/>
        <v>270</v>
      </c>
      <c r="M165" s="955" t="s">
        <v>3082</v>
      </c>
      <c r="N165" s="955" t="s">
        <v>3083</v>
      </c>
    </row>
    <row r="166" spans="1:15" x14ac:dyDescent="0.4">
      <c r="A166" s="36">
        <v>192267</v>
      </c>
      <c r="B166">
        <v>60</v>
      </c>
      <c r="C166" s="36">
        <f t="shared" si="20"/>
        <v>300</v>
      </c>
      <c r="D166" s="1152">
        <v>0</v>
      </c>
      <c r="E166" s="1152">
        <v>0</v>
      </c>
      <c r="F166" s="1152">
        <v>1</v>
      </c>
      <c r="G166" s="1152">
        <v>1</v>
      </c>
      <c r="H166" s="1152">
        <v>1</v>
      </c>
      <c r="I166" s="1152">
        <v>1</v>
      </c>
      <c r="J166" s="1153">
        <f t="shared" si="21"/>
        <v>4</v>
      </c>
      <c r="K166" s="1153">
        <f t="shared" si="22"/>
        <v>3</v>
      </c>
      <c r="L166" s="1152">
        <f t="shared" si="23"/>
        <v>180</v>
      </c>
      <c r="M166" s="955" t="s">
        <v>3084</v>
      </c>
      <c r="N166" s="955" t="s">
        <v>3085</v>
      </c>
    </row>
    <row r="167" spans="1:15" x14ac:dyDescent="0.4">
      <c r="A167" s="1960">
        <v>192268</v>
      </c>
      <c r="B167" s="1960">
        <v>60</v>
      </c>
      <c r="C167" s="1960">
        <f t="shared" si="20"/>
        <v>300</v>
      </c>
      <c r="D167" s="1961">
        <v>0</v>
      </c>
      <c r="E167" s="1961">
        <v>0</v>
      </c>
      <c r="F167" s="1961">
        <v>0</v>
      </c>
      <c r="G167" s="1961">
        <v>0</v>
      </c>
      <c r="H167" s="1961">
        <v>0</v>
      </c>
      <c r="I167" s="1961">
        <v>0</v>
      </c>
      <c r="J167" s="1962">
        <f t="shared" si="21"/>
        <v>0</v>
      </c>
      <c r="K167" s="1962">
        <f t="shared" si="22"/>
        <v>0</v>
      </c>
      <c r="L167" s="1961">
        <f t="shared" si="23"/>
        <v>0</v>
      </c>
      <c r="M167" s="1963" t="s">
        <v>3086</v>
      </c>
      <c r="N167" s="1963" t="s">
        <v>3087</v>
      </c>
    </row>
    <row r="168" spans="1:15" x14ac:dyDescent="0.4">
      <c r="A168" s="16">
        <v>192269</v>
      </c>
      <c r="B168" s="16">
        <v>60</v>
      </c>
      <c r="C168" s="16">
        <f t="shared" si="20"/>
        <v>300</v>
      </c>
      <c r="D168" s="1916">
        <v>0</v>
      </c>
      <c r="E168" s="1916">
        <v>0</v>
      </c>
      <c r="F168" s="1916">
        <v>0</v>
      </c>
      <c r="G168" s="1916">
        <v>0</v>
      </c>
      <c r="H168" s="1916">
        <v>0</v>
      </c>
      <c r="I168" s="1916">
        <v>0</v>
      </c>
      <c r="J168" s="1917">
        <f t="shared" si="21"/>
        <v>0</v>
      </c>
      <c r="K168" s="1917">
        <f t="shared" si="22"/>
        <v>0</v>
      </c>
      <c r="L168" s="1916">
        <f t="shared" si="23"/>
        <v>0</v>
      </c>
      <c r="M168" s="30" t="s">
        <v>3088</v>
      </c>
      <c r="N168" s="30" t="s">
        <v>3089</v>
      </c>
    </row>
    <row r="169" spans="1:15" x14ac:dyDescent="0.4">
      <c r="A169" s="16">
        <v>192270</v>
      </c>
      <c r="B169" s="16">
        <v>45</v>
      </c>
      <c r="C169" s="16">
        <f t="shared" si="20"/>
        <v>225</v>
      </c>
      <c r="D169" s="1293">
        <v>0</v>
      </c>
      <c r="E169" s="1293">
        <v>0</v>
      </c>
      <c r="F169" s="1293">
        <v>0</v>
      </c>
      <c r="G169" s="1293">
        <v>0</v>
      </c>
      <c r="H169" s="1293">
        <v>0</v>
      </c>
      <c r="I169" s="1293">
        <v>0</v>
      </c>
      <c r="J169" s="1294">
        <f t="shared" si="21"/>
        <v>0</v>
      </c>
      <c r="K169" s="1294">
        <f t="shared" si="22"/>
        <v>0</v>
      </c>
      <c r="L169" s="1293">
        <f t="shared" si="23"/>
        <v>0</v>
      </c>
      <c r="M169" s="30" t="s">
        <v>3090</v>
      </c>
      <c r="N169" s="30" t="s">
        <v>3091</v>
      </c>
    </row>
    <row r="170" spans="1:15" x14ac:dyDescent="0.4">
      <c r="A170" s="16">
        <v>192271</v>
      </c>
      <c r="B170" s="16">
        <v>60</v>
      </c>
      <c r="C170" s="16">
        <f t="shared" si="20"/>
        <v>300</v>
      </c>
      <c r="D170" s="1477">
        <v>0</v>
      </c>
      <c r="E170" s="1477">
        <v>0</v>
      </c>
      <c r="F170" s="1477">
        <v>0</v>
      </c>
      <c r="G170" s="1477">
        <v>0</v>
      </c>
      <c r="H170" s="1477">
        <v>0</v>
      </c>
      <c r="I170" s="1477">
        <v>0</v>
      </c>
      <c r="J170" s="1478">
        <f t="shared" si="21"/>
        <v>0</v>
      </c>
      <c r="K170" s="1478">
        <f t="shared" si="22"/>
        <v>0</v>
      </c>
      <c r="L170" s="1477">
        <f t="shared" si="23"/>
        <v>0</v>
      </c>
      <c r="M170" s="30" t="s">
        <v>3090</v>
      </c>
      <c r="N170" s="30" t="s">
        <v>3091</v>
      </c>
    </row>
    <row r="171" spans="1:15" x14ac:dyDescent="0.4">
      <c r="A171" s="16">
        <v>192272</v>
      </c>
      <c r="B171" s="16">
        <v>60</v>
      </c>
      <c r="C171" s="16">
        <f t="shared" si="20"/>
        <v>300</v>
      </c>
      <c r="D171" s="1819">
        <v>0</v>
      </c>
      <c r="E171" s="1819">
        <v>0</v>
      </c>
      <c r="F171" s="1819">
        <v>0</v>
      </c>
      <c r="G171" s="1819">
        <v>0</v>
      </c>
      <c r="H171" s="1819">
        <v>0</v>
      </c>
      <c r="I171" s="1819">
        <v>0</v>
      </c>
      <c r="J171" s="1820">
        <f t="shared" si="21"/>
        <v>0</v>
      </c>
      <c r="K171" s="1820">
        <f t="shared" si="22"/>
        <v>0</v>
      </c>
      <c r="L171" s="1819">
        <f t="shared" si="23"/>
        <v>0</v>
      </c>
      <c r="M171" s="30" t="s">
        <v>3092</v>
      </c>
      <c r="N171" s="30" t="s">
        <v>3093</v>
      </c>
    </row>
    <row r="172" spans="1:15" x14ac:dyDescent="0.4">
      <c r="A172" s="16">
        <v>192273</v>
      </c>
      <c r="B172" s="16">
        <v>60</v>
      </c>
      <c r="C172" s="16">
        <f t="shared" si="20"/>
        <v>300</v>
      </c>
      <c r="D172" s="1477">
        <v>0</v>
      </c>
      <c r="E172" s="1477">
        <v>0</v>
      </c>
      <c r="F172" s="1477">
        <v>0</v>
      </c>
      <c r="G172" s="1477">
        <v>0</v>
      </c>
      <c r="H172" s="1477">
        <v>0</v>
      </c>
      <c r="I172" s="1477">
        <v>0</v>
      </c>
      <c r="J172" s="1478">
        <f t="shared" si="21"/>
        <v>0</v>
      </c>
      <c r="K172" s="1478">
        <f t="shared" si="22"/>
        <v>0</v>
      </c>
      <c r="L172" s="1477">
        <f t="shared" si="23"/>
        <v>0</v>
      </c>
      <c r="M172" s="30" t="s">
        <v>3092</v>
      </c>
      <c r="N172" s="30" t="s">
        <v>3093</v>
      </c>
    </row>
    <row r="173" spans="1:15" x14ac:dyDescent="0.4">
      <c r="A173" s="16">
        <v>192274</v>
      </c>
      <c r="B173" s="16">
        <v>60</v>
      </c>
      <c r="C173" s="16">
        <f t="shared" si="20"/>
        <v>300</v>
      </c>
      <c r="D173" s="1374">
        <v>0</v>
      </c>
      <c r="E173" s="1374">
        <v>0</v>
      </c>
      <c r="F173" s="1374">
        <v>0</v>
      </c>
      <c r="G173" s="1374">
        <v>0</v>
      </c>
      <c r="H173" s="1374">
        <v>0</v>
      </c>
      <c r="I173" s="1374">
        <v>0</v>
      </c>
      <c r="J173" s="1376">
        <f t="shared" si="21"/>
        <v>0</v>
      </c>
      <c r="K173" s="1376">
        <f t="shared" si="22"/>
        <v>0</v>
      </c>
      <c r="L173" s="1374">
        <f t="shared" si="23"/>
        <v>0</v>
      </c>
      <c r="M173" s="30" t="s">
        <v>2000</v>
      </c>
      <c r="N173" s="30" t="s">
        <v>3094</v>
      </c>
    </row>
    <row r="174" spans="1:15" x14ac:dyDescent="0.4">
      <c r="A174" s="16">
        <v>192275</v>
      </c>
      <c r="B174" s="16">
        <v>55</v>
      </c>
      <c r="C174" s="16">
        <f t="shared" si="20"/>
        <v>275</v>
      </c>
      <c r="D174" s="1916">
        <v>0</v>
      </c>
      <c r="E174" s="1916">
        <v>0</v>
      </c>
      <c r="F174" s="1916">
        <v>0</v>
      </c>
      <c r="G174" s="1916">
        <v>0</v>
      </c>
      <c r="H174" s="1916">
        <v>0</v>
      </c>
      <c r="I174" s="1916">
        <v>0</v>
      </c>
      <c r="J174" s="1917">
        <f t="shared" si="21"/>
        <v>0</v>
      </c>
      <c r="K174" s="1917">
        <f t="shared" si="22"/>
        <v>0</v>
      </c>
      <c r="L174" s="1916">
        <f t="shared" si="23"/>
        <v>0</v>
      </c>
      <c r="M174" s="30" t="s">
        <v>2000</v>
      </c>
      <c r="N174" s="30" t="s">
        <v>3094</v>
      </c>
    </row>
    <row r="175" spans="1:15" x14ac:dyDescent="0.4">
      <c r="A175" s="36">
        <v>192276</v>
      </c>
      <c r="B175">
        <v>45</v>
      </c>
      <c r="C175" s="36">
        <f t="shared" si="20"/>
        <v>225</v>
      </c>
      <c r="D175" s="1152">
        <v>0</v>
      </c>
      <c r="E175" s="1152">
        <v>0</v>
      </c>
      <c r="F175" s="1152">
        <v>0</v>
      </c>
      <c r="G175" s="1152">
        <v>0</v>
      </c>
      <c r="H175" s="1152">
        <v>0</v>
      </c>
      <c r="I175" s="1152">
        <v>1</v>
      </c>
      <c r="J175" s="1153">
        <f t="shared" si="21"/>
        <v>1</v>
      </c>
      <c r="K175" s="1153">
        <f t="shared" si="22"/>
        <v>0</v>
      </c>
      <c r="L175" s="1152">
        <f t="shared" si="23"/>
        <v>0</v>
      </c>
      <c r="M175" s="955" t="s">
        <v>2000</v>
      </c>
      <c r="N175" s="955" t="s">
        <v>3094</v>
      </c>
    </row>
    <row r="176" spans="1:15" x14ac:dyDescent="0.4">
      <c r="A176" s="16">
        <v>192277</v>
      </c>
      <c r="B176" s="16">
        <v>60</v>
      </c>
      <c r="C176" s="16">
        <f t="shared" si="20"/>
        <v>300</v>
      </c>
      <c r="D176" s="1980">
        <v>0</v>
      </c>
      <c r="E176" s="1980">
        <v>0</v>
      </c>
      <c r="F176" s="1980">
        <v>0</v>
      </c>
      <c r="G176" s="1980">
        <v>0</v>
      </c>
      <c r="H176" s="1980">
        <v>0</v>
      </c>
      <c r="I176" s="1980">
        <v>0</v>
      </c>
      <c r="J176" s="1981">
        <f t="shared" si="21"/>
        <v>0</v>
      </c>
      <c r="K176" s="1981">
        <f t="shared" si="22"/>
        <v>0</v>
      </c>
      <c r="L176" s="1980">
        <f t="shared" si="23"/>
        <v>0</v>
      </c>
      <c r="M176" s="30" t="s">
        <v>2000</v>
      </c>
      <c r="N176" s="30" t="s">
        <v>3094</v>
      </c>
    </row>
    <row r="177" spans="1:14" x14ac:dyDescent="0.4">
      <c r="A177" s="1">
        <v>192278</v>
      </c>
      <c r="B177" s="1">
        <v>60</v>
      </c>
      <c r="C177" s="1">
        <f t="shared" si="20"/>
        <v>300</v>
      </c>
      <c r="D177" s="2017">
        <v>0</v>
      </c>
      <c r="E177" s="2017">
        <v>0</v>
      </c>
      <c r="F177" s="2017">
        <v>0</v>
      </c>
      <c r="G177" s="2017">
        <v>0</v>
      </c>
      <c r="H177" s="2017">
        <v>0</v>
      </c>
      <c r="I177" s="2017">
        <v>0</v>
      </c>
      <c r="J177" s="2018">
        <f t="shared" si="21"/>
        <v>0</v>
      </c>
      <c r="K177" s="2018">
        <f t="shared" si="22"/>
        <v>0</v>
      </c>
      <c r="L177" s="2017">
        <f t="shared" si="23"/>
        <v>0</v>
      </c>
      <c r="M177" s="141" t="s">
        <v>2000</v>
      </c>
      <c r="N177" s="141" t="s">
        <v>3094</v>
      </c>
    </row>
    <row r="178" spans="1:14" x14ac:dyDescent="0.4">
      <c r="A178" s="16">
        <v>192279</v>
      </c>
      <c r="B178" s="16">
        <v>60</v>
      </c>
      <c r="C178" s="16">
        <f t="shared" si="20"/>
        <v>300</v>
      </c>
      <c r="D178" s="1933">
        <v>0</v>
      </c>
      <c r="E178" s="1933">
        <v>0</v>
      </c>
      <c r="F178" s="1933">
        <v>0</v>
      </c>
      <c r="G178" s="1933">
        <v>0</v>
      </c>
      <c r="H178" s="1933">
        <v>0</v>
      </c>
      <c r="I178" s="1933">
        <v>0</v>
      </c>
      <c r="J178" s="1934">
        <f t="shared" si="21"/>
        <v>0</v>
      </c>
      <c r="K178" s="1934">
        <f t="shared" si="22"/>
        <v>0</v>
      </c>
      <c r="L178" s="1933">
        <f t="shared" si="23"/>
        <v>0</v>
      </c>
      <c r="M178" s="30" t="s">
        <v>3096</v>
      </c>
      <c r="N178" s="30" t="s">
        <v>3097</v>
      </c>
    </row>
    <row r="179" spans="1:14" x14ac:dyDescent="0.4">
      <c r="A179" s="16">
        <v>192280</v>
      </c>
      <c r="B179" s="16">
        <v>60</v>
      </c>
      <c r="C179" s="16">
        <f t="shared" ref="C179:C208" si="24">SUM(B179*5)</f>
        <v>300</v>
      </c>
      <c r="D179" s="1926">
        <v>0</v>
      </c>
      <c r="E179" s="1926">
        <v>0</v>
      </c>
      <c r="F179" s="1926">
        <v>0</v>
      </c>
      <c r="G179" s="1926">
        <v>0</v>
      </c>
      <c r="H179" s="1926">
        <v>0</v>
      </c>
      <c r="I179" s="1926">
        <v>0</v>
      </c>
      <c r="J179" s="1927">
        <f t="shared" ref="J179:J208" si="25">SUM(D179:I179)</f>
        <v>0</v>
      </c>
      <c r="K179" s="1927">
        <f t="shared" ref="K179:K208" si="26">SUM(D179:H179)</f>
        <v>0</v>
      </c>
      <c r="L179" s="1926">
        <f t="shared" ref="L179:L208" si="27">B179*K179</f>
        <v>0</v>
      </c>
      <c r="M179" s="30" t="s">
        <v>3098</v>
      </c>
      <c r="N179" s="30" t="s">
        <v>3099</v>
      </c>
    </row>
    <row r="180" spans="1:14" x14ac:dyDescent="0.4">
      <c r="A180" s="16">
        <v>192281</v>
      </c>
      <c r="B180" s="16">
        <v>60</v>
      </c>
      <c r="C180" s="16">
        <f t="shared" si="24"/>
        <v>300</v>
      </c>
      <c r="D180" s="1344">
        <v>0</v>
      </c>
      <c r="E180" s="1344">
        <v>0</v>
      </c>
      <c r="F180" s="1344">
        <v>0</v>
      </c>
      <c r="G180" s="1344">
        <v>0</v>
      </c>
      <c r="H180" s="1344">
        <v>0</v>
      </c>
      <c r="I180" s="1344">
        <v>0</v>
      </c>
      <c r="J180" s="1345">
        <f t="shared" si="25"/>
        <v>0</v>
      </c>
      <c r="K180" s="1345">
        <f t="shared" si="26"/>
        <v>0</v>
      </c>
      <c r="L180" s="1344">
        <f t="shared" si="27"/>
        <v>0</v>
      </c>
      <c r="M180" s="30" t="s">
        <v>3098</v>
      </c>
      <c r="N180" s="30" t="s">
        <v>3099</v>
      </c>
    </row>
    <row r="181" spans="1:14" x14ac:dyDescent="0.4">
      <c r="A181" s="36">
        <v>192282</v>
      </c>
      <c r="B181">
        <v>45</v>
      </c>
      <c r="C181" s="36">
        <f t="shared" si="24"/>
        <v>225</v>
      </c>
      <c r="D181" s="1183">
        <v>0</v>
      </c>
      <c r="E181" s="1183">
        <v>0</v>
      </c>
      <c r="F181" s="1183">
        <v>0</v>
      </c>
      <c r="G181" s="1183">
        <v>0</v>
      </c>
      <c r="H181" s="1183">
        <v>0</v>
      </c>
      <c r="I181" s="1183">
        <v>1</v>
      </c>
      <c r="J181" s="1184">
        <f t="shared" si="25"/>
        <v>1</v>
      </c>
      <c r="K181" s="1184">
        <f t="shared" si="26"/>
        <v>0</v>
      </c>
      <c r="L181" s="1183">
        <f t="shared" si="27"/>
        <v>0</v>
      </c>
      <c r="M181" s="955" t="s">
        <v>3100</v>
      </c>
      <c r="N181" s="955" t="s">
        <v>3101</v>
      </c>
    </row>
    <row r="182" spans="1:14" x14ac:dyDescent="0.4">
      <c r="A182" s="16">
        <v>192283</v>
      </c>
      <c r="B182" s="16">
        <v>50</v>
      </c>
      <c r="C182" s="16">
        <f t="shared" si="24"/>
        <v>250</v>
      </c>
      <c r="D182" s="1398">
        <v>0</v>
      </c>
      <c r="E182" s="1398">
        <v>0</v>
      </c>
      <c r="F182" s="1398">
        <v>0</v>
      </c>
      <c r="G182" s="1398">
        <v>0</v>
      </c>
      <c r="H182" s="1398">
        <v>0</v>
      </c>
      <c r="I182" s="1398">
        <v>0</v>
      </c>
      <c r="J182" s="1399">
        <f t="shared" si="25"/>
        <v>0</v>
      </c>
      <c r="K182" s="1399">
        <f t="shared" si="26"/>
        <v>0</v>
      </c>
      <c r="L182" s="1398">
        <f t="shared" si="27"/>
        <v>0</v>
      </c>
      <c r="M182" s="30" t="s">
        <v>3100</v>
      </c>
      <c r="N182" s="30" t="s">
        <v>3101</v>
      </c>
    </row>
    <row r="183" spans="1:14" x14ac:dyDescent="0.4">
      <c r="A183" s="36">
        <v>192284</v>
      </c>
      <c r="B183">
        <v>45</v>
      </c>
      <c r="C183" s="36">
        <f t="shared" si="24"/>
        <v>225</v>
      </c>
      <c r="D183" s="1183">
        <v>0</v>
      </c>
      <c r="E183" s="1183">
        <v>0</v>
      </c>
      <c r="F183" s="1183">
        <v>0</v>
      </c>
      <c r="G183" s="1183">
        <v>0</v>
      </c>
      <c r="H183" s="1183">
        <v>0</v>
      </c>
      <c r="I183" s="1183">
        <v>1</v>
      </c>
      <c r="J183" s="1184">
        <f t="shared" si="25"/>
        <v>1</v>
      </c>
      <c r="K183" s="1184">
        <f t="shared" si="26"/>
        <v>0</v>
      </c>
      <c r="L183" s="1183">
        <f t="shared" si="27"/>
        <v>0</v>
      </c>
      <c r="M183" s="955" t="s">
        <v>3100</v>
      </c>
      <c r="N183" s="955" t="s">
        <v>3101</v>
      </c>
    </row>
    <row r="184" spans="1:14" x14ac:dyDescent="0.4">
      <c r="A184" s="16">
        <v>192285</v>
      </c>
      <c r="B184" s="16">
        <v>45</v>
      </c>
      <c r="C184" s="16">
        <f t="shared" si="24"/>
        <v>225</v>
      </c>
      <c r="D184" s="1563">
        <v>0</v>
      </c>
      <c r="E184" s="1563">
        <v>0</v>
      </c>
      <c r="F184" s="1563">
        <v>0</v>
      </c>
      <c r="G184" s="1563">
        <v>0</v>
      </c>
      <c r="H184" s="1563">
        <v>0</v>
      </c>
      <c r="I184" s="1563">
        <v>0</v>
      </c>
      <c r="J184" s="1564">
        <f t="shared" si="25"/>
        <v>0</v>
      </c>
      <c r="K184" s="1564">
        <f t="shared" si="26"/>
        <v>0</v>
      </c>
      <c r="L184" s="1563">
        <f t="shared" si="27"/>
        <v>0</v>
      </c>
      <c r="M184" s="30" t="s">
        <v>3100</v>
      </c>
      <c r="N184" s="30" t="s">
        <v>3101</v>
      </c>
    </row>
    <row r="185" spans="1:14" x14ac:dyDescent="0.4">
      <c r="A185" s="16">
        <v>192286</v>
      </c>
      <c r="B185" s="16">
        <v>45</v>
      </c>
      <c r="C185" s="16">
        <f t="shared" si="24"/>
        <v>225</v>
      </c>
      <c r="D185" s="1839">
        <v>0</v>
      </c>
      <c r="E185" s="1839">
        <v>0</v>
      </c>
      <c r="F185" s="1839">
        <v>0</v>
      </c>
      <c r="G185" s="1839">
        <v>0</v>
      </c>
      <c r="H185" s="1839">
        <v>0</v>
      </c>
      <c r="I185" s="1839">
        <v>0</v>
      </c>
      <c r="J185" s="1840">
        <f t="shared" si="25"/>
        <v>0</v>
      </c>
      <c r="K185" s="1840">
        <f t="shared" si="26"/>
        <v>0</v>
      </c>
      <c r="L185" s="1839">
        <f t="shared" si="27"/>
        <v>0</v>
      </c>
      <c r="M185" s="30" t="s">
        <v>2004</v>
      </c>
      <c r="N185" s="30" t="s">
        <v>3102</v>
      </c>
    </row>
    <row r="186" spans="1:14" x14ac:dyDescent="0.4">
      <c r="A186" s="36">
        <v>192287</v>
      </c>
      <c r="B186">
        <v>60</v>
      </c>
      <c r="C186" s="36">
        <f t="shared" si="24"/>
        <v>300</v>
      </c>
      <c r="D186" s="1183">
        <v>0</v>
      </c>
      <c r="E186" s="1183">
        <v>0</v>
      </c>
      <c r="F186" s="1183">
        <v>0</v>
      </c>
      <c r="G186" s="1183">
        <v>0</v>
      </c>
      <c r="H186" s="1183">
        <v>1</v>
      </c>
      <c r="I186" s="1183">
        <v>1</v>
      </c>
      <c r="J186" s="1184">
        <f t="shared" si="25"/>
        <v>2</v>
      </c>
      <c r="K186" s="1184">
        <f t="shared" si="26"/>
        <v>1</v>
      </c>
      <c r="L186" s="1183">
        <f t="shared" si="27"/>
        <v>60</v>
      </c>
      <c r="M186" s="955" t="s">
        <v>2004</v>
      </c>
      <c r="N186" s="955" t="s">
        <v>3102</v>
      </c>
    </row>
    <row r="187" spans="1:14" x14ac:dyDescent="0.4">
      <c r="A187" s="16">
        <v>192288</v>
      </c>
      <c r="B187" s="16">
        <v>60</v>
      </c>
      <c r="C187" s="16">
        <f t="shared" si="24"/>
        <v>300</v>
      </c>
      <c r="D187" s="1534">
        <v>0</v>
      </c>
      <c r="E187" s="1534">
        <v>0</v>
      </c>
      <c r="F187" s="1534">
        <v>0</v>
      </c>
      <c r="G187" s="1534">
        <v>0</v>
      </c>
      <c r="H187" s="1534">
        <v>0</v>
      </c>
      <c r="I187" s="1534">
        <v>0</v>
      </c>
      <c r="J187" s="1535">
        <f t="shared" si="25"/>
        <v>0</v>
      </c>
      <c r="K187" s="1535">
        <f t="shared" si="26"/>
        <v>0</v>
      </c>
      <c r="L187" s="1534">
        <f t="shared" si="27"/>
        <v>0</v>
      </c>
      <c r="M187" s="30" t="s">
        <v>2004</v>
      </c>
      <c r="N187" s="30" t="s">
        <v>3102</v>
      </c>
    </row>
    <row r="188" spans="1:14" x14ac:dyDescent="0.4">
      <c r="A188" s="16">
        <v>192289</v>
      </c>
      <c r="B188" s="16">
        <v>60</v>
      </c>
      <c r="C188" s="16">
        <f t="shared" si="24"/>
        <v>300</v>
      </c>
      <c r="D188" s="1374">
        <v>0</v>
      </c>
      <c r="E188" s="1374">
        <v>0</v>
      </c>
      <c r="F188" s="1374">
        <v>0</v>
      </c>
      <c r="G188" s="1374">
        <v>0</v>
      </c>
      <c r="H188" s="1374">
        <v>0</v>
      </c>
      <c r="I188" s="1374">
        <v>0</v>
      </c>
      <c r="J188" s="1376">
        <f t="shared" si="25"/>
        <v>0</v>
      </c>
      <c r="K188" s="1376">
        <f t="shared" si="26"/>
        <v>0</v>
      </c>
      <c r="L188" s="1374">
        <f t="shared" si="27"/>
        <v>0</v>
      </c>
      <c r="M188" s="30" t="s">
        <v>3103</v>
      </c>
      <c r="N188" s="30" t="s">
        <v>3104</v>
      </c>
    </row>
    <row r="189" spans="1:14" x14ac:dyDescent="0.4">
      <c r="A189" s="36">
        <v>192290</v>
      </c>
      <c r="B189">
        <v>45</v>
      </c>
      <c r="C189" s="36">
        <f t="shared" si="24"/>
        <v>225</v>
      </c>
      <c r="D189" s="1183">
        <v>0</v>
      </c>
      <c r="E189" s="1183">
        <v>0</v>
      </c>
      <c r="F189" s="1183">
        <v>0</v>
      </c>
      <c r="G189" s="1183">
        <v>0</v>
      </c>
      <c r="H189" s="1183">
        <v>0</v>
      </c>
      <c r="I189" s="1183">
        <v>1</v>
      </c>
      <c r="J189" s="1184">
        <f t="shared" si="25"/>
        <v>1</v>
      </c>
      <c r="K189" s="1184">
        <f t="shared" si="26"/>
        <v>0</v>
      </c>
      <c r="L189" s="1183">
        <f t="shared" si="27"/>
        <v>0</v>
      </c>
      <c r="M189" s="955" t="s">
        <v>3103</v>
      </c>
      <c r="N189" s="955" t="s">
        <v>3104</v>
      </c>
    </row>
    <row r="190" spans="1:14" x14ac:dyDescent="0.4">
      <c r="A190" s="36">
        <v>192291</v>
      </c>
      <c r="B190">
        <v>60</v>
      </c>
      <c r="C190" s="36">
        <f t="shared" si="24"/>
        <v>300</v>
      </c>
      <c r="D190" s="1183">
        <v>0</v>
      </c>
      <c r="E190" s="1183">
        <v>0</v>
      </c>
      <c r="F190" s="1183">
        <v>1</v>
      </c>
      <c r="G190" s="1183">
        <v>1</v>
      </c>
      <c r="H190" s="1183">
        <v>1</v>
      </c>
      <c r="I190" s="1183">
        <v>1</v>
      </c>
      <c r="J190" s="1184">
        <f t="shared" si="25"/>
        <v>4</v>
      </c>
      <c r="K190" s="1184">
        <f t="shared" si="26"/>
        <v>3</v>
      </c>
      <c r="L190" s="1183">
        <f t="shared" si="27"/>
        <v>180</v>
      </c>
      <c r="M190" s="955" t="s">
        <v>3103</v>
      </c>
      <c r="N190" s="955" t="s">
        <v>3104</v>
      </c>
    </row>
    <row r="191" spans="1:14" x14ac:dyDescent="0.4">
      <c r="A191" s="36">
        <v>192292</v>
      </c>
      <c r="B191">
        <v>45</v>
      </c>
      <c r="C191" s="36">
        <f t="shared" si="24"/>
        <v>225</v>
      </c>
      <c r="D191" s="1183">
        <v>0</v>
      </c>
      <c r="E191" s="1183">
        <v>0</v>
      </c>
      <c r="F191" s="1183">
        <v>0</v>
      </c>
      <c r="G191" s="1183">
        <v>1</v>
      </c>
      <c r="H191" s="1183">
        <v>1</v>
      </c>
      <c r="I191" s="1183">
        <v>1</v>
      </c>
      <c r="J191" s="1184">
        <f t="shared" si="25"/>
        <v>3</v>
      </c>
      <c r="K191" s="1184">
        <f t="shared" si="26"/>
        <v>2</v>
      </c>
      <c r="L191" s="1183">
        <f t="shared" si="27"/>
        <v>90</v>
      </c>
      <c r="M191" s="955" t="s">
        <v>3105</v>
      </c>
      <c r="N191" s="955" t="s">
        <v>3106</v>
      </c>
    </row>
    <row r="192" spans="1:14" x14ac:dyDescent="0.4">
      <c r="A192" s="16">
        <v>192293</v>
      </c>
      <c r="B192" s="16">
        <v>45</v>
      </c>
      <c r="C192" s="16">
        <f t="shared" si="24"/>
        <v>225</v>
      </c>
      <c r="D192" s="1889">
        <v>0</v>
      </c>
      <c r="E192" s="1889">
        <v>0</v>
      </c>
      <c r="F192" s="1889">
        <v>0</v>
      </c>
      <c r="G192" s="1889">
        <v>0</v>
      </c>
      <c r="H192" s="1889">
        <v>0</v>
      </c>
      <c r="I192" s="1889">
        <v>0</v>
      </c>
      <c r="J192" s="1890">
        <f t="shared" si="25"/>
        <v>0</v>
      </c>
      <c r="K192" s="1890">
        <f t="shared" si="26"/>
        <v>0</v>
      </c>
      <c r="L192" s="1889">
        <f t="shared" si="27"/>
        <v>0</v>
      </c>
      <c r="M192" s="30" t="s">
        <v>3107</v>
      </c>
      <c r="N192" s="30" t="s">
        <v>3108</v>
      </c>
    </row>
    <row r="193" spans="1:14" x14ac:dyDescent="0.4">
      <c r="A193" s="16">
        <v>192294</v>
      </c>
      <c r="B193" s="16">
        <v>45</v>
      </c>
      <c r="C193" s="16">
        <f t="shared" si="24"/>
        <v>225</v>
      </c>
      <c r="D193" s="1926">
        <v>0</v>
      </c>
      <c r="E193" s="1926">
        <v>0</v>
      </c>
      <c r="F193" s="1926">
        <v>0</v>
      </c>
      <c r="G193" s="1926">
        <v>0</v>
      </c>
      <c r="H193" s="1926">
        <v>0</v>
      </c>
      <c r="I193" s="1926">
        <v>0</v>
      </c>
      <c r="J193" s="1927">
        <f t="shared" si="25"/>
        <v>0</v>
      </c>
      <c r="K193" s="1927">
        <f t="shared" si="26"/>
        <v>0</v>
      </c>
      <c r="L193" s="1926">
        <f t="shared" si="27"/>
        <v>0</v>
      </c>
      <c r="M193" s="30" t="s">
        <v>3109</v>
      </c>
      <c r="N193" s="30" t="s">
        <v>3110</v>
      </c>
    </row>
    <row r="194" spans="1:14" x14ac:dyDescent="0.4">
      <c r="A194" s="16">
        <v>192295</v>
      </c>
      <c r="B194" s="16">
        <v>45</v>
      </c>
      <c r="C194" s="16">
        <f t="shared" si="24"/>
        <v>225</v>
      </c>
      <c r="D194" s="1303">
        <v>0</v>
      </c>
      <c r="E194" s="1303">
        <v>0</v>
      </c>
      <c r="F194" s="1303">
        <v>0</v>
      </c>
      <c r="G194" s="1303">
        <v>0</v>
      </c>
      <c r="H194" s="1303">
        <v>0</v>
      </c>
      <c r="I194" s="1303">
        <v>0</v>
      </c>
      <c r="J194" s="1304">
        <f t="shared" si="25"/>
        <v>0</v>
      </c>
      <c r="K194" s="1304">
        <f t="shared" si="26"/>
        <v>0</v>
      </c>
      <c r="L194" s="1303">
        <f t="shared" si="27"/>
        <v>0</v>
      </c>
      <c r="M194" s="30" t="s">
        <v>3111</v>
      </c>
      <c r="N194" s="30" t="s">
        <v>3112</v>
      </c>
    </row>
    <row r="195" spans="1:14" x14ac:dyDescent="0.4">
      <c r="A195" s="16">
        <v>192296</v>
      </c>
      <c r="B195" s="16">
        <v>45</v>
      </c>
      <c r="C195" s="16">
        <f t="shared" si="24"/>
        <v>225</v>
      </c>
      <c r="D195" s="1374">
        <v>0</v>
      </c>
      <c r="E195" s="1374">
        <v>0</v>
      </c>
      <c r="F195" s="1374">
        <v>0</v>
      </c>
      <c r="G195" s="1374">
        <v>0</v>
      </c>
      <c r="H195" s="1374">
        <v>0</v>
      </c>
      <c r="I195" s="1374">
        <v>0</v>
      </c>
      <c r="J195" s="1376">
        <f t="shared" si="25"/>
        <v>0</v>
      </c>
      <c r="K195" s="1376">
        <f t="shared" si="26"/>
        <v>0</v>
      </c>
      <c r="L195" s="1374">
        <f t="shared" si="27"/>
        <v>0</v>
      </c>
      <c r="M195" s="30" t="s">
        <v>3111</v>
      </c>
      <c r="N195" s="30" t="s">
        <v>3112</v>
      </c>
    </row>
    <row r="196" spans="1:14" x14ac:dyDescent="0.4">
      <c r="A196" s="36">
        <v>192297</v>
      </c>
      <c r="B196">
        <v>60</v>
      </c>
      <c r="C196" s="36">
        <f t="shared" si="24"/>
        <v>300</v>
      </c>
      <c r="D196" s="1183">
        <v>0</v>
      </c>
      <c r="E196" s="1183">
        <v>0</v>
      </c>
      <c r="F196" s="1183">
        <v>0</v>
      </c>
      <c r="G196" s="1183">
        <v>0</v>
      </c>
      <c r="H196" s="1183">
        <v>1</v>
      </c>
      <c r="I196" s="1183">
        <v>1</v>
      </c>
      <c r="J196" s="1184">
        <f t="shared" si="25"/>
        <v>2</v>
      </c>
      <c r="K196" s="1184">
        <f t="shared" si="26"/>
        <v>1</v>
      </c>
      <c r="L196" s="1183">
        <f t="shared" si="27"/>
        <v>60</v>
      </c>
      <c r="M196" s="955" t="s">
        <v>3111</v>
      </c>
      <c r="N196" s="955" t="s">
        <v>3112</v>
      </c>
    </row>
    <row r="197" spans="1:14" x14ac:dyDescent="0.4">
      <c r="A197" s="36">
        <v>192298</v>
      </c>
      <c r="B197">
        <v>90</v>
      </c>
      <c r="C197" s="36">
        <f t="shared" si="24"/>
        <v>450</v>
      </c>
      <c r="D197" s="1183">
        <v>0</v>
      </c>
      <c r="E197" s="1183">
        <v>0</v>
      </c>
      <c r="F197" s="1183">
        <v>1</v>
      </c>
      <c r="G197" s="1183">
        <v>1</v>
      </c>
      <c r="H197" s="1183">
        <v>1</v>
      </c>
      <c r="I197" s="1183">
        <v>1</v>
      </c>
      <c r="J197" s="1184">
        <f t="shared" si="25"/>
        <v>4</v>
      </c>
      <c r="K197" s="1184">
        <f t="shared" si="26"/>
        <v>3</v>
      </c>
      <c r="L197" s="1183">
        <f t="shared" si="27"/>
        <v>270</v>
      </c>
      <c r="M197" s="955" t="s">
        <v>3111</v>
      </c>
      <c r="N197" s="955" t="s">
        <v>3112</v>
      </c>
    </row>
    <row r="198" spans="1:14" x14ac:dyDescent="0.4">
      <c r="A198" s="16">
        <v>192299</v>
      </c>
      <c r="B198" s="16">
        <v>45</v>
      </c>
      <c r="C198" s="16">
        <f t="shared" si="24"/>
        <v>225</v>
      </c>
      <c r="D198" s="1839">
        <v>0</v>
      </c>
      <c r="E198" s="1839">
        <v>0</v>
      </c>
      <c r="F198" s="1839">
        <v>0</v>
      </c>
      <c r="G198" s="1839">
        <v>0</v>
      </c>
      <c r="H198" s="1839">
        <v>0</v>
      </c>
      <c r="I198" s="1839">
        <v>0</v>
      </c>
      <c r="J198" s="1840">
        <f t="shared" si="25"/>
        <v>0</v>
      </c>
      <c r="K198" s="1840">
        <f t="shared" si="26"/>
        <v>0</v>
      </c>
      <c r="L198" s="1839">
        <f t="shared" si="27"/>
        <v>0</v>
      </c>
      <c r="M198" s="30" t="s">
        <v>3111</v>
      </c>
      <c r="N198" s="30" t="s">
        <v>3112</v>
      </c>
    </row>
    <row r="199" spans="1:14" x14ac:dyDescent="0.4">
      <c r="A199" s="36">
        <v>192300</v>
      </c>
      <c r="B199">
        <v>50</v>
      </c>
      <c r="C199" s="36">
        <f t="shared" si="24"/>
        <v>250</v>
      </c>
      <c r="D199" s="1183">
        <v>0</v>
      </c>
      <c r="E199" s="1183">
        <v>0</v>
      </c>
      <c r="F199" s="1183">
        <v>0</v>
      </c>
      <c r="G199" s="1183">
        <v>0</v>
      </c>
      <c r="H199" s="1183">
        <v>0</v>
      </c>
      <c r="I199" s="1183">
        <v>1</v>
      </c>
      <c r="J199" s="1184">
        <f t="shared" si="25"/>
        <v>1</v>
      </c>
      <c r="K199" s="1184">
        <f t="shared" si="26"/>
        <v>0</v>
      </c>
      <c r="L199" s="1183">
        <f t="shared" si="27"/>
        <v>0</v>
      </c>
      <c r="M199" s="955" t="s">
        <v>2008</v>
      </c>
      <c r="N199" s="955" t="s">
        <v>3113</v>
      </c>
    </row>
    <row r="200" spans="1:14" x14ac:dyDescent="0.4">
      <c r="A200" s="36">
        <v>192301</v>
      </c>
      <c r="B200">
        <v>60</v>
      </c>
      <c r="C200" s="36">
        <f t="shared" si="24"/>
        <v>300</v>
      </c>
      <c r="D200" s="1183">
        <v>0</v>
      </c>
      <c r="E200" s="1183">
        <v>0</v>
      </c>
      <c r="F200" s="1183">
        <v>0</v>
      </c>
      <c r="G200" s="1183">
        <v>1</v>
      </c>
      <c r="H200" s="1183">
        <v>1</v>
      </c>
      <c r="I200" s="1183">
        <v>1</v>
      </c>
      <c r="J200" s="1184">
        <f t="shared" si="25"/>
        <v>3</v>
      </c>
      <c r="K200" s="1184">
        <f t="shared" si="26"/>
        <v>2</v>
      </c>
      <c r="L200" s="1183">
        <f t="shared" si="27"/>
        <v>120</v>
      </c>
      <c r="M200" s="955" t="s">
        <v>2012</v>
      </c>
      <c r="N200" s="955" t="s">
        <v>3114</v>
      </c>
    </row>
    <row r="201" spans="1:14" x14ac:dyDescent="0.4">
      <c r="A201" s="36">
        <v>192302</v>
      </c>
      <c r="B201">
        <v>45</v>
      </c>
      <c r="C201" s="36">
        <f t="shared" si="24"/>
        <v>225</v>
      </c>
      <c r="D201" s="1183">
        <v>0</v>
      </c>
      <c r="E201" s="1183">
        <v>0</v>
      </c>
      <c r="F201" s="1183">
        <v>0</v>
      </c>
      <c r="G201" s="1183">
        <v>0</v>
      </c>
      <c r="H201" s="1183">
        <v>0</v>
      </c>
      <c r="I201" s="1183">
        <v>1</v>
      </c>
      <c r="J201" s="1184">
        <f t="shared" si="25"/>
        <v>1</v>
      </c>
      <c r="K201" s="1184">
        <f t="shared" si="26"/>
        <v>0</v>
      </c>
      <c r="L201" s="1183">
        <f t="shared" si="27"/>
        <v>0</v>
      </c>
      <c r="M201" s="955" t="s">
        <v>2012</v>
      </c>
      <c r="N201" s="955" t="s">
        <v>3114</v>
      </c>
    </row>
    <row r="202" spans="1:14" x14ac:dyDescent="0.4">
      <c r="A202" s="22">
        <v>192303</v>
      </c>
      <c r="B202" s="22">
        <v>45</v>
      </c>
      <c r="C202" s="22">
        <f t="shared" si="24"/>
        <v>225</v>
      </c>
      <c r="D202" s="557">
        <v>0</v>
      </c>
      <c r="E202" s="557">
        <v>0</v>
      </c>
      <c r="F202" s="557">
        <v>0</v>
      </c>
      <c r="G202" s="557">
        <v>0</v>
      </c>
      <c r="H202" s="557">
        <v>0</v>
      </c>
      <c r="I202" s="557">
        <v>0</v>
      </c>
      <c r="J202" s="24">
        <f t="shared" si="25"/>
        <v>0</v>
      </c>
      <c r="K202" s="24">
        <f t="shared" si="26"/>
        <v>0</v>
      </c>
      <c r="L202" s="557">
        <f t="shared" si="27"/>
        <v>0</v>
      </c>
      <c r="M202" s="29" t="s">
        <v>2012</v>
      </c>
      <c r="N202" s="29" t="s">
        <v>3114</v>
      </c>
    </row>
    <row r="203" spans="1:14" x14ac:dyDescent="0.4">
      <c r="A203" s="36">
        <v>192304</v>
      </c>
      <c r="B203">
        <v>60</v>
      </c>
      <c r="C203" s="36">
        <f t="shared" si="24"/>
        <v>300</v>
      </c>
      <c r="D203" s="1183">
        <v>0</v>
      </c>
      <c r="E203" s="1183">
        <v>0</v>
      </c>
      <c r="F203" s="1183">
        <v>0</v>
      </c>
      <c r="G203" s="1183">
        <v>0</v>
      </c>
      <c r="H203" s="1183">
        <v>1</v>
      </c>
      <c r="I203" s="1183">
        <v>1</v>
      </c>
      <c r="J203" s="1184">
        <f t="shared" si="25"/>
        <v>2</v>
      </c>
      <c r="K203" s="1184">
        <f t="shared" si="26"/>
        <v>1</v>
      </c>
      <c r="L203" s="1183">
        <f t="shared" si="27"/>
        <v>60</v>
      </c>
      <c r="M203" s="955" t="s">
        <v>3116</v>
      </c>
      <c r="N203" s="955" t="s">
        <v>3117</v>
      </c>
    </row>
    <row r="204" spans="1:14" x14ac:dyDescent="0.4">
      <c r="A204" s="16">
        <v>192305</v>
      </c>
      <c r="B204" s="16">
        <v>45</v>
      </c>
      <c r="C204" s="16">
        <f t="shared" si="24"/>
        <v>225</v>
      </c>
      <c r="D204" s="1850">
        <v>0</v>
      </c>
      <c r="E204" s="1850">
        <v>0</v>
      </c>
      <c r="F204" s="1850">
        <v>0</v>
      </c>
      <c r="G204" s="1850">
        <v>0</v>
      </c>
      <c r="H204" s="1850">
        <v>0</v>
      </c>
      <c r="I204" s="1850">
        <v>0</v>
      </c>
      <c r="J204" s="1851">
        <f t="shared" si="25"/>
        <v>0</v>
      </c>
      <c r="K204" s="1851">
        <f t="shared" si="26"/>
        <v>0</v>
      </c>
      <c r="L204" s="1850">
        <f t="shared" si="27"/>
        <v>0</v>
      </c>
      <c r="M204" s="30" t="s">
        <v>3116</v>
      </c>
      <c r="N204" s="955" t="s">
        <v>3117</v>
      </c>
    </row>
    <row r="205" spans="1:14" x14ac:dyDescent="0.4">
      <c r="A205" s="36">
        <v>192306</v>
      </c>
      <c r="B205">
        <v>60</v>
      </c>
      <c r="C205" s="36">
        <f t="shared" si="24"/>
        <v>300</v>
      </c>
      <c r="D205" s="1183">
        <v>0</v>
      </c>
      <c r="E205" s="1183">
        <v>0</v>
      </c>
      <c r="F205" s="1183">
        <v>0</v>
      </c>
      <c r="G205" s="1183">
        <v>0</v>
      </c>
      <c r="H205" s="1183">
        <v>1</v>
      </c>
      <c r="I205" s="1183">
        <v>1</v>
      </c>
      <c r="J205" s="1184">
        <f t="shared" si="25"/>
        <v>2</v>
      </c>
      <c r="K205" s="1184">
        <f t="shared" si="26"/>
        <v>1</v>
      </c>
      <c r="L205" s="1183">
        <f t="shared" si="27"/>
        <v>60</v>
      </c>
      <c r="M205" s="955" t="s">
        <v>3116</v>
      </c>
      <c r="N205" s="955" t="s">
        <v>3117</v>
      </c>
    </row>
    <row r="206" spans="1:14" x14ac:dyDescent="0.4">
      <c r="A206" s="16">
        <v>192307</v>
      </c>
      <c r="B206" s="16">
        <v>45</v>
      </c>
      <c r="C206" s="16">
        <f t="shared" si="24"/>
        <v>225</v>
      </c>
      <c r="D206" s="1926">
        <v>0</v>
      </c>
      <c r="E206" s="1926">
        <v>0</v>
      </c>
      <c r="F206" s="1926">
        <v>0</v>
      </c>
      <c r="G206" s="1926">
        <v>0</v>
      </c>
      <c r="H206" s="1926">
        <v>0</v>
      </c>
      <c r="I206" s="1926">
        <v>0</v>
      </c>
      <c r="J206" s="1927">
        <f t="shared" si="25"/>
        <v>0</v>
      </c>
      <c r="K206" s="1927">
        <f t="shared" si="26"/>
        <v>0</v>
      </c>
      <c r="L206" s="1926">
        <f t="shared" si="27"/>
        <v>0</v>
      </c>
      <c r="M206" s="30" t="s">
        <v>3118</v>
      </c>
      <c r="N206" s="30" t="s">
        <v>3119</v>
      </c>
    </row>
    <row r="207" spans="1:14" x14ac:dyDescent="0.4">
      <c r="A207" s="16">
        <v>192308</v>
      </c>
      <c r="B207" s="16">
        <v>45</v>
      </c>
      <c r="C207" s="16">
        <f t="shared" si="24"/>
        <v>225</v>
      </c>
      <c r="D207" s="1926">
        <v>0</v>
      </c>
      <c r="E207" s="1926">
        <v>0</v>
      </c>
      <c r="F207" s="1926">
        <v>0</v>
      </c>
      <c r="G207" s="1926">
        <v>0</v>
      </c>
      <c r="H207" s="1926">
        <v>0</v>
      </c>
      <c r="I207" s="1926">
        <v>0</v>
      </c>
      <c r="J207" s="1927">
        <f t="shared" si="25"/>
        <v>0</v>
      </c>
      <c r="K207" s="1927">
        <f t="shared" si="26"/>
        <v>0</v>
      </c>
      <c r="L207" s="1926">
        <f t="shared" si="27"/>
        <v>0</v>
      </c>
      <c r="M207" s="30" t="s">
        <v>3118</v>
      </c>
      <c r="N207" s="30" t="s">
        <v>3119</v>
      </c>
    </row>
    <row r="208" spans="1:14" x14ac:dyDescent="0.4">
      <c r="A208" s="36">
        <v>192309</v>
      </c>
      <c r="B208">
        <v>90</v>
      </c>
      <c r="C208" s="36">
        <f t="shared" si="24"/>
        <v>450</v>
      </c>
      <c r="D208" s="1183">
        <v>0</v>
      </c>
      <c r="E208" s="1183">
        <v>1</v>
      </c>
      <c r="F208" s="1183">
        <v>1</v>
      </c>
      <c r="G208" s="1183">
        <v>1</v>
      </c>
      <c r="H208" s="1183">
        <v>1</v>
      </c>
      <c r="I208" s="1183">
        <v>1</v>
      </c>
      <c r="J208" s="1184">
        <f t="shared" si="25"/>
        <v>5</v>
      </c>
      <c r="K208" s="1184">
        <f t="shared" si="26"/>
        <v>4</v>
      </c>
      <c r="L208" s="1183">
        <f t="shared" si="27"/>
        <v>360</v>
      </c>
      <c r="M208" s="955" t="s">
        <v>3118</v>
      </c>
      <c r="N208" s="955" t="s">
        <v>3119</v>
      </c>
    </row>
    <row r="209" spans="1:14" x14ac:dyDescent="0.4">
      <c r="A209" s="36">
        <v>192310</v>
      </c>
      <c r="B209">
        <v>60</v>
      </c>
      <c r="C209" s="36">
        <f t="shared" ref="C209:C238" si="28">SUM(B209*5)</f>
        <v>300</v>
      </c>
      <c r="D209" s="1207">
        <v>0</v>
      </c>
      <c r="E209" s="1207">
        <v>0</v>
      </c>
      <c r="F209" s="1207">
        <v>0</v>
      </c>
      <c r="G209" s="1207">
        <v>0</v>
      </c>
      <c r="H209" s="1207">
        <v>1</v>
      </c>
      <c r="I209" s="1207">
        <v>1</v>
      </c>
      <c r="J209" s="1209">
        <f t="shared" ref="J209:J238" si="29">SUM(D209:I209)</f>
        <v>2</v>
      </c>
      <c r="K209" s="1209">
        <f t="shared" ref="K209:K238" si="30">SUM(D209:H209)</f>
        <v>1</v>
      </c>
      <c r="L209" s="1207">
        <f t="shared" ref="L209:L238" si="31">B209*K209</f>
        <v>60</v>
      </c>
      <c r="M209" s="955" t="s">
        <v>3118</v>
      </c>
      <c r="N209" s="955" t="s">
        <v>3119</v>
      </c>
    </row>
    <row r="210" spans="1:14" x14ac:dyDescent="0.4">
      <c r="A210" s="16">
        <v>192311</v>
      </c>
      <c r="B210" s="16">
        <v>45</v>
      </c>
      <c r="C210" s="16">
        <f t="shared" si="28"/>
        <v>225</v>
      </c>
      <c r="D210" s="1676">
        <v>0</v>
      </c>
      <c r="E210" s="1676">
        <v>0</v>
      </c>
      <c r="F210" s="1676">
        <v>0</v>
      </c>
      <c r="G210" s="1676">
        <v>0</v>
      </c>
      <c r="H210" s="1676">
        <v>0</v>
      </c>
      <c r="I210" s="1676">
        <v>0</v>
      </c>
      <c r="J210" s="1677">
        <f t="shared" si="29"/>
        <v>0</v>
      </c>
      <c r="K210" s="1677">
        <f t="shared" si="30"/>
        <v>0</v>
      </c>
      <c r="L210" s="1676">
        <f t="shared" si="31"/>
        <v>0</v>
      </c>
      <c r="M210" s="30" t="s">
        <v>3120</v>
      </c>
      <c r="N210" s="30" t="s">
        <v>3121</v>
      </c>
    </row>
    <row r="211" spans="1:14" x14ac:dyDescent="0.4">
      <c r="A211" s="36">
        <v>192312</v>
      </c>
      <c r="B211">
        <v>50</v>
      </c>
      <c r="C211" s="36">
        <f t="shared" si="28"/>
        <v>250</v>
      </c>
      <c r="D211" s="1207">
        <v>0</v>
      </c>
      <c r="E211" s="1207">
        <v>0</v>
      </c>
      <c r="F211" s="1207">
        <v>0</v>
      </c>
      <c r="G211" s="1207">
        <v>0</v>
      </c>
      <c r="H211" s="1207">
        <v>0</v>
      </c>
      <c r="I211" s="1207">
        <v>1</v>
      </c>
      <c r="J211" s="1209">
        <f t="shared" si="29"/>
        <v>1</v>
      </c>
      <c r="K211" s="1209">
        <f t="shared" si="30"/>
        <v>0</v>
      </c>
      <c r="L211" s="1207">
        <f t="shared" si="31"/>
        <v>0</v>
      </c>
      <c r="M211" s="955" t="s">
        <v>3122</v>
      </c>
      <c r="N211" s="955" t="s">
        <v>3123</v>
      </c>
    </row>
    <row r="212" spans="1:14" x14ac:dyDescent="0.4">
      <c r="A212" s="16">
        <v>192313</v>
      </c>
      <c r="B212" s="16">
        <v>45</v>
      </c>
      <c r="C212" s="16">
        <f t="shared" si="28"/>
        <v>225</v>
      </c>
      <c r="D212" s="1415">
        <v>0</v>
      </c>
      <c r="E212" s="1415">
        <v>0</v>
      </c>
      <c r="F212" s="1415">
        <v>0</v>
      </c>
      <c r="G212" s="1415">
        <v>0</v>
      </c>
      <c r="H212" s="1415">
        <v>0</v>
      </c>
      <c r="I212" s="1415">
        <v>0</v>
      </c>
      <c r="J212" s="1416">
        <f t="shared" si="29"/>
        <v>0</v>
      </c>
      <c r="K212" s="1416">
        <f t="shared" si="30"/>
        <v>0</v>
      </c>
      <c r="L212" s="1415">
        <f t="shared" si="31"/>
        <v>0</v>
      </c>
      <c r="M212" s="30" t="s">
        <v>3124</v>
      </c>
      <c r="N212" s="30" t="s">
        <v>3125</v>
      </c>
    </row>
    <row r="213" spans="1:14" x14ac:dyDescent="0.4">
      <c r="A213" s="16">
        <v>192314</v>
      </c>
      <c r="B213" s="16">
        <v>45</v>
      </c>
      <c r="C213" s="16">
        <f t="shared" si="28"/>
        <v>225</v>
      </c>
      <c r="D213" s="1823">
        <v>0</v>
      </c>
      <c r="E213" s="1823">
        <v>0</v>
      </c>
      <c r="F213" s="1823">
        <v>0</v>
      </c>
      <c r="G213" s="1823">
        <v>0</v>
      </c>
      <c r="H213" s="1823">
        <v>0</v>
      </c>
      <c r="I213" s="1823">
        <v>0</v>
      </c>
      <c r="J213" s="1824">
        <f t="shared" si="29"/>
        <v>0</v>
      </c>
      <c r="K213" s="1824">
        <f t="shared" si="30"/>
        <v>0</v>
      </c>
      <c r="L213" s="1823">
        <f t="shared" si="31"/>
        <v>0</v>
      </c>
      <c r="M213" s="30" t="s">
        <v>3124</v>
      </c>
      <c r="N213" s="30" t="s">
        <v>3125</v>
      </c>
    </row>
    <row r="214" spans="1:14" x14ac:dyDescent="0.4">
      <c r="A214" s="36">
        <v>192315</v>
      </c>
      <c r="B214">
        <v>90</v>
      </c>
      <c r="C214" s="36">
        <f t="shared" si="28"/>
        <v>450</v>
      </c>
      <c r="D214" s="1207">
        <v>0</v>
      </c>
      <c r="E214" s="1207">
        <v>0</v>
      </c>
      <c r="F214" s="1207">
        <v>0</v>
      </c>
      <c r="G214" s="1207">
        <v>0</v>
      </c>
      <c r="H214" s="1207">
        <v>0</v>
      </c>
      <c r="I214" s="1207">
        <v>1</v>
      </c>
      <c r="J214" s="1209">
        <f t="shared" si="29"/>
        <v>1</v>
      </c>
      <c r="K214" s="1209">
        <f t="shared" si="30"/>
        <v>0</v>
      </c>
      <c r="L214" s="1207">
        <f t="shared" si="31"/>
        <v>0</v>
      </c>
      <c r="M214" s="955" t="s">
        <v>3124</v>
      </c>
      <c r="N214" s="955" t="s">
        <v>3125</v>
      </c>
    </row>
    <row r="215" spans="1:14" x14ac:dyDescent="0.4">
      <c r="A215" s="36">
        <v>192316</v>
      </c>
      <c r="B215">
        <v>45</v>
      </c>
      <c r="C215" s="36">
        <f t="shared" si="28"/>
        <v>225</v>
      </c>
      <c r="D215" s="1207">
        <v>0</v>
      </c>
      <c r="E215" s="1207">
        <v>1</v>
      </c>
      <c r="F215" s="1207">
        <v>1</v>
      </c>
      <c r="G215" s="1207">
        <v>1</v>
      </c>
      <c r="H215" s="1207">
        <v>1</v>
      </c>
      <c r="I215" s="1207">
        <v>1</v>
      </c>
      <c r="J215" s="1209">
        <f t="shared" si="29"/>
        <v>5</v>
      </c>
      <c r="K215" s="1209">
        <f t="shared" si="30"/>
        <v>4</v>
      </c>
      <c r="L215" s="1207">
        <f t="shared" si="31"/>
        <v>180</v>
      </c>
      <c r="M215" s="955" t="s">
        <v>2018</v>
      </c>
      <c r="N215" s="955" t="s">
        <v>3125</v>
      </c>
    </row>
    <row r="216" spans="1:14" x14ac:dyDescent="0.4">
      <c r="A216" s="36">
        <v>192317</v>
      </c>
      <c r="B216">
        <v>50</v>
      </c>
      <c r="C216" s="36">
        <f t="shared" si="28"/>
        <v>250</v>
      </c>
      <c r="D216" s="1207">
        <v>0</v>
      </c>
      <c r="E216" s="1207">
        <v>0</v>
      </c>
      <c r="F216" s="1207">
        <v>0</v>
      </c>
      <c r="G216" s="1207">
        <v>1</v>
      </c>
      <c r="H216" s="1207">
        <v>1</v>
      </c>
      <c r="I216" s="1207">
        <v>1</v>
      </c>
      <c r="J216" s="1209">
        <f t="shared" si="29"/>
        <v>3</v>
      </c>
      <c r="K216" s="1209">
        <f t="shared" si="30"/>
        <v>2</v>
      </c>
      <c r="L216" s="1207">
        <f t="shared" si="31"/>
        <v>100</v>
      </c>
      <c r="M216" s="955" t="s">
        <v>3128</v>
      </c>
      <c r="N216" s="955" t="s">
        <v>3129</v>
      </c>
    </row>
    <row r="217" spans="1:14" x14ac:dyDescent="0.4">
      <c r="A217" s="16">
        <v>192318</v>
      </c>
      <c r="B217" s="16">
        <v>60</v>
      </c>
      <c r="C217" s="16">
        <f t="shared" si="28"/>
        <v>300</v>
      </c>
      <c r="D217" s="1538">
        <v>0</v>
      </c>
      <c r="E217" s="1538">
        <v>0</v>
      </c>
      <c r="F217" s="1538">
        <v>0</v>
      </c>
      <c r="G217" s="1538">
        <v>0</v>
      </c>
      <c r="H217" s="1538">
        <v>0</v>
      </c>
      <c r="I217" s="1538">
        <v>0</v>
      </c>
      <c r="J217" s="1539">
        <f t="shared" si="29"/>
        <v>0</v>
      </c>
      <c r="K217" s="1539">
        <f t="shared" si="30"/>
        <v>0</v>
      </c>
      <c r="L217" s="1538">
        <f t="shared" si="31"/>
        <v>0</v>
      </c>
      <c r="M217" s="30" t="s">
        <v>3126</v>
      </c>
      <c r="N217" s="30" t="s">
        <v>3127</v>
      </c>
    </row>
    <row r="218" spans="1:14" x14ac:dyDescent="0.4">
      <c r="A218" s="16">
        <v>192319</v>
      </c>
      <c r="B218" s="16">
        <v>45</v>
      </c>
      <c r="C218" s="16">
        <f t="shared" si="28"/>
        <v>225</v>
      </c>
      <c r="D218" s="1453">
        <v>0</v>
      </c>
      <c r="E218" s="1453">
        <v>0</v>
      </c>
      <c r="F218" s="1453">
        <v>0</v>
      </c>
      <c r="G218" s="1453">
        <v>0</v>
      </c>
      <c r="H218" s="1453">
        <v>0</v>
      </c>
      <c r="I218" s="1453">
        <v>0</v>
      </c>
      <c r="J218" s="1454">
        <f t="shared" si="29"/>
        <v>0</v>
      </c>
      <c r="K218" s="1454">
        <f t="shared" si="30"/>
        <v>0</v>
      </c>
      <c r="L218" s="1453">
        <f t="shared" si="31"/>
        <v>0</v>
      </c>
      <c r="M218" s="30" t="s">
        <v>3130</v>
      </c>
      <c r="N218" s="30" t="s">
        <v>3131</v>
      </c>
    </row>
    <row r="219" spans="1:14" x14ac:dyDescent="0.4">
      <c r="A219" s="16">
        <v>192320</v>
      </c>
      <c r="B219" s="16">
        <v>45</v>
      </c>
      <c r="C219" s="16">
        <f t="shared" si="28"/>
        <v>225</v>
      </c>
      <c r="D219" s="1449">
        <v>0</v>
      </c>
      <c r="E219" s="1449">
        <v>0</v>
      </c>
      <c r="F219" s="1449">
        <v>0</v>
      </c>
      <c r="G219" s="1449">
        <v>0</v>
      </c>
      <c r="H219" s="1449">
        <v>0</v>
      </c>
      <c r="I219" s="1449">
        <v>0</v>
      </c>
      <c r="J219" s="1450">
        <f t="shared" si="29"/>
        <v>0</v>
      </c>
      <c r="K219" s="1450">
        <f t="shared" si="30"/>
        <v>0</v>
      </c>
      <c r="L219" s="1449">
        <f t="shared" si="31"/>
        <v>0</v>
      </c>
      <c r="M219" s="30" t="s">
        <v>3130</v>
      </c>
      <c r="N219" s="30" t="s">
        <v>3131</v>
      </c>
    </row>
    <row r="220" spans="1:14" x14ac:dyDescent="0.4">
      <c r="A220" s="36">
        <v>192321</v>
      </c>
      <c r="B220">
        <v>50</v>
      </c>
      <c r="C220" s="36">
        <f t="shared" si="28"/>
        <v>250</v>
      </c>
      <c r="D220" s="1207">
        <v>0</v>
      </c>
      <c r="E220" s="1207">
        <v>0</v>
      </c>
      <c r="F220" s="1207">
        <v>0</v>
      </c>
      <c r="G220" s="1207">
        <v>0</v>
      </c>
      <c r="H220" s="1207">
        <v>1</v>
      </c>
      <c r="I220" s="1207">
        <v>1</v>
      </c>
      <c r="J220" s="1209">
        <f t="shared" si="29"/>
        <v>2</v>
      </c>
      <c r="K220" s="1209">
        <f t="shared" si="30"/>
        <v>1</v>
      </c>
      <c r="L220" s="1207">
        <f t="shared" si="31"/>
        <v>50</v>
      </c>
      <c r="M220" s="955" t="s">
        <v>2024</v>
      </c>
      <c r="N220" s="955" t="s">
        <v>3132</v>
      </c>
    </row>
    <row r="221" spans="1:14" x14ac:dyDescent="0.4">
      <c r="A221" s="36">
        <v>192322</v>
      </c>
      <c r="B221">
        <v>60</v>
      </c>
      <c r="C221" s="36">
        <f t="shared" si="28"/>
        <v>300</v>
      </c>
      <c r="D221" s="1207">
        <v>0</v>
      </c>
      <c r="E221" s="1207">
        <v>0</v>
      </c>
      <c r="F221" s="1207">
        <v>0</v>
      </c>
      <c r="G221" s="1207">
        <v>1</v>
      </c>
      <c r="H221" s="1207">
        <v>1</v>
      </c>
      <c r="I221" s="1207">
        <v>1</v>
      </c>
      <c r="J221" s="1209">
        <f t="shared" si="29"/>
        <v>3</v>
      </c>
      <c r="K221" s="1209">
        <f t="shared" si="30"/>
        <v>2</v>
      </c>
      <c r="L221" s="1207">
        <f t="shared" si="31"/>
        <v>120</v>
      </c>
      <c r="M221" s="955" t="s">
        <v>3133</v>
      </c>
      <c r="N221" s="955" t="s">
        <v>3134</v>
      </c>
    </row>
    <row r="222" spans="1:14" x14ac:dyDescent="0.4">
      <c r="A222" s="1">
        <v>192323</v>
      </c>
      <c r="B222" s="1">
        <v>60</v>
      </c>
      <c r="C222" s="1">
        <f t="shared" si="28"/>
        <v>300</v>
      </c>
      <c r="D222" s="1716">
        <v>0</v>
      </c>
      <c r="E222" s="1716">
        <v>0</v>
      </c>
      <c r="F222" s="1716">
        <v>0</v>
      </c>
      <c r="G222" s="1716">
        <v>0</v>
      </c>
      <c r="H222" s="1716">
        <v>0</v>
      </c>
      <c r="I222" s="1716">
        <v>0</v>
      </c>
      <c r="J222" s="1717">
        <f t="shared" si="29"/>
        <v>0</v>
      </c>
      <c r="K222" s="1717">
        <f t="shared" si="30"/>
        <v>0</v>
      </c>
      <c r="L222" s="1716">
        <f t="shared" si="31"/>
        <v>0</v>
      </c>
      <c r="M222" s="141" t="s">
        <v>3133</v>
      </c>
      <c r="N222" s="141" t="s">
        <v>3134</v>
      </c>
    </row>
    <row r="223" spans="1:14" x14ac:dyDescent="0.4">
      <c r="A223" s="1999">
        <v>192324</v>
      </c>
      <c r="B223" s="1999">
        <v>45</v>
      </c>
      <c r="C223" s="1999">
        <f t="shared" si="28"/>
        <v>225</v>
      </c>
      <c r="D223" s="2000">
        <v>0</v>
      </c>
      <c r="E223" s="2000">
        <v>0</v>
      </c>
      <c r="F223" s="2000">
        <v>0</v>
      </c>
      <c r="G223" s="2000">
        <v>0</v>
      </c>
      <c r="H223" s="2000">
        <v>0</v>
      </c>
      <c r="I223" s="2000">
        <v>0</v>
      </c>
      <c r="J223" s="2001">
        <f t="shared" si="29"/>
        <v>0</v>
      </c>
      <c r="K223" s="2001">
        <f t="shared" si="30"/>
        <v>0</v>
      </c>
      <c r="L223" s="2000">
        <f t="shared" si="31"/>
        <v>0</v>
      </c>
      <c r="M223" s="2002" t="s">
        <v>3135</v>
      </c>
      <c r="N223" s="2002" t="s">
        <v>3136</v>
      </c>
    </row>
    <row r="224" spans="1:14" x14ac:dyDescent="0.4">
      <c r="A224" s="16">
        <v>192325</v>
      </c>
      <c r="B224" s="16">
        <v>45</v>
      </c>
      <c r="C224" s="16">
        <f t="shared" si="28"/>
        <v>225</v>
      </c>
      <c r="D224" s="1263">
        <v>0</v>
      </c>
      <c r="E224" s="1263">
        <v>0</v>
      </c>
      <c r="F224" s="1263">
        <v>0</v>
      </c>
      <c r="G224" s="1263">
        <v>0</v>
      </c>
      <c r="H224" s="1263">
        <v>0</v>
      </c>
      <c r="I224" s="1263">
        <v>0</v>
      </c>
      <c r="J224" s="1264">
        <f t="shared" si="29"/>
        <v>0</v>
      </c>
      <c r="K224" s="1264">
        <f t="shared" si="30"/>
        <v>0</v>
      </c>
      <c r="L224" s="1263">
        <f t="shared" si="31"/>
        <v>0</v>
      </c>
      <c r="M224" s="30" t="s">
        <v>3137</v>
      </c>
      <c r="N224" s="30" t="s">
        <v>3138</v>
      </c>
    </row>
    <row r="225" spans="1:15" x14ac:dyDescent="0.4">
      <c r="A225" s="16">
        <v>192326</v>
      </c>
      <c r="B225" s="16">
        <v>60</v>
      </c>
      <c r="C225" s="16">
        <f t="shared" si="28"/>
        <v>300</v>
      </c>
      <c r="D225" s="1720">
        <v>0</v>
      </c>
      <c r="E225" s="1720">
        <v>0</v>
      </c>
      <c r="F225" s="1720">
        <v>0</v>
      </c>
      <c r="G225" s="1720">
        <v>0</v>
      </c>
      <c r="H225" s="1720">
        <v>0</v>
      </c>
      <c r="I225" s="1720">
        <v>0</v>
      </c>
      <c r="J225" s="1721">
        <f t="shared" si="29"/>
        <v>0</v>
      </c>
      <c r="K225" s="1721">
        <f t="shared" si="30"/>
        <v>0</v>
      </c>
      <c r="L225" s="1720">
        <f t="shared" si="31"/>
        <v>0</v>
      </c>
      <c r="M225" s="30" t="s">
        <v>3137</v>
      </c>
      <c r="N225" s="30" t="s">
        <v>3138</v>
      </c>
    </row>
    <row r="226" spans="1:15" x14ac:dyDescent="0.4">
      <c r="A226" s="16">
        <v>192327</v>
      </c>
      <c r="B226" s="16">
        <v>60</v>
      </c>
      <c r="C226" s="16">
        <f t="shared" si="28"/>
        <v>300</v>
      </c>
      <c r="D226" s="1866">
        <v>0</v>
      </c>
      <c r="E226" s="1866">
        <v>0</v>
      </c>
      <c r="F226" s="1866">
        <v>0</v>
      </c>
      <c r="G226" s="1866">
        <v>0</v>
      </c>
      <c r="H226" s="1866">
        <v>0</v>
      </c>
      <c r="I226" s="1866">
        <v>0</v>
      </c>
      <c r="J226" s="1867">
        <f t="shared" si="29"/>
        <v>0</v>
      </c>
      <c r="K226" s="1867">
        <f t="shared" si="30"/>
        <v>0</v>
      </c>
      <c r="L226" s="1866">
        <f t="shared" si="31"/>
        <v>0</v>
      </c>
      <c r="M226" s="30" t="s">
        <v>3137</v>
      </c>
      <c r="N226" s="30" t="s">
        <v>3138</v>
      </c>
    </row>
    <row r="227" spans="1:15" x14ac:dyDescent="0.4">
      <c r="A227" s="2">
        <v>192328</v>
      </c>
      <c r="B227" s="2">
        <v>50</v>
      </c>
      <c r="C227" s="2">
        <f t="shared" si="28"/>
        <v>250</v>
      </c>
      <c r="D227" s="1925">
        <v>0</v>
      </c>
      <c r="E227" s="1925">
        <v>0</v>
      </c>
      <c r="F227" s="1925">
        <v>0</v>
      </c>
      <c r="G227" s="1925">
        <v>0</v>
      </c>
      <c r="H227" s="1925">
        <v>1</v>
      </c>
      <c r="I227" s="1925">
        <v>1</v>
      </c>
      <c r="J227" s="1924">
        <f t="shared" si="29"/>
        <v>2</v>
      </c>
      <c r="K227" s="1924">
        <f t="shared" si="30"/>
        <v>1</v>
      </c>
      <c r="L227" s="1925">
        <f t="shared" si="31"/>
        <v>50</v>
      </c>
      <c r="M227" s="1944" t="s">
        <v>3137</v>
      </c>
      <c r="N227" s="1944" t="s">
        <v>3138</v>
      </c>
    </row>
    <row r="228" spans="1:15" x14ac:dyDescent="0.4">
      <c r="A228" s="1">
        <v>192329</v>
      </c>
      <c r="B228" s="1">
        <v>60</v>
      </c>
      <c r="C228" s="1">
        <f t="shared" si="28"/>
        <v>300</v>
      </c>
      <c r="D228" s="2012">
        <v>0</v>
      </c>
      <c r="E228" s="2012">
        <v>0</v>
      </c>
      <c r="F228" s="2012">
        <v>0</v>
      </c>
      <c r="G228" s="2012">
        <v>0</v>
      </c>
      <c r="H228" s="2012">
        <v>0</v>
      </c>
      <c r="I228" s="2012">
        <v>0</v>
      </c>
      <c r="J228" s="2013">
        <f t="shared" si="29"/>
        <v>0</v>
      </c>
      <c r="K228" s="2013">
        <f t="shared" si="30"/>
        <v>0</v>
      </c>
      <c r="L228" s="2012">
        <f t="shared" si="31"/>
        <v>0</v>
      </c>
      <c r="M228" s="141" t="s">
        <v>3140</v>
      </c>
      <c r="N228" s="141" t="s">
        <v>3141</v>
      </c>
    </row>
    <row r="229" spans="1:15" x14ac:dyDescent="0.4">
      <c r="A229" s="16">
        <v>192330</v>
      </c>
      <c r="B229" s="16">
        <v>60</v>
      </c>
      <c r="C229" s="16">
        <f t="shared" si="28"/>
        <v>300</v>
      </c>
      <c r="D229" s="1702">
        <v>0</v>
      </c>
      <c r="E229" s="1702">
        <v>0</v>
      </c>
      <c r="F229" s="1702">
        <v>0</v>
      </c>
      <c r="G229" s="1702">
        <v>0</v>
      </c>
      <c r="H229" s="1702">
        <v>0</v>
      </c>
      <c r="I229" s="1702">
        <v>0</v>
      </c>
      <c r="J229" s="1703">
        <f t="shared" si="29"/>
        <v>0</v>
      </c>
      <c r="K229" s="1703">
        <f t="shared" si="30"/>
        <v>0</v>
      </c>
      <c r="L229" s="1702">
        <f t="shared" si="31"/>
        <v>0</v>
      </c>
      <c r="M229" s="30" t="s">
        <v>3140</v>
      </c>
      <c r="N229" s="30" t="s">
        <v>3141</v>
      </c>
    </row>
    <row r="230" spans="1:15" x14ac:dyDescent="0.4">
      <c r="A230" s="36">
        <v>192331</v>
      </c>
      <c r="B230">
        <v>60</v>
      </c>
      <c r="C230" s="36">
        <f t="shared" si="28"/>
        <v>300</v>
      </c>
      <c r="D230" s="1207">
        <v>0</v>
      </c>
      <c r="E230" s="1207">
        <v>0</v>
      </c>
      <c r="F230" s="1207">
        <v>1</v>
      </c>
      <c r="G230" s="1207">
        <v>1</v>
      </c>
      <c r="H230" s="1207">
        <v>1</v>
      </c>
      <c r="I230" s="1207">
        <v>1</v>
      </c>
      <c r="J230" s="1209">
        <f t="shared" si="29"/>
        <v>4</v>
      </c>
      <c r="K230" s="1209">
        <f t="shared" si="30"/>
        <v>3</v>
      </c>
      <c r="L230" s="1207">
        <f t="shared" si="31"/>
        <v>180</v>
      </c>
      <c r="M230" s="955" t="s">
        <v>3140</v>
      </c>
      <c r="N230" s="955" t="s">
        <v>3141</v>
      </c>
    </row>
    <row r="231" spans="1:15" x14ac:dyDescent="0.4">
      <c r="A231" s="22">
        <v>192332</v>
      </c>
      <c r="B231" s="22">
        <v>45</v>
      </c>
      <c r="C231" s="22">
        <f t="shared" si="28"/>
        <v>225</v>
      </c>
      <c r="D231" s="557">
        <v>0</v>
      </c>
      <c r="E231" s="557">
        <v>0</v>
      </c>
      <c r="F231" s="557">
        <v>0</v>
      </c>
      <c r="G231" s="557">
        <v>0</v>
      </c>
      <c r="H231" s="557">
        <v>0</v>
      </c>
      <c r="I231" s="557">
        <v>0</v>
      </c>
      <c r="J231" s="24">
        <f t="shared" si="29"/>
        <v>0</v>
      </c>
      <c r="K231" s="24">
        <f t="shared" si="30"/>
        <v>0</v>
      </c>
      <c r="L231" s="557">
        <f t="shared" si="31"/>
        <v>0</v>
      </c>
      <c r="M231" s="29" t="s">
        <v>3140</v>
      </c>
      <c r="N231" s="29" t="s">
        <v>3141</v>
      </c>
    </row>
    <row r="232" spans="1:15" x14ac:dyDescent="0.4">
      <c r="A232" s="36">
        <v>192333</v>
      </c>
      <c r="B232">
        <v>60</v>
      </c>
      <c r="C232" s="36">
        <f t="shared" si="28"/>
        <v>300</v>
      </c>
      <c r="D232" s="1207">
        <v>0</v>
      </c>
      <c r="E232" s="1207">
        <v>0</v>
      </c>
      <c r="F232" s="1207">
        <v>0</v>
      </c>
      <c r="G232" s="1207">
        <v>0</v>
      </c>
      <c r="H232" s="1207">
        <v>0</v>
      </c>
      <c r="I232" s="1207">
        <v>1</v>
      </c>
      <c r="J232" s="1209">
        <f t="shared" si="29"/>
        <v>1</v>
      </c>
      <c r="K232" s="1209">
        <f t="shared" si="30"/>
        <v>0</v>
      </c>
      <c r="L232" s="1207">
        <f t="shared" si="31"/>
        <v>0</v>
      </c>
      <c r="M232" s="955" t="s">
        <v>2035</v>
      </c>
      <c r="N232" s="955" t="s">
        <v>3139</v>
      </c>
    </row>
    <row r="233" spans="1:15" x14ac:dyDescent="0.4">
      <c r="A233" s="22">
        <v>192334</v>
      </c>
      <c r="B233" s="22">
        <v>45</v>
      </c>
      <c r="C233" s="22">
        <f t="shared" si="28"/>
        <v>225</v>
      </c>
      <c r="D233" s="557">
        <v>0</v>
      </c>
      <c r="E233" s="557">
        <v>0</v>
      </c>
      <c r="F233" s="557">
        <v>0</v>
      </c>
      <c r="G233" s="557">
        <v>0</v>
      </c>
      <c r="H233" s="557">
        <v>0</v>
      </c>
      <c r="I233" s="557">
        <v>0</v>
      </c>
      <c r="J233" s="24">
        <f t="shared" si="29"/>
        <v>0</v>
      </c>
      <c r="K233" s="24">
        <f t="shared" si="30"/>
        <v>0</v>
      </c>
      <c r="L233" s="557">
        <f t="shared" si="31"/>
        <v>0</v>
      </c>
      <c r="M233" s="29" t="s">
        <v>2035</v>
      </c>
      <c r="N233" s="29" t="s">
        <v>3139</v>
      </c>
    </row>
    <row r="234" spans="1:15" x14ac:dyDescent="0.4">
      <c r="A234" s="36">
        <v>192335</v>
      </c>
      <c r="B234">
        <v>45</v>
      </c>
      <c r="C234" s="36">
        <f t="shared" si="28"/>
        <v>225</v>
      </c>
      <c r="D234" s="1207">
        <v>0</v>
      </c>
      <c r="E234" s="1207">
        <v>0</v>
      </c>
      <c r="F234" s="1207">
        <v>0</v>
      </c>
      <c r="G234" s="1207">
        <v>0</v>
      </c>
      <c r="H234" s="1207">
        <v>1</v>
      </c>
      <c r="I234" s="1207">
        <v>1</v>
      </c>
      <c r="J234" s="1209">
        <f t="shared" si="29"/>
        <v>2</v>
      </c>
      <c r="K234" s="1209">
        <f t="shared" si="30"/>
        <v>1</v>
      </c>
      <c r="L234" s="1207">
        <f t="shared" si="31"/>
        <v>45</v>
      </c>
      <c r="M234" s="955" t="s">
        <v>3145</v>
      </c>
      <c r="N234" s="955" t="s">
        <v>3142</v>
      </c>
    </row>
    <row r="235" spans="1:15" x14ac:dyDescent="0.4">
      <c r="A235" s="16">
        <v>192336</v>
      </c>
      <c r="B235" s="16">
        <v>60</v>
      </c>
      <c r="C235" s="16">
        <f t="shared" si="28"/>
        <v>300</v>
      </c>
      <c r="D235" s="1340">
        <v>0</v>
      </c>
      <c r="E235" s="1340">
        <v>0</v>
      </c>
      <c r="F235" s="1340">
        <v>0</v>
      </c>
      <c r="G235" s="1340">
        <v>0</v>
      </c>
      <c r="H235" s="1340">
        <v>0</v>
      </c>
      <c r="I235" s="1340">
        <v>0</v>
      </c>
      <c r="J235" s="1341">
        <f t="shared" si="29"/>
        <v>0</v>
      </c>
      <c r="K235" s="1341">
        <f t="shared" si="30"/>
        <v>0</v>
      </c>
      <c r="L235" s="1340">
        <f t="shared" si="31"/>
        <v>0</v>
      </c>
      <c r="M235" s="30" t="s">
        <v>3145</v>
      </c>
      <c r="N235" s="30" t="s">
        <v>3142</v>
      </c>
    </row>
    <row r="236" spans="1:15" x14ac:dyDescent="0.4">
      <c r="A236" s="36">
        <v>192337</v>
      </c>
      <c r="B236">
        <v>60</v>
      </c>
      <c r="C236" s="36">
        <f t="shared" si="28"/>
        <v>300</v>
      </c>
      <c r="D236" s="1207">
        <v>0</v>
      </c>
      <c r="E236" s="1207">
        <v>0</v>
      </c>
      <c r="F236" s="1207">
        <v>0</v>
      </c>
      <c r="G236" s="1207">
        <v>0</v>
      </c>
      <c r="H236" s="1207">
        <v>0</v>
      </c>
      <c r="I236" s="1207">
        <v>1</v>
      </c>
      <c r="J236" s="1209">
        <f t="shared" si="29"/>
        <v>1</v>
      </c>
      <c r="K236" s="1209">
        <f t="shared" si="30"/>
        <v>0</v>
      </c>
      <c r="L236" s="1207">
        <f t="shared" si="31"/>
        <v>0</v>
      </c>
      <c r="M236" s="955" t="s">
        <v>3143</v>
      </c>
      <c r="N236" s="955" t="s">
        <v>3144</v>
      </c>
    </row>
    <row r="237" spans="1:15" x14ac:dyDescent="0.4">
      <c r="A237" s="36">
        <v>192338</v>
      </c>
      <c r="B237">
        <v>45</v>
      </c>
      <c r="C237" s="36">
        <f t="shared" si="28"/>
        <v>225</v>
      </c>
      <c r="D237" s="1207">
        <v>0</v>
      </c>
      <c r="E237" s="1207">
        <v>0</v>
      </c>
      <c r="F237" s="1207">
        <v>0</v>
      </c>
      <c r="G237" s="1207">
        <v>0</v>
      </c>
      <c r="H237" s="1207">
        <v>0</v>
      </c>
      <c r="I237" s="1207">
        <v>1</v>
      </c>
      <c r="J237" s="1209">
        <f t="shared" si="29"/>
        <v>1</v>
      </c>
      <c r="K237" s="1209">
        <f t="shared" si="30"/>
        <v>0</v>
      </c>
      <c r="L237" s="1207">
        <f t="shared" si="31"/>
        <v>0</v>
      </c>
      <c r="M237" s="955" t="s">
        <v>3143</v>
      </c>
      <c r="N237" s="955" t="s">
        <v>3144</v>
      </c>
    </row>
    <row r="238" spans="1:15" x14ac:dyDescent="0.4">
      <c r="A238" s="16">
        <v>192339</v>
      </c>
      <c r="B238" s="16">
        <v>60</v>
      </c>
      <c r="C238" s="16">
        <f t="shared" si="28"/>
        <v>300</v>
      </c>
      <c r="D238" s="1864">
        <v>0</v>
      </c>
      <c r="E238" s="1864">
        <v>0</v>
      </c>
      <c r="F238" s="1864">
        <v>0</v>
      </c>
      <c r="G238" s="1864">
        <v>0</v>
      </c>
      <c r="H238" s="1864">
        <v>0</v>
      </c>
      <c r="I238" s="1864">
        <v>0</v>
      </c>
      <c r="J238" s="1865">
        <f t="shared" si="29"/>
        <v>0</v>
      </c>
      <c r="K238" s="1865">
        <f t="shared" si="30"/>
        <v>0</v>
      </c>
      <c r="L238" s="1864">
        <f t="shared" si="31"/>
        <v>0</v>
      </c>
      <c r="M238" s="30" t="s">
        <v>3147</v>
      </c>
      <c r="N238" s="30" t="s">
        <v>3148</v>
      </c>
      <c r="O238" t="s">
        <v>3149</v>
      </c>
    </row>
    <row r="239" spans="1:15" x14ac:dyDescent="0.4">
      <c r="A239" s="1999">
        <v>192340</v>
      </c>
      <c r="B239" s="1999">
        <v>60</v>
      </c>
      <c r="C239" s="1999">
        <f t="shared" ref="C239:C268" si="32">SUM(B239*5)</f>
        <v>300</v>
      </c>
      <c r="D239" s="2000">
        <v>0</v>
      </c>
      <c r="E239" s="2000">
        <v>0</v>
      </c>
      <c r="F239" s="2000">
        <v>0</v>
      </c>
      <c r="G239" s="2000">
        <v>0</v>
      </c>
      <c r="H239" s="2000">
        <v>0</v>
      </c>
      <c r="I239" s="2000">
        <v>0</v>
      </c>
      <c r="J239" s="2001">
        <f t="shared" ref="J239:J268" si="33">SUM(D239:I239)</f>
        <v>0</v>
      </c>
      <c r="K239" s="2001">
        <f t="shared" ref="K239:K268" si="34">SUM(D239:H239)</f>
        <v>0</v>
      </c>
      <c r="L239" s="2000">
        <f t="shared" ref="L239:L268" si="35">B239*K239</f>
        <v>0</v>
      </c>
      <c r="M239" s="2002" t="s">
        <v>3147</v>
      </c>
      <c r="N239" s="2002" t="s">
        <v>3148</v>
      </c>
    </row>
    <row r="240" spans="1:15" x14ac:dyDescent="0.4">
      <c r="A240" s="1">
        <v>192341</v>
      </c>
      <c r="B240" s="1">
        <v>60</v>
      </c>
      <c r="C240" s="1">
        <f t="shared" si="32"/>
        <v>300</v>
      </c>
      <c r="D240" s="2005">
        <v>0</v>
      </c>
      <c r="E240" s="2005">
        <v>0</v>
      </c>
      <c r="F240" s="2005">
        <v>0</v>
      </c>
      <c r="G240" s="2005">
        <v>0</v>
      </c>
      <c r="H240" s="2005">
        <v>0</v>
      </c>
      <c r="I240" s="2005">
        <v>0</v>
      </c>
      <c r="J240" s="2006">
        <f t="shared" si="33"/>
        <v>0</v>
      </c>
      <c r="K240" s="2006">
        <f t="shared" si="34"/>
        <v>0</v>
      </c>
      <c r="L240" s="2005">
        <f t="shared" si="35"/>
        <v>0</v>
      </c>
      <c r="M240" s="141" t="s">
        <v>3147</v>
      </c>
      <c r="N240" s="141" t="s">
        <v>3148</v>
      </c>
    </row>
    <row r="241" spans="1:18" x14ac:dyDescent="0.4">
      <c r="A241" s="16">
        <v>192342</v>
      </c>
      <c r="B241" s="16">
        <v>60</v>
      </c>
      <c r="C241" s="16">
        <f t="shared" si="32"/>
        <v>300</v>
      </c>
      <c r="D241" s="1868">
        <v>0</v>
      </c>
      <c r="E241" s="1868">
        <v>0</v>
      </c>
      <c r="F241" s="1868">
        <v>0</v>
      </c>
      <c r="G241" s="1868">
        <v>0</v>
      </c>
      <c r="H241" s="1868">
        <v>0</v>
      </c>
      <c r="I241" s="1868">
        <v>0</v>
      </c>
      <c r="J241" s="1869">
        <f t="shared" si="33"/>
        <v>0</v>
      </c>
      <c r="K241" s="1869">
        <f t="shared" si="34"/>
        <v>0</v>
      </c>
      <c r="L241" s="1868">
        <f t="shared" si="35"/>
        <v>0</v>
      </c>
      <c r="M241" s="30" t="s">
        <v>3147</v>
      </c>
      <c r="N241" s="30" t="s">
        <v>3148</v>
      </c>
    </row>
    <row r="242" spans="1:18" x14ac:dyDescent="0.4">
      <c r="A242" s="16">
        <v>192343</v>
      </c>
      <c r="B242" s="16">
        <v>60</v>
      </c>
      <c r="C242" s="16">
        <f t="shared" si="32"/>
        <v>300</v>
      </c>
      <c r="D242" s="1602">
        <v>0</v>
      </c>
      <c r="E242" s="1602">
        <v>0</v>
      </c>
      <c r="F242" s="1602">
        <v>0</v>
      </c>
      <c r="G242" s="1602">
        <v>0</v>
      </c>
      <c r="H242" s="1602">
        <v>0</v>
      </c>
      <c r="I242" s="1602">
        <v>0</v>
      </c>
      <c r="J242" s="1603">
        <f t="shared" si="33"/>
        <v>0</v>
      </c>
      <c r="K242" s="1603">
        <f t="shared" si="34"/>
        <v>0</v>
      </c>
      <c r="L242" s="1602">
        <f t="shared" si="35"/>
        <v>0</v>
      </c>
      <c r="M242" s="30" t="s">
        <v>3150</v>
      </c>
      <c r="N242" s="30" t="s">
        <v>3151</v>
      </c>
    </row>
    <row r="243" spans="1:18" x14ac:dyDescent="0.4">
      <c r="A243" s="16">
        <v>192344</v>
      </c>
      <c r="B243" s="16">
        <v>45</v>
      </c>
      <c r="C243" s="16">
        <f t="shared" si="32"/>
        <v>225</v>
      </c>
      <c r="D243" s="1926">
        <v>0</v>
      </c>
      <c r="E243" s="1926">
        <v>0</v>
      </c>
      <c r="F243" s="1926">
        <v>0</v>
      </c>
      <c r="G243" s="1926">
        <v>0</v>
      </c>
      <c r="H243" s="1926">
        <v>0</v>
      </c>
      <c r="I243" s="1926">
        <v>0</v>
      </c>
      <c r="J243" s="1927">
        <f t="shared" si="33"/>
        <v>0</v>
      </c>
      <c r="K243" s="1927">
        <f t="shared" si="34"/>
        <v>0</v>
      </c>
      <c r="L243" s="1926">
        <f t="shared" si="35"/>
        <v>0</v>
      </c>
      <c r="M243" s="30" t="s">
        <v>3150</v>
      </c>
      <c r="N243" s="30" t="s">
        <v>3151</v>
      </c>
    </row>
    <row r="244" spans="1:18" x14ac:dyDescent="0.4">
      <c r="A244" s="16">
        <v>192345</v>
      </c>
      <c r="B244" s="16">
        <v>45</v>
      </c>
      <c r="C244" s="16">
        <f t="shared" si="32"/>
        <v>225</v>
      </c>
      <c r="D244" s="1568">
        <v>0</v>
      </c>
      <c r="E244" s="1568">
        <v>0</v>
      </c>
      <c r="F244" s="1568">
        <v>0</v>
      </c>
      <c r="G244" s="1568">
        <v>0</v>
      </c>
      <c r="H244" s="1568">
        <v>0</v>
      </c>
      <c r="I244" s="1568">
        <v>0</v>
      </c>
      <c r="J244" s="1569">
        <f t="shared" si="33"/>
        <v>0</v>
      </c>
      <c r="K244" s="1569">
        <f t="shared" si="34"/>
        <v>0</v>
      </c>
      <c r="L244" s="1568">
        <f t="shared" si="35"/>
        <v>0</v>
      </c>
      <c r="M244" s="30" t="s">
        <v>2041</v>
      </c>
      <c r="N244" s="30" t="s">
        <v>3152</v>
      </c>
    </row>
    <row r="245" spans="1:18" x14ac:dyDescent="0.4">
      <c r="A245" s="1999">
        <v>192346</v>
      </c>
      <c r="B245" s="1999">
        <v>60</v>
      </c>
      <c r="C245" s="1999">
        <f t="shared" si="32"/>
        <v>300</v>
      </c>
      <c r="D245" s="2000">
        <v>0</v>
      </c>
      <c r="E245" s="2000">
        <v>0</v>
      </c>
      <c r="F245" s="2000">
        <v>0</v>
      </c>
      <c r="G245" s="2000">
        <v>0</v>
      </c>
      <c r="H245" s="2000">
        <v>0</v>
      </c>
      <c r="I245" s="2000">
        <v>0</v>
      </c>
      <c r="J245" s="2001">
        <f t="shared" si="33"/>
        <v>0</v>
      </c>
      <c r="K245" s="2001">
        <f t="shared" si="34"/>
        <v>0</v>
      </c>
      <c r="L245" s="2000">
        <f t="shared" si="35"/>
        <v>0</v>
      </c>
      <c r="M245" s="2002" t="s">
        <v>2041</v>
      </c>
      <c r="N245" s="2002" t="s">
        <v>3152</v>
      </c>
    </row>
    <row r="246" spans="1:18" x14ac:dyDescent="0.4">
      <c r="A246" s="36">
        <v>192347</v>
      </c>
      <c r="B246">
        <v>60</v>
      </c>
      <c r="C246" s="36">
        <f t="shared" si="32"/>
        <v>300</v>
      </c>
      <c r="D246" s="1227">
        <v>0</v>
      </c>
      <c r="E246" s="1227">
        <v>0</v>
      </c>
      <c r="F246" s="1227">
        <v>0</v>
      </c>
      <c r="G246" s="1227">
        <v>0</v>
      </c>
      <c r="H246" s="1227">
        <v>1</v>
      </c>
      <c r="I246" s="1227">
        <v>1</v>
      </c>
      <c r="J246" s="1228">
        <f t="shared" si="33"/>
        <v>2</v>
      </c>
      <c r="K246" s="1228">
        <f t="shared" si="34"/>
        <v>1</v>
      </c>
      <c r="L246" s="1227">
        <f t="shared" si="35"/>
        <v>60</v>
      </c>
      <c r="M246" s="955" t="s">
        <v>3153</v>
      </c>
      <c r="N246" s="955" t="s">
        <v>3154</v>
      </c>
    </row>
    <row r="247" spans="1:18" x14ac:dyDescent="0.4">
      <c r="A247" s="16">
        <v>192348</v>
      </c>
      <c r="B247" s="16">
        <v>45</v>
      </c>
      <c r="C247" s="16">
        <f t="shared" si="32"/>
        <v>225</v>
      </c>
      <c r="D247" s="1577">
        <v>0</v>
      </c>
      <c r="E247" s="1577">
        <v>0</v>
      </c>
      <c r="F247" s="1577">
        <v>0</v>
      </c>
      <c r="G247" s="1577">
        <v>0</v>
      </c>
      <c r="H247" s="1577">
        <v>0</v>
      </c>
      <c r="I247" s="1577">
        <v>0</v>
      </c>
      <c r="J247" s="1578">
        <f t="shared" si="33"/>
        <v>0</v>
      </c>
      <c r="K247" s="1578">
        <f t="shared" si="34"/>
        <v>0</v>
      </c>
      <c r="L247" s="1577">
        <f t="shared" si="35"/>
        <v>0</v>
      </c>
      <c r="M247" s="30" t="s">
        <v>3153</v>
      </c>
      <c r="N247" s="30" t="s">
        <v>3154</v>
      </c>
    </row>
    <row r="248" spans="1:18" x14ac:dyDescent="0.4">
      <c r="A248" s="1">
        <v>192349</v>
      </c>
      <c r="B248" s="1">
        <v>0</v>
      </c>
      <c r="C248" s="1">
        <f t="shared" si="32"/>
        <v>0</v>
      </c>
      <c r="D248" s="1237">
        <v>0</v>
      </c>
      <c r="E248" s="1237">
        <v>0</v>
      </c>
      <c r="F248" s="1237">
        <v>0</v>
      </c>
      <c r="G248" s="1237"/>
      <c r="H248" s="1237"/>
      <c r="I248" s="1237"/>
      <c r="J248" s="140">
        <f t="shared" si="33"/>
        <v>0</v>
      </c>
      <c r="K248" s="140">
        <f t="shared" si="34"/>
        <v>0</v>
      </c>
      <c r="L248" s="1237">
        <f t="shared" si="35"/>
        <v>0</v>
      </c>
      <c r="M248" s="141" t="s">
        <v>2043</v>
      </c>
      <c r="N248" s="141" t="s">
        <v>3156</v>
      </c>
      <c r="O248" s="1" t="s">
        <v>3157</v>
      </c>
      <c r="P248" s="1"/>
      <c r="Q248" s="1"/>
      <c r="R248" s="1"/>
    </row>
    <row r="249" spans="1:18" x14ac:dyDescent="0.4">
      <c r="A249" s="16">
        <v>192350</v>
      </c>
      <c r="B249" s="16">
        <v>60</v>
      </c>
      <c r="C249" s="16">
        <f t="shared" si="32"/>
        <v>300</v>
      </c>
      <c r="D249" s="1614">
        <v>0</v>
      </c>
      <c r="E249" s="1614">
        <v>0</v>
      </c>
      <c r="F249" s="1614">
        <v>0</v>
      </c>
      <c r="G249" s="1614">
        <v>0</v>
      </c>
      <c r="H249" s="1614">
        <v>0</v>
      </c>
      <c r="I249" s="1614">
        <v>0</v>
      </c>
      <c r="J249" s="1615">
        <f t="shared" si="33"/>
        <v>0</v>
      </c>
      <c r="K249" s="1615">
        <f t="shared" si="34"/>
        <v>0</v>
      </c>
      <c r="L249" s="1614">
        <f t="shared" si="35"/>
        <v>0</v>
      </c>
      <c r="M249" s="30" t="s">
        <v>2043</v>
      </c>
      <c r="N249" s="30" t="s">
        <v>3155</v>
      </c>
    </row>
    <row r="250" spans="1:18" x14ac:dyDescent="0.4">
      <c r="A250" s="16">
        <v>192351</v>
      </c>
      <c r="B250" s="16">
        <v>60</v>
      </c>
      <c r="C250" s="16">
        <f t="shared" si="32"/>
        <v>300</v>
      </c>
      <c r="D250" s="1491">
        <v>0</v>
      </c>
      <c r="E250" s="1491">
        <v>0</v>
      </c>
      <c r="F250" s="1491">
        <v>0</v>
      </c>
      <c r="G250" s="1491">
        <v>0</v>
      </c>
      <c r="H250" s="1491">
        <v>0</v>
      </c>
      <c r="I250" s="1491">
        <v>0</v>
      </c>
      <c r="J250" s="1492">
        <f t="shared" si="33"/>
        <v>0</v>
      </c>
      <c r="K250" s="1492">
        <f t="shared" si="34"/>
        <v>0</v>
      </c>
      <c r="L250" s="1491">
        <f t="shared" si="35"/>
        <v>0</v>
      </c>
      <c r="M250" s="30" t="s">
        <v>3158</v>
      </c>
      <c r="N250" s="30" t="s">
        <v>3159</v>
      </c>
    </row>
    <row r="251" spans="1:18" x14ac:dyDescent="0.4">
      <c r="A251" s="36">
        <v>192352</v>
      </c>
      <c r="B251">
        <v>60</v>
      </c>
      <c r="C251" s="36">
        <f t="shared" si="32"/>
        <v>300</v>
      </c>
      <c r="D251" s="1227">
        <v>0</v>
      </c>
      <c r="E251" s="1227">
        <v>0</v>
      </c>
      <c r="F251" s="1227">
        <v>0</v>
      </c>
      <c r="G251" s="1227">
        <v>1</v>
      </c>
      <c r="H251" s="1227">
        <v>1</v>
      </c>
      <c r="I251" s="1227">
        <v>1</v>
      </c>
      <c r="J251" s="1228">
        <f t="shared" si="33"/>
        <v>3</v>
      </c>
      <c r="K251" s="1228">
        <f t="shared" si="34"/>
        <v>2</v>
      </c>
      <c r="L251" s="1227">
        <f t="shared" si="35"/>
        <v>120</v>
      </c>
      <c r="M251" s="955" t="s">
        <v>3158</v>
      </c>
      <c r="N251" s="955" t="s">
        <v>3159</v>
      </c>
    </row>
    <row r="252" spans="1:18" x14ac:dyDescent="0.4">
      <c r="A252" s="16">
        <v>192353</v>
      </c>
      <c r="B252" s="16">
        <v>45</v>
      </c>
      <c r="C252" s="16">
        <f t="shared" si="32"/>
        <v>225</v>
      </c>
      <c r="D252" s="1487">
        <v>0</v>
      </c>
      <c r="E252" s="1487">
        <v>0</v>
      </c>
      <c r="F252" s="1487">
        <v>0</v>
      </c>
      <c r="G252" s="1487">
        <v>0</v>
      </c>
      <c r="H252" s="1487">
        <v>0</v>
      </c>
      <c r="I252" s="1487">
        <v>0</v>
      </c>
      <c r="J252" s="1488">
        <f t="shared" si="33"/>
        <v>0</v>
      </c>
      <c r="K252" s="1488">
        <f t="shared" si="34"/>
        <v>0</v>
      </c>
      <c r="L252" s="1487">
        <f t="shared" si="35"/>
        <v>0</v>
      </c>
      <c r="M252" s="30" t="s">
        <v>3160</v>
      </c>
      <c r="N252" s="30" t="s">
        <v>3161</v>
      </c>
    </row>
    <row r="253" spans="1:18" x14ac:dyDescent="0.4">
      <c r="A253" s="16">
        <v>192354</v>
      </c>
      <c r="B253" s="16">
        <v>45</v>
      </c>
      <c r="C253" s="16">
        <f t="shared" si="32"/>
        <v>225</v>
      </c>
      <c r="D253" s="1926">
        <v>0</v>
      </c>
      <c r="E253" s="1926">
        <v>0</v>
      </c>
      <c r="F253" s="1926">
        <v>0</v>
      </c>
      <c r="G253" s="1926">
        <v>0</v>
      </c>
      <c r="H253" s="1926">
        <v>0</v>
      </c>
      <c r="I253" s="1926">
        <v>0</v>
      </c>
      <c r="J253" s="1927">
        <f t="shared" si="33"/>
        <v>0</v>
      </c>
      <c r="K253" s="1927">
        <f t="shared" si="34"/>
        <v>0</v>
      </c>
      <c r="L253" s="1926">
        <f t="shared" si="35"/>
        <v>0</v>
      </c>
      <c r="M253" s="30" t="s">
        <v>3160</v>
      </c>
      <c r="N253" s="30" t="s">
        <v>3161</v>
      </c>
    </row>
    <row r="254" spans="1:18" x14ac:dyDescent="0.4">
      <c r="A254" s="36">
        <v>192355</v>
      </c>
      <c r="B254">
        <v>60</v>
      </c>
      <c r="C254" s="36">
        <f t="shared" si="32"/>
        <v>300</v>
      </c>
      <c r="D254" s="1227">
        <v>0</v>
      </c>
      <c r="E254" s="1227">
        <v>0</v>
      </c>
      <c r="F254" s="1227">
        <v>0</v>
      </c>
      <c r="G254" s="1227">
        <v>0</v>
      </c>
      <c r="H254" s="1227">
        <v>0</v>
      </c>
      <c r="I254" s="1227">
        <v>1</v>
      </c>
      <c r="J254" s="1228">
        <f t="shared" si="33"/>
        <v>1</v>
      </c>
      <c r="K254" s="1228">
        <f t="shared" si="34"/>
        <v>0</v>
      </c>
      <c r="L254" s="1227">
        <f t="shared" si="35"/>
        <v>0</v>
      </c>
      <c r="M254" s="955" t="s">
        <v>3160</v>
      </c>
      <c r="N254" s="955" t="s">
        <v>3161</v>
      </c>
    </row>
    <row r="255" spans="1:18" x14ac:dyDescent="0.4">
      <c r="A255" s="36">
        <v>192356</v>
      </c>
      <c r="B255">
        <v>60</v>
      </c>
      <c r="C255" s="36">
        <f t="shared" si="32"/>
        <v>300</v>
      </c>
      <c r="D255" s="1227">
        <v>0</v>
      </c>
      <c r="E255" s="1227">
        <v>0</v>
      </c>
      <c r="F255" s="1227">
        <v>0</v>
      </c>
      <c r="G255" s="1227">
        <v>0</v>
      </c>
      <c r="H255" s="1227">
        <v>1</v>
      </c>
      <c r="I255" s="1227">
        <v>1</v>
      </c>
      <c r="J255" s="1228">
        <f t="shared" si="33"/>
        <v>2</v>
      </c>
      <c r="K255" s="1228">
        <f t="shared" si="34"/>
        <v>1</v>
      </c>
      <c r="L255" s="1227">
        <f t="shared" si="35"/>
        <v>60</v>
      </c>
      <c r="M255" s="955" t="s">
        <v>3160</v>
      </c>
      <c r="N255" s="955" t="s">
        <v>3161</v>
      </c>
    </row>
    <row r="256" spans="1:18" x14ac:dyDescent="0.4">
      <c r="A256" s="36">
        <v>192357</v>
      </c>
      <c r="B256">
        <v>50</v>
      </c>
      <c r="C256" s="36">
        <f t="shared" si="32"/>
        <v>250</v>
      </c>
      <c r="D256" s="1227">
        <v>0</v>
      </c>
      <c r="E256" s="1227">
        <v>0</v>
      </c>
      <c r="F256" s="1227">
        <v>0</v>
      </c>
      <c r="G256" s="1227">
        <v>1</v>
      </c>
      <c r="H256" s="1227">
        <v>1</v>
      </c>
      <c r="I256" s="1227">
        <v>1</v>
      </c>
      <c r="J256" s="1228">
        <f t="shared" si="33"/>
        <v>3</v>
      </c>
      <c r="K256" s="1228">
        <f t="shared" si="34"/>
        <v>2</v>
      </c>
      <c r="L256" s="1227">
        <f t="shared" si="35"/>
        <v>100</v>
      </c>
      <c r="M256" s="955" t="s">
        <v>3162</v>
      </c>
      <c r="N256" s="955" t="s">
        <v>3163</v>
      </c>
    </row>
    <row r="257" spans="1:26" x14ac:dyDescent="0.4">
      <c r="A257" s="36">
        <v>192358</v>
      </c>
      <c r="B257">
        <v>60</v>
      </c>
      <c r="C257" s="36">
        <f t="shared" si="32"/>
        <v>300</v>
      </c>
      <c r="D257" s="1227">
        <v>0</v>
      </c>
      <c r="E257" s="1227">
        <v>0</v>
      </c>
      <c r="F257" s="1227">
        <v>0</v>
      </c>
      <c r="G257" s="1227">
        <v>0</v>
      </c>
      <c r="H257" s="1227">
        <v>0</v>
      </c>
      <c r="I257" s="1227">
        <v>1</v>
      </c>
      <c r="J257" s="1228">
        <f t="shared" si="33"/>
        <v>1</v>
      </c>
      <c r="K257" s="1228">
        <f t="shared" si="34"/>
        <v>0</v>
      </c>
      <c r="L257" s="1227">
        <f t="shared" si="35"/>
        <v>0</v>
      </c>
      <c r="M257" s="955" t="s">
        <v>3164</v>
      </c>
      <c r="N257" s="955" t="s">
        <v>3165</v>
      </c>
    </row>
    <row r="258" spans="1:26" x14ac:dyDescent="0.4">
      <c r="A258" s="16">
        <v>192359</v>
      </c>
      <c r="B258" s="16">
        <v>50</v>
      </c>
      <c r="C258" s="16">
        <f t="shared" si="32"/>
        <v>250</v>
      </c>
      <c r="D258" s="1880">
        <v>0</v>
      </c>
      <c r="E258" s="1880">
        <v>0</v>
      </c>
      <c r="F258" s="1880">
        <v>0</v>
      </c>
      <c r="G258" s="1880">
        <v>0</v>
      </c>
      <c r="H258" s="1880">
        <v>0</v>
      </c>
      <c r="I258" s="1880">
        <v>0</v>
      </c>
      <c r="J258" s="1881">
        <f t="shared" si="33"/>
        <v>0</v>
      </c>
      <c r="K258" s="1881">
        <f t="shared" si="34"/>
        <v>0</v>
      </c>
      <c r="L258" s="1880">
        <f t="shared" si="35"/>
        <v>0</v>
      </c>
      <c r="M258" s="30" t="s">
        <v>3164</v>
      </c>
      <c r="N258" s="30" t="s">
        <v>3165</v>
      </c>
    </row>
    <row r="259" spans="1:26" x14ac:dyDescent="0.4">
      <c r="A259" s="16">
        <v>192360</v>
      </c>
      <c r="B259" s="16">
        <v>60</v>
      </c>
      <c r="C259" s="16">
        <f t="shared" si="32"/>
        <v>300</v>
      </c>
      <c r="D259" s="1718">
        <v>0</v>
      </c>
      <c r="E259" s="1718">
        <v>0</v>
      </c>
      <c r="F259" s="1718">
        <v>0</v>
      </c>
      <c r="G259" s="1718">
        <v>0</v>
      </c>
      <c r="H259" s="1718">
        <v>0</v>
      </c>
      <c r="I259" s="1718">
        <v>0</v>
      </c>
      <c r="J259" s="1719">
        <f t="shared" si="33"/>
        <v>0</v>
      </c>
      <c r="K259" s="1719">
        <f t="shared" si="34"/>
        <v>0</v>
      </c>
      <c r="L259" s="1718">
        <f t="shared" si="35"/>
        <v>0</v>
      </c>
      <c r="M259" s="30" t="s">
        <v>2051</v>
      </c>
      <c r="N259" s="30" t="s">
        <v>3166</v>
      </c>
    </row>
    <row r="260" spans="1:26" x14ac:dyDescent="0.4">
      <c r="A260" s="1960">
        <v>192361</v>
      </c>
      <c r="B260" s="1960">
        <v>90</v>
      </c>
      <c r="C260" s="1960">
        <f t="shared" si="32"/>
        <v>450</v>
      </c>
      <c r="D260" s="1961">
        <v>0</v>
      </c>
      <c r="E260" s="1961">
        <v>0</v>
      </c>
      <c r="F260" s="1961">
        <v>0</v>
      </c>
      <c r="G260" s="1961">
        <v>0</v>
      </c>
      <c r="H260" s="1961">
        <v>0</v>
      </c>
      <c r="I260" s="1961">
        <v>0</v>
      </c>
      <c r="J260" s="1962">
        <v>0</v>
      </c>
      <c r="K260" s="1962">
        <f t="shared" si="34"/>
        <v>0</v>
      </c>
      <c r="L260" s="1961">
        <f t="shared" si="35"/>
        <v>0</v>
      </c>
      <c r="M260" s="1963" t="s">
        <v>2051</v>
      </c>
      <c r="N260" s="1963" t="s">
        <v>3166</v>
      </c>
    </row>
    <row r="261" spans="1:26" x14ac:dyDescent="0.4">
      <c r="A261" s="16">
        <v>192362</v>
      </c>
      <c r="B261" s="16">
        <v>45</v>
      </c>
      <c r="C261" s="16">
        <f t="shared" si="32"/>
        <v>225</v>
      </c>
      <c r="D261" s="1483">
        <v>0</v>
      </c>
      <c r="E261" s="1483">
        <v>0</v>
      </c>
      <c r="F261" s="1483">
        <v>0</v>
      </c>
      <c r="G261" s="1483">
        <v>0</v>
      </c>
      <c r="H261" s="1483">
        <v>0</v>
      </c>
      <c r="I261" s="1483">
        <v>0</v>
      </c>
      <c r="J261" s="1484">
        <f t="shared" si="33"/>
        <v>0</v>
      </c>
      <c r="K261" s="1484">
        <f t="shared" si="34"/>
        <v>0</v>
      </c>
      <c r="L261" s="1483">
        <f t="shared" si="35"/>
        <v>0</v>
      </c>
      <c r="M261" s="30" t="s">
        <v>2051</v>
      </c>
      <c r="N261" s="30" t="s">
        <v>3166</v>
      </c>
    </row>
    <row r="262" spans="1:26" x14ac:dyDescent="0.4">
      <c r="A262" s="16">
        <v>192363</v>
      </c>
      <c r="B262" s="16">
        <v>60</v>
      </c>
      <c r="C262" s="16">
        <f t="shared" si="32"/>
        <v>300</v>
      </c>
      <c r="D262" s="1396">
        <v>0</v>
      </c>
      <c r="E262" s="1396">
        <v>0</v>
      </c>
      <c r="F262" s="1396">
        <v>0</v>
      </c>
      <c r="G262" s="1396">
        <v>0</v>
      </c>
      <c r="H262" s="1396">
        <v>0</v>
      </c>
      <c r="I262" s="1396">
        <v>0</v>
      </c>
      <c r="J262" s="1397">
        <f t="shared" si="33"/>
        <v>0</v>
      </c>
      <c r="K262" s="1397">
        <f t="shared" si="34"/>
        <v>0</v>
      </c>
      <c r="L262" s="1396">
        <f t="shared" si="35"/>
        <v>0</v>
      </c>
      <c r="M262" s="30" t="s">
        <v>3167</v>
      </c>
      <c r="N262" s="30" t="s">
        <v>3168</v>
      </c>
    </row>
    <row r="263" spans="1:26" x14ac:dyDescent="0.4">
      <c r="A263" s="1960">
        <v>192364</v>
      </c>
      <c r="B263" s="1960">
        <v>45</v>
      </c>
      <c r="C263" s="1960">
        <f t="shared" si="32"/>
        <v>225</v>
      </c>
      <c r="D263" s="1961">
        <v>0</v>
      </c>
      <c r="E263" s="1961">
        <v>0</v>
      </c>
      <c r="F263" s="1961">
        <v>0</v>
      </c>
      <c r="G263" s="1961">
        <v>0</v>
      </c>
      <c r="H263" s="1961">
        <v>0</v>
      </c>
      <c r="I263" s="1961">
        <v>0</v>
      </c>
      <c r="J263" s="1962">
        <f t="shared" si="33"/>
        <v>0</v>
      </c>
      <c r="K263" s="1962">
        <f t="shared" si="34"/>
        <v>0</v>
      </c>
      <c r="L263" s="1961">
        <f t="shared" si="35"/>
        <v>0</v>
      </c>
      <c r="M263" s="1963" t="s">
        <v>3167</v>
      </c>
      <c r="N263" s="1963" t="s">
        <v>3168</v>
      </c>
    </row>
    <row r="264" spans="1:26" x14ac:dyDescent="0.4">
      <c r="A264" s="36">
        <v>192365</v>
      </c>
      <c r="B264" s="36">
        <v>60</v>
      </c>
      <c r="C264" s="36">
        <f t="shared" si="32"/>
        <v>300</v>
      </c>
      <c r="D264" s="1622">
        <v>0</v>
      </c>
      <c r="E264" s="1622">
        <v>0</v>
      </c>
      <c r="F264" s="1622">
        <v>0</v>
      </c>
      <c r="G264" s="1622">
        <v>0</v>
      </c>
      <c r="H264" s="1622">
        <v>0</v>
      </c>
      <c r="I264" s="1622">
        <v>1</v>
      </c>
      <c r="J264" s="1623">
        <f t="shared" si="33"/>
        <v>1</v>
      </c>
      <c r="K264" s="1623">
        <f t="shared" si="34"/>
        <v>0</v>
      </c>
      <c r="L264" s="1622">
        <f t="shared" si="35"/>
        <v>0</v>
      </c>
      <c r="M264" s="1290" t="s">
        <v>3169</v>
      </c>
      <c r="N264" s="1290" t="s">
        <v>3170</v>
      </c>
    </row>
    <row r="265" spans="1:26" x14ac:dyDescent="0.4">
      <c r="A265" s="16">
        <v>192366</v>
      </c>
      <c r="B265" s="16">
        <v>45</v>
      </c>
      <c r="C265" s="16">
        <f t="shared" si="32"/>
        <v>225</v>
      </c>
      <c r="D265" s="1421">
        <v>0</v>
      </c>
      <c r="E265" s="1421">
        <v>0</v>
      </c>
      <c r="F265" s="1421">
        <v>0</v>
      </c>
      <c r="G265" s="1421">
        <v>0</v>
      </c>
      <c r="H265" s="1421">
        <v>0</v>
      </c>
      <c r="I265" s="1421">
        <v>0</v>
      </c>
      <c r="J265" s="1423">
        <f t="shared" si="33"/>
        <v>0</v>
      </c>
      <c r="K265" s="1423">
        <f t="shared" si="34"/>
        <v>0</v>
      </c>
      <c r="L265" s="1421">
        <f t="shared" si="35"/>
        <v>0</v>
      </c>
      <c r="M265" s="30" t="s">
        <v>3169</v>
      </c>
      <c r="N265" s="30" t="s">
        <v>3170</v>
      </c>
    </row>
    <row r="266" spans="1:26" x14ac:dyDescent="0.4">
      <c r="A266" s="16">
        <v>192367</v>
      </c>
      <c r="B266" s="16">
        <v>0</v>
      </c>
      <c r="C266" s="16">
        <f t="shared" si="32"/>
        <v>0</v>
      </c>
      <c r="D266" s="1252">
        <v>0</v>
      </c>
      <c r="E266" s="1252"/>
      <c r="F266" s="1252"/>
      <c r="G266" s="1252"/>
      <c r="H266" s="1252"/>
      <c r="I266" s="1252"/>
      <c r="J266" s="1254">
        <f t="shared" si="33"/>
        <v>0</v>
      </c>
      <c r="K266" s="1254">
        <f t="shared" si="34"/>
        <v>0</v>
      </c>
      <c r="L266" s="1252">
        <f t="shared" si="35"/>
        <v>0</v>
      </c>
      <c r="M266" s="30" t="s">
        <v>3169</v>
      </c>
      <c r="N266" s="30" t="s">
        <v>3170</v>
      </c>
      <c r="O266" s="16" t="s">
        <v>3171</v>
      </c>
      <c r="P266" s="359"/>
      <c r="Q266" s="359"/>
      <c r="R266" s="359"/>
      <c r="S266" s="359"/>
      <c r="T266" s="359"/>
      <c r="U266" s="359"/>
      <c r="V266" s="359"/>
      <c r="W266" s="359"/>
      <c r="X266" s="359"/>
      <c r="Y266" s="359"/>
      <c r="Z266" s="359"/>
    </row>
    <row r="267" spans="1:26" x14ac:dyDescent="0.4">
      <c r="A267" s="36">
        <v>192368</v>
      </c>
      <c r="B267">
        <v>60</v>
      </c>
      <c r="C267" s="36">
        <f t="shared" si="32"/>
        <v>300</v>
      </c>
      <c r="D267" s="1227">
        <v>0</v>
      </c>
      <c r="E267" s="1227">
        <v>0</v>
      </c>
      <c r="F267" s="1227">
        <v>0</v>
      </c>
      <c r="G267" s="1227">
        <v>1</v>
      </c>
      <c r="H267" s="1227">
        <v>1</v>
      </c>
      <c r="I267" s="1227">
        <v>1</v>
      </c>
      <c r="J267" s="1228">
        <f t="shared" si="33"/>
        <v>3</v>
      </c>
      <c r="K267" s="1228">
        <f t="shared" si="34"/>
        <v>2</v>
      </c>
      <c r="L267" s="1227">
        <f t="shared" si="35"/>
        <v>120</v>
      </c>
      <c r="M267" s="955" t="s">
        <v>3169</v>
      </c>
      <c r="N267" s="955" t="s">
        <v>3170</v>
      </c>
    </row>
    <row r="268" spans="1:26" x14ac:dyDescent="0.4">
      <c r="A268" s="16">
        <v>192369</v>
      </c>
      <c r="B268" s="16">
        <v>60</v>
      </c>
      <c r="C268" s="16">
        <f t="shared" si="32"/>
        <v>300</v>
      </c>
      <c r="D268" s="1933">
        <v>0</v>
      </c>
      <c r="E268" s="1933">
        <v>0</v>
      </c>
      <c r="F268" s="1933">
        <v>0</v>
      </c>
      <c r="G268" s="1933">
        <v>0</v>
      </c>
      <c r="H268" s="1933">
        <v>0</v>
      </c>
      <c r="I268" s="1933">
        <v>0</v>
      </c>
      <c r="J268" s="1934">
        <f t="shared" si="33"/>
        <v>0</v>
      </c>
      <c r="K268" s="1934">
        <f t="shared" si="34"/>
        <v>0</v>
      </c>
      <c r="L268" s="1933">
        <f t="shared" si="35"/>
        <v>0</v>
      </c>
      <c r="M268" s="30" t="s">
        <v>3169</v>
      </c>
      <c r="N268" s="30" t="s">
        <v>3170</v>
      </c>
    </row>
    <row r="269" spans="1:26" x14ac:dyDescent="0.4">
      <c r="A269" s="1993">
        <v>192370</v>
      </c>
      <c r="B269" s="1993">
        <v>45</v>
      </c>
      <c r="C269" s="1993">
        <f t="shared" ref="C269:C298" si="36">SUM(B269*5)</f>
        <v>225</v>
      </c>
      <c r="D269" s="1994">
        <v>0</v>
      </c>
      <c r="E269" s="1994">
        <v>0</v>
      </c>
      <c r="F269" s="1994">
        <v>0</v>
      </c>
      <c r="G269" s="1994">
        <v>0</v>
      </c>
      <c r="H269" s="1994">
        <v>0</v>
      </c>
      <c r="I269" s="1994">
        <v>0</v>
      </c>
      <c r="J269" s="1995">
        <f t="shared" ref="J269:J298" si="37">SUM(D269:I269)</f>
        <v>0</v>
      </c>
      <c r="K269" s="1995">
        <f t="shared" ref="K269:K298" si="38">SUM(D269:H269)</f>
        <v>0</v>
      </c>
      <c r="L269" s="1994">
        <f t="shared" ref="L269:L298" si="39">B269*K269</f>
        <v>0</v>
      </c>
      <c r="M269" s="1996" t="s">
        <v>3169</v>
      </c>
      <c r="N269" s="1996" t="s">
        <v>3170</v>
      </c>
      <c r="O269" s="1993" t="s">
        <v>3174</v>
      </c>
      <c r="P269" s="1993"/>
      <c r="Q269" s="1993"/>
      <c r="R269" s="1993" t="s">
        <v>3893</v>
      </c>
      <c r="S269" s="1993" t="s">
        <v>3894</v>
      </c>
    </row>
    <row r="270" spans="1:26" x14ac:dyDescent="0.4">
      <c r="A270" s="1">
        <v>192371</v>
      </c>
      <c r="B270" s="1">
        <v>60</v>
      </c>
      <c r="C270" s="1">
        <f t="shared" si="36"/>
        <v>300</v>
      </c>
      <c r="D270" s="2017">
        <v>0</v>
      </c>
      <c r="E270" s="2017">
        <v>0</v>
      </c>
      <c r="F270" s="2017">
        <v>0</v>
      </c>
      <c r="G270" s="2017">
        <v>0</v>
      </c>
      <c r="H270" s="2017">
        <v>0</v>
      </c>
      <c r="I270" s="2017">
        <v>0</v>
      </c>
      <c r="J270" s="2018">
        <f t="shared" si="37"/>
        <v>0</v>
      </c>
      <c r="K270" s="2018">
        <f t="shared" si="38"/>
        <v>0</v>
      </c>
      <c r="L270" s="2017">
        <f t="shared" si="39"/>
        <v>0</v>
      </c>
      <c r="M270" s="141" t="s">
        <v>3169</v>
      </c>
      <c r="N270" s="141" t="s">
        <v>3170</v>
      </c>
    </row>
    <row r="271" spans="1:26" x14ac:dyDescent="0.4">
      <c r="A271" s="1">
        <v>192372</v>
      </c>
      <c r="B271" s="1">
        <v>45</v>
      </c>
      <c r="C271" s="1">
        <f t="shared" si="36"/>
        <v>225</v>
      </c>
      <c r="D271" s="1945">
        <v>0</v>
      </c>
      <c r="E271" s="1945">
        <v>0</v>
      </c>
      <c r="F271" s="1945">
        <v>0</v>
      </c>
      <c r="G271" s="1945">
        <v>0</v>
      </c>
      <c r="H271" s="1945">
        <v>0</v>
      </c>
      <c r="I271" s="1945">
        <v>0</v>
      </c>
      <c r="J271" s="1946">
        <f t="shared" si="37"/>
        <v>0</v>
      </c>
      <c r="K271" s="1946">
        <f t="shared" si="38"/>
        <v>0</v>
      </c>
      <c r="L271" s="1945">
        <f t="shared" si="39"/>
        <v>0</v>
      </c>
      <c r="M271" s="141" t="s">
        <v>3176</v>
      </c>
      <c r="N271" s="141" t="s">
        <v>3177</v>
      </c>
    </row>
    <row r="272" spans="1:26" x14ac:dyDescent="0.4">
      <c r="A272" s="36">
        <v>192373</v>
      </c>
      <c r="B272">
        <v>45</v>
      </c>
      <c r="C272" s="36">
        <f t="shared" si="36"/>
        <v>225</v>
      </c>
      <c r="D272" s="1245">
        <v>0</v>
      </c>
      <c r="E272" s="1245">
        <v>0</v>
      </c>
      <c r="F272" s="1245">
        <v>0</v>
      </c>
      <c r="G272" s="1245">
        <v>0</v>
      </c>
      <c r="H272" s="1245">
        <v>0</v>
      </c>
      <c r="I272" s="1245">
        <v>1</v>
      </c>
      <c r="J272" s="1246">
        <f t="shared" si="37"/>
        <v>1</v>
      </c>
      <c r="K272" s="1246">
        <f t="shared" si="38"/>
        <v>0</v>
      </c>
      <c r="L272" s="1245">
        <f t="shared" si="39"/>
        <v>0</v>
      </c>
      <c r="M272" s="955" t="s">
        <v>3176</v>
      </c>
      <c r="N272" s="955" t="s">
        <v>3177</v>
      </c>
    </row>
    <row r="273" spans="1:14" x14ac:dyDescent="0.4">
      <c r="A273" s="1">
        <v>192374</v>
      </c>
      <c r="B273" s="1">
        <v>60</v>
      </c>
      <c r="C273" s="1">
        <f t="shared" si="36"/>
        <v>300</v>
      </c>
      <c r="D273" s="2019">
        <v>0</v>
      </c>
      <c r="E273" s="2019">
        <v>0</v>
      </c>
      <c r="F273" s="2019">
        <v>0</v>
      </c>
      <c r="G273" s="2019">
        <v>0</v>
      </c>
      <c r="H273" s="2019">
        <v>0</v>
      </c>
      <c r="I273" s="2019">
        <v>0</v>
      </c>
      <c r="J273" s="2020">
        <f t="shared" si="37"/>
        <v>0</v>
      </c>
      <c r="K273" s="2020">
        <f t="shared" si="38"/>
        <v>0</v>
      </c>
      <c r="L273" s="2019">
        <f t="shared" si="39"/>
        <v>0</v>
      </c>
      <c r="M273" s="141" t="s">
        <v>3178</v>
      </c>
      <c r="N273" s="141" t="s">
        <v>3179</v>
      </c>
    </row>
    <row r="274" spans="1:14" x14ac:dyDescent="0.4">
      <c r="A274" s="16">
        <v>192375</v>
      </c>
      <c r="B274" s="16">
        <v>45</v>
      </c>
      <c r="C274" s="16">
        <f t="shared" si="36"/>
        <v>225</v>
      </c>
      <c r="D274" s="1656">
        <v>0</v>
      </c>
      <c r="E274" s="1656">
        <v>0</v>
      </c>
      <c r="F274" s="1656">
        <v>0</v>
      </c>
      <c r="G274" s="1656">
        <v>0</v>
      </c>
      <c r="H274" s="1656">
        <v>0</v>
      </c>
      <c r="I274" s="1656">
        <v>0</v>
      </c>
      <c r="J274" s="1657">
        <f t="shared" si="37"/>
        <v>0</v>
      </c>
      <c r="K274" s="1657">
        <f t="shared" si="38"/>
        <v>0</v>
      </c>
      <c r="L274" s="1656">
        <f t="shared" si="39"/>
        <v>0</v>
      </c>
      <c r="M274" s="30" t="s">
        <v>3178</v>
      </c>
      <c r="N274" s="30" t="s">
        <v>3179</v>
      </c>
    </row>
    <row r="275" spans="1:14" x14ac:dyDescent="0.4">
      <c r="A275" s="36">
        <v>192376</v>
      </c>
      <c r="B275">
        <v>60</v>
      </c>
      <c r="C275" s="36">
        <f t="shared" si="36"/>
        <v>300</v>
      </c>
      <c r="D275" s="1245">
        <v>0</v>
      </c>
      <c r="E275" s="1245">
        <v>0</v>
      </c>
      <c r="F275" s="1245">
        <v>0</v>
      </c>
      <c r="G275" s="1245">
        <v>1</v>
      </c>
      <c r="H275" s="1245">
        <v>1</v>
      </c>
      <c r="I275" s="1245">
        <v>1</v>
      </c>
      <c r="J275" s="1246">
        <f t="shared" si="37"/>
        <v>3</v>
      </c>
      <c r="K275" s="1246">
        <f t="shared" si="38"/>
        <v>2</v>
      </c>
      <c r="L275" s="1245">
        <f t="shared" si="39"/>
        <v>120</v>
      </c>
      <c r="M275" s="955" t="s">
        <v>3180</v>
      </c>
      <c r="N275" s="955" t="s">
        <v>3181</v>
      </c>
    </row>
    <row r="276" spans="1:14" x14ac:dyDescent="0.4">
      <c r="A276" s="36">
        <v>192377</v>
      </c>
      <c r="B276">
        <v>45</v>
      </c>
      <c r="C276" s="36">
        <f t="shared" si="36"/>
        <v>225</v>
      </c>
      <c r="D276" s="1245">
        <v>0</v>
      </c>
      <c r="E276" s="1245">
        <v>0</v>
      </c>
      <c r="F276" s="1245">
        <v>0</v>
      </c>
      <c r="G276" s="1245">
        <v>0</v>
      </c>
      <c r="H276" s="1245">
        <v>1</v>
      </c>
      <c r="I276" s="1245">
        <v>1</v>
      </c>
      <c r="J276" s="1246">
        <f t="shared" si="37"/>
        <v>2</v>
      </c>
      <c r="K276" s="1246">
        <f t="shared" si="38"/>
        <v>1</v>
      </c>
      <c r="L276" s="1245">
        <f t="shared" si="39"/>
        <v>45</v>
      </c>
      <c r="M276" s="955" t="s">
        <v>3180</v>
      </c>
      <c r="N276" s="955" t="s">
        <v>3181</v>
      </c>
    </row>
    <row r="277" spans="1:14" x14ac:dyDescent="0.4">
      <c r="A277" s="16">
        <v>192378</v>
      </c>
      <c r="B277" s="16">
        <v>60</v>
      </c>
      <c r="C277" s="16">
        <f t="shared" si="36"/>
        <v>300</v>
      </c>
      <c r="D277" s="1493">
        <v>0</v>
      </c>
      <c r="E277" s="1493">
        <v>0</v>
      </c>
      <c r="F277" s="1493">
        <v>0</v>
      </c>
      <c r="G277" s="1493">
        <v>0</v>
      </c>
      <c r="H277" s="1493">
        <v>0</v>
      </c>
      <c r="I277" s="1493">
        <v>0</v>
      </c>
      <c r="J277" s="1494">
        <f t="shared" si="37"/>
        <v>0</v>
      </c>
      <c r="K277" s="1494">
        <f t="shared" si="38"/>
        <v>0</v>
      </c>
      <c r="L277" s="1493">
        <f t="shared" si="39"/>
        <v>0</v>
      </c>
      <c r="M277" s="30" t="s">
        <v>3180</v>
      </c>
      <c r="N277" s="30" t="s">
        <v>3181</v>
      </c>
    </row>
    <row r="278" spans="1:14" x14ac:dyDescent="0.4">
      <c r="A278" s="16">
        <v>192379</v>
      </c>
      <c r="B278" s="16">
        <v>60</v>
      </c>
      <c r="C278" s="16">
        <f t="shared" si="36"/>
        <v>300</v>
      </c>
      <c r="D278" s="1811">
        <v>0</v>
      </c>
      <c r="E278" s="1811">
        <v>0</v>
      </c>
      <c r="F278" s="1811">
        <v>0</v>
      </c>
      <c r="G278" s="1811">
        <v>0</v>
      </c>
      <c r="H278" s="1811">
        <v>0</v>
      </c>
      <c r="I278" s="1811">
        <v>0</v>
      </c>
      <c r="J278" s="1812">
        <f t="shared" si="37"/>
        <v>0</v>
      </c>
      <c r="K278" s="1812">
        <f t="shared" si="38"/>
        <v>0</v>
      </c>
      <c r="L278" s="1811">
        <f t="shared" si="39"/>
        <v>0</v>
      </c>
      <c r="M278" s="30" t="s">
        <v>3182</v>
      </c>
      <c r="N278" s="30" t="s">
        <v>3183</v>
      </c>
    </row>
    <row r="279" spans="1:14" x14ac:dyDescent="0.4">
      <c r="A279" s="16">
        <v>192380</v>
      </c>
      <c r="B279" s="16">
        <v>60</v>
      </c>
      <c r="C279" s="16">
        <f t="shared" si="36"/>
        <v>300</v>
      </c>
      <c r="D279" s="1712">
        <v>0</v>
      </c>
      <c r="E279" s="1712">
        <v>0</v>
      </c>
      <c r="F279" s="1712">
        <v>0</v>
      </c>
      <c r="G279" s="1712">
        <v>0</v>
      </c>
      <c r="H279" s="1712">
        <v>0</v>
      </c>
      <c r="I279" s="1712">
        <v>0</v>
      </c>
      <c r="J279" s="1713">
        <f t="shared" si="37"/>
        <v>0</v>
      </c>
      <c r="K279" s="1713">
        <f t="shared" si="38"/>
        <v>0</v>
      </c>
      <c r="L279" s="1712">
        <f t="shared" si="39"/>
        <v>0</v>
      </c>
      <c r="M279" s="30" t="s">
        <v>3182</v>
      </c>
      <c r="N279" s="30" t="s">
        <v>3183</v>
      </c>
    </row>
    <row r="280" spans="1:14" x14ac:dyDescent="0.4">
      <c r="A280" s="16">
        <v>192381</v>
      </c>
      <c r="B280" s="16">
        <v>45</v>
      </c>
      <c r="C280" s="16">
        <f t="shared" si="36"/>
        <v>225</v>
      </c>
      <c r="D280" s="1839">
        <v>0</v>
      </c>
      <c r="E280" s="1839">
        <v>0</v>
      </c>
      <c r="F280" s="1839">
        <v>0</v>
      </c>
      <c r="G280" s="1839">
        <v>0</v>
      </c>
      <c r="H280" s="1839">
        <v>0</v>
      </c>
      <c r="I280" s="1839">
        <v>0</v>
      </c>
      <c r="J280" s="1840">
        <f t="shared" si="37"/>
        <v>0</v>
      </c>
      <c r="K280" s="1840">
        <f t="shared" si="38"/>
        <v>0</v>
      </c>
      <c r="L280" s="1839">
        <f t="shared" si="39"/>
        <v>0</v>
      </c>
      <c r="M280" s="30" t="s">
        <v>3184</v>
      </c>
      <c r="N280" s="30" t="s">
        <v>3185</v>
      </c>
    </row>
    <row r="281" spans="1:14" x14ac:dyDescent="0.4">
      <c r="A281" s="1034">
        <v>192382</v>
      </c>
      <c r="B281" s="1034">
        <v>60</v>
      </c>
      <c r="C281" s="1034">
        <f t="shared" si="36"/>
        <v>300</v>
      </c>
      <c r="D281" s="1035">
        <v>0</v>
      </c>
      <c r="E281" s="1035">
        <v>0</v>
      </c>
      <c r="F281" s="1035">
        <v>0</v>
      </c>
      <c r="G281" s="1035">
        <v>0</v>
      </c>
      <c r="H281" s="1035">
        <v>0</v>
      </c>
      <c r="I281" s="1035">
        <v>0</v>
      </c>
      <c r="J281" s="1036">
        <f t="shared" si="37"/>
        <v>0</v>
      </c>
      <c r="K281" s="1036">
        <f t="shared" si="38"/>
        <v>0</v>
      </c>
      <c r="L281" s="1035">
        <f t="shared" si="39"/>
        <v>0</v>
      </c>
      <c r="M281" s="1957" t="s">
        <v>3184</v>
      </c>
      <c r="N281" s="1957" t="s">
        <v>3185</v>
      </c>
    </row>
    <row r="282" spans="1:14" x14ac:dyDescent="0.4">
      <c r="A282" s="36">
        <v>192383</v>
      </c>
      <c r="B282">
        <v>60</v>
      </c>
      <c r="C282" s="36">
        <f t="shared" si="36"/>
        <v>300</v>
      </c>
      <c r="D282" s="1245">
        <v>0</v>
      </c>
      <c r="E282" s="1245">
        <v>0</v>
      </c>
      <c r="F282" s="1245">
        <v>0</v>
      </c>
      <c r="G282" s="1245">
        <v>0</v>
      </c>
      <c r="H282" s="1245">
        <v>1</v>
      </c>
      <c r="I282" s="1245">
        <v>1</v>
      </c>
      <c r="J282" s="1246">
        <f t="shared" si="37"/>
        <v>2</v>
      </c>
      <c r="K282" s="1246">
        <f t="shared" si="38"/>
        <v>1</v>
      </c>
      <c r="L282" s="1245">
        <f t="shared" si="39"/>
        <v>60</v>
      </c>
      <c r="M282" s="955" t="s">
        <v>3184</v>
      </c>
      <c r="N282" s="955" t="s">
        <v>3185</v>
      </c>
    </row>
    <row r="283" spans="1:14" x14ac:dyDescent="0.4">
      <c r="A283" s="36">
        <v>192384</v>
      </c>
      <c r="B283">
        <v>50</v>
      </c>
      <c r="C283" s="36">
        <f t="shared" si="36"/>
        <v>250</v>
      </c>
      <c r="D283" s="1245">
        <v>0</v>
      </c>
      <c r="E283" s="1245">
        <v>0</v>
      </c>
      <c r="F283" s="1245">
        <v>0</v>
      </c>
      <c r="G283" s="1245">
        <v>1</v>
      </c>
      <c r="H283" s="1245">
        <v>1</v>
      </c>
      <c r="I283" s="1245">
        <v>1</v>
      </c>
      <c r="J283" s="1246">
        <f t="shared" si="37"/>
        <v>3</v>
      </c>
      <c r="K283" s="1246">
        <f t="shared" si="38"/>
        <v>2</v>
      </c>
      <c r="L283" s="1245">
        <f t="shared" si="39"/>
        <v>100</v>
      </c>
      <c r="M283" s="955" t="s">
        <v>3184</v>
      </c>
      <c r="N283" s="955" t="s">
        <v>3185</v>
      </c>
    </row>
    <row r="284" spans="1:14" x14ac:dyDescent="0.4">
      <c r="A284" s="36">
        <v>192385</v>
      </c>
      <c r="B284">
        <v>50</v>
      </c>
      <c r="C284" s="36">
        <f t="shared" si="36"/>
        <v>250</v>
      </c>
      <c r="D284" s="1245">
        <v>0</v>
      </c>
      <c r="E284" s="1245">
        <v>0</v>
      </c>
      <c r="F284" s="1245">
        <v>0</v>
      </c>
      <c r="G284" s="1245">
        <v>0</v>
      </c>
      <c r="H284" s="1245">
        <v>0</v>
      </c>
      <c r="I284" s="1245">
        <v>1</v>
      </c>
      <c r="J284" s="1246">
        <f t="shared" si="37"/>
        <v>1</v>
      </c>
      <c r="K284" s="1246">
        <f t="shared" si="38"/>
        <v>0</v>
      </c>
      <c r="L284" s="1245">
        <f t="shared" si="39"/>
        <v>0</v>
      </c>
      <c r="M284" s="955" t="s">
        <v>3186</v>
      </c>
      <c r="N284" s="955" t="s">
        <v>3187</v>
      </c>
    </row>
    <row r="285" spans="1:14" x14ac:dyDescent="0.4">
      <c r="A285" s="16">
        <v>192386</v>
      </c>
      <c r="B285" s="16">
        <v>45</v>
      </c>
      <c r="C285" s="16">
        <f t="shared" si="36"/>
        <v>225</v>
      </c>
      <c r="D285" s="1305">
        <v>0</v>
      </c>
      <c r="E285" s="1305">
        <v>0</v>
      </c>
      <c r="F285" s="1305">
        <v>0</v>
      </c>
      <c r="G285" s="1305">
        <v>0</v>
      </c>
      <c r="H285" s="1305">
        <v>0</v>
      </c>
      <c r="I285" s="1305">
        <v>0</v>
      </c>
      <c r="J285" s="1306">
        <f t="shared" si="37"/>
        <v>0</v>
      </c>
      <c r="K285" s="1306">
        <f t="shared" si="38"/>
        <v>0</v>
      </c>
      <c r="L285" s="1305">
        <f t="shared" si="39"/>
        <v>0</v>
      </c>
      <c r="M285" s="30" t="s">
        <v>3188</v>
      </c>
      <c r="N285" s="30" t="s">
        <v>3189</v>
      </c>
    </row>
    <row r="286" spans="1:14" x14ac:dyDescent="0.4">
      <c r="A286" s="1960">
        <v>192387</v>
      </c>
      <c r="B286" s="1960">
        <v>60</v>
      </c>
      <c r="C286" s="1960">
        <f t="shared" si="36"/>
        <v>300</v>
      </c>
      <c r="D286" s="1961">
        <v>0</v>
      </c>
      <c r="E286" s="1961">
        <v>0</v>
      </c>
      <c r="F286" s="1961">
        <v>0</v>
      </c>
      <c r="G286" s="1961">
        <v>0</v>
      </c>
      <c r="H286" s="1961">
        <v>0</v>
      </c>
      <c r="I286" s="1961">
        <v>0</v>
      </c>
      <c r="J286" s="1962">
        <f t="shared" si="37"/>
        <v>0</v>
      </c>
      <c r="K286" s="1962">
        <f t="shared" si="38"/>
        <v>0</v>
      </c>
      <c r="L286" s="1961">
        <f t="shared" si="39"/>
        <v>0</v>
      </c>
      <c r="M286" s="1963" t="s">
        <v>3188</v>
      </c>
      <c r="N286" s="1963" t="s">
        <v>3189</v>
      </c>
    </row>
    <row r="287" spans="1:14" x14ac:dyDescent="0.4">
      <c r="A287" s="16">
        <v>192388</v>
      </c>
      <c r="B287" s="16">
        <v>45</v>
      </c>
      <c r="C287" s="16">
        <f t="shared" si="36"/>
        <v>225</v>
      </c>
      <c r="D287" s="1647">
        <v>0</v>
      </c>
      <c r="E287" s="1647">
        <v>0</v>
      </c>
      <c r="F287" s="1647">
        <v>0</v>
      </c>
      <c r="G287" s="1647">
        <v>0</v>
      </c>
      <c r="H287" s="1647">
        <v>0</v>
      </c>
      <c r="I287" s="1647">
        <v>0</v>
      </c>
      <c r="J287" s="1648">
        <f t="shared" si="37"/>
        <v>0</v>
      </c>
      <c r="K287" s="1648">
        <f t="shared" si="38"/>
        <v>0</v>
      </c>
      <c r="L287" s="1647">
        <f t="shared" si="39"/>
        <v>0</v>
      </c>
      <c r="M287" s="30" t="s">
        <v>3190</v>
      </c>
      <c r="N287" s="30" t="s">
        <v>3191</v>
      </c>
    </row>
    <row r="288" spans="1:14" x14ac:dyDescent="0.4">
      <c r="A288" s="36">
        <v>192389</v>
      </c>
      <c r="B288">
        <v>60</v>
      </c>
      <c r="C288" s="36">
        <f t="shared" si="36"/>
        <v>300</v>
      </c>
      <c r="D288" s="1245">
        <v>0</v>
      </c>
      <c r="E288" s="1245">
        <v>1</v>
      </c>
      <c r="F288" s="1245">
        <v>1</v>
      </c>
      <c r="G288" s="1245">
        <v>1</v>
      </c>
      <c r="H288" s="1245">
        <v>1</v>
      </c>
      <c r="I288" s="1245">
        <v>1</v>
      </c>
      <c r="J288" s="1246">
        <f t="shared" si="37"/>
        <v>5</v>
      </c>
      <c r="K288" s="1246">
        <f t="shared" si="38"/>
        <v>4</v>
      </c>
      <c r="L288" s="1245">
        <f t="shared" si="39"/>
        <v>240</v>
      </c>
      <c r="M288" s="955" t="s">
        <v>3192</v>
      </c>
      <c r="N288" s="955" t="s">
        <v>3193</v>
      </c>
    </row>
    <row r="289" spans="1:14" x14ac:dyDescent="0.4">
      <c r="A289" s="16">
        <v>192390</v>
      </c>
      <c r="B289" s="16">
        <v>45</v>
      </c>
      <c r="C289" s="16">
        <f t="shared" si="36"/>
        <v>225</v>
      </c>
      <c r="D289" s="1421">
        <v>0</v>
      </c>
      <c r="E289" s="1421">
        <v>0</v>
      </c>
      <c r="F289" s="1421">
        <v>0</v>
      </c>
      <c r="G289" s="1421">
        <v>0</v>
      </c>
      <c r="H289" s="1421">
        <v>0</v>
      </c>
      <c r="I289" s="1421">
        <v>0</v>
      </c>
      <c r="J289" s="1423">
        <f t="shared" si="37"/>
        <v>0</v>
      </c>
      <c r="K289" s="1423">
        <f t="shared" si="38"/>
        <v>0</v>
      </c>
      <c r="L289" s="1421">
        <f t="shared" si="39"/>
        <v>0</v>
      </c>
      <c r="M289" s="30" t="s">
        <v>3192</v>
      </c>
      <c r="N289" s="30" t="s">
        <v>3193</v>
      </c>
    </row>
    <row r="290" spans="1:14" x14ac:dyDescent="0.4">
      <c r="A290" s="16">
        <v>192391</v>
      </c>
      <c r="B290" s="16">
        <v>45</v>
      </c>
      <c r="C290" s="16">
        <f t="shared" si="36"/>
        <v>225</v>
      </c>
      <c r="D290" s="1509">
        <v>0</v>
      </c>
      <c r="E290" s="1509">
        <v>0</v>
      </c>
      <c r="F290" s="1509">
        <v>0</v>
      </c>
      <c r="G290" s="1509">
        <v>0</v>
      </c>
      <c r="H290" s="1509">
        <v>0</v>
      </c>
      <c r="I290" s="1509">
        <v>0</v>
      </c>
      <c r="J290" s="1510">
        <f t="shared" si="37"/>
        <v>0</v>
      </c>
      <c r="K290" s="1510">
        <f t="shared" si="38"/>
        <v>0</v>
      </c>
      <c r="L290" s="1509">
        <f t="shared" si="39"/>
        <v>0</v>
      </c>
      <c r="M290" s="30" t="s">
        <v>3192</v>
      </c>
      <c r="N290" s="30" t="s">
        <v>3193</v>
      </c>
    </row>
    <row r="291" spans="1:14" x14ac:dyDescent="0.4">
      <c r="A291" s="16">
        <v>192392</v>
      </c>
      <c r="B291" s="16">
        <v>60</v>
      </c>
      <c r="C291" s="16">
        <f t="shared" si="36"/>
        <v>300</v>
      </c>
      <c r="D291" s="1513">
        <v>0</v>
      </c>
      <c r="E291" s="1513">
        <v>0</v>
      </c>
      <c r="F291" s="1513">
        <v>0</v>
      </c>
      <c r="G291" s="1513">
        <v>0</v>
      </c>
      <c r="H291" s="1513">
        <v>0</v>
      </c>
      <c r="I291" s="1513">
        <v>0</v>
      </c>
      <c r="J291" s="1514">
        <f t="shared" si="37"/>
        <v>0</v>
      </c>
      <c r="K291" s="1514">
        <f t="shared" si="38"/>
        <v>0</v>
      </c>
      <c r="L291" s="1513">
        <f t="shared" si="39"/>
        <v>0</v>
      </c>
      <c r="M291" s="30" t="s">
        <v>3194</v>
      </c>
      <c r="N291" s="30" t="s">
        <v>3195</v>
      </c>
    </row>
    <row r="292" spans="1:14" x14ac:dyDescent="0.4">
      <c r="A292" s="1947">
        <v>192393</v>
      </c>
      <c r="B292" s="1947">
        <v>45</v>
      </c>
      <c r="C292" s="1947">
        <f t="shared" si="36"/>
        <v>225</v>
      </c>
      <c r="D292" s="1948">
        <v>0</v>
      </c>
      <c r="E292" s="1948">
        <v>0</v>
      </c>
      <c r="F292" s="1948">
        <v>0</v>
      </c>
      <c r="G292" s="1948">
        <v>0</v>
      </c>
      <c r="H292" s="1948">
        <v>0</v>
      </c>
      <c r="I292" s="1948">
        <v>0</v>
      </c>
      <c r="J292" s="1949">
        <f t="shared" si="37"/>
        <v>0</v>
      </c>
      <c r="K292" s="1949">
        <f t="shared" si="38"/>
        <v>0</v>
      </c>
      <c r="L292" s="1948">
        <f t="shared" si="39"/>
        <v>0</v>
      </c>
      <c r="M292" s="1950" t="s">
        <v>3196</v>
      </c>
      <c r="N292" s="1950" t="s">
        <v>3197</v>
      </c>
    </row>
    <row r="293" spans="1:14" x14ac:dyDescent="0.4">
      <c r="A293" s="1">
        <v>192394</v>
      </c>
      <c r="B293" s="1">
        <v>45</v>
      </c>
      <c r="C293" s="1">
        <f t="shared" si="36"/>
        <v>225</v>
      </c>
      <c r="D293" s="1971">
        <v>0</v>
      </c>
      <c r="E293" s="1971">
        <v>0</v>
      </c>
      <c r="F293" s="1971">
        <v>0</v>
      </c>
      <c r="G293" s="1971">
        <v>0</v>
      </c>
      <c r="H293" s="1971">
        <v>0</v>
      </c>
      <c r="I293" s="1971">
        <v>0</v>
      </c>
      <c r="J293" s="1972">
        <f t="shared" si="37"/>
        <v>0</v>
      </c>
      <c r="K293" s="1972">
        <f t="shared" si="38"/>
        <v>0</v>
      </c>
      <c r="L293" s="1971">
        <f t="shared" si="39"/>
        <v>0</v>
      </c>
      <c r="M293" s="141" t="s">
        <v>3198</v>
      </c>
      <c r="N293" s="141" t="s">
        <v>3199</v>
      </c>
    </row>
    <row r="294" spans="1:14" x14ac:dyDescent="0.4">
      <c r="A294" s="1">
        <v>192395</v>
      </c>
      <c r="B294" s="1">
        <v>60</v>
      </c>
      <c r="C294" s="1">
        <f t="shared" si="36"/>
        <v>300</v>
      </c>
      <c r="D294" s="1986">
        <v>0</v>
      </c>
      <c r="E294" s="1986">
        <v>0</v>
      </c>
      <c r="F294" s="1986">
        <v>0</v>
      </c>
      <c r="G294" s="1986">
        <v>0</v>
      </c>
      <c r="H294" s="1986">
        <v>0</v>
      </c>
      <c r="I294" s="1986">
        <v>0</v>
      </c>
      <c r="J294" s="1988">
        <f t="shared" si="37"/>
        <v>0</v>
      </c>
      <c r="K294" s="1988">
        <f t="shared" si="38"/>
        <v>0</v>
      </c>
      <c r="L294" s="1986">
        <f t="shared" si="39"/>
        <v>0</v>
      </c>
      <c r="M294" s="141" t="s">
        <v>3200</v>
      </c>
      <c r="N294" s="141" t="s">
        <v>3201</v>
      </c>
    </row>
    <row r="295" spans="1:14" x14ac:dyDescent="0.4">
      <c r="A295" s="16">
        <v>192396</v>
      </c>
      <c r="B295" s="16">
        <v>45</v>
      </c>
      <c r="C295" s="16">
        <f t="shared" si="36"/>
        <v>225</v>
      </c>
      <c r="D295" s="1839">
        <v>0</v>
      </c>
      <c r="E295" s="1839">
        <v>0</v>
      </c>
      <c r="F295" s="1839">
        <v>0</v>
      </c>
      <c r="G295" s="1839">
        <v>0</v>
      </c>
      <c r="H295" s="1839">
        <v>0</v>
      </c>
      <c r="I295" s="1839">
        <v>0</v>
      </c>
      <c r="J295" s="1840">
        <f t="shared" si="37"/>
        <v>0</v>
      </c>
      <c r="K295" s="1840">
        <f t="shared" si="38"/>
        <v>0</v>
      </c>
      <c r="L295" s="1839">
        <f t="shared" si="39"/>
        <v>0</v>
      </c>
      <c r="M295" s="30" t="s">
        <v>3200</v>
      </c>
      <c r="N295" s="955" t="s">
        <v>3201</v>
      </c>
    </row>
    <row r="296" spans="1:14" x14ac:dyDescent="0.4">
      <c r="A296" s="36">
        <v>192397</v>
      </c>
      <c r="B296">
        <v>45</v>
      </c>
      <c r="C296" s="36">
        <f t="shared" si="36"/>
        <v>225</v>
      </c>
      <c r="D296" s="1245">
        <v>0</v>
      </c>
      <c r="E296" s="1245">
        <v>0</v>
      </c>
      <c r="F296" s="1245">
        <v>0</v>
      </c>
      <c r="G296" s="1245">
        <v>0</v>
      </c>
      <c r="H296" s="1245">
        <v>1</v>
      </c>
      <c r="I296" s="1245">
        <v>1</v>
      </c>
      <c r="J296" s="1246">
        <f t="shared" si="37"/>
        <v>2</v>
      </c>
      <c r="K296" s="1246">
        <f t="shared" si="38"/>
        <v>1</v>
      </c>
      <c r="L296" s="1245">
        <f t="shared" si="39"/>
        <v>45</v>
      </c>
      <c r="M296" s="955" t="s">
        <v>3200</v>
      </c>
      <c r="N296" s="955" t="s">
        <v>3201</v>
      </c>
    </row>
    <row r="297" spans="1:14" x14ac:dyDescent="0.4">
      <c r="A297" s="1940">
        <v>192398</v>
      </c>
      <c r="B297" s="1940">
        <v>50</v>
      </c>
      <c r="C297" s="1940">
        <f t="shared" si="36"/>
        <v>250</v>
      </c>
      <c r="D297" s="1941">
        <v>0</v>
      </c>
      <c r="E297" s="1941">
        <v>0</v>
      </c>
      <c r="F297" s="1941">
        <v>0</v>
      </c>
      <c r="G297" s="1941">
        <v>0</v>
      </c>
      <c r="H297" s="1941">
        <v>0</v>
      </c>
      <c r="I297" s="1941">
        <v>0</v>
      </c>
      <c r="J297" s="1942">
        <f t="shared" si="37"/>
        <v>0</v>
      </c>
      <c r="K297" s="1942">
        <f t="shared" si="38"/>
        <v>0</v>
      </c>
      <c r="L297" s="1941">
        <f t="shared" si="39"/>
        <v>0</v>
      </c>
      <c r="M297" s="1943" t="s">
        <v>3202</v>
      </c>
      <c r="N297" s="1943" t="s">
        <v>3203</v>
      </c>
    </row>
    <row r="298" spans="1:14" x14ac:dyDescent="0.4">
      <c r="A298" s="36">
        <v>192399</v>
      </c>
      <c r="B298">
        <v>60</v>
      </c>
      <c r="C298" s="36">
        <f t="shared" si="36"/>
        <v>300</v>
      </c>
      <c r="D298" s="1245">
        <v>0</v>
      </c>
      <c r="E298" s="1245">
        <v>0</v>
      </c>
      <c r="F298" s="1245">
        <v>0</v>
      </c>
      <c r="G298" s="1245">
        <v>0</v>
      </c>
      <c r="H298" s="1245">
        <v>1</v>
      </c>
      <c r="I298" s="1245">
        <v>1</v>
      </c>
      <c r="J298" s="1246">
        <f t="shared" si="37"/>
        <v>2</v>
      </c>
      <c r="K298" s="1246">
        <f t="shared" si="38"/>
        <v>1</v>
      </c>
      <c r="L298" s="1245">
        <f t="shared" si="39"/>
        <v>60</v>
      </c>
      <c r="M298" s="955" t="s">
        <v>3202</v>
      </c>
      <c r="N298" s="955" t="s">
        <v>3204</v>
      </c>
    </row>
    <row r="299" spans="1:14" x14ac:dyDescent="0.4">
      <c r="A299" s="36">
        <v>192400</v>
      </c>
      <c r="B299">
        <v>60</v>
      </c>
      <c r="C299" s="36">
        <f t="shared" ref="C299:C328" si="40">SUM(B299*5)</f>
        <v>300</v>
      </c>
      <c r="D299" s="1253">
        <v>0</v>
      </c>
      <c r="E299" s="1253">
        <v>1</v>
      </c>
      <c r="F299" s="1253">
        <v>1</v>
      </c>
      <c r="G299" s="1253">
        <v>1</v>
      </c>
      <c r="H299" s="1253">
        <v>1</v>
      </c>
      <c r="I299" s="1253">
        <v>1</v>
      </c>
      <c r="J299" s="1255">
        <f t="shared" ref="J299:J328" si="41">SUM(D299:I299)</f>
        <v>5</v>
      </c>
      <c r="K299" s="1255">
        <f t="shared" ref="K299:K328" si="42">SUM(D299:H299)</f>
        <v>4</v>
      </c>
      <c r="L299" s="1253">
        <f t="shared" ref="L299:L328" si="43">B299*K299</f>
        <v>240</v>
      </c>
      <c r="M299" s="955" t="s">
        <v>3205</v>
      </c>
      <c r="N299" s="955" t="s">
        <v>3206</v>
      </c>
    </row>
    <row r="300" spans="1:14" x14ac:dyDescent="0.4">
      <c r="A300" s="36">
        <v>192401</v>
      </c>
      <c r="B300">
        <v>45</v>
      </c>
      <c r="C300" s="36">
        <f t="shared" si="40"/>
        <v>225</v>
      </c>
      <c r="D300" s="1253">
        <v>0</v>
      </c>
      <c r="E300" s="1253">
        <v>0</v>
      </c>
      <c r="F300" s="1253">
        <v>0</v>
      </c>
      <c r="G300" s="1253">
        <v>1</v>
      </c>
      <c r="H300" s="1253">
        <v>1</v>
      </c>
      <c r="I300" s="1253">
        <v>1</v>
      </c>
      <c r="J300" s="1255">
        <f t="shared" si="41"/>
        <v>3</v>
      </c>
      <c r="K300" s="1255">
        <f t="shared" si="42"/>
        <v>2</v>
      </c>
      <c r="L300" s="1253">
        <f t="shared" si="43"/>
        <v>90</v>
      </c>
      <c r="M300" s="955" t="s">
        <v>3205</v>
      </c>
      <c r="N300" s="955" t="s">
        <v>3206</v>
      </c>
    </row>
    <row r="301" spans="1:14" x14ac:dyDescent="0.4">
      <c r="A301" s="16">
        <v>192402</v>
      </c>
      <c r="B301" s="16">
        <v>50</v>
      </c>
      <c r="C301" s="16">
        <f t="shared" si="40"/>
        <v>250</v>
      </c>
      <c r="D301" s="1543">
        <v>0</v>
      </c>
      <c r="E301" s="1543">
        <v>0</v>
      </c>
      <c r="F301" s="1543">
        <v>0</v>
      </c>
      <c r="G301" s="1543">
        <v>0</v>
      </c>
      <c r="H301" s="1543">
        <v>0</v>
      </c>
      <c r="I301" s="1543">
        <v>0</v>
      </c>
      <c r="J301" s="1544">
        <f t="shared" si="41"/>
        <v>0</v>
      </c>
      <c r="K301" s="1544">
        <f t="shared" si="42"/>
        <v>0</v>
      </c>
      <c r="L301" s="1543">
        <f t="shared" si="43"/>
        <v>0</v>
      </c>
      <c r="M301" s="30" t="s">
        <v>3207</v>
      </c>
      <c r="N301" s="30" t="s">
        <v>3208</v>
      </c>
    </row>
    <row r="302" spans="1:14" x14ac:dyDescent="0.4">
      <c r="A302" s="36">
        <v>192403</v>
      </c>
      <c r="B302">
        <v>60</v>
      </c>
      <c r="C302" s="36">
        <f t="shared" si="40"/>
        <v>300</v>
      </c>
      <c r="D302" s="1253">
        <v>0</v>
      </c>
      <c r="E302" s="1253">
        <v>0</v>
      </c>
      <c r="F302" s="1253">
        <v>0</v>
      </c>
      <c r="G302" s="1253">
        <v>0</v>
      </c>
      <c r="H302" s="1253">
        <v>0</v>
      </c>
      <c r="I302" s="1253">
        <v>1</v>
      </c>
      <c r="J302" s="1255">
        <f t="shared" si="41"/>
        <v>1</v>
      </c>
      <c r="K302" s="1255">
        <f t="shared" si="42"/>
        <v>0</v>
      </c>
      <c r="L302" s="1253">
        <f t="shared" si="43"/>
        <v>0</v>
      </c>
      <c r="M302" s="955" t="s">
        <v>3207</v>
      </c>
      <c r="N302" s="955" t="s">
        <v>3208</v>
      </c>
    </row>
    <row r="303" spans="1:14" x14ac:dyDescent="0.4">
      <c r="A303" s="16">
        <v>192404</v>
      </c>
      <c r="B303" s="16">
        <v>60</v>
      </c>
      <c r="C303" s="16">
        <f t="shared" si="40"/>
        <v>300</v>
      </c>
      <c r="D303" s="1874">
        <v>0</v>
      </c>
      <c r="E303" s="1874">
        <v>0</v>
      </c>
      <c r="F303" s="1874">
        <v>0</v>
      </c>
      <c r="G303" s="1874">
        <v>0</v>
      </c>
      <c r="H303" s="1874">
        <v>0</v>
      </c>
      <c r="I303" s="1874">
        <v>0</v>
      </c>
      <c r="J303" s="1875">
        <f t="shared" si="41"/>
        <v>0</v>
      </c>
      <c r="K303" s="1875">
        <f t="shared" si="42"/>
        <v>0</v>
      </c>
      <c r="L303" s="1874">
        <f t="shared" si="43"/>
        <v>0</v>
      </c>
      <c r="M303" s="30" t="s">
        <v>3209</v>
      </c>
      <c r="N303" s="30" t="s">
        <v>3210</v>
      </c>
    </row>
    <row r="304" spans="1:14" x14ac:dyDescent="0.4">
      <c r="A304" s="36">
        <v>192405</v>
      </c>
      <c r="B304">
        <v>60</v>
      </c>
      <c r="C304" s="36">
        <f t="shared" si="40"/>
        <v>300</v>
      </c>
      <c r="D304" s="1253">
        <v>0</v>
      </c>
      <c r="E304" s="1253">
        <v>0</v>
      </c>
      <c r="F304" s="1253">
        <v>0</v>
      </c>
      <c r="G304" s="1253">
        <v>0</v>
      </c>
      <c r="H304" s="1253">
        <v>0</v>
      </c>
      <c r="I304" s="1253">
        <v>1</v>
      </c>
      <c r="J304" s="1255">
        <f t="shared" si="41"/>
        <v>1</v>
      </c>
      <c r="K304" s="1255">
        <f t="shared" si="42"/>
        <v>0</v>
      </c>
      <c r="L304" s="1253">
        <f t="shared" si="43"/>
        <v>0</v>
      </c>
      <c r="M304" s="955" t="s">
        <v>3209</v>
      </c>
      <c r="N304" s="955" t="s">
        <v>3210</v>
      </c>
    </row>
    <row r="305" spans="1:14" x14ac:dyDescent="0.4">
      <c r="A305" s="16">
        <v>192406</v>
      </c>
      <c r="B305" s="16">
        <v>45</v>
      </c>
      <c r="C305" s="16">
        <f t="shared" si="40"/>
        <v>225</v>
      </c>
      <c r="D305" s="1451">
        <v>0</v>
      </c>
      <c r="E305" s="1451">
        <v>0</v>
      </c>
      <c r="F305" s="1451">
        <v>0</v>
      </c>
      <c r="G305" s="1451">
        <v>0</v>
      </c>
      <c r="H305" s="1451">
        <v>0</v>
      </c>
      <c r="I305" s="1451">
        <v>0</v>
      </c>
      <c r="J305" s="1452">
        <f t="shared" si="41"/>
        <v>0</v>
      </c>
      <c r="K305" s="1452">
        <f t="shared" si="42"/>
        <v>0</v>
      </c>
      <c r="L305" s="1451">
        <f t="shared" si="43"/>
        <v>0</v>
      </c>
      <c r="M305" s="30" t="s">
        <v>3211</v>
      </c>
      <c r="N305" s="30" t="s">
        <v>3212</v>
      </c>
    </row>
    <row r="306" spans="1:14" x14ac:dyDescent="0.4">
      <c r="A306" s="16">
        <v>192407</v>
      </c>
      <c r="B306" s="16">
        <v>60</v>
      </c>
      <c r="C306" s="16">
        <f t="shared" si="40"/>
        <v>300</v>
      </c>
      <c r="D306" s="1815">
        <v>0</v>
      </c>
      <c r="E306" s="1815">
        <v>0</v>
      </c>
      <c r="F306" s="1815">
        <v>0</v>
      </c>
      <c r="G306" s="1815">
        <v>0</v>
      </c>
      <c r="H306" s="1815">
        <v>0</v>
      </c>
      <c r="I306" s="1815">
        <v>0</v>
      </c>
      <c r="J306" s="1816">
        <f t="shared" si="41"/>
        <v>0</v>
      </c>
      <c r="K306" s="1816">
        <f t="shared" si="42"/>
        <v>0</v>
      </c>
      <c r="L306" s="1815">
        <f t="shared" si="43"/>
        <v>0</v>
      </c>
      <c r="M306" s="30" t="s">
        <v>2098</v>
      </c>
      <c r="N306" s="30" t="s">
        <v>3214</v>
      </c>
    </row>
    <row r="307" spans="1:14" x14ac:dyDescent="0.4">
      <c r="A307" s="36">
        <v>192408</v>
      </c>
      <c r="B307">
        <v>60</v>
      </c>
      <c r="C307" s="36">
        <f t="shared" si="40"/>
        <v>300</v>
      </c>
      <c r="D307" s="1253">
        <v>0</v>
      </c>
      <c r="E307" s="1253">
        <v>0</v>
      </c>
      <c r="F307" s="1253">
        <v>0</v>
      </c>
      <c r="G307" s="1253">
        <v>0</v>
      </c>
      <c r="H307" s="1253">
        <v>0</v>
      </c>
      <c r="I307" s="1253">
        <v>1</v>
      </c>
      <c r="J307" s="1255">
        <f t="shared" si="41"/>
        <v>1</v>
      </c>
      <c r="K307" s="1255">
        <f t="shared" si="42"/>
        <v>0</v>
      </c>
      <c r="L307" s="1253">
        <f t="shared" si="43"/>
        <v>0</v>
      </c>
      <c r="M307" s="955" t="s">
        <v>2098</v>
      </c>
      <c r="N307" s="955" t="s">
        <v>3214</v>
      </c>
    </row>
    <row r="308" spans="1:14" x14ac:dyDescent="0.4">
      <c r="A308" s="36">
        <v>192409</v>
      </c>
      <c r="B308">
        <v>60</v>
      </c>
      <c r="C308" s="36">
        <f t="shared" si="40"/>
        <v>300</v>
      </c>
      <c r="D308" s="1253">
        <v>0</v>
      </c>
      <c r="E308" s="1253">
        <v>0</v>
      </c>
      <c r="F308" s="1253">
        <f>SUM(F267:F307)</f>
        <v>2</v>
      </c>
      <c r="G308" s="1253">
        <v>1</v>
      </c>
      <c r="H308" s="1253">
        <v>1</v>
      </c>
      <c r="I308" s="1253">
        <v>1</v>
      </c>
      <c r="J308" s="1255">
        <f t="shared" si="41"/>
        <v>5</v>
      </c>
      <c r="K308" s="1255">
        <f t="shared" si="42"/>
        <v>4</v>
      </c>
      <c r="L308" s="1253">
        <f t="shared" si="43"/>
        <v>240</v>
      </c>
      <c r="M308" s="955" t="s">
        <v>2098</v>
      </c>
      <c r="N308" s="955" t="s">
        <v>3214</v>
      </c>
    </row>
    <row r="309" spans="1:14" x14ac:dyDescent="0.4">
      <c r="A309" s="36">
        <v>192410</v>
      </c>
      <c r="B309">
        <v>45</v>
      </c>
      <c r="C309" s="36">
        <f t="shared" si="40"/>
        <v>225</v>
      </c>
      <c r="D309" s="1253">
        <v>0</v>
      </c>
      <c r="E309" s="1253">
        <v>0</v>
      </c>
      <c r="F309" s="1253">
        <v>0</v>
      </c>
      <c r="G309" s="1253">
        <v>0</v>
      </c>
      <c r="H309" s="1253">
        <v>1</v>
      </c>
      <c r="I309" s="1253">
        <v>1</v>
      </c>
      <c r="J309" s="1255">
        <f t="shared" si="41"/>
        <v>2</v>
      </c>
      <c r="K309" s="1255">
        <f t="shared" si="42"/>
        <v>1</v>
      </c>
      <c r="L309" s="1253">
        <f t="shared" si="43"/>
        <v>45</v>
      </c>
      <c r="M309" s="955" t="s">
        <v>3216</v>
      </c>
      <c r="N309" s="955" t="s">
        <v>3217</v>
      </c>
    </row>
    <row r="310" spans="1:14" x14ac:dyDescent="0.4">
      <c r="A310" s="36">
        <v>192411</v>
      </c>
      <c r="B310">
        <v>45</v>
      </c>
      <c r="C310" s="36">
        <f t="shared" si="40"/>
        <v>225</v>
      </c>
      <c r="D310" s="1253">
        <v>0</v>
      </c>
      <c r="E310" s="1253">
        <v>0</v>
      </c>
      <c r="F310" s="1253">
        <v>0</v>
      </c>
      <c r="G310" s="1253">
        <v>1</v>
      </c>
      <c r="H310" s="1253">
        <v>1</v>
      </c>
      <c r="I310" s="1253">
        <v>1</v>
      </c>
      <c r="J310" s="1255">
        <f t="shared" si="41"/>
        <v>3</v>
      </c>
      <c r="K310" s="1255">
        <f t="shared" si="42"/>
        <v>2</v>
      </c>
      <c r="L310" s="1253">
        <f t="shared" si="43"/>
        <v>90</v>
      </c>
      <c r="M310" s="955" t="s">
        <v>3218</v>
      </c>
      <c r="N310" s="955" t="s">
        <v>3219</v>
      </c>
    </row>
    <row r="311" spans="1:14" x14ac:dyDescent="0.4">
      <c r="A311" s="36">
        <v>192412</v>
      </c>
      <c r="B311">
        <v>60</v>
      </c>
      <c r="C311" s="36">
        <f t="shared" si="40"/>
        <v>300</v>
      </c>
      <c r="D311" s="1253">
        <v>0</v>
      </c>
      <c r="E311" s="1253">
        <v>0</v>
      </c>
      <c r="F311" s="1253">
        <v>0</v>
      </c>
      <c r="G311" s="1253">
        <v>0</v>
      </c>
      <c r="H311" s="1253">
        <v>1</v>
      </c>
      <c r="I311" s="1253">
        <v>1</v>
      </c>
      <c r="J311" s="1255">
        <f t="shared" si="41"/>
        <v>2</v>
      </c>
      <c r="K311" s="1255">
        <f t="shared" si="42"/>
        <v>1</v>
      </c>
      <c r="L311" s="1253">
        <f t="shared" si="43"/>
        <v>60</v>
      </c>
      <c r="M311" s="955" t="s">
        <v>3218</v>
      </c>
      <c r="N311" s="955" t="s">
        <v>3219</v>
      </c>
    </row>
    <row r="312" spans="1:14" x14ac:dyDescent="0.4">
      <c r="A312" s="36">
        <v>192413</v>
      </c>
      <c r="B312">
        <v>60</v>
      </c>
      <c r="C312" s="36">
        <f t="shared" si="40"/>
        <v>300</v>
      </c>
      <c r="D312" s="1253">
        <v>0</v>
      </c>
      <c r="E312" s="1253">
        <v>0</v>
      </c>
      <c r="F312" s="1253">
        <v>0</v>
      </c>
      <c r="G312" s="1253">
        <v>1</v>
      </c>
      <c r="H312" s="1253">
        <v>1</v>
      </c>
      <c r="I312" s="1253">
        <v>1</v>
      </c>
      <c r="J312" s="1255">
        <f t="shared" si="41"/>
        <v>3</v>
      </c>
      <c r="K312" s="1255">
        <f t="shared" si="42"/>
        <v>2</v>
      </c>
      <c r="L312" s="1253">
        <f t="shared" si="43"/>
        <v>120</v>
      </c>
      <c r="M312" s="955" t="s">
        <v>3220</v>
      </c>
      <c r="N312" s="955" t="s">
        <v>3221</v>
      </c>
    </row>
    <row r="313" spans="1:14" x14ac:dyDescent="0.4">
      <c r="A313" s="16">
        <v>192414</v>
      </c>
      <c r="B313" s="16">
        <v>60</v>
      </c>
      <c r="C313" s="16">
        <f t="shared" si="40"/>
        <v>300</v>
      </c>
      <c r="D313" s="1553">
        <v>0</v>
      </c>
      <c r="E313" s="1553">
        <v>0</v>
      </c>
      <c r="F313" s="1553">
        <v>0</v>
      </c>
      <c r="G313" s="1553">
        <v>0</v>
      </c>
      <c r="H313" s="1553">
        <v>0</v>
      </c>
      <c r="I313" s="1553">
        <v>0</v>
      </c>
      <c r="J313" s="1554">
        <f t="shared" si="41"/>
        <v>0</v>
      </c>
      <c r="K313" s="1554">
        <f t="shared" si="42"/>
        <v>0</v>
      </c>
      <c r="L313" s="1553">
        <f t="shared" si="43"/>
        <v>0</v>
      </c>
      <c r="M313" s="30" t="s">
        <v>3220</v>
      </c>
      <c r="N313" s="30" t="s">
        <v>3221</v>
      </c>
    </row>
    <row r="314" spans="1:14" x14ac:dyDescent="0.4">
      <c r="A314" s="36">
        <v>192415</v>
      </c>
      <c r="B314">
        <v>45</v>
      </c>
      <c r="C314" s="36">
        <f t="shared" si="40"/>
        <v>225</v>
      </c>
      <c r="D314" s="1253">
        <v>0</v>
      </c>
      <c r="E314" s="1253">
        <v>0</v>
      </c>
      <c r="F314" s="1253">
        <v>0</v>
      </c>
      <c r="G314" s="1253">
        <v>0</v>
      </c>
      <c r="H314" s="1253">
        <v>0</v>
      </c>
      <c r="I314" s="1253">
        <v>1</v>
      </c>
      <c r="J314" s="1255">
        <f t="shared" si="41"/>
        <v>1</v>
      </c>
      <c r="K314" s="1255">
        <f t="shared" si="42"/>
        <v>0</v>
      </c>
      <c r="L314" s="1253">
        <f t="shared" si="43"/>
        <v>0</v>
      </c>
      <c r="M314" s="955" t="s">
        <v>3220</v>
      </c>
      <c r="N314" s="955" t="s">
        <v>3221</v>
      </c>
    </row>
    <row r="315" spans="1:14" x14ac:dyDescent="0.4">
      <c r="A315" s="16">
        <v>192416</v>
      </c>
      <c r="B315" s="16">
        <v>45</v>
      </c>
      <c r="C315" s="16">
        <f t="shared" si="40"/>
        <v>225</v>
      </c>
      <c r="D315" s="1839">
        <v>0</v>
      </c>
      <c r="E315" s="1839">
        <v>0</v>
      </c>
      <c r="F315" s="1839">
        <v>0</v>
      </c>
      <c r="G315" s="1839">
        <v>0</v>
      </c>
      <c r="H315" s="1839">
        <v>0</v>
      </c>
      <c r="I315" s="1839">
        <v>0</v>
      </c>
      <c r="J315" s="1840">
        <f t="shared" si="41"/>
        <v>0</v>
      </c>
      <c r="K315" s="1840">
        <f t="shared" si="42"/>
        <v>0</v>
      </c>
      <c r="L315" s="1839">
        <f t="shared" si="43"/>
        <v>0</v>
      </c>
      <c r="M315" s="30" t="s">
        <v>3222</v>
      </c>
      <c r="N315" s="30" t="s">
        <v>3223</v>
      </c>
    </row>
    <row r="316" spans="1:14" x14ac:dyDescent="0.4">
      <c r="A316" s="36">
        <v>192417</v>
      </c>
      <c r="B316">
        <v>60</v>
      </c>
      <c r="C316" s="36">
        <f t="shared" si="40"/>
        <v>300</v>
      </c>
      <c r="D316" s="1253">
        <v>0</v>
      </c>
      <c r="E316" s="1253">
        <v>0</v>
      </c>
      <c r="F316" s="1253">
        <v>0</v>
      </c>
      <c r="G316" s="1253">
        <v>0</v>
      </c>
      <c r="H316" s="1253">
        <v>0</v>
      </c>
      <c r="I316" s="1253">
        <v>1</v>
      </c>
      <c r="J316" s="1255">
        <f t="shared" si="41"/>
        <v>1</v>
      </c>
      <c r="K316" s="1255">
        <f t="shared" si="42"/>
        <v>0</v>
      </c>
      <c r="L316" s="1253">
        <f t="shared" si="43"/>
        <v>0</v>
      </c>
      <c r="M316" s="955" t="s">
        <v>3222</v>
      </c>
      <c r="N316" s="955" t="s">
        <v>3223</v>
      </c>
    </row>
    <row r="317" spans="1:14" x14ac:dyDescent="0.4">
      <c r="A317" s="1034">
        <v>192418</v>
      </c>
      <c r="B317" s="1034">
        <v>60</v>
      </c>
      <c r="C317" s="1034">
        <f t="shared" si="40"/>
        <v>300</v>
      </c>
      <c r="D317" s="1035">
        <v>0</v>
      </c>
      <c r="E317" s="1035">
        <v>0</v>
      </c>
      <c r="F317" s="1035">
        <v>0</v>
      </c>
      <c r="G317" s="1035">
        <v>0</v>
      </c>
      <c r="H317" s="1035">
        <v>0</v>
      </c>
      <c r="I317" s="1035">
        <v>0</v>
      </c>
      <c r="J317" s="1036">
        <f t="shared" si="41"/>
        <v>0</v>
      </c>
      <c r="K317" s="1036">
        <f t="shared" si="42"/>
        <v>0</v>
      </c>
      <c r="L317" s="1035">
        <f t="shared" si="43"/>
        <v>0</v>
      </c>
      <c r="M317" s="1957" t="s">
        <v>3222</v>
      </c>
      <c r="N317" s="1957" t="s">
        <v>3223</v>
      </c>
    </row>
    <row r="318" spans="1:14" x14ac:dyDescent="0.4">
      <c r="A318" s="16">
        <v>192419</v>
      </c>
      <c r="B318" s="16">
        <v>50</v>
      </c>
      <c r="C318" s="16">
        <f t="shared" si="40"/>
        <v>250</v>
      </c>
      <c r="D318" s="1624">
        <v>0</v>
      </c>
      <c r="E318" s="1624">
        <v>0</v>
      </c>
      <c r="F318" s="1624">
        <v>0</v>
      </c>
      <c r="G318" s="1624">
        <v>0</v>
      </c>
      <c r="H318" s="1624">
        <v>0</v>
      </c>
      <c r="I318" s="1624">
        <v>0</v>
      </c>
      <c r="J318" s="1625">
        <f t="shared" si="41"/>
        <v>0</v>
      </c>
      <c r="K318" s="1625">
        <f t="shared" si="42"/>
        <v>0</v>
      </c>
      <c r="L318" s="1624">
        <f t="shared" si="43"/>
        <v>0</v>
      </c>
      <c r="M318" s="30" t="s">
        <v>3222</v>
      </c>
      <c r="N318" s="30" t="s">
        <v>3223</v>
      </c>
    </row>
    <row r="319" spans="1:14" x14ac:dyDescent="0.4">
      <c r="A319" s="36">
        <v>192420</v>
      </c>
      <c r="B319">
        <v>45</v>
      </c>
      <c r="C319" s="36">
        <f t="shared" si="40"/>
        <v>225</v>
      </c>
      <c r="D319" s="1253">
        <v>0</v>
      </c>
      <c r="E319" s="1253">
        <v>0</v>
      </c>
      <c r="F319" s="1253">
        <v>0</v>
      </c>
      <c r="G319" s="1253">
        <v>1</v>
      </c>
      <c r="H319" s="1253">
        <v>1</v>
      </c>
      <c r="I319" s="1253">
        <v>1</v>
      </c>
      <c r="J319" s="1255">
        <f t="shared" si="41"/>
        <v>3</v>
      </c>
      <c r="K319" s="1255">
        <f t="shared" si="42"/>
        <v>2</v>
      </c>
      <c r="L319" s="1253">
        <f t="shared" si="43"/>
        <v>90</v>
      </c>
      <c r="M319" s="955" t="s">
        <v>3224</v>
      </c>
      <c r="N319" s="955" t="s">
        <v>3225</v>
      </c>
    </row>
    <row r="320" spans="1:14" x14ac:dyDescent="0.4">
      <c r="A320" s="16">
        <v>192421</v>
      </c>
      <c r="B320" s="16">
        <v>60</v>
      </c>
      <c r="C320" s="16">
        <f t="shared" si="40"/>
        <v>300</v>
      </c>
      <c r="D320" s="1823">
        <v>0</v>
      </c>
      <c r="E320" s="1823">
        <v>0</v>
      </c>
      <c r="F320" s="1823">
        <v>0</v>
      </c>
      <c r="G320" s="1823">
        <v>0</v>
      </c>
      <c r="H320" s="1823">
        <v>0</v>
      </c>
      <c r="I320" s="1823">
        <v>0</v>
      </c>
      <c r="J320" s="1824">
        <f t="shared" si="41"/>
        <v>0</v>
      </c>
      <c r="K320" s="1824">
        <f t="shared" si="42"/>
        <v>0</v>
      </c>
      <c r="L320" s="1823">
        <f t="shared" si="43"/>
        <v>0</v>
      </c>
      <c r="M320" s="30" t="s">
        <v>3224</v>
      </c>
      <c r="N320" s="30" t="s">
        <v>3225</v>
      </c>
    </row>
    <row r="321" spans="1:21" x14ac:dyDescent="0.4">
      <c r="A321" s="16">
        <v>192422</v>
      </c>
      <c r="B321" s="16">
        <v>45</v>
      </c>
      <c r="C321" s="16">
        <f t="shared" si="40"/>
        <v>225</v>
      </c>
      <c r="D321" s="1338">
        <v>0</v>
      </c>
      <c r="E321" s="1338">
        <v>0</v>
      </c>
      <c r="F321" s="1338">
        <v>0</v>
      </c>
      <c r="G321" s="1338">
        <v>0</v>
      </c>
      <c r="H321" s="1338">
        <v>0</v>
      </c>
      <c r="I321" s="1338">
        <v>0</v>
      </c>
      <c r="J321" s="1339">
        <f t="shared" si="41"/>
        <v>0</v>
      </c>
      <c r="K321" s="1339">
        <f t="shared" si="42"/>
        <v>0</v>
      </c>
      <c r="L321" s="1338">
        <f t="shared" si="43"/>
        <v>0</v>
      </c>
      <c r="M321" s="30" t="s">
        <v>3226</v>
      </c>
      <c r="N321" s="30" t="s">
        <v>3227</v>
      </c>
    </row>
    <row r="322" spans="1:21" x14ac:dyDescent="0.4">
      <c r="A322" s="16">
        <v>192423</v>
      </c>
      <c r="B322" s="16">
        <v>60</v>
      </c>
      <c r="C322" s="16">
        <f t="shared" si="40"/>
        <v>300</v>
      </c>
      <c r="D322" s="1495">
        <v>0</v>
      </c>
      <c r="E322" s="1495">
        <v>0</v>
      </c>
      <c r="F322" s="1495">
        <v>0</v>
      </c>
      <c r="G322" s="1495">
        <v>0</v>
      </c>
      <c r="H322" s="1495">
        <v>0</v>
      </c>
      <c r="I322" s="1495">
        <v>0</v>
      </c>
      <c r="J322" s="1496">
        <f t="shared" si="41"/>
        <v>0</v>
      </c>
      <c r="K322" s="1496">
        <f t="shared" si="42"/>
        <v>0</v>
      </c>
      <c r="L322" s="1495">
        <f t="shared" si="43"/>
        <v>0</v>
      </c>
      <c r="M322" s="30" t="s">
        <v>3226</v>
      </c>
      <c r="N322" s="30" t="s">
        <v>3227</v>
      </c>
    </row>
    <row r="323" spans="1:21" x14ac:dyDescent="0.4">
      <c r="A323" s="16">
        <v>192424</v>
      </c>
      <c r="B323" s="16">
        <v>45</v>
      </c>
      <c r="C323" s="16">
        <f t="shared" si="40"/>
        <v>225</v>
      </c>
      <c r="D323" s="1658">
        <v>0</v>
      </c>
      <c r="E323" s="1658">
        <v>0</v>
      </c>
      <c r="F323" s="1658">
        <v>0</v>
      </c>
      <c r="G323" s="1658">
        <v>0</v>
      </c>
      <c r="H323" s="1658">
        <v>0</v>
      </c>
      <c r="I323" s="1658">
        <v>0</v>
      </c>
      <c r="J323" s="1659">
        <f t="shared" si="41"/>
        <v>0</v>
      </c>
      <c r="K323" s="1659">
        <f t="shared" si="42"/>
        <v>0</v>
      </c>
      <c r="L323" s="1658">
        <f t="shared" si="43"/>
        <v>0</v>
      </c>
      <c r="M323" s="30" t="s">
        <v>3228</v>
      </c>
      <c r="N323" s="30" t="s">
        <v>3229</v>
      </c>
    </row>
    <row r="324" spans="1:21" x14ac:dyDescent="0.4">
      <c r="A324" s="36">
        <v>192425</v>
      </c>
      <c r="B324">
        <v>45</v>
      </c>
      <c r="C324" s="36">
        <f t="shared" si="40"/>
        <v>225</v>
      </c>
      <c r="D324" s="1253">
        <v>0</v>
      </c>
      <c r="E324" s="1253">
        <v>0</v>
      </c>
      <c r="F324" s="1253">
        <v>0</v>
      </c>
      <c r="G324" s="1253">
        <v>0</v>
      </c>
      <c r="H324" s="1253">
        <v>0</v>
      </c>
      <c r="I324" s="1253">
        <v>1</v>
      </c>
      <c r="J324" s="1255">
        <f t="shared" si="41"/>
        <v>1</v>
      </c>
      <c r="K324" s="1255">
        <f t="shared" si="42"/>
        <v>0</v>
      </c>
      <c r="L324" s="1253">
        <f t="shared" si="43"/>
        <v>0</v>
      </c>
      <c r="M324" s="955" t="s">
        <v>3230</v>
      </c>
      <c r="N324" s="955" t="s">
        <v>3231</v>
      </c>
    </row>
    <row r="325" spans="1:21" x14ac:dyDescent="0.4">
      <c r="A325" s="16">
        <v>192426</v>
      </c>
      <c r="B325" s="16">
        <v>60</v>
      </c>
      <c r="C325" s="16">
        <f t="shared" si="40"/>
        <v>300</v>
      </c>
      <c r="D325" s="1706">
        <v>0</v>
      </c>
      <c r="E325" s="1706">
        <v>0</v>
      </c>
      <c r="F325" s="1706">
        <v>0</v>
      </c>
      <c r="G325" s="1706">
        <v>0</v>
      </c>
      <c r="H325" s="1706">
        <v>0</v>
      </c>
      <c r="I325" s="1706">
        <v>0</v>
      </c>
      <c r="J325" s="1707">
        <f t="shared" si="41"/>
        <v>0</v>
      </c>
      <c r="K325" s="1707">
        <f t="shared" si="42"/>
        <v>0</v>
      </c>
      <c r="L325" s="1706">
        <f t="shared" si="43"/>
        <v>0</v>
      </c>
      <c r="M325" s="30" t="s">
        <v>3232</v>
      </c>
      <c r="N325" s="30" t="s">
        <v>3233</v>
      </c>
    </row>
    <row r="326" spans="1:21" x14ac:dyDescent="0.4">
      <c r="A326" s="36">
        <v>192427</v>
      </c>
      <c r="B326">
        <v>45</v>
      </c>
      <c r="C326" s="36">
        <f t="shared" si="40"/>
        <v>225</v>
      </c>
      <c r="D326" s="1253">
        <v>0</v>
      </c>
      <c r="E326" s="1253">
        <v>0</v>
      </c>
      <c r="F326" s="1253">
        <v>0</v>
      </c>
      <c r="G326" s="1253">
        <v>0</v>
      </c>
      <c r="H326" s="1253">
        <v>1</v>
      </c>
      <c r="I326" s="1253">
        <v>1</v>
      </c>
      <c r="J326" s="1255">
        <f t="shared" si="41"/>
        <v>2</v>
      </c>
      <c r="K326" s="1255">
        <f t="shared" si="42"/>
        <v>1</v>
      </c>
      <c r="L326" s="1253">
        <f t="shared" si="43"/>
        <v>45</v>
      </c>
      <c r="M326" s="955" t="s">
        <v>3232</v>
      </c>
      <c r="N326" s="955" t="s">
        <v>3233</v>
      </c>
    </row>
    <row r="327" spans="1:21" x14ac:dyDescent="0.4">
      <c r="A327" s="36">
        <v>192428</v>
      </c>
      <c r="B327">
        <v>45</v>
      </c>
      <c r="C327" s="36">
        <f t="shared" si="40"/>
        <v>225</v>
      </c>
      <c r="D327" s="1253">
        <v>0</v>
      </c>
      <c r="E327" s="1253">
        <v>0</v>
      </c>
      <c r="F327" s="1253">
        <v>0</v>
      </c>
      <c r="G327" s="1253">
        <v>0</v>
      </c>
      <c r="H327" s="1253">
        <v>1</v>
      </c>
      <c r="I327" s="1253">
        <v>1</v>
      </c>
      <c r="J327" s="1255">
        <f t="shared" si="41"/>
        <v>2</v>
      </c>
      <c r="K327" s="1255">
        <f t="shared" si="42"/>
        <v>1</v>
      </c>
      <c r="L327" s="1253">
        <f t="shared" si="43"/>
        <v>45</v>
      </c>
      <c r="M327" s="955" t="s">
        <v>3232</v>
      </c>
      <c r="N327" s="955" t="s">
        <v>3233</v>
      </c>
    </row>
    <row r="328" spans="1:21" x14ac:dyDescent="0.4">
      <c r="A328" s="16">
        <v>192429</v>
      </c>
      <c r="B328" s="16">
        <v>60</v>
      </c>
      <c r="C328" s="16">
        <f t="shared" si="40"/>
        <v>300</v>
      </c>
      <c r="D328" s="1674">
        <v>0</v>
      </c>
      <c r="E328" s="1674">
        <v>0</v>
      </c>
      <c r="F328" s="1674">
        <v>0</v>
      </c>
      <c r="G328" s="1674">
        <v>0</v>
      </c>
      <c r="H328" s="1674">
        <v>0</v>
      </c>
      <c r="I328" s="1674">
        <v>0</v>
      </c>
      <c r="J328" s="1675">
        <f t="shared" si="41"/>
        <v>0</v>
      </c>
      <c r="K328" s="1675">
        <f t="shared" si="42"/>
        <v>0</v>
      </c>
      <c r="L328" s="1674">
        <f t="shared" si="43"/>
        <v>0</v>
      </c>
      <c r="M328" s="30" t="s">
        <v>3234</v>
      </c>
      <c r="N328" s="30" t="s">
        <v>3235</v>
      </c>
    </row>
    <row r="329" spans="1:21" x14ac:dyDescent="0.4">
      <c r="A329" s="16">
        <v>192430</v>
      </c>
      <c r="B329" s="16">
        <v>45</v>
      </c>
      <c r="C329" s="16">
        <f t="shared" ref="C329:C358" si="44">SUM(B329*5)</f>
        <v>225</v>
      </c>
      <c r="D329" s="1862">
        <v>0</v>
      </c>
      <c r="E329" s="1862">
        <v>0</v>
      </c>
      <c r="F329" s="1862">
        <v>0</v>
      </c>
      <c r="G329" s="1862">
        <v>0</v>
      </c>
      <c r="H329" s="1862">
        <v>0</v>
      </c>
      <c r="I329" s="1862">
        <v>0</v>
      </c>
      <c r="J329" s="1863">
        <f t="shared" ref="J329:J358" si="45">SUM(D329:I329)</f>
        <v>0</v>
      </c>
      <c r="K329" s="1863">
        <f t="shared" ref="K329:K358" si="46">SUM(D329:H329)</f>
        <v>0</v>
      </c>
      <c r="L329" s="1862">
        <f t="shared" ref="L329:L358" si="47">B329*K329</f>
        <v>0</v>
      </c>
      <c r="M329" s="30" t="s">
        <v>3234</v>
      </c>
      <c r="N329" s="30" t="s">
        <v>3235</v>
      </c>
    </row>
    <row r="330" spans="1:21" x14ac:dyDescent="0.4">
      <c r="A330" s="36">
        <v>192431</v>
      </c>
      <c r="B330">
        <v>60</v>
      </c>
      <c r="C330" s="36">
        <f t="shared" si="44"/>
        <v>300</v>
      </c>
      <c r="D330" s="1272">
        <v>0</v>
      </c>
      <c r="E330" s="1272">
        <v>0</v>
      </c>
      <c r="F330" s="1272">
        <v>0</v>
      </c>
      <c r="G330" s="1272">
        <v>0</v>
      </c>
      <c r="H330" s="1272">
        <v>1</v>
      </c>
      <c r="I330" s="1272">
        <v>1</v>
      </c>
      <c r="J330" s="1274">
        <f t="shared" si="45"/>
        <v>2</v>
      </c>
      <c r="K330" s="1274">
        <f t="shared" si="46"/>
        <v>1</v>
      </c>
      <c r="L330" s="1272">
        <f t="shared" si="47"/>
        <v>60</v>
      </c>
      <c r="M330" s="955" t="s">
        <v>3234</v>
      </c>
      <c r="N330" s="955" t="s">
        <v>3235</v>
      </c>
    </row>
    <row r="331" spans="1:21" x14ac:dyDescent="0.4">
      <c r="A331" s="1">
        <v>192432</v>
      </c>
      <c r="B331" s="1">
        <v>60</v>
      </c>
      <c r="C331" s="1">
        <f t="shared" si="44"/>
        <v>300</v>
      </c>
      <c r="D331" s="1978">
        <v>0</v>
      </c>
      <c r="E331" s="1978">
        <v>0</v>
      </c>
      <c r="F331" s="1978">
        <v>0</v>
      </c>
      <c r="G331" s="1978">
        <v>0</v>
      </c>
      <c r="H331" s="1978">
        <v>0</v>
      </c>
      <c r="I331" s="1978">
        <v>0</v>
      </c>
      <c r="J331" s="1979">
        <f t="shared" si="45"/>
        <v>0</v>
      </c>
      <c r="K331" s="1979">
        <f t="shared" si="46"/>
        <v>0</v>
      </c>
      <c r="L331" s="1978">
        <f t="shared" si="47"/>
        <v>0</v>
      </c>
      <c r="M331" s="141" t="s">
        <v>3236</v>
      </c>
      <c r="N331" s="141" t="s">
        <v>3237</v>
      </c>
    </row>
    <row r="332" spans="1:21" x14ac:dyDescent="0.4">
      <c r="A332" s="16">
        <v>192433</v>
      </c>
      <c r="B332" s="16">
        <v>45</v>
      </c>
      <c r="C332" s="16">
        <f t="shared" si="44"/>
        <v>225</v>
      </c>
      <c r="D332" s="1714">
        <v>0</v>
      </c>
      <c r="E332" s="1714">
        <v>0</v>
      </c>
      <c r="F332" s="1714">
        <v>0</v>
      </c>
      <c r="G332" s="1714">
        <v>0</v>
      </c>
      <c r="H332" s="1714">
        <v>0</v>
      </c>
      <c r="I332" s="1714">
        <v>0</v>
      </c>
      <c r="J332" s="1715">
        <f t="shared" si="45"/>
        <v>0</v>
      </c>
      <c r="K332" s="1715">
        <f t="shared" si="46"/>
        <v>0</v>
      </c>
      <c r="L332" s="1714">
        <f t="shared" si="47"/>
        <v>0</v>
      </c>
      <c r="M332" s="30" t="s">
        <v>3238</v>
      </c>
      <c r="N332" s="30" t="s">
        <v>3239</v>
      </c>
      <c r="U332" s="955"/>
    </row>
    <row r="333" spans="1:21" x14ac:dyDescent="0.4">
      <c r="A333" s="1960">
        <v>192434</v>
      </c>
      <c r="B333" s="1960">
        <v>45</v>
      </c>
      <c r="C333" s="1960">
        <f t="shared" si="44"/>
        <v>225</v>
      </c>
      <c r="D333" s="1961">
        <v>0</v>
      </c>
      <c r="E333" s="1961">
        <v>0</v>
      </c>
      <c r="F333" s="1961">
        <v>0</v>
      </c>
      <c r="G333" s="1961">
        <v>0</v>
      </c>
      <c r="H333" s="1961">
        <v>0</v>
      </c>
      <c r="I333" s="1961">
        <v>0</v>
      </c>
      <c r="J333" s="1962">
        <f t="shared" si="45"/>
        <v>0</v>
      </c>
      <c r="K333" s="1962">
        <f t="shared" si="46"/>
        <v>0</v>
      </c>
      <c r="L333" s="1961">
        <f t="shared" si="47"/>
        <v>0</v>
      </c>
      <c r="M333" s="1963" t="s">
        <v>3238</v>
      </c>
      <c r="N333" s="1963" t="s">
        <v>3239</v>
      </c>
    </row>
    <row r="334" spans="1:21" x14ac:dyDescent="0.4">
      <c r="A334" s="36">
        <v>192435</v>
      </c>
      <c r="B334">
        <v>139</v>
      </c>
      <c r="C334" s="36">
        <f t="shared" si="44"/>
        <v>695</v>
      </c>
      <c r="D334" s="1272">
        <v>0</v>
      </c>
      <c r="E334" s="1272">
        <v>0</v>
      </c>
      <c r="F334" s="1272">
        <v>0</v>
      </c>
      <c r="G334" s="1272">
        <v>0</v>
      </c>
      <c r="H334" s="1272">
        <v>0</v>
      </c>
      <c r="I334" s="1272">
        <v>1</v>
      </c>
      <c r="J334" s="1274">
        <f t="shared" si="45"/>
        <v>1</v>
      </c>
      <c r="K334" s="1274">
        <f t="shared" si="46"/>
        <v>0</v>
      </c>
      <c r="L334" s="1272">
        <f t="shared" si="47"/>
        <v>0</v>
      </c>
      <c r="M334" s="955" t="s">
        <v>3240</v>
      </c>
      <c r="N334" s="955" t="s">
        <v>3241</v>
      </c>
    </row>
    <row r="335" spans="1:21" x14ac:dyDescent="0.4">
      <c r="A335" s="36">
        <v>192436</v>
      </c>
      <c r="B335">
        <v>60</v>
      </c>
      <c r="C335" s="36">
        <f t="shared" si="44"/>
        <v>300</v>
      </c>
      <c r="D335" s="1272">
        <v>0</v>
      </c>
      <c r="E335" s="1272">
        <v>0</v>
      </c>
      <c r="F335" s="1272">
        <v>0</v>
      </c>
      <c r="G335" s="1272">
        <v>0</v>
      </c>
      <c r="H335" s="1272">
        <v>0</v>
      </c>
      <c r="I335" s="1272">
        <v>1</v>
      </c>
      <c r="J335" s="1274">
        <f t="shared" si="45"/>
        <v>1</v>
      </c>
      <c r="K335" s="1274">
        <f t="shared" si="46"/>
        <v>0</v>
      </c>
      <c r="L335" s="1272">
        <f t="shared" si="47"/>
        <v>0</v>
      </c>
      <c r="M335" s="955" t="s">
        <v>3249</v>
      </c>
      <c r="N335" s="955" t="s">
        <v>3250</v>
      </c>
    </row>
    <row r="336" spans="1:21" x14ac:dyDescent="0.4">
      <c r="A336" s="16">
        <v>192437</v>
      </c>
      <c r="B336" s="16">
        <v>45</v>
      </c>
      <c r="C336" s="16">
        <f t="shared" si="44"/>
        <v>225</v>
      </c>
      <c r="D336" s="1682">
        <v>0</v>
      </c>
      <c r="E336" s="1682">
        <v>0</v>
      </c>
      <c r="F336" s="1682">
        <v>0</v>
      </c>
      <c r="G336" s="1682">
        <v>0</v>
      </c>
      <c r="H336" s="1682">
        <v>0</v>
      </c>
      <c r="I336" s="1682">
        <v>0</v>
      </c>
      <c r="J336" s="1683">
        <f t="shared" si="45"/>
        <v>0</v>
      </c>
      <c r="K336" s="1683">
        <f t="shared" si="46"/>
        <v>0</v>
      </c>
      <c r="L336" s="1682">
        <f t="shared" si="47"/>
        <v>0</v>
      </c>
      <c r="M336" s="30" t="s">
        <v>3249</v>
      </c>
      <c r="N336" s="30" t="s">
        <v>3250</v>
      </c>
    </row>
    <row r="337" spans="1:16" x14ac:dyDescent="0.4">
      <c r="A337" s="123">
        <v>192438</v>
      </c>
      <c r="B337" s="123"/>
      <c r="C337" s="123">
        <f t="shared" si="44"/>
        <v>0</v>
      </c>
      <c r="D337" s="1289" t="s">
        <v>3242</v>
      </c>
      <c r="E337" s="1289" t="s">
        <v>3243</v>
      </c>
      <c r="F337" s="1289" t="s">
        <v>3244</v>
      </c>
      <c r="G337" s="1289" t="s">
        <v>3245</v>
      </c>
      <c r="H337" s="1289" t="s">
        <v>3246</v>
      </c>
      <c r="I337" s="1289" t="s">
        <v>3247</v>
      </c>
      <c r="J337" s="253">
        <f t="shared" si="45"/>
        <v>0</v>
      </c>
      <c r="K337" s="253">
        <f t="shared" si="46"/>
        <v>0</v>
      </c>
      <c r="L337" s="1289">
        <f t="shared" si="47"/>
        <v>0</v>
      </c>
      <c r="M337" s="1290" t="s">
        <v>3248</v>
      </c>
      <c r="N337" s="36"/>
      <c r="O337" s="36"/>
    </row>
    <row r="338" spans="1:16" x14ac:dyDescent="0.4">
      <c r="A338" s="36">
        <v>192439</v>
      </c>
      <c r="B338">
        <v>45</v>
      </c>
      <c r="C338" s="36">
        <f t="shared" si="44"/>
        <v>225</v>
      </c>
      <c r="D338" s="1272">
        <v>0</v>
      </c>
      <c r="E338" s="1272">
        <v>0</v>
      </c>
      <c r="F338" s="1272">
        <v>0</v>
      </c>
      <c r="G338" s="1272">
        <v>1</v>
      </c>
      <c r="H338" s="1272">
        <v>1</v>
      </c>
      <c r="I338" s="1272">
        <v>1</v>
      </c>
      <c r="J338" s="1274">
        <f t="shared" si="45"/>
        <v>3</v>
      </c>
      <c r="K338" s="1274">
        <f t="shared" si="46"/>
        <v>2</v>
      </c>
      <c r="L338" s="1272">
        <f t="shared" si="47"/>
        <v>90</v>
      </c>
      <c r="M338" s="955" t="s">
        <v>3249</v>
      </c>
      <c r="N338" s="955" t="s">
        <v>3250</v>
      </c>
    </row>
    <row r="339" spans="1:16" x14ac:dyDescent="0.4">
      <c r="A339" s="36">
        <v>192440</v>
      </c>
      <c r="B339">
        <v>60</v>
      </c>
      <c r="C339" s="36">
        <f t="shared" si="44"/>
        <v>300</v>
      </c>
      <c r="D339" s="1272">
        <v>0</v>
      </c>
      <c r="E339" s="1272">
        <v>0</v>
      </c>
      <c r="F339" s="1272">
        <v>0</v>
      </c>
      <c r="G339" s="1272">
        <v>0</v>
      </c>
      <c r="H339" s="1272">
        <v>0</v>
      </c>
      <c r="I339" s="1272">
        <v>1</v>
      </c>
      <c r="J339" s="1274">
        <f t="shared" si="45"/>
        <v>1</v>
      </c>
      <c r="K339" s="1274">
        <f t="shared" si="46"/>
        <v>0</v>
      </c>
      <c r="L339" s="1272">
        <f t="shared" si="47"/>
        <v>0</v>
      </c>
      <c r="M339" s="955" t="s">
        <v>3249</v>
      </c>
      <c r="N339" s="955" t="s">
        <v>3250</v>
      </c>
    </row>
    <row r="340" spans="1:16" x14ac:dyDescent="0.4">
      <c r="A340" s="16">
        <v>192441</v>
      </c>
      <c r="B340" s="16">
        <v>45</v>
      </c>
      <c r="C340" s="16">
        <f t="shared" si="44"/>
        <v>225</v>
      </c>
      <c r="D340" s="1778">
        <v>0</v>
      </c>
      <c r="E340" s="1778">
        <v>0</v>
      </c>
      <c r="F340" s="1778">
        <v>0</v>
      </c>
      <c r="G340" s="1778">
        <v>0</v>
      </c>
      <c r="H340" s="1778">
        <v>0</v>
      </c>
      <c r="I340" s="1778">
        <v>0</v>
      </c>
      <c r="J340" s="1779">
        <f t="shared" si="45"/>
        <v>0</v>
      </c>
      <c r="K340" s="1779">
        <f t="shared" si="46"/>
        <v>0</v>
      </c>
      <c r="L340" s="1778">
        <f t="shared" si="47"/>
        <v>0</v>
      </c>
      <c r="M340" s="30" t="s">
        <v>3251</v>
      </c>
      <c r="N340" s="30" t="s">
        <v>3252</v>
      </c>
    </row>
    <row r="341" spans="1:16" x14ac:dyDescent="0.4">
      <c r="A341" s="22">
        <v>192442</v>
      </c>
      <c r="B341" s="22">
        <v>60</v>
      </c>
      <c r="C341" s="22">
        <f t="shared" si="44"/>
        <v>300</v>
      </c>
      <c r="D341" s="557">
        <v>0</v>
      </c>
      <c r="E341" s="557">
        <v>0</v>
      </c>
      <c r="F341" s="557">
        <v>0</v>
      </c>
      <c r="G341" s="557">
        <v>0</v>
      </c>
      <c r="H341" s="557">
        <v>0</v>
      </c>
      <c r="I341" s="557">
        <v>0</v>
      </c>
      <c r="J341" s="24">
        <f t="shared" si="45"/>
        <v>0</v>
      </c>
      <c r="K341" s="24">
        <f t="shared" si="46"/>
        <v>0</v>
      </c>
      <c r="L341" s="557">
        <f t="shared" si="47"/>
        <v>0</v>
      </c>
      <c r="M341" s="29" t="s">
        <v>3251</v>
      </c>
      <c r="N341" s="29" t="s">
        <v>3252</v>
      </c>
    </row>
    <row r="342" spans="1:16" x14ac:dyDescent="0.4">
      <c r="A342" s="36">
        <v>192443</v>
      </c>
      <c r="B342">
        <v>60</v>
      </c>
      <c r="C342" s="36">
        <f t="shared" si="44"/>
        <v>300</v>
      </c>
      <c r="D342" s="1272">
        <v>0</v>
      </c>
      <c r="E342" s="1272">
        <v>0</v>
      </c>
      <c r="F342" s="1272">
        <v>0</v>
      </c>
      <c r="G342" s="1272">
        <v>0</v>
      </c>
      <c r="H342" s="1272">
        <v>1</v>
      </c>
      <c r="I342" s="1272">
        <v>1</v>
      </c>
      <c r="J342" s="1274">
        <f t="shared" si="45"/>
        <v>2</v>
      </c>
      <c r="K342" s="1274">
        <f t="shared" si="46"/>
        <v>1</v>
      </c>
      <c r="L342" s="1272">
        <f t="shared" si="47"/>
        <v>60</v>
      </c>
      <c r="M342" s="955" t="s">
        <v>3251</v>
      </c>
      <c r="N342" s="955" t="s">
        <v>3252</v>
      </c>
    </row>
    <row r="343" spans="1:16" x14ac:dyDescent="0.4">
      <c r="A343" s="16">
        <v>192444</v>
      </c>
      <c r="B343" s="16">
        <v>60</v>
      </c>
      <c r="C343" s="16">
        <f t="shared" si="44"/>
        <v>300</v>
      </c>
      <c r="D343" s="1839">
        <v>0</v>
      </c>
      <c r="E343" s="1839">
        <v>0</v>
      </c>
      <c r="F343" s="1839">
        <v>0</v>
      </c>
      <c r="G343" s="1839">
        <v>0</v>
      </c>
      <c r="H343" s="1839">
        <v>0</v>
      </c>
      <c r="I343" s="1839">
        <v>0</v>
      </c>
      <c r="J343" s="1840">
        <f t="shared" si="45"/>
        <v>0</v>
      </c>
      <c r="K343" s="1840">
        <f t="shared" si="46"/>
        <v>0</v>
      </c>
      <c r="L343" s="1839">
        <f t="shared" si="47"/>
        <v>0</v>
      </c>
      <c r="M343" s="30" t="s">
        <v>3251</v>
      </c>
      <c r="N343" s="30" t="s">
        <v>3252</v>
      </c>
    </row>
    <row r="344" spans="1:16" x14ac:dyDescent="0.4">
      <c r="A344" s="18">
        <v>192445</v>
      </c>
      <c r="B344" s="18">
        <v>45</v>
      </c>
      <c r="C344" s="18">
        <f t="shared" si="44"/>
        <v>225</v>
      </c>
      <c r="D344" s="1858">
        <v>0</v>
      </c>
      <c r="E344" s="1858">
        <v>0</v>
      </c>
      <c r="F344" s="1858">
        <v>0</v>
      </c>
      <c r="G344" s="1858">
        <v>0</v>
      </c>
      <c r="H344" s="1858">
        <v>0</v>
      </c>
      <c r="I344" s="1858">
        <v>0</v>
      </c>
      <c r="J344" s="28">
        <f t="shared" si="45"/>
        <v>0</v>
      </c>
      <c r="K344" s="28">
        <f t="shared" si="46"/>
        <v>0</v>
      </c>
      <c r="L344" s="1858">
        <f t="shared" si="47"/>
        <v>0</v>
      </c>
      <c r="M344" s="67" t="s">
        <v>3253</v>
      </c>
      <c r="N344" s="67" t="s">
        <v>3254</v>
      </c>
    </row>
    <row r="345" spans="1:16" x14ac:dyDescent="0.4">
      <c r="A345" s="16">
        <v>192446</v>
      </c>
      <c r="B345" s="16">
        <v>60</v>
      </c>
      <c r="C345" s="16">
        <f t="shared" si="44"/>
        <v>300</v>
      </c>
      <c r="D345" s="1534">
        <v>0</v>
      </c>
      <c r="E345" s="1534">
        <v>0</v>
      </c>
      <c r="F345" s="1534">
        <v>0</v>
      </c>
      <c r="G345" s="1534">
        <v>0</v>
      </c>
      <c r="H345" s="1534">
        <v>0</v>
      </c>
      <c r="I345" s="1534">
        <v>0</v>
      </c>
      <c r="J345" s="1535">
        <f t="shared" si="45"/>
        <v>0</v>
      </c>
      <c r="K345" s="1535">
        <f t="shared" si="46"/>
        <v>0</v>
      </c>
      <c r="L345" s="1534">
        <f t="shared" si="47"/>
        <v>0</v>
      </c>
      <c r="M345" s="30" t="s">
        <v>3253</v>
      </c>
      <c r="N345" s="30" t="s">
        <v>3254</v>
      </c>
    </row>
    <row r="346" spans="1:16" x14ac:dyDescent="0.4">
      <c r="A346" s="16">
        <v>192447</v>
      </c>
      <c r="B346" s="16">
        <v>45</v>
      </c>
      <c r="C346" s="16">
        <f t="shared" si="44"/>
        <v>225</v>
      </c>
      <c r="D346" s="1549">
        <v>0</v>
      </c>
      <c r="E346" s="1549">
        <v>0</v>
      </c>
      <c r="F346" s="1549">
        <v>0</v>
      </c>
      <c r="G346" s="1549">
        <v>0</v>
      </c>
      <c r="H346" s="1549">
        <v>0</v>
      </c>
      <c r="I346" s="1549">
        <v>0</v>
      </c>
      <c r="J346" s="1550">
        <f t="shared" si="45"/>
        <v>0</v>
      </c>
      <c r="K346" s="1550">
        <f t="shared" si="46"/>
        <v>0</v>
      </c>
      <c r="L346" s="1549">
        <f t="shared" si="47"/>
        <v>0</v>
      </c>
      <c r="M346" s="30" t="s">
        <v>3253</v>
      </c>
      <c r="N346" s="30" t="s">
        <v>3254</v>
      </c>
    </row>
    <row r="347" spans="1:16" x14ac:dyDescent="0.4">
      <c r="A347" s="36">
        <v>192448</v>
      </c>
      <c r="B347">
        <v>45</v>
      </c>
      <c r="C347" s="36">
        <f t="shared" si="44"/>
        <v>225</v>
      </c>
      <c r="D347" s="1272">
        <v>0</v>
      </c>
      <c r="E347" s="1272">
        <v>0</v>
      </c>
      <c r="F347" s="1272">
        <v>0</v>
      </c>
      <c r="G347" s="1272">
        <v>1</v>
      </c>
      <c r="H347" s="1272">
        <v>1</v>
      </c>
      <c r="I347" s="1272">
        <v>1</v>
      </c>
      <c r="J347" s="1274">
        <f t="shared" si="45"/>
        <v>3</v>
      </c>
      <c r="K347" s="1274">
        <f t="shared" si="46"/>
        <v>2</v>
      </c>
      <c r="L347" s="1272">
        <f t="shared" si="47"/>
        <v>90</v>
      </c>
      <c r="M347" s="955" t="s">
        <v>3255</v>
      </c>
      <c r="N347" s="955" t="s">
        <v>3256</v>
      </c>
    </row>
    <row r="348" spans="1:16" x14ac:dyDescent="0.4">
      <c r="A348" s="16">
        <v>192449</v>
      </c>
      <c r="B348" s="16">
        <v>45</v>
      </c>
      <c r="C348" s="16">
        <f t="shared" si="44"/>
        <v>225</v>
      </c>
      <c r="D348" s="1847">
        <v>0</v>
      </c>
      <c r="E348" s="1847">
        <v>0</v>
      </c>
      <c r="F348" s="1847">
        <v>0</v>
      </c>
      <c r="G348" s="1847">
        <v>0</v>
      </c>
      <c r="H348" s="1847">
        <v>0</v>
      </c>
      <c r="I348" s="1847">
        <v>0</v>
      </c>
      <c r="J348" s="1848">
        <f t="shared" si="45"/>
        <v>0</v>
      </c>
      <c r="K348" s="1848">
        <f t="shared" si="46"/>
        <v>0</v>
      </c>
      <c r="L348" s="1847">
        <f t="shared" si="47"/>
        <v>0</v>
      </c>
      <c r="M348" s="30" t="s">
        <v>3255</v>
      </c>
      <c r="N348" s="30" t="s">
        <v>3256</v>
      </c>
      <c r="O348" s="16"/>
      <c r="P348" s="16"/>
    </row>
    <row r="349" spans="1:16" x14ac:dyDescent="0.4">
      <c r="A349" s="16">
        <v>192450</v>
      </c>
      <c r="B349" s="16">
        <v>60</v>
      </c>
      <c r="C349" s="16">
        <f t="shared" si="44"/>
        <v>300</v>
      </c>
      <c r="D349" s="1357">
        <v>0</v>
      </c>
      <c r="E349" s="1357">
        <v>0</v>
      </c>
      <c r="F349" s="1357">
        <v>0</v>
      </c>
      <c r="G349" s="1357">
        <v>0</v>
      </c>
      <c r="H349" s="1357">
        <v>0</v>
      </c>
      <c r="I349" s="1357">
        <v>0</v>
      </c>
      <c r="J349" s="1358">
        <f t="shared" si="45"/>
        <v>0</v>
      </c>
      <c r="K349" s="1358">
        <f t="shared" si="46"/>
        <v>0</v>
      </c>
      <c r="L349" s="1357">
        <f t="shared" si="47"/>
        <v>0</v>
      </c>
      <c r="M349" s="30" t="s">
        <v>2137</v>
      </c>
      <c r="N349" s="30" t="s">
        <v>3257</v>
      </c>
    </row>
    <row r="350" spans="1:16" x14ac:dyDescent="0.4">
      <c r="A350" s="16">
        <v>192451</v>
      </c>
      <c r="B350" s="16">
        <v>60</v>
      </c>
      <c r="C350" s="16">
        <f t="shared" si="44"/>
        <v>300</v>
      </c>
      <c r="D350" s="1598">
        <v>0</v>
      </c>
      <c r="E350" s="1598">
        <v>0</v>
      </c>
      <c r="F350" s="1598">
        <v>0</v>
      </c>
      <c r="G350" s="1598">
        <v>0</v>
      </c>
      <c r="H350" s="1598">
        <v>0</v>
      </c>
      <c r="I350" s="1598">
        <v>0</v>
      </c>
      <c r="J350" s="1599">
        <f t="shared" si="45"/>
        <v>0</v>
      </c>
      <c r="K350" s="1599">
        <f t="shared" si="46"/>
        <v>0</v>
      </c>
      <c r="L350" s="1598">
        <f t="shared" si="47"/>
        <v>0</v>
      </c>
      <c r="M350" s="30" t="s">
        <v>2137</v>
      </c>
      <c r="N350" s="30" t="s">
        <v>3257</v>
      </c>
    </row>
    <row r="351" spans="1:16" x14ac:dyDescent="0.4">
      <c r="A351" s="1">
        <v>192452</v>
      </c>
      <c r="B351" s="1">
        <v>60</v>
      </c>
      <c r="C351" s="1">
        <f t="shared" si="44"/>
        <v>300</v>
      </c>
      <c r="D351" s="2003">
        <v>0</v>
      </c>
      <c r="E351" s="2003">
        <v>0</v>
      </c>
      <c r="F351" s="2003">
        <v>0</v>
      </c>
      <c r="G351" s="2003">
        <v>0</v>
      </c>
      <c r="H351" s="2003">
        <v>0</v>
      </c>
      <c r="I351" s="2003">
        <v>0</v>
      </c>
      <c r="J351" s="2004">
        <f t="shared" si="45"/>
        <v>0</v>
      </c>
      <c r="K351" s="2004">
        <f t="shared" si="46"/>
        <v>0</v>
      </c>
      <c r="L351" s="2003">
        <f t="shared" si="47"/>
        <v>0</v>
      </c>
      <c r="M351" s="141" t="s">
        <v>2137</v>
      </c>
      <c r="N351" s="141" t="s">
        <v>3257</v>
      </c>
    </row>
    <row r="352" spans="1:16" x14ac:dyDescent="0.4">
      <c r="A352" s="16">
        <v>192453</v>
      </c>
      <c r="B352" s="16">
        <v>60</v>
      </c>
      <c r="C352" s="16">
        <f t="shared" si="44"/>
        <v>300</v>
      </c>
      <c r="D352" s="1933">
        <v>0</v>
      </c>
      <c r="E352" s="1933">
        <v>0</v>
      </c>
      <c r="F352" s="1933">
        <v>0</v>
      </c>
      <c r="G352" s="1933">
        <v>0</v>
      </c>
      <c r="H352" s="1933">
        <v>0</v>
      </c>
      <c r="I352" s="1933">
        <v>0</v>
      </c>
      <c r="J352" s="1934">
        <f t="shared" si="45"/>
        <v>0</v>
      </c>
      <c r="K352" s="1934">
        <f t="shared" si="46"/>
        <v>0</v>
      </c>
      <c r="L352" s="1933">
        <f t="shared" si="47"/>
        <v>0</v>
      </c>
      <c r="M352" s="30" t="s">
        <v>3259</v>
      </c>
      <c r="N352" s="30" t="s">
        <v>3260</v>
      </c>
    </row>
    <row r="353" spans="1:14" x14ac:dyDescent="0.4">
      <c r="A353" s="16">
        <v>192454</v>
      </c>
      <c r="B353" s="16">
        <v>60</v>
      </c>
      <c r="C353" s="16">
        <f t="shared" si="44"/>
        <v>300</v>
      </c>
      <c r="D353" s="1754">
        <v>0</v>
      </c>
      <c r="E353" s="1754">
        <v>0</v>
      </c>
      <c r="F353" s="1754">
        <v>0</v>
      </c>
      <c r="G353" s="1754">
        <v>0</v>
      </c>
      <c r="H353" s="1754">
        <v>0</v>
      </c>
      <c r="I353" s="1754">
        <v>0</v>
      </c>
      <c r="J353" s="1755">
        <f t="shared" si="45"/>
        <v>0</v>
      </c>
      <c r="K353" s="1755">
        <f t="shared" si="46"/>
        <v>0</v>
      </c>
      <c r="L353" s="1754">
        <f t="shared" si="47"/>
        <v>0</v>
      </c>
      <c r="M353" s="30" t="s">
        <v>3259</v>
      </c>
      <c r="N353" s="30" t="s">
        <v>3260</v>
      </c>
    </row>
    <row r="354" spans="1:14" x14ac:dyDescent="0.4">
      <c r="A354" s="1999">
        <v>192455</v>
      </c>
      <c r="B354" s="1999">
        <v>45</v>
      </c>
      <c r="C354" s="1999">
        <f t="shared" si="44"/>
        <v>225</v>
      </c>
      <c r="D354" s="2000">
        <v>0</v>
      </c>
      <c r="E354" s="2000">
        <v>0</v>
      </c>
      <c r="F354" s="2000">
        <v>0</v>
      </c>
      <c r="G354" s="2000">
        <v>0</v>
      </c>
      <c r="H354" s="2000">
        <v>0</v>
      </c>
      <c r="I354" s="2000">
        <v>0</v>
      </c>
      <c r="J354" s="2001">
        <f t="shared" si="45"/>
        <v>0</v>
      </c>
      <c r="K354" s="2001">
        <f t="shared" si="46"/>
        <v>0</v>
      </c>
      <c r="L354" s="2000">
        <f t="shared" si="47"/>
        <v>0</v>
      </c>
      <c r="M354" s="2002" t="s">
        <v>3259</v>
      </c>
      <c r="N354" s="2002" t="s">
        <v>3260</v>
      </c>
    </row>
    <row r="355" spans="1:14" x14ac:dyDescent="0.4">
      <c r="A355" s="36">
        <v>192456</v>
      </c>
      <c r="B355">
        <v>45</v>
      </c>
      <c r="C355" s="36">
        <f t="shared" si="44"/>
        <v>225</v>
      </c>
      <c r="D355" s="1272">
        <v>0</v>
      </c>
      <c r="E355" s="1272">
        <v>0</v>
      </c>
      <c r="F355" s="1272">
        <v>0</v>
      </c>
      <c r="G355" s="1272">
        <v>0</v>
      </c>
      <c r="H355" s="1272">
        <v>0</v>
      </c>
      <c r="I355" s="1272">
        <v>1</v>
      </c>
      <c r="J355" s="1274">
        <f t="shared" si="45"/>
        <v>1</v>
      </c>
      <c r="K355" s="1274">
        <f t="shared" si="46"/>
        <v>0</v>
      </c>
      <c r="L355" s="1272">
        <f t="shared" si="47"/>
        <v>0</v>
      </c>
      <c r="M355" s="955" t="s">
        <v>3261</v>
      </c>
      <c r="N355" s="955" t="s">
        <v>3262</v>
      </c>
    </row>
    <row r="356" spans="1:14" x14ac:dyDescent="0.4">
      <c r="A356" s="36">
        <v>192457</v>
      </c>
      <c r="B356">
        <v>45</v>
      </c>
      <c r="C356" s="36">
        <f t="shared" si="44"/>
        <v>225</v>
      </c>
      <c r="D356" s="1272">
        <v>0</v>
      </c>
      <c r="E356" s="1272">
        <v>0</v>
      </c>
      <c r="F356" s="1272">
        <v>0</v>
      </c>
      <c r="G356" s="1272">
        <v>1</v>
      </c>
      <c r="H356" s="1272">
        <v>1</v>
      </c>
      <c r="I356" s="1272">
        <v>1</v>
      </c>
      <c r="J356" s="1274">
        <f t="shared" si="45"/>
        <v>3</v>
      </c>
      <c r="K356" s="1274">
        <f t="shared" si="46"/>
        <v>2</v>
      </c>
      <c r="L356" s="1272">
        <f t="shared" si="47"/>
        <v>90</v>
      </c>
      <c r="M356" s="955" t="s">
        <v>3261</v>
      </c>
      <c r="N356" s="955" t="s">
        <v>3262</v>
      </c>
    </row>
    <row r="357" spans="1:14" x14ac:dyDescent="0.4">
      <c r="A357" s="16">
        <v>192458</v>
      </c>
      <c r="B357" s="16">
        <v>45</v>
      </c>
      <c r="C357" s="16">
        <f t="shared" si="44"/>
        <v>225</v>
      </c>
      <c r="D357" s="1926">
        <v>0</v>
      </c>
      <c r="E357" s="1926">
        <v>0</v>
      </c>
      <c r="F357" s="1926">
        <v>0</v>
      </c>
      <c r="G357" s="1926">
        <v>0</v>
      </c>
      <c r="H357" s="1926">
        <v>0</v>
      </c>
      <c r="I357" s="1926">
        <v>0</v>
      </c>
      <c r="J357" s="1927">
        <f t="shared" si="45"/>
        <v>0</v>
      </c>
      <c r="K357" s="1927">
        <f t="shared" si="46"/>
        <v>0</v>
      </c>
      <c r="L357" s="1926">
        <f t="shared" si="47"/>
        <v>0</v>
      </c>
      <c r="M357" s="30" t="s">
        <v>2143</v>
      </c>
      <c r="N357" s="30" t="s">
        <v>3264</v>
      </c>
    </row>
    <row r="358" spans="1:14" x14ac:dyDescent="0.4">
      <c r="A358" s="16">
        <v>192459</v>
      </c>
      <c r="B358" s="16">
        <v>45</v>
      </c>
      <c r="C358" s="16">
        <f t="shared" si="44"/>
        <v>225</v>
      </c>
      <c r="D358" s="1365">
        <v>0</v>
      </c>
      <c r="E358" s="1365">
        <v>0</v>
      </c>
      <c r="F358" s="1365">
        <v>0</v>
      </c>
      <c r="G358" s="1365">
        <v>0</v>
      </c>
      <c r="H358" s="1365">
        <v>0</v>
      </c>
      <c r="I358" s="1365">
        <v>0</v>
      </c>
      <c r="J358" s="1366">
        <f t="shared" si="45"/>
        <v>0</v>
      </c>
      <c r="K358" s="1366">
        <f t="shared" si="46"/>
        <v>0</v>
      </c>
      <c r="L358" s="1365">
        <f t="shared" si="47"/>
        <v>0</v>
      </c>
      <c r="M358" s="30" t="s">
        <v>2143</v>
      </c>
      <c r="N358" s="30" t="s">
        <v>3264</v>
      </c>
    </row>
    <row r="359" spans="1:14" x14ac:dyDescent="0.4">
      <c r="A359" s="36">
        <v>192460</v>
      </c>
      <c r="B359">
        <v>50</v>
      </c>
      <c r="C359" s="36">
        <f t="shared" ref="C359:C388" si="48">SUM(B359*5)</f>
        <v>250</v>
      </c>
      <c r="D359" s="1301">
        <v>0</v>
      </c>
      <c r="E359" s="1301">
        <v>0</v>
      </c>
      <c r="F359" s="1301">
        <v>1</v>
      </c>
      <c r="G359" s="1301">
        <v>1</v>
      </c>
      <c r="H359" s="1301">
        <v>1</v>
      </c>
      <c r="I359" s="1301">
        <v>1</v>
      </c>
      <c r="J359" s="1302">
        <f t="shared" ref="J359:J388" si="49">SUM(D359:I359)</f>
        <v>4</v>
      </c>
      <c r="K359" s="1302">
        <f t="shared" ref="K359:K388" si="50">SUM(D359:H359)</f>
        <v>3</v>
      </c>
      <c r="L359" s="1301">
        <f t="shared" ref="L359:L388" si="51">B359*K359</f>
        <v>150</v>
      </c>
      <c r="M359" s="955" t="s">
        <v>2143</v>
      </c>
      <c r="N359" s="955" t="s">
        <v>3264</v>
      </c>
    </row>
    <row r="360" spans="1:14" x14ac:dyDescent="0.4">
      <c r="A360" s="1">
        <v>192461</v>
      </c>
      <c r="B360" s="1">
        <v>60</v>
      </c>
      <c r="C360" s="1">
        <f t="shared" si="48"/>
        <v>300</v>
      </c>
      <c r="D360" s="1964">
        <v>0</v>
      </c>
      <c r="E360" s="1964">
        <v>0</v>
      </c>
      <c r="F360" s="1964">
        <v>0</v>
      </c>
      <c r="G360" s="1964">
        <v>0</v>
      </c>
      <c r="H360" s="1964">
        <v>0</v>
      </c>
      <c r="I360" s="1964">
        <v>0</v>
      </c>
      <c r="J360" s="1966">
        <f t="shared" si="49"/>
        <v>0</v>
      </c>
      <c r="K360" s="1966">
        <f t="shared" si="50"/>
        <v>0</v>
      </c>
      <c r="L360" s="1964">
        <f t="shared" si="51"/>
        <v>0</v>
      </c>
      <c r="M360" s="141" t="s">
        <v>2143</v>
      </c>
      <c r="N360" s="141" t="s">
        <v>3264</v>
      </c>
    </row>
    <row r="361" spans="1:14" x14ac:dyDescent="0.4">
      <c r="A361" s="36">
        <v>192462</v>
      </c>
      <c r="B361">
        <v>60</v>
      </c>
      <c r="C361" s="36">
        <f t="shared" si="48"/>
        <v>300</v>
      </c>
      <c r="D361" s="1301">
        <v>0</v>
      </c>
      <c r="E361" s="1301">
        <v>0</v>
      </c>
      <c r="F361" s="1301">
        <v>0</v>
      </c>
      <c r="G361" s="1301">
        <v>0</v>
      </c>
      <c r="H361" s="1301">
        <v>1</v>
      </c>
      <c r="I361" s="1301">
        <v>1</v>
      </c>
      <c r="J361" s="1302">
        <f t="shared" si="49"/>
        <v>2</v>
      </c>
      <c r="K361" s="1302">
        <f t="shared" si="50"/>
        <v>1</v>
      </c>
      <c r="L361" s="1301">
        <f t="shared" si="51"/>
        <v>60</v>
      </c>
      <c r="M361" s="955" t="s">
        <v>3265</v>
      </c>
      <c r="N361" s="955" t="s">
        <v>3266</v>
      </c>
    </row>
    <row r="362" spans="1:14" x14ac:dyDescent="0.4">
      <c r="A362" s="16">
        <v>192463</v>
      </c>
      <c r="B362" s="16">
        <v>50</v>
      </c>
      <c r="C362" s="16">
        <f t="shared" si="48"/>
        <v>250</v>
      </c>
      <c r="D362" s="1385">
        <v>0</v>
      </c>
      <c r="E362" s="1385">
        <v>0</v>
      </c>
      <c r="F362" s="1385">
        <v>0</v>
      </c>
      <c r="G362" s="1385">
        <v>0</v>
      </c>
      <c r="H362" s="1385">
        <v>0</v>
      </c>
      <c r="I362" s="1385">
        <v>0</v>
      </c>
      <c r="J362" s="1386">
        <f t="shared" si="49"/>
        <v>0</v>
      </c>
      <c r="K362" s="1386">
        <f t="shared" si="50"/>
        <v>0</v>
      </c>
      <c r="L362" s="1385">
        <f t="shared" si="51"/>
        <v>0</v>
      </c>
      <c r="M362" s="30" t="s">
        <v>3265</v>
      </c>
      <c r="N362" s="30" t="s">
        <v>3266</v>
      </c>
    </row>
    <row r="363" spans="1:14" x14ac:dyDescent="0.4">
      <c r="A363" s="16">
        <v>192464</v>
      </c>
      <c r="B363" s="16">
        <v>60</v>
      </c>
      <c r="C363" s="16">
        <f t="shared" si="48"/>
        <v>300</v>
      </c>
      <c r="D363" s="1754">
        <v>0</v>
      </c>
      <c r="E363" s="1754">
        <v>0</v>
      </c>
      <c r="F363" s="1754">
        <v>0</v>
      </c>
      <c r="G363" s="1754">
        <v>0</v>
      </c>
      <c r="H363" s="1754">
        <v>0</v>
      </c>
      <c r="I363" s="1754">
        <v>0</v>
      </c>
      <c r="J363" s="1755">
        <f t="shared" si="49"/>
        <v>0</v>
      </c>
      <c r="K363" s="1755">
        <f t="shared" si="50"/>
        <v>0</v>
      </c>
      <c r="L363" s="1754">
        <f t="shared" si="51"/>
        <v>0</v>
      </c>
      <c r="M363" s="30" t="s">
        <v>3267</v>
      </c>
      <c r="N363" s="30" t="s">
        <v>3268</v>
      </c>
    </row>
    <row r="364" spans="1:14" x14ac:dyDescent="0.4">
      <c r="A364" s="16">
        <v>192465</v>
      </c>
      <c r="B364" s="16">
        <v>60</v>
      </c>
      <c r="C364" s="16">
        <f t="shared" si="48"/>
        <v>300</v>
      </c>
      <c r="D364" s="1704">
        <v>0</v>
      </c>
      <c r="E364" s="1704">
        <v>0</v>
      </c>
      <c r="F364" s="1704">
        <v>0</v>
      </c>
      <c r="G364" s="1704">
        <v>0</v>
      </c>
      <c r="H364" s="1704">
        <v>0</v>
      </c>
      <c r="I364" s="1704">
        <v>0</v>
      </c>
      <c r="J364" s="1705">
        <f t="shared" si="49"/>
        <v>0</v>
      </c>
      <c r="K364" s="1705">
        <f t="shared" si="50"/>
        <v>0</v>
      </c>
      <c r="L364" s="1704">
        <f t="shared" si="51"/>
        <v>0</v>
      </c>
      <c r="M364" s="30" t="s">
        <v>3267</v>
      </c>
      <c r="N364" s="30" t="s">
        <v>3268</v>
      </c>
    </row>
    <row r="365" spans="1:14" x14ac:dyDescent="0.4">
      <c r="A365" s="36">
        <v>192466</v>
      </c>
      <c r="B365">
        <v>60</v>
      </c>
      <c r="C365" s="36">
        <f t="shared" si="48"/>
        <v>300</v>
      </c>
      <c r="D365" s="1301">
        <v>0</v>
      </c>
      <c r="E365" s="1301">
        <v>0</v>
      </c>
      <c r="F365" s="1301">
        <v>0</v>
      </c>
      <c r="G365" s="1301">
        <v>1</v>
      </c>
      <c r="H365" s="1301">
        <v>1</v>
      </c>
      <c r="I365" s="1301">
        <v>1</v>
      </c>
      <c r="J365" s="1302">
        <f t="shared" si="49"/>
        <v>3</v>
      </c>
      <c r="K365" s="1302">
        <f t="shared" si="50"/>
        <v>2</v>
      </c>
      <c r="L365" s="1301">
        <f t="shared" si="51"/>
        <v>120</v>
      </c>
      <c r="M365" s="955" t="s">
        <v>2147</v>
      </c>
      <c r="N365" s="955" t="s">
        <v>3269</v>
      </c>
    </row>
    <row r="366" spans="1:14" x14ac:dyDescent="0.4">
      <c r="A366" s="16">
        <v>192467</v>
      </c>
      <c r="B366" s="16">
        <v>60</v>
      </c>
      <c r="C366" s="16">
        <f t="shared" si="48"/>
        <v>300</v>
      </c>
      <c r="D366" s="1748">
        <v>0</v>
      </c>
      <c r="E366" s="1748">
        <v>0</v>
      </c>
      <c r="F366" s="1748">
        <v>0</v>
      </c>
      <c r="G366" s="1748">
        <v>0</v>
      </c>
      <c r="H366" s="1748">
        <v>0</v>
      </c>
      <c r="I366" s="1748">
        <v>0</v>
      </c>
      <c r="J366" s="1749">
        <f t="shared" si="49"/>
        <v>0</v>
      </c>
      <c r="K366" s="1749">
        <f t="shared" si="50"/>
        <v>0</v>
      </c>
      <c r="L366" s="1748">
        <f t="shared" si="51"/>
        <v>0</v>
      </c>
      <c r="M366" s="30" t="s">
        <v>3270</v>
      </c>
      <c r="N366" s="30" t="s">
        <v>3271</v>
      </c>
    </row>
    <row r="367" spans="1:14" x14ac:dyDescent="0.4">
      <c r="A367" s="36">
        <v>192468</v>
      </c>
      <c r="B367">
        <v>60</v>
      </c>
      <c r="C367" s="36">
        <f t="shared" si="48"/>
        <v>300</v>
      </c>
      <c r="D367" s="1301">
        <v>0</v>
      </c>
      <c r="E367" s="1301">
        <v>0</v>
      </c>
      <c r="F367" s="1301">
        <v>0</v>
      </c>
      <c r="G367" s="1301">
        <v>0</v>
      </c>
      <c r="H367" s="1301">
        <v>0</v>
      </c>
      <c r="I367" s="1301">
        <v>1</v>
      </c>
      <c r="J367" s="1302">
        <f t="shared" si="49"/>
        <v>1</v>
      </c>
      <c r="K367" s="1302">
        <f t="shared" si="50"/>
        <v>0</v>
      </c>
      <c r="L367" s="1301">
        <f t="shared" si="51"/>
        <v>0</v>
      </c>
      <c r="M367" s="955" t="s">
        <v>3272</v>
      </c>
      <c r="N367" s="955" t="s">
        <v>3273</v>
      </c>
    </row>
    <row r="368" spans="1:14" x14ac:dyDescent="0.4">
      <c r="A368" s="36">
        <v>192469</v>
      </c>
      <c r="B368">
        <v>45</v>
      </c>
      <c r="C368" s="36">
        <f t="shared" si="48"/>
        <v>225</v>
      </c>
      <c r="D368" s="1301">
        <v>0</v>
      </c>
      <c r="E368" s="1301">
        <v>0</v>
      </c>
      <c r="F368" s="1301">
        <v>0</v>
      </c>
      <c r="G368" s="1301">
        <v>0</v>
      </c>
      <c r="H368" s="1301">
        <v>1</v>
      </c>
      <c r="I368" s="1301">
        <v>1</v>
      </c>
      <c r="J368" s="1302">
        <f t="shared" si="49"/>
        <v>2</v>
      </c>
      <c r="K368" s="1302">
        <f t="shared" si="50"/>
        <v>1</v>
      </c>
      <c r="L368" s="1301">
        <f t="shared" si="51"/>
        <v>45</v>
      </c>
      <c r="M368" s="955" t="s">
        <v>3272</v>
      </c>
      <c r="N368" s="955" t="s">
        <v>3273</v>
      </c>
    </row>
    <row r="369" spans="1:14" x14ac:dyDescent="0.4">
      <c r="A369" s="36">
        <v>192470</v>
      </c>
      <c r="B369">
        <v>45</v>
      </c>
      <c r="C369" s="36">
        <f t="shared" si="48"/>
        <v>225</v>
      </c>
      <c r="D369" s="1301">
        <v>0</v>
      </c>
      <c r="E369" s="1301">
        <v>0</v>
      </c>
      <c r="F369" s="1301">
        <v>1</v>
      </c>
      <c r="G369" s="1301">
        <v>1</v>
      </c>
      <c r="H369" s="1301">
        <v>1</v>
      </c>
      <c r="I369" s="1301">
        <v>1</v>
      </c>
      <c r="J369" s="1302">
        <f t="shared" si="49"/>
        <v>4</v>
      </c>
      <c r="K369" s="1302">
        <f t="shared" si="50"/>
        <v>3</v>
      </c>
      <c r="L369" s="1301">
        <f t="shared" si="51"/>
        <v>135</v>
      </c>
      <c r="M369" s="955" t="s">
        <v>3274</v>
      </c>
      <c r="N369" s="955" t="s">
        <v>3275</v>
      </c>
    </row>
    <row r="370" spans="1:14" x14ac:dyDescent="0.4">
      <c r="A370" s="16">
        <v>192471</v>
      </c>
      <c r="B370" s="16">
        <v>50</v>
      </c>
      <c r="C370" s="16">
        <f t="shared" si="48"/>
        <v>250</v>
      </c>
      <c r="D370" s="1635">
        <v>0</v>
      </c>
      <c r="E370" s="1635">
        <v>0</v>
      </c>
      <c r="F370" s="1635">
        <v>0</v>
      </c>
      <c r="G370" s="1635">
        <v>0</v>
      </c>
      <c r="H370" s="1635">
        <v>0</v>
      </c>
      <c r="I370" s="1635">
        <v>0</v>
      </c>
      <c r="J370" s="1636">
        <f t="shared" si="49"/>
        <v>0</v>
      </c>
      <c r="K370" s="1636">
        <f t="shared" si="50"/>
        <v>0</v>
      </c>
      <c r="L370" s="1635">
        <f t="shared" si="51"/>
        <v>0</v>
      </c>
      <c r="M370" s="30" t="s">
        <v>3274</v>
      </c>
      <c r="N370" s="30" t="s">
        <v>3275</v>
      </c>
    </row>
    <row r="371" spans="1:14" x14ac:dyDescent="0.4">
      <c r="A371" s="16">
        <v>192472</v>
      </c>
      <c r="B371" s="16">
        <v>45</v>
      </c>
      <c r="C371" s="16">
        <f t="shared" si="48"/>
        <v>225</v>
      </c>
      <c r="D371" s="1612">
        <v>0</v>
      </c>
      <c r="E371" s="1612">
        <v>0</v>
      </c>
      <c r="F371" s="1612">
        <v>0</v>
      </c>
      <c r="G371" s="1612">
        <v>0</v>
      </c>
      <c r="H371" s="1612">
        <v>0</v>
      </c>
      <c r="I371" s="1612">
        <v>0</v>
      </c>
      <c r="J371" s="1613">
        <f t="shared" si="49"/>
        <v>0</v>
      </c>
      <c r="K371" s="1613">
        <f t="shared" si="50"/>
        <v>0</v>
      </c>
      <c r="L371" s="1612">
        <f t="shared" si="51"/>
        <v>0</v>
      </c>
      <c r="M371" s="30" t="s">
        <v>3276</v>
      </c>
      <c r="N371" s="30" t="s">
        <v>3277</v>
      </c>
    </row>
    <row r="372" spans="1:14" x14ac:dyDescent="0.4">
      <c r="A372" s="16">
        <v>192473</v>
      </c>
      <c r="B372" s="16">
        <v>45</v>
      </c>
      <c r="C372" s="16">
        <f t="shared" si="48"/>
        <v>225</v>
      </c>
      <c r="D372" s="1559">
        <v>0</v>
      </c>
      <c r="E372" s="1559">
        <v>0</v>
      </c>
      <c r="F372" s="1559">
        <v>0</v>
      </c>
      <c r="G372" s="1559">
        <v>0</v>
      </c>
      <c r="H372" s="1559">
        <v>0</v>
      </c>
      <c r="I372" s="1559">
        <v>0</v>
      </c>
      <c r="J372" s="1560">
        <f t="shared" si="49"/>
        <v>0</v>
      </c>
      <c r="K372" s="1560">
        <f t="shared" si="50"/>
        <v>0</v>
      </c>
      <c r="L372" s="1559">
        <f t="shared" si="51"/>
        <v>0</v>
      </c>
      <c r="M372" s="30" t="s">
        <v>3279</v>
      </c>
      <c r="N372" s="30" t="s">
        <v>3280</v>
      </c>
    </row>
    <row r="373" spans="1:14" x14ac:dyDescent="0.4">
      <c r="A373" s="16">
        <v>192474</v>
      </c>
      <c r="B373" s="16">
        <v>60</v>
      </c>
      <c r="C373" s="16">
        <f t="shared" si="48"/>
        <v>300</v>
      </c>
      <c r="D373" s="1922">
        <v>0</v>
      </c>
      <c r="E373" s="1922">
        <v>0</v>
      </c>
      <c r="F373" s="1922">
        <v>0</v>
      </c>
      <c r="G373" s="1922">
        <v>0</v>
      </c>
      <c r="H373" s="1922">
        <v>0</v>
      </c>
      <c r="I373" s="1922">
        <v>0</v>
      </c>
      <c r="J373" s="1923">
        <f t="shared" si="49"/>
        <v>0</v>
      </c>
      <c r="K373" s="1923">
        <f t="shared" si="50"/>
        <v>0</v>
      </c>
      <c r="L373" s="1922">
        <f t="shared" si="51"/>
        <v>0</v>
      </c>
      <c r="M373" s="30" t="s">
        <v>3279</v>
      </c>
      <c r="N373" s="30" t="s">
        <v>3280</v>
      </c>
    </row>
    <row r="374" spans="1:14" x14ac:dyDescent="0.4">
      <c r="A374" s="16">
        <v>192475</v>
      </c>
      <c r="B374" s="16">
        <v>50</v>
      </c>
      <c r="C374" s="16">
        <f t="shared" si="48"/>
        <v>250</v>
      </c>
      <c r="D374" s="1686">
        <v>0</v>
      </c>
      <c r="E374" s="1686">
        <v>0</v>
      </c>
      <c r="F374" s="1686">
        <v>0</v>
      </c>
      <c r="G374" s="1686">
        <v>0</v>
      </c>
      <c r="H374" s="1686">
        <v>0</v>
      </c>
      <c r="I374" s="1686">
        <v>0</v>
      </c>
      <c r="J374" s="1687">
        <f t="shared" si="49"/>
        <v>0</v>
      </c>
      <c r="K374" s="1687">
        <f t="shared" si="50"/>
        <v>0</v>
      </c>
      <c r="L374" s="1686">
        <f t="shared" si="51"/>
        <v>0</v>
      </c>
      <c r="M374" s="30" t="s">
        <v>3279</v>
      </c>
      <c r="N374" s="30" t="s">
        <v>3280</v>
      </c>
    </row>
    <row r="375" spans="1:14" x14ac:dyDescent="0.4">
      <c r="A375" s="1034">
        <v>192476</v>
      </c>
      <c r="B375" s="1034">
        <v>45</v>
      </c>
      <c r="C375" s="1034">
        <f t="shared" si="48"/>
        <v>225</v>
      </c>
      <c r="D375" s="1035">
        <v>0</v>
      </c>
      <c r="E375" s="1035">
        <v>0</v>
      </c>
      <c r="F375" s="1035">
        <v>0</v>
      </c>
      <c r="G375" s="1035">
        <v>0</v>
      </c>
      <c r="H375" s="1035">
        <v>0</v>
      </c>
      <c r="I375" s="1035">
        <v>0</v>
      </c>
      <c r="J375" s="1036">
        <f t="shared" si="49"/>
        <v>0</v>
      </c>
      <c r="K375" s="1036">
        <f t="shared" si="50"/>
        <v>0</v>
      </c>
      <c r="L375" s="1035">
        <f t="shared" si="51"/>
        <v>0</v>
      </c>
      <c r="M375" s="1957" t="s">
        <v>3281</v>
      </c>
      <c r="N375" s="1957" t="s">
        <v>3282</v>
      </c>
    </row>
    <row r="376" spans="1:14" x14ac:dyDescent="0.4">
      <c r="A376" s="16">
        <v>192477</v>
      </c>
      <c r="B376" s="16">
        <v>45</v>
      </c>
      <c r="C376" s="16">
        <f t="shared" si="48"/>
        <v>225</v>
      </c>
      <c r="D376" s="1797">
        <v>0</v>
      </c>
      <c r="E376" s="1797">
        <v>0</v>
      </c>
      <c r="F376" s="1797">
        <v>0</v>
      </c>
      <c r="G376" s="1797">
        <v>0</v>
      </c>
      <c r="H376" s="1797">
        <v>0</v>
      </c>
      <c r="I376" s="1797">
        <v>0</v>
      </c>
      <c r="J376" s="1798">
        <f t="shared" si="49"/>
        <v>0</v>
      </c>
      <c r="K376" s="1798">
        <f t="shared" si="50"/>
        <v>0</v>
      </c>
      <c r="L376" s="1797">
        <f>B376*K376</f>
        <v>0</v>
      </c>
      <c r="M376" s="30" t="s">
        <v>3283</v>
      </c>
      <c r="N376" s="30" t="s">
        <v>3284</v>
      </c>
    </row>
    <row r="377" spans="1:14" x14ac:dyDescent="0.4">
      <c r="A377" s="36">
        <v>192478</v>
      </c>
      <c r="B377">
        <v>45</v>
      </c>
      <c r="C377" s="36">
        <f t="shared" si="48"/>
        <v>225</v>
      </c>
      <c r="D377" s="1301">
        <v>0</v>
      </c>
      <c r="E377" s="1301">
        <v>0</v>
      </c>
      <c r="F377" s="1301">
        <v>0</v>
      </c>
      <c r="G377" s="1301">
        <v>0</v>
      </c>
      <c r="H377" s="1301">
        <v>0</v>
      </c>
      <c r="I377" s="1301">
        <v>1</v>
      </c>
      <c r="J377" s="1302">
        <f t="shared" si="49"/>
        <v>1</v>
      </c>
      <c r="K377" s="1302">
        <f t="shared" si="50"/>
        <v>0</v>
      </c>
      <c r="L377" s="1301">
        <f t="shared" si="51"/>
        <v>0</v>
      </c>
      <c r="M377" s="955" t="s">
        <v>3285</v>
      </c>
      <c r="N377" s="955" t="s">
        <v>3286</v>
      </c>
    </row>
    <row r="378" spans="1:14" x14ac:dyDescent="0.4">
      <c r="A378" s="22">
        <v>192479</v>
      </c>
      <c r="B378" s="22">
        <v>60</v>
      </c>
      <c r="C378" s="22">
        <f t="shared" si="48"/>
        <v>300</v>
      </c>
      <c r="D378" s="557">
        <v>0</v>
      </c>
      <c r="E378" s="557">
        <v>0</v>
      </c>
      <c r="F378" s="557">
        <v>0</v>
      </c>
      <c r="G378" s="557">
        <v>0</v>
      </c>
      <c r="H378" s="557">
        <v>0</v>
      </c>
      <c r="I378" s="557">
        <v>0</v>
      </c>
      <c r="J378" s="24">
        <f t="shared" si="49"/>
        <v>0</v>
      </c>
      <c r="K378" s="24">
        <f t="shared" si="50"/>
        <v>0</v>
      </c>
      <c r="L378" s="557">
        <f t="shared" si="51"/>
        <v>0</v>
      </c>
      <c r="M378" s="29" t="s">
        <v>3287</v>
      </c>
      <c r="N378" s="29" t="s">
        <v>3288</v>
      </c>
    </row>
    <row r="379" spans="1:14" x14ac:dyDescent="0.4">
      <c r="A379" s="16">
        <v>192480</v>
      </c>
      <c r="B379" s="16">
        <v>50</v>
      </c>
      <c r="C379" s="16">
        <f t="shared" si="48"/>
        <v>250</v>
      </c>
      <c r="D379" s="1926">
        <v>0</v>
      </c>
      <c r="E379" s="1926">
        <v>0</v>
      </c>
      <c r="F379" s="1926">
        <v>0</v>
      </c>
      <c r="G379" s="1926">
        <v>0</v>
      </c>
      <c r="H379" s="1926">
        <v>0</v>
      </c>
      <c r="I379" s="1926">
        <v>0</v>
      </c>
      <c r="J379" s="1927">
        <f t="shared" si="49"/>
        <v>0</v>
      </c>
      <c r="K379" s="1927">
        <f t="shared" si="50"/>
        <v>0</v>
      </c>
      <c r="L379" s="1926">
        <f t="shared" si="51"/>
        <v>0</v>
      </c>
      <c r="M379" s="30" t="s">
        <v>3289</v>
      </c>
      <c r="N379" s="30" t="s">
        <v>3290</v>
      </c>
    </row>
    <row r="380" spans="1:14" x14ac:dyDescent="0.4">
      <c r="A380" s="36">
        <v>192481</v>
      </c>
      <c r="B380">
        <v>45</v>
      </c>
      <c r="C380" s="36">
        <f t="shared" si="48"/>
        <v>225</v>
      </c>
      <c r="D380" s="1301">
        <v>0</v>
      </c>
      <c r="E380" s="1301">
        <v>0</v>
      </c>
      <c r="F380" s="1301">
        <v>0</v>
      </c>
      <c r="G380" s="1301">
        <v>1</v>
      </c>
      <c r="H380" s="1301">
        <v>1</v>
      </c>
      <c r="I380" s="1301">
        <v>1</v>
      </c>
      <c r="J380" s="1302">
        <f t="shared" si="49"/>
        <v>3</v>
      </c>
      <c r="K380" s="1302">
        <f t="shared" si="50"/>
        <v>2</v>
      </c>
      <c r="L380" s="1301">
        <f t="shared" si="51"/>
        <v>90</v>
      </c>
      <c r="M380" s="955" t="s">
        <v>3289</v>
      </c>
      <c r="N380" s="955" t="s">
        <v>3290</v>
      </c>
    </row>
    <row r="381" spans="1:14" x14ac:dyDescent="0.4">
      <c r="A381" s="1">
        <v>192482</v>
      </c>
      <c r="B381" s="1">
        <v>60</v>
      </c>
      <c r="C381" s="1">
        <f t="shared" si="48"/>
        <v>300</v>
      </c>
      <c r="D381" s="2028">
        <v>0</v>
      </c>
      <c r="E381" s="2028">
        <v>0</v>
      </c>
      <c r="F381" s="2028">
        <v>0</v>
      </c>
      <c r="G381" s="2028">
        <v>0</v>
      </c>
      <c r="H381" s="2028">
        <v>0</v>
      </c>
      <c r="I381" s="2028">
        <v>0</v>
      </c>
      <c r="J381" s="2029">
        <f t="shared" si="49"/>
        <v>0</v>
      </c>
      <c r="K381" s="2029">
        <f t="shared" si="50"/>
        <v>0</v>
      </c>
      <c r="L381" s="2028">
        <f t="shared" si="51"/>
        <v>0</v>
      </c>
      <c r="M381" s="141" t="s">
        <v>3289</v>
      </c>
      <c r="N381" s="141" t="s">
        <v>3290</v>
      </c>
    </row>
    <row r="382" spans="1:14" x14ac:dyDescent="0.4">
      <c r="A382" s="16">
        <v>192483</v>
      </c>
      <c r="B382" s="16">
        <v>50</v>
      </c>
      <c r="C382" s="16">
        <f t="shared" si="48"/>
        <v>250</v>
      </c>
      <c r="D382" s="1575">
        <v>0</v>
      </c>
      <c r="E382" s="1575">
        <v>0</v>
      </c>
      <c r="F382" s="1575">
        <v>0</v>
      </c>
      <c r="G382" s="1575">
        <v>0</v>
      </c>
      <c r="H382" s="1575">
        <v>0</v>
      </c>
      <c r="I382" s="1575">
        <v>0</v>
      </c>
      <c r="J382" s="1576">
        <f t="shared" si="49"/>
        <v>0</v>
      </c>
      <c r="K382" s="1576">
        <f t="shared" si="50"/>
        <v>0</v>
      </c>
      <c r="L382" s="1575">
        <f t="shared" si="51"/>
        <v>0</v>
      </c>
      <c r="M382" s="30" t="s">
        <v>3289</v>
      </c>
      <c r="N382" s="30" t="s">
        <v>3290</v>
      </c>
    </row>
    <row r="383" spans="1:14" x14ac:dyDescent="0.4">
      <c r="A383" s="36">
        <v>192484</v>
      </c>
      <c r="B383">
        <v>45</v>
      </c>
      <c r="C383" s="36">
        <f t="shared" si="48"/>
        <v>225</v>
      </c>
      <c r="D383" s="1301">
        <v>0</v>
      </c>
      <c r="E383" s="1301">
        <v>0</v>
      </c>
      <c r="F383" s="1301">
        <v>1</v>
      </c>
      <c r="G383" s="1301">
        <v>1</v>
      </c>
      <c r="H383" s="1301">
        <v>1</v>
      </c>
      <c r="I383" s="1301">
        <v>1</v>
      </c>
      <c r="J383" s="1302">
        <f t="shared" si="49"/>
        <v>4</v>
      </c>
      <c r="K383" s="1302">
        <f t="shared" si="50"/>
        <v>3</v>
      </c>
      <c r="L383" s="1301">
        <f t="shared" si="51"/>
        <v>135</v>
      </c>
      <c r="M383" s="955" t="s">
        <v>3289</v>
      </c>
      <c r="N383" s="955" t="s">
        <v>3290</v>
      </c>
    </row>
    <row r="384" spans="1:14" x14ac:dyDescent="0.4">
      <c r="A384" s="1993">
        <v>192485</v>
      </c>
      <c r="B384" s="1993">
        <v>60</v>
      </c>
      <c r="C384" s="1993">
        <f t="shared" si="48"/>
        <v>300</v>
      </c>
      <c r="D384" s="1994">
        <v>0</v>
      </c>
      <c r="E384" s="1994">
        <v>0</v>
      </c>
      <c r="F384" s="1994">
        <v>0</v>
      </c>
      <c r="G384" s="1994">
        <v>0</v>
      </c>
      <c r="H384" s="1994">
        <v>0</v>
      </c>
      <c r="I384" s="1994">
        <v>0</v>
      </c>
      <c r="J384" s="1995">
        <f t="shared" si="49"/>
        <v>0</v>
      </c>
      <c r="K384" s="1995">
        <f t="shared" si="50"/>
        <v>0</v>
      </c>
      <c r="L384" s="1994">
        <f t="shared" si="51"/>
        <v>0</v>
      </c>
      <c r="M384" s="1996" t="s">
        <v>3291</v>
      </c>
      <c r="N384" s="1996" t="s">
        <v>3292</v>
      </c>
    </row>
    <row r="385" spans="1:14" x14ac:dyDescent="0.4">
      <c r="A385" s="16">
        <v>192486</v>
      </c>
      <c r="B385" s="16">
        <v>60</v>
      </c>
      <c r="C385" s="16">
        <f t="shared" si="48"/>
        <v>300</v>
      </c>
      <c r="D385" s="1730">
        <v>0</v>
      </c>
      <c r="E385" s="1730">
        <v>0</v>
      </c>
      <c r="F385" s="1730">
        <v>0</v>
      </c>
      <c r="G385" s="1730">
        <v>0</v>
      </c>
      <c r="H385" s="1730">
        <v>0</v>
      </c>
      <c r="I385" s="1730">
        <v>0</v>
      </c>
      <c r="J385" s="1731">
        <f t="shared" si="49"/>
        <v>0</v>
      </c>
      <c r="K385" s="1731">
        <f t="shared" si="50"/>
        <v>0</v>
      </c>
      <c r="L385" s="1730">
        <f t="shared" si="51"/>
        <v>0</v>
      </c>
      <c r="M385" s="30" t="s">
        <v>3293</v>
      </c>
      <c r="N385" s="30" t="s">
        <v>3294</v>
      </c>
    </row>
    <row r="386" spans="1:14" x14ac:dyDescent="0.4">
      <c r="A386" s="36">
        <v>192487</v>
      </c>
      <c r="B386">
        <v>45</v>
      </c>
      <c r="C386" s="36">
        <f t="shared" si="48"/>
        <v>225</v>
      </c>
      <c r="D386" s="1301">
        <v>0</v>
      </c>
      <c r="E386" s="1301">
        <v>1</v>
      </c>
      <c r="F386" s="1301">
        <v>1</v>
      </c>
      <c r="G386" s="1301">
        <v>1</v>
      </c>
      <c r="H386" s="1301">
        <v>1</v>
      </c>
      <c r="I386" s="1301">
        <v>1</v>
      </c>
      <c r="J386" s="1302">
        <f t="shared" si="49"/>
        <v>5</v>
      </c>
      <c r="K386" s="1302">
        <f t="shared" si="50"/>
        <v>4</v>
      </c>
      <c r="L386" s="1301">
        <f t="shared" si="51"/>
        <v>180</v>
      </c>
      <c r="M386" s="955" t="s">
        <v>3295</v>
      </c>
      <c r="N386" s="955" t="s">
        <v>3296</v>
      </c>
    </row>
    <row r="387" spans="1:14" x14ac:dyDescent="0.4">
      <c r="A387" s="36">
        <v>192488</v>
      </c>
      <c r="B387">
        <v>60</v>
      </c>
      <c r="C387" s="36">
        <f t="shared" si="48"/>
        <v>300</v>
      </c>
      <c r="D387" s="1301">
        <v>0</v>
      </c>
      <c r="E387" s="1301">
        <v>0</v>
      </c>
      <c r="F387" s="1301">
        <v>1</v>
      </c>
      <c r="G387" s="1301">
        <v>1</v>
      </c>
      <c r="H387" s="1301">
        <v>1</v>
      </c>
      <c r="I387" s="1301">
        <v>1</v>
      </c>
      <c r="J387" s="1302">
        <f t="shared" si="49"/>
        <v>4</v>
      </c>
      <c r="K387" s="1302">
        <f t="shared" si="50"/>
        <v>3</v>
      </c>
      <c r="L387" s="1301">
        <f t="shared" si="51"/>
        <v>180</v>
      </c>
      <c r="M387" s="955" t="s">
        <v>3295</v>
      </c>
      <c r="N387" s="955" t="s">
        <v>3296</v>
      </c>
    </row>
    <row r="388" spans="1:14" x14ac:dyDescent="0.4">
      <c r="A388" s="16">
        <v>192489</v>
      </c>
      <c r="B388" s="16">
        <v>45</v>
      </c>
      <c r="C388" s="16">
        <f t="shared" si="48"/>
        <v>225</v>
      </c>
      <c r="D388" s="1882">
        <v>0</v>
      </c>
      <c r="E388" s="1882">
        <v>0</v>
      </c>
      <c r="F388" s="1882">
        <v>0</v>
      </c>
      <c r="G388" s="1882">
        <v>0</v>
      </c>
      <c r="H388" s="1882">
        <v>0</v>
      </c>
      <c r="I388" s="1882">
        <v>0</v>
      </c>
      <c r="J388" s="1883">
        <f t="shared" si="49"/>
        <v>0</v>
      </c>
      <c r="K388" s="1883">
        <f t="shared" si="50"/>
        <v>0</v>
      </c>
      <c r="L388" s="1882">
        <f t="shared" si="51"/>
        <v>0</v>
      </c>
      <c r="M388" s="30" t="s">
        <v>3295</v>
      </c>
      <c r="N388" s="30" t="s">
        <v>3296</v>
      </c>
    </row>
    <row r="389" spans="1:14" x14ac:dyDescent="0.4">
      <c r="A389" s="1993">
        <v>192490</v>
      </c>
      <c r="B389" s="1993">
        <v>45</v>
      </c>
      <c r="C389" s="1993">
        <f t="shared" ref="C389:C418" si="52">SUM(B389*5)</f>
        <v>225</v>
      </c>
      <c r="D389" s="1994">
        <v>0</v>
      </c>
      <c r="E389" s="1994">
        <v>0</v>
      </c>
      <c r="F389" s="1994">
        <v>0</v>
      </c>
      <c r="G389" s="1994">
        <v>0</v>
      </c>
      <c r="H389" s="1994">
        <v>0</v>
      </c>
      <c r="I389" s="1994">
        <v>0</v>
      </c>
      <c r="J389" s="1995">
        <f t="shared" ref="J389:J418" si="53">SUM(D389:I389)</f>
        <v>0</v>
      </c>
      <c r="K389" s="1995">
        <f t="shared" ref="K389:K418" si="54">SUM(D389:H389)</f>
        <v>0</v>
      </c>
      <c r="L389" s="1994">
        <f t="shared" ref="L389:L418" si="55">B389*K389</f>
        <v>0</v>
      </c>
      <c r="M389" s="1996" t="s">
        <v>2176</v>
      </c>
      <c r="N389" s="1996" t="s">
        <v>3297</v>
      </c>
    </row>
    <row r="390" spans="1:14" x14ac:dyDescent="0.4">
      <c r="A390" s="16">
        <v>192491</v>
      </c>
      <c r="B390" s="16">
        <v>45</v>
      </c>
      <c r="C390" s="16">
        <f t="shared" si="52"/>
        <v>225</v>
      </c>
      <c r="D390" s="1805">
        <v>0</v>
      </c>
      <c r="E390" s="1805">
        <v>0</v>
      </c>
      <c r="F390" s="1805">
        <v>0</v>
      </c>
      <c r="G390" s="1805">
        <v>0</v>
      </c>
      <c r="H390" s="1805">
        <v>0</v>
      </c>
      <c r="I390" s="1805">
        <v>0</v>
      </c>
      <c r="J390" s="1806">
        <f t="shared" si="53"/>
        <v>0</v>
      </c>
      <c r="K390" s="1806">
        <f t="shared" si="54"/>
        <v>0</v>
      </c>
      <c r="L390" s="1805">
        <f t="shared" si="55"/>
        <v>0</v>
      </c>
      <c r="M390" s="30" t="s">
        <v>3298</v>
      </c>
      <c r="N390" s="30" t="s">
        <v>3299</v>
      </c>
    </row>
    <row r="391" spans="1:14" x14ac:dyDescent="0.4">
      <c r="A391" s="36">
        <v>192492</v>
      </c>
      <c r="B391">
        <v>45</v>
      </c>
      <c r="C391" s="36">
        <f t="shared" si="52"/>
        <v>225</v>
      </c>
      <c r="D391" s="1317">
        <v>0</v>
      </c>
      <c r="E391" s="1317">
        <v>0</v>
      </c>
      <c r="F391" s="1317">
        <v>0</v>
      </c>
      <c r="G391" s="1317">
        <v>1</v>
      </c>
      <c r="H391" s="1317">
        <v>1</v>
      </c>
      <c r="I391" s="1317">
        <v>1</v>
      </c>
      <c r="J391" s="1318">
        <f t="shared" si="53"/>
        <v>3</v>
      </c>
      <c r="K391" s="1318">
        <f t="shared" si="54"/>
        <v>2</v>
      </c>
      <c r="L391" s="1317">
        <f t="shared" si="55"/>
        <v>90</v>
      </c>
      <c r="M391" s="955" t="s">
        <v>3300</v>
      </c>
      <c r="N391" s="955" t="s">
        <v>3301</v>
      </c>
    </row>
    <row r="392" spans="1:14" x14ac:dyDescent="0.4">
      <c r="A392" s="16">
        <v>192493</v>
      </c>
      <c r="B392" s="16">
        <v>60</v>
      </c>
      <c r="C392" s="16">
        <f t="shared" si="52"/>
        <v>300</v>
      </c>
      <c r="D392" s="1652">
        <v>0</v>
      </c>
      <c r="E392" s="1652">
        <v>0</v>
      </c>
      <c r="F392" s="1652">
        <v>0</v>
      </c>
      <c r="G392" s="1652">
        <v>0</v>
      </c>
      <c r="H392" s="1652">
        <v>0</v>
      </c>
      <c r="I392" s="1652">
        <v>0</v>
      </c>
      <c r="J392" s="1653">
        <f t="shared" si="53"/>
        <v>0</v>
      </c>
      <c r="K392" s="1653">
        <f t="shared" si="54"/>
        <v>0</v>
      </c>
      <c r="L392" s="1652">
        <f t="shared" si="55"/>
        <v>0</v>
      </c>
      <c r="M392" s="30" t="s">
        <v>3302</v>
      </c>
      <c r="N392" s="30" t="s">
        <v>3303</v>
      </c>
    </row>
    <row r="393" spans="1:14" x14ac:dyDescent="0.4">
      <c r="A393" s="36">
        <v>192494</v>
      </c>
      <c r="B393">
        <v>45</v>
      </c>
      <c r="C393" s="36">
        <f t="shared" si="52"/>
        <v>225</v>
      </c>
      <c r="D393" s="1317">
        <v>0</v>
      </c>
      <c r="E393" s="1317">
        <v>0</v>
      </c>
      <c r="F393" s="1317">
        <v>0</v>
      </c>
      <c r="G393" s="1317">
        <v>1</v>
      </c>
      <c r="H393" s="1317">
        <v>1</v>
      </c>
      <c r="I393" s="1317">
        <v>1</v>
      </c>
      <c r="J393" s="1318">
        <f t="shared" si="53"/>
        <v>3</v>
      </c>
      <c r="K393" s="1318">
        <f t="shared" si="54"/>
        <v>2</v>
      </c>
      <c r="L393" s="1317">
        <f t="shared" si="55"/>
        <v>90</v>
      </c>
      <c r="M393" s="955" t="s">
        <v>3302</v>
      </c>
      <c r="N393" s="955" t="s">
        <v>3303</v>
      </c>
    </row>
    <row r="394" spans="1:14" x14ac:dyDescent="0.4">
      <c r="A394" s="36">
        <v>192495</v>
      </c>
      <c r="B394">
        <v>45</v>
      </c>
      <c r="C394" s="36">
        <f t="shared" si="52"/>
        <v>225</v>
      </c>
      <c r="D394" s="1317">
        <v>0</v>
      </c>
      <c r="E394" s="1317">
        <v>0</v>
      </c>
      <c r="F394" s="1317">
        <v>0</v>
      </c>
      <c r="G394" s="1317">
        <v>0</v>
      </c>
      <c r="H394" s="1317">
        <v>0</v>
      </c>
      <c r="I394" s="1317">
        <v>1</v>
      </c>
      <c r="J394" s="1318">
        <f t="shared" si="53"/>
        <v>1</v>
      </c>
      <c r="K394" s="1318">
        <f t="shared" si="54"/>
        <v>0</v>
      </c>
      <c r="L394" s="1317">
        <f t="shared" si="55"/>
        <v>0</v>
      </c>
      <c r="M394" s="955" t="s">
        <v>3302</v>
      </c>
      <c r="N394" s="955" t="s">
        <v>3303</v>
      </c>
    </row>
    <row r="395" spans="1:14" x14ac:dyDescent="0.4">
      <c r="A395" s="16">
        <v>192496</v>
      </c>
      <c r="B395" s="16">
        <v>45</v>
      </c>
      <c r="C395" s="16">
        <f t="shared" si="52"/>
        <v>225</v>
      </c>
      <c r="D395" s="1465">
        <v>0</v>
      </c>
      <c r="E395" s="1465">
        <v>0</v>
      </c>
      <c r="F395" s="1465">
        <v>0</v>
      </c>
      <c r="G395" s="1465">
        <v>0</v>
      </c>
      <c r="H395" s="1465">
        <v>0</v>
      </c>
      <c r="I395" s="1465">
        <v>0</v>
      </c>
      <c r="J395" s="1466">
        <f t="shared" si="53"/>
        <v>0</v>
      </c>
      <c r="K395" s="1466">
        <f t="shared" si="54"/>
        <v>0</v>
      </c>
      <c r="L395" s="1465">
        <f t="shared" si="55"/>
        <v>0</v>
      </c>
      <c r="M395" s="30" t="s">
        <v>3304</v>
      </c>
      <c r="N395" s="30" t="s">
        <v>3305</v>
      </c>
    </row>
    <row r="396" spans="1:14" x14ac:dyDescent="0.4">
      <c r="A396" s="16">
        <v>192497</v>
      </c>
      <c r="B396" s="16">
        <v>45</v>
      </c>
      <c r="C396" s="16">
        <f t="shared" si="52"/>
        <v>225</v>
      </c>
      <c r="D396" s="1628">
        <v>0</v>
      </c>
      <c r="E396" s="1628">
        <v>0</v>
      </c>
      <c r="F396" s="1628">
        <v>0</v>
      </c>
      <c r="G396" s="1628">
        <v>0</v>
      </c>
      <c r="H396" s="1628">
        <v>0</v>
      </c>
      <c r="I396" s="1628">
        <v>0</v>
      </c>
      <c r="J396" s="1630">
        <f t="shared" si="53"/>
        <v>0</v>
      </c>
      <c r="K396" s="1630">
        <f t="shared" si="54"/>
        <v>0</v>
      </c>
      <c r="L396" s="1628">
        <f t="shared" si="55"/>
        <v>0</v>
      </c>
      <c r="M396" s="30" t="s">
        <v>3306</v>
      </c>
      <c r="N396" s="30" t="s">
        <v>3307</v>
      </c>
    </row>
    <row r="397" spans="1:14" x14ac:dyDescent="0.4">
      <c r="A397" s="36">
        <v>192498</v>
      </c>
      <c r="B397">
        <v>60</v>
      </c>
      <c r="C397" s="36">
        <f t="shared" si="52"/>
        <v>300</v>
      </c>
      <c r="D397" s="1317">
        <v>0</v>
      </c>
      <c r="E397" s="1317">
        <v>0</v>
      </c>
      <c r="F397" s="1317">
        <v>0</v>
      </c>
      <c r="G397" s="1317">
        <v>1</v>
      </c>
      <c r="H397" s="1317">
        <v>1</v>
      </c>
      <c r="I397" s="1317">
        <v>1</v>
      </c>
      <c r="J397" s="1318">
        <f t="shared" si="53"/>
        <v>3</v>
      </c>
      <c r="K397" s="1318">
        <f t="shared" si="54"/>
        <v>2</v>
      </c>
      <c r="L397" s="1317">
        <f t="shared" si="55"/>
        <v>120</v>
      </c>
      <c r="M397" s="955" t="s">
        <v>3304</v>
      </c>
      <c r="N397" s="955" t="s">
        <v>3305</v>
      </c>
    </row>
    <row r="398" spans="1:14" x14ac:dyDescent="0.4">
      <c r="A398" s="16">
        <v>192499</v>
      </c>
      <c r="B398" s="16">
        <v>60</v>
      </c>
      <c r="C398" s="16">
        <f t="shared" si="52"/>
        <v>300</v>
      </c>
      <c r="D398" s="1774">
        <v>0</v>
      </c>
      <c r="E398" s="1774">
        <v>0</v>
      </c>
      <c r="F398" s="1774">
        <v>0</v>
      </c>
      <c r="G398" s="1774">
        <v>0</v>
      </c>
      <c r="H398" s="1774">
        <v>0</v>
      </c>
      <c r="I398" s="1774">
        <v>0</v>
      </c>
      <c r="J398" s="1775">
        <f t="shared" si="53"/>
        <v>0</v>
      </c>
      <c r="K398" s="1775">
        <f t="shared" si="54"/>
        <v>0</v>
      </c>
      <c r="L398" s="1774">
        <f t="shared" si="55"/>
        <v>0</v>
      </c>
      <c r="M398" s="30" t="s">
        <v>3308</v>
      </c>
      <c r="N398" s="30" t="s">
        <v>3309</v>
      </c>
    </row>
    <row r="399" spans="1:14" x14ac:dyDescent="0.4">
      <c r="A399" s="36">
        <v>192500</v>
      </c>
      <c r="B399">
        <v>45</v>
      </c>
      <c r="C399" s="36">
        <f t="shared" si="52"/>
        <v>225</v>
      </c>
      <c r="D399" s="1317">
        <v>0</v>
      </c>
      <c r="E399" s="1317">
        <v>0</v>
      </c>
      <c r="F399" s="1317">
        <v>0</v>
      </c>
      <c r="G399" s="1317">
        <v>0</v>
      </c>
      <c r="H399" s="1317">
        <v>0</v>
      </c>
      <c r="I399" s="1317">
        <v>1</v>
      </c>
      <c r="J399" s="1318">
        <f t="shared" si="53"/>
        <v>1</v>
      </c>
      <c r="K399" s="1318">
        <f t="shared" si="54"/>
        <v>0</v>
      </c>
      <c r="L399" s="1317">
        <f t="shared" si="55"/>
        <v>0</v>
      </c>
      <c r="M399" s="955" t="s">
        <v>3310</v>
      </c>
      <c r="N399" s="955" t="s">
        <v>3311</v>
      </c>
    </row>
    <row r="400" spans="1:14" x14ac:dyDescent="0.4">
      <c r="A400" s="16">
        <v>192501</v>
      </c>
      <c r="B400" s="16">
        <v>45</v>
      </c>
      <c r="C400" s="16">
        <f t="shared" si="52"/>
        <v>225</v>
      </c>
      <c r="D400" s="1688">
        <v>0</v>
      </c>
      <c r="E400" s="1688">
        <v>0</v>
      </c>
      <c r="F400" s="1688">
        <v>0</v>
      </c>
      <c r="G400" s="1688">
        <v>0</v>
      </c>
      <c r="H400" s="1688">
        <v>0</v>
      </c>
      <c r="I400" s="1688">
        <v>0</v>
      </c>
      <c r="J400" s="1689">
        <f t="shared" si="53"/>
        <v>0</v>
      </c>
      <c r="K400" s="1689">
        <f t="shared" si="54"/>
        <v>0</v>
      </c>
      <c r="L400" s="1688">
        <f t="shared" si="55"/>
        <v>0</v>
      </c>
      <c r="M400" s="30" t="s">
        <v>3313</v>
      </c>
      <c r="N400" s="30" t="s">
        <v>3314</v>
      </c>
    </row>
    <row r="401" spans="1:14" x14ac:dyDescent="0.4">
      <c r="A401" s="5">
        <v>192502</v>
      </c>
      <c r="B401" s="5">
        <v>45</v>
      </c>
      <c r="C401" s="5">
        <f t="shared" si="52"/>
        <v>225</v>
      </c>
      <c r="D401" s="1928">
        <v>0</v>
      </c>
      <c r="E401" s="1928">
        <v>0</v>
      </c>
      <c r="F401" s="1928">
        <v>0</v>
      </c>
      <c r="G401" s="1928">
        <v>0</v>
      </c>
      <c r="H401" s="1928">
        <v>0</v>
      </c>
      <c r="I401" s="1928">
        <v>0</v>
      </c>
      <c r="J401" s="1929">
        <f t="shared" si="53"/>
        <v>0</v>
      </c>
      <c r="K401" s="1929">
        <f t="shared" si="54"/>
        <v>0</v>
      </c>
      <c r="L401" s="1928">
        <f t="shared" si="55"/>
        <v>0</v>
      </c>
      <c r="M401" s="1930" t="s">
        <v>3313</v>
      </c>
      <c r="N401" s="1930" t="s">
        <v>3314</v>
      </c>
    </row>
    <row r="402" spans="1:14" x14ac:dyDescent="0.4">
      <c r="A402" s="16">
        <v>192503</v>
      </c>
      <c r="B402" s="16">
        <v>45</v>
      </c>
      <c r="C402" s="16">
        <f t="shared" si="52"/>
        <v>225</v>
      </c>
      <c r="D402" s="1839">
        <v>0</v>
      </c>
      <c r="E402" s="1839">
        <v>0</v>
      </c>
      <c r="F402" s="1839">
        <v>0</v>
      </c>
      <c r="G402" s="1839">
        <v>0</v>
      </c>
      <c r="H402" s="1839">
        <v>0</v>
      </c>
      <c r="I402" s="1839">
        <v>0</v>
      </c>
      <c r="J402" s="1840">
        <f t="shared" si="53"/>
        <v>0</v>
      </c>
      <c r="K402" s="1840">
        <f t="shared" si="54"/>
        <v>0</v>
      </c>
      <c r="L402" s="1839">
        <f t="shared" si="55"/>
        <v>0</v>
      </c>
      <c r="M402" s="30" t="s">
        <v>3313</v>
      </c>
      <c r="N402" s="30" t="s">
        <v>3314</v>
      </c>
    </row>
    <row r="403" spans="1:14" x14ac:dyDescent="0.4">
      <c r="A403" s="22">
        <v>192504</v>
      </c>
      <c r="B403" s="22">
        <v>45</v>
      </c>
      <c r="C403" s="22">
        <f t="shared" si="52"/>
        <v>225</v>
      </c>
      <c r="D403" s="557">
        <v>0</v>
      </c>
      <c r="E403" s="557">
        <v>0</v>
      </c>
      <c r="F403" s="557">
        <v>0</v>
      </c>
      <c r="G403" s="557">
        <v>0</v>
      </c>
      <c r="H403" s="557">
        <v>0</v>
      </c>
      <c r="I403" s="557">
        <v>0</v>
      </c>
      <c r="J403" s="24">
        <f t="shared" si="53"/>
        <v>0</v>
      </c>
      <c r="K403" s="24">
        <f t="shared" si="54"/>
        <v>0</v>
      </c>
      <c r="L403" s="557">
        <f t="shared" si="55"/>
        <v>0</v>
      </c>
      <c r="M403" s="29" t="s">
        <v>3313</v>
      </c>
      <c r="N403" s="29" t="s">
        <v>3314</v>
      </c>
    </row>
    <row r="404" spans="1:14" x14ac:dyDescent="0.4">
      <c r="A404" s="36">
        <v>192505</v>
      </c>
      <c r="B404">
        <v>60</v>
      </c>
      <c r="C404" s="36">
        <f t="shared" si="52"/>
        <v>300</v>
      </c>
      <c r="D404" s="1317">
        <v>0</v>
      </c>
      <c r="E404" s="1317">
        <v>0</v>
      </c>
      <c r="F404" s="1317">
        <v>0</v>
      </c>
      <c r="G404" s="1317">
        <v>0</v>
      </c>
      <c r="H404" s="1317">
        <v>1</v>
      </c>
      <c r="I404" s="1317">
        <v>1</v>
      </c>
      <c r="J404" s="1318">
        <f t="shared" si="53"/>
        <v>2</v>
      </c>
      <c r="K404" s="1318">
        <f t="shared" si="54"/>
        <v>1</v>
      </c>
      <c r="L404" s="1317">
        <f t="shared" si="55"/>
        <v>60</v>
      </c>
      <c r="M404" s="955" t="s">
        <v>3315</v>
      </c>
      <c r="N404" s="955" t="s">
        <v>3316</v>
      </c>
    </row>
    <row r="405" spans="1:14" x14ac:dyDescent="0.4">
      <c r="A405" s="16">
        <v>192506</v>
      </c>
      <c r="B405" s="16">
        <v>50</v>
      </c>
      <c r="C405" s="16">
        <f t="shared" si="52"/>
        <v>250</v>
      </c>
      <c r="D405" s="1684">
        <v>0</v>
      </c>
      <c r="E405" s="1684">
        <v>0</v>
      </c>
      <c r="F405" s="1684">
        <v>0</v>
      </c>
      <c r="G405" s="1684">
        <v>0</v>
      </c>
      <c r="H405" s="1684">
        <v>0</v>
      </c>
      <c r="I405" s="1684">
        <v>0</v>
      </c>
      <c r="J405" s="1685">
        <f t="shared" si="53"/>
        <v>0</v>
      </c>
      <c r="K405" s="1685">
        <f t="shared" si="54"/>
        <v>0</v>
      </c>
      <c r="L405" s="1684">
        <f t="shared" si="55"/>
        <v>0</v>
      </c>
      <c r="M405" s="30" t="s">
        <v>3317</v>
      </c>
      <c r="N405" s="30" t="s">
        <v>3318</v>
      </c>
    </row>
    <row r="406" spans="1:14" x14ac:dyDescent="0.4">
      <c r="A406" s="36">
        <v>192507</v>
      </c>
      <c r="B406">
        <v>60</v>
      </c>
      <c r="C406" s="36">
        <f t="shared" si="52"/>
        <v>300</v>
      </c>
      <c r="D406" s="1317">
        <v>0</v>
      </c>
      <c r="E406" s="1317">
        <v>1</v>
      </c>
      <c r="F406" s="1317">
        <v>1</v>
      </c>
      <c r="G406" s="1317">
        <v>1</v>
      </c>
      <c r="H406" s="1317">
        <v>1</v>
      </c>
      <c r="I406" s="1317">
        <v>1</v>
      </c>
      <c r="J406" s="1318">
        <f t="shared" si="53"/>
        <v>5</v>
      </c>
      <c r="K406" s="1318">
        <f t="shared" si="54"/>
        <v>4</v>
      </c>
      <c r="L406" s="1317">
        <f t="shared" si="55"/>
        <v>240</v>
      </c>
      <c r="M406" s="955" t="s">
        <v>3319</v>
      </c>
      <c r="N406" s="955" t="s">
        <v>3320</v>
      </c>
    </row>
    <row r="407" spans="1:14" x14ac:dyDescent="0.4">
      <c r="A407" s="16">
        <v>192508</v>
      </c>
      <c r="B407" s="16">
        <v>60</v>
      </c>
      <c r="C407" s="16">
        <f t="shared" si="52"/>
        <v>300</v>
      </c>
      <c r="D407" s="1817">
        <v>0</v>
      </c>
      <c r="E407" s="1817">
        <v>0</v>
      </c>
      <c r="F407" s="1817">
        <v>0</v>
      </c>
      <c r="G407" s="1817">
        <v>0</v>
      </c>
      <c r="H407" s="1817">
        <v>0</v>
      </c>
      <c r="I407" s="1817">
        <v>0</v>
      </c>
      <c r="J407" s="1818">
        <f t="shared" si="53"/>
        <v>0</v>
      </c>
      <c r="K407" s="1818">
        <f t="shared" si="54"/>
        <v>0</v>
      </c>
      <c r="L407" s="1817">
        <f t="shared" si="55"/>
        <v>0</v>
      </c>
      <c r="M407" s="30" t="s">
        <v>3319</v>
      </c>
      <c r="N407" s="30" t="s">
        <v>3320</v>
      </c>
    </row>
    <row r="408" spans="1:14" x14ac:dyDescent="0.4">
      <c r="A408" s="36">
        <v>192509</v>
      </c>
      <c r="B408">
        <v>60</v>
      </c>
      <c r="C408" s="36">
        <f t="shared" si="52"/>
        <v>300</v>
      </c>
      <c r="D408" s="1317">
        <v>0</v>
      </c>
      <c r="E408" s="1317">
        <v>0</v>
      </c>
      <c r="F408" s="1317">
        <v>0</v>
      </c>
      <c r="G408" s="1317">
        <v>1</v>
      </c>
      <c r="H408" s="1317">
        <v>1</v>
      </c>
      <c r="I408" s="1317">
        <v>1</v>
      </c>
      <c r="J408" s="1318">
        <f t="shared" si="53"/>
        <v>3</v>
      </c>
      <c r="K408" s="1318">
        <f t="shared" si="54"/>
        <v>2</v>
      </c>
      <c r="L408" s="1317">
        <f t="shared" si="55"/>
        <v>120</v>
      </c>
      <c r="M408" s="955" t="s">
        <v>3319</v>
      </c>
      <c r="N408" s="955" t="s">
        <v>3320</v>
      </c>
    </row>
    <row r="409" spans="1:14" x14ac:dyDescent="0.4">
      <c r="A409" s="36">
        <v>192510</v>
      </c>
      <c r="B409">
        <v>45</v>
      </c>
      <c r="C409" s="36">
        <f t="shared" si="52"/>
        <v>225</v>
      </c>
      <c r="D409" s="1317">
        <v>0</v>
      </c>
      <c r="E409" s="1317">
        <v>0</v>
      </c>
      <c r="F409" s="1317">
        <v>0</v>
      </c>
      <c r="G409" s="1317">
        <v>0</v>
      </c>
      <c r="H409" s="1317">
        <v>0</v>
      </c>
      <c r="I409" s="1317">
        <v>1</v>
      </c>
      <c r="J409" s="1318">
        <f t="shared" si="53"/>
        <v>1</v>
      </c>
      <c r="K409" s="1318">
        <f t="shared" si="54"/>
        <v>0</v>
      </c>
      <c r="L409" s="1317">
        <f t="shared" si="55"/>
        <v>0</v>
      </c>
      <c r="M409" s="955" t="s">
        <v>3319</v>
      </c>
      <c r="N409" s="955" t="s">
        <v>3320</v>
      </c>
    </row>
    <row r="410" spans="1:14" x14ac:dyDescent="0.4">
      <c r="A410" s="36">
        <v>192511</v>
      </c>
      <c r="B410">
        <v>60</v>
      </c>
      <c r="C410" s="36">
        <f t="shared" si="52"/>
        <v>300</v>
      </c>
      <c r="D410" s="1317">
        <v>0</v>
      </c>
      <c r="E410" s="1317">
        <v>0</v>
      </c>
      <c r="F410" s="1317">
        <v>0</v>
      </c>
      <c r="G410" s="1317">
        <v>1</v>
      </c>
      <c r="H410" s="1317">
        <v>1</v>
      </c>
      <c r="I410" s="1317">
        <v>1</v>
      </c>
      <c r="J410" s="1318">
        <f t="shared" si="53"/>
        <v>3</v>
      </c>
      <c r="K410" s="1318">
        <f t="shared" si="54"/>
        <v>2</v>
      </c>
      <c r="L410" s="1317">
        <f t="shared" si="55"/>
        <v>120</v>
      </c>
      <c r="M410" s="955" t="s">
        <v>3321</v>
      </c>
      <c r="N410" s="955" t="s">
        <v>3322</v>
      </c>
    </row>
    <row r="411" spans="1:14" x14ac:dyDescent="0.4">
      <c r="A411" s="36">
        <v>192512</v>
      </c>
      <c r="B411">
        <v>45</v>
      </c>
      <c r="C411" s="36">
        <f t="shared" si="52"/>
        <v>225</v>
      </c>
      <c r="D411" s="1317">
        <v>0</v>
      </c>
      <c r="E411" s="1317">
        <v>0</v>
      </c>
      <c r="F411" s="1317">
        <v>0</v>
      </c>
      <c r="G411" s="1317">
        <v>0</v>
      </c>
      <c r="H411" s="1317">
        <v>0</v>
      </c>
      <c r="I411" s="1317">
        <v>1</v>
      </c>
      <c r="J411" s="1318">
        <f t="shared" si="53"/>
        <v>1</v>
      </c>
      <c r="K411" s="1318">
        <f t="shared" si="54"/>
        <v>0</v>
      </c>
      <c r="L411" s="1317">
        <f t="shared" si="55"/>
        <v>0</v>
      </c>
      <c r="M411" s="955" t="s">
        <v>3321</v>
      </c>
      <c r="N411" s="955" t="s">
        <v>3322</v>
      </c>
    </row>
    <row r="412" spans="1:14" x14ac:dyDescent="0.4">
      <c r="A412" s="36">
        <v>192513</v>
      </c>
      <c r="B412">
        <v>60</v>
      </c>
      <c r="C412" s="36">
        <f t="shared" si="52"/>
        <v>300</v>
      </c>
      <c r="D412" s="1317">
        <v>0</v>
      </c>
      <c r="E412" s="1317">
        <v>1</v>
      </c>
      <c r="F412" s="1317">
        <v>1</v>
      </c>
      <c r="G412" s="1317">
        <v>1</v>
      </c>
      <c r="H412" s="1317">
        <v>1</v>
      </c>
      <c r="I412" s="1317">
        <v>1</v>
      </c>
      <c r="J412" s="1318">
        <f t="shared" si="53"/>
        <v>5</v>
      </c>
      <c r="K412" s="1318">
        <f t="shared" si="54"/>
        <v>4</v>
      </c>
      <c r="L412" s="1317">
        <f t="shared" si="55"/>
        <v>240</v>
      </c>
      <c r="M412" s="955" t="s">
        <v>3321</v>
      </c>
      <c r="N412" s="955" t="s">
        <v>3322</v>
      </c>
    </row>
    <row r="413" spans="1:14" x14ac:dyDescent="0.4">
      <c r="A413" s="36">
        <v>192514</v>
      </c>
      <c r="B413">
        <v>45</v>
      </c>
      <c r="C413" s="36">
        <f t="shared" si="52"/>
        <v>225</v>
      </c>
      <c r="D413" s="1317">
        <v>0</v>
      </c>
      <c r="E413" s="1317">
        <v>0</v>
      </c>
      <c r="F413" s="1317">
        <v>0</v>
      </c>
      <c r="G413" s="1317">
        <v>0</v>
      </c>
      <c r="H413" s="1317">
        <v>0</v>
      </c>
      <c r="I413" s="1317">
        <v>1</v>
      </c>
      <c r="J413" s="1318">
        <f t="shared" si="53"/>
        <v>1</v>
      </c>
      <c r="K413" s="1318">
        <f t="shared" si="54"/>
        <v>0</v>
      </c>
      <c r="L413" s="1317">
        <f t="shared" si="55"/>
        <v>0</v>
      </c>
      <c r="M413" s="955" t="s">
        <v>3323</v>
      </c>
      <c r="N413" s="955" t="s">
        <v>3324</v>
      </c>
    </row>
    <row r="414" spans="1:14" x14ac:dyDescent="0.4">
      <c r="A414" s="36">
        <v>192515</v>
      </c>
      <c r="B414">
        <v>45</v>
      </c>
      <c r="C414" s="36">
        <f t="shared" si="52"/>
        <v>225</v>
      </c>
      <c r="D414" s="1317">
        <v>0</v>
      </c>
      <c r="E414" s="1317">
        <v>0</v>
      </c>
      <c r="F414" s="1317">
        <v>1</v>
      </c>
      <c r="G414" s="1317">
        <v>1</v>
      </c>
      <c r="H414" s="1317">
        <v>1</v>
      </c>
      <c r="I414" s="1317">
        <v>1</v>
      </c>
      <c r="J414" s="1318">
        <f t="shared" si="53"/>
        <v>4</v>
      </c>
      <c r="K414" s="1318">
        <f t="shared" si="54"/>
        <v>3</v>
      </c>
      <c r="L414" s="1317">
        <f t="shared" si="55"/>
        <v>135</v>
      </c>
      <c r="M414" s="955" t="s">
        <v>3323</v>
      </c>
      <c r="N414" s="955" t="s">
        <v>3324</v>
      </c>
    </row>
    <row r="415" spans="1:14" x14ac:dyDescent="0.4">
      <c r="A415" s="36">
        <v>192516</v>
      </c>
      <c r="B415">
        <v>45</v>
      </c>
      <c r="C415" s="36">
        <f t="shared" si="52"/>
        <v>225</v>
      </c>
      <c r="D415" s="1317">
        <v>0</v>
      </c>
      <c r="E415" s="1317">
        <v>0</v>
      </c>
      <c r="F415" s="1317">
        <v>0</v>
      </c>
      <c r="G415" s="1317">
        <v>0</v>
      </c>
      <c r="H415" s="1317">
        <v>1</v>
      </c>
      <c r="I415" s="1317">
        <v>1</v>
      </c>
      <c r="J415" s="1318">
        <f t="shared" si="53"/>
        <v>2</v>
      </c>
      <c r="K415" s="1318">
        <f t="shared" si="54"/>
        <v>1</v>
      </c>
      <c r="L415" s="1317">
        <f t="shared" si="55"/>
        <v>45</v>
      </c>
      <c r="M415" s="955" t="s">
        <v>3323</v>
      </c>
      <c r="N415" s="955" t="s">
        <v>3324</v>
      </c>
    </row>
    <row r="416" spans="1:14" x14ac:dyDescent="0.4">
      <c r="A416" s="36">
        <v>192517</v>
      </c>
      <c r="B416">
        <v>60</v>
      </c>
      <c r="C416" s="36">
        <f t="shared" si="52"/>
        <v>300</v>
      </c>
      <c r="D416" s="1317">
        <v>0</v>
      </c>
      <c r="E416" s="1317">
        <v>0</v>
      </c>
      <c r="F416" s="1317">
        <v>0</v>
      </c>
      <c r="G416" s="1317">
        <v>0</v>
      </c>
      <c r="H416" s="1317">
        <v>0</v>
      </c>
      <c r="I416" s="1317">
        <v>1</v>
      </c>
      <c r="J416" s="1318">
        <f t="shared" si="53"/>
        <v>1</v>
      </c>
      <c r="K416" s="1318">
        <f t="shared" si="54"/>
        <v>0</v>
      </c>
      <c r="L416" s="1317">
        <f t="shared" si="55"/>
        <v>0</v>
      </c>
      <c r="M416" s="955" t="s">
        <v>3325</v>
      </c>
      <c r="N416" s="955" t="s">
        <v>3326</v>
      </c>
    </row>
    <row r="417" spans="1:14" x14ac:dyDescent="0.4">
      <c r="A417" s="36">
        <v>192518</v>
      </c>
      <c r="B417">
        <v>45</v>
      </c>
      <c r="C417" s="36">
        <f t="shared" si="52"/>
        <v>225</v>
      </c>
      <c r="D417" s="1317">
        <v>0</v>
      </c>
      <c r="E417" s="1317">
        <v>0</v>
      </c>
      <c r="F417" s="1317">
        <v>0</v>
      </c>
      <c r="G417" s="1317">
        <v>0</v>
      </c>
      <c r="H417" s="1317">
        <v>1</v>
      </c>
      <c r="I417" s="1317">
        <v>1</v>
      </c>
      <c r="J417" s="1318">
        <f t="shared" si="53"/>
        <v>2</v>
      </c>
      <c r="K417" s="1318">
        <f t="shared" si="54"/>
        <v>1</v>
      </c>
      <c r="L417" s="1317">
        <f t="shared" si="55"/>
        <v>45</v>
      </c>
      <c r="M417" s="955" t="s">
        <v>3325</v>
      </c>
      <c r="N417" s="955" t="s">
        <v>3326</v>
      </c>
    </row>
    <row r="418" spans="1:14" x14ac:dyDescent="0.4">
      <c r="A418" s="36">
        <v>192519</v>
      </c>
      <c r="B418">
        <v>60</v>
      </c>
      <c r="C418" s="36">
        <f t="shared" si="52"/>
        <v>300</v>
      </c>
      <c r="D418" s="1317">
        <v>0</v>
      </c>
      <c r="E418" s="1317">
        <v>0</v>
      </c>
      <c r="F418" s="1317">
        <v>0</v>
      </c>
      <c r="G418" s="1317">
        <v>1</v>
      </c>
      <c r="H418" s="1317">
        <v>0</v>
      </c>
      <c r="I418" s="1317">
        <v>0</v>
      </c>
      <c r="J418" s="1318">
        <f t="shared" si="53"/>
        <v>1</v>
      </c>
      <c r="K418" s="1318">
        <f t="shared" si="54"/>
        <v>1</v>
      </c>
      <c r="L418" s="1317">
        <f t="shared" si="55"/>
        <v>60</v>
      </c>
      <c r="M418" s="955" t="s">
        <v>3325</v>
      </c>
      <c r="N418" s="955" t="s">
        <v>3326</v>
      </c>
    </row>
    <row r="419" spans="1:14" x14ac:dyDescent="0.4">
      <c r="A419" s="16">
        <v>192520</v>
      </c>
      <c r="B419" s="16">
        <v>60</v>
      </c>
      <c r="C419" s="16">
        <f t="shared" ref="C419:C448" si="56">SUM(B419*5)</f>
        <v>300</v>
      </c>
      <c r="D419" s="1906">
        <v>0</v>
      </c>
      <c r="E419" s="1906">
        <v>0</v>
      </c>
      <c r="F419" s="1906">
        <v>0</v>
      </c>
      <c r="G419" s="1906">
        <v>0</v>
      </c>
      <c r="H419" s="1906">
        <v>0</v>
      </c>
      <c r="I419" s="1906">
        <v>0</v>
      </c>
      <c r="J419" s="1907">
        <f t="shared" ref="J419:J448" si="57">SUM(D419:I419)</f>
        <v>0</v>
      </c>
      <c r="K419" s="1907">
        <f t="shared" ref="K419:K448" si="58">SUM(D419:H419)</f>
        <v>0</v>
      </c>
      <c r="L419" s="1906">
        <f t="shared" ref="L419:L448" si="59">B419*K419</f>
        <v>0</v>
      </c>
      <c r="M419" s="30" t="s">
        <v>3327</v>
      </c>
      <c r="N419" s="30" t="s">
        <v>3328</v>
      </c>
    </row>
    <row r="420" spans="1:14" x14ac:dyDescent="0.4">
      <c r="A420" s="2">
        <v>192521</v>
      </c>
      <c r="B420" s="2">
        <v>60</v>
      </c>
      <c r="C420" s="2">
        <f t="shared" si="56"/>
        <v>300</v>
      </c>
      <c r="D420" s="1925">
        <v>0</v>
      </c>
      <c r="E420" s="1925">
        <v>0</v>
      </c>
      <c r="F420" s="1925">
        <v>0</v>
      </c>
      <c r="G420" s="1925">
        <v>0</v>
      </c>
      <c r="H420" s="1925">
        <v>1</v>
      </c>
      <c r="I420" s="1925">
        <v>1</v>
      </c>
      <c r="J420" s="1924">
        <f t="shared" si="57"/>
        <v>2</v>
      </c>
      <c r="K420" s="1924">
        <f t="shared" si="58"/>
        <v>1</v>
      </c>
      <c r="L420" s="1925">
        <f t="shared" si="59"/>
        <v>60</v>
      </c>
      <c r="M420" s="1944" t="s">
        <v>3327</v>
      </c>
      <c r="N420" s="1944" t="s">
        <v>3328</v>
      </c>
    </row>
    <row r="421" spans="1:14" x14ac:dyDescent="0.4">
      <c r="A421" s="36">
        <v>192522</v>
      </c>
      <c r="B421">
        <v>45</v>
      </c>
      <c r="C421" s="36">
        <f t="shared" si="56"/>
        <v>225</v>
      </c>
      <c r="D421" s="1348">
        <v>1</v>
      </c>
      <c r="E421" s="1348">
        <v>1</v>
      </c>
      <c r="F421" s="1348">
        <v>1</v>
      </c>
      <c r="G421" s="1348">
        <v>1</v>
      </c>
      <c r="H421" s="1348">
        <v>1</v>
      </c>
      <c r="I421" s="1348">
        <v>1</v>
      </c>
      <c r="J421" s="1350">
        <f t="shared" si="57"/>
        <v>6</v>
      </c>
      <c r="K421" s="1350">
        <f t="shared" si="58"/>
        <v>5</v>
      </c>
      <c r="L421" s="1348">
        <f t="shared" si="59"/>
        <v>225</v>
      </c>
      <c r="M421" s="955" t="s">
        <v>3329</v>
      </c>
      <c r="N421" s="955" t="s">
        <v>3330</v>
      </c>
    </row>
    <row r="422" spans="1:14" x14ac:dyDescent="0.4">
      <c r="A422" s="16">
        <v>192523</v>
      </c>
      <c r="B422" s="16">
        <v>60</v>
      </c>
      <c r="C422" s="16">
        <f t="shared" si="56"/>
        <v>300</v>
      </c>
      <c r="D422" s="1831">
        <v>0</v>
      </c>
      <c r="E422" s="1831">
        <v>0</v>
      </c>
      <c r="F422" s="1831">
        <v>0</v>
      </c>
      <c r="G422" s="1831">
        <v>0</v>
      </c>
      <c r="H422" s="1831">
        <v>0</v>
      </c>
      <c r="I422" s="1831">
        <v>0</v>
      </c>
      <c r="J422" s="1832">
        <f t="shared" si="57"/>
        <v>0</v>
      </c>
      <c r="K422" s="1832">
        <f t="shared" si="58"/>
        <v>0</v>
      </c>
      <c r="L422" s="1831">
        <f t="shared" si="59"/>
        <v>0</v>
      </c>
      <c r="M422" s="30" t="s">
        <v>3331</v>
      </c>
      <c r="N422" s="30" t="s">
        <v>3332</v>
      </c>
    </row>
    <row r="423" spans="1:14" x14ac:dyDescent="0.4">
      <c r="A423" s="16">
        <v>192524</v>
      </c>
      <c r="B423" s="16">
        <v>45</v>
      </c>
      <c r="C423" s="16">
        <f t="shared" si="56"/>
        <v>225</v>
      </c>
      <c r="D423" s="1743">
        <v>0</v>
      </c>
      <c r="E423" s="1743">
        <v>0</v>
      </c>
      <c r="F423" s="1743">
        <v>0</v>
      </c>
      <c r="G423" s="1743">
        <v>0</v>
      </c>
      <c r="H423" s="1743">
        <v>0</v>
      </c>
      <c r="I423" s="1743">
        <v>0</v>
      </c>
      <c r="J423" s="1744">
        <f t="shared" si="57"/>
        <v>0</v>
      </c>
      <c r="K423" s="1744">
        <f t="shared" si="58"/>
        <v>0</v>
      </c>
      <c r="L423" s="1743">
        <f t="shared" si="59"/>
        <v>0</v>
      </c>
      <c r="M423" s="30" t="s">
        <v>3333</v>
      </c>
      <c r="N423" s="30" t="s">
        <v>3334</v>
      </c>
    </row>
    <row r="424" spans="1:14" x14ac:dyDescent="0.4">
      <c r="A424" s="36">
        <v>192525</v>
      </c>
      <c r="B424">
        <v>60</v>
      </c>
      <c r="C424" s="36">
        <f t="shared" si="56"/>
        <v>300</v>
      </c>
      <c r="D424" s="1348">
        <v>0</v>
      </c>
      <c r="E424" s="1348">
        <v>1</v>
      </c>
      <c r="F424" s="1348">
        <v>1</v>
      </c>
      <c r="G424" s="1348">
        <v>1</v>
      </c>
      <c r="H424" s="1348">
        <v>1</v>
      </c>
      <c r="I424" s="1348">
        <v>1</v>
      </c>
      <c r="J424" s="1350">
        <f t="shared" si="57"/>
        <v>5</v>
      </c>
      <c r="K424" s="1350">
        <f t="shared" si="58"/>
        <v>4</v>
      </c>
      <c r="L424" s="1348">
        <f t="shared" si="59"/>
        <v>240</v>
      </c>
      <c r="M424" s="955" t="s">
        <v>3333</v>
      </c>
      <c r="N424" s="955" t="s">
        <v>3334</v>
      </c>
    </row>
    <row r="425" spans="1:14" x14ac:dyDescent="0.4">
      <c r="A425" s="36">
        <v>192526</v>
      </c>
      <c r="B425">
        <v>45</v>
      </c>
      <c r="C425" s="36">
        <f t="shared" si="56"/>
        <v>225</v>
      </c>
      <c r="D425" s="1348">
        <v>0</v>
      </c>
      <c r="E425" s="1348">
        <v>0</v>
      </c>
      <c r="F425" s="1348">
        <v>0</v>
      </c>
      <c r="G425" s="1348">
        <v>0</v>
      </c>
      <c r="H425" s="1348">
        <v>0</v>
      </c>
      <c r="I425" s="1348">
        <v>1</v>
      </c>
      <c r="J425" s="1350">
        <f t="shared" si="57"/>
        <v>1</v>
      </c>
      <c r="K425" s="1350">
        <f t="shared" si="58"/>
        <v>0</v>
      </c>
      <c r="L425" s="1348">
        <f t="shared" si="59"/>
        <v>0</v>
      </c>
      <c r="M425" s="955" t="s">
        <v>2209</v>
      </c>
      <c r="N425" s="955" t="s">
        <v>3335</v>
      </c>
    </row>
    <row r="426" spans="1:14" x14ac:dyDescent="0.4">
      <c r="A426" s="36">
        <v>192527</v>
      </c>
      <c r="B426">
        <v>45</v>
      </c>
      <c r="C426" s="36">
        <f t="shared" si="56"/>
        <v>225</v>
      </c>
      <c r="D426" s="1348">
        <v>0</v>
      </c>
      <c r="E426" s="1348">
        <v>0</v>
      </c>
      <c r="F426" s="1348">
        <v>1</v>
      </c>
      <c r="G426" s="1348">
        <v>1</v>
      </c>
      <c r="H426" s="1348">
        <v>1</v>
      </c>
      <c r="I426" s="1348">
        <v>1</v>
      </c>
      <c r="J426" s="1350">
        <f t="shared" si="57"/>
        <v>4</v>
      </c>
      <c r="K426" s="1350">
        <f t="shared" si="58"/>
        <v>3</v>
      </c>
      <c r="L426" s="1348">
        <f t="shared" si="59"/>
        <v>135</v>
      </c>
      <c r="M426" s="955" t="s">
        <v>2209</v>
      </c>
      <c r="N426" s="955" t="s">
        <v>3335</v>
      </c>
    </row>
    <row r="427" spans="1:14" x14ac:dyDescent="0.4">
      <c r="A427" s="16">
        <v>192528</v>
      </c>
      <c r="B427" s="16">
        <v>45</v>
      </c>
      <c r="C427" s="16">
        <f t="shared" si="56"/>
        <v>225</v>
      </c>
      <c r="D427" s="1398">
        <v>0</v>
      </c>
      <c r="E427" s="1398">
        <v>0</v>
      </c>
      <c r="F427" s="1398">
        <v>0</v>
      </c>
      <c r="G427" s="1398">
        <v>0</v>
      </c>
      <c r="H427" s="1398">
        <v>0</v>
      </c>
      <c r="I427" s="1398">
        <v>0</v>
      </c>
      <c r="J427" s="1399">
        <f t="shared" si="57"/>
        <v>0</v>
      </c>
      <c r="K427" s="1399">
        <f t="shared" si="58"/>
        <v>0</v>
      </c>
      <c r="L427" s="1398">
        <f t="shared" si="59"/>
        <v>0</v>
      </c>
      <c r="M427" s="30" t="s">
        <v>3336</v>
      </c>
      <c r="N427" s="30" t="s">
        <v>3337</v>
      </c>
    </row>
    <row r="428" spans="1:14" x14ac:dyDescent="0.4">
      <c r="A428" s="1">
        <v>192529</v>
      </c>
      <c r="B428" s="1">
        <v>45</v>
      </c>
      <c r="C428" s="1">
        <f t="shared" si="56"/>
        <v>225</v>
      </c>
      <c r="D428" s="1969">
        <v>0</v>
      </c>
      <c r="E428" s="1969">
        <v>0</v>
      </c>
      <c r="F428" s="1969">
        <v>0</v>
      </c>
      <c r="G428" s="1969">
        <v>0</v>
      </c>
      <c r="H428" s="1969">
        <v>0</v>
      </c>
      <c r="I428" s="1969">
        <v>0</v>
      </c>
      <c r="J428" s="1970">
        <f t="shared" si="57"/>
        <v>0</v>
      </c>
      <c r="K428" s="1970">
        <f t="shared" si="58"/>
        <v>0</v>
      </c>
      <c r="L428" s="1969">
        <f t="shared" si="59"/>
        <v>0</v>
      </c>
      <c r="M428" s="141" t="s">
        <v>3336</v>
      </c>
      <c r="N428" s="141" t="s">
        <v>3337</v>
      </c>
    </row>
    <row r="429" spans="1:14" x14ac:dyDescent="0.4">
      <c r="A429" s="36">
        <v>192530</v>
      </c>
      <c r="B429">
        <v>45</v>
      </c>
      <c r="C429" s="36">
        <f t="shared" si="56"/>
        <v>225</v>
      </c>
      <c r="D429" s="1348">
        <v>0</v>
      </c>
      <c r="E429" s="1348">
        <v>0</v>
      </c>
      <c r="F429" s="1348">
        <v>0</v>
      </c>
      <c r="G429" s="1348">
        <v>1</v>
      </c>
      <c r="H429" s="1348">
        <v>1</v>
      </c>
      <c r="I429" s="1348">
        <v>1</v>
      </c>
      <c r="J429" s="1350">
        <f t="shared" si="57"/>
        <v>3</v>
      </c>
      <c r="K429" s="1350">
        <f t="shared" si="58"/>
        <v>2</v>
      </c>
      <c r="L429" s="1348">
        <f t="shared" si="59"/>
        <v>90</v>
      </c>
      <c r="M429" s="955" t="s">
        <v>3336</v>
      </c>
      <c r="N429" s="955" t="s">
        <v>3337</v>
      </c>
    </row>
    <row r="430" spans="1:14" x14ac:dyDescent="0.4">
      <c r="A430" s="16">
        <v>192531</v>
      </c>
      <c r="B430" s="16">
        <v>45</v>
      </c>
      <c r="C430" s="16">
        <f t="shared" si="56"/>
        <v>225</v>
      </c>
      <c r="D430" s="1926">
        <v>0</v>
      </c>
      <c r="E430" s="1926">
        <v>0</v>
      </c>
      <c r="F430" s="1926">
        <v>0</v>
      </c>
      <c r="G430" s="1926">
        <v>0</v>
      </c>
      <c r="H430" s="1926">
        <v>0</v>
      </c>
      <c r="I430" s="1926">
        <v>0</v>
      </c>
      <c r="J430" s="1927">
        <f t="shared" si="57"/>
        <v>0</v>
      </c>
      <c r="K430" s="1927">
        <f t="shared" si="58"/>
        <v>0</v>
      </c>
      <c r="L430" s="1926">
        <f t="shared" si="59"/>
        <v>0</v>
      </c>
      <c r="M430" s="30" t="s">
        <v>3336</v>
      </c>
      <c r="N430" s="30" t="s">
        <v>3337</v>
      </c>
    </row>
    <row r="431" spans="1:14" x14ac:dyDescent="0.4">
      <c r="A431" s="16">
        <v>192532</v>
      </c>
      <c r="B431" s="16">
        <v>45</v>
      </c>
      <c r="C431" s="16">
        <f t="shared" si="56"/>
        <v>225</v>
      </c>
      <c r="D431" s="1606">
        <v>0</v>
      </c>
      <c r="E431" s="1606">
        <v>0</v>
      </c>
      <c r="F431" s="1606">
        <v>0</v>
      </c>
      <c r="G431" s="1606">
        <v>0</v>
      </c>
      <c r="H431" s="1606">
        <v>0</v>
      </c>
      <c r="I431" s="1606">
        <v>0</v>
      </c>
      <c r="J431" s="1607">
        <f t="shared" si="57"/>
        <v>0</v>
      </c>
      <c r="K431" s="1607">
        <f t="shared" si="58"/>
        <v>0</v>
      </c>
      <c r="L431" s="1606">
        <f t="shared" si="59"/>
        <v>0</v>
      </c>
      <c r="M431" s="30" t="s">
        <v>3338</v>
      </c>
      <c r="N431" s="30" t="s">
        <v>3339</v>
      </c>
    </row>
    <row r="432" spans="1:14" x14ac:dyDescent="0.4">
      <c r="A432" s="16">
        <v>192533</v>
      </c>
      <c r="B432" s="16">
        <v>45</v>
      </c>
      <c r="C432" s="16">
        <f t="shared" si="56"/>
        <v>225</v>
      </c>
      <c r="D432" s="1762">
        <v>0</v>
      </c>
      <c r="E432" s="1762">
        <v>0</v>
      </c>
      <c r="F432" s="1762">
        <v>0</v>
      </c>
      <c r="G432" s="1762">
        <v>0</v>
      </c>
      <c r="H432" s="1762">
        <v>0</v>
      </c>
      <c r="I432" s="1762">
        <v>0</v>
      </c>
      <c r="J432" s="1763">
        <f t="shared" si="57"/>
        <v>0</v>
      </c>
      <c r="K432" s="1763">
        <f t="shared" si="58"/>
        <v>0</v>
      </c>
      <c r="L432" s="1762">
        <f t="shared" si="59"/>
        <v>0</v>
      </c>
      <c r="M432" s="30" t="s">
        <v>3338</v>
      </c>
      <c r="N432" s="30" t="s">
        <v>3339</v>
      </c>
    </row>
    <row r="433" spans="1:14" x14ac:dyDescent="0.4">
      <c r="A433" s="16">
        <v>192534</v>
      </c>
      <c r="B433" s="16">
        <v>45</v>
      </c>
      <c r="C433" s="16">
        <f t="shared" si="56"/>
        <v>225</v>
      </c>
      <c r="D433" s="1839">
        <v>0</v>
      </c>
      <c r="E433" s="1839">
        <v>0</v>
      </c>
      <c r="F433" s="1839">
        <v>0</v>
      </c>
      <c r="G433" s="1839">
        <v>0</v>
      </c>
      <c r="H433" s="1839">
        <v>0</v>
      </c>
      <c r="I433" s="1839">
        <v>0</v>
      </c>
      <c r="J433" s="1840">
        <f t="shared" si="57"/>
        <v>0</v>
      </c>
      <c r="K433" s="1840">
        <f t="shared" si="58"/>
        <v>0</v>
      </c>
      <c r="L433" s="1839">
        <f t="shared" si="59"/>
        <v>0</v>
      </c>
      <c r="M433" s="30" t="s">
        <v>3340</v>
      </c>
      <c r="N433" s="30" t="s">
        <v>3341</v>
      </c>
    </row>
    <row r="434" spans="1:14" x14ac:dyDescent="0.4">
      <c r="A434" s="1">
        <v>192535</v>
      </c>
      <c r="B434" s="1">
        <v>45</v>
      </c>
      <c r="C434" s="1">
        <f t="shared" si="56"/>
        <v>225</v>
      </c>
      <c r="D434" s="1973">
        <v>0</v>
      </c>
      <c r="E434" s="1973">
        <v>0</v>
      </c>
      <c r="F434" s="1973">
        <v>0</v>
      </c>
      <c r="G434" s="1973">
        <v>0</v>
      </c>
      <c r="H434" s="1973">
        <v>0</v>
      </c>
      <c r="I434" s="1973">
        <v>0</v>
      </c>
      <c r="J434" s="1974">
        <f t="shared" si="57"/>
        <v>0</v>
      </c>
      <c r="K434" s="1974">
        <f t="shared" si="58"/>
        <v>0</v>
      </c>
      <c r="L434" s="1973">
        <f t="shared" si="59"/>
        <v>0</v>
      </c>
      <c r="M434" s="141" t="s">
        <v>3340</v>
      </c>
      <c r="N434" s="141" t="s">
        <v>3341</v>
      </c>
    </row>
    <row r="435" spans="1:14" x14ac:dyDescent="0.4">
      <c r="A435" s="16">
        <v>192536</v>
      </c>
      <c r="B435" s="16">
        <v>45</v>
      </c>
      <c r="C435" s="16">
        <f t="shared" si="56"/>
        <v>225</v>
      </c>
      <c r="D435" s="1453">
        <v>0</v>
      </c>
      <c r="E435" s="1453">
        <v>0</v>
      </c>
      <c r="F435" s="1453">
        <v>0</v>
      </c>
      <c r="G435" s="1453">
        <v>0</v>
      </c>
      <c r="H435" s="1453">
        <v>0</v>
      </c>
      <c r="I435" s="1453">
        <v>0</v>
      </c>
      <c r="J435" s="1454">
        <f t="shared" si="57"/>
        <v>0</v>
      </c>
      <c r="K435" s="1454">
        <f t="shared" si="58"/>
        <v>0</v>
      </c>
      <c r="L435" s="1453">
        <f t="shared" si="59"/>
        <v>0</v>
      </c>
      <c r="M435" s="30" t="s">
        <v>3342</v>
      </c>
      <c r="N435" s="30" t="s">
        <v>3343</v>
      </c>
    </row>
    <row r="436" spans="1:14" x14ac:dyDescent="0.4">
      <c r="A436" s="36">
        <v>192537</v>
      </c>
      <c r="B436">
        <v>50</v>
      </c>
      <c r="C436" s="36">
        <f t="shared" si="56"/>
        <v>250</v>
      </c>
      <c r="D436" s="1348">
        <v>0</v>
      </c>
      <c r="E436" s="1348">
        <v>0</v>
      </c>
      <c r="F436" s="1348">
        <v>0</v>
      </c>
      <c r="G436" s="1348">
        <v>0</v>
      </c>
      <c r="H436" s="1348">
        <v>1</v>
      </c>
      <c r="I436" s="1348">
        <v>1</v>
      </c>
      <c r="J436" s="1350">
        <f t="shared" si="57"/>
        <v>2</v>
      </c>
      <c r="K436" s="1350">
        <f t="shared" si="58"/>
        <v>1</v>
      </c>
      <c r="L436" s="1348">
        <f t="shared" si="59"/>
        <v>50</v>
      </c>
      <c r="M436" s="955" t="s">
        <v>3344</v>
      </c>
      <c r="N436" s="955" t="s">
        <v>3343</v>
      </c>
    </row>
    <row r="437" spans="1:14" x14ac:dyDescent="0.4">
      <c r="A437" s="36">
        <v>192538</v>
      </c>
      <c r="B437">
        <v>45</v>
      </c>
      <c r="C437" s="36">
        <f t="shared" si="56"/>
        <v>225</v>
      </c>
      <c r="D437" s="1348">
        <v>0</v>
      </c>
      <c r="E437" s="1348">
        <v>0</v>
      </c>
      <c r="F437" s="1348">
        <v>0</v>
      </c>
      <c r="G437" s="1348">
        <v>0</v>
      </c>
      <c r="H437" s="1348">
        <v>0</v>
      </c>
      <c r="I437" s="1348">
        <v>1</v>
      </c>
      <c r="J437" s="1350">
        <f t="shared" si="57"/>
        <v>1</v>
      </c>
      <c r="K437" s="1350">
        <f t="shared" si="58"/>
        <v>0</v>
      </c>
      <c r="L437" s="1348">
        <f t="shared" si="59"/>
        <v>0</v>
      </c>
      <c r="M437" s="955" t="s">
        <v>3345</v>
      </c>
      <c r="N437" s="955" t="s">
        <v>3346</v>
      </c>
    </row>
    <row r="438" spans="1:14" x14ac:dyDescent="0.4">
      <c r="A438" s="16">
        <v>192539</v>
      </c>
      <c r="B438" s="16">
        <v>45</v>
      </c>
      <c r="C438" s="16">
        <f t="shared" si="56"/>
        <v>225</v>
      </c>
      <c r="D438" s="1839">
        <v>0</v>
      </c>
      <c r="E438" s="1839">
        <v>0</v>
      </c>
      <c r="F438" s="1839">
        <v>0</v>
      </c>
      <c r="G438" s="1839">
        <v>0</v>
      </c>
      <c r="H438" s="1839">
        <v>0</v>
      </c>
      <c r="I438" s="1839">
        <v>0</v>
      </c>
      <c r="J438" s="1840">
        <f t="shared" si="57"/>
        <v>0</v>
      </c>
      <c r="K438" s="1840">
        <f t="shared" si="58"/>
        <v>0</v>
      </c>
      <c r="L438" s="1839">
        <f t="shared" si="59"/>
        <v>0</v>
      </c>
      <c r="M438" s="30" t="s">
        <v>3345</v>
      </c>
      <c r="N438" s="30" t="s">
        <v>3346</v>
      </c>
    </row>
    <row r="439" spans="1:14" x14ac:dyDescent="0.4">
      <c r="A439" s="36">
        <v>192540</v>
      </c>
      <c r="B439">
        <v>60</v>
      </c>
      <c r="C439" s="36">
        <f t="shared" si="56"/>
        <v>300</v>
      </c>
      <c r="D439" s="1348">
        <v>1</v>
      </c>
      <c r="E439" s="1348">
        <v>1</v>
      </c>
      <c r="F439" s="1348">
        <v>1</v>
      </c>
      <c r="G439" s="1348">
        <v>1</v>
      </c>
      <c r="H439" s="1348">
        <v>1</v>
      </c>
      <c r="I439" s="1348">
        <v>1</v>
      </c>
      <c r="J439" s="1350">
        <f t="shared" si="57"/>
        <v>6</v>
      </c>
      <c r="K439" s="1350">
        <f t="shared" si="58"/>
        <v>5</v>
      </c>
      <c r="L439" s="1348">
        <f t="shared" si="59"/>
        <v>300</v>
      </c>
      <c r="M439" s="955" t="s">
        <v>3347</v>
      </c>
      <c r="N439" s="955" t="s">
        <v>3348</v>
      </c>
    </row>
    <row r="440" spans="1:14" x14ac:dyDescent="0.4">
      <c r="A440" s="16">
        <v>192541</v>
      </c>
      <c r="B440" s="16">
        <v>45</v>
      </c>
      <c r="C440" s="16">
        <f t="shared" si="56"/>
        <v>225</v>
      </c>
      <c r="D440" s="1520">
        <v>0</v>
      </c>
      <c r="E440" s="1520">
        <v>0</v>
      </c>
      <c r="F440" s="1520">
        <v>0</v>
      </c>
      <c r="G440" s="1520">
        <v>0</v>
      </c>
      <c r="H440" s="1520">
        <v>0</v>
      </c>
      <c r="I440" s="1520">
        <v>0</v>
      </c>
      <c r="J440" s="1521">
        <f t="shared" si="57"/>
        <v>0</v>
      </c>
      <c r="K440" s="1521">
        <f t="shared" si="58"/>
        <v>0</v>
      </c>
      <c r="L440" s="1520">
        <f t="shared" si="59"/>
        <v>0</v>
      </c>
      <c r="M440" s="30" t="s">
        <v>2221</v>
      </c>
      <c r="N440" s="30" t="s">
        <v>3350</v>
      </c>
    </row>
    <row r="441" spans="1:14" x14ac:dyDescent="0.4">
      <c r="A441" s="1">
        <v>192542</v>
      </c>
      <c r="B441" s="1">
        <v>60</v>
      </c>
      <c r="C441" s="1">
        <f t="shared" si="56"/>
        <v>300</v>
      </c>
      <c r="D441" s="1951">
        <v>0</v>
      </c>
      <c r="E441" s="1951">
        <v>0</v>
      </c>
      <c r="F441" s="1951">
        <v>0</v>
      </c>
      <c r="G441" s="1951">
        <v>0</v>
      </c>
      <c r="H441" s="1951">
        <v>0</v>
      </c>
      <c r="I441" s="1951">
        <v>0</v>
      </c>
      <c r="J441" s="1952">
        <f t="shared" si="57"/>
        <v>0</v>
      </c>
      <c r="K441" s="1952">
        <f t="shared" si="58"/>
        <v>0</v>
      </c>
      <c r="L441" s="1951">
        <f t="shared" si="59"/>
        <v>0</v>
      </c>
      <c r="M441" s="141" t="s">
        <v>2221</v>
      </c>
      <c r="N441" s="141" t="s">
        <v>3350</v>
      </c>
    </row>
    <row r="442" spans="1:14" x14ac:dyDescent="0.4">
      <c r="A442" s="16">
        <v>192543</v>
      </c>
      <c r="B442" s="16">
        <v>60</v>
      </c>
      <c r="C442" s="16">
        <f t="shared" si="56"/>
        <v>300</v>
      </c>
      <c r="D442" s="1770">
        <v>0</v>
      </c>
      <c r="E442" s="1770">
        <v>0</v>
      </c>
      <c r="F442" s="1770">
        <v>0</v>
      </c>
      <c r="G442" s="1770">
        <v>0</v>
      </c>
      <c r="H442" s="1770">
        <v>0</v>
      </c>
      <c r="I442" s="1770">
        <v>0</v>
      </c>
      <c r="J442" s="1771">
        <f t="shared" si="57"/>
        <v>0</v>
      </c>
      <c r="K442" s="1771">
        <f t="shared" si="58"/>
        <v>0</v>
      </c>
      <c r="L442" s="1770">
        <f t="shared" si="59"/>
        <v>0</v>
      </c>
      <c r="M442" s="30" t="s">
        <v>3351</v>
      </c>
      <c r="N442" s="30" t="s">
        <v>3352</v>
      </c>
    </row>
    <row r="443" spans="1:14" x14ac:dyDescent="0.4">
      <c r="A443" s="36">
        <v>192544</v>
      </c>
      <c r="B443">
        <v>50</v>
      </c>
      <c r="C443" s="36">
        <f t="shared" si="56"/>
        <v>250</v>
      </c>
      <c r="D443" s="1348">
        <v>0</v>
      </c>
      <c r="E443" s="1348">
        <v>0</v>
      </c>
      <c r="F443" s="1348">
        <v>0</v>
      </c>
      <c r="G443" s="1348">
        <v>0</v>
      </c>
      <c r="H443" s="1348">
        <v>0</v>
      </c>
      <c r="I443" s="1348">
        <v>1</v>
      </c>
      <c r="J443" s="1350">
        <f t="shared" si="57"/>
        <v>1</v>
      </c>
      <c r="K443" s="1350">
        <f t="shared" si="58"/>
        <v>0</v>
      </c>
      <c r="L443" s="1348">
        <f t="shared" si="59"/>
        <v>0</v>
      </c>
      <c r="M443" s="955" t="s">
        <v>3351</v>
      </c>
      <c r="N443" s="955" t="s">
        <v>3352</v>
      </c>
    </row>
    <row r="444" spans="1:14" x14ac:dyDescent="0.4">
      <c r="A444" s="16">
        <v>192545</v>
      </c>
      <c r="B444" s="16">
        <v>60</v>
      </c>
      <c r="C444" s="16">
        <f t="shared" si="56"/>
        <v>300</v>
      </c>
      <c r="D444" s="1839">
        <v>0</v>
      </c>
      <c r="E444" s="1839">
        <v>0</v>
      </c>
      <c r="F444" s="1839">
        <v>0</v>
      </c>
      <c r="G444" s="1839">
        <v>0</v>
      </c>
      <c r="H444" s="1839">
        <v>0</v>
      </c>
      <c r="I444" s="1839">
        <v>0</v>
      </c>
      <c r="J444" s="1840">
        <f t="shared" si="57"/>
        <v>0</v>
      </c>
      <c r="K444" s="1840">
        <f t="shared" si="58"/>
        <v>0</v>
      </c>
      <c r="L444" s="1839">
        <f t="shared" si="59"/>
        <v>0</v>
      </c>
      <c r="M444" s="30" t="s">
        <v>3351</v>
      </c>
      <c r="N444" s="30" t="s">
        <v>3352</v>
      </c>
    </row>
    <row r="445" spans="1:14" x14ac:dyDescent="0.4">
      <c r="A445" s="36">
        <v>192546</v>
      </c>
      <c r="B445">
        <v>45</v>
      </c>
      <c r="C445" s="36">
        <f t="shared" si="56"/>
        <v>225</v>
      </c>
      <c r="D445" s="1348">
        <v>0</v>
      </c>
      <c r="E445" s="1348">
        <v>0</v>
      </c>
      <c r="F445" s="1348">
        <v>0</v>
      </c>
      <c r="G445" s="1348">
        <v>0</v>
      </c>
      <c r="H445" s="1348">
        <v>0</v>
      </c>
      <c r="I445" s="1348">
        <v>1</v>
      </c>
      <c r="J445" s="1350">
        <f t="shared" si="57"/>
        <v>1</v>
      </c>
      <c r="K445" s="1350">
        <f t="shared" si="58"/>
        <v>0</v>
      </c>
      <c r="L445" s="1348">
        <f t="shared" si="59"/>
        <v>0</v>
      </c>
      <c r="M445" s="955" t="s">
        <v>3353</v>
      </c>
      <c r="N445" s="955" t="s">
        <v>3354</v>
      </c>
    </row>
    <row r="446" spans="1:14" x14ac:dyDescent="0.4">
      <c r="A446" s="36">
        <v>192547</v>
      </c>
      <c r="B446">
        <v>60</v>
      </c>
      <c r="C446" s="36">
        <f t="shared" si="56"/>
        <v>300</v>
      </c>
      <c r="D446" s="1348">
        <v>0</v>
      </c>
      <c r="E446" s="1348">
        <v>0</v>
      </c>
      <c r="F446" s="1348">
        <v>1</v>
      </c>
      <c r="G446" s="1348">
        <v>1</v>
      </c>
      <c r="H446" s="1348">
        <v>1</v>
      </c>
      <c r="I446" s="1348">
        <v>1</v>
      </c>
      <c r="J446" s="1350">
        <f t="shared" si="57"/>
        <v>4</v>
      </c>
      <c r="K446" s="1350">
        <f t="shared" si="58"/>
        <v>3</v>
      </c>
      <c r="L446" s="1348">
        <f t="shared" si="59"/>
        <v>180</v>
      </c>
      <c r="M446" s="955" t="s">
        <v>3353</v>
      </c>
      <c r="N446" s="955" t="s">
        <v>3354</v>
      </c>
    </row>
    <row r="447" spans="1:14" x14ac:dyDescent="0.4">
      <c r="A447" s="36">
        <v>192548</v>
      </c>
      <c r="B447">
        <v>60</v>
      </c>
      <c r="C447" s="36">
        <f t="shared" si="56"/>
        <v>300</v>
      </c>
      <c r="D447" s="1348">
        <v>0</v>
      </c>
      <c r="E447" s="1348">
        <v>0</v>
      </c>
      <c r="F447" s="1348">
        <v>0</v>
      </c>
      <c r="G447" s="1348">
        <v>0</v>
      </c>
      <c r="H447" s="1348">
        <v>1</v>
      </c>
      <c r="I447" s="1348">
        <v>1</v>
      </c>
      <c r="J447" s="1350">
        <f t="shared" si="57"/>
        <v>2</v>
      </c>
      <c r="K447" s="1350">
        <f t="shared" si="58"/>
        <v>1</v>
      </c>
      <c r="L447" s="1348">
        <f t="shared" si="59"/>
        <v>60</v>
      </c>
      <c r="M447" s="955" t="s">
        <v>3355</v>
      </c>
      <c r="N447" s="955" t="s">
        <v>3356</v>
      </c>
    </row>
    <row r="448" spans="1:14" x14ac:dyDescent="0.4">
      <c r="A448" s="1">
        <v>192549</v>
      </c>
      <c r="B448" s="1">
        <v>60</v>
      </c>
      <c r="C448" s="1">
        <f t="shared" si="56"/>
        <v>300</v>
      </c>
      <c r="D448" s="1997">
        <v>0</v>
      </c>
      <c r="E448" s="1997">
        <v>0</v>
      </c>
      <c r="F448" s="1997">
        <v>0</v>
      </c>
      <c r="G448" s="1997">
        <v>0</v>
      </c>
      <c r="H448" s="1997">
        <v>0</v>
      </c>
      <c r="I448" s="1997">
        <v>0</v>
      </c>
      <c r="J448" s="1998">
        <f t="shared" si="57"/>
        <v>0</v>
      </c>
      <c r="K448" s="1998">
        <f t="shared" si="58"/>
        <v>0</v>
      </c>
      <c r="L448" s="1997">
        <f t="shared" si="59"/>
        <v>0</v>
      </c>
      <c r="M448" s="141" t="s">
        <v>3355</v>
      </c>
      <c r="N448" s="141" t="s">
        <v>3356</v>
      </c>
    </row>
    <row r="449" spans="1:14" x14ac:dyDescent="0.4">
      <c r="A449" s="16">
        <v>192550</v>
      </c>
      <c r="B449" s="16">
        <v>60</v>
      </c>
      <c r="C449" s="16">
        <f t="shared" ref="C449:C478" si="60">SUM(B449*5)</f>
        <v>300</v>
      </c>
      <c r="D449" s="1839">
        <v>0</v>
      </c>
      <c r="E449" s="1839">
        <v>0</v>
      </c>
      <c r="F449" s="1839">
        <v>0</v>
      </c>
      <c r="G449" s="1839">
        <v>0</v>
      </c>
      <c r="H449" s="1839">
        <v>0</v>
      </c>
      <c r="I449" s="1839">
        <v>0</v>
      </c>
      <c r="J449" s="1840">
        <f t="shared" ref="J449:J478" si="61">SUM(D449:I449)</f>
        <v>0</v>
      </c>
      <c r="K449" s="1840">
        <f t="shared" ref="K449:K478" si="62">SUM(D449:H449)</f>
        <v>0</v>
      </c>
      <c r="L449" s="1839">
        <f t="shared" ref="L449:L478" si="63">B449*K449</f>
        <v>0</v>
      </c>
      <c r="M449" s="30" t="s">
        <v>3355</v>
      </c>
      <c r="N449" s="30" t="s">
        <v>3356</v>
      </c>
    </row>
    <row r="450" spans="1:14" x14ac:dyDescent="0.4">
      <c r="A450" s="36">
        <v>192551</v>
      </c>
      <c r="B450">
        <v>45</v>
      </c>
      <c r="C450" s="36">
        <f t="shared" si="60"/>
        <v>225</v>
      </c>
      <c r="D450" s="1375">
        <v>0</v>
      </c>
      <c r="E450" s="1375">
        <v>1</v>
      </c>
      <c r="F450" s="1375">
        <v>1</v>
      </c>
      <c r="G450" s="1375">
        <v>1</v>
      </c>
      <c r="H450" s="1375">
        <v>1</v>
      </c>
      <c r="I450" s="1375">
        <v>1</v>
      </c>
      <c r="J450" s="1377">
        <f t="shared" si="61"/>
        <v>5</v>
      </c>
      <c r="K450" s="1377">
        <f t="shared" si="62"/>
        <v>4</v>
      </c>
      <c r="L450" s="1375">
        <f t="shared" si="63"/>
        <v>180</v>
      </c>
      <c r="M450" s="955" t="s">
        <v>3355</v>
      </c>
      <c r="N450" s="955" t="s">
        <v>3356</v>
      </c>
    </row>
    <row r="451" spans="1:14" x14ac:dyDescent="0.4">
      <c r="A451" s="793">
        <v>192552</v>
      </c>
      <c r="B451" s="793">
        <v>60</v>
      </c>
      <c r="C451" s="793">
        <f t="shared" si="60"/>
        <v>300</v>
      </c>
      <c r="D451" s="794">
        <v>0</v>
      </c>
      <c r="E451" s="794">
        <v>0</v>
      </c>
      <c r="F451" s="794">
        <v>0</v>
      </c>
      <c r="G451" s="794">
        <v>0</v>
      </c>
      <c r="H451" s="794">
        <v>0</v>
      </c>
      <c r="I451" s="794">
        <v>0</v>
      </c>
      <c r="J451" s="795">
        <f t="shared" si="61"/>
        <v>0</v>
      </c>
      <c r="K451" s="795">
        <f t="shared" si="62"/>
        <v>0</v>
      </c>
      <c r="L451" s="794">
        <f t="shared" si="63"/>
        <v>0</v>
      </c>
      <c r="M451" s="1790" t="s">
        <v>3355</v>
      </c>
      <c r="N451" s="1790" t="s">
        <v>3356</v>
      </c>
    </row>
    <row r="452" spans="1:14" x14ac:dyDescent="0.4">
      <c r="A452" s="1960">
        <v>192553</v>
      </c>
      <c r="B452" s="1960">
        <v>45</v>
      </c>
      <c r="C452" s="1960">
        <f t="shared" si="60"/>
        <v>225</v>
      </c>
      <c r="D452" s="1961">
        <v>0</v>
      </c>
      <c r="E452" s="1961">
        <v>0</v>
      </c>
      <c r="F452" s="1961">
        <v>0</v>
      </c>
      <c r="G452" s="1961">
        <v>0</v>
      </c>
      <c r="H452" s="1961">
        <v>1</v>
      </c>
      <c r="I452" s="1961">
        <v>1</v>
      </c>
      <c r="J452" s="1962">
        <f t="shared" si="61"/>
        <v>2</v>
      </c>
      <c r="K452" s="1962">
        <f t="shared" si="62"/>
        <v>1</v>
      </c>
      <c r="L452" s="1961">
        <f t="shared" si="63"/>
        <v>45</v>
      </c>
      <c r="M452" s="1963" t="s">
        <v>3357</v>
      </c>
      <c r="N452" s="1963" t="s">
        <v>3358</v>
      </c>
    </row>
    <row r="453" spans="1:14" x14ac:dyDescent="0.4">
      <c r="A453" s="16">
        <v>192554</v>
      </c>
      <c r="B453" s="16">
        <v>45</v>
      </c>
      <c r="C453" s="16">
        <f t="shared" si="60"/>
        <v>225</v>
      </c>
      <c r="D453" s="1479">
        <v>0</v>
      </c>
      <c r="E453" s="1479">
        <v>0</v>
      </c>
      <c r="F453" s="1479">
        <v>0</v>
      </c>
      <c r="G453" s="1479">
        <v>0</v>
      </c>
      <c r="H453" s="1479">
        <v>0</v>
      </c>
      <c r="I453" s="1479">
        <v>0</v>
      </c>
      <c r="J453" s="1480">
        <f t="shared" si="61"/>
        <v>0</v>
      </c>
      <c r="K453" s="1480">
        <f t="shared" si="62"/>
        <v>0</v>
      </c>
      <c r="L453" s="1479">
        <f t="shared" si="63"/>
        <v>0</v>
      </c>
      <c r="M453" s="30" t="s">
        <v>3359</v>
      </c>
      <c r="N453" s="30" t="s">
        <v>3360</v>
      </c>
    </row>
    <row r="454" spans="1:14" x14ac:dyDescent="0.4">
      <c r="A454" s="1">
        <v>192555</v>
      </c>
      <c r="B454" s="1">
        <v>60</v>
      </c>
      <c r="C454" s="1">
        <f t="shared" si="60"/>
        <v>300</v>
      </c>
      <c r="D454" s="1953">
        <v>0</v>
      </c>
      <c r="E454" s="1953">
        <v>0</v>
      </c>
      <c r="F454" s="1953">
        <v>0</v>
      </c>
      <c r="G454" s="1953">
        <v>0</v>
      </c>
      <c r="H454" s="1953">
        <v>0</v>
      </c>
      <c r="I454" s="1953">
        <v>0</v>
      </c>
      <c r="J454" s="1956">
        <f t="shared" si="61"/>
        <v>0</v>
      </c>
      <c r="K454" s="1956">
        <f t="shared" si="62"/>
        <v>0</v>
      </c>
      <c r="L454" s="1953">
        <f t="shared" si="63"/>
        <v>0</v>
      </c>
      <c r="M454" s="141" t="s">
        <v>3357</v>
      </c>
      <c r="N454" s="141" t="s">
        <v>3358</v>
      </c>
    </row>
    <row r="455" spans="1:14" x14ac:dyDescent="0.4">
      <c r="A455" s="16">
        <v>192556</v>
      </c>
      <c r="B455" s="16">
        <v>45</v>
      </c>
      <c r="C455" s="16">
        <f t="shared" si="60"/>
        <v>225</v>
      </c>
      <c r="D455" s="1688">
        <v>0</v>
      </c>
      <c r="E455" s="1688">
        <v>0</v>
      </c>
      <c r="F455" s="1688">
        <v>0</v>
      </c>
      <c r="G455" s="1688">
        <v>0</v>
      </c>
      <c r="H455" s="1688">
        <v>0</v>
      </c>
      <c r="I455" s="1688">
        <v>0</v>
      </c>
      <c r="J455" s="1689">
        <f t="shared" si="61"/>
        <v>0</v>
      </c>
      <c r="K455" s="1689">
        <f t="shared" si="62"/>
        <v>0</v>
      </c>
      <c r="L455" s="1688">
        <f t="shared" si="63"/>
        <v>0</v>
      </c>
      <c r="M455" s="30" t="s">
        <v>3357</v>
      </c>
      <c r="N455" s="30" t="s">
        <v>3358</v>
      </c>
    </row>
    <row r="456" spans="1:14" x14ac:dyDescent="0.4">
      <c r="A456" s="16">
        <v>192557</v>
      </c>
      <c r="B456" s="16">
        <v>50</v>
      </c>
      <c r="C456" s="16">
        <f t="shared" si="60"/>
        <v>250</v>
      </c>
      <c r="D456" s="1582">
        <v>0</v>
      </c>
      <c r="E456" s="1582">
        <v>0</v>
      </c>
      <c r="F456" s="1582">
        <v>0</v>
      </c>
      <c r="G456" s="1582">
        <v>0</v>
      </c>
      <c r="H456" s="1582">
        <v>0</v>
      </c>
      <c r="I456" s="1582">
        <v>0</v>
      </c>
      <c r="J456" s="1583">
        <f t="shared" si="61"/>
        <v>0</v>
      </c>
      <c r="K456" s="1583">
        <f t="shared" si="62"/>
        <v>0</v>
      </c>
      <c r="L456" s="1582">
        <f t="shared" si="63"/>
        <v>0</v>
      </c>
      <c r="M456" s="30" t="s">
        <v>3359</v>
      </c>
      <c r="N456" s="30" t="s">
        <v>3360</v>
      </c>
    </row>
    <row r="457" spans="1:14" x14ac:dyDescent="0.4">
      <c r="A457" s="1999">
        <v>192558</v>
      </c>
      <c r="B457" s="1999">
        <v>50</v>
      </c>
      <c r="C457" s="1999">
        <f t="shared" si="60"/>
        <v>250</v>
      </c>
      <c r="D457" s="2000">
        <v>0</v>
      </c>
      <c r="E457" s="2000">
        <v>0</v>
      </c>
      <c r="F457" s="2000">
        <v>0</v>
      </c>
      <c r="G457" s="2000">
        <v>0</v>
      </c>
      <c r="H457" s="2000">
        <v>0</v>
      </c>
      <c r="I457" s="2000">
        <v>0</v>
      </c>
      <c r="J457" s="2001">
        <f t="shared" si="61"/>
        <v>0</v>
      </c>
      <c r="K457" s="2001">
        <f t="shared" si="62"/>
        <v>0</v>
      </c>
      <c r="L457" s="2000">
        <f t="shared" si="63"/>
        <v>0</v>
      </c>
      <c r="M457" s="2002" t="s">
        <v>3361</v>
      </c>
      <c r="N457" s="2002" t="s">
        <v>3362</v>
      </c>
    </row>
    <row r="458" spans="1:14" x14ac:dyDescent="0.4">
      <c r="A458" s="36">
        <v>192559</v>
      </c>
      <c r="B458">
        <v>60</v>
      </c>
      <c r="C458" s="36">
        <f t="shared" si="60"/>
        <v>300</v>
      </c>
      <c r="D458" s="1375">
        <v>0</v>
      </c>
      <c r="E458" s="1375">
        <v>0</v>
      </c>
      <c r="F458" s="1375">
        <v>0</v>
      </c>
      <c r="G458" s="1375">
        <v>1</v>
      </c>
      <c r="H458" s="1375">
        <v>1</v>
      </c>
      <c r="I458" s="1375">
        <v>1</v>
      </c>
      <c r="J458" s="1377">
        <f t="shared" si="61"/>
        <v>3</v>
      </c>
      <c r="K458" s="1377">
        <f t="shared" si="62"/>
        <v>2</v>
      </c>
      <c r="L458" s="1375">
        <f t="shared" si="63"/>
        <v>120</v>
      </c>
      <c r="M458" s="955" t="s">
        <v>3359</v>
      </c>
      <c r="N458" s="955" t="s">
        <v>3360</v>
      </c>
    </row>
    <row r="459" spans="1:14" x14ac:dyDescent="0.4">
      <c r="A459" s="36">
        <v>192560</v>
      </c>
      <c r="B459">
        <v>60</v>
      </c>
      <c r="C459" s="36">
        <f t="shared" si="60"/>
        <v>300</v>
      </c>
      <c r="D459" s="1375">
        <v>0</v>
      </c>
      <c r="E459" s="1375">
        <v>0</v>
      </c>
      <c r="F459" s="1375">
        <v>0</v>
      </c>
      <c r="G459" s="1375">
        <v>1</v>
      </c>
      <c r="H459" s="1375">
        <v>1</v>
      </c>
      <c r="I459" s="1375">
        <v>1</v>
      </c>
      <c r="J459" s="1377">
        <f t="shared" si="61"/>
        <v>3</v>
      </c>
      <c r="K459" s="1377">
        <f t="shared" si="62"/>
        <v>2</v>
      </c>
      <c r="L459" s="1375">
        <f t="shared" si="63"/>
        <v>120</v>
      </c>
      <c r="M459" s="955" t="s">
        <v>3363</v>
      </c>
      <c r="N459" s="955" t="s">
        <v>3364</v>
      </c>
    </row>
    <row r="460" spans="1:14" x14ac:dyDescent="0.4">
      <c r="A460" s="16">
        <v>192561</v>
      </c>
      <c r="B460" s="16">
        <v>45</v>
      </c>
      <c r="C460" s="16">
        <f t="shared" si="60"/>
        <v>225</v>
      </c>
      <c r="D460" s="1684">
        <v>0</v>
      </c>
      <c r="E460" s="1684">
        <v>0</v>
      </c>
      <c r="F460" s="1684">
        <v>0</v>
      </c>
      <c r="G460" s="1684">
        <v>0</v>
      </c>
      <c r="H460" s="1684">
        <v>0</v>
      </c>
      <c r="I460" s="1684">
        <v>0</v>
      </c>
      <c r="J460" s="1685">
        <f t="shared" si="61"/>
        <v>0</v>
      </c>
      <c r="K460" s="1685">
        <f t="shared" si="62"/>
        <v>0</v>
      </c>
      <c r="L460" s="1684">
        <f t="shared" si="63"/>
        <v>0</v>
      </c>
      <c r="M460" s="30" t="s">
        <v>3365</v>
      </c>
      <c r="N460" s="30" t="s">
        <v>3366</v>
      </c>
    </row>
    <row r="461" spans="1:14" x14ac:dyDescent="0.4">
      <c r="A461" s="16">
        <v>192562</v>
      </c>
      <c r="B461" s="16">
        <v>60</v>
      </c>
      <c r="C461" s="16">
        <f t="shared" si="60"/>
        <v>300</v>
      </c>
      <c r="D461" s="1935">
        <v>0</v>
      </c>
      <c r="E461" s="1935">
        <v>0</v>
      </c>
      <c r="F461" s="1935">
        <v>0</v>
      </c>
      <c r="G461" s="1935">
        <v>0</v>
      </c>
      <c r="H461" s="1935">
        <v>0</v>
      </c>
      <c r="I461" s="1935">
        <v>0</v>
      </c>
      <c r="J461" s="1936">
        <f t="shared" si="61"/>
        <v>0</v>
      </c>
      <c r="K461" s="1936">
        <f t="shared" si="62"/>
        <v>0</v>
      </c>
      <c r="L461" s="1935">
        <f t="shared" si="63"/>
        <v>0</v>
      </c>
      <c r="M461" s="30" t="s">
        <v>3367</v>
      </c>
      <c r="N461" s="30" t="s">
        <v>3368</v>
      </c>
    </row>
    <row r="462" spans="1:14" x14ac:dyDescent="0.4">
      <c r="A462" s="36">
        <v>192563</v>
      </c>
      <c r="B462">
        <v>45</v>
      </c>
      <c r="C462" s="36">
        <f t="shared" si="60"/>
        <v>225</v>
      </c>
      <c r="D462" s="1375">
        <v>0</v>
      </c>
      <c r="E462" s="1375">
        <v>0</v>
      </c>
      <c r="F462" s="1375">
        <v>0</v>
      </c>
      <c r="G462" s="1375">
        <v>0</v>
      </c>
      <c r="H462" s="1375">
        <v>0</v>
      </c>
      <c r="I462" s="1375">
        <v>1</v>
      </c>
      <c r="J462" s="1377">
        <f t="shared" si="61"/>
        <v>1</v>
      </c>
      <c r="K462" s="1377">
        <f t="shared" si="62"/>
        <v>0</v>
      </c>
      <c r="L462" s="1375">
        <f t="shared" si="63"/>
        <v>0</v>
      </c>
      <c r="M462" s="955" t="s">
        <v>3369</v>
      </c>
      <c r="N462" s="955" t="s">
        <v>3370</v>
      </c>
    </row>
    <row r="463" spans="1:14" x14ac:dyDescent="0.4">
      <c r="A463" s="36">
        <v>192564</v>
      </c>
      <c r="B463">
        <v>60</v>
      </c>
      <c r="C463" s="36">
        <f t="shared" si="60"/>
        <v>300</v>
      </c>
      <c r="D463" s="1375">
        <v>0</v>
      </c>
      <c r="E463" s="1375">
        <v>0</v>
      </c>
      <c r="F463" s="1375">
        <v>1</v>
      </c>
      <c r="G463" s="1375">
        <v>1</v>
      </c>
      <c r="H463" s="1375">
        <v>1</v>
      </c>
      <c r="I463" s="1375">
        <v>1</v>
      </c>
      <c r="J463" s="1377">
        <f t="shared" si="61"/>
        <v>4</v>
      </c>
      <c r="K463" s="1377">
        <f t="shared" si="62"/>
        <v>3</v>
      </c>
      <c r="L463" s="1375">
        <f t="shared" si="63"/>
        <v>180</v>
      </c>
      <c r="M463" s="955" t="s">
        <v>3371</v>
      </c>
      <c r="N463" s="955" t="s">
        <v>3372</v>
      </c>
    </row>
    <row r="464" spans="1:14" x14ac:dyDescent="0.4">
      <c r="A464" s="359">
        <v>192565</v>
      </c>
      <c r="B464" s="359">
        <v>60</v>
      </c>
      <c r="C464" s="359">
        <f t="shared" si="60"/>
        <v>300</v>
      </c>
      <c r="D464" s="1967">
        <v>0</v>
      </c>
      <c r="E464" s="1967">
        <v>0</v>
      </c>
      <c r="F464" s="1967">
        <v>0</v>
      </c>
      <c r="G464" s="1967">
        <v>0</v>
      </c>
      <c r="H464" s="1967">
        <v>0</v>
      </c>
      <c r="I464" s="1967">
        <v>0</v>
      </c>
      <c r="J464" s="360">
        <f t="shared" si="61"/>
        <v>0</v>
      </c>
      <c r="K464" s="360">
        <f t="shared" si="62"/>
        <v>0</v>
      </c>
      <c r="L464" s="1967">
        <f t="shared" si="63"/>
        <v>0</v>
      </c>
      <c r="M464" s="1968" t="s">
        <v>3373</v>
      </c>
      <c r="N464" s="1968" t="s">
        <v>3374</v>
      </c>
    </row>
    <row r="465" spans="1:16" x14ac:dyDescent="0.4">
      <c r="A465" s="36">
        <v>192566</v>
      </c>
      <c r="B465">
        <v>45</v>
      </c>
      <c r="C465" s="36">
        <f t="shared" si="60"/>
        <v>225</v>
      </c>
      <c r="D465" s="1375">
        <v>0</v>
      </c>
      <c r="E465" s="1375">
        <v>0</v>
      </c>
      <c r="F465" s="1375">
        <v>0</v>
      </c>
      <c r="G465" s="1375">
        <v>1</v>
      </c>
      <c r="H465" s="1375">
        <v>1</v>
      </c>
      <c r="I465" s="1375">
        <v>1</v>
      </c>
      <c r="J465" s="1377">
        <f t="shared" si="61"/>
        <v>3</v>
      </c>
      <c r="K465" s="1377">
        <f t="shared" si="62"/>
        <v>2</v>
      </c>
      <c r="L465" s="1375">
        <f t="shared" si="63"/>
        <v>90</v>
      </c>
      <c r="M465" s="955" t="s">
        <v>3373</v>
      </c>
      <c r="N465" s="955" t="s">
        <v>3374</v>
      </c>
    </row>
    <row r="466" spans="1:16" x14ac:dyDescent="0.4">
      <c r="A466" s="36">
        <v>192567</v>
      </c>
      <c r="B466">
        <v>45</v>
      </c>
      <c r="C466" s="36">
        <f t="shared" si="60"/>
        <v>225</v>
      </c>
      <c r="D466" s="1375">
        <v>0</v>
      </c>
      <c r="E466" s="1375">
        <v>0</v>
      </c>
      <c r="F466" s="1375">
        <v>0</v>
      </c>
      <c r="G466" s="1375">
        <v>0</v>
      </c>
      <c r="H466" s="1375">
        <v>0</v>
      </c>
      <c r="I466" s="1375">
        <v>1</v>
      </c>
      <c r="J466" s="1377">
        <f t="shared" si="61"/>
        <v>1</v>
      </c>
      <c r="K466" s="1377">
        <f t="shared" si="62"/>
        <v>0</v>
      </c>
      <c r="L466" s="1375">
        <f t="shared" si="63"/>
        <v>0</v>
      </c>
      <c r="M466" s="955" t="s">
        <v>3376</v>
      </c>
      <c r="N466" s="955" t="s">
        <v>3377</v>
      </c>
    </row>
    <row r="467" spans="1:16" x14ac:dyDescent="0.4">
      <c r="A467" s="36">
        <v>192568</v>
      </c>
      <c r="B467">
        <v>60</v>
      </c>
      <c r="C467" s="36">
        <f t="shared" si="60"/>
        <v>300</v>
      </c>
      <c r="D467" s="1375">
        <v>0</v>
      </c>
      <c r="E467" s="1375">
        <v>0</v>
      </c>
      <c r="F467" s="1375">
        <v>1</v>
      </c>
      <c r="G467" s="1375">
        <v>1</v>
      </c>
      <c r="H467" s="1375">
        <v>1</v>
      </c>
      <c r="I467" s="1375">
        <v>1</v>
      </c>
      <c r="J467" s="1377">
        <f t="shared" si="61"/>
        <v>4</v>
      </c>
      <c r="K467" s="1377">
        <f t="shared" si="62"/>
        <v>3</v>
      </c>
      <c r="L467" s="1375">
        <f t="shared" si="63"/>
        <v>180</v>
      </c>
      <c r="M467" s="955" t="s">
        <v>3376</v>
      </c>
      <c r="N467" s="955" t="s">
        <v>3377</v>
      </c>
    </row>
    <row r="468" spans="1:16" x14ac:dyDescent="0.4">
      <c r="A468" s="22">
        <v>192569</v>
      </c>
      <c r="B468" s="22">
        <v>45</v>
      </c>
      <c r="C468" s="22">
        <f t="shared" si="60"/>
        <v>225</v>
      </c>
      <c r="D468" s="557">
        <v>0</v>
      </c>
      <c r="E468" s="557">
        <v>0</v>
      </c>
      <c r="F468" s="557">
        <v>0</v>
      </c>
      <c r="G468" s="557">
        <v>0</v>
      </c>
      <c r="H468" s="557">
        <v>0</v>
      </c>
      <c r="I468" s="557">
        <v>0</v>
      </c>
      <c r="J468" s="24">
        <f t="shared" si="61"/>
        <v>0</v>
      </c>
      <c r="K468" s="24">
        <f t="shared" si="62"/>
        <v>0</v>
      </c>
      <c r="L468" s="557">
        <f t="shared" si="63"/>
        <v>0</v>
      </c>
      <c r="M468" s="29" t="s">
        <v>3378</v>
      </c>
      <c r="N468" s="29" t="s">
        <v>3379</v>
      </c>
    </row>
    <row r="469" spans="1:16" x14ac:dyDescent="0.4">
      <c r="A469" s="36">
        <v>192570</v>
      </c>
      <c r="B469">
        <v>45</v>
      </c>
      <c r="C469" s="36">
        <f t="shared" si="60"/>
        <v>225</v>
      </c>
      <c r="D469" s="1375">
        <v>0</v>
      </c>
      <c r="E469" s="1375">
        <v>0</v>
      </c>
      <c r="F469" s="1375">
        <v>0</v>
      </c>
      <c r="G469" s="1375">
        <v>1</v>
      </c>
      <c r="H469" s="1375">
        <v>1</v>
      </c>
      <c r="I469" s="1375">
        <v>1</v>
      </c>
      <c r="J469" s="1377">
        <f t="shared" si="61"/>
        <v>3</v>
      </c>
      <c r="K469" s="1377">
        <f t="shared" si="62"/>
        <v>2</v>
      </c>
      <c r="L469" s="1375">
        <f t="shared" si="63"/>
        <v>90</v>
      </c>
      <c r="M469" s="955" t="s">
        <v>3381</v>
      </c>
      <c r="N469" s="955" t="s">
        <v>3382</v>
      </c>
    </row>
    <row r="470" spans="1:16" x14ac:dyDescent="0.4">
      <c r="A470" s="36">
        <v>192571</v>
      </c>
      <c r="B470">
        <v>45</v>
      </c>
      <c r="C470" s="36">
        <f t="shared" si="60"/>
        <v>225</v>
      </c>
      <c r="D470" s="1375">
        <v>0</v>
      </c>
      <c r="E470" s="1375">
        <v>1</v>
      </c>
      <c r="F470" s="1375">
        <v>1</v>
      </c>
      <c r="G470" s="1375">
        <v>1</v>
      </c>
      <c r="H470" s="1375">
        <v>1</v>
      </c>
      <c r="I470" s="1375">
        <v>1</v>
      </c>
      <c r="J470" s="1377">
        <f t="shared" si="61"/>
        <v>5</v>
      </c>
      <c r="K470" s="1377">
        <f t="shared" si="62"/>
        <v>4</v>
      </c>
      <c r="L470" s="1375">
        <f t="shared" si="63"/>
        <v>180</v>
      </c>
      <c r="M470" s="955" t="s">
        <v>3383</v>
      </c>
      <c r="N470" s="955" t="s">
        <v>3384</v>
      </c>
    </row>
    <row r="471" spans="1:16" x14ac:dyDescent="0.4">
      <c r="A471" s="16">
        <v>192572</v>
      </c>
      <c r="B471" s="16">
        <v>45</v>
      </c>
      <c r="C471" s="16">
        <f t="shared" si="60"/>
        <v>225</v>
      </c>
      <c r="D471" s="1780">
        <v>0</v>
      </c>
      <c r="E471" s="1780">
        <v>0</v>
      </c>
      <c r="F471" s="1780">
        <v>0</v>
      </c>
      <c r="G471" s="1780">
        <v>0</v>
      </c>
      <c r="H471" s="1780">
        <v>0</v>
      </c>
      <c r="I471" s="1780">
        <v>0</v>
      </c>
      <c r="J471" s="1781">
        <f t="shared" si="61"/>
        <v>0</v>
      </c>
      <c r="K471" s="1781">
        <f t="shared" si="62"/>
        <v>0</v>
      </c>
      <c r="L471" s="1780">
        <f t="shared" si="63"/>
        <v>0</v>
      </c>
      <c r="M471" s="30" t="s">
        <v>3383</v>
      </c>
      <c r="N471" s="30" t="s">
        <v>3384</v>
      </c>
    </row>
    <row r="472" spans="1:16" x14ac:dyDescent="0.4">
      <c r="A472" s="16">
        <v>192573</v>
      </c>
      <c r="B472" s="16">
        <v>45</v>
      </c>
      <c r="C472" s="16">
        <f t="shared" si="60"/>
        <v>225</v>
      </c>
      <c r="D472" s="1635">
        <v>0</v>
      </c>
      <c r="E472" s="1635">
        <v>0</v>
      </c>
      <c r="F472" s="1635">
        <v>0</v>
      </c>
      <c r="G472" s="1635">
        <v>0</v>
      </c>
      <c r="H472" s="1635">
        <v>0</v>
      </c>
      <c r="I472" s="1635">
        <v>0</v>
      </c>
      <c r="J472" s="1636">
        <f t="shared" si="61"/>
        <v>0</v>
      </c>
      <c r="K472" s="1636">
        <f t="shared" si="62"/>
        <v>0</v>
      </c>
      <c r="L472" s="1635">
        <f t="shared" si="63"/>
        <v>0</v>
      </c>
      <c r="M472" s="30" t="s">
        <v>3383</v>
      </c>
      <c r="N472" s="30" t="s">
        <v>3384</v>
      </c>
    </row>
    <row r="473" spans="1:16" x14ac:dyDescent="0.4">
      <c r="A473" s="16">
        <v>192574</v>
      </c>
      <c r="B473" s="16">
        <v>45</v>
      </c>
      <c r="C473" s="16">
        <f t="shared" si="60"/>
        <v>225</v>
      </c>
      <c r="D473" s="1821">
        <v>0</v>
      </c>
      <c r="E473" s="1821">
        <v>0</v>
      </c>
      <c r="F473" s="1821">
        <v>0</v>
      </c>
      <c r="G473" s="1821">
        <v>0</v>
      </c>
      <c r="H473" s="1821">
        <v>0</v>
      </c>
      <c r="I473" s="1821">
        <v>0</v>
      </c>
      <c r="J473" s="1822">
        <f t="shared" si="61"/>
        <v>0</v>
      </c>
      <c r="K473" s="1822">
        <f t="shared" si="62"/>
        <v>0</v>
      </c>
      <c r="L473" s="1821">
        <f t="shared" si="63"/>
        <v>0</v>
      </c>
      <c r="M473" s="30" t="s">
        <v>3383</v>
      </c>
      <c r="N473" s="30" t="s">
        <v>3384</v>
      </c>
    </row>
    <row r="474" spans="1:16" x14ac:dyDescent="0.4">
      <c r="A474" s="36">
        <v>192575</v>
      </c>
      <c r="B474">
        <v>60</v>
      </c>
      <c r="C474" s="36">
        <f t="shared" si="60"/>
        <v>300</v>
      </c>
      <c r="D474" s="1375">
        <v>0</v>
      </c>
      <c r="E474" s="1375">
        <v>0</v>
      </c>
      <c r="F474" s="1375">
        <v>0</v>
      </c>
      <c r="G474" s="1375">
        <v>1</v>
      </c>
      <c r="H474" s="1375">
        <v>1</v>
      </c>
      <c r="I474" s="1375">
        <v>1</v>
      </c>
      <c r="J474" s="1377">
        <f t="shared" si="61"/>
        <v>3</v>
      </c>
      <c r="K474" s="1377">
        <f t="shared" si="62"/>
        <v>2</v>
      </c>
      <c r="L474" s="1375">
        <f t="shared" si="63"/>
        <v>120</v>
      </c>
      <c r="M474" s="955" t="s">
        <v>3383</v>
      </c>
      <c r="N474" s="955" t="s">
        <v>3384</v>
      </c>
    </row>
    <row r="475" spans="1:16" x14ac:dyDescent="0.4">
      <c r="A475" s="36">
        <v>192576</v>
      </c>
      <c r="B475">
        <v>60</v>
      </c>
      <c r="C475" s="36">
        <f t="shared" si="60"/>
        <v>300</v>
      </c>
      <c r="D475" s="1375">
        <v>0</v>
      </c>
      <c r="E475" s="1375">
        <v>0</v>
      </c>
      <c r="F475" s="1375">
        <v>1</v>
      </c>
      <c r="G475" s="1375">
        <v>1</v>
      </c>
      <c r="H475" s="1375">
        <v>1</v>
      </c>
      <c r="I475" s="1375">
        <v>1</v>
      </c>
      <c r="J475" s="1377">
        <f t="shared" si="61"/>
        <v>4</v>
      </c>
      <c r="K475" s="1377">
        <f t="shared" si="62"/>
        <v>3</v>
      </c>
      <c r="L475" s="1375">
        <f t="shared" si="63"/>
        <v>180</v>
      </c>
      <c r="M475" s="955" t="s">
        <v>3383</v>
      </c>
      <c r="N475" s="955" t="s">
        <v>3384</v>
      </c>
    </row>
    <row r="476" spans="1:16" x14ac:dyDescent="0.4">
      <c r="A476" s="1993">
        <v>192577</v>
      </c>
      <c r="B476" s="1993">
        <v>60</v>
      </c>
      <c r="C476" s="1993">
        <f t="shared" si="60"/>
        <v>300</v>
      </c>
      <c r="D476" s="1994">
        <v>0</v>
      </c>
      <c r="E476" s="1994">
        <v>0</v>
      </c>
      <c r="F476" s="1994">
        <v>0</v>
      </c>
      <c r="G476" s="1994">
        <v>0</v>
      </c>
      <c r="H476" s="1994">
        <v>0</v>
      </c>
      <c r="I476" s="1994">
        <v>0</v>
      </c>
      <c r="J476" s="1995">
        <f t="shared" si="61"/>
        <v>0</v>
      </c>
      <c r="K476" s="1995">
        <f t="shared" si="62"/>
        <v>0</v>
      </c>
      <c r="L476" s="1994">
        <f t="shared" si="63"/>
        <v>0</v>
      </c>
      <c r="M476" s="1996" t="s">
        <v>3391</v>
      </c>
      <c r="N476" s="1996" t="s">
        <v>3392</v>
      </c>
    </row>
    <row r="477" spans="1:16" x14ac:dyDescent="0.4">
      <c r="A477" s="36">
        <v>192578</v>
      </c>
      <c r="B477">
        <v>45</v>
      </c>
      <c r="C477" s="36">
        <f t="shared" si="60"/>
        <v>225</v>
      </c>
      <c r="D477" s="1375">
        <v>0</v>
      </c>
      <c r="E477" s="1375">
        <v>1</v>
      </c>
      <c r="F477" s="1375">
        <v>1</v>
      </c>
      <c r="G477" s="1375">
        <v>1</v>
      </c>
      <c r="H477" s="1375">
        <v>1</v>
      </c>
      <c r="I477" s="1375">
        <v>1</v>
      </c>
      <c r="J477" s="1377">
        <f t="shared" si="61"/>
        <v>5</v>
      </c>
      <c r="K477" s="1377">
        <f t="shared" si="62"/>
        <v>4</v>
      </c>
      <c r="L477" s="1375">
        <f t="shared" si="63"/>
        <v>180</v>
      </c>
      <c r="M477" s="955" t="s">
        <v>3391</v>
      </c>
      <c r="N477" s="955" t="s">
        <v>3392</v>
      </c>
    </row>
    <row r="478" spans="1:16" x14ac:dyDescent="0.4">
      <c r="A478" s="36">
        <v>192579</v>
      </c>
      <c r="B478">
        <v>45</v>
      </c>
      <c r="C478" s="36">
        <f t="shared" si="60"/>
        <v>225</v>
      </c>
      <c r="D478" s="1375">
        <v>0</v>
      </c>
      <c r="E478" s="1375">
        <v>0</v>
      </c>
      <c r="F478" s="1375">
        <v>0</v>
      </c>
      <c r="G478" s="1375">
        <v>1</v>
      </c>
      <c r="H478" s="1375">
        <v>1</v>
      </c>
      <c r="I478" s="1375">
        <v>1</v>
      </c>
      <c r="J478" s="1377">
        <f t="shared" si="61"/>
        <v>3</v>
      </c>
      <c r="K478" s="1377">
        <f t="shared" si="62"/>
        <v>2</v>
      </c>
      <c r="L478" s="1375">
        <f t="shared" si="63"/>
        <v>90</v>
      </c>
      <c r="M478" s="955" t="s">
        <v>3391</v>
      </c>
      <c r="N478" s="955" t="s">
        <v>3392</v>
      </c>
    </row>
    <row r="479" spans="1:16" x14ac:dyDescent="0.4">
      <c r="A479" s="359" t="s">
        <v>3385</v>
      </c>
      <c r="B479" s="359">
        <v>45</v>
      </c>
      <c r="C479" s="359">
        <f t="shared" ref="C479:C483" si="64">SUM(B479*5)</f>
        <v>225</v>
      </c>
      <c r="D479" s="1403">
        <v>0</v>
      </c>
      <c r="E479" s="1403">
        <v>0</v>
      </c>
      <c r="F479" s="1403">
        <v>1</v>
      </c>
      <c r="G479" s="1403">
        <v>1</v>
      </c>
      <c r="H479" s="1403">
        <v>1</v>
      </c>
      <c r="I479" s="1403">
        <v>1</v>
      </c>
      <c r="J479" s="360">
        <f t="shared" ref="J479:J483" si="65">SUM(D479:I479)</f>
        <v>4</v>
      </c>
      <c r="K479" s="360">
        <f t="shared" ref="K479:K483" si="66">SUM(D479:H479)</f>
        <v>3</v>
      </c>
      <c r="L479" s="1403">
        <f t="shared" ref="L479:L483" si="67">B479*K479</f>
        <v>135</v>
      </c>
      <c r="M479" s="955" t="s">
        <v>3391</v>
      </c>
      <c r="N479" s="955" t="s">
        <v>3392</v>
      </c>
      <c r="O479" t="s">
        <v>3390</v>
      </c>
      <c r="P479" t="s">
        <v>3401</v>
      </c>
    </row>
    <row r="480" spans="1:16" x14ac:dyDescent="0.4">
      <c r="A480" s="359" t="s">
        <v>3386</v>
      </c>
      <c r="B480" s="359">
        <v>45</v>
      </c>
      <c r="C480" s="359">
        <f t="shared" si="64"/>
        <v>225</v>
      </c>
      <c r="D480" s="1403">
        <v>0</v>
      </c>
      <c r="E480" s="1403">
        <v>0</v>
      </c>
      <c r="F480" s="1403">
        <v>0</v>
      </c>
      <c r="G480" s="1403">
        <v>0</v>
      </c>
      <c r="H480" s="1403">
        <v>0</v>
      </c>
      <c r="I480" s="1403">
        <v>0</v>
      </c>
      <c r="J480" s="360">
        <f t="shared" si="65"/>
        <v>0</v>
      </c>
      <c r="K480" s="360">
        <f t="shared" si="66"/>
        <v>0</v>
      </c>
      <c r="L480" s="1403">
        <f t="shared" si="67"/>
        <v>0</v>
      </c>
      <c r="M480" s="955" t="s">
        <v>3393</v>
      </c>
      <c r="N480" s="955" t="s">
        <v>3394</v>
      </c>
      <c r="O480" t="s">
        <v>3390</v>
      </c>
      <c r="P480" t="s">
        <v>3401</v>
      </c>
    </row>
    <row r="481" spans="1:16" x14ac:dyDescent="0.4">
      <c r="A481" s="359" t="s">
        <v>3387</v>
      </c>
      <c r="B481" s="359">
        <v>45</v>
      </c>
      <c r="C481" s="359">
        <f t="shared" si="64"/>
        <v>225</v>
      </c>
      <c r="D481" s="1403">
        <v>0</v>
      </c>
      <c r="E481" s="1403">
        <v>0</v>
      </c>
      <c r="F481" s="1403">
        <v>0</v>
      </c>
      <c r="G481" s="1403">
        <v>0</v>
      </c>
      <c r="H481" s="1403">
        <v>0</v>
      </c>
      <c r="I481" s="1403">
        <v>0</v>
      </c>
      <c r="J481" s="360">
        <f t="shared" si="65"/>
        <v>0</v>
      </c>
      <c r="K481" s="360">
        <f t="shared" si="66"/>
        <v>0</v>
      </c>
      <c r="L481" s="1403">
        <f t="shared" si="67"/>
        <v>0</v>
      </c>
      <c r="M481" s="955" t="s">
        <v>3393</v>
      </c>
      <c r="N481" s="955" t="s">
        <v>3394</v>
      </c>
      <c r="O481" t="s">
        <v>3390</v>
      </c>
      <c r="P481" t="s">
        <v>3401</v>
      </c>
    </row>
    <row r="482" spans="1:16" x14ac:dyDescent="0.4">
      <c r="A482" s="359" t="s">
        <v>3388</v>
      </c>
      <c r="B482" s="359">
        <v>60</v>
      </c>
      <c r="C482" s="359">
        <f t="shared" si="64"/>
        <v>300</v>
      </c>
      <c r="D482" s="1403">
        <v>0</v>
      </c>
      <c r="E482" s="1403">
        <v>0</v>
      </c>
      <c r="F482" s="1403">
        <v>0</v>
      </c>
      <c r="G482" s="1403">
        <v>0</v>
      </c>
      <c r="H482" s="1403">
        <v>0</v>
      </c>
      <c r="I482" s="1403">
        <v>1</v>
      </c>
      <c r="J482" s="360">
        <f t="shared" si="65"/>
        <v>1</v>
      </c>
      <c r="K482" s="360">
        <f t="shared" si="66"/>
        <v>0</v>
      </c>
      <c r="L482" s="1403">
        <f t="shared" si="67"/>
        <v>0</v>
      </c>
      <c r="M482" s="955" t="s">
        <v>3395</v>
      </c>
      <c r="N482" s="955" t="s">
        <v>3396</v>
      </c>
      <c r="O482" t="s">
        <v>3390</v>
      </c>
      <c r="P482" t="s">
        <v>3401</v>
      </c>
    </row>
    <row r="483" spans="1:16" x14ac:dyDescent="0.4">
      <c r="A483" s="359" t="s">
        <v>3389</v>
      </c>
      <c r="B483" s="359">
        <v>60</v>
      </c>
      <c r="C483" s="359">
        <f t="shared" si="64"/>
        <v>300</v>
      </c>
      <c r="D483" s="1403">
        <v>1</v>
      </c>
      <c r="E483" s="1403">
        <v>1</v>
      </c>
      <c r="F483" s="1403">
        <v>1</v>
      </c>
      <c r="G483" s="1403">
        <v>1</v>
      </c>
      <c r="H483" s="1403">
        <v>1</v>
      </c>
      <c r="I483" s="1403">
        <v>1</v>
      </c>
      <c r="J483" s="360">
        <f t="shared" si="65"/>
        <v>6</v>
      </c>
      <c r="K483" s="360">
        <f t="shared" si="66"/>
        <v>5</v>
      </c>
      <c r="L483" s="1403">
        <f t="shared" si="67"/>
        <v>300</v>
      </c>
      <c r="M483" s="955" t="s">
        <v>3395</v>
      </c>
      <c r="N483" s="955" t="s">
        <v>3396</v>
      </c>
      <c r="O483" t="s">
        <v>3390</v>
      </c>
      <c r="P483" t="s">
        <v>3401</v>
      </c>
    </row>
    <row r="484" spans="1:16" x14ac:dyDescent="0.4">
      <c r="A484" s="16">
        <v>192580</v>
      </c>
      <c r="B484" s="16">
        <v>35</v>
      </c>
      <c r="C484" s="16">
        <f t="shared" ref="C484:C485" si="68">SUM(B484*5)</f>
        <v>175</v>
      </c>
      <c r="D484" s="1507">
        <v>0</v>
      </c>
      <c r="E484" s="1507">
        <v>0</v>
      </c>
      <c r="F484" s="1507">
        <v>0</v>
      </c>
      <c r="G484" s="1507">
        <v>0</v>
      </c>
      <c r="H484" s="1507">
        <v>0</v>
      </c>
      <c r="I484" s="1507">
        <v>0</v>
      </c>
      <c r="J484" s="1508">
        <f t="shared" ref="J484:J485" si="69">SUM(D484:I484)</f>
        <v>0</v>
      </c>
      <c r="K484" s="1508">
        <f t="shared" ref="K484:K485" si="70">SUM(D484:H484)</f>
        <v>0</v>
      </c>
      <c r="L484" s="1507">
        <f t="shared" ref="L484:L485" si="71">B484*K484</f>
        <v>0</v>
      </c>
      <c r="M484" s="30" t="s">
        <v>3397</v>
      </c>
      <c r="N484" s="30" t="s">
        <v>3398</v>
      </c>
    </row>
    <row r="485" spans="1:16" x14ac:dyDescent="0.4">
      <c r="A485" s="16">
        <v>192581</v>
      </c>
      <c r="B485" s="16">
        <v>45</v>
      </c>
      <c r="C485" s="16">
        <f t="shared" si="68"/>
        <v>225</v>
      </c>
      <c r="D485" s="1666">
        <v>0</v>
      </c>
      <c r="E485" s="1666">
        <v>0</v>
      </c>
      <c r="F485" s="1666">
        <v>0</v>
      </c>
      <c r="G485" s="1666">
        <v>0</v>
      </c>
      <c r="H485" s="1666">
        <v>0</v>
      </c>
      <c r="I485" s="1666">
        <v>0</v>
      </c>
      <c r="J485" s="1667">
        <f t="shared" si="69"/>
        <v>0</v>
      </c>
      <c r="K485" s="1667">
        <f t="shared" si="70"/>
        <v>0</v>
      </c>
      <c r="L485" s="1666">
        <f t="shared" si="71"/>
        <v>0</v>
      </c>
      <c r="M485" s="30" t="s">
        <v>3397</v>
      </c>
      <c r="N485" s="30" t="s">
        <v>3398</v>
      </c>
    </row>
    <row r="486" spans="1:16" x14ac:dyDescent="0.4">
      <c r="A486" s="16">
        <v>192582</v>
      </c>
      <c r="B486" s="16">
        <v>60</v>
      </c>
      <c r="C486" s="16">
        <f t="shared" ref="C486:C513" si="72">SUM(B486*5)</f>
        <v>300</v>
      </c>
      <c r="D486" s="1839">
        <v>0</v>
      </c>
      <c r="E486" s="1839">
        <v>0</v>
      </c>
      <c r="F486" s="1839">
        <v>0</v>
      </c>
      <c r="G486" s="1839">
        <v>0</v>
      </c>
      <c r="H486" s="1839">
        <v>0</v>
      </c>
      <c r="I486" s="1839">
        <v>0</v>
      </c>
      <c r="J486" s="1840">
        <f t="shared" ref="J486:J513" si="73">SUM(D486:I486)</f>
        <v>0</v>
      </c>
      <c r="K486" s="1840">
        <f t="shared" ref="K486:K513" si="74">SUM(D486:H486)</f>
        <v>0</v>
      </c>
      <c r="L486" s="1839">
        <f t="shared" ref="L486:L513" si="75">B486*K486</f>
        <v>0</v>
      </c>
      <c r="M486" s="30" t="s">
        <v>3399</v>
      </c>
      <c r="N486" s="30" t="s">
        <v>3400</v>
      </c>
    </row>
    <row r="487" spans="1:16" x14ac:dyDescent="0.4">
      <c r="A487" s="16">
        <v>192583</v>
      </c>
      <c r="B487" s="16">
        <v>60</v>
      </c>
      <c r="C487" s="16">
        <f t="shared" si="72"/>
        <v>300</v>
      </c>
      <c r="D487" s="1885">
        <v>0</v>
      </c>
      <c r="E487" s="1885">
        <v>0</v>
      </c>
      <c r="F487" s="1885">
        <v>0</v>
      </c>
      <c r="G487" s="1885">
        <v>0</v>
      </c>
      <c r="H487" s="1885">
        <v>0</v>
      </c>
      <c r="I487" s="1885">
        <v>0</v>
      </c>
      <c r="J487" s="1886">
        <f t="shared" si="73"/>
        <v>0</v>
      </c>
      <c r="K487" s="1886">
        <f t="shared" si="74"/>
        <v>0</v>
      </c>
      <c r="L487" s="1885">
        <f t="shared" si="75"/>
        <v>0</v>
      </c>
      <c r="M487" s="30" t="s">
        <v>3399</v>
      </c>
      <c r="N487" s="30" t="s">
        <v>3400</v>
      </c>
    </row>
    <row r="488" spans="1:16" x14ac:dyDescent="0.4">
      <c r="A488" s="36">
        <v>192584</v>
      </c>
      <c r="B488" s="36">
        <v>45</v>
      </c>
      <c r="C488" s="36">
        <f t="shared" si="72"/>
        <v>225</v>
      </c>
      <c r="D488" s="1410">
        <v>0</v>
      </c>
      <c r="E488" s="1410">
        <v>0</v>
      </c>
      <c r="F488" s="1410">
        <v>0</v>
      </c>
      <c r="G488" s="1410">
        <v>1</v>
      </c>
      <c r="H488" s="1410">
        <v>1</v>
      </c>
      <c r="I488" s="1410">
        <v>1</v>
      </c>
      <c r="J488" s="1411">
        <f t="shared" si="73"/>
        <v>3</v>
      </c>
      <c r="K488" s="1411">
        <f t="shared" si="74"/>
        <v>2</v>
      </c>
      <c r="L488" s="1410">
        <f t="shared" si="75"/>
        <v>90</v>
      </c>
      <c r="M488" s="955" t="s">
        <v>3402</v>
      </c>
      <c r="N488" s="955" t="s">
        <v>3403</v>
      </c>
    </row>
    <row r="489" spans="1:16" x14ac:dyDescent="0.4">
      <c r="A489" s="16">
        <v>192585</v>
      </c>
      <c r="B489" s="16">
        <v>45</v>
      </c>
      <c r="C489" s="16">
        <f t="shared" si="72"/>
        <v>225</v>
      </c>
      <c r="D489" s="1908">
        <v>0</v>
      </c>
      <c r="E489" s="1908">
        <v>0</v>
      </c>
      <c r="F489" s="1908">
        <v>0</v>
      </c>
      <c r="G489" s="1908">
        <v>0</v>
      </c>
      <c r="H489" s="1908">
        <v>0</v>
      </c>
      <c r="I489" s="1908">
        <v>1</v>
      </c>
      <c r="J489" s="1909">
        <f t="shared" si="73"/>
        <v>1</v>
      </c>
      <c r="K489" s="1909">
        <f t="shared" si="74"/>
        <v>0</v>
      </c>
      <c r="L489" s="1908">
        <f t="shared" si="75"/>
        <v>0</v>
      </c>
      <c r="M489" s="30" t="s">
        <v>3402</v>
      </c>
      <c r="N489" s="30" t="s">
        <v>3403</v>
      </c>
    </row>
    <row r="490" spans="1:16" x14ac:dyDescent="0.4">
      <c r="A490" s="16">
        <v>192586</v>
      </c>
      <c r="B490" s="16">
        <v>60</v>
      </c>
      <c r="C490" s="16">
        <f t="shared" si="72"/>
        <v>300</v>
      </c>
      <c r="D490" s="1893">
        <v>0</v>
      </c>
      <c r="E490" s="1893">
        <v>0</v>
      </c>
      <c r="F490" s="1893">
        <v>0</v>
      </c>
      <c r="G490" s="1893">
        <v>0</v>
      </c>
      <c r="H490" s="1893">
        <v>0</v>
      </c>
      <c r="I490" s="1893">
        <v>0</v>
      </c>
      <c r="J490" s="1894">
        <f t="shared" si="73"/>
        <v>0</v>
      </c>
      <c r="K490" s="1894">
        <f t="shared" si="74"/>
        <v>0</v>
      </c>
      <c r="L490" s="1893">
        <f t="shared" si="75"/>
        <v>0</v>
      </c>
      <c r="M490" s="30" t="s">
        <v>3402</v>
      </c>
      <c r="N490" s="30" t="s">
        <v>3403</v>
      </c>
    </row>
    <row r="491" spans="1:16" x14ac:dyDescent="0.4">
      <c r="A491" s="1034">
        <v>192587</v>
      </c>
      <c r="B491" s="1034">
        <v>60</v>
      </c>
      <c r="C491" s="1034">
        <f t="shared" si="72"/>
        <v>300</v>
      </c>
      <c r="D491" s="1035">
        <v>0</v>
      </c>
      <c r="E491" s="1035">
        <v>0</v>
      </c>
      <c r="F491" s="1035">
        <v>0</v>
      </c>
      <c r="G491" s="1035">
        <v>0</v>
      </c>
      <c r="H491" s="1035">
        <v>0</v>
      </c>
      <c r="I491" s="1035">
        <v>0</v>
      </c>
      <c r="J491" s="1036">
        <f t="shared" si="73"/>
        <v>0</v>
      </c>
      <c r="K491" s="1036">
        <f t="shared" si="74"/>
        <v>0</v>
      </c>
      <c r="L491" s="1035">
        <f t="shared" si="75"/>
        <v>0</v>
      </c>
      <c r="M491" s="1957" t="s">
        <v>3402</v>
      </c>
      <c r="N491" s="1957" t="s">
        <v>3403</v>
      </c>
    </row>
    <row r="492" spans="1:16" x14ac:dyDescent="0.4">
      <c r="A492" s="22">
        <v>192588</v>
      </c>
      <c r="B492" s="22">
        <v>60</v>
      </c>
      <c r="C492" s="22">
        <f t="shared" si="72"/>
        <v>300</v>
      </c>
      <c r="D492" s="557">
        <v>0</v>
      </c>
      <c r="E492" s="557">
        <v>0</v>
      </c>
      <c r="F492" s="557">
        <v>0</v>
      </c>
      <c r="G492" s="557">
        <v>0</v>
      </c>
      <c r="H492" s="557">
        <v>0</v>
      </c>
      <c r="I492" s="557">
        <v>0</v>
      </c>
      <c r="J492" s="24">
        <f t="shared" si="73"/>
        <v>0</v>
      </c>
      <c r="K492" s="24">
        <f t="shared" si="74"/>
        <v>0</v>
      </c>
      <c r="L492" s="557">
        <f t="shared" si="75"/>
        <v>0</v>
      </c>
      <c r="M492" s="29" t="s">
        <v>3404</v>
      </c>
      <c r="N492" s="29" t="s">
        <v>3405</v>
      </c>
    </row>
    <row r="493" spans="1:16" x14ac:dyDescent="0.4">
      <c r="A493" s="36">
        <v>192589</v>
      </c>
      <c r="B493">
        <v>60</v>
      </c>
      <c r="C493" s="36">
        <f t="shared" si="72"/>
        <v>300</v>
      </c>
      <c r="D493" s="1410">
        <v>0</v>
      </c>
      <c r="E493" s="1410">
        <v>0</v>
      </c>
      <c r="F493" s="1410">
        <v>0</v>
      </c>
      <c r="G493" s="1410">
        <v>0</v>
      </c>
      <c r="H493" s="1410">
        <v>0</v>
      </c>
      <c r="I493" s="1410">
        <v>1</v>
      </c>
      <c r="J493" s="1411">
        <f t="shared" si="73"/>
        <v>1</v>
      </c>
      <c r="K493" s="1411">
        <f t="shared" si="74"/>
        <v>0</v>
      </c>
      <c r="L493" s="1410">
        <f t="shared" si="75"/>
        <v>0</v>
      </c>
      <c r="M493" s="955" t="s">
        <v>3404</v>
      </c>
      <c r="N493" s="955" t="s">
        <v>3405</v>
      </c>
    </row>
    <row r="494" spans="1:16" x14ac:dyDescent="0.4">
      <c r="A494" s="36">
        <v>192590</v>
      </c>
      <c r="B494">
        <v>45</v>
      </c>
      <c r="C494" s="36">
        <f t="shared" si="72"/>
        <v>225</v>
      </c>
      <c r="D494" s="1410">
        <v>0</v>
      </c>
      <c r="E494" s="1410">
        <v>1</v>
      </c>
      <c r="F494" s="1410">
        <v>1</v>
      </c>
      <c r="G494" s="1410">
        <v>1</v>
      </c>
      <c r="H494" s="1410">
        <v>1</v>
      </c>
      <c r="I494" s="1410">
        <v>1</v>
      </c>
      <c r="J494" s="1411">
        <f t="shared" si="73"/>
        <v>5</v>
      </c>
      <c r="K494" s="1411">
        <f t="shared" si="74"/>
        <v>4</v>
      </c>
      <c r="L494" s="1410">
        <f t="shared" si="75"/>
        <v>180</v>
      </c>
      <c r="M494" s="955" t="s">
        <v>3404</v>
      </c>
      <c r="N494" s="955" t="s">
        <v>3405</v>
      </c>
    </row>
    <row r="495" spans="1:16" x14ac:dyDescent="0.4">
      <c r="A495" s="36">
        <v>192591</v>
      </c>
      <c r="B495">
        <v>60</v>
      </c>
      <c r="C495" s="36">
        <f t="shared" si="72"/>
        <v>300</v>
      </c>
      <c r="D495" s="1410">
        <v>0</v>
      </c>
      <c r="E495" s="1410">
        <v>0</v>
      </c>
      <c r="F495" s="1410">
        <v>0</v>
      </c>
      <c r="G495" s="1410">
        <v>0</v>
      </c>
      <c r="H495" s="1410">
        <v>1</v>
      </c>
      <c r="I495" s="1410">
        <v>1</v>
      </c>
      <c r="J495" s="1411">
        <f t="shared" si="73"/>
        <v>2</v>
      </c>
      <c r="K495" s="1411">
        <f t="shared" si="74"/>
        <v>1</v>
      </c>
      <c r="L495" s="1410">
        <f t="shared" si="75"/>
        <v>60</v>
      </c>
      <c r="M495" s="955" t="s">
        <v>3404</v>
      </c>
      <c r="N495" s="955" t="s">
        <v>3405</v>
      </c>
    </row>
    <row r="496" spans="1:16" x14ac:dyDescent="0.4">
      <c r="A496" s="1">
        <v>192592</v>
      </c>
      <c r="B496" s="1">
        <v>60</v>
      </c>
      <c r="C496" s="1">
        <f t="shared" si="72"/>
        <v>300</v>
      </c>
      <c r="D496" s="2019">
        <v>0</v>
      </c>
      <c r="E496" s="2019">
        <v>0</v>
      </c>
      <c r="F496" s="2019">
        <v>0</v>
      </c>
      <c r="G496" s="2019">
        <v>0</v>
      </c>
      <c r="H496" s="2019">
        <v>0</v>
      </c>
      <c r="I496" s="2019">
        <v>0</v>
      </c>
      <c r="J496" s="2020">
        <f t="shared" si="73"/>
        <v>0</v>
      </c>
      <c r="K496" s="2020">
        <f t="shared" si="74"/>
        <v>0</v>
      </c>
      <c r="L496" s="2019">
        <f t="shared" si="75"/>
        <v>0</v>
      </c>
      <c r="M496" s="141" t="s">
        <v>3407</v>
      </c>
      <c r="N496" s="141" t="s">
        <v>3408</v>
      </c>
    </row>
    <row r="497" spans="1:16" x14ac:dyDescent="0.4">
      <c r="A497" s="16">
        <v>192593</v>
      </c>
      <c r="B497" s="16">
        <v>45</v>
      </c>
      <c r="C497" s="16">
        <f t="shared" si="72"/>
        <v>225</v>
      </c>
      <c r="D497" s="1575">
        <v>0</v>
      </c>
      <c r="E497" s="1575">
        <v>0</v>
      </c>
      <c r="F497" s="1575">
        <v>0</v>
      </c>
      <c r="G497" s="1575">
        <v>0</v>
      </c>
      <c r="H497" s="1575">
        <v>0</v>
      </c>
      <c r="I497" s="1575">
        <v>0</v>
      </c>
      <c r="J497" s="1576">
        <f t="shared" si="73"/>
        <v>0</v>
      </c>
      <c r="K497" s="1576">
        <f t="shared" si="74"/>
        <v>0</v>
      </c>
      <c r="L497" s="1575">
        <f t="shared" si="75"/>
        <v>0</v>
      </c>
      <c r="M497" s="30" t="s">
        <v>3407</v>
      </c>
      <c r="N497" s="30" t="s">
        <v>3408</v>
      </c>
    </row>
    <row r="498" spans="1:16" x14ac:dyDescent="0.4">
      <c r="A498" s="36">
        <v>192594</v>
      </c>
      <c r="B498">
        <v>45</v>
      </c>
      <c r="C498" s="36">
        <f t="shared" si="72"/>
        <v>225</v>
      </c>
      <c r="D498" s="1410">
        <v>0</v>
      </c>
      <c r="E498" s="1410">
        <v>0</v>
      </c>
      <c r="F498" s="1410">
        <v>0</v>
      </c>
      <c r="G498" s="1410">
        <v>1</v>
      </c>
      <c r="H498" s="1410">
        <v>1</v>
      </c>
      <c r="I498" s="1410">
        <v>1</v>
      </c>
      <c r="J498" s="1411">
        <f t="shared" si="73"/>
        <v>3</v>
      </c>
      <c r="K498" s="1411">
        <f t="shared" si="74"/>
        <v>2</v>
      </c>
      <c r="L498" s="1410">
        <f t="shared" si="75"/>
        <v>90</v>
      </c>
      <c r="M498" s="955" t="s">
        <v>3409</v>
      </c>
      <c r="N498" s="955" t="s">
        <v>3410</v>
      </c>
    </row>
    <row r="499" spans="1:16" x14ac:dyDescent="0.4">
      <c r="A499" s="36">
        <v>192595</v>
      </c>
      <c r="B499">
        <v>45</v>
      </c>
      <c r="C499" s="36">
        <f t="shared" si="72"/>
        <v>225</v>
      </c>
      <c r="D499" s="1410">
        <v>0</v>
      </c>
      <c r="E499" s="1410">
        <v>0</v>
      </c>
      <c r="F499" s="1410">
        <v>0</v>
      </c>
      <c r="G499" s="1410">
        <v>0</v>
      </c>
      <c r="H499" s="1410">
        <v>0</v>
      </c>
      <c r="I499" s="1410">
        <v>1</v>
      </c>
      <c r="J499" s="1411">
        <f t="shared" si="73"/>
        <v>1</v>
      </c>
      <c r="K499" s="1411">
        <f t="shared" si="74"/>
        <v>0</v>
      </c>
      <c r="L499" s="1410">
        <f t="shared" si="75"/>
        <v>0</v>
      </c>
      <c r="M499" s="955" t="s">
        <v>3411</v>
      </c>
      <c r="N499" s="955" t="s">
        <v>3412</v>
      </c>
    </row>
    <row r="500" spans="1:16" x14ac:dyDescent="0.4">
      <c r="A500" s="36">
        <v>192596</v>
      </c>
      <c r="B500">
        <v>45</v>
      </c>
      <c r="C500" s="36">
        <f t="shared" si="72"/>
        <v>225</v>
      </c>
      <c r="D500" s="1410">
        <v>0</v>
      </c>
      <c r="E500" s="1410">
        <v>1</v>
      </c>
      <c r="F500" s="1410">
        <v>1</v>
      </c>
      <c r="G500" s="1410">
        <v>1</v>
      </c>
      <c r="H500" s="1410">
        <v>1</v>
      </c>
      <c r="I500" s="1410">
        <v>1</v>
      </c>
      <c r="J500" s="1411">
        <f t="shared" si="73"/>
        <v>5</v>
      </c>
      <c r="K500" s="1411">
        <f t="shared" si="74"/>
        <v>4</v>
      </c>
      <c r="L500" s="1410">
        <f t="shared" si="75"/>
        <v>180</v>
      </c>
      <c r="M500" s="955" t="s">
        <v>3413</v>
      </c>
      <c r="N500" s="955" t="s">
        <v>3414</v>
      </c>
    </row>
    <row r="501" spans="1:16" x14ac:dyDescent="0.4">
      <c r="A501" s="36">
        <v>192597</v>
      </c>
      <c r="B501">
        <v>45</v>
      </c>
      <c r="C501" s="36">
        <f t="shared" si="72"/>
        <v>225</v>
      </c>
      <c r="D501" s="1410">
        <v>0</v>
      </c>
      <c r="E501" s="1410">
        <v>0</v>
      </c>
      <c r="F501" s="1410">
        <v>1</v>
      </c>
      <c r="G501" s="1410">
        <v>1</v>
      </c>
      <c r="H501" s="1410">
        <v>1</v>
      </c>
      <c r="I501" s="1410">
        <v>1</v>
      </c>
      <c r="J501" s="1411">
        <f t="shared" si="73"/>
        <v>4</v>
      </c>
      <c r="K501" s="1411">
        <f t="shared" si="74"/>
        <v>3</v>
      </c>
      <c r="L501" s="1410">
        <f t="shared" si="75"/>
        <v>135</v>
      </c>
      <c r="M501" s="955" t="s">
        <v>3416</v>
      </c>
      <c r="N501" s="955" t="s">
        <v>3415</v>
      </c>
    </row>
    <row r="502" spans="1:16" x14ac:dyDescent="0.4">
      <c r="A502" s="16">
        <v>192598</v>
      </c>
      <c r="B502" s="16">
        <v>45</v>
      </c>
      <c r="C502" s="16">
        <f t="shared" si="72"/>
        <v>225</v>
      </c>
      <c r="D502" s="1734">
        <v>0</v>
      </c>
      <c r="E502" s="1734">
        <v>0</v>
      </c>
      <c r="F502" s="1734">
        <v>0</v>
      </c>
      <c r="G502" s="1734">
        <v>0</v>
      </c>
      <c r="H502" s="1734">
        <v>0</v>
      </c>
      <c r="I502" s="1734">
        <v>0</v>
      </c>
      <c r="J502" s="1735">
        <f t="shared" si="73"/>
        <v>0</v>
      </c>
      <c r="K502" s="1735">
        <f t="shared" si="74"/>
        <v>0</v>
      </c>
      <c r="L502" s="1734">
        <f t="shared" si="75"/>
        <v>0</v>
      </c>
      <c r="M502" s="30" t="s">
        <v>3416</v>
      </c>
      <c r="N502" s="30" t="s">
        <v>3415</v>
      </c>
    </row>
    <row r="503" spans="1:16" x14ac:dyDescent="0.4">
      <c r="A503" s="36">
        <v>192599</v>
      </c>
      <c r="B503">
        <v>45</v>
      </c>
      <c r="C503" s="36">
        <f t="shared" si="72"/>
        <v>225</v>
      </c>
      <c r="D503" s="1410">
        <v>0</v>
      </c>
      <c r="E503" s="1410">
        <v>0</v>
      </c>
      <c r="F503" s="1410">
        <v>1</v>
      </c>
      <c r="G503" s="1410">
        <v>1</v>
      </c>
      <c r="H503" s="1410">
        <v>1</v>
      </c>
      <c r="I503" s="1410">
        <v>1</v>
      </c>
      <c r="J503" s="1411">
        <f t="shared" si="73"/>
        <v>4</v>
      </c>
      <c r="K503" s="1411">
        <f t="shared" si="74"/>
        <v>3</v>
      </c>
      <c r="L503" s="1410">
        <f t="shared" si="75"/>
        <v>135</v>
      </c>
      <c r="M503" s="955" t="s">
        <v>3416</v>
      </c>
      <c r="N503" s="955" t="s">
        <v>3415</v>
      </c>
    </row>
    <row r="504" spans="1:16" x14ac:dyDescent="0.4">
      <c r="A504" s="36">
        <v>192600</v>
      </c>
      <c r="B504">
        <v>120</v>
      </c>
      <c r="C504" s="36">
        <f t="shared" si="72"/>
        <v>600</v>
      </c>
      <c r="D504" s="1410">
        <v>0</v>
      </c>
      <c r="E504" s="1410">
        <v>0</v>
      </c>
      <c r="F504" s="1410">
        <v>0</v>
      </c>
      <c r="G504" s="1410">
        <v>1</v>
      </c>
      <c r="H504" s="1410">
        <v>1</v>
      </c>
      <c r="I504" s="1410">
        <v>1</v>
      </c>
      <c r="J504" s="1411">
        <f t="shared" si="73"/>
        <v>3</v>
      </c>
      <c r="K504" s="1411">
        <f t="shared" si="74"/>
        <v>2</v>
      </c>
      <c r="L504" s="1410">
        <f t="shared" si="75"/>
        <v>240</v>
      </c>
      <c r="M504" s="955" t="s">
        <v>3416</v>
      </c>
      <c r="N504" s="955" t="s">
        <v>3415</v>
      </c>
    </row>
    <row r="505" spans="1:16" x14ac:dyDescent="0.4">
      <c r="A505" s="36">
        <v>192601</v>
      </c>
      <c r="B505">
        <v>45</v>
      </c>
      <c r="C505" s="36">
        <f t="shared" si="72"/>
        <v>225</v>
      </c>
      <c r="D505" s="1410">
        <v>0</v>
      </c>
      <c r="E505" s="1410">
        <v>0</v>
      </c>
      <c r="F505" s="1410">
        <v>0</v>
      </c>
      <c r="G505" s="1410">
        <v>0</v>
      </c>
      <c r="H505" s="1410">
        <v>1</v>
      </c>
      <c r="I505" s="1410">
        <v>1</v>
      </c>
      <c r="J505" s="1411">
        <f t="shared" si="73"/>
        <v>2</v>
      </c>
      <c r="K505" s="1411">
        <f t="shared" si="74"/>
        <v>1</v>
      </c>
      <c r="L505" s="1410">
        <f t="shared" si="75"/>
        <v>45</v>
      </c>
      <c r="M505" s="955" t="s">
        <v>3416</v>
      </c>
      <c r="N505" s="955" t="s">
        <v>3415</v>
      </c>
    </row>
    <row r="506" spans="1:16" x14ac:dyDescent="0.4">
      <c r="A506" s="16">
        <v>192602</v>
      </c>
      <c r="B506" s="16">
        <v>45</v>
      </c>
      <c r="C506" s="16">
        <f t="shared" si="72"/>
        <v>225</v>
      </c>
      <c r="D506" s="1471">
        <v>0</v>
      </c>
      <c r="E506" s="1471">
        <v>0</v>
      </c>
      <c r="F506" s="1471">
        <v>0</v>
      </c>
      <c r="G506" s="1471">
        <v>0</v>
      </c>
      <c r="H506" s="1471">
        <v>0</v>
      </c>
      <c r="I506" s="1471">
        <v>0</v>
      </c>
      <c r="J506" s="1472">
        <f t="shared" si="73"/>
        <v>0</v>
      </c>
      <c r="K506" s="1472">
        <f t="shared" si="74"/>
        <v>0</v>
      </c>
      <c r="L506" s="1471">
        <f t="shared" si="75"/>
        <v>0</v>
      </c>
      <c r="M506" s="30" t="s">
        <v>3418</v>
      </c>
      <c r="N506" s="30" t="s">
        <v>3419</v>
      </c>
    </row>
    <row r="507" spans="1:16" x14ac:dyDescent="0.4">
      <c r="A507" s="22">
        <v>192603</v>
      </c>
      <c r="B507" s="22">
        <v>45</v>
      </c>
      <c r="C507" s="22">
        <f t="shared" si="72"/>
        <v>225</v>
      </c>
      <c r="D507" s="557">
        <v>0</v>
      </c>
      <c r="E507" s="557">
        <v>0</v>
      </c>
      <c r="F507" s="557">
        <v>0</v>
      </c>
      <c r="G507" s="557">
        <v>0</v>
      </c>
      <c r="H507" s="557">
        <v>0</v>
      </c>
      <c r="I507" s="557">
        <v>0</v>
      </c>
      <c r="J507" s="24">
        <f t="shared" si="73"/>
        <v>0</v>
      </c>
      <c r="K507" s="24">
        <f t="shared" si="74"/>
        <v>0</v>
      </c>
      <c r="L507" s="557">
        <f t="shared" si="75"/>
        <v>0</v>
      </c>
      <c r="M507" s="29" t="s">
        <v>3418</v>
      </c>
      <c r="N507" s="29" t="s">
        <v>3419</v>
      </c>
    </row>
    <row r="508" spans="1:16" x14ac:dyDescent="0.4">
      <c r="A508" s="16">
        <v>192604</v>
      </c>
      <c r="B508" s="16">
        <v>60</v>
      </c>
      <c r="C508" s="16">
        <f t="shared" si="72"/>
        <v>300</v>
      </c>
      <c r="D508" s="1570">
        <v>0</v>
      </c>
      <c r="E508" s="1570">
        <v>0</v>
      </c>
      <c r="F508" s="1570">
        <v>0</v>
      </c>
      <c r="G508" s="1570">
        <v>0</v>
      </c>
      <c r="H508" s="1570">
        <v>0</v>
      </c>
      <c r="I508" s="1570">
        <v>0</v>
      </c>
      <c r="J508" s="1571">
        <f t="shared" si="73"/>
        <v>0</v>
      </c>
      <c r="K508" s="1571">
        <f t="shared" si="74"/>
        <v>0</v>
      </c>
      <c r="L508" s="1570">
        <f t="shared" si="75"/>
        <v>0</v>
      </c>
      <c r="M508" s="30" t="s">
        <v>3418</v>
      </c>
      <c r="N508" s="30" t="s">
        <v>3419</v>
      </c>
    </row>
    <row r="509" spans="1:16" x14ac:dyDescent="0.4">
      <c r="A509" s="36">
        <v>192605</v>
      </c>
      <c r="B509">
        <v>60</v>
      </c>
      <c r="C509" s="36">
        <f t="shared" si="72"/>
        <v>300</v>
      </c>
      <c r="D509" s="1410">
        <v>0</v>
      </c>
      <c r="E509" s="1410">
        <v>0</v>
      </c>
      <c r="F509" s="1410">
        <v>0</v>
      </c>
      <c r="G509" s="1410">
        <v>0</v>
      </c>
      <c r="H509" s="1410">
        <v>0</v>
      </c>
      <c r="I509" s="1410">
        <v>1</v>
      </c>
      <c r="J509" s="1411">
        <f t="shared" si="73"/>
        <v>1</v>
      </c>
      <c r="K509" s="1411">
        <f t="shared" si="74"/>
        <v>0</v>
      </c>
      <c r="L509" s="1410">
        <f t="shared" si="75"/>
        <v>0</v>
      </c>
      <c r="M509" s="955" t="s">
        <v>3418</v>
      </c>
      <c r="N509" s="955" t="s">
        <v>3419</v>
      </c>
    </row>
    <row r="510" spans="1:16" x14ac:dyDescent="0.4">
      <c r="A510" s="36">
        <v>192606</v>
      </c>
      <c r="B510">
        <v>45</v>
      </c>
      <c r="C510" s="36">
        <f t="shared" si="72"/>
        <v>225</v>
      </c>
      <c r="D510" s="1410">
        <v>0</v>
      </c>
      <c r="E510" s="1410">
        <v>0</v>
      </c>
      <c r="F510" s="1410">
        <v>0</v>
      </c>
      <c r="G510" s="1410">
        <v>0</v>
      </c>
      <c r="H510" s="1410">
        <v>0</v>
      </c>
      <c r="I510" s="1410">
        <v>1</v>
      </c>
      <c r="J510" s="1411">
        <f t="shared" si="73"/>
        <v>1</v>
      </c>
      <c r="K510" s="1411">
        <f t="shared" si="74"/>
        <v>0</v>
      </c>
      <c r="L510" s="1410">
        <f t="shared" si="75"/>
        <v>0</v>
      </c>
      <c r="M510" s="955" t="s">
        <v>3420</v>
      </c>
      <c r="N510" s="955" t="s">
        <v>3421</v>
      </c>
    </row>
    <row r="511" spans="1:16" x14ac:dyDescent="0.4">
      <c r="A511" s="359">
        <v>192607</v>
      </c>
      <c r="B511" s="359"/>
      <c r="C511" s="359">
        <f t="shared" si="72"/>
        <v>0</v>
      </c>
      <c r="D511" s="1433">
        <v>0</v>
      </c>
      <c r="E511" s="1433">
        <v>0</v>
      </c>
      <c r="F511" s="1433">
        <v>0</v>
      </c>
      <c r="G511" s="1433">
        <v>0</v>
      </c>
      <c r="H511" s="1433">
        <v>0</v>
      </c>
      <c r="I511" s="1433">
        <v>1</v>
      </c>
      <c r="J511" s="360">
        <f t="shared" si="73"/>
        <v>1</v>
      </c>
      <c r="K511" s="360">
        <f t="shared" si="74"/>
        <v>0</v>
      </c>
      <c r="L511" s="1433">
        <f t="shared" si="75"/>
        <v>0</v>
      </c>
      <c r="M511" s="1441" t="s">
        <v>3417</v>
      </c>
      <c r="N511" s="1441"/>
      <c r="O511" s="1441"/>
      <c r="P511" s="1441"/>
    </row>
    <row r="512" spans="1:16" x14ac:dyDescent="0.4">
      <c r="A512" s="16">
        <v>192608</v>
      </c>
      <c r="B512" s="16">
        <v>60</v>
      </c>
      <c r="C512" s="16">
        <f t="shared" si="72"/>
        <v>300</v>
      </c>
      <c r="D512" s="1652">
        <v>0</v>
      </c>
      <c r="E512" s="1652">
        <v>0</v>
      </c>
      <c r="F512" s="1652">
        <v>0</v>
      </c>
      <c r="G512" s="1652">
        <v>0</v>
      </c>
      <c r="H512" s="1652">
        <v>0</v>
      </c>
      <c r="I512" s="1652">
        <v>0</v>
      </c>
      <c r="J512" s="1653">
        <f t="shared" si="73"/>
        <v>0</v>
      </c>
      <c r="K512" s="1653">
        <f t="shared" si="74"/>
        <v>0</v>
      </c>
      <c r="L512" s="1652">
        <f t="shared" si="75"/>
        <v>0</v>
      </c>
      <c r="M512" s="30" t="s">
        <v>3427</v>
      </c>
      <c r="N512" s="30" t="s">
        <v>3428</v>
      </c>
      <c r="O512" s="1442"/>
      <c r="P512" s="1442"/>
    </row>
    <row r="513" spans="1:16" x14ac:dyDescent="0.4">
      <c r="A513" s="16">
        <v>192609</v>
      </c>
      <c r="B513" s="16">
        <v>45</v>
      </c>
      <c r="C513" s="16">
        <f t="shared" si="72"/>
        <v>225</v>
      </c>
      <c r="D513" s="1839">
        <v>0</v>
      </c>
      <c r="E513" s="1839">
        <v>0</v>
      </c>
      <c r="F513" s="1839">
        <v>0</v>
      </c>
      <c r="G513" s="1839">
        <v>0</v>
      </c>
      <c r="H513" s="1839">
        <v>0</v>
      </c>
      <c r="I513" s="1839">
        <v>0</v>
      </c>
      <c r="J513" s="1840">
        <f t="shared" si="73"/>
        <v>0</v>
      </c>
      <c r="K513" s="1840">
        <f t="shared" si="74"/>
        <v>0</v>
      </c>
      <c r="L513" s="1839">
        <f t="shared" si="75"/>
        <v>0</v>
      </c>
      <c r="M513" s="30" t="s">
        <v>3429</v>
      </c>
      <c r="N513" s="30" t="s">
        <v>3430</v>
      </c>
      <c r="O513" s="1442"/>
      <c r="P513" s="1442"/>
    </row>
    <row r="514" spans="1:16" x14ac:dyDescent="0.4">
      <c r="A514" s="16">
        <v>192610</v>
      </c>
      <c r="B514" s="16">
        <v>45</v>
      </c>
      <c r="C514" s="16">
        <f t="shared" ref="C514" si="76">SUM(B514*5)</f>
        <v>225</v>
      </c>
      <c r="D514" s="1752">
        <v>0</v>
      </c>
      <c r="E514" s="1752">
        <v>0</v>
      </c>
      <c r="F514" s="1752">
        <v>0</v>
      </c>
      <c r="G514" s="1752">
        <v>0</v>
      </c>
      <c r="H514" s="1752">
        <v>0</v>
      </c>
      <c r="I514" s="1752">
        <v>0</v>
      </c>
      <c r="J514" s="1753">
        <f t="shared" ref="J514" si="77">SUM(D514:I514)</f>
        <v>0</v>
      </c>
      <c r="K514" s="1753">
        <f t="shared" ref="K514" si="78">SUM(D514:H514)</f>
        <v>0</v>
      </c>
      <c r="L514" s="1752">
        <f t="shared" ref="L514" si="79">B514*K514</f>
        <v>0</v>
      </c>
      <c r="M514" s="30" t="s">
        <v>3420</v>
      </c>
      <c r="N514" s="30" t="s">
        <v>3421</v>
      </c>
    </row>
    <row r="515" spans="1:16" x14ac:dyDescent="0.4">
      <c r="A515" s="36">
        <v>192611</v>
      </c>
      <c r="B515">
        <v>45</v>
      </c>
      <c r="C515" s="36">
        <f t="shared" ref="C515:C542" si="80">SUM(B515*5)</f>
        <v>225</v>
      </c>
      <c r="D515" s="1432">
        <v>1</v>
      </c>
      <c r="E515" s="1432">
        <v>1</v>
      </c>
      <c r="F515" s="1432">
        <v>1</v>
      </c>
      <c r="G515" s="1432">
        <v>1</v>
      </c>
      <c r="H515" s="1432">
        <v>1</v>
      </c>
      <c r="I515" s="1432">
        <v>1</v>
      </c>
      <c r="J515" s="1434">
        <f t="shared" ref="J515:J542" si="81">SUM(D515:I515)</f>
        <v>6</v>
      </c>
      <c r="K515" s="1434">
        <f t="shared" ref="K515:K542" si="82">SUM(D515:H515)</f>
        <v>5</v>
      </c>
      <c r="L515" s="1432">
        <f t="shared" ref="L515:L542" si="83">B515*K515</f>
        <v>225</v>
      </c>
      <c r="M515" s="955" t="s">
        <v>3420</v>
      </c>
      <c r="N515" s="955" t="s">
        <v>3421</v>
      </c>
    </row>
    <row r="516" spans="1:16" x14ac:dyDescent="0.4">
      <c r="A516" s="16">
        <v>192612</v>
      </c>
      <c r="B516" s="16">
        <v>60</v>
      </c>
      <c r="C516" s="16">
        <f t="shared" si="80"/>
        <v>300</v>
      </c>
      <c r="D516" s="1910">
        <v>0</v>
      </c>
      <c r="E516" s="1910">
        <v>0</v>
      </c>
      <c r="F516" s="1910">
        <v>0</v>
      </c>
      <c r="G516" s="1910">
        <v>0</v>
      </c>
      <c r="H516" s="1910">
        <v>0</v>
      </c>
      <c r="I516" s="1910">
        <v>0</v>
      </c>
      <c r="J516" s="1911">
        <f t="shared" si="81"/>
        <v>0</v>
      </c>
      <c r="K516" s="1911">
        <f t="shared" si="82"/>
        <v>0</v>
      </c>
      <c r="L516" s="1910">
        <f t="shared" si="83"/>
        <v>0</v>
      </c>
      <c r="M516" s="30" t="s">
        <v>3420</v>
      </c>
      <c r="N516" s="30" t="s">
        <v>3421</v>
      </c>
    </row>
    <row r="517" spans="1:16" x14ac:dyDescent="0.4">
      <c r="A517" s="36">
        <v>192613</v>
      </c>
      <c r="B517">
        <v>45</v>
      </c>
      <c r="C517" s="36">
        <f t="shared" si="80"/>
        <v>225</v>
      </c>
      <c r="D517" s="1432">
        <v>0</v>
      </c>
      <c r="E517" s="1432">
        <v>0</v>
      </c>
      <c r="F517" s="1432">
        <v>0</v>
      </c>
      <c r="G517" s="1432">
        <v>0</v>
      </c>
      <c r="H517" s="1432">
        <v>1</v>
      </c>
      <c r="I517" s="1432">
        <v>1</v>
      </c>
      <c r="J517" s="1434">
        <f t="shared" si="81"/>
        <v>2</v>
      </c>
      <c r="K517" s="1434">
        <f t="shared" si="82"/>
        <v>1</v>
      </c>
      <c r="L517" s="1432">
        <f t="shared" si="83"/>
        <v>45</v>
      </c>
      <c r="M517" s="955" t="s">
        <v>3423</v>
      </c>
      <c r="N517" s="955" t="s">
        <v>3424</v>
      </c>
    </row>
    <row r="518" spans="1:16" x14ac:dyDescent="0.4">
      <c r="A518" s="36">
        <v>192614</v>
      </c>
      <c r="B518">
        <v>45</v>
      </c>
      <c r="C518" s="36">
        <f t="shared" si="80"/>
        <v>225</v>
      </c>
      <c r="D518" s="1432">
        <v>0</v>
      </c>
      <c r="E518" s="1432">
        <v>0</v>
      </c>
      <c r="F518" s="1432">
        <v>0</v>
      </c>
      <c r="G518" s="1432">
        <v>0</v>
      </c>
      <c r="H518" s="1432">
        <v>0</v>
      </c>
      <c r="I518" s="1432">
        <v>1</v>
      </c>
      <c r="J518" s="1434">
        <f t="shared" si="81"/>
        <v>1</v>
      </c>
      <c r="K518" s="1434">
        <f t="shared" si="82"/>
        <v>0</v>
      </c>
      <c r="L518" s="1432">
        <f t="shared" si="83"/>
        <v>0</v>
      </c>
      <c r="M518" s="955" t="s">
        <v>3425</v>
      </c>
      <c r="N518" s="955" t="s">
        <v>3426</v>
      </c>
    </row>
    <row r="519" spans="1:16" x14ac:dyDescent="0.4">
      <c r="A519" s="16">
        <v>192615</v>
      </c>
      <c r="B519" s="16">
        <v>45</v>
      </c>
      <c r="C519" s="16">
        <f t="shared" si="80"/>
        <v>225</v>
      </c>
      <c r="D519" s="1698">
        <v>0</v>
      </c>
      <c r="E519" s="1698">
        <v>0</v>
      </c>
      <c r="F519" s="1698">
        <v>0</v>
      </c>
      <c r="G519" s="1698">
        <v>0</v>
      </c>
      <c r="H519" s="1698">
        <v>0</v>
      </c>
      <c r="I519" s="1698">
        <v>0</v>
      </c>
      <c r="J519" s="1699">
        <f t="shared" si="81"/>
        <v>0</v>
      </c>
      <c r="K519" s="1699">
        <f t="shared" si="82"/>
        <v>0</v>
      </c>
      <c r="L519" s="1698">
        <f t="shared" si="83"/>
        <v>0</v>
      </c>
      <c r="M519" s="30" t="s">
        <v>3425</v>
      </c>
      <c r="N519" s="30" t="s">
        <v>3426</v>
      </c>
    </row>
    <row r="520" spans="1:16" x14ac:dyDescent="0.4">
      <c r="A520" s="16">
        <v>192616</v>
      </c>
      <c r="B520" s="16">
        <v>60</v>
      </c>
      <c r="C520" s="16">
        <f t="shared" si="80"/>
        <v>300</v>
      </c>
      <c r="D520" s="1740">
        <v>0</v>
      </c>
      <c r="E520" s="1740">
        <v>0</v>
      </c>
      <c r="F520" s="1740">
        <v>0</v>
      </c>
      <c r="G520" s="1740">
        <v>0</v>
      </c>
      <c r="H520" s="1740">
        <v>0</v>
      </c>
      <c r="I520" s="1740">
        <v>0</v>
      </c>
      <c r="J520" s="1741">
        <f t="shared" si="81"/>
        <v>0</v>
      </c>
      <c r="K520" s="1741">
        <f t="shared" si="82"/>
        <v>0</v>
      </c>
      <c r="L520" s="1740">
        <f t="shared" si="83"/>
        <v>0</v>
      </c>
      <c r="M520" s="30" t="s">
        <v>3427</v>
      </c>
      <c r="N520" s="30" t="s">
        <v>3428</v>
      </c>
    </row>
    <row r="521" spans="1:16" x14ac:dyDescent="0.4">
      <c r="A521" s="36">
        <v>192617</v>
      </c>
      <c r="B521">
        <v>45</v>
      </c>
      <c r="C521" s="36">
        <f t="shared" si="80"/>
        <v>225</v>
      </c>
      <c r="D521" s="1432">
        <v>0</v>
      </c>
      <c r="E521" s="1432">
        <v>0</v>
      </c>
      <c r="F521" s="1432">
        <v>0</v>
      </c>
      <c r="G521" s="1432">
        <v>0</v>
      </c>
      <c r="H521" s="1432">
        <v>1</v>
      </c>
      <c r="I521" s="1432">
        <v>1</v>
      </c>
      <c r="J521" s="1434">
        <f t="shared" si="81"/>
        <v>2</v>
      </c>
      <c r="K521" s="1434">
        <f t="shared" si="82"/>
        <v>1</v>
      </c>
      <c r="L521" s="1432">
        <f t="shared" si="83"/>
        <v>45</v>
      </c>
      <c r="M521" s="955" t="s">
        <v>3427</v>
      </c>
      <c r="N521" s="955" t="s">
        <v>3428</v>
      </c>
    </row>
    <row r="522" spans="1:16" x14ac:dyDescent="0.4">
      <c r="A522" s="36">
        <v>192618</v>
      </c>
      <c r="B522">
        <v>45</v>
      </c>
      <c r="C522" s="36">
        <f t="shared" si="80"/>
        <v>225</v>
      </c>
      <c r="D522" s="1432">
        <v>0</v>
      </c>
      <c r="E522" s="1432">
        <v>0</v>
      </c>
      <c r="F522" s="1432">
        <v>0</v>
      </c>
      <c r="G522" s="1432">
        <v>1</v>
      </c>
      <c r="H522" s="1432">
        <v>1</v>
      </c>
      <c r="I522" s="1432">
        <v>1</v>
      </c>
      <c r="J522" s="1434">
        <f t="shared" si="81"/>
        <v>3</v>
      </c>
      <c r="K522" s="1434">
        <f t="shared" si="82"/>
        <v>2</v>
      </c>
      <c r="L522" s="1432">
        <f t="shared" si="83"/>
        <v>90</v>
      </c>
      <c r="M522" s="955" t="s">
        <v>3429</v>
      </c>
      <c r="N522" s="955" t="s">
        <v>3430</v>
      </c>
    </row>
    <row r="523" spans="1:16" x14ac:dyDescent="0.4">
      <c r="A523" s="36">
        <v>192619</v>
      </c>
      <c r="B523">
        <v>60</v>
      </c>
      <c r="C523" s="36">
        <f t="shared" si="80"/>
        <v>300</v>
      </c>
      <c r="D523" s="1432">
        <v>0</v>
      </c>
      <c r="E523" s="1432">
        <v>1</v>
      </c>
      <c r="F523" s="1432">
        <v>1</v>
      </c>
      <c r="G523" s="1432">
        <v>1</v>
      </c>
      <c r="H523" s="1432">
        <v>1</v>
      </c>
      <c r="I523" s="1432">
        <v>1</v>
      </c>
      <c r="J523" s="1434">
        <f t="shared" si="81"/>
        <v>5</v>
      </c>
      <c r="K523" s="1434">
        <f t="shared" si="82"/>
        <v>4</v>
      </c>
      <c r="L523" s="1432">
        <f t="shared" si="83"/>
        <v>240</v>
      </c>
      <c r="M523" s="955" t="s">
        <v>3431</v>
      </c>
      <c r="N523" s="955" t="s">
        <v>3432</v>
      </c>
    </row>
    <row r="524" spans="1:16" x14ac:dyDescent="0.4">
      <c r="A524" s="16">
        <v>192620</v>
      </c>
      <c r="B524" s="16">
        <v>45</v>
      </c>
      <c r="C524" s="16">
        <f t="shared" si="80"/>
        <v>225</v>
      </c>
      <c r="D524" s="1555">
        <v>0</v>
      </c>
      <c r="E524" s="1555">
        <v>0</v>
      </c>
      <c r="F524" s="1555">
        <v>0</v>
      </c>
      <c r="G524" s="1555">
        <v>0</v>
      </c>
      <c r="H524" s="1555">
        <v>0</v>
      </c>
      <c r="I524" s="1555">
        <v>0</v>
      </c>
      <c r="J524" s="1556">
        <f t="shared" si="81"/>
        <v>0</v>
      </c>
      <c r="K524" s="1556">
        <f t="shared" si="82"/>
        <v>0</v>
      </c>
      <c r="L524" s="1555">
        <f t="shared" si="83"/>
        <v>0</v>
      </c>
      <c r="M524" s="30" t="s">
        <v>3431</v>
      </c>
      <c r="N524" s="30" t="s">
        <v>3432</v>
      </c>
    </row>
    <row r="525" spans="1:16" x14ac:dyDescent="0.4">
      <c r="A525" s="1999">
        <v>192621</v>
      </c>
      <c r="B525" s="1999">
        <v>45</v>
      </c>
      <c r="C525" s="1999">
        <f t="shared" si="80"/>
        <v>225</v>
      </c>
      <c r="D525" s="2000">
        <v>0</v>
      </c>
      <c r="E525" s="2000">
        <v>0</v>
      </c>
      <c r="F525" s="2000">
        <v>0</v>
      </c>
      <c r="G525" s="2000">
        <v>0</v>
      </c>
      <c r="H525" s="2000">
        <v>0</v>
      </c>
      <c r="I525" s="2000">
        <v>0</v>
      </c>
      <c r="J525" s="2001">
        <f t="shared" si="81"/>
        <v>0</v>
      </c>
      <c r="K525" s="2001">
        <f t="shared" si="82"/>
        <v>0</v>
      </c>
      <c r="L525" s="2000">
        <f t="shared" si="83"/>
        <v>0</v>
      </c>
      <c r="M525" s="2002" t="s">
        <v>3433</v>
      </c>
      <c r="N525" s="2002" t="s">
        <v>3434</v>
      </c>
    </row>
    <row r="526" spans="1:16" x14ac:dyDescent="0.4">
      <c r="A526" s="16">
        <v>192622</v>
      </c>
      <c r="B526" s="16">
        <v>45</v>
      </c>
      <c r="C526" s="16">
        <f t="shared" si="80"/>
        <v>225</v>
      </c>
      <c r="D526" s="1821">
        <v>0</v>
      </c>
      <c r="E526" s="1821">
        <v>0</v>
      </c>
      <c r="F526" s="1821">
        <v>0</v>
      </c>
      <c r="G526" s="1821">
        <v>0</v>
      </c>
      <c r="H526" s="1821">
        <v>0</v>
      </c>
      <c r="I526" s="1821">
        <v>0</v>
      </c>
      <c r="J526" s="1822">
        <f t="shared" si="81"/>
        <v>0</v>
      </c>
      <c r="K526" s="1822">
        <f t="shared" si="82"/>
        <v>0</v>
      </c>
      <c r="L526" s="1821">
        <f t="shared" si="83"/>
        <v>0</v>
      </c>
      <c r="M526" s="30" t="s">
        <v>3435</v>
      </c>
      <c r="N526" s="30" t="s">
        <v>3436</v>
      </c>
    </row>
    <row r="527" spans="1:16" x14ac:dyDescent="0.4">
      <c r="A527" s="16">
        <v>192623</v>
      </c>
      <c r="B527" s="16">
        <v>45</v>
      </c>
      <c r="C527" s="16">
        <f t="shared" si="80"/>
        <v>225</v>
      </c>
      <c r="D527" s="1561">
        <v>0</v>
      </c>
      <c r="E527" s="1561">
        <v>0</v>
      </c>
      <c r="F527" s="1561">
        <v>0</v>
      </c>
      <c r="G527" s="1561">
        <v>0</v>
      </c>
      <c r="H527" s="1561">
        <v>0</v>
      </c>
      <c r="I527" s="1561">
        <v>0</v>
      </c>
      <c r="J527" s="1562">
        <f t="shared" si="81"/>
        <v>0</v>
      </c>
      <c r="K527" s="1562">
        <f t="shared" si="82"/>
        <v>0</v>
      </c>
      <c r="L527" s="1561">
        <f t="shared" si="83"/>
        <v>0</v>
      </c>
      <c r="M527" s="30" t="s">
        <v>3437</v>
      </c>
      <c r="N527" s="30" t="s">
        <v>3438</v>
      </c>
    </row>
    <row r="528" spans="1:16" x14ac:dyDescent="0.4">
      <c r="A528" s="1">
        <v>192624</v>
      </c>
      <c r="B528" s="1">
        <v>45</v>
      </c>
      <c r="C528" s="1">
        <f t="shared" si="80"/>
        <v>225</v>
      </c>
      <c r="D528" s="1964">
        <v>0</v>
      </c>
      <c r="E528" s="1964">
        <v>0</v>
      </c>
      <c r="F528" s="1964">
        <v>0</v>
      </c>
      <c r="G528" s="1964">
        <v>0</v>
      </c>
      <c r="H528" s="1964">
        <v>0</v>
      </c>
      <c r="I528" s="1964">
        <v>0</v>
      </c>
      <c r="J528" s="1966">
        <f t="shared" si="81"/>
        <v>0</v>
      </c>
      <c r="K528" s="1966">
        <f t="shared" si="82"/>
        <v>0</v>
      </c>
      <c r="L528" s="1964">
        <f t="shared" si="83"/>
        <v>0</v>
      </c>
      <c r="M528" s="141" t="s">
        <v>3437</v>
      </c>
      <c r="N528" s="141" t="s">
        <v>3438</v>
      </c>
    </row>
    <row r="529" spans="1:15" x14ac:dyDescent="0.4">
      <c r="A529" s="36">
        <v>192625</v>
      </c>
      <c r="B529">
        <v>60</v>
      </c>
      <c r="C529" s="36">
        <f t="shared" si="80"/>
        <v>300</v>
      </c>
      <c r="D529" s="1432">
        <v>0</v>
      </c>
      <c r="E529" s="1432">
        <v>0</v>
      </c>
      <c r="F529" s="1432">
        <v>1</v>
      </c>
      <c r="G529" s="1432">
        <v>1</v>
      </c>
      <c r="H529" s="1432">
        <v>1</v>
      </c>
      <c r="I529" s="1432">
        <v>1</v>
      </c>
      <c r="J529" s="1434">
        <f t="shared" si="81"/>
        <v>4</v>
      </c>
      <c r="K529" s="1434">
        <f t="shared" si="82"/>
        <v>3</v>
      </c>
      <c r="L529" s="1432">
        <f t="shared" si="83"/>
        <v>180</v>
      </c>
      <c r="M529" s="955" t="s">
        <v>3437</v>
      </c>
      <c r="N529" s="955" t="s">
        <v>3438</v>
      </c>
    </row>
    <row r="530" spans="1:15" x14ac:dyDescent="0.4">
      <c r="A530" s="36">
        <v>192626</v>
      </c>
      <c r="B530">
        <v>60</v>
      </c>
      <c r="C530" s="36">
        <f t="shared" si="80"/>
        <v>300</v>
      </c>
      <c r="D530" s="1432">
        <v>0</v>
      </c>
      <c r="E530" s="1432">
        <v>0</v>
      </c>
      <c r="F530" s="1432">
        <v>0</v>
      </c>
      <c r="G530" s="1432">
        <v>0</v>
      </c>
      <c r="H530" s="1432">
        <v>0</v>
      </c>
      <c r="I530" s="1432">
        <v>1</v>
      </c>
      <c r="J530" s="1434">
        <f t="shared" si="81"/>
        <v>1</v>
      </c>
      <c r="K530" s="1434">
        <f t="shared" si="82"/>
        <v>0</v>
      </c>
      <c r="L530" s="1432">
        <f t="shared" si="83"/>
        <v>0</v>
      </c>
      <c r="M530" s="955" t="s">
        <v>3437</v>
      </c>
      <c r="N530" s="955" t="s">
        <v>3438</v>
      </c>
    </row>
    <row r="531" spans="1:15" x14ac:dyDescent="0.4">
      <c r="A531" s="36">
        <v>192627</v>
      </c>
      <c r="B531">
        <v>45</v>
      </c>
      <c r="C531" s="36">
        <f t="shared" si="80"/>
        <v>225</v>
      </c>
      <c r="D531" s="1432">
        <v>0</v>
      </c>
      <c r="E531" s="1432">
        <v>0</v>
      </c>
      <c r="F531" s="1432">
        <v>0</v>
      </c>
      <c r="G531" s="1432">
        <v>1</v>
      </c>
      <c r="H531" s="1432">
        <v>1</v>
      </c>
      <c r="I531" s="1432">
        <v>1</v>
      </c>
      <c r="J531" s="1434">
        <f t="shared" si="81"/>
        <v>3</v>
      </c>
      <c r="K531" s="1434">
        <f t="shared" si="82"/>
        <v>2</v>
      </c>
      <c r="L531" s="1432">
        <f t="shared" si="83"/>
        <v>90</v>
      </c>
      <c r="M531" s="955" t="s">
        <v>3439</v>
      </c>
      <c r="N531" s="955" t="s">
        <v>3440</v>
      </c>
    </row>
    <row r="532" spans="1:15" x14ac:dyDescent="0.4">
      <c r="A532" s="16">
        <v>192628</v>
      </c>
      <c r="B532" s="16">
        <v>60</v>
      </c>
      <c r="C532" s="16">
        <f t="shared" si="80"/>
        <v>300</v>
      </c>
      <c r="D532" s="1722">
        <v>0</v>
      </c>
      <c r="E532" s="1722">
        <v>0</v>
      </c>
      <c r="F532" s="1722">
        <v>0</v>
      </c>
      <c r="G532" s="1722">
        <v>0</v>
      </c>
      <c r="H532" s="1722">
        <v>0</v>
      </c>
      <c r="I532" s="1722">
        <v>0</v>
      </c>
      <c r="J532" s="1723">
        <f t="shared" si="81"/>
        <v>0</v>
      </c>
      <c r="K532" s="1723">
        <f t="shared" si="82"/>
        <v>0</v>
      </c>
      <c r="L532" s="1722">
        <f t="shared" si="83"/>
        <v>0</v>
      </c>
      <c r="M532" s="30" t="s">
        <v>3439</v>
      </c>
      <c r="N532" s="30" t="s">
        <v>3440</v>
      </c>
    </row>
    <row r="533" spans="1:15" x14ac:dyDescent="0.4">
      <c r="A533" s="36">
        <v>192629</v>
      </c>
      <c r="B533">
        <v>45</v>
      </c>
      <c r="C533" s="36">
        <f t="shared" si="80"/>
        <v>225</v>
      </c>
      <c r="D533" s="1432">
        <v>0</v>
      </c>
      <c r="E533" s="1432">
        <v>0</v>
      </c>
      <c r="F533" s="1432">
        <v>0</v>
      </c>
      <c r="G533" s="1432">
        <v>0</v>
      </c>
      <c r="H533" s="1432">
        <v>1</v>
      </c>
      <c r="I533" s="1432">
        <v>1</v>
      </c>
      <c r="J533" s="1434">
        <f t="shared" si="81"/>
        <v>2</v>
      </c>
      <c r="K533" s="1434">
        <f t="shared" si="82"/>
        <v>1</v>
      </c>
      <c r="L533" s="1432">
        <f t="shared" si="83"/>
        <v>45</v>
      </c>
      <c r="M533" s="955" t="s">
        <v>3441</v>
      </c>
      <c r="N533" s="955" t="s">
        <v>3442</v>
      </c>
    </row>
    <row r="534" spans="1:15" x14ac:dyDescent="0.4">
      <c r="A534" s="16">
        <v>192630</v>
      </c>
      <c r="B534" s="16">
        <v>45</v>
      </c>
      <c r="C534" s="16">
        <f t="shared" si="80"/>
        <v>225</v>
      </c>
      <c r="D534" s="1862">
        <v>0</v>
      </c>
      <c r="E534" s="1862">
        <v>0</v>
      </c>
      <c r="F534" s="1862">
        <v>0</v>
      </c>
      <c r="G534" s="1862">
        <v>0</v>
      </c>
      <c r="H534" s="1862">
        <v>0</v>
      </c>
      <c r="I534" s="1862">
        <v>0</v>
      </c>
      <c r="J534" s="1863">
        <f t="shared" si="81"/>
        <v>0</v>
      </c>
      <c r="K534" s="1863">
        <f t="shared" si="82"/>
        <v>0</v>
      </c>
      <c r="L534" s="1862">
        <f t="shared" si="83"/>
        <v>0</v>
      </c>
      <c r="M534" s="30" t="s">
        <v>3441</v>
      </c>
      <c r="N534" s="30" t="s">
        <v>3442</v>
      </c>
    </row>
    <row r="535" spans="1:15" x14ac:dyDescent="0.4">
      <c r="A535" s="22">
        <v>192631</v>
      </c>
      <c r="B535" s="22">
        <v>60</v>
      </c>
      <c r="C535" s="22">
        <f t="shared" si="80"/>
        <v>300</v>
      </c>
      <c r="D535" s="557">
        <v>0</v>
      </c>
      <c r="E535" s="557">
        <v>0</v>
      </c>
      <c r="F535" s="557">
        <v>0</v>
      </c>
      <c r="G535" s="557">
        <v>0</v>
      </c>
      <c r="H535" s="557">
        <v>0</v>
      </c>
      <c r="I535" s="557">
        <v>0</v>
      </c>
      <c r="J535" s="24">
        <f t="shared" si="81"/>
        <v>0</v>
      </c>
      <c r="K535" s="24">
        <f t="shared" si="82"/>
        <v>0</v>
      </c>
      <c r="L535" s="557">
        <f t="shared" si="83"/>
        <v>0</v>
      </c>
      <c r="M535" s="29" t="s">
        <v>3443</v>
      </c>
      <c r="N535" s="29" t="s">
        <v>3444</v>
      </c>
    </row>
    <row r="536" spans="1:15" x14ac:dyDescent="0.4">
      <c r="A536" s="36">
        <v>192632</v>
      </c>
      <c r="B536">
        <v>60</v>
      </c>
      <c r="C536" s="36">
        <f t="shared" si="80"/>
        <v>300</v>
      </c>
      <c r="D536" s="1432">
        <v>0</v>
      </c>
      <c r="E536" s="1432">
        <v>1</v>
      </c>
      <c r="F536" s="1432">
        <v>1</v>
      </c>
      <c r="G536" s="1432">
        <v>1</v>
      </c>
      <c r="H536" s="1432">
        <v>1</v>
      </c>
      <c r="I536" s="1432">
        <v>1</v>
      </c>
      <c r="J536" s="1434">
        <f t="shared" si="81"/>
        <v>5</v>
      </c>
      <c r="K536" s="1434">
        <f t="shared" si="82"/>
        <v>4</v>
      </c>
      <c r="L536" s="1432">
        <f t="shared" si="83"/>
        <v>240</v>
      </c>
      <c r="M536" s="955" t="s">
        <v>3445</v>
      </c>
      <c r="N536" s="955" t="s">
        <v>3446</v>
      </c>
    </row>
    <row r="537" spans="1:15" x14ac:dyDescent="0.4">
      <c r="A537" s="36">
        <v>192633</v>
      </c>
      <c r="B537">
        <v>60</v>
      </c>
      <c r="C537" s="36">
        <f t="shared" si="80"/>
        <v>300</v>
      </c>
      <c r="D537" s="1432">
        <v>0</v>
      </c>
      <c r="E537" s="1432">
        <v>1</v>
      </c>
      <c r="F537" s="1432">
        <v>1</v>
      </c>
      <c r="G537" s="1432">
        <v>1</v>
      </c>
      <c r="H537" s="1432">
        <v>1</v>
      </c>
      <c r="I537" s="1432">
        <v>1</v>
      </c>
      <c r="J537" s="1434">
        <f t="shared" si="81"/>
        <v>5</v>
      </c>
      <c r="K537" s="1434">
        <f t="shared" si="82"/>
        <v>4</v>
      </c>
      <c r="L537" s="1432">
        <f t="shared" si="83"/>
        <v>240</v>
      </c>
      <c r="M537" s="955" t="s">
        <v>3447</v>
      </c>
      <c r="N537" s="955" t="s">
        <v>3448</v>
      </c>
    </row>
    <row r="538" spans="1:15" x14ac:dyDescent="0.4">
      <c r="A538" s="1">
        <v>192634</v>
      </c>
      <c r="B538" s="1">
        <v>45</v>
      </c>
      <c r="C538" s="1">
        <f t="shared" si="80"/>
        <v>225</v>
      </c>
      <c r="D538" s="2005">
        <v>0</v>
      </c>
      <c r="E538" s="2005">
        <v>0</v>
      </c>
      <c r="F538" s="2005">
        <v>0</v>
      </c>
      <c r="G538" s="2005">
        <v>0</v>
      </c>
      <c r="H538" s="2005">
        <v>0</v>
      </c>
      <c r="I538" s="2005">
        <v>0</v>
      </c>
      <c r="J538" s="2006">
        <v>0</v>
      </c>
      <c r="K538" s="2006">
        <f t="shared" si="82"/>
        <v>0</v>
      </c>
      <c r="L538" s="2005">
        <f t="shared" si="83"/>
        <v>0</v>
      </c>
      <c r="M538" s="141" t="s">
        <v>3447</v>
      </c>
      <c r="N538" s="141" t="s">
        <v>3448</v>
      </c>
      <c r="O538" s="1" t="s">
        <v>3896</v>
      </c>
    </row>
    <row r="539" spans="1:15" x14ac:dyDescent="0.4">
      <c r="A539" s="36">
        <v>192635</v>
      </c>
      <c r="B539">
        <v>45</v>
      </c>
      <c r="C539" s="36">
        <f t="shared" si="80"/>
        <v>225</v>
      </c>
      <c r="D539" s="1432">
        <v>0</v>
      </c>
      <c r="E539" s="1432">
        <v>0</v>
      </c>
      <c r="F539" s="1432">
        <v>0</v>
      </c>
      <c r="G539" s="1432">
        <v>0</v>
      </c>
      <c r="H539" s="1432">
        <v>0</v>
      </c>
      <c r="I539" s="1432">
        <v>1</v>
      </c>
      <c r="J539" s="1434">
        <f t="shared" si="81"/>
        <v>1</v>
      </c>
      <c r="K539" s="1434">
        <f t="shared" si="82"/>
        <v>0</v>
      </c>
      <c r="L539" s="1432">
        <f t="shared" si="83"/>
        <v>0</v>
      </c>
      <c r="M539" s="955" t="s">
        <v>3449</v>
      </c>
      <c r="N539" s="955" t="s">
        <v>3450</v>
      </c>
    </row>
    <row r="540" spans="1:15" x14ac:dyDescent="0.4">
      <c r="A540" s="36">
        <v>192636</v>
      </c>
      <c r="B540">
        <v>50</v>
      </c>
      <c r="C540" s="36">
        <f t="shared" si="80"/>
        <v>250</v>
      </c>
      <c r="D540" s="1432">
        <v>0</v>
      </c>
      <c r="E540" s="1432">
        <v>0</v>
      </c>
      <c r="F540" s="1432">
        <v>0</v>
      </c>
      <c r="G540" s="1432">
        <v>0</v>
      </c>
      <c r="H540" s="1432">
        <v>1</v>
      </c>
      <c r="I540" s="1432">
        <v>1</v>
      </c>
      <c r="J540" s="1434">
        <f t="shared" si="81"/>
        <v>2</v>
      </c>
      <c r="K540" s="1434">
        <f t="shared" si="82"/>
        <v>1</v>
      </c>
      <c r="L540" s="1432">
        <f t="shared" si="83"/>
        <v>50</v>
      </c>
      <c r="M540" s="955" t="s">
        <v>3449</v>
      </c>
      <c r="N540" s="955" t="s">
        <v>3450</v>
      </c>
    </row>
    <row r="541" spans="1:15" x14ac:dyDescent="0.4">
      <c r="A541" s="16">
        <v>192637</v>
      </c>
      <c r="B541" s="16">
        <v>45</v>
      </c>
      <c r="C541" s="16">
        <f t="shared" si="80"/>
        <v>225</v>
      </c>
      <c r="D541" s="1831">
        <v>0</v>
      </c>
      <c r="E541" s="1831">
        <v>0</v>
      </c>
      <c r="F541" s="1831">
        <v>0</v>
      </c>
      <c r="G541" s="1831">
        <v>0</v>
      </c>
      <c r="H541" s="1831">
        <v>0</v>
      </c>
      <c r="I541" s="1831">
        <v>0</v>
      </c>
      <c r="J541" s="1832">
        <f t="shared" si="81"/>
        <v>0</v>
      </c>
      <c r="K541" s="1832">
        <f t="shared" si="82"/>
        <v>0</v>
      </c>
      <c r="L541" s="1831">
        <f t="shared" si="83"/>
        <v>0</v>
      </c>
      <c r="M541" s="30" t="s">
        <v>3451</v>
      </c>
      <c r="N541" s="30" t="s">
        <v>3452</v>
      </c>
    </row>
    <row r="542" spans="1:15" x14ac:dyDescent="0.4">
      <c r="A542" s="36">
        <v>192638</v>
      </c>
      <c r="B542">
        <v>60</v>
      </c>
      <c r="C542" s="36">
        <f t="shared" si="80"/>
        <v>300</v>
      </c>
      <c r="D542" s="1432">
        <v>0</v>
      </c>
      <c r="E542" s="1432">
        <v>0</v>
      </c>
      <c r="F542" s="1432">
        <v>1</v>
      </c>
      <c r="G542" s="1432">
        <v>1</v>
      </c>
      <c r="H542" s="1432">
        <v>1</v>
      </c>
      <c r="I542" s="1432">
        <v>1</v>
      </c>
      <c r="J542" s="1434">
        <f t="shared" si="81"/>
        <v>4</v>
      </c>
      <c r="K542" s="1434">
        <f t="shared" si="82"/>
        <v>3</v>
      </c>
      <c r="L542" s="1432">
        <f t="shared" si="83"/>
        <v>180</v>
      </c>
      <c r="M542" s="955" t="s">
        <v>3451</v>
      </c>
      <c r="N542" s="955" t="s">
        <v>3452</v>
      </c>
    </row>
    <row r="543" spans="1:15" x14ac:dyDescent="0.4">
      <c r="A543" s="16">
        <v>192639</v>
      </c>
      <c r="B543" s="16">
        <v>60</v>
      </c>
      <c r="C543" s="16">
        <f t="shared" ref="C543" si="84">SUM(B543*5)</f>
        <v>300</v>
      </c>
      <c r="D543" s="1876">
        <v>0</v>
      </c>
      <c r="E543" s="1876">
        <v>0</v>
      </c>
      <c r="F543" s="1876">
        <v>0</v>
      </c>
      <c r="G543" s="1876">
        <v>0</v>
      </c>
      <c r="H543" s="1876">
        <v>0</v>
      </c>
      <c r="I543" s="1876">
        <v>0</v>
      </c>
      <c r="J543" s="1877">
        <f t="shared" ref="J543" si="85">SUM(D543:I543)</f>
        <v>0</v>
      </c>
      <c r="K543" s="1877">
        <f t="shared" ref="K543" si="86">SUM(D543:H543)</f>
        <v>0</v>
      </c>
      <c r="L543" s="1876">
        <f t="shared" ref="L543" si="87">B543*K543</f>
        <v>0</v>
      </c>
      <c r="M543" s="30" t="s">
        <v>3453</v>
      </c>
      <c r="N543" s="30" t="s">
        <v>3454</v>
      </c>
    </row>
    <row r="544" spans="1:15" x14ac:dyDescent="0.4">
      <c r="A544" s="16">
        <v>192640</v>
      </c>
      <c r="B544" s="16">
        <v>45</v>
      </c>
      <c r="C544" s="16">
        <f t="shared" ref="C544:C573" si="88">SUM(B544*5)</f>
        <v>225</v>
      </c>
      <c r="D544" s="1876">
        <v>0</v>
      </c>
      <c r="E544" s="1876">
        <v>0</v>
      </c>
      <c r="F544" s="1876">
        <v>0</v>
      </c>
      <c r="G544" s="1876">
        <v>0</v>
      </c>
      <c r="H544" s="1876">
        <v>0</v>
      </c>
      <c r="I544" s="1876">
        <v>0</v>
      </c>
      <c r="J544" s="1877">
        <f t="shared" ref="J544:J573" si="89">SUM(D544:I544)</f>
        <v>0</v>
      </c>
      <c r="K544" s="1877">
        <f t="shared" ref="K544:K573" si="90">SUM(D544:H544)</f>
        <v>0</v>
      </c>
      <c r="L544" s="1876">
        <f t="shared" ref="L544:L573" si="91">B544*K544</f>
        <v>0</v>
      </c>
      <c r="M544" s="30" t="s">
        <v>3455</v>
      </c>
      <c r="N544" s="30" t="s">
        <v>3456</v>
      </c>
    </row>
    <row r="545" spans="1:14" x14ac:dyDescent="0.4">
      <c r="A545" s="5">
        <v>192641</v>
      </c>
      <c r="B545" s="5">
        <v>45</v>
      </c>
      <c r="C545" s="5">
        <v>45</v>
      </c>
      <c r="D545" s="2011">
        <v>1</v>
      </c>
      <c r="E545" s="2011"/>
      <c r="F545" s="2011"/>
      <c r="G545" s="2011"/>
      <c r="H545" s="2011"/>
      <c r="I545" s="2011"/>
      <c r="J545" s="1929">
        <v>0</v>
      </c>
      <c r="K545" s="1929">
        <f t="shared" si="90"/>
        <v>1</v>
      </c>
      <c r="L545" s="2011">
        <f t="shared" si="91"/>
        <v>45</v>
      </c>
      <c r="M545" s="1930" t="s">
        <v>3457</v>
      </c>
      <c r="N545" s="1930" t="s">
        <v>3458</v>
      </c>
    </row>
    <row r="546" spans="1:14" x14ac:dyDescent="0.4">
      <c r="A546" s="36">
        <v>192642</v>
      </c>
      <c r="B546">
        <v>60</v>
      </c>
      <c r="C546" s="36">
        <f t="shared" si="88"/>
        <v>300</v>
      </c>
      <c r="D546" s="1461">
        <v>0</v>
      </c>
      <c r="E546" s="1461">
        <v>0</v>
      </c>
      <c r="F546" s="1461">
        <v>0</v>
      </c>
      <c r="G546" s="1461">
        <v>1</v>
      </c>
      <c r="H546" s="1461">
        <v>1</v>
      </c>
      <c r="I546" s="1461">
        <v>1</v>
      </c>
      <c r="J546" s="1462">
        <f t="shared" si="89"/>
        <v>3</v>
      </c>
      <c r="K546" s="1462">
        <f t="shared" si="90"/>
        <v>2</v>
      </c>
      <c r="L546" s="1461">
        <f t="shared" si="91"/>
        <v>120</v>
      </c>
      <c r="M546" s="955" t="s">
        <v>3457</v>
      </c>
      <c r="N546" s="955" t="s">
        <v>3458</v>
      </c>
    </row>
    <row r="547" spans="1:14" x14ac:dyDescent="0.4">
      <c r="A547" s="36">
        <v>192643</v>
      </c>
      <c r="B547">
        <v>60</v>
      </c>
      <c r="C547" s="36">
        <f t="shared" si="88"/>
        <v>300</v>
      </c>
      <c r="D547" s="1461">
        <v>0</v>
      </c>
      <c r="E547" s="1461">
        <v>0</v>
      </c>
      <c r="F547" s="1461">
        <v>0</v>
      </c>
      <c r="G547" s="1461">
        <v>1</v>
      </c>
      <c r="H547" s="1461">
        <v>1</v>
      </c>
      <c r="I547" s="1461">
        <v>1</v>
      </c>
      <c r="J547" s="1462">
        <f t="shared" si="89"/>
        <v>3</v>
      </c>
      <c r="K547" s="1462">
        <f t="shared" si="90"/>
        <v>2</v>
      </c>
      <c r="L547" s="1461">
        <f t="shared" si="91"/>
        <v>120</v>
      </c>
      <c r="M547" s="955" t="s">
        <v>3457</v>
      </c>
      <c r="N547" s="955" t="s">
        <v>3458</v>
      </c>
    </row>
    <row r="548" spans="1:14" x14ac:dyDescent="0.4">
      <c r="A548" s="793">
        <v>192644</v>
      </c>
      <c r="B548" s="793">
        <v>60</v>
      </c>
      <c r="C548" s="793">
        <f t="shared" si="88"/>
        <v>300</v>
      </c>
      <c r="D548" s="794">
        <v>0</v>
      </c>
      <c r="E548" s="794">
        <v>0</v>
      </c>
      <c r="F548" s="794">
        <v>0</v>
      </c>
      <c r="G548" s="794">
        <v>0</v>
      </c>
      <c r="H548" s="794">
        <v>0</v>
      </c>
      <c r="I548" s="794">
        <v>0</v>
      </c>
      <c r="J548" s="795">
        <f t="shared" si="89"/>
        <v>0</v>
      </c>
      <c r="K548" s="795">
        <f t="shared" si="90"/>
        <v>0</v>
      </c>
      <c r="L548" s="794">
        <f t="shared" si="91"/>
        <v>0</v>
      </c>
      <c r="M548" s="1790" t="s">
        <v>3457</v>
      </c>
      <c r="N548" s="1937" t="s">
        <v>3458</v>
      </c>
    </row>
    <row r="549" spans="1:14" x14ac:dyDescent="0.4">
      <c r="A549" s="1960">
        <v>192645</v>
      </c>
      <c r="B549" s="1960">
        <v>60</v>
      </c>
      <c r="C549" s="1960">
        <f t="shared" si="88"/>
        <v>300</v>
      </c>
      <c r="D549" s="1961">
        <v>0</v>
      </c>
      <c r="E549" s="1961">
        <v>0</v>
      </c>
      <c r="F549" s="1961">
        <v>0</v>
      </c>
      <c r="G549" s="1961">
        <v>0</v>
      </c>
      <c r="H549" s="1961">
        <v>0</v>
      </c>
      <c r="I549" s="1961">
        <v>0</v>
      </c>
      <c r="J549" s="1962">
        <f t="shared" si="89"/>
        <v>0</v>
      </c>
      <c r="K549" s="1962">
        <f t="shared" si="90"/>
        <v>0</v>
      </c>
      <c r="L549" s="1961">
        <f t="shared" si="91"/>
        <v>0</v>
      </c>
      <c r="M549" s="1963" t="s">
        <v>3457</v>
      </c>
      <c r="N549" s="1963" t="s">
        <v>3458</v>
      </c>
    </row>
    <row r="550" spans="1:14" x14ac:dyDescent="0.4">
      <c r="A550" s="36">
        <v>192646</v>
      </c>
      <c r="B550">
        <v>45</v>
      </c>
      <c r="C550" s="36">
        <f t="shared" si="88"/>
        <v>225</v>
      </c>
      <c r="D550" s="1461">
        <v>0</v>
      </c>
      <c r="E550" s="1461">
        <v>0</v>
      </c>
      <c r="F550" s="1461">
        <v>0</v>
      </c>
      <c r="G550" s="1461">
        <v>0</v>
      </c>
      <c r="H550" s="1461">
        <v>0</v>
      </c>
      <c r="I550" s="1461">
        <v>1</v>
      </c>
      <c r="J550" s="1462">
        <f t="shared" si="89"/>
        <v>1</v>
      </c>
      <c r="K550" s="1462">
        <f t="shared" si="90"/>
        <v>0</v>
      </c>
      <c r="L550" s="1461">
        <f t="shared" si="91"/>
        <v>0</v>
      </c>
      <c r="M550" s="955" t="s">
        <v>3457</v>
      </c>
      <c r="N550" s="955" t="s">
        <v>3458</v>
      </c>
    </row>
    <row r="551" spans="1:14" x14ac:dyDescent="0.4">
      <c r="A551" s="16">
        <v>192647</v>
      </c>
      <c r="B551" s="16">
        <v>60</v>
      </c>
      <c r="C551" s="16">
        <f t="shared" si="88"/>
        <v>300</v>
      </c>
      <c r="D551" s="1802">
        <v>0</v>
      </c>
      <c r="E551" s="1802">
        <v>0</v>
      </c>
      <c r="F551" s="1802">
        <v>0</v>
      </c>
      <c r="G551" s="1802">
        <v>0</v>
      </c>
      <c r="H551" s="1802">
        <v>0</v>
      </c>
      <c r="I551" s="1802">
        <v>0</v>
      </c>
      <c r="J551" s="1803">
        <f t="shared" si="89"/>
        <v>0</v>
      </c>
      <c r="K551" s="1803">
        <f t="shared" si="90"/>
        <v>0</v>
      </c>
      <c r="L551" s="1802">
        <f t="shared" si="91"/>
        <v>0</v>
      </c>
      <c r="M551" s="30" t="s">
        <v>3457</v>
      </c>
      <c r="N551" s="30" t="s">
        <v>3458</v>
      </c>
    </row>
    <row r="552" spans="1:14" x14ac:dyDescent="0.4">
      <c r="A552" s="22">
        <v>192648</v>
      </c>
      <c r="B552" s="22">
        <v>60</v>
      </c>
      <c r="C552" s="22">
        <f t="shared" si="88"/>
        <v>300</v>
      </c>
      <c r="D552" s="557">
        <v>0</v>
      </c>
      <c r="E552" s="557">
        <v>0</v>
      </c>
      <c r="F552" s="557">
        <v>0</v>
      </c>
      <c r="G552" s="557">
        <v>0</v>
      </c>
      <c r="H552" s="557">
        <v>0</v>
      </c>
      <c r="I552" s="557">
        <v>0</v>
      </c>
      <c r="J552" s="24">
        <f t="shared" si="89"/>
        <v>0</v>
      </c>
      <c r="K552" s="24">
        <f t="shared" si="90"/>
        <v>0</v>
      </c>
      <c r="L552" s="557">
        <f t="shared" si="91"/>
        <v>0</v>
      </c>
      <c r="M552" s="29" t="s">
        <v>3457</v>
      </c>
      <c r="N552" s="29" t="s">
        <v>3458</v>
      </c>
    </row>
    <row r="553" spans="1:14" x14ac:dyDescent="0.4">
      <c r="A553" s="36">
        <v>192649</v>
      </c>
      <c r="B553">
        <v>60</v>
      </c>
      <c r="C553" s="36">
        <f t="shared" si="88"/>
        <v>300</v>
      </c>
      <c r="D553" s="1461">
        <v>0</v>
      </c>
      <c r="E553" s="1461">
        <v>0</v>
      </c>
      <c r="F553" s="1461">
        <v>0</v>
      </c>
      <c r="G553" s="1461">
        <v>1</v>
      </c>
      <c r="H553" s="1461">
        <v>1</v>
      </c>
      <c r="I553" s="1461">
        <v>1</v>
      </c>
      <c r="J553" s="1462">
        <f t="shared" si="89"/>
        <v>3</v>
      </c>
      <c r="K553" s="1462">
        <f t="shared" si="90"/>
        <v>2</v>
      </c>
      <c r="L553" s="1461">
        <f t="shared" si="91"/>
        <v>120</v>
      </c>
      <c r="M553" s="955" t="s">
        <v>3457</v>
      </c>
      <c r="N553" s="955" t="s">
        <v>3458</v>
      </c>
    </row>
    <row r="554" spans="1:14" x14ac:dyDescent="0.4">
      <c r="A554" s="36">
        <v>192650</v>
      </c>
      <c r="B554">
        <v>60</v>
      </c>
      <c r="C554" s="36">
        <f t="shared" si="88"/>
        <v>300</v>
      </c>
      <c r="D554" s="1461">
        <v>0</v>
      </c>
      <c r="E554" s="1461">
        <v>0</v>
      </c>
      <c r="F554" s="1461">
        <v>0</v>
      </c>
      <c r="G554" s="1461">
        <v>1</v>
      </c>
      <c r="H554" s="1461">
        <v>1</v>
      </c>
      <c r="I554" s="1461">
        <v>1</v>
      </c>
      <c r="J554" s="1462">
        <f t="shared" si="89"/>
        <v>3</v>
      </c>
      <c r="K554" s="1462">
        <f t="shared" si="90"/>
        <v>2</v>
      </c>
      <c r="L554" s="1461">
        <f t="shared" si="91"/>
        <v>120</v>
      </c>
      <c r="M554" s="955" t="s">
        <v>3459</v>
      </c>
      <c r="N554" s="955" t="s">
        <v>3460</v>
      </c>
    </row>
    <row r="555" spans="1:14" x14ac:dyDescent="0.4">
      <c r="A555" s="16">
        <v>192651</v>
      </c>
      <c r="B555" s="16">
        <v>45</v>
      </c>
      <c r="C555" s="16">
        <f t="shared" si="88"/>
        <v>225</v>
      </c>
      <c r="D555" s="1509">
        <v>0</v>
      </c>
      <c r="E555" s="1509">
        <v>0</v>
      </c>
      <c r="F555" s="1509">
        <v>0</v>
      </c>
      <c r="G555" s="1509">
        <v>0</v>
      </c>
      <c r="H555" s="1509">
        <v>0</v>
      </c>
      <c r="I555" s="1509">
        <v>0</v>
      </c>
      <c r="J555" s="1510">
        <f t="shared" si="89"/>
        <v>0</v>
      </c>
      <c r="K555" s="1510">
        <f t="shared" si="90"/>
        <v>0</v>
      </c>
      <c r="L555" s="1509">
        <f t="shared" si="91"/>
        <v>0</v>
      </c>
      <c r="M555" s="30" t="s">
        <v>3461</v>
      </c>
      <c r="N555" s="30" t="s">
        <v>3462</v>
      </c>
    </row>
    <row r="556" spans="1:14" x14ac:dyDescent="0.4">
      <c r="A556" s="16">
        <v>192652</v>
      </c>
      <c r="B556" s="16">
        <v>45</v>
      </c>
      <c r="C556" s="16">
        <f t="shared" si="88"/>
        <v>225</v>
      </c>
      <c r="D556" s="1691">
        <v>0</v>
      </c>
      <c r="E556" s="1691">
        <v>0</v>
      </c>
      <c r="F556" s="1691">
        <v>0</v>
      </c>
      <c r="G556" s="1691">
        <v>0</v>
      </c>
      <c r="H556" s="1691">
        <v>0</v>
      </c>
      <c r="I556" s="1691">
        <v>0</v>
      </c>
      <c r="J556" s="1692">
        <f t="shared" si="89"/>
        <v>0</v>
      </c>
      <c r="K556" s="1692">
        <f t="shared" si="90"/>
        <v>0</v>
      </c>
      <c r="L556" s="1691">
        <f t="shared" si="91"/>
        <v>0</v>
      </c>
      <c r="M556" s="30" t="s">
        <v>3463</v>
      </c>
      <c r="N556" s="30" t="s">
        <v>3464</v>
      </c>
    </row>
    <row r="557" spans="1:14" x14ac:dyDescent="0.4">
      <c r="A557" s="36">
        <v>192653</v>
      </c>
      <c r="B557">
        <v>45</v>
      </c>
      <c r="C557" s="36">
        <f t="shared" si="88"/>
        <v>225</v>
      </c>
      <c r="D557" s="1461">
        <v>0</v>
      </c>
      <c r="E557" s="1461">
        <v>0</v>
      </c>
      <c r="F557" s="1461">
        <v>0</v>
      </c>
      <c r="G557" s="1461">
        <v>0</v>
      </c>
      <c r="H557" s="1461">
        <v>0</v>
      </c>
      <c r="I557" s="1461">
        <v>1</v>
      </c>
      <c r="J557" s="1462">
        <f t="shared" si="89"/>
        <v>1</v>
      </c>
      <c r="K557" s="1462">
        <f t="shared" si="90"/>
        <v>0</v>
      </c>
      <c r="L557" s="1461">
        <f t="shared" si="91"/>
        <v>0</v>
      </c>
      <c r="M557" s="955" t="s">
        <v>3465</v>
      </c>
      <c r="N557" s="955" t="s">
        <v>3466</v>
      </c>
    </row>
    <row r="558" spans="1:14" x14ac:dyDescent="0.4">
      <c r="A558" s="1993">
        <v>192654</v>
      </c>
      <c r="B558" s="1993">
        <v>45</v>
      </c>
      <c r="C558" s="1993">
        <f t="shared" si="88"/>
        <v>225</v>
      </c>
      <c r="D558" s="1994">
        <v>0</v>
      </c>
      <c r="E558" s="1994">
        <v>0</v>
      </c>
      <c r="F558" s="1994">
        <v>0</v>
      </c>
      <c r="G558" s="1994">
        <v>0</v>
      </c>
      <c r="H558" s="1994">
        <v>0</v>
      </c>
      <c r="I558" s="1994">
        <v>0</v>
      </c>
      <c r="J558" s="1995">
        <f t="shared" si="89"/>
        <v>0</v>
      </c>
      <c r="K558" s="1995">
        <f t="shared" si="90"/>
        <v>0</v>
      </c>
      <c r="L558" s="1994">
        <f t="shared" si="91"/>
        <v>0</v>
      </c>
      <c r="M558" s="1996" t="s">
        <v>3465</v>
      </c>
      <c r="N558" s="1996" t="s">
        <v>3466</v>
      </c>
    </row>
    <row r="559" spans="1:14" x14ac:dyDescent="0.4">
      <c r="A559" s="36">
        <v>192655</v>
      </c>
      <c r="B559">
        <v>60</v>
      </c>
      <c r="C559" s="36">
        <f t="shared" si="88"/>
        <v>300</v>
      </c>
      <c r="D559" s="1461">
        <v>0</v>
      </c>
      <c r="E559" s="1461">
        <v>0</v>
      </c>
      <c r="F559" s="1461">
        <v>1</v>
      </c>
      <c r="G559" s="1461">
        <v>1</v>
      </c>
      <c r="H559" s="1461">
        <v>1</v>
      </c>
      <c r="I559" s="1461">
        <v>1</v>
      </c>
      <c r="J559" s="1462">
        <f t="shared" si="89"/>
        <v>4</v>
      </c>
      <c r="K559" s="1462">
        <f t="shared" si="90"/>
        <v>3</v>
      </c>
      <c r="L559" s="1461">
        <f t="shared" si="91"/>
        <v>180</v>
      </c>
      <c r="M559" s="955" t="s">
        <v>3467</v>
      </c>
      <c r="N559" s="955" t="s">
        <v>3468</v>
      </c>
    </row>
    <row r="560" spans="1:14" x14ac:dyDescent="0.4">
      <c r="A560" s="36">
        <v>192656</v>
      </c>
      <c r="B560">
        <v>60</v>
      </c>
      <c r="C560" s="36">
        <f t="shared" si="88"/>
        <v>300</v>
      </c>
      <c r="D560" s="1461">
        <v>0</v>
      </c>
      <c r="E560" s="1461">
        <v>0</v>
      </c>
      <c r="F560" s="1461">
        <v>0</v>
      </c>
      <c r="G560" s="1461">
        <v>0</v>
      </c>
      <c r="H560" s="1461">
        <v>1</v>
      </c>
      <c r="I560" s="1461">
        <v>1</v>
      </c>
      <c r="J560" s="1462">
        <f t="shared" si="89"/>
        <v>2</v>
      </c>
      <c r="K560" s="1462">
        <f t="shared" si="90"/>
        <v>1</v>
      </c>
      <c r="L560" s="1461">
        <f t="shared" si="91"/>
        <v>60</v>
      </c>
      <c r="M560" s="955" t="s">
        <v>3467</v>
      </c>
      <c r="N560" s="955" t="s">
        <v>3468</v>
      </c>
    </row>
    <row r="561" spans="1:15" x14ac:dyDescent="0.4">
      <c r="A561" s="36">
        <v>192657</v>
      </c>
      <c r="B561">
        <v>60</v>
      </c>
      <c r="C561" s="36">
        <f t="shared" si="88"/>
        <v>300</v>
      </c>
      <c r="D561" s="1461">
        <v>0</v>
      </c>
      <c r="E561" s="1461">
        <v>0</v>
      </c>
      <c r="F561" s="1461">
        <v>0</v>
      </c>
      <c r="G561" s="1461">
        <v>0</v>
      </c>
      <c r="H561" s="1461">
        <v>1</v>
      </c>
      <c r="I561" s="1461">
        <v>1</v>
      </c>
      <c r="J561" s="1462">
        <f t="shared" si="89"/>
        <v>2</v>
      </c>
      <c r="K561" s="1462">
        <f t="shared" si="90"/>
        <v>1</v>
      </c>
      <c r="L561" s="1461">
        <f t="shared" si="91"/>
        <v>60</v>
      </c>
      <c r="M561" s="955" t="s">
        <v>3469</v>
      </c>
      <c r="N561" s="955" t="s">
        <v>3470</v>
      </c>
    </row>
    <row r="562" spans="1:15" x14ac:dyDescent="0.4">
      <c r="A562" s="36">
        <v>192658</v>
      </c>
      <c r="B562">
        <v>45</v>
      </c>
      <c r="C562" s="36">
        <f t="shared" si="88"/>
        <v>225</v>
      </c>
      <c r="D562" s="1461">
        <v>0</v>
      </c>
      <c r="E562" s="1461">
        <v>0</v>
      </c>
      <c r="F562" s="1461">
        <v>0</v>
      </c>
      <c r="G562" s="1461">
        <v>0</v>
      </c>
      <c r="H562" s="1461">
        <v>1</v>
      </c>
      <c r="I562" s="1461">
        <v>1</v>
      </c>
      <c r="J562" s="1462">
        <f t="shared" si="89"/>
        <v>2</v>
      </c>
      <c r="K562" s="1462">
        <f t="shared" si="90"/>
        <v>1</v>
      </c>
      <c r="L562" s="1461">
        <f t="shared" si="91"/>
        <v>45</v>
      </c>
      <c r="M562" s="955" t="s">
        <v>3469</v>
      </c>
      <c r="N562" s="955" t="s">
        <v>3470</v>
      </c>
    </row>
    <row r="563" spans="1:15" x14ac:dyDescent="0.4">
      <c r="A563" s="16">
        <v>192659</v>
      </c>
      <c r="B563" s="16">
        <v>60</v>
      </c>
      <c r="C563" s="16">
        <f t="shared" si="88"/>
        <v>300</v>
      </c>
      <c r="D563" s="1933">
        <v>0</v>
      </c>
      <c r="E563" s="1933">
        <v>0</v>
      </c>
      <c r="F563" s="1933">
        <v>0</v>
      </c>
      <c r="G563" s="1933">
        <v>0</v>
      </c>
      <c r="H563" s="1933">
        <v>0</v>
      </c>
      <c r="I563" s="1933">
        <v>0</v>
      </c>
      <c r="J563" s="1934">
        <f t="shared" si="89"/>
        <v>0</v>
      </c>
      <c r="K563" s="1934">
        <f t="shared" si="90"/>
        <v>0</v>
      </c>
      <c r="L563" s="1933">
        <f t="shared" si="91"/>
        <v>0</v>
      </c>
      <c r="M563" s="30" t="s">
        <v>3471</v>
      </c>
      <c r="N563" s="30" t="s">
        <v>3472</v>
      </c>
    </row>
    <row r="564" spans="1:15" x14ac:dyDescent="0.4">
      <c r="A564" s="36">
        <v>192660</v>
      </c>
      <c r="B564">
        <v>60</v>
      </c>
      <c r="C564" s="36">
        <f t="shared" si="88"/>
        <v>300</v>
      </c>
      <c r="D564" s="1461">
        <v>0</v>
      </c>
      <c r="E564" s="1461">
        <v>0</v>
      </c>
      <c r="F564" s="1461">
        <v>0</v>
      </c>
      <c r="G564" s="1461">
        <v>0</v>
      </c>
      <c r="H564" s="1461">
        <v>0</v>
      </c>
      <c r="I564" s="1461">
        <v>1</v>
      </c>
      <c r="J564" s="1462">
        <f t="shared" si="89"/>
        <v>1</v>
      </c>
      <c r="K564" s="1462">
        <f t="shared" si="90"/>
        <v>0</v>
      </c>
      <c r="L564" s="1461">
        <f t="shared" si="91"/>
        <v>0</v>
      </c>
      <c r="M564" s="955" t="s">
        <v>3469</v>
      </c>
      <c r="N564" s="955" t="s">
        <v>3470</v>
      </c>
    </row>
    <row r="565" spans="1:15" x14ac:dyDescent="0.4">
      <c r="A565" s="36">
        <v>192661</v>
      </c>
      <c r="B565">
        <v>60</v>
      </c>
      <c r="C565" s="36">
        <f t="shared" si="88"/>
        <v>300</v>
      </c>
      <c r="D565" s="1461">
        <v>0</v>
      </c>
      <c r="E565" s="1461">
        <v>0</v>
      </c>
      <c r="F565" s="1461">
        <v>1</v>
      </c>
      <c r="G565" s="1461">
        <v>1</v>
      </c>
      <c r="H565" s="1461">
        <v>1</v>
      </c>
      <c r="I565" s="1461">
        <v>1</v>
      </c>
      <c r="J565" s="1462">
        <f t="shared" si="89"/>
        <v>4</v>
      </c>
      <c r="K565" s="1462">
        <f t="shared" si="90"/>
        <v>3</v>
      </c>
      <c r="L565" s="1461">
        <f t="shared" si="91"/>
        <v>180</v>
      </c>
      <c r="M565" s="955" t="s">
        <v>3471</v>
      </c>
      <c r="N565" s="955" t="s">
        <v>3472</v>
      </c>
    </row>
    <row r="566" spans="1:15" x14ac:dyDescent="0.4">
      <c r="A566" s="36">
        <v>192662</v>
      </c>
      <c r="B566">
        <v>45</v>
      </c>
      <c r="C566" s="36">
        <f t="shared" si="88"/>
        <v>225</v>
      </c>
      <c r="D566" s="1461">
        <v>0</v>
      </c>
      <c r="E566" s="1461">
        <v>1</v>
      </c>
      <c r="F566" s="1461">
        <v>1</v>
      </c>
      <c r="G566" s="1461">
        <v>1</v>
      </c>
      <c r="H566" s="1461">
        <v>1</v>
      </c>
      <c r="I566" s="1461">
        <v>1</v>
      </c>
      <c r="J566" s="1462">
        <f t="shared" si="89"/>
        <v>5</v>
      </c>
      <c r="K566" s="1462">
        <f t="shared" si="90"/>
        <v>4</v>
      </c>
      <c r="L566" s="1461">
        <f t="shared" si="91"/>
        <v>180</v>
      </c>
      <c r="M566" s="955" t="s">
        <v>3474</v>
      </c>
      <c r="N566" s="955" t="s">
        <v>3475</v>
      </c>
    </row>
    <row r="567" spans="1:15" x14ac:dyDescent="0.4">
      <c r="A567" s="36">
        <v>192663</v>
      </c>
      <c r="B567">
        <v>0</v>
      </c>
      <c r="C567" s="36">
        <f t="shared" si="88"/>
        <v>0</v>
      </c>
      <c r="D567" s="1461">
        <v>1</v>
      </c>
      <c r="E567" s="1461">
        <v>1</v>
      </c>
      <c r="F567" s="1461">
        <v>1</v>
      </c>
      <c r="G567" s="1461"/>
      <c r="H567" s="1461"/>
      <c r="I567" s="1461"/>
      <c r="J567" s="1462">
        <f t="shared" si="89"/>
        <v>3</v>
      </c>
      <c r="K567" s="1462">
        <f t="shared" si="90"/>
        <v>3</v>
      </c>
      <c r="L567" s="1461">
        <f t="shared" si="91"/>
        <v>0</v>
      </c>
      <c r="M567" s="955" t="s">
        <v>3474</v>
      </c>
      <c r="N567" s="955" t="s">
        <v>3475</v>
      </c>
      <c r="O567" t="s">
        <v>3654</v>
      </c>
    </row>
    <row r="568" spans="1:15" x14ac:dyDescent="0.4">
      <c r="A568" s="16">
        <v>192664</v>
      </c>
      <c r="B568" s="16">
        <v>60</v>
      </c>
      <c r="C568" s="16">
        <f t="shared" si="88"/>
        <v>300</v>
      </c>
      <c r="D568" s="1809">
        <v>0</v>
      </c>
      <c r="E568" s="1809">
        <v>0</v>
      </c>
      <c r="F568" s="1809">
        <v>0</v>
      </c>
      <c r="G568" s="1809">
        <v>0</v>
      </c>
      <c r="H568" s="1809">
        <v>0</v>
      </c>
      <c r="I568" s="1809">
        <v>0</v>
      </c>
      <c r="J568" s="1810">
        <f t="shared" si="89"/>
        <v>0</v>
      </c>
      <c r="K568" s="1810">
        <f t="shared" si="90"/>
        <v>0</v>
      </c>
      <c r="L568" s="1809">
        <f t="shared" si="91"/>
        <v>0</v>
      </c>
      <c r="M568" s="30" t="s">
        <v>3474</v>
      </c>
      <c r="N568" s="30" t="s">
        <v>3475</v>
      </c>
    </row>
    <row r="569" spans="1:15" x14ac:dyDescent="0.4">
      <c r="A569" s="36">
        <v>192665</v>
      </c>
      <c r="B569">
        <v>60</v>
      </c>
      <c r="C569" s="36">
        <f t="shared" si="88"/>
        <v>300</v>
      </c>
      <c r="D569" s="1461">
        <v>0</v>
      </c>
      <c r="E569" s="1461">
        <v>0</v>
      </c>
      <c r="F569" s="1461">
        <v>0</v>
      </c>
      <c r="G569" s="1461">
        <v>0</v>
      </c>
      <c r="H569" s="1461">
        <v>1</v>
      </c>
      <c r="I569" s="1461">
        <v>1</v>
      </c>
      <c r="J569" s="1462">
        <f t="shared" si="89"/>
        <v>2</v>
      </c>
      <c r="K569" s="1462">
        <f t="shared" si="90"/>
        <v>1</v>
      </c>
      <c r="L569" s="1461">
        <f t="shared" si="91"/>
        <v>60</v>
      </c>
      <c r="M569" s="955" t="s">
        <v>3476</v>
      </c>
      <c r="N569" s="955" t="s">
        <v>3477</v>
      </c>
    </row>
    <row r="570" spans="1:15" x14ac:dyDescent="0.4">
      <c r="A570" s="36">
        <v>192666</v>
      </c>
      <c r="B570">
        <v>60</v>
      </c>
      <c r="C570" s="36">
        <f t="shared" si="88"/>
        <v>300</v>
      </c>
      <c r="D570" s="1461">
        <v>1</v>
      </c>
      <c r="E570" s="1461">
        <v>1</v>
      </c>
      <c r="F570" s="1461">
        <v>1</v>
      </c>
      <c r="G570" s="1461">
        <v>1</v>
      </c>
      <c r="H570" s="1461">
        <v>1</v>
      </c>
      <c r="I570" s="1461">
        <v>1</v>
      </c>
      <c r="J570" s="1462">
        <f t="shared" si="89"/>
        <v>6</v>
      </c>
      <c r="K570" s="1462">
        <f t="shared" si="90"/>
        <v>5</v>
      </c>
      <c r="L570" s="1461">
        <f t="shared" si="91"/>
        <v>300</v>
      </c>
      <c r="M570" s="955" t="s">
        <v>3476</v>
      </c>
      <c r="N570" s="955" t="s">
        <v>3477</v>
      </c>
    </row>
    <row r="571" spans="1:15" x14ac:dyDescent="0.4">
      <c r="A571" s="16">
        <v>192667</v>
      </c>
      <c r="B571" s="16">
        <v>60</v>
      </c>
      <c r="C571" s="16">
        <f t="shared" si="88"/>
        <v>300</v>
      </c>
      <c r="D571" s="1610">
        <v>0</v>
      </c>
      <c r="E571" s="1610">
        <v>0</v>
      </c>
      <c r="F571" s="1610">
        <v>0</v>
      </c>
      <c r="G571" s="1610">
        <v>0</v>
      </c>
      <c r="H571" s="1610">
        <v>0</v>
      </c>
      <c r="I571" s="1610">
        <v>0</v>
      </c>
      <c r="J571" s="1611">
        <f t="shared" si="89"/>
        <v>0</v>
      </c>
      <c r="K571" s="1611">
        <f t="shared" si="90"/>
        <v>0</v>
      </c>
      <c r="L571" s="1610">
        <f t="shared" si="91"/>
        <v>0</v>
      </c>
      <c r="M571" s="30" t="s">
        <v>3479</v>
      </c>
      <c r="N571" s="30" t="s">
        <v>3478</v>
      </c>
    </row>
    <row r="572" spans="1:15" x14ac:dyDescent="0.4">
      <c r="A572" s="36">
        <v>192668</v>
      </c>
      <c r="B572">
        <v>35</v>
      </c>
      <c r="C572" s="36">
        <f t="shared" si="88"/>
        <v>175</v>
      </c>
      <c r="D572" s="1461">
        <v>0</v>
      </c>
      <c r="E572" s="1461">
        <v>0</v>
      </c>
      <c r="F572" s="1461">
        <v>0</v>
      </c>
      <c r="G572" s="1461">
        <v>0</v>
      </c>
      <c r="H572" s="1461">
        <v>0</v>
      </c>
      <c r="I572" s="1461">
        <v>1</v>
      </c>
      <c r="J572" s="1462">
        <f t="shared" si="89"/>
        <v>1</v>
      </c>
      <c r="K572" s="1462">
        <f t="shared" si="90"/>
        <v>0</v>
      </c>
      <c r="L572" s="1461">
        <f t="shared" si="91"/>
        <v>0</v>
      </c>
      <c r="M572" s="955" t="s">
        <v>3479</v>
      </c>
      <c r="N572" s="955" t="s">
        <v>3478</v>
      </c>
    </row>
    <row r="573" spans="1:15" x14ac:dyDescent="0.4">
      <c r="A573" s="36">
        <v>192669</v>
      </c>
      <c r="B573">
        <v>60</v>
      </c>
      <c r="C573" s="36">
        <f t="shared" si="88"/>
        <v>300</v>
      </c>
      <c r="D573" s="1461">
        <v>0</v>
      </c>
      <c r="E573" s="1461">
        <v>0</v>
      </c>
      <c r="F573" s="1461">
        <v>0</v>
      </c>
      <c r="G573" s="1461">
        <v>0</v>
      </c>
      <c r="H573" s="1461">
        <v>1</v>
      </c>
      <c r="I573" s="1461">
        <v>1</v>
      </c>
      <c r="J573" s="1462">
        <f t="shared" si="89"/>
        <v>2</v>
      </c>
      <c r="K573" s="1462">
        <f t="shared" si="90"/>
        <v>1</v>
      </c>
      <c r="L573" s="1461">
        <f t="shared" si="91"/>
        <v>60</v>
      </c>
      <c r="M573" s="955" t="s">
        <v>3480</v>
      </c>
      <c r="N573" s="955" t="s">
        <v>3481</v>
      </c>
    </row>
    <row r="574" spans="1:15" x14ac:dyDescent="0.4">
      <c r="A574" s="36">
        <v>192670</v>
      </c>
      <c r="B574">
        <v>45</v>
      </c>
      <c r="C574" s="36">
        <f t="shared" ref="C574:C603" si="92">SUM(B574*5)</f>
        <v>225</v>
      </c>
      <c r="D574" s="1481">
        <v>0</v>
      </c>
      <c r="E574" s="1481">
        <v>0</v>
      </c>
      <c r="F574" s="1481">
        <v>0</v>
      </c>
      <c r="G574" s="1481">
        <v>0</v>
      </c>
      <c r="H574" s="1481">
        <v>0</v>
      </c>
      <c r="I574" s="1481">
        <v>1</v>
      </c>
      <c r="J574" s="1482">
        <f t="shared" ref="J574:J603" si="93">SUM(D574:I574)</f>
        <v>1</v>
      </c>
      <c r="K574" s="1482">
        <f t="shared" ref="K574:K603" si="94">SUM(D574:H574)</f>
        <v>0</v>
      </c>
      <c r="L574" s="1481">
        <f t="shared" ref="L574:L603" si="95">B574*K574</f>
        <v>0</v>
      </c>
      <c r="M574" s="955" t="s">
        <v>3480</v>
      </c>
      <c r="N574" s="955" t="s">
        <v>3481</v>
      </c>
    </row>
    <row r="575" spans="1:15" x14ac:dyDescent="0.4">
      <c r="A575" s="16">
        <v>192671</v>
      </c>
      <c r="B575" s="16">
        <v>45</v>
      </c>
      <c r="C575" s="16">
        <f t="shared" si="92"/>
        <v>225</v>
      </c>
      <c r="D575" s="1895">
        <v>0</v>
      </c>
      <c r="E575" s="1895">
        <v>0</v>
      </c>
      <c r="F575" s="1895">
        <v>0</v>
      </c>
      <c r="G575" s="1895">
        <v>0</v>
      </c>
      <c r="H575" s="1895">
        <v>0</v>
      </c>
      <c r="I575" s="1895">
        <v>0</v>
      </c>
      <c r="J575" s="1896">
        <f t="shared" si="93"/>
        <v>0</v>
      </c>
      <c r="K575" s="1896">
        <f t="shared" si="94"/>
        <v>0</v>
      </c>
      <c r="L575" s="1895">
        <f t="shared" si="95"/>
        <v>0</v>
      </c>
      <c r="M575" s="30" t="s">
        <v>3480</v>
      </c>
      <c r="N575" s="30" t="s">
        <v>3481</v>
      </c>
    </row>
    <row r="576" spans="1:15" x14ac:dyDescent="0.4">
      <c r="A576" s="16">
        <v>192672</v>
      </c>
      <c r="B576" s="16">
        <v>45</v>
      </c>
      <c r="C576" s="16">
        <f t="shared" si="92"/>
        <v>225</v>
      </c>
      <c r="D576" s="1933">
        <v>0</v>
      </c>
      <c r="E576" s="1933">
        <v>0</v>
      </c>
      <c r="F576" s="1933">
        <v>0</v>
      </c>
      <c r="G576" s="1933">
        <v>0</v>
      </c>
      <c r="H576" s="1933">
        <v>0</v>
      </c>
      <c r="I576" s="1933">
        <v>0</v>
      </c>
      <c r="J576" s="1934">
        <f t="shared" si="93"/>
        <v>0</v>
      </c>
      <c r="K576" s="1934">
        <f t="shared" si="94"/>
        <v>0</v>
      </c>
      <c r="L576" s="1933">
        <f t="shared" si="95"/>
        <v>0</v>
      </c>
      <c r="M576" s="30" t="s">
        <v>3480</v>
      </c>
      <c r="N576" s="30" t="s">
        <v>3481</v>
      </c>
    </row>
    <row r="577" spans="1:14" x14ac:dyDescent="0.4">
      <c r="A577" s="22">
        <v>192673</v>
      </c>
      <c r="B577" s="22">
        <v>60</v>
      </c>
      <c r="C577" s="22">
        <f t="shared" si="92"/>
        <v>300</v>
      </c>
      <c r="D577" s="557">
        <v>0</v>
      </c>
      <c r="E577" s="557">
        <v>0</v>
      </c>
      <c r="F577" s="557">
        <v>0</v>
      </c>
      <c r="G577" s="557">
        <v>0</v>
      </c>
      <c r="H577" s="557">
        <v>0</v>
      </c>
      <c r="I577" s="557">
        <v>0</v>
      </c>
      <c r="J577" s="24">
        <f t="shared" si="93"/>
        <v>0</v>
      </c>
      <c r="K577" s="24">
        <f t="shared" si="94"/>
        <v>0</v>
      </c>
      <c r="L577" s="557">
        <f t="shared" si="95"/>
        <v>0</v>
      </c>
      <c r="M577" s="29" t="s">
        <v>3482</v>
      </c>
      <c r="N577" s="29" t="s">
        <v>3483</v>
      </c>
    </row>
    <row r="578" spans="1:14" x14ac:dyDescent="0.4">
      <c r="A578" s="16">
        <v>192674</v>
      </c>
      <c r="B578" s="16">
        <v>45</v>
      </c>
      <c r="C578" s="16">
        <f t="shared" si="92"/>
        <v>225</v>
      </c>
      <c r="D578" s="1555">
        <v>0</v>
      </c>
      <c r="E578" s="1555">
        <v>0</v>
      </c>
      <c r="F578" s="1555">
        <v>0</v>
      </c>
      <c r="G578" s="1555">
        <v>0</v>
      </c>
      <c r="H578" s="1555">
        <v>0</v>
      </c>
      <c r="I578" s="1555">
        <v>0</v>
      </c>
      <c r="J578" s="1556">
        <f t="shared" si="93"/>
        <v>0</v>
      </c>
      <c r="K578" s="1556">
        <f t="shared" si="94"/>
        <v>0</v>
      </c>
      <c r="L578" s="1555">
        <f t="shared" si="95"/>
        <v>0</v>
      </c>
      <c r="M578" s="30" t="s">
        <v>3482</v>
      </c>
      <c r="N578" s="30" t="s">
        <v>3483</v>
      </c>
    </row>
    <row r="579" spans="1:14" x14ac:dyDescent="0.4">
      <c r="A579" s="1940">
        <v>192675</v>
      </c>
      <c r="B579" s="1940">
        <v>60</v>
      </c>
      <c r="C579" s="1940">
        <f t="shared" si="92"/>
        <v>300</v>
      </c>
      <c r="D579" s="1941">
        <v>0</v>
      </c>
      <c r="E579" s="1941">
        <v>0</v>
      </c>
      <c r="F579" s="1941">
        <v>0</v>
      </c>
      <c r="G579" s="1941">
        <v>0</v>
      </c>
      <c r="H579" s="1941">
        <v>0</v>
      </c>
      <c r="I579" s="1941">
        <v>0</v>
      </c>
      <c r="J579" s="1942">
        <f t="shared" si="93"/>
        <v>0</v>
      </c>
      <c r="K579" s="1942">
        <f t="shared" si="94"/>
        <v>0</v>
      </c>
      <c r="L579" s="1941">
        <f t="shared" si="95"/>
        <v>0</v>
      </c>
      <c r="M579" s="1943" t="s">
        <v>3482</v>
      </c>
      <c r="N579" s="1943" t="s">
        <v>3483</v>
      </c>
    </row>
    <row r="580" spans="1:14" x14ac:dyDescent="0.4">
      <c r="A580" s="36">
        <v>192676</v>
      </c>
      <c r="B580">
        <v>60</v>
      </c>
      <c r="C580" s="36">
        <f t="shared" si="92"/>
        <v>300</v>
      </c>
      <c r="D580" s="1481">
        <v>0</v>
      </c>
      <c r="E580" s="1481">
        <v>0</v>
      </c>
      <c r="F580" s="1481">
        <v>0</v>
      </c>
      <c r="G580" s="1481">
        <v>0</v>
      </c>
      <c r="H580" s="1481">
        <v>1</v>
      </c>
      <c r="I580" s="1481">
        <v>1</v>
      </c>
      <c r="J580" s="1482">
        <f t="shared" si="93"/>
        <v>2</v>
      </c>
      <c r="K580" s="1482">
        <f t="shared" si="94"/>
        <v>1</v>
      </c>
      <c r="L580" s="1481">
        <f t="shared" si="95"/>
        <v>60</v>
      </c>
      <c r="M580" s="955" t="s">
        <v>3484</v>
      </c>
      <c r="N580" s="955" t="s">
        <v>3485</v>
      </c>
    </row>
    <row r="581" spans="1:14" x14ac:dyDescent="0.4">
      <c r="A581" s="36">
        <v>192677</v>
      </c>
      <c r="B581">
        <v>60</v>
      </c>
      <c r="C581" s="36">
        <f t="shared" si="92"/>
        <v>300</v>
      </c>
      <c r="D581" s="1481">
        <v>0</v>
      </c>
      <c r="E581" s="1481">
        <v>0</v>
      </c>
      <c r="F581" s="1481">
        <v>0</v>
      </c>
      <c r="G581" s="1481">
        <v>0</v>
      </c>
      <c r="H581" s="1481">
        <v>0</v>
      </c>
      <c r="I581" s="1481">
        <v>1</v>
      </c>
      <c r="J581" s="1482">
        <f t="shared" si="93"/>
        <v>1</v>
      </c>
      <c r="K581" s="1482">
        <f t="shared" si="94"/>
        <v>0</v>
      </c>
      <c r="L581" s="1481">
        <f t="shared" si="95"/>
        <v>0</v>
      </c>
      <c r="M581" s="955" t="s">
        <v>3486</v>
      </c>
      <c r="N581" s="955" t="s">
        <v>3487</v>
      </c>
    </row>
    <row r="582" spans="1:14" x14ac:dyDescent="0.4">
      <c r="A582" s="359">
        <v>192678</v>
      </c>
      <c r="B582" s="359">
        <v>60</v>
      </c>
      <c r="C582" s="359">
        <f t="shared" si="92"/>
        <v>300</v>
      </c>
      <c r="D582" s="1967">
        <v>0</v>
      </c>
      <c r="E582" s="1967">
        <v>0</v>
      </c>
      <c r="F582" s="1967">
        <v>0</v>
      </c>
      <c r="G582" s="1967">
        <v>0</v>
      </c>
      <c r="H582" s="1967">
        <v>0</v>
      </c>
      <c r="I582" s="1967">
        <v>0</v>
      </c>
      <c r="J582" s="360">
        <f t="shared" si="93"/>
        <v>0</v>
      </c>
      <c r="K582" s="360">
        <f t="shared" si="94"/>
        <v>0</v>
      </c>
      <c r="L582" s="1967">
        <f t="shared" si="95"/>
        <v>0</v>
      </c>
      <c r="M582" s="1968" t="s">
        <v>3486</v>
      </c>
      <c r="N582" s="1968" t="s">
        <v>3487</v>
      </c>
    </row>
    <row r="583" spans="1:14" x14ac:dyDescent="0.4">
      <c r="A583" s="359">
        <v>192679</v>
      </c>
      <c r="B583" s="359">
        <v>90</v>
      </c>
      <c r="C583" s="359">
        <f t="shared" si="92"/>
        <v>450</v>
      </c>
      <c r="D583" s="1967">
        <v>0</v>
      </c>
      <c r="E583" s="1967">
        <v>0</v>
      </c>
      <c r="F583" s="1967">
        <v>0</v>
      </c>
      <c r="G583" s="1967">
        <v>0</v>
      </c>
      <c r="H583" s="1967">
        <v>0</v>
      </c>
      <c r="I583" s="1967">
        <v>0</v>
      </c>
      <c r="J583" s="360">
        <f t="shared" si="93"/>
        <v>0</v>
      </c>
      <c r="K583" s="360">
        <f t="shared" si="94"/>
        <v>0</v>
      </c>
      <c r="L583" s="1967">
        <f t="shared" si="95"/>
        <v>0</v>
      </c>
      <c r="M583" s="1968" t="s">
        <v>3486</v>
      </c>
      <c r="N583" s="1968" t="s">
        <v>3487</v>
      </c>
    </row>
    <row r="584" spans="1:14" x14ac:dyDescent="0.4">
      <c r="A584" s="36">
        <v>192680</v>
      </c>
      <c r="B584">
        <v>60</v>
      </c>
      <c r="C584" s="36">
        <f t="shared" si="92"/>
        <v>300</v>
      </c>
      <c r="D584" s="1481">
        <v>0</v>
      </c>
      <c r="E584" s="1481">
        <v>0</v>
      </c>
      <c r="F584" s="1481">
        <v>0</v>
      </c>
      <c r="G584" s="1481">
        <v>0</v>
      </c>
      <c r="H584" s="1481">
        <v>0</v>
      </c>
      <c r="I584" s="1481">
        <v>1</v>
      </c>
      <c r="J584" s="1482">
        <f t="shared" si="93"/>
        <v>1</v>
      </c>
      <c r="K584" s="1482">
        <f t="shared" si="94"/>
        <v>0</v>
      </c>
      <c r="L584" s="1481">
        <f t="shared" si="95"/>
        <v>0</v>
      </c>
      <c r="M584" s="955" t="s">
        <v>3486</v>
      </c>
      <c r="N584" s="955" t="s">
        <v>3487</v>
      </c>
    </row>
    <row r="585" spans="1:14" x14ac:dyDescent="0.4">
      <c r="A585" s="1960">
        <v>192681</v>
      </c>
      <c r="B585" s="1960">
        <v>50</v>
      </c>
      <c r="C585" s="1960">
        <f t="shared" si="92"/>
        <v>250</v>
      </c>
      <c r="D585" s="1961">
        <v>0</v>
      </c>
      <c r="E585" s="1961">
        <v>0</v>
      </c>
      <c r="F585" s="1961">
        <v>0</v>
      </c>
      <c r="G585" s="1961">
        <v>0</v>
      </c>
      <c r="H585" s="1961">
        <v>0</v>
      </c>
      <c r="I585" s="1961">
        <v>0</v>
      </c>
      <c r="J585" s="1962">
        <f t="shared" si="93"/>
        <v>0</v>
      </c>
      <c r="K585" s="1962">
        <f t="shared" si="94"/>
        <v>0</v>
      </c>
      <c r="L585" s="1961">
        <f t="shared" si="95"/>
        <v>0</v>
      </c>
      <c r="M585" s="1963" t="s">
        <v>3486</v>
      </c>
      <c r="N585" s="1963" t="s">
        <v>3487</v>
      </c>
    </row>
    <row r="586" spans="1:14" x14ac:dyDescent="0.4">
      <c r="A586" s="36">
        <v>192682</v>
      </c>
      <c r="B586">
        <v>60</v>
      </c>
      <c r="C586" s="36">
        <f t="shared" si="92"/>
        <v>300</v>
      </c>
      <c r="D586" s="1481">
        <v>0</v>
      </c>
      <c r="E586" s="1481">
        <v>1</v>
      </c>
      <c r="F586" s="1481">
        <v>1</v>
      </c>
      <c r="G586" s="1481">
        <v>1</v>
      </c>
      <c r="H586" s="1481">
        <v>1</v>
      </c>
      <c r="I586" s="1481">
        <v>1</v>
      </c>
      <c r="J586" s="1482">
        <f t="shared" si="93"/>
        <v>5</v>
      </c>
      <c r="K586" s="1482">
        <f t="shared" si="94"/>
        <v>4</v>
      </c>
      <c r="L586" s="1481">
        <f t="shared" si="95"/>
        <v>240</v>
      </c>
      <c r="M586" s="955" t="s">
        <v>3486</v>
      </c>
      <c r="N586" s="955" t="s">
        <v>3487</v>
      </c>
    </row>
    <row r="587" spans="1:14" x14ac:dyDescent="0.4">
      <c r="A587" s="36">
        <v>192683</v>
      </c>
      <c r="B587">
        <v>45</v>
      </c>
      <c r="C587" s="36">
        <f t="shared" si="92"/>
        <v>225</v>
      </c>
      <c r="D587" s="1481">
        <v>0</v>
      </c>
      <c r="E587" s="1481">
        <v>1</v>
      </c>
      <c r="F587" s="1481">
        <v>1</v>
      </c>
      <c r="G587" s="1481">
        <v>1</v>
      </c>
      <c r="H587" s="1481">
        <v>1</v>
      </c>
      <c r="I587" s="1481">
        <v>1</v>
      </c>
      <c r="J587" s="1482">
        <f t="shared" si="93"/>
        <v>5</v>
      </c>
      <c r="K587" s="1482">
        <f t="shared" si="94"/>
        <v>4</v>
      </c>
      <c r="L587" s="1481">
        <f t="shared" si="95"/>
        <v>180</v>
      </c>
      <c r="M587" s="955" t="s">
        <v>3488</v>
      </c>
      <c r="N587" s="955" t="s">
        <v>3489</v>
      </c>
    </row>
    <row r="588" spans="1:14" x14ac:dyDescent="0.4">
      <c r="A588" s="22">
        <v>192684</v>
      </c>
      <c r="B588" s="22">
        <v>60</v>
      </c>
      <c r="C588" s="22">
        <f t="shared" si="92"/>
        <v>300</v>
      </c>
      <c r="D588" s="557">
        <v>0</v>
      </c>
      <c r="E588" s="557">
        <v>0</v>
      </c>
      <c r="F588" s="557">
        <v>0</v>
      </c>
      <c r="G588" s="557">
        <v>0</v>
      </c>
      <c r="H588" s="557">
        <v>0</v>
      </c>
      <c r="I588" s="557">
        <v>0</v>
      </c>
      <c r="J588" s="24">
        <f t="shared" si="93"/>
        <v>0</v>
      </c>
      <c r="K588" s="24">
        <f t="shared" si="94"/>
        <v>0</v>
      </c>
      <c r="L588" s="557">
        <f t="shared" si="95"/>
        <v>0</v>
      </c>
      <c r="M588" s="29" t="s">
        <v>3488</v>
      </c>
      <c r="N588" s="29" t="s">
        <v>3489</v>
      </c>
    </row>
    <row r="589" spans="1:14" x14ac:dyDescent="0.4">
      <c r="A589" s="36">
        <v>192685</v>
      </c>
      <c r="B589">
        <v>60</v>
      </c>
      <c r="C589" s="36">
        <f t="shared" si="92"/>
        <v>300</v>
      </c>
      <c r="D589" s="1481">
        <v>0</v>
      </c>
      <c r="E589" s="1481">
        <v>0</v>
      </c>
      <c r="F589" s="1481">
        <v>0</v>
      </c>
      <c r="G589" s="1481">
        <v>0</v>
      </c>
      <c r="H589" s="1481">
        <v>0</v>
      </c>
      <c r="I589" s="1481">
        <v>1</v>
      </c>
      <c r="J589" s="1482">
        <f t="shared" si="93"/>
        <v>1</v>
      </c>
      <c r="K589" s="1482">
        <f t="shared" si="94"/>
        <v>0</v>
      </c>
      <c r="L589" s="1481">
        <f t="shared" si="95"/>
        <v>0</v>
      </c>
      <c r="M589" s="955" t="s">
        <v>3490</v>
      </c>
      <c r="N589" s="955" t="s">
        <v>3491</v>
      </c>
    </row>
    <row r="590" spans="1:14" x14ac:dyDescent="0.4">
      <c r="A590" s="1960">
        <v>192686</v>
      </c>
      <c r="B590" s="1960">
        <v>60</v>
      </c>
      <c r="C590" s="1960">
        <f t="shared" si="92"/>
        <v>300</v>
      </c>
      <c r="D590" s="1961">
        <v>0</v>
      </c>
      <c r="E590" s="1961">
        <v>0</v>
      </c>
      <c r="F590" s="1961">
        <v>0</v>
      </c>
      <c r="G590" s="1961">
        <v>0</v>
      </c>
      <c r="H590" s="1961">
        <v>0</v>
      </c>
      <c r="I590" s="1961">
        <v>0</v>
      </c>
      <c r="J590" s="1962">
        <f t="shared" si="93"/>
        <v>0</v>
      </c>
      <c r="K590" s="1962">
        <f t="shared" si="94"/>
        <v>0</v>
      </c>
      <c r="L590" s="1961">
        <f t="shared" si="95"/>
        <v>0</v>
      </c>
      <c r="M590" s="1963" t="s">
        <v>3492</v>
      </c>
      <c r="N590" s="1963" t="s">
        <v>3493</v>
      </c>
    </row>
    <row r="591" spans="1:14" x14ac:dyDescent="0.4">
      <c r="A591" s="36">
        <v>192687</v>
      </c>
      <c r="B591">
        <v>60</v>
      </c>
      <c r="C591" s="36">
        <f t="shared" si="92"/>
        <v>300</v>
      </c>
      <c r="D591" s="1481">
        <v>0</v>
      </c>
      <c r="E591" s="1481">
        <v>0</v>
      </c>
      <c r="F591" s="1481">
        <v>0</v>
      </c>
      <c r="G591" s="1481">
        <v>1</v>
      </c>
      <c r="H591" s="1481">
        <v>1</v>
      </c>
      <c r="I591" s="1481">
        <v>1</v>
      </c>
      <c r="J591" s="1482">
        <f t="shared" si="93"/>
        <v>3</v>
      </c>
      <c r="K591" s="1482">
        <f t="shared" si="94"/>
        <v>2</v>
      </c>
      <c r="L591" s="1481">
        <f t="shared" si="95"/>
        <v>120</v>
      </c>
      <c r="M591" s="955" t="s">
        <v>3492</v>
      </c>
      <c r="N591" s="955" t="s">
        <v>3493</v>
      </c>
    </row>
    <row r="592" spans="1:14" x14ac:dyDescent="0.4">
      <c r="A592" s="36">
        <v>192688</v>
      </c>
      <c r="B592">
        <v>60</v>
      </c>
      <c r="C592" s="36">
        <f t="shared" si="92"/>
        <v>300</v>
      </c>
      <c r="D592" s="1481">
        <v>0</v>
      </c>
      <c r="E592" s="1481">
        <v>0</v>
      </c>
      <c r="F592" s="1481">
        <v>0</v>
      </c>
      <c r="G592" s="1481">
        <v>0</v>
      </c>
      <c r="H592" s="1481">
        <v>0</v>
      </c>
      <c r="I592" s="1481">
        <v>1</v>
      </c>
      <c r="J592" s="1482">
        <f t="shared" si="93"/>
        <v>1</v>
      </c>
      <c r="K592" s="1482">
        <f t="shared" si="94"/>
        <v>0</v>
      </c>
      <c r="L592" s="1481">
        <f t="shared" si="95"/>
        <v>0</v>
      </c>
      <c r="M592" s="955" t="s">
        <v>3494</v>
      </c>
      <c r="N592" s="955" t="s">
        <v>3495</v>
      </c>
    </row>
    <row r="593" spans="1:16" x14ac:dyDescent="0.4">
      <c r="A593" s="16">
        <v>192689</v>
      </c>
      <c r="B593" s="16">
        <v>45</v>
      </c>
      <c r="C593" s="16">
        <f>SUM(B593*1)</f>
        <v>45</v>
      </c>
      <c r="D593" s="1662">
        <v>0</v>
      </c>
      <c r="E593" s="1662"/>
      <c r="F593" s="1662"/>
      <c r="G593" s="1662"/>
      <c r="H593" s="1662"/>
      <c r="I593" s="1662"/>
      <c r="J593" s="1663">
        <f t="shared" si="93"/>
        <v>0</v>
      </c>
      <c r="K593" s="1663">
        <f t="shared" si="94"/>
        <v>0</v>
      </c>
      <c r="L593" s="1662">
        <f t="shared" si="95"/>
        <v>0</v>
      </c>
      <c r="M593" s="30" t="s">
        <v>3494</v>
      </c>
      <c r="N593" s="30" t="s">
        <v>3495</v>
      </c>
    </row>
    <row r="594" spans="1:16" x14ac:dyDescent="0.4">
      <c r="A594" s="5">
        <v>192690</v>
      </c>
      <c r="B594" s="5">
        <v>45</v>
      </c>
      <c r="C594" s="5">
        <f>SUM(B594*1)</f>
        <v>45</v>
      </c>
      <c r="D594" s="1932">
        <v>1</v>
      </c>
      <c r="E594" s="1932"/>
      <c r="F594" s="1932"/>
      <c r="G594" s="1932"/>
      <c r="H594" s="1932"/>
      <c r="I594" s="1932"/>
      <c r="J594" s="1929">
        <f t="shared" si="93"/>
        <v>1</v>
      </c>
      <c r="K594" s="1929">
        <f t="shared" si="94"/>
        <v>1</v>
      </c>
      <c r="L594" s="1932">
        <f t="shared" si="95"/>
        <v>45</v>
      </c>
      <c r="M594" s="1930" t="s">
        <v>3494</v>
      </c>
      <c r="N594" s="1930" t="s">
        <v>3495</v>
      </c>
    </row>
    <row r="595" spans="1:16" x14ac:dyDescent="0.4">
      <c r="A595" s="36">
        <v>192691</v>
      </c>
      <c r="B595">
        <v>45</v>
      </c>
      <c r="C595" s="36">
        <f t="shared" si="92"/>
        <v>225</v>
      </c>
      <c r="D595" s="1481">
        <v>0</v>
      </c>
      <c r="E595" s="1481">
        <v>0</v>
      </c>
      <c r="F595" s="1481">
        <v>0</v>
      </c>
      <c r="G595" s="1481">
        <v>0</v>
      </c>
      <c r="H595" s="1481">
        <v>0</v>
      </c>
      <c r="I595" s="1481">
        <v>1</v>
      </c>
      <c r="J595" s="1482">
        <f t="shared" si="93"/>
        <v>1</v>
      </c>
      <c r="K595" s="1482">
        <f t="shared" si="94"/>
        <v>0</v>
      </c>
      <c r="L595" s="1481">
        <f t="shared" si="95"/>
        <v>0</v>
      </c>
      <c r="M595" s="955" t="s">
        <v>3494</v>
      </c>
      <c r="N595" s="955" t="s">
        <v>3495</v>
      </c>
      <c r="O595" t="s">
        <v>3713</v>
      </c>
    </row>
    <row r="596" spans="1:16" x14ac:dyDescent="0.4">
      <c r="A596" s="36">
        <v>192692</v>
      </c>
      <c r="B596">
        <v>45</v>
      </c>
      <c r="C596" s="36">
        <f t="shared" si="92"/>
        <v>225</v>
      </c>
      <c r="D596" s="1481">
        <v>0</v>
      </c>
      <c r="E596" s="1481">
        <v>0</v>
      </c>
      <c r="F596" s="1481">
        <v>0</v>
      </c>
      <c r="G596" s="1481">
        <v>0</v>
      </c>
      <c r="H596" s="1481">
        <v>1</v>
      </c>
      <c r="I596" s="1481">
        <v>1</v>
      </c>
      <c r="J596" s="1482">
        <f t="shared" si="93"/>
        <v>2</v>
      </c>
      <c r="K596" s="1482">
        <f t="shared" si="94"/>
        <v>1</v>
      </c>
      <c r="L596" s="1481">
        <f t="shared" si="95"/>
        <v>45</v>
      </c>
      <c r="M596" s="955" t="s">
        <v>3496</v>
      </c>
      <c r="N596" s="955" t="s">
        <v>3497</v>
      </c>
    </row>
    <row r="597" spans="1:16" x14ac:dyDescent="0.4">
      <c r="A597" s="1034">
        <v>192693</v>
      </c>
      <c r="B597" s="1034">
        <v>60</v>
      </c>
      <c r="C597" s="1034">
        <f t="shared" si="92"/>
        <v>300</v>
      </c>
      <c r="D597" s="1035">
        <v>0</v>
      </c>
      <c r="E597" s="1035">
        <v>0</v>
      </c>
      <c r="F597" s="1035">
        <v>0</v>
      </c>
      <c r="G597" s="1035">
        <v>0</v>
      </c>
      <c r="H597" s="1035">
        <v>0</v>
      </c>
      <c r="I597" s="1035">
        <v>0</v>
      </c>
      <c r="J597" s="1036">
        <f t="shared" si="93"/>
        <v>0</v>
      </c>
      <c r="K597" s="1036">
        <f t="shared" si="94"/>
        <v>0</v>
      </c>
      <c r="L597" s="1035">
        <f t="shared" si="95"/>
        <v>0</v>
      </c>
      <c r="M597" s="1957" t="s">
        <v>3496</v>
      </c>
      <c r="N597" s="1957" t="s">
        <v>3497</v>
      </c>
    </row>
    <row r="598" spans="1:16" x14ac:dyDescent="0.4">
      <c r="A598" s="36">
        <v>192694</v>
      </c>
      <c r="B598">
        <v>45</v>
      </c>
      <c r="C598" s="36">
        <f t="shared" si="92"/>
        <v>225</v>
      </c>
      <c r="D598" s="1481">
        <v>0</v>
      </c>
      <c r="E598" s="1481">
        <v>0</v>
      </c>
      <c r="F598" s="1481">
        <v>0</v>
      </c>
      <c r="G598" s="1481">
        <v>0</v>
      </c>
      <c r="H598" s="1481">
        <v>0</v>
      </c>
      <c r="I598" s="1481">
        <v>1</v>
      </c>
      <c r="J598" s="1482">
        <f t="shared" si="93"/>
        <v>1</v>
      </c>
      <c r="K598" s="1482">
        <f t="shared" si="94"/>
        <v>0</v>
      </c>
      <c r="L598" s="1481">
        <f t="shared" si="95"/>
        <v>0</v>
      </c>
      <c r="M598" s="955" t="s">
        <v>3496</v>
      </c>
      <c r="N598" s="955" t="s">
        <v>3497</v>
      </c>
    </row>
    <row r="599" spans="1:16" x14ac:dyDescent="0.4">
      <c r="A599" s="36">
        <v>192695</v>
      </c>
      <c r="B599">
        <v>60</v>
      </c>
      <c r="C599" s="36">
        <f t="shared" si="92"/>
        <v>300</v>
      </c>
      <c r="D599" s="1481">
        <v>0</v>
      </c>
      <c r="E599" s="1481">
        <v>1</v>
      </c>
      <c r="F599" s="1481">
        <v>1</v>
      </c>
      <c r="G599" s="1481">
        <v>1</v>
      </c>
      <c r="H599" s="1481">
        <v>1</v>
      </c>
      <c r="I599" s="1481">
        <v>1</v>
      </c>
      <c r="J599" s="1482">
        <f t="shared" si="93"/>
        <v>5</v>
      </c>
      <c r="K599" s="1482">
        <f t="shared" si="94"/>
        <v>4</v>
      </c>
      <c r="L599" s="1481">
        <f t="shared" si="95"/>
        <v>240</v>
      </c>
      <c r="M599" s="955" t="s">
        <v>3496</v>
      </c>
      <c r="N599" s="955" t="s">
        <v>3497</v>
      </c>
    </row>
    <row r="600" spans="1:16" x14ac:dyDescent="0.4">
      <c r="A600" s="36">
        <v>192696</v>
      </c>
      <c r="B600">
        <v>90</v>
      </c>
      <c r="C600" s="36">
        <f t="shared" si="92"/>
        <v>450</v>
      </c>
      <c r="D600" s="1481">
        <v>0</v>
      </c>
      <c r="E600" s="1481">
        <v>0</v>
      </c>
      <c r="F600" s="1481">
        <v>1</v>
      </c>
      <c r="G600" s="1481">
        <v>1</v>
      </c>
      <c r="H600" s="1481">
        <v>1</v>
      </c>
      <c r="I600" s="1481">
        <v>1</v>
      </c>
      <c r="J600" s="1482">
        <f t="shared" si="93"/>
        <v>4</v>
      </c>
      <c r="K600" s="1482">
        <f t="shared" si="94"/>
        <v>3</v>
      </c>
      <c r="L600" s="1481">
        <f t="shared" si="95"/>
        <v>270</v>
      </c>
      <c r="M600" s="955" t="s">
        <v>3498</v>
      </c>
      <c r="N600" s="955" t="s">
        <v>3499</v>
      </c>
    </row>
    <row r="601" spans="1:16" x14ac:dyDescent="0.4">
      <c r="A601" s="1993">
        <v>192697</v>
      </c>
      <c r="B601" s="1993">
        <v>60</v>
      </c>
      <c r="C601" s="1993">
        <f t="shared" si="92"/>
        <v>300</v>
      </c>
      <c r="D601" s="1994">
        <v>0</v>
      </c>
      <c r="E601" s="1994">
        <v>0</v>
      </c>
      <c r="F601" s="1994">
        <v>0</v>
      </c>
      <c r="G601" s="1994">
        <v>0</v>
      </c>
      <c r="H601" s="1994">
        <v>0</v>
      </c>
      <c r="I601" s="1994">
        <v>0</v>
      </c>
      <c r="J601" s="1995">
        <f t="shared" si="93"/>
        <v>0</v>
      </c>
      <c r="K601" s="1995">
        <f t="shared" si="94"/>
        <v>0</v>
      </c>
      <c r="L601" s="1994">
        <f t="shared" si="95"/>
        <v>0</v>
      </c>
      <c r="M601" s="1996" t="s">
        <v>3498</v>
      </c>
      <c r="N601" s="1996" t="s">
        <v>3499</v>
      </c>
    </row>
    <row r="602" spans="1:16" x14ac:dyDescent="0.4">
      <c r="A602" s="1">
        <v>192698</v>
      </c>
      <c r="B602" s="1">
        <v>60</v>
      </c>
      <c r="C602" s="1">
        <f t="shared" si="92"/>
        <v>300</v>
      </c>
      <c r="D602" s="2030">
        <v>0</v>
      </c>
      <c r="E602" s="2030">
        <v>0</v>
      </c>
      <c r="F602" s="2030">
        <v>0</v>
      </c>
      <c r="G602" s="2030">
        <v>0</v>
      </c>
      <c r="H602" s="2030">
        <v>0</v>
      </c>
      <c r="I602" s="2030">
        <v>0</v>
      </c>
      <c r="J602" s="2031">
        <f t="shared" si="93"/>
        <v>0</v>
      </c>
      <c r="K602" s="2031">
        <f t="shared" si="94"/>
        <v>0</v>
      </c>
      <c r="L602" s="2030">
        <f t="shared" si="95"/>
        <v>0</v>
      </c>
      <c r="M602" s="141" t="s">
        <v>3498</v>
      </c>
      <c r="N602" s="141" t="s">
        <v>3499</v>
      </c>
    </row>
    <row r="603" spans="1:16" x14ac:dyDescent="0.4">
      <c r="A603" s="16">
        <v>192699</v>
      </c>
      <c r="B603" s="16">
        <v>60</v>
      </c>
      <c r="C603" s="16">
        <f t="shared" si="92"/>
        <v>300</v>
      </c>
      <c r="D603" s="1811">
        <v>0</v>
      </c>
      <c r="E603" s="1811">
        <v>0</v>
      </c>
      <c r="F603" s="1811">
        <v>0</v>
      </c>
      <c r="G603" s="1811">
        <v>0</v>
      </c>
      <c r="H603" s="1811">
        <v>0</v>
      </c>
      <c r="I603" s="1811">
        <v>0</v>
      </c>
      <c r="J603" s="1812">
        <f t="shared" si="93"/>
        <v>0</v>
      </c>
      <c r="K603" s="1812">
        <f t="shared" si="94"/>
        <v>0</v>
      </c>
      <c r="L603" s="1811">
        <f t="shared" si="95"/>
        <v>0</v>
      </c>
      <c r="M603" s="30" t="s">
        <v>3498</v>
      </c>
      <c r="N603" s="30" t="s">
        <v>3499</v>
      </c>
    </row>
    <row r="604" spans="1:16" x14ac:dyDescent="0.4">
      <c r="A604" s="1530">
        <v>192700</v>
      </c>
      <c r="B604" s="1530">
        <v>60</v>
      </c>
      <c r="C604" s="1530">
        <f t="shared" ref="C604:C621" si="96">SUM(B604*5)</f>
        <v>300</v>
      </c>
      <c r="D604" s="1531">
        <v>0</v>
      </c>
      <c r="E604" s="1531">
        <v>0</v>
      </c>
      <c r="F604" s="1531">
        <v>0</v>
      </c>
      <c r="G604" s="1531">
        <v>0</v>
      </c>
      <c r="H604" s="1531">
        <v>1</v>
      </c>
      <c r="I604" s="1531">
        <v>1</v>
      </c>
      <c r="J604" s="1532">
        <f t="shared" ref="J604:J621" si="97">SUM(D604:I604)</f>
        <v>2</v>
      </c>
      <c r="K604" s="1532">
        <f t="shared" ref="K604:K621" si="98">SUM(D604:H604)</f>
        <v>1</v>
      </c>
      <c r="L604" s="1531">
        <f t="shared" ref="L604:L621" si="99">B604*K604</f>
        <v>60</v>
      </c>
      <c r="M604" s="1533" t="s">
        <v>3500</v>
      </c>
      <c r="N604" s="1533" t="s">
        <v>3501</v>
      </c>
      <c r="O604" s="1530" t="s">
        <v>3594</v>
      </c>
      <c r="P604" s="1530"/>
    </row>
    <row r="605" spans="1:16" x14ac:dyDescent="0.4">
      <c r="A605" s="1530">
        <v>192701</v>
      </c>
      <c r="B605" s="1530">
        <v>60</v>
      </c>
      <c r="C605" s="1530">
        <f t="shared" si="96"/>
        <v>300</v>
      </c>
      <c r="D605" s="1531">
        <v>1</v>
      </c>
      <c r="E605" s="1531">
        <v>1</v>
      </c>
      <c r="F605" s="1531">
        <v>1</v>
      </c>
      <c r="G605" s="1531">
        <v>1</v>
      </c>
      <c r="H605" s="1531">
        <v>1</v>
      </c>
      <c r="I605" s="1531">
        <v>1</v>
      </c>
      <c r="J605" s="1532">
        <f t="shared" si="97"/>
        <v>6</v>
      </c>
      <c r="K605" s="1532">
        <f t="shared" si="98"/>
        <v>5</v>
      </c>
      <c r="L605" s="1531">
        <f t="shared" si="99"/>
        <v>300</v>
      </c>
      <c r="M605" s="1530" t="s">
        <v>3500</v>
      </c>
      <c r="N605" s="1530" t="s">
        <v>3501</v>
      </c>
      <c r="O605" s="1530" t="s">
        <v>3594</v>
      </c>
      <c r="P605" s="1530"/>
    </row>
    <row r="606" spans="1:16" x14ac:dyDescent="0.4">
      <c r="A606" s="1530">
        <v>192702</v>
      </c>
      <c r="B606" s="1530">
        <v>60</v>
      </c>
      <c r="C606" s="1530">
        <f t="shared" si="96"/>
        <v>300</v>
      </c>
      <c r="D606" s="1531">
        <v>0</v>
      </c>
      <c r="E606" s="1531">
        <v>0</v>
      </c>
      <c r="F606" s="1531">
        <v>0</v>
      </c>
      <c r="G606" s="1531">
        <v>0</v>
      </c>
      <c r="H606" s="1531">
        <v>0</v>
      </c>
      <c r="I606" s="1531">
        <v>0</v>
      </c>
      <c r="J606" s="1532">
        <f t="shared" si="97"/>
        <v>0</v>
      </c>
      <c r="K606" s="1532">
        <f t="shared" si="98"/>
        <v>0</v>
      </c>
      <c r="L606" s="1531">
        <f t="shared" si="99"/>
        <v>0</v>
      </c>
      <c r="M606" s="1530" t="s">
        <v>3500</v>
      </c>
      <c r="N606" s="1530" t="s">
        <v>3501</v>
      </c>
      <c r="O606" s="1530" t="s">
        <v>3594</v>
      </c>
      <c r="P606" s="1530"/>
    </row>
    <row r="607" spans="1:16" x14ac:dyDescent="0.4">
      <c r="A607" s="1530">
        <v>192703</v>
      </c>
      <c r="B607" s="1530">
        <v>60</v>
      </c>
      <c r="C607" s="1530">
        <f t="shared" si="96"/>
        <v>300</v>
      </c>
      <c r="D607" s="1531">
        <v>0</v>
      </c>
      <c r="E607" s="1531">
        <v>0</v>
      </c>
      <c r="F607" s="1531">
        <v>0</v>
      </c>
      <c r="G607" s="1531">
        <v>0</v>
      </c>
      <c r="H607" s="1531">
        <v>0</v>
      </c>
      <c r="I607" s="1531">
        <v>0</v>
      </c>
      <c r="J607" s="1532">
        <f t="shared" si="97"/>
        <v>0</v>
      </c>
      <c r="K607" s="1532">
        <f t="shared" si="98"/>
        <v>0</v>
      </c>
      <c r="L607" s="1531">
        <f t="shared" si="99"/>
        <v>0</v>
      </c>
      <c r="M607" s="1530" t="s">
        <v>3500</v>
      </c>
      <c r="N607" s="1530" t="s">
        <v>3501</v>
      </c>
      <c r="O607" s="1530" t="s">
        <v>3594</v>
      </c>
      <c r="P607" s="1530"/>
    </row>
    <row r="608" spans="1:16" x14ac:dyDescent="0.4">
      <c r="A608" s="36">
        <v>192704</v>
      </c>
      <c r="B608" s="36">
        <v>45</v>
      </c>
      <c r="C608" s="36">
        <f t="shared" si="96"/>
        <v>225</v>
      </c>
      <c r="D608" s="1522">
        <v>0</v>
      </c>
      <c r="E608" s="1522">
        <v>0</v>
      </c>
      <c r="F608" s="1522">
        <v>0</v>
      </c>
      <c r="G608" s="1522">
        <v>0</v>
      </c>
      <c r="H608" s="1522">
        <v>0</v>
      </c>
      <c r="I608" s="1522">
        <v>1</v>
      </c>
      <c r="J608" s="1523">
        <f t="shared" si="97"/>
        <v>1</v>
      </c>
      <c r="K608" s="1523">
        <f t="shared" si="98"/>
        <v>0</v>
      </c>
      <c r="L608" s="1522">
        <f t="shared" si="99"/>
        <v>0</v>
      </c>
      <c r="M608" s="955" t="s">
        <v>3502</v>
      </c>
      <c r="N608" s="955" t="s">
        <v>3503</v>
      </c>
    </row>
    <row r="609" spans="1:21" x14ac:dyDescent="0.4">
      <c r="A609" s="36">
        <v>192705</v>
      </c>
      <c r="B609" s="935">
        <v>45</v>
      </c>
      <c r="C609" s="935">
        <f t="shared" si="96"/>
        <v>225</v>
      </c>
      <c r="D609" s="124">
        <v>0</v>
      </c>
      <c r="E609" s="124">
        <v>0</v>
      </c>
      <c r="F609" s="124">
        <v>0</v>
      </c>
      <c r="G609" s="124">
        <v>1</v>
      </c>
      <c r="H609" s="124">
        <v>1</v>
      </c>
      <c r="I609" s="124">
        <v>1</v>
      </c>
      <c r="J609" s="936">
        <f t="shared" si="97"/>
        <v>3</v>
      </c>
      <c r="K609" s="1523">
        <f t="shared" si="98"/>
        <v>2</v>
      </c>
      <c r="L609" s="1522">
        <f t="shared" si="99"/>
        <v>90</v>
      </c>
      <c r="M609" s="955" t="s">
        <v>3502</v>
      </c>
      <c r="N609" s="955" t="s">
        <v>3503</v>
      </c>
      <c r="O609" s="1" t="s">
        <v>3731</v>
      </c>
      <c r="P609" s="1"/>
      <c r="Q609" s="1"/>
      <c r="R609" s="1"/>
      <c r="S609" s="1"/>
      <c r="T609" s="1"/>
      <c r="U609" s="1"/>
    </row>
    <row r="610" spans="1:21" x14ac:dyDescent="0.4">
      <c r="A610" s="359">
        <v>192706</v>
      </c>
      <c r="B610" s="359">
        <v>60</v>
      </c>
      <c r="C610" s="359">
        <f t="shared" si="96"/>
        <v>300</v>
      </c>
      <c r="D610" s="1967">
        <v>0</v>
      </c>
      <c r="E610" s="1967">
        <v>0</v>
      </c>
      <c r="F610" s="1967">
        <v>0</v>
      </c>
      <c r="G610" s="1967">
        <v>0</v>
      </c>
      <c r="H610" s="1967">
        <v>0</v>
      </c>
      <c r="I610" s="1967">
        <v>0</v>
      </c>
      <c r="J610" s="360">
        <f t="shared" si="97"/>
        <v>0</v>
      </c>
      <c r="K610" s="360">
        <f t="shared" si="98"/>
        <v>0</v>
      </c>
      <c r="L610" s="1967">
        <f t="shared" si="99"/>
        <v>0</v>
      </c>
      <c r="M610" s="1968" t="s">
        <v>3504</v>
      </c>
      <c r="N610" s="1968" t="s">
        <v>3505</v>
      </c>
    </row>
    <row r="611" spans="1:21" x14ac:dyDescent="0.4">
      <c r="A611" s="1">
        <v>192707</v>
      </c>
      <c r="B611" s="1">
        <v>60</v>
      </c>
      <c r="C611" s="1">
        <f t="shared" si="96"/>
        <v>300</v>
      </c>
      <c r="D611" s="2019">
        <v>0</v>
      </c>
      <c r="E611" s="2019">
        <v>0</v>
      </c>
      <c r="F611" s="2019">
        <v>0</v>
      </c>
      <c r="G611" s="2019">
        <v>0</v>
      </c>
      <c r="H611" s="2019">
        <v>0</v>
      </c>
      <c r="I611" s="2019">
        <v>0</v>
      </c>
      <c r="J611" s="2020">
        <f t="shared" si="97"/>
        <v>0</v>
      </c>
      <c r="K611" s="2020">
        <f t="shared" si="98"/>
        <v>0</v>
      </c>
      <c r="L611" s="2019">
        <f t="shared" si="99"/>
        <v>0</v>
      </c>
      <c r="M611" s="141" t="s">
        <v>3504</v>
      </c>
      <c r="N611" s="141" t="s">
        <v>3505</v>
      </c>
    </row>
    <row r="612" spans="1:21" x14ac:dyDescent="0.4">
      <c r="A612" s="36">
        <v>192708</v>
      </c>
      <c r="B612">
        <v>60</v>
      </c>
      <c r="C612" s="36">
        <f t="shared" si="96"/>
        <v>300</v>
      </c>
      <c r="D612" s="1522">
        <v>0</v>
      </c>
      <c r="E612" s="1522">
        <v>0</v>
      </c>
      <c r="F612" s="1522">
        <v>0</v>
      </c>
      <c r="G612" s="1522">
        <v>0</v>
      </c>
      <c r="H612" s="1522">
        <v>1</v>
      </c>
      <c r="I612" s="1522">
        <v>1</v>
      </c>
      <c r="J612" s="1523">
        <f t="shared" si="97"/>
        <v>2</v>
      </c>
      <c r="K612" s="1523">
        <f t="shared" si="98"/>
        <v>1</v>
      </c>
      <c r="L612" s="1522">
        <f t="shared" si="99"/>
        <v>60</v>
      </c>
      <c r="M612" s="955" t="s">
        <v>3504</v>
      </c>
      <c r="N612" s="955" t="s">
        <v>3505</v>
      </c>
    </row>
    <row r="613" spans="1:21" x14ac:dyDescent="0.4">
      <c r="A613" s="36">
        <v>192709</v>
      </c>
      <c r="B613">
        <v>50</v>
      </c>
      <c r="C613" s="36">
        <f t="shared" si="96"/>
        <v>250</v>
      </c>
      <c r="D613" s="1522">
        <v>0</v>
      </c>
      <c r="E613" s="1522">
        <v>0</v>
      </c>
      <c r="F613" s="1522">
        <v>0</v>
      </c>
      <c r="G613" s="1522">
        <v>0</v>
      </c>
      <c r="H613" s="1522">
        <v>0</v>
      </c>
      <c r="I613" s="1522">
        <v>1</v>
      </c>
      <c r="J613" s="1523">
        <f t="shared" si="97"/>
        <v>1</v>
      </c>
      <c r="K613" s="1523">
        <f t="shared" si="98"/>
        <v>0</v>
      </c>
      <c r="L613" s="1522">
        <f t="shared" si="99"/>
        <v>0</v>
      </c>
      <c r="M613" s="955" t="s">
        <v>3506</v>
      </c>
      <c r="N613" s="955" t="s">
        <v>3507</v>
      </c>
    </row>
    <row r="614" spans="1:21" x14ac:dyDescent="0.4">
      <c r="A614" s="1947">
        <v>192710</v>
      </c>
      <c r="B614" s="1947">
        <v>60</v>
      </c>
      <c r="C614" s="1947">
        <f t="shared" si="96"/>
        <v>300</v>
      </c>
      <c r="D614" s="1948">
        <v>0</v>
      </c>
      <c r="E614" s="1948">
        <v>0</v>
      </c>
      <c r="F614" s="1948">
        <v>0</v>
      </c>
      <c r="G614" s="1948">
        <v>0</v>
      </c>
      <c r="H614" s="1948">
        <v>0</v>
      </c>
      <c r="I614" s="1948">
        <v>0</v>
      </c>
      <c r="J614" s="1949">
        <f t="shared" si="97"/>
        <v>0</v>
      </c>
      <c r="K614" s="1949">
        <f t="shared" si="98"/>
        <v>0</v>
      </c>
      <c r="L614" s="1948">
        <f t="shared" si="99"/>
        <v>0</v>
      </c>
      <c r="M614" s="1950" t="s">
        <v>3508</v>
      </c>
      <c r="N614" s="1950" t="s">
        <v>3509</v>
      </c>
    </row>
    <row r="615" spans="1:21" x14ac:dyDescent="0.4">
      <c r="A615" s="36">
        <v>192711</v>
      </c>
      <c r="B615">
        <v>60</v>
      </c>
      <c r="C615" s="36">
        <f t="shared" si="96"/>
        <v>300</v>
      </c>
      <c r="D615" s="1522">
        <v>0</v>
      </c>
      <c r="E615" s="1522">
        <v>0</v>
      </c>
      <c r="F615" s="1522">
        <v>0</v>
      </c>
      <c r="G615" s="1522">
        <v>0</v>
      </c>
      <c r="H615" s="1522">
        <v>1</v>
      </c>
      <c r="I615" s="1522">
        <v>1</v>
      </c>
      <c r="J615" s="1523">
        <f t="shared" si="97"/>
        <v>2</v>
      </c>
      <c r="K615" s="1523">
        <f t="shared" si="98"/>
        <v>1</v>
      </c>
      <c r="L615" s="1522">
        <f t="shared" si="99"/>
        <v>60</v>
      </c>
      <c r="M615" s="955" t="s">
        <v>3510</v>
      </c>
      <c r="N615" s="955" t="s">
        <v>3511</v>
      </c>
    </row>
    <row r="616" spans="1:21" x14ac:dyDescent="0.4">
      <c r="A616" s="36">
        <v>192712</v>
      </c>
      <c r="B616">
        <v>45</v>
      </c>
      <c r="C616" s="36">
        <f t="shared" si="96"/>
        <v>225</v>
      </c>
      <c r="D616" s="1522">
        <v>0</v>
      </c>
      <c r="E616" s="1522">
        <v>0</v>
      </c>
      <c r="F616" s="1522">
        <v>0</v>
      </c>
      <c r="G616" s="1522">
        <v>0</v>
      </c>
      <c r="H616" s="1522">
        <v>1</v>
      </c>
      <c r="I616" s="1522">
        <v>1</v>
      </c>
      <c r="J616" s="1523">
        <f t="shared" si="97"/>
        <v>2</v>
      </c>
      <c r="K616" s="1523">
        <f t="shared" si="98"/>
        <v>1</v>
      </c>
      <c r="L616" s="1522">
        <f t="shared" si="99"/>
        <v>45</v>
      </c>
      <c r="M616" s="955" t="s">
        <v>3512</v>
      </c>
      <c r="N616" s="955" t="s">
        <v>3513</v>
      </c>
    </row>
    <row r="617" spans="1:21" x14ac:dyDescent="0.4">
      <c r="A617" s="16">
        <v>192713</v>
      </c>
      <c r="B617" s="16">
        <v>50</v>
      </c>
      <c r="C617" s="16">
        <f t="shared" si="96"/>
        <v>250</v>
      </c>
      <c r="D617" s="1686">
        <v>0</v>
      </c>
      <c r="E617" s="1686">
        <v>0</v>
      </c>
      <c r="F617" s="1686">
        <v>0</v>
      </c>
      <c r="G617" s="1686">
        <v>0</v>
      </c>
      <c r="H617" s="1686">
        <v>0</v>
      </c>
      <c r="I617" s="1686">
        <v>0</v>
      </c>
      <c r="J617" s="1687">
        <f t="shared" si="97"/>
        <v>0</v>
      </c>
      <c r="K617" s="1687">
        <f t="shared" si="98"/>
        <v>0</v>
      </c>
      <c r="L617" s="1686">
        <f t="shared" si="99"/>
        <v>0</v>
      </c>
      <c r="M617" s="30" t="s">
        <v>3512</v>
      </c>
      <c r="N617" s="30" t="s">
        <v>3513</v>
      </c>
    </row>
    <row r="618" spans="1:21" x14ac:dyDescent="0.4">
      <c r="A618" s="22">
        <v>192714</v>
      </c>
      <c r="B618" s="22">
        <v>60</v>
      </c>
      <c r="C618" s="22">
        <f t="shared" si="96"/>
        <v>300</v>
      </c>
      <c r="D618" s="557">
        <v>0</v>
      </c>
      <c r="E618" s="557">
        <v>0</v>
      </c>
      <c r="F618" s="557">
        <v>0</v>
      </c>
      <c r="G618" s="557">
        <v>0</v>
      </c>
      <c r="H618" s="557">
        <v>0</v>
      </c>
      <c r="I618" s="557">
        <v>0</v>
      </c>
      <c r="J618" s="24">
        <f t="shared" si="97"/>
        <v>0</v>
      </c>
      <c r="K618" s="24">
        <f t="shared" si="98"/>
        <v>0</v>
      </c>
      <c r="L618" s="557">
        <f t="shared" si="99"/>
        <v>0</v>
      </c>
      <c r="M618" s="29" t="s">
        <v>3512</v>
      </c>
      <c r="N618" s="29" t="s">
        <v>3513</v>
      </c>
    </row>
    <row r="619" spans="1:21" x14ac:dyDescent="0.4">
      <c r="A619" s="36">
        <v>202715</v>
      </c>
      <c r="B619">
        <v>60</v>
      </c>
      <c r="C619" s="36">
        <f t="shared" si="96"/>
        <v>300</v>
      </c>
      <c r="D619" s="1522">
        <v>1</v>
      </c>
      <c r="E619" s="1522">
        <v>1</v>
      </c>
      <c r="F619" s="1522">
        <v>1</v>
      </c>
      <c r="G619" s="1522">
        <v>1</v>
      </c>
      <c r="H619" s="1522">
        <v>1</v>
      </c>
      <c r="I619" s="1522">
        <v>1</v>
      </c>
      <c r="J619" s="1523">
        <f t="shared" si="97"/>
        <v>6</v>
      </c>
      <c r="K619" s="1523">
        <f t="shared" si="98"/>
        <v>5</v>
      </c>
      <c r="L619" s="1522">
        <f t="shared" si="99"/>
        <v>300</v>
      </c>
      <c r="M619" s="955" t="s">
        <v>3514</v>
      </c>
      <c r="N619" s="955" t="s">
        <v>3515</v>
      </c>
      <c r="O619" t="s">
        <v>3516</v>
      </c>
    </row>
    <row r="620" spans="1:21" x14ac:dyDescent="0.4">
      <c r="A620" s="36">
        <v>202716</v>
      </c>
      <c r="B620">
        <v>45</v>
      </c>
      <c r="C620" s="36">
        <f t="shared" si="96"/>
        <v>225</v>
      </c>
      <c r="D620" s="1522">
        <v>1</v>
      </c>
      <c r="E620" s="1522">
        <v>1</v>
      </c>
      <c r="F620" s="1522">
        <v>1</v>
      </c>
      <c r="G620" s="1522">
        <v>1</v>
      </c>
      <c r="H620" s="1522">
        <v>1</v>
      </c>
      <c r="I620" s="1522">
        <v>1</v>
      </c>
      <c r="J620" s="1523">
        <f t="shared" si="97"/>
        <v>6</v>
      </c>
      <c r="K620" s="1523">
        <f t="shared" si="98"/>
        <v>5</v>
      </c>
      <c r="L620" s="1522">
        <f t="shared" si="99"/>
        <v>225</v>
      </c>
      <c r="M620" s="955" t="s">
        <v>3514</v>
      </c>
      <c r="N620" s="955" t="s">
        <v>3515</v>
      </c>
      <c r="O620" t="s">
        <v>3516</v>
      </c>
    </row>
    <row r="621" spans="1:21" x14ac:dyDescent="0.4">
      <c r="A621" s="16">
        <v>202717</v>
      </c>
      <c r="B621" s="16">
        <v>45</v>
      </c>
      <c r="C621" s="16">
        <f t="shared" si="96"/>
        <v>225</v>
      </c>
      <c r="D621" s="1825">
        <v>0</v>
      </c>
      <c r="E621" s="1825">
        <v>0</v>
      </c>
      <c r="F621" s="1825">
        <v>0</v>
      </c>
      <c r="G621" s="1825">
        <v>0</v>
      </c>
      <c r="H621" s="1825">
        <v>0</v>
      </c>
      <c r="I621" s="1825">
        <v>0</v>
      </c>
      <c r="J621" s="1826">
        <f t="shared" si="97"/>
        <v>0</v>
      </c>
      <c r="K621" s="1826">
        <f t="shared" si="98"/>
        <v>0</v>
      </c>
      <c r="L621" s="1825">
        <f t="shared" si="99"/>
        <v>0</v>
      </c>
      <c r="M621" s="30" t="s">
        <v>3514</v>
      </c>
      <c r="N621" s="30" t="s">
        <v>3515</v>
      </c>
    </row>
    <row r="622" spans="1:21" x14ac:dyDescent="0.4">
      <c r="A622" s="36"/>
    </row>
  </sheetData>
  <mergeCells count="7">
    <mergeCell ref="Q4:Q5"/>
    <mergeCell ref="D5:I5"/>
    <mergeCell ref="A4:A5"/>
    <mergeCell ref="D4:I4"/>
    <mergeCell ref="M4:M5"/>
    <mergeCell ref="N4:N5"/>
    <mergeCell ref="P4:P5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289"/>
  <sheetViews>
    <sheetView topLeftCell="A201" zoomScale="115" zoomScaleNormal="115" workbookViewId="0">
      <selection activeCell="O225" sqref="O225"/>
    </sheetView>
  </sheetViews>
  <sheetFormatPr defaultRowHeight="17.399999999999999" x14ac:dyDescent="0.4"/>
  <cols>
    <col min="1" max="1" width="10.8984375" customWidth="1"/>
    <col min="4" max="11" width="5.59765625" customWidth="1"/>
    <col min="13" max="13" width="14" customWidth="1"/>
    <col min="14" max="14" width="13.59765625" customWidth="1"/>
    <col min="18" max="18" width="12.19921875" customWidth="1"/>
  </cols>
  <sheetData>
    <row r="1" spans="1:14" x14ac:dyDescent="0.4">
      <c r="A1" s="5"/>
      <c r="B1" s="1545"/>
      <c r="C1" s="1545" t="s">
        <v>171</v>
      </c>
      <c r="D1" s="1545"/>
      <c r="E1" s="1545"/>
      <c r="F1" s="1545"/>
      <c r="G1" s="1545"/>
      <c r="H1" s="1545"/>
      <c r="I1" s="1545"/>
      <c r="J1" s="5"/>
      <c r="K1" s="5"/>
      <c r="L1" s="1545" t="s">
        <v>171</v>
      </c>
      <c r="M1" s="278"/>
      <c r="N1" s="278" t="s">
        <v>1487</v>
      </c>
    </row>
    <row r="2" spans="1:14" x14ac:dyDescent="0.4">
      <c r="A2" s="5" t="s">
        <v>172</v>
      </c>
      <c r="B2" s="1545"/>
      <c r="C2" s="1545" t="s">
        <v>173</v>
      </c>
      <c r="D2" s="1545" t="s">
        <v>174</v>
      </c>
      <c r="E2" s="1545"/>
      <c r="F2" s="1545"/>
      <c r="G2" s="1545"/>
      <c r="H2" s="1545"/>
      <c r="I2" s="1545"/>
      <c r="J2" s="5"/>
      <c r="K2" s="5"/>
      <c r="L2" s="1545" t="s">
        <v>2924</v>
      </c>
      <c r="M2" s="279"/>
      <c r="N2" s="279" t="s">
        <v>2925</v>
      </c>
    </row>
    <row r="3" spans="1:14" x14ac:dyDescent="0.4">
      <c r="A3" s="36"/>
      <c r="B3" s="1546"/>
      <c r="C3" s="250">
        <f>SUM(C6:C222)</f>
        <v>55735</v>
      </c>
      <c r="D3" s="1546"/>
      <c r="E3" s="1546"/>
      <c r="F3" s="1546"/>
      <c r="G3" s="1546"/>
      <c r="H3" s="1546"/>
      <c r="I3" s="1546"/>
      <c r="J3" s="36"/>
      <c r="K3" s="36"/>
      <c r="L3" s="250">
        <f>SUM(L6:L2550)</f>
        <v>14434</v>
      </c>
      <c r="M3" s="250"/>
      <c r="N3" s="1027"/>
    </row>
    <row r="4" spans="1:14" x14ac:dyDescent="0.4">
      <c r="A4" s="2035" t="s">
        <v>182</v>
      </c>
      <c r="B4" s="1547" t="s">
        <v>176</v>
      </c>
      <c r="C4" s="1547" t="s">
        <v>177</v>
      </c>
      <c r="D4" s="2041"/>
      <c r="E4" s="2042"/>
      <c r="F4" s="2042"/>
      <c r="G4" s="2042"/>
      <c r="H4" s="2042"/>
      <c r="I4" s="2043"/>
      <c r="J4" s="33" t="s">
        <v>178</v>
      </c>
      <c r="K4" s="33" t="s">
        <v>179</v>
      </c>
      <c r="L4" s="33" t="s">
        <v>896</v>
      </c>
      <c r="M4" s="2035" t="s">
        <v>187</v>
      </c>
      <c r="N4" s="2035" t="s">
        <v>188</v>
      </c>
    </row>
    <row r="5" spans="1:14" x14ac:dyDescent="0.4">
      <c r="A5" s="2036"/>
      <c r="B5" s="1547" t="s">
        <v>183</v>
      </c>
      <c r="C5" s="1547" t="s">
        <v>183</v>
      </c>
      <c r="D5" s="2039" t="s">
        <v>184</v>
      </c>
      <c r="E5" s="2039"/>
      <c r="F5" s="2039"/>
      <c r="G5" s="2039"/>
      <c r="H5" s="2039"/>
      <c r="I5" s="2039"/>
      <c r="J5" s="34" t="s">
        <v>185</v>
      </c>
      <c r="K5" s="34" t="s">
        <v>185</v>
      </c>
      <c r="L5" s="34" t="s">
        <v>49</v>
      </c>
      <c r="M5" s="2036"/>
      <c r="N5" s="2036"/>
    </row>
    <row r="6" spans="1:14" x14ac:dyDescent="0.4">
      <c r="A6" s="16">
        <v>202718</v>
      </c>
      <c r="B6" s="16">
        <v>45</v>
      </c>
      <c r="C6" s="16">
        <f t="shared" ref="C6:C17" si="0">SUM(B6*5)</f>
        <v>225</v>
      </c>
      <c r="D6" s="1922">
        <v>0</v>
      </c>
      <c r="E6" s="1922">
        <v>0</v>
      </c>
      <c r="F6" s="1922">
        <v>0</v>
      </c>
      <c r="G6" s="1922">
        <v>0</v>
      </c>
      <c r="H6" s="1922">
        <v>0</v>
      </c>
      <c r="I6" s="1922">
        <v>0</v>
      </c>
      <c r="J6" s="1923">
        <f t="shared" ref="J6:J17" si="1">SUM(D6:I6)</f>
        <v>0</v>
      </c>
      <c r="K6" s="1923">
        <f t="shared" ref="K6:K17" si="2">SUM(D6:H6)</f>
        <v>0</v>
      </c>
      <c r="L6" s="1922">
        <f t="shared" ref="L6:L17" si="3">B6*K6</f>
        <v>0</v>
      </c>
      <c r="M6" s="30" t="s">
        <v>3517</v>
      </c>
      <c r="N6" s="30" t="s">
        <v>3518</v>
      </c>
    </row>
    <row r="7" spans="1:14" x14ac:dyDescent="0.4">
      <c r="A7" s="36">
        <v>202719</v>
      </c>
      <c r="B7">
        <v>45</v>
      </c>
      <c r="C7" s="36">
        <f t="shared" si="0"/>
        <v>225</v>
      </c>
      <c r="D7" s="1546">
        <v>0</v>
      </c>
      <c r="E7" s="1546">
        <v>0</v>
      </c>
      <c r="F7" s="1546">
        <v>0</v>
      </c>
      <c r="G7" s="1546">
        <v>0</v>
      </c>
      <c r="H7" s="1546">
        <v>1</v>
      </c>
      <c r="I7" s="1546">
        <v>1</v>
      </c>
      <c r="J7" s="1548">
        <f t="shared" si="1"/>
        <v>2</v>
      </c>
      <c r="K7" s="1548">
        <f t="shared" si="2"/>
        <v>1</v>
      </c>
      <c r="L7" s="1546">
        <f t="shared" si="3"/>
        <v>45</v>
      </c>
      <c r="M7" s="955" t="s">
        <v>3517</v>
      </c>
      <c r="N7" s="955" t="s">
        <v>3518</v>
      </c>
    </row>
    <row r="8" spans="1:14" x14ac:dyDescent="0.4">
      <c r="A8" s="16">
        <v>202720</v>
      </c>
      <c r="B8" s="16">
        <v>45</v>
      </c>
      <c r="C8" s="16">
        <f t="shared" si="0"/>
        <v>225</v>
      </c>
      <c r="D8" s="1586">
        <v>0</v>
      </c>
      <c r="E8" s="1586">
        <v>0</v>
      </c>
      <c r="F8" s="1586">
        <v>0</v>
      </c>
      <c r="G8" s="1586">
        <v>0</v>
      </c>
      <c r="H8" s="1586">
        <v>0</v>
      </c>
      <c r="I8" s="1586">
        <v>0</v>
      </c>
      <c r="J8" s="1587">
        <f t="shared" si="1"/>
        <v>0</v>
      </c>
      <c r="K8" s="1587">
        <f t="shared" si="2"/>
        <v>0</v>
      </c>
      <c r="L8" s="1586">
        <f t="shared" si="3"/>
        <v>0</v>
      </c>
      <c r="M8" s="30" t="s">
        <v>3519</v>
      </c>
      <c r="N8" s="30" t="s">
        <v>3520</v>
      </c>
    </row>
    <row r="9" spans="1:14" x14ac:dyDescent="0.4">
      <c r="A9" s="16">
        <v>202721</v>
      </c>
      <c r="B9" s="16">
        <v>45</v>
      </c>
      <c r="C9" s="16">
        <f t="shared" si="0"/>
        <v>225</v>
      </c>
      <c r="D9" s="1868">
        <v>0</v>
      </c>
      <c r="E9" s="1868">
        <v>0</v>
      </c>
      <c r="F9" s="1868">
        <v>0</v>
      </c>
      <c r="G9" s="1868">
        <v>0</v>
      </c>
      <c r="H9" s="1868">
        <v>0</v>
      </c>
      <c r="I9" s="1868">
        <v>1</v>
      </c>
      <c r="J9" s="1869">
        <f t="shared" si="1"/>
        <v>1</v>
      </c>
      <c r="K9" s="1869">
        <f t="shared" si="2"/>
        <v>0</v>
      </c>
      <c r="L9" s="1868">
        <f t="shared" si="3"/>
        <v>0</v>
      </c>
      <c r="M9" s="30" t="s">
        <v>3527</v>
      </c>
      <c r="N9" s="30" t="s">
        <v>3528</v>
      </c>
    </row>
    <row r="10" spans="1:14" x14ac:dyDescent="0.4">
      <c r="A10" s="36">
        <v>202722</v>
      </c>
      <c r="B10">
        <v>60</v>
      </c>
      <c r="C10" s="36">
        <f t="shared" si="0"/>
        <v>300</v>
      </c>
      <c r="D10" s="1546">
        <v>0</v>
      </c>
      <c r="E10" s="1546">
        <v>0</v>
      </c>
      <c r="F10" s="1546">
        <v>0</v>
      </c>
      <c r="G10" s="1546">
        <v>1</v>
      </c>
      <c r="H10" s="1546">
        <v>1</v>
      </c>
      <c r="I10" s="1546">
        <v>1</v>
      </c>
      <c r="J10" s="1548">
        <f t="shared" si="1"/>
        <v>3</v>
      </c>
      <c r="K10" s="1548">
        <f t="shared" si="2"/>
        <v>2</v>
      </c>
      <c r="L10" s="1546">
        <f t="shared" si="3"/>
        <v>120</v>
      </c>
      <c r="M10" s="955" t="s">
        <v>3521</v>
      </c>
      <c r="N10" s="955" t="s">
        <v>3522</v>
      </c>
    </row>
    <row r="11" spans="1:14" x14ac:dyDescent="0.4">
      <c r="A11" s="16">
        <v>202723</v>
      </c>
      <c r="B11" s="16">
        <v>45</v>
      </c>
      <c r="C11" s="16">
        <f t="shared" si="0"/>
        <v>225</v>
      </c>
      <c r="D11" s="1872">
        <v>0</v>
      </c>
      <c r="E11" s="1872">
        <v>0</v>
      </c>
      <c r="F11" s="1872">
        <v>0</v>
      </c>
      <c r="G11" s="1872">
        <v>0</v>
      </c>
      <c r="H11" s="1872">
        <v>0</v>
      </c>
      <c r="I11" s="1872">
        <v>0</v>
      </c>
      <c r="J11" s="1873">
        <f t="shared" si="1"/>
        <v>0</v>
      </c>
      <c r="K11" s="1873">
        <f t="shared" si="2"/>
        <v>0</v>
      </c>
      <c r="L11" s="1872">
        <f t="shared" si="3"/>
        <v>0</v>
      </c>
      <c r="M11" s="30" t="s">
        <v>3523</v>
      </c>
      <c r="N11" s="30" t="s">
        <v>3524</v>
      </c>
    </row>
    <row r="12" spans="1:14" x14ac:dyDescent="0.4">
      <c r="A12" s="1993">
        <v>202724</v>
      </c>
      <c r="B12" s="1993">
        <v>60</v>
      </c>
      <c r="C12" s="1993">
        <f t="shared" si="0"/>
        <v>300</v>
      </c>
      <c r="D12" s="1994">
        <v>0</v>
      </c>
      <c r="E12" s="1994">
        <v>0</v>
      </c>
      <c r="F12" s="1994">
        <v>0</v>
      </c>
      <c r="G12" s="1994">
        <v>0</v>
      </c>
      <c r="H12" s="1994">
        <v>0</v>
      </c>
      <c r="I12" s="1994">
        <v>0</v>
      </c>
      <c r="J12" s="1995">
        <f t="shared" si="1"/>
        <v>0</v>
      </c>
      <c r="K12" s="1995">
        <f t="shared" si="2"/>
        <v>0</v>
      </c>
      <c r="L12" s="1994">
        <f t="shared" si="3"/>
        <v>0</v>
      </c>
      <c r="M12" s="1996" t="s">
        <v>3525</v>
      </c>
      <c r="N12" s="1996" t="s">
        <v>3526</v>
      </c>
    </row>
    <row r="13" spans="1:14" x14ac:dyDescent="0.4">
      <c r="A13" s="16">
        <v>202725</v>
      </c>
      <c r="B13" s="16">
        <v>45</v>
      </c>
      <c r="C13" s="16">
        <f t="shared" si="0"/>
        <v>225</v>
      </c>
      <c r="D13" s="1641">
        <v>0</v>
      </c>
      <c r="E13" s="1641">
        <v>0</v>
      </c>
      <c r="F13" s="1641">
        <v>0</v>
      </c>
      <c r="G13" s="1641">
        <v>0</v>
      </c>
      <c r="H13" s="1641">
        <v>0</v>
      </c>
      <c r="I13" s="1641">
        <v>0</v>
      </c>
      <c r="J13" s="1642">
        <f t="shared" si="1"/>
        <v>0</v>
      </c>
      <c r="K13" s="1642">
        <f t="shared" si="2"/>
        <v>0</v>
      </c>
      <c r="L13" s="1641">
        <f t="shared" si="3"/>
        <v>0</v>
      </c>
      <c r="M13" s="30" t="s">
        <v>3525</v>
      </c>
      <c r="N13" s="30" t="s">
        <v>3526</v>
      </c>
    </row>
    <row r="14" spans="1:14" x14ac:dyDescent="0.4">
      <c r="A14" s="1960">
        <v>202726</v>
      </c>
      <c r="B14" s="1960">
        <v>50</v>
      </c>
      <c r="C14" s="1960">
        <f t="shared" si="0"/>
        <v>250</v>
      </c>
      <c r="D14" s="1961">
        <v>0</v>
      </c>
      <c r="E14" s="1961">
        <v>0</v>
      </c>
      <c r="F14" s="1961">
        <v>0</v>
      </c>
      <c r="G14" s="1961">
        <v>0</v>
      </c>
      <c r="H14" s="1961">
        <v>0</v>
      </c>
      <c r="I14" s="1961">
        <v>0</v>
      </c>
      <c r="J14" s="1962">
        <f t="shared" si="1"/>
        <v>0</v>
      </c>
      <c r="K14" s="1962">
        <f t="shared" si="2"/>
        <v>0</v>
      </c>
      <c r="L14" s="1961">
        <f t="shared" si="3"/>
        <v>0</v>
      </c>
      <c r="M14" s="1963" t="s">
        <v>3525</v>
      </c>
      <c r="N14" s="1963" t="s">
        <v>3526</v>
      </c>
    </row>
    <row r="15" spans="1:14" x14ac:dyDescent="0.4">
      <c r="A15" s="22">
        <v>202727</v>
      </c>
      <c r="B15" s="22">
        <v>45</v>
      </c>
      <c r="C15" s="22">
        <f t="shared" si="0"/>
        <v>225</v>
      </c>
      <c r="D15" s="557">
        <v>0</v>
      </c>
      <c r="E15" s="557">
        <v>0</v>
      </c>
      <c r="F15" s="557">
        <v>0</v>
      </c>
      <c r="G15" s="557">
        <v>0</v>
      </c>
      <c r="H15" s="557">
        <v>0</v>
      </c>
      <c r="I15" s="557">
        <v>0</v>
      </c>
      <c r="J15" s="24">
        <f t="shared" si="1"/>
        <v>0</v>
      </c>
      <c r="K15" s="24">
        <f t="shared" si="2"/>
        <v>0</v>
      </c>
      <c r="L15" s="557">
        <f t="shared" si="3"/>
        <v>0</v>
      </c>
      <c r="M15" s="29" t="s">
        <v>3529</v>
      </c>
      <c r="N15" s="29" t="s">
        <v>3530</v>
      </c>
    </row>
    <row r="16" spans="1:14" x14ac:dyDescent="0.4">
      <c r="A16" s="36">
        <v>202728</v>
      </c>
      <c r="B16">
        <v>45</v>
      </c>
      <c r="C16" s="36">
        <f t="shared" si="0"/>
        <v>225</v>
      </c>
      <c r="D16" s="1546">
        <v>0</v>
      </c>
      <c r="E16" s="1546">
        <v>0</v>
      </c>
      <c r="F16" s="1546">
        <v>0</v>
      </c>
      <c r="G16" s="1546">
        <v>1</v>
      </c>
      <c r="H16" s="1546">
        <v>1</v>
      </c>
      <c r="I16" s="1546">
        <v>1</v>
      </c>
      <c r="J16" s="1548">
        <f t="shared" si="1"/>
        <v>3</v>
      </c>
      <c r="K16" s="1548">
        <f t="shared" si="2"/>
        <v>2</v>
      </c>
      <c r="L16" s="1546">
        <f t="shared" si="3"/>
        <v>90</v>
      </c>
      <c r="M16" s="955" t="s">
        <v>3529</v>
      </c>
      <c r="N16" s="955" t="s">
        <v>3530</v>
      </c>
    </row>
    <row r="17" spans="1:15" x14ac:dyDescent="0.4">
      <c r="A17" s="16">
        <v>202729</v>
      </c>
      <c r="B17" s="16">
        <v>45</v>
      </c>
      <c r="C17" s="16">
        <f t="shared" si="0"/>
        <v>225</v>
      </c>
      <c r="D17" s="1807">
        <v>0</v>
      </c>
      <c r="E17" s="1807">
        <v>0</v>
      </c>
      <c r="F17" s="1807">
        <v>0</v>
      </c>
      <c r="G17" s="1807">
        <v>0</v>
      </c>
      <c r="H17" s="1807">
        <v>0</v>
      </c>
      <c r="I17" s="1807">
        <v>0</v>
      </c>
      <c r="J17" s="1808">
        <f t="shared" si="1"/>
        <v>0</v>
      </c>
      <c r="K17" s="1808">
        <f t="shared" si="2"/>
        <v>0</v>
      </c>
      <c r="L17" s="1807">
        <f t="shared" si="3"/>
        <v>0</v>
      </c>
      <c r="M17" s="30" t="s">
        <v>3529</v>
      </c>
      <c r="N17" s="30" t="s">
        <v>3530</v>
      </c>
    </row>
    <row r="18" spans="1:15" x14ac:dyDescent="0.4">
      <c r="A18" s="1">
        <v>202730</v>
      </c>
      <c r="B18" s="1">
        <v>45</v>
      </c>
      <c r="C18" s="1">
        <f t="shared" ref="C18:C47" si="4">SUM(B18*5)</f>
        <v>225</v>
      </c>
      <c r="D18" s="2007">
        <v>0</v>
      </c>
      <c r="E18" s="2007">
        <v>0</v>
      </c>
      <c r="F18" s="2007">
        <v>0</v>
      </c>
      <c r="G18" s="2007">
        <v>0</v>
      </c>
      <c r="H18" s="2007">
        <v>0</v>
      </c>
      <c r="I18" s="2007">
        <v>0</v>
      </c>
      <c r="J18" s="2008">
        <f t="shared" ref="J18:J47" si="5">SUM(D18:I18)</f>
        <v>0</v>
      </c>
      <c r="K18" s="2008">
        <f t="shared" ref="K18:K47" si="6">SUM(D18:H18)</f>
        <v>0</v>
      </c>
      <c r="L18" s="2007">
        <f t="shared" ref="L18:L47" si="7">B18*K18</f>
        <v>0</v>
      </c>
      <c r="M18" s="141" t="s">
        <v>3532</v>
      </c>
      <c r="N18" s="141" t="s">
        <v>3533</v>
      </c>
    </row>
    <row r="19" spans="1:15" x14ac:dyDescent="0.4">
      <c r="A19" s="1">
        <v>202731</v>
      </c>
      <c r="B19" s="1">
        <v>45</v>
      </c>
      <c r="C19" s="1">
        <f t="shared" si="4"/>
        <v>225</v>
      </c>
      <c r="D19" s="2019">
        <v>0</v>
      </c>
      <c r="E19" s="2019">
        <v>0</v>
      </c>
      <c r="F19" s="2019">
        <v>0</v>
      </c>
      <c r="G19" s="2019">
        <v>0</v>
      </c>
      <c r="H19" s="2019">
        <v>0</v>
      </c>
      <c r="I19" s="2019">
        <v>0</v>
      </c>
      <c r="J19" s="2020">
        <f t="shared" si="5"/>
        <v>0</v>
      </c>
      <c r="K19" s="2020">
        <f t="shared" si="6"/>
        <v>0</v>
      </c>
      <c r="L19" s="2019">
        <f t="shared" si="7"/>
        <v>0</v>
      </c>
      <c r="M19" s="141" t="s">
        <v>3532</v>
      </c>
      <c r="N19" s="141" t="s">
        <v>3533</v>
      </c>
    </row>
    <row r="20" spans="1:15" x14ac:dyDescent="0.4">
      <c r="A20" s="36">
        <v>202732</v>
      </c>
      <c r="B20">
        <v>45</v>
      </c>
      <c r="C20" s="36">
        <f t="shared" si="4"/>
        <v>225</v>
      </c>
      <c r="D20" s="1557">
        <v>0</v>
      </c>
      <c r="E20" s="1557">
        <v>0</v>
      </c>
      <c r="F20" s="1557">
        <v>0</v>
      </c>
      <c r="G20" s="1557">
        <v>0</v>
      </c>
      <c r="H20" s="1557">
        <v>1</v>
      </c>
      <c r="I20" s="1557">
        <v>1</v>
      </c>
      <c r="J20" s="1558">
        <f t="shared" si="5"/>
        <v>2</v>
      </c>
      <c r="K20" s="1558">
        <f t="shared" si="6"/>
        <v>1</v>
      </c>
      <c r="L20" s="1557">
        <f t="shared" si="7"/>
        <v>45</v>
      </c>
      <c r="M20" s="955" t="s">
        <v>3532</v>
      </c>
      <c r="N20" s="955" t="s">
        <v>3533</v>
      </c>
      <c r="O20" t="s">
        <v>3862</v>
      </c>
    </row>
    <row r="21" spans="1:15" x14ac:dyDescent="0.4">
      <c r="A21" s="16">
        <v>202733</v>
      </c>
      <c r="B21" s="16">
        <v>45</v>
      </c>
      <c r="C21" s="16">
        <f t="shared" si="4"/>
        <v>225</v>
      </c>
      <c r="D21" s="1799">
        <v>0</v>
      </c>
      <c r="E21" s="1799">
        <v>0</v>
      </c>
      <c r="F21" s="1799">
        <v>0</v>
      </c>
      <c r="G21" s="1799">
        <v>0</v>
      </c>
      <c r="H21" s="1799">
        <v>0</v>
      </c>
      <c r="I21" s="1799">
        <v>0</v>
      </c>
      <c r="J21" s="1800">
        <f t="shared" si="5"/>
        <v>0</v>
      </c>
      <c r="K21" s="1800">
        <f t="shared" si="6"/>
        <v>0</v>
      </c>
      <c r="L21" s="1799">
        <f t="shared" si="7"/>
        <v>0</v>
      </c>
      <c r="M21" s="30" t="s">
        <v>3534</v>
      </c>
      <c r="N21" s="30" t="s">
        <v>3535</v>
      </c>
    </row>
    <row r="22" spans="1:15" x14ac:dyDescent="0.4">
      <c r="A22" s="36">
        <v>202734</v>
      </c>
      <c r="B22">
        <v>60</v>
      </c>
      <c r="C22" s="36">
        <f t="shared" si="4"/>
        <v>300</v>
      </c>
      <c r="D22" s="1557">
        <v>0</v>
      </c>
      <c r="E22" s="1557">
        <v>0</v>
      </c>
      <c r="F22" s="1557">
        <v>0</v>
      </c>
      <c r="G22" s="1557">
        <v>1</v>
      </c>
      <c r="H22" s="1557">
        <v>1</v>
      </c>
      <c r="I22" s="1557">
        <v>1</v>
      </c>
      <c r="J22" s="1558">
        <f t="shared" si="5"/>
        <v>3</v>
      </c>
      <c r="K22" s="1558">
        <f t="shared" si="6"/>
        <v>2</v>
      </c>
      <c r="L22" s="1557">
        <f t="shared" si="7"/>
        <v>120</v>
      </c>
      <c r="M22" s="955" t="s">
        <v>3536</v>
      </c>
      <c r="N22" s="955" t="s">
        <v>3537</v>
      </c>
    </row>
    <row r="23" spans="1:15" x14ac:dyDescent="0.4">
      <c r="A23" s="16">
        <v>202735</v>
      </c>
      <c r="B23" s="16">
        <v>60</v>
      </c>
      <c r="C23" s="16">
        <f t="shared" si="4"/>
        <v>300</v>
      </c>
      <c r="D23" s="1910">
        <v>0</v>
      </c>
      <c r="E23" s="1910">
        <v>0</v>
      </c>
      <c r="F23" s="1910">
        <v>0</v>
      </c>
      <c r="G23" s="1910">
        <v>0</v>
      </c>
      <c r="H23" s="1910">
        <v>0</v>
      </c>
      <c r="I23" s="1910">
        <v>0</v>
      </c>
      <c r="J23" s="1911">
        <f t="shared" si="5"/>
        <v>0</v>
      </c>
      <c r="K23" s="1911">
        <f t="shared" si="6"/>
        <v>0</v>
      </c>
      <c r="L23" s="1910">
        <f t="shared" si="7"/>
        <v>0</v>
      </c>
      <c r="M23" s="30" t="s">
        <v>3536</v>
      </c>
      <c r="N23" s="30" t="s">
        <v>3537</v>
      </c>
    </row>
    <row r="24" spans="1:15" x14ac:dyDescent="0.4">
      <c r="A24" s="16">
        <v>202736</v>
      </c>
      <c r="B24" s="16">
        <v>60</v>
      </c>
      <c r="C24" s="16">
        <f t="shared" si="4"/>
        <v>300</v>
      </c>
      <c r="D24" s="1776">
        <v>0</v>
      </c>
      <c r="E24" s="1776">
        <v>0</v>
      </c>
      <c r="F24" s="1776">
        <v>0</v>
      </c>
      <c r="G24" s="1776">
        <v>0</v>
      </c>
      <c r="H24" s="1776">
        <v>0</v>
      </c>
      <c r="I24" s="1776">
        <v>0</v>
      </c>
      <c r="J24" s="1777">
        <f t="shared" si="5"/>
        <v>0</v>
      </c>
      <c r="K24" s="1777">
        <f t="shared" si="6"/>
        <v>0</v>
      </c>
      <c r="L24" s="1776">
        <f t="shared" si="7"/>
        <v>0</v>
      </c>
      <c r="M24" s="30" t="s">
        <v>3538</v>
      </c>
      <c r="N24" s="30" t="s">
        <v>3539</v>
      </c>
    </row>
    <row r="25" spans="1:15" x14ac:dyDescent="0.4">
      <c r="A25" s="16">
        <v>202737</v>
      </c>
      <c r="B25" s="16">
        <v>60</v>
      </c>
      <c r="C25" s="16">
        <f t="shared" si="4"/>
        <v>300</v>
      </c>
      <c r="D25" s="1839">
        <v>0</v>
      </c>
      <c r="E25" s="1839">
        <v>0</v>
      </c>
      <c r="F25" s="1839">
        <v>0</v>
      </c>
      <c r="G25" s="1839">
        <v>0</v>
      </c>
      <c r="H25" s="1839">
        <v>0</v>
      </c>
      <c r="I25" s="1839">
        <v>0</v>
      </c>
      <c r="J25" s="1840">
        <f t="shared" si="5"/>
        <v>0</v>
      </c>
      <c r="K25" s="1840">
        <f t="shared" si="6"/>
        <v>0</v>
      </c>
      <c r="L25" s="1839">
        <f t="shared" si="7"/>
        <v>0</v>
      </c>
      <c r="M25" s="30" t="s">
        <v>3538</v>
      </c>
      <c r="N25" s="955" t="s">
        <v>3539</v>
      </c>
    </row>
    <row r="26" spans="1:15" x14ac:dyDescent="0.4">
      <c r="A26" s="36">
        <v>202738</v>
      </c>
      <c r="B26">
        <v>60</v>
      </c>
      <c r="C26" s="36">
        <f t="shared" si="4"/>
        <v>300</v>
      </c>
      <c r="D26" s="1557">
        <v>0</v>
      </c>
      <c r="E26" s="1557">
        <v>0</v>
      </c>
      <c r="F26" s="1557">
        <v>0</v>
      </c>
      <c r="G26" s="1557">
        <v>0</v>
      </c>
      <c r="H26" s="1557">
        <v>1</v>
      </c>
      <c r="I26" s="1557">
        <v>1</v>
      </c>
      <c r="J26" s="1558">
        <f t="shared" si="5"/>
        <v>2</v>
      </c>
      <c r="K26" s="1558">
        <f t="shared" si="6"/>
        <v>1</v>
      </c>
      <c r="L26" s="1557">
        <f t="shared" si="7"/>
        <v>60</v>
      </c>
      <c r="M26" s="955" t="s">
        <v>3538</v>
      </c>
      <c r="N26" s="955" t="s">
        <v>3539</v>
      </c>
    </row>
    <row r="27" spans="1:15" x14ac:dyDescent="0.4">
      <c r="A27" s="36">
        <v>202739</v>
      </c>
      <c r="B27">
        <v>45</v>
      </c>
      <c r="C27" s="36">
        <f t="shared" si="4"/>
        <v>225</v>
      </c>
      <c r="D27" s="1557">
        <v>0</v>
      </c>
      <c r="E27" s="1557">
        <v>0</v>
      </c>
      <c r="F27" s="1557">
        <v>0</v>
      </c>
      <c r="G27" s="1557">
        <v>1</v>
      </c>
      <c r="H27" s="1557">
        <v>1</v>
      </c>
      <c r="I27" s="1557">
        <v>1</v>
      </c>
      <c r="J27" s="1558">
        <f t="shared" si="5"/>
        <v>3</v>
      </c>
      <c r="K27" s="1558">
        <f t="shared" si="6"/>
        <v>2</v>
      </c>
      <c r="L27" s="1557">
        <f t="shared" si="7"/>
        <v>90</v>
      </c>
      <c r="M27" s="955" t="s">
        <v>3540</v>
      </c>
      <c r="N27" s="955" t="s">
        <v>3541</v>
      </c>
    </row>
    <row r="28" spans="1:15" x14ac:dyDescent="0.4">
      <c r="A28" s="1">
        <v>202740</v>
      </c>
      <c r="B28" s="1">
        <v>60</v>
      </c>
      <c r="C28" s="1">
        <f t="shared" si="4"/>
        <v>300</v>
      </c>
      <c r="D28" s="1975">
        <v>0</v>
      </c>
      <c r="E28" s="1975">
        <v>0</v>
      </c>
      <c r="F28" s="1975">
        <v>0</v>
      </c>
      <c r="G28" s="1975">
        <v>0</v>
      </c>
      <c r="H28" s="1975">
        <v>0</v>
      </c>
      <c r="I28" s="1975">
        <v>0</v>
      </c>
      <c r="J28" s="1976">
        <f t="shared" si="5"/>
        <v>0</v>
      </c>
      <c r="K28" s="1976">
        <f t="shared" si="6"/>
        <v>0</v>
      </c>
      <c r="L28" s="1975">
        <f t="shared" si="7"/>
        <v>0</v>
      </c>
      <c r="M28" s="141" t="s">
        <v>3542</v>
      </c>
      <c r="N28" s="141" t="s">
        <v>3543</v>
      </c>
    </row>
    <row r="29" spans="1:15" x14ac:dyDescent="0.4">
      <c r="A29" s="22">
        <v>202741</v>
      </c>
      <c r="B29" s="22">
        <v>45</v>
      </c>
      <c r="C29" s="22">
        <f>SUM(B29*3)</f>
        <v>135</v>
      </c>
      <c r="D29" s="557">
        <v>0</v>
      </c>
      <c r="E29" s="557">
        <v>0</v>
      </c>
      <c r="F29" s="557">
        <v>0</v>
      </c>
      <c r="G29" s="557"/>
      <c r="H29" s="557"/>
      <c r="I29" s="557"/>
      <c r="J29" s="24">
        <f t="shared" si="5"/>
        <v>0</v>
      </c>
      <c r="K29" s="24">
        <f t="shared" si="6"/>
        <v>0</v>
      </c>
      <c r="L29" s="557">
        <f t="shared" si="7"/>
        <v>0</v>
      </c>
      <c r="M29" s="29" t="s">
        <v>3542</v>
      </c>
      <c r="N29" s="29" t="s">
        <v>3543</v>
      </c>
      <c r="O29" t="s">
        <v>3544</v>
      </c>
    </row>
    <row r="30" spans="1:15" x14ac:dyDescent="0.4">
      <c r="A30" s="1">
        <v>202742</v>
      </c>
      <c r="B30" s="1">
        <v>60</v>
      </c>
      <c r="C30" s="1">
        <f t="shared" si="4"/>
        <v>300</v>
      </c>
      <c r="D30" s="2019">
        <v>0</v>
      </c>
      <c r="E30" s="2019">
        <v>0</v>
      </c>
      <c r="F30" s="2019">
        <v>0</v>
      </c>
      <c r="G30" s="2019">
        <v>0</v>
      </c>
      <c r="H30" s="2019">
        <v>0</v>
      </c>
      <c r="I30" s="2019">
        <v>0</v>
      </c>
      <c r="J30" s="2020">
        <f t="shared" si="5"/>
        <v>0</v>
      </c>
      <c r="K30" s="2020">
        <f t="shared" si="6"/>
        <v>0</v>
      </c>
      <c r="L30" s="2019">
        <f t="shared" si="7"/>
        <v>0</v>
      </c>
      <c r="M30" s="141" t="s">
        <v>3546</v>
      </c>
      <c r="N30" s="141" t="s">
        <v>3547</v>
      </c>
    </row>
    <row r="31" spans="1:15" x14ac:dyDescent="0.4">
      <c r="A31" s="16">
        <v>202743</v>
      </c>
      <c r="B31" s="16">
        <v>45</v>
      </c>
      <c r="C31" s="16">
        <f t="shared" si="4"/>
        <v>225</v>
      </c>
      <c r="D31" s="1786">
        <v>0</v>
      </c>
      <c r="E31" s="1786">
        <v>0</v>
      </c>
      <c r="F31" s="1786">
        <v>0</v>
      </c>
      <c r="G31" s="1786">
        <v>0</v>
      </c>
      <c r="H31" s="1786">
        <v>0</v>
      </c>
      <c r="I31" s="1786">
        <v>0</v>
      </c>
      <c r="J31" s="1787">
        <f t="shared" si="5"/>
        <v>0</v>
      </c>
      <c r="K31" s="1787">
        <f t="shared" si="6"/>
        <v>0</v>
      </c>
      <c r="L31" s="1786">
        <f t="shared" si="7"/>
        <v>0</v>
      </c>
      <c r="M31" s="30" t="s">
        <v>3548</v>
      </c>
      <c r="N31" s="30" t="s">
        <v>3549</v>
      </c>
    </row>
    <row r="32" spans="1:15" x14ac:dyDescent="0.4">
      <c r="A32" s="36">
        <v>202744</v>
      </c>
      <c r="B32">
        <v>50</v>
      </c>
      <c r="C32" s="36">
        <f t="shared" si="4"/>
        <v>250</v>
      </c>
      <c r="D32" s="1557">
        <v>0</v>
      </c>
      <c r="E32" s="1557">
        <v>0</v>
      </c>
      <c r="F32" s="1557">
        <v>0</v>
      </c>
      <c r="G32" s="1557">
        <v>1</v>
      </c>
      <c r="H32" s="1557">
        <v>1</v>
      </c>
      <c r="I32" s="1557">
        <v>1</v>
      </c>
      <c r="J32" s="1558">
        <f t="shared" si="5"/>
        <v>3</v>
      </c>
      <c r="K32" s="1558">
        <f t="shared" si="6"/>
        <v>2</v>
      </c>
      <c r="L32" s="1557">
        <f t="shared" si="7"/>
        <v>100</v>
      </c>
      <c r="M32" s="955" t="s">
        <v>3550</v>
      </c>
      <c r="N32" s="955" t="s">
        <v>3551</v>
      </c>
    </row>
    <row r="33" spans="1:15" x14ac:dyDescent="0.4">
      <c r="A33" s="1">
        <v>202745</v>
      </c>
      <c r="B33" s="1">
        <v>45</v>
      </c>
      <c r="C33" s="1">
        <f t="shared" si="4"/>
        <v>225</v>
      </c>
      <c r="D33" s="2009">
        <v>0</v>
      </c>
      <c r="E33" s="2009">
        <v>0</v>
      </c>
      <c r="F33" s="2009">
        <v>0</v>
      </c>
      <c r="G33" s="2009">
        <v>0</v>
      </c>
      <c r="H33" s="2009">
        <v>0</v>
      </c>
      <c r="I33" s="2009">
        <v>0</v>
      </c>
      <c r="J33" s="2010">
        <f t="shared" si="5"/>
        <v>0</v>
      </c>
      <c r="K33" s="2010">
        <f t="shared" si="6"/>
        <v>0</v>
      </c>
      <c r="L33" s="2009">
        <f t="shared" si="7"/>
        <v>0</v>
      </c>
      <c r="M33" s="141" t="s">
        <v>3550</v>
      </c>
      <c r="N33" s="141" t="s">
        <v>3551</v>
      </c>
    </row>
    <row r="34" spans="1:15" x14ac:dyDescent="0.4">
      <c r="A34" s="36">
        <v>202746</v>
      </c>
      <c r="B34">
        <v>0</v>
      </c>
      <c r="C34" s="36">
        <f t="shared" si="4"/>
        <v>0</v>
      </c>
      <c r="D34" s="1557">
        <v>1</v>
      </c>
      <c r="E34" s="1557"/>
      <c r="F34" s="1557"/>
      <c r="G34" s="1557"/>
      <c r="H34" s="1557"/>
      <c r="I34" s="1557"/>
      <c r="J34" s="1558">
        <f t="shared" si="5"/>
        <v>1</v>
      </c>
      <c r="K34" s="1558">
        <f t="shared" si="6"/>
        <v>1</v>
      </c>
      <c r="L34" s="1557">
        <f t="shared" si="7"/>
        <v>0</v>
      </c>
      <c r="M34" s="955" t="s">
        <v>3552</v>
      </c>
      <c r="N34" s="955" t="s">
        <v>3553</v>
      </c>
      <c r="O34" t="s">
        <v>3554</v>
      </c>
    </row>
    <row r="35" spans="1:15" x14ac:dyDescent="0.4">
      <c r="A35" s="36">
        <v>202747</v>
      </c>
      <c r="B35">
        <v>45</v>
      </c>
      <c r="C35" s="36">
        <f t="shared" si="4"/>
        <v>225</v>
      </c>
      <c r="D35" s="1557">
        <v>0</v>
      </c>
      <c r="E35" s="1557">
        <v>0</v>
      </c>
      <c r="F35" s="1557">
        <v>0</v>
      </c>
      <c r="G35" s="1557">
        <v>1</v>
      </c>
      <c r="H35" s="1557">
        <v>1</v>
      </c>
      <c r="I35" s="1557">
        <v>1</v>
      </c>
      <c r="J35" s="1558">
        <f t="shared" si="5"/>
        <v>3</v>
      </c>
      <c r="K35" s="1558">
        <f t="shared" si="6"/>
        <v>2</v>
      </c>
      <c r="L35" s="1557">
        <f t="shared" si="7"/>
        <v>90</v>
      </c>
      <c r="M35" s="955" t="s">
        <v>3552</v>
      </c>
      <c r="N35" s="955" t="s">
        <v>3553</v>
      </c>
    </row>
    <row r="36" spans="1:15" x14ac:dyDescent="0.4">
      <c r="A36" s="1">
        <v>202748</v>
      </c>
      <c r="B36" s="1">
        <v>45</v>
      </c>
      <c r="C36" s="1">
        <f t="shared" si="4"/>
        <v>225</v>
      </c>
      <c r="D36" s="1945">
        <v>0</v>
      </c>
      <c r="E36" s="1945">
        <v>0</v>
      </c>
      <c r="F36" s="1945">
        <v>0</v>
      </c>
      <c r="G36" s="1945">
        <v>0</v>
      </c>
      <c r="H36" s="1945">
        <v>0</v>
      </c>
      <c r="I36" s="1945">
        <v>0</v>
      </c>
      <c r="J36" s="1946">
        <f t="shared" si="5"/>
        <v>0</v>
      </c>
      <c r="K36" s="1946">
        <f t="shared" si="6"/>
        <v>0</v>
      </c>
      <c r="L36" s="1945">
        <f t="shared" si="7"/>
        <v>0</v>
      </c>
      <c r="M36" s="141" t="s">
        <v>3555</v>
      </c>
      <c r="N36" s="141" t="s">
        <v>3556</v>
      </c>
    </row>
    <row r="37" spans="1:15" x14ac:dyDescent="0.4">
      <c r="A37" s="36">
        <v>202749</v>
      </c>
      <c r="B37">
        <v>50</v>
      </c>
      <c r="C37" s="36">
        <f t="shared" si="4"/>
        <v>250</v>
      </c>
      <c r="D37" s="1557">
        <v>0</v>
      </c>
      <c r="E37" s="1557">
        <v>1</v>
      </c>
      <c r="F37" s="1557">
        <v>1</v>
      </c>
      <c r="G37" s="1557">
        <v>1</v>
      </c>
      <c r="H37" s="1557">
        <v>1</v>
      </c>
      <c r="I37" s="1557">
        <v>1</v>
      </c>
      <c r="J37" s="1558">
        <f t="shared" si="5"/>
        <v>5</v>
      </c>
      <c r="K37" s="1558">
        <f t="shared" si="6"/>
        <v>4</v>
      </c>
      <c r="L37" s="1557">
        <f t="shared" si="7"/>
        <v>200</v>
      </c>
      <c r="M37" s="955" t="s">
        <v>3557</v>
      </c>
      <c r="N37" s="955" t="s">
        <v>3558</v>
      </c>
    </row>
    <row r="38" spans="1:15" x14ac:dyDescent="0.4">
      <c r="A38" s="36">
        <v>202750</v>
      </c>
      <c r="B38">
        <v>45</v>
      </c>
      <c r="C38" s="36">
        <f t="shared" si="4"/>
        <v>225</v>
      </c>
      <c r="D38" s="1557">
        <v>0</v>
      </c>
      <c r="E38" s="1557">
        <v>0</v>
      </c>
      <c r="F38" s="1557">
        <v>0</v>
      </c>
      <c r="G38" s="1557">
        <v>1</v>
      </c>
      <c r="H38" s="1557">
        <v>1</v>
      </c>
      <c r="I38" s="1557">
        <v>1</v>
      </c>
      <c r="J38" s="1558">
        <f t="shared" si="5"/>
        <v>3</v>
      </c>
      <c r="K38" s="1558">
        <f t="shared" si="6"/>
        <v>2</v>
      </c>
      <c r="L38" s="1557">
        <f t="shared" si="7"/>
        <v>90</v>
      </c>
      <c r="M38" s="955" t="s">
        <v>3557</v>
      </c>
      <c r="N38" s="955" t="s">
        <v>3558</v>
      </c>
    </row>
    <row r="39" spans="1:15" x14ac:dyDescent="0.4">
      <c r="A39" s="16">
        <v>202751</v>
      </c>
      <c r="B39" s="16">
        <v>50</v>
      </c>
      <c r="C39" s="16">
        <f t="shared" si="4"/>
        <v>250</v>
      </c>
      <c r="D39" s="1827">
        <v>0</v>
      </c>
      <c r="E39" s="1827">
        <v>0</v>
      </c>
      <c r="F39" s="1827">
        <v>0</v>
      </c>
      <c r="G39" s="1827">
        <v>0</v>
      </c>
      <c r="H39" s="1827">
        <v>0</v>
      </c>
      <c r="I39" s="1827">
        <v>0</v>
      </c>
      <c r="J39" s="1828">
        <f t="shared" si="5"/>
        <v>0</v>
      </c>
      <c r="K39" s="1828">
        <f t="shared" si="6"/>
        <v>0</v>
      </c>
      <c r="L39" s="1827">
        <f t="shared" si="7"/>
        <v>0</v>
      </c>
      <c r="M39" s="30" t="s">
        <v>3560</v>
      </c>
      <c r="N39" s="30" t="s">
        <v>3561</v>
      </c>
    </row>
    <row r="40" spans="1:15" x14ac:dyDescent="0.4">
      <c r="A40" s="36">
        <v>202752</v>
      </c>
      <c r="B40">
        <v>60</v>
      </c>
      <c r="C40" s="36">
        <f t="shared" si="4"/>
        <v>300</v>
      </c>
      <c r="D40" s="1557">
        <v>0</v>
      </c>
      <c r="E40" s="1557">
        <v>0</v>
      </c>
      <c r="F40" s="1557">
        <v>0</v>
      </c>
      <c r="G40" s="1557">
        <v>0</v>
      </c>
      <c r="H40" s="1557">
        <v>1</v>
      </c>
      <c r="I40" s="1557">
        <v>1</v>
      </c>
      <c r="J40" s="1558">
        <f t="shared" si="5"/>
        <v>2</v>
      </c>
      <c r="K40" s="1558">
        <f t="shared" si="6"/>
        <v>1</v>
      </c>
      <c r="L40" s="1557">
        <f t="shared" si="7"/>
        <v>60</v>
      </c>
      <c r="M40" s="955" t="s">
        <v>3560</v>
      </c>
      <c r="N40" s="955" t="s">
        <v>3561</v>
      </c>
    </row>
    <row r="41" spans="1:15" x14ac:dyDescent="0.4">
      <c r="A41" s="1940">
        <v>202753</v>
      </c>
      <c r="B41" s="1940">
        <v>45</v>
      </c>
      <c r="C41" s="1940">
        <f t="shared" si="4"/>
        <v>225</v>
      </c>
      <c r="D41" s="1941">
        <v>0</v>
      </c>
      <c r="E41" s="1941">
        <v>0</v>
      </c>
      <c r="F41" s="1941">
        <v>0</v>
      </c>
      <c r="G41" s="1941">
        <v>0</v>
      </c>
      <c r="H41" s="1941">
        <v>0</v>
      </c>
      <c r="I41" s="1941">
        <v>0</v>
      </c>
      <c r="J41" s="1942">
        <f t="shared" si="5"/>
        <v>0</v>
      </c>
      <c r="K41" s="1942">
        <f t="shared" si="6"/>
        <v>0</v>
      </c>
      <c r="L41" s="1941">
        <f t="shared" si="7"/>
        <v>0</v>
      </c>
      <c r="M41" s="1943" t="s">
        <v>3562</v>
      </c>
      <c r="N41" s="1943" t="s">
        <v>3563</v>
      </c>
    </row>
    <row r="42" spans="1:15" x14ac:dyDescent="0.4">
      <c r="A42" s="36">
        <v>202754</v>
      </c>
      <c r="B42">
        <v>60</v>
      </c>
      <c r="C42" s="36">
        <f t="shared" si="4"/>
        <v>300</v>
      </c>
      <c r="D42" s="1557">
        <v>0</v>
      </c>
      <c r="E42" s="1557">
        <v>0</v>
      </c>
      <c r="F42" s="1557">
        <v>0</v>
      </c>
      <c r="G42" s="1557">
        <v>0</v>
      </c>
      <c r="H42" s="1557">
        <v>1</v>
      </c>
      <c r="I42" s="1557">
        <v>1</v>
      </c>
      <c r="J42" s="1558">
        <f t="shared" si="5"/>
        <v>2</v>
      </c>
      <c r="K42" s="1558">
        <f t="shared" si="6"/>
        <v>1</v>
      </c>
      <c r="L42" s="1557">
        <f t="shared" si="7"/>
        <v>60</v>
      </c>
      <c r="M42" s="955" t="s">
        <v>3562</v>
      </c>
      <c r="N42" s="955" t="s">
        <v>3563</v>
      </c>
    </row>
    <row r="43" spans="1:15" x14ac:dyDescent="0.4">
      <c r="A43" s="36">
        <v>202755</v>
      </c>
      <c r="B43">
        <v>60</v>
      </c>
      <c r="C43" s="36">
        <f t="shared" si="4"/>
        <v>300</v>
      </c>
      <c r="D43" s="1557">
        <v>0</v>
      </c>
      <c r="E43" s="1557">
        <v>0</v>
      </c>
      <c r="F43" s="1557">
        <v>0</v>
      </c>
      <c r="G43" s="1557">
        <v>0</v>
      </c>
      <c r="H43" s="1557">
        <v>0</v>
      </c>
      <c r="I43" s="1557">
        <v>1</v>
      </c>
      <c r="J43" s="1558">
        <f t="shared" si="5"/>
        <v>1</v>
      </c>
      <c r="K43" s="1558">
        <f t="shared" si="6"/>
        <v>0</v>
      </c>
      <c r="L43" s="1557">
        <f t="shared" si="7"/>
        <v>0</v>
      </c>
      <c r="M43" s="955" t="s">
        <v>3564</v>
      </c>
      <c r="N43" s="955" t="s">
        <v>3565</v>
      </c>
    </row>
    <row r="44" spans="1:15" x14ac:dyDescent="0.4">
      <c r="A44" s="16">
        <v>202756</v>
      </c>
      <c r="B44" s="16">
        <v>45</v>
      </c>
      <c r="C44" s="16">
        <f t="shared" si="4"/>
        <v>225</v>
      </c>
      <c r="D44" s="1608">
        <v>0</v>
      </c>
      <c r="E44" s="1608">
        <v>0</v>
      </c>
      <c r="F44" s="1608">
        <v>0</v>
      </c>
      <c r="G44" s="1608">
        <v>0</v>
      </c>
      <c r="H44" s="1608">
        <v>0</v>
      </c>
      <c r="I44" s="1608">
        <v>0</v>
      </c>
      <c r="J44" s="1609">
        <f t="shared" si="5"/>
        <v>0</v>
      </c>
      <c r="K44" s="1609">
        <f t="shared" si="6"/>
        <v>0</v>
      </c>
      <c r="L44" s="1608">
        <f t="shared" si="7"/>
        <v>0</v>
      </c>
      <c r="M44" s="30" t="s">
        <v>3571</v>
      </c>
      <c r="N44" s="30" t="s">
        <v>3572</v>
      </c>
    </row>
    <row r="45" spans="1:15" x14ac:dyDescent="0.4">
      <c r="A45" s="36">
        <v>202757</v>
      </c>
      <c r="B45">
        <v>50</v>
      </c>
      <c r="C45" s="36">
        <f t="shared" si="4"/>
        <v>250</v>
      </c>
      <c r="D45" s="1557">
        <v>0</v>
      </c>
      <c r="E45" s="1557">
        <v>0</v>
      </c>
      <c r="F45" s="1557">
        <v>0</v>
      </c>
      <c r="G45" s="1557">
        <v>0</v>
      </c>
      <c r="H45" s="1557">
        <v>0</v>
      </c>
      <c r="I45" s="1557">
        <v>1</v>
      </c>
      <c r="J45" s="1558">
        <f t="shared" si="5"/>
        <v>1</v>
      </c>
      <c r="K45" s="1558">
        <f t="shared" si="6"/>
        <v>0</v>
      </c>
      <c r="L45" s="1557">
        <f t="shared" si="7"/>
        <v>0</v>
      </c>
      <c r="M45" s="955" t="s">
        <v>3571</v>
      </c>
      <c r="N45" s="955" t="s">
        <v>3572</v>
      </c>
    </row>
    <row r="46" spans="1:15" x14ac:dyDescent="0.4">
      <c r="A46" s="36">
        <v>202758</v>
      </c>
      <c r="B46">
        <v>45</v>
      </c>
      <c r="C46" s="36">
        <f t="shared" si="4"/>
        <v>225</v>
      </c>
      <c r="D46" s="1557">
        <v>0</v>
      </c>
      <c r="E46" s="1557">
        <v>0</v>
      </c>
      <c r="F46" s="1557">
        <v>0</v>
      </c>
      <c r="G46" s="1557">
        <v>0</v>
      </c>
      <c r="H46" s="1557">
        <v>1</v>
      </c>
      <c r="I46" s="1557">
        <v>1</v>
      </c>
      <c r="J46" s="1558">
        <f t="shared" si="5"/>
        <v>2</v>
      </c>
      <c r="K46" s="1558">
        <f t="shared" si="6"/>
        <v>1</v>
      </c>
      <c r="L46" s="1557">
        <f t="shared" si="7"/>
        <v>45</v>
      </c>
      <c r="M46" s="955" t="s">
        <v>3571</v>
      </c>
      <c r="N46" s="955" t="s">
        <v>3572</v>
      </c>
    </row>
    <row r="47" spans="1:15" x14ac:dyDescent="0.4">
      <c r="A47" s="36">
        <v>202759</v>
      </c>
      <c r="B47">
        <v>60</v>
      </c>
      <c r="C47" s="36">
        <f t="shared" si="4"/>
        <v>300</v>
      </c>
      <c r="D47" s="1557">
        <v>0</v>
      </c>
      <c r="E47" s="1557">
        <v>0</v>
      </c>
      <c r="F47" s="1557">
        <v>0</v>
      </c>
      <c r="G47" s="1557">
        <v>1</v>
      </c>
      <c r="H47" s="1557">
        <v>1</v>
      </c>
      <c r="I47" s="1557">
        <v>1</v>
      </c>
      <c r="J47" s="1558">
        <f t="shared" si="5"/>
        <v>3</v>
      </c>
      <c r="K47" s="1558">
        <f t="shared" si="6"/>
        <v>2</v>
      </c>
      <c r="L47" s="1557">
        <f t="shared" si="7"/>
        <v>120</v>
      </c>
      <c r="M47" s="955" t="s">
        <v>3573</v>
      </c>
      <c r="N47" s="955" t="s">
        <v>3574</v>
      </c>
    </row>
    <row r="48" spans="1:15" x14ac:dyDescent="0.4">
      <c r="A48" s="22">
        <v>202760</v>
      </c>
      <c r="B48" s="22">
        <v>60</v>
      </c>
      <c r="C48" s="22">
        <f t="shared" ref="C48:C78" si="8">SUM(B48*5)</f>
        <v>300</v>
      </c>
      <c r="D48" s="557">
        <v>0</v>
      </c>
      <c r="E48" s="557">
        <v>0</v>
      </c>
      <c r="F48" s="557">
        <v>0</v>
      </c>
      <c r="G48" s="557">
        <v>0</v>
      </c>
      <c r="H48" s="557">
        <v>0</v>
      </c>
      <c r="I48" s="557">
        <v>0</v>
      </c>
      <c r="J48" s="24">
        <f t="shared" ref="J48:J78" si="9">SUM(D48:I48)</f>
        <v>0</v>
      </c>
      <c r="K48" s="24">
        <f t="shared" ref="K48:K78" si="10">SUM(D48:H48)</f>
        <v>0</v>
      </c>
      <c r="L48" s="557">
        <f t="shared" ref="L48:L78" si="11">B48*K48</f>
        <v>0</v>
      </c>
      <c r="M48" s="29" t="s">
        <v>3573</v>
      </c>
      <c r="N48" s="29" t="s">
        <v>3574</v>
      </c>
    </row>
    <row r="49" spans="1:15" x14ac:dyDescent="0.4">
      <c r="A49" s="36">
        <v>202761</v>
      </c>
      <c r="B49">
        <v>60</v>
      </c>
      <c r="C49" s="36">
        <f t="shared" si="8"/>
        <v>300</v>
      </c>
      <c r="D49" s="1588">
        <v>0</v>
      </c>
      <c r="E49" s="1588">
        <v>0</v>
      </c>
      <c r="F49" s="1588">
        <v>0</v>
      </c>
      <c r="G49" s="1588">
        <v>1</v>
      </c>
      <c r="H49" s="1588">
        <v>1</v>
      </c>
      <c r="I49" s="1588">
        <v>1</v>
      </c>
      <c r="J49" s="1589">
        <f t="shared" si="9"/>
        <v>3</v>
      </c>
      <c r="K49" s="1589">
        <f t="shared" si="10"/>
        <v>2</v>
      </c>
      <c r="L49" s="1588">
        <f t="shared" si="11"/>
        <v>120</v>
      </c>
      <c r="M49" s="955" t="s">
        <v>3575</v>
      </c>
      <c r="N49" s="955" t="s">
        <v>3576</v>
      </c>
    </row>
    <row r="50" spans="1:15" x14ac:dyDescent="0.4">
      <c r="A50" s="1947">
        <v>202762</v>
      </c>
      <c r="B50" s="1947">
        <v>60</v>
      </c>
      <c r="C50" s="1947">
        <f t="shared" si="8"/>
        <v>300</v>
      </c>
      <c r="D50" s="1948">
        <v>0</v>
      </c>
      <c r="E50" s="1948">
        <v>0</v>
      </c>
      <c r="F50" s="1948">
        <v>0</v>
      </c>
      <c r="G50" s="1948">
        <v>0</v>
      </c>
      <c r="H50" s="1948">
        <v>0</v>
      </c>
      <c r="I50" s="1948">
        <v>0</v>
      </c>
      <c r="J50" s="1949">
        <f t="shared" si="9"/>
        <v>0</v>
      </c>
      <c r="K50" s="1949">
        <f t="shared" si="10"/>
        <v>0</v>
      </c>
      <c r="L50" s="1948">
        <f t="shared" si="11"/>
        <v>0</v>
      </c>
      <c r="M50" s="1950" t="s">
        <v>3575</v>
      </c>
      <c r="N50" s="1950" t="s">
        <v>3576</v>
      </c>
    </row>
    <row r="51" spans="1:15" x14ac:dyDescent="0.4">
      <c r="A51" s="1">
        <v>202763</v>
      </c>
      <c r="B51" s="1">
        <v>45</v>
      </c>
      <c r="C51" s="1">
        <f>SUM(B51*5)</f>
        <v>225</v>
      </c>
      <c r="D51" s="2007">
        <v>0</v>
      </c>
      <c r="E51" s="2007">
        <v>0</v>
      </c>
      <c r="F51" s="2007">
        <v>0</v>
      </c>
      <c r="G51" s="2007">
        <v>0</v>
      </c>
      <c r="H51" s="2007">
        <v>0</v>
      </c>
      <c r="I51" s="2007">
        <v>0</v>
      </c>
      <c r="J51" s="2008">
        <f t="shared" si="9"/>
        <v>0</v>
      </c>
      <c r="K51" s="2008">
        <f t="shared" si="10"/>
        <v>0</v>
      </c>
      <c r="L51" s="2007">
        <f t="shared" si="11"/>
        <v>0</v>
      </c>
      <c r="M51" s="141" t="s">
        <v>3577</v>
      </c>
      <c r="N51" s="141" t="s">
        <v>3578</v>
      </c>
    </row>
    <row r="52" spans="1:15" x14ac:dyDescent="0.4">
      <c r="A52" s="2060">
        <v>202764</v>
      </c>
      <c r="B52">
        <v>45</v>
      </c>
      <c r="C52" s="36">
        <f>SUM(B52*10)</f>
        <v>450</v>
      </c>
      <c r="D52" s="1588">
        <v>0</v>
      </c>
      <c r="E52" s="1588">
        <v>0</v>
      </c>
      <c r="F52" s="1588">
        <v>0</v>
      </c>
      <c r="G52" s="1588">
        <v>0</v>
      </c>
      <c r="H52" s="1588">
        <v>0</v>
      </c>
      <c r="I52" s="1588">
        <v>0</v>
      </c>
      <c r="J52" s="1589">
        <f>SUM(D52:I53)</f>
        <v>6</v>
      </c>
      <c r="K52" s="1589">
        <f>SUM(D52:H53)</f>
        <v>5</v>
      </c>
      <c r="L52" s="1588">
        <f t="shared" si="11"/>
        <v>225</v>
      </c>
      <c r="M52" s="955" t="s">
        <v>3577</v>
      </c>
      <c r="N52" s="955" t="s">
        <v>3578</v>
      </c>
    </row>
    <row r="53" spans="1:15" x14ac:dyDescent="0.4">
      <c r="A53" s="2060"/>
      <c r="C53" s="36"/>
      <c r="D53" s="1600">
        <v>1</v>
      </c>
      <c r="E53" s="1600">
        <v>1</v>
      </c>
      <c r="F53" s="1600">
        <v>1</v>
      </c>
      <c r="G53" s="1600">
        <v>1</v>
      </c>
      <c r="H53" s="1600">
        <v>1</v>
      </c>
      <c r="I53" s="1600">
        <v>1</v>
      </c>
      <c r="J53" s="1601">
        <f t="shared" ref="J53" si="12">SUM(D53:I53)</f>
        <v>6</v>
      </c>
      <c r="K53" s="1601">
        <f t="shared" ref="K53" si="13">SUM(D53:H53)</f>
        <v>5</v>
      </c>
      <c r="L53" s="1600">
        <f t="shared" si="11"/>
        <v>0</v>
      </c>
    </row>
    <row r="54" spans="1:15" x14ac:dyDescent="0.4">
      <c r="A54" s="1999">
        <v>202765</v>
      </c>
      <c r="B54" s="1999">
        <v>45</v>
      </c>
      <c r="C54" s="1999">
        <f t="shared" si="8"/>
        <v>225</v>
      </c>
      <c r="D54" s="2000">
        <v>0</v>
      </c>
      <c r="E54" s="2000">
        <v>0</v>
      </c>
      <c r="F54" s="2000">
        <v>0</v>
      </c>
      <c r="G54" s="2000">
        <v>0</v>
      </c>
      <c r="H54" s="2000">
        <v>0</v>
      </c>
      <c r="I54" s="2000">
        <v>0</v>
      </c>
      <c r="J54" s="2001">
        <f t="shared" si="9"/>
        <v>0</v>
      </c>
      <c r="K54" s="2001">
        <f t="shared" si="10"/>
        <v>0</v>
      </c>
      <c r="L54" s="2000">
        <f t="shared" si="11"/>
        <v>0</v>
      </c>
      <c r="M54" s="2002" t="s">
        <v>3577</v>
      </c>
      <c r="N54" s="2002" t="s">
        <v>3578</v>
      </c>
    </row>
    <row r="55" spans="1:15" x14ac:dyDescent="0.4">
      <c r="A55" s="36">
        <v>202766</v>
      </c>
      <c r="B55">
        <v>90</v>
      </c>
      <c r="C55" s="36">
        <f t="shared" si="8"/>
        <v>450</v>
      </c>
      <c r="D55" s="1588">
        <v>0</v>
      </c>
      <c r="E55" s="1588">
        <v>0</v>
      </c>
      <c r="F55" s="1588">
        <v>0</v>
      </c>
      <c r="G55" s="1588">
        <v>0</v>
      </c>
      <c r="H55" s="1588">
        <v>0</v>
      </c>
      <c r="I55" s="1588">
        <v>0</v>
      </c>
      <c r="J55" s="1589">
        <f t="shared" si="9"/>
        <v>0</v>
      </c>
      <c r="K55" s="1589">
        <f t="shared" si="10"/>
        <v>0</v>
      </c>
      <c r="L55" s="1588">
        <f t="shared" si="11"/>
        <v>0</v>
      </c>
      <c r="M55" s="955" t="s">
        <v>3579</v>
      </c>
      <c r="N55" s="955" t="s">
        <v>3580</v>
      </c>
    </row>
    <row r="56" spans="1:15" x14ac:dyDescent="0.4">
      <c r="A56" s="36">
        <v>202767</v>
      </c>
      <c r="B56">
        <v>60</v>
      </c>
      <c r="C56" s="36">
        <f t="shared" si="8"/>
        <v>300</v>
      </c>
      <c r="D56" s="1588">
        <v>0</v>
      </c>
      <c r="E56" s="1588">
        <v>0</v>
      </c>
      <c r="F56" s="1588">
        <v>1</v>
      </c>
      <c r="G56" s="1588">
        <v>1</v>
      </c>
      <c r="H56" s="1588">
        <v>1</v>
      </c>
      <c r="I56" s="1588">
        <v>1</v>
      </c>
      <c r="J56" s="1589">
        <f t="shared" si="9"/>
        <v>4</v>
      </c>
      <c r="K56" s="1589">
        <f t="shared" si="10"/>
        <v>3</v>
      </c>
      <c r="L56" s="1588">
        <f t="shared" si="11"/>
        <v>180</v>
      </c>
      <c r="M56" s="955" t="s">
        <v>3579</v>
      </c>
      <c r="N56" s="955" t="s">
        <v>3580</v>
      </c>
    </row>
    <row r="57" spans="1:15" x14ac:dyDescent="0.4">
      <c r="A57" s="22">
        <v>202768</v>
      </c>
      <c r="B57" s="22">
        <v>60</v>
      </c>
      <c r="C57" s="22">
        <f t="shared" si="8"/>
        <v>300</v>
      </c>
      <c r="D57" s="557">
        <v>0</v>
      </c>
      <c r="E57" s="557">
        <v>0</v>
      </c>
      <c r="F57" s="557">
        <v>0</v>
      </c>
      <c r="G57" s="557">
        <v>0</v>
      </c>
      <c r="H57" s="557">
        <v>0</v>
      </c>
      <c r="I57" s="557">
        <v>0</v>
      </c>
      <c r="J57" s="24">
        <f t="shared" si="9"/>
        <v>0</v>
      </c>
      <c r="K57" s="24">
        <f t="shared" si="10"/>
        <v>0</v>
      </c>
      <c r="L57" s="557">
        <f t="shared" si="11"/>
        <v>0</v>
      </c>
      <c r="M57" s="29" t="s">
        <v>3579</v>
      </c>
      <c r="N57" s="29" t="s">
        <v>3580</v>
      </c>
    </row>
    <row r="58" spans="1:15" x14ac:dyDescent="0.4">
      <c r="A58" s="16">
        <v>202769</v>
      </c>
      <c r="B58" s="16">
        <v>60</v>
      </c>
      <c r="C58" s="16">
        <f t="shared" si="8"/>
        <v>300</v>
      </c>
      <c r="D58" s="1839">
        <v>0</v>
      </c>
      <c r="E58" s="1839">
        <v>0</v>
      </c>
      <c r="F58" s="1839">
        <v>0</v>
      </c>
      <c r="G58" s="1839">
        <v>0</v>
      </c>
      <c r="H58" s="1839">
        <v>0</v>
      </c>
      <c r="I58" s="1839">
        <v>0</v>
      </c>
      <c r="J58" s="1840">
        <f t="shared" si="9"/>
        <v>0</v>
      </c>
      <c r="K58" s="1840">
        <f t="shared" si="10"/>
        <v>0</v>
      </c>
      <c r="L58" s="1839">
        <f t="shared" si="11"/>
        <v>0</v>
      </c>
      <c r="M58" s="30" t="s">
        <v>3581</v>
      </c>
      <c r="N58" s="30" t="s">
        <v>3580</v>
      </c>
    </row>
    <row r="59" spans="1:15" x14ac:dyDescent="0.4">
      <c r="A59" s="36">
        <v>202770</v>
      </c>
      <c r="B59">
        <v>45</v>
      </c>
      <c r="C59" s="36">
        <f t="shared" si="8"/>
        <v>225</v>
      </c>
      <c r="D59" s="1588">
        <v>0</v>
      </c>
      <c r="E59" s="1588">
        <v>0</v>
      </c>
      <c r="F59" s="1588">
        <v>0</v>
      </c>
      <c r="G59" s="1588">
        <v>0</v>
      </c>
      <c r="H59" s="1588">
        <v>1</v>
      </c>
      <c r="I59" s="1588">
        <v>1</v>
      </c>
      <c r="J59" s="1589">
        <f t="shared" si="9"/>
        <v>2</v>
      </c>
      <c r="K59" s="1589">
        <f t="shared" si="10"/>
        <v>1</v>
      </c>
      <c r="L59" s="1588">
        <f t="shared" si="11"/>
        <v>45</v>
      </c>
      <c r="M59" s="955" t="s">
        <v>3582</v>
      </c>
      <c r="N59" s="955" t="s">
        <v>3583</v>
      </c>
    </row>
    <row r="60" spans="1:15" x14ac:dyDescent="0.4">
      <c r="A60" s="1982">
        <v>202771</v>
      </c>
      <c r="B60" s="1982">
        <v>120</v>
      </c>
      <c r="C60" s="1982">
        <f t="shared" si="8"/>
        <v>600</v>
      </c>
      <c r="D60" s="1983">
        <v>0</v>
      </c>
      <c r="E60" s="1983">
        <v>0</v>
      </c>
      <c r="F60" s="1983">
        <v>0</v>
      </c>
      <c r="G60" s="1983">
        <v>0</v>
      </c>
      <c r="H60" s="1983">
        <v>0</v>
      </c>
      <c r="I60" s="1983">
        <v>0</v>
      </c>
      <c r="J60" s="1984">
        <f t="shared" si="9"/>
        <v>0</v>
      </c>
      <c r="K60" s="1984">
        <f t="shared" si="10"/>
        <v>0</v>
      </c>
      <c r="L60" s="1983">
        <f t="shared" si="11"/>
        <v>0</v>
      </c>
      <c r="M60" s="1985" t="s">
        <v>3581</v>
      </c>
      <c r="N60" s="1985" t="s">
        <v>3580</v>
      </c>
    </row>
    <row r="61" spans="1:15" x14ac:dyDescent="0.4">
      <c r="A61" s="36">
        <v>202772</v>
      </c>
      <c r="B61">
        <v>45</v>
      </c>
      <c r="C61" s="36">
        <f t="shared" si="8"/>
        <v>225</v>
      </c>
      <c r="D61" s="1588">
        <v>0</v>
      </c>
      <c r="E61" s="1588">
        <v>0</v>
      </c>
      <c r="F61" s="1588">
        <v>0</v>
      </c>
      <c r="G61" s="1588">
        <v>0</v>
      </c>
      <c r="H61" s="1588">
        <v>0</v>
      </c>
      <c r="I61" s="1588">
        <v>1</v>
      </c>
      <c r="J61" s="1589">
        <f t="shared" si="9"/>
        <v>1</v>
      </c>
      <c r="K61" s="1589">
        <f t="shared" si="10"/>
        <v>0</v>
      </c>
      <c r="L61" s="1588">
        <f t="shared" si="11"/>
        <v>0</v>
      </c>
      <c r="M61" s="955" t="s">
        <v>3582</v>
      </c>
      <c r="N61" s="955" t="s">
        <v>3583</v>
      </c>
    </row>
    <row r="62" spans="1:15" x14ac:dyDescent="0.4">
      <c r="A62" s="16">
        <v>202773</v>
      </c>
      <c r="B62" s="16">
        <v>60</v>
      </c>
      <c r="C62" s="16">
        <f t="shared" si="8"/>
        <v>300</v>
      </c>
      <c r="D62" s="1895">
        <v>0</v>
      </c>
      <c r="E62" s="1895">
        <v>0</v>
      </c>
      <c r="F62" s="1895">
        <v>0</v>
      </c>
      <c r="G62" s="1895">
        <v>0</v>
      </c>
      <c r="H62" s="1895">
        <v>0</v>
      </c>
      <c r="I62" s="1895">
        <v>0</v>
      </c>
      <c r="J62" s="1896">
        <f t="shared" si="9"/>
        <v>0</v>
      </c>
      <c r="K62" s="1896">
        <f t="shared" si="10"/>
        <v>0</v>
      </c>
      <c r="L62" s="1895">
        <f t="shared" si="11"/>
        <v>0</v>
      </c>
      <c r="M62" s="30" t="s">
        <v>3584</v>
      </c>
      <c r="N62" s="30" t="s">
        <v>3585</v>
      </c>
    </row>
    <row r="63" spans="1:15" x14ac:dyDescent="0.4">
      <c r="A63" s="36">
        <v>202774</v>
      </c>
      <c r="B63">
        <v>0</v>
      </c>
      <c r="C63" s="36">
        <f t="shared" si="8"/>
        <v>0</v>
      </c>
      <c r="D63" s="1588">
        <v>1</v>
      </c>
      <c r="E63" s="1588"/>
      <c r="F63" s="1588"/>
      <c r="G63" s="1588"/>
      <c r="H63" s="1588"/>
      <c r="I63" s="1588"/>
      <c r="J63" s="1589">
        <f t="shared" si="9"/>
        <v>1</v>
      </c>
      <c r="K63" s="1589">
        <f t="shared" si="10"/>
        <v>1</v>
      </c>
      <c r="L63" s="1588">
        <f t="shared" si="11"/>
        <v>0</v>
      </c>
      <c r="M63" s="955" t="s">
        <v>3584</v>
      </c>
      <c r="N63" s="955" t="s">
        <v>3586</v>
      </c>
      <c r="O63" t="s">
        <v>3587</v>
      </c>
    </row>
    <row r="64" spans="1:15" x14ac:dyDescent="0.4">
      <c r="A64" s="36">
        <v>202775</v>
      </c>
      <c r="B64">
        <v>45</v>
      </c>
      <c r="C64" s="36">
        <f t="shared" si="8"/>
        <v>225</v>
      </c>
      <c r="D64" s="1588">
        <v>0</v>
      </c>
      <c r="E64" s="1588">
        <v>0</v>
      </c>
      <c r="F64" s="1588">
        <v>1</v>
      </c>
      <c r="G64" s="1588">
        <v>1</v>
      </c>
      <c r="H64" s="1588">
        <v>1</v>
      </c>
      <c r="I64" s="1588">
        <v>1</v>
      </c>
      <c r="J64" s="1589">
        <f t="shared" si="9"/>
        <v>4</v>
      </c>
      <c r="K64" s="1589">
        <f t="shared" si="10"/>
        <v>3</v>
      </c>
      <c r="L64" s="1588">
        <f t="shared" si="11"/>
        <v>135</v>
      </c>
      <c r="M64" s="955" t="s">
        <v>3588</v>
      </c>
      <c r="N64" s="955" t="s">
        <v>3600</v>
      </c>
    </row>
    <row r="65" spans="1:15" x14ac:dyDescent="0.4">
      <c r="A65" s="16">
        <v>202776</v>
      </c>
      <c r="B65" s="16">
        <v>60</v>
      </c>
      <c r="C65" s="16">
        <f t="shared" si="8"/>
        <v>300</v>
      </c>
      <c r="D65" s="1839">
        <v>0</v>
      </c>
      <c r="E65" s="1839">
        <v>0</v>
      </c>
      <c r="F65" s="1839">
        <v>0</v>
      </c>
      <c r="G65" s="1839">
        <v>0</v>
      </c>
      <c r="H65" s="1839">
        <v>0</v>
      </c>
      <c r="I65" s="1839">
        <v>0</v>
      </c>
      <c r="J65" s="1840">
        <f t="shared" si="9"/>
        <v>0</v>
      </c>
      <c r="K65" s="1840">
        <f t="shared" si="10"/>
        <v>0</v>
      </c>
      <c r="L65" s="1839">
        <f t="shared" si="11"/>
        <v>0</v>
      </c>
      <c r="M65" s="30" t="s">
        <v>3588</v>
      </c>
      <c r="N65" s="30" t="s">
        <v>3600</v>
      </c>
    </row>
    <row r="66" spans="1:15" x14ac:dyDescent="0.4">
      <c r="A66" s="36">
        <v>202777</v>
      </c>
      <c r="B66">
        <v>60</v>
      </c>
      <c r="C66" s="36">
        <f t="shared" si="8"/>
        <v>300</v>
      </c>
      <c r="D66" s="1588">
        <v>0</v>
      </c>
      <c r="E66" s="1588">
        <v>0</v>
      </c>
      <c r="F66" s="1588">
        <v>0</v>
      </c>
      <c r="G66" s="1588">
        <v>0</v>
      </c>
      <c r="H66" s="1588">
        <v>0</v>
      </c>
      <c r="I66" s="1588">
        <v>0</v>
      </c>
      <c r="J66" s="1589">
        <f t="shared" si="9"/>
        <v>0</v>
      </c>
      <c r="K66" s="1589">
        <f t="shared" si="10"/>
        <v>0</v>
      </c>
      <c r="L66" s="1588">
        <f t="shared" si="11"/>
        <v>0</v>
      </c>
      <c r="M66" s="955" t="s">
        <v>3588</v>
      </c>
      <c r="N66" s="955" t="s">
        <v>3600</v>
      </c>
      <c r="O66" t="s">
        <v>3589</v>
      </c>
    </row>
    <row r="67" spans="1:15" x14ac:dyDescent="0.4">
      <c r="A67" s="36">
        <v>202778</v>
      </c>
      <c r="B67">
        <v>60</v>
      </c>
      <c r="C67" s="36">
        <f t="shared" si="8"/>
        <v>300</v>
      </c>
      <c r="D67" s="1588">
        <v>0</v>
      </c>
      <c r="E67" s="1588">
        <v>0</v>
      </c>
      <c r="F67" s="1588">
        <v>0</v>
      </c>
      <c r="G67" s="1588">
        <v>1</v>
      </c>
      <c r="H67" s="1588">
        <v>1</v>
      </c>
      <c r="I67" s="1588">
        <v>1</v>
      </c>
      <c r="J67" s="1589">
        <f t="shared" si="9"/>
        <v>3</v>
      </c>
      <c r="K67" s="1589">
        <f t="shared" si="10"/>
        <v>2</v>
      </c>
      <c r="L67" s="1588">
        <f t="shared" si="11"/>
        <v>120</v>
      </c>
      <c r="M67" s="955" t="s">
        <v>3590</v>
      </c>
      <c r="N67" s="955" t="s">
        <v>3601</v>
      </c>
    </row>
    <row r="68" spans="1:15" x14ac:dyDescent="0.4">
      <c r="A68" s="36">
        <v>202779</v>
      </c>
      <c r="B68">
        <v>45</v>
      </c>
      <c r="C68" s="36">
        <f t="shared" si="8"/>
        <v>225</v>
      </c>
      <c r="D68" s="1588">
        <v>0</v>
      </c>
      <c r="E68" s="1588">
        <v>0</v>
      </c>
      <c r="F68" s="1588">
        <v>0</v>
      </c>
      <c r="G68" s="1588">
        <v>1</v>
      </c>
      <c r="H68" s="1588">
        <v>1</v>
      </c>
      <c r="I68" s="1588">
        <v>1</v>
      </c>
      <c r="J68" s="1589">
        <f t="shared" si="9"/>
        <v>3</v>
      </c>
      <c r="K68" s="1589">
        <f t="shared" si="10"/>
        <v>2</v>
      </c>
      <c r="L68" s="1588">
        <f t="shared" si="11"/>
        <v>90</v>
      </c>
      <c r="M68" s="955" t="s">
        <v>3591</v>
      </c>
      <c r="N68" s="955" t="s">
        <v>3602</v>
      </c>
    </row>
    <row r="69" spans="1:15" x14ac:dyDescent="0.4">
      <c r="A69" s="36">
        <v>202780</v>
      </c>
      <c r="B69">
        <v>60</v>
      </c>
      <c r="C69" s="36">
        <f t="shared" si="8"/>
        <v>300</v>
      </c>
      <c r="D69" s="1588">
        <v>0</v>
      </c>
      <c r="E69" s="1588">
        <v>0</v>
      </c>
      <c r="F69" s="1588">
        <v>0</v>
      </c>
      <c r="G69" s="1588">
        <v>0</v>
      </c>
      <c r="H69" s="1588">
        <v>0</v>
      </c>
      <c r="I69" s="1588">
        <v>1</v>
      </c>
      <c r="J69" s="1589">
        <f t="shared" si="9"/>
        <v>1</v>
      </c>
      <c r="K69" s="1589">
        <f t="shared" si="10"/>
        <v>0</v>
      </c>
      <c r="L69" s="1588">
        <f t="shared" si="11"/>
        <v>0</v>
      </c>
      <c r="M69" s="955" t="s">
        <v>3591</v>
      </c>
      <c r="N69" s="955" t="s">
        <v>3602</v>
      </c>
    </row>
    <row r="70" spans="1:15" x14ac:dyDescent="0.4">
      <c r="A70" s="36">
        <v>202781</v>
      </c>
      <c r="B70">
        <v>45</v>
      </c>
      <c r="C70" s="36">
        <f t="shared" si="8"/>
        <v>225</v>
      </c>
      <c r="D70" s="1588">
        <v>0</v>
      </c>
      <c r="E70" s="1588">
        <v>0</v>
      </c>
      <c r="F70" s="1588">
        <v>0</v>
      </c>
      <c r="G70" s="1588">
        <v>0</v>
      </c>
      <c r="H70" s="1588">
        <v>1</v>
      </c>
      <c r="I70" s="1588">
        <v>1</v>
      </c>
      <c r="J70" s="1589">
        <f t="shared" si="9"/>
        <v>2</v>
      </c>
      <c r="K70" s="1589">
        <f t="shared" si="10"/>
        <v>1</v>
      </c>
      <c r="L70" s="1588">
        <f t="shared" si="11"/>
        <v>45</v>
      </c>
      <c r="M70" s="955" t="s">
        <v>3592</v>
      </c>
      <c r="N70" s="955" t="s">
        <v>3603</v>
      </c>
    </row>
    <row r="71" spans="1:15" x14ac:dyDescent="0.4">
      <c r="A71" s="36">
        <v>202782</v>
      </c>
      <c r="B71">
        <v>60</v>
      </c>
      <c r="C71" s="36">
        <f t="shared" si="8"/>
        <v>300</v>
      </c>
      <c r="D71" s="1588">
        <v>0</v>
      </c>
      <c r="E71" s="1588">
        <v>0</v>
      </c>
      <c r="F71" s="1588">
        <v>0</v>
      </c>
      <c r="G71" s="1588">
        <v>0</v>
      </c>
      <c r="H71" s="1588">
        <v>1</v>
      </c>
      <c r="I71" s="1588">
        <v>1</v>
      </c>
      <c r="J71" s="1589">
        <f t="shared" si="9"/>
        <v>2</v>
      </c>
      <c r="K71" s="1589">
        <f t="shared" si="10"/>
        <v>1</v>
      </c>
      <c r="L71" s="1588">
        <f t="shared" si="11"/>
        <v>60</v>
      </c>
      <c r="M71" s="955" t="s">
        <v>3593</v>
      </c>
      <c r="N71" s="955" t="s">
        <v>3604</v>
      </c>
    </row>
    <row r="72" spans="1:15" x14ac:dyDescent="0.4">
      <c r="A72" s="1960">
        <v>202783</v>
      </c>
      <c r="B72" s="1960">
        <v>45</v>
      </c>
      <c r="C72" s="1960">
        <f t="shared" si="8"/>
        <v>225</v>
      </c>
      <c r="D72" s="1961">
        <v>0</v>
      </c>
      <c r="E72" s="1961">
        <v>0</v>
      </c>
      <c r="F72" s="1961">
        <v>0</v>
      </c>
      <c r="G72" s="1961">
        <v>0</v>
      </c>
      <c r="H72" s="1961">
        <v>0</v>
      </c>
      <c r="I72" s="1961">
        <v>0</v>
      </c>
      <c r="J72" s="1962">
        <f t="shared" si="9"/>
        <v>0</v>
      </c>
      <c r="K72" s="1962">
        <f t="shared" si="10"/>
        <v>0</v>
      </c>
      <c r="L72" s="1961">
        <f t="shared" si="11"/>
        <v>0</v>
      </c>
      <c r="M72" s="1963" t="s">
        <v>3595</v>
      </c>
      <c r="N72" s="1963" t="s">
        <v>3605</v>
      </c>
    </row>
    <row r="73" spans="1:15" x14ac:dyDescent="0.4">
      <c r="A73" s="36">
        <v>202784</v>
      </c>
      <c r="B73">
        <v>100</v>
      </c>
      <c r="C73" s="36">
        <f t="shared" si="8"/>
        <v>500</v>
      </c>
      <c r="D73" s="1588">
        <v>0</v>
      </c>
      <c r="E73" s="1588">
        <v>1</v>
      </c>
      <c r="F73" s="1588">
        <v>1</v>
      </c>
      <c r="G73" s="1588">
        <v>1</v>
      </c>
      <c r="H73" s="1588">
        <v>1</v>
      </c>
      <c r="I73" s="1588">
        <v>1</v>
      </c>
      <c r="J73" s="1589">
        <f t="shared" si="9"/>
        <v>5</v>
      </c>
      <c r="K73" s="1589">
        <f t="shared" si="10"/>
        <v>4</v>
      </c>
      <c r="L73" s="1588">
        <f t="shared" si="11"/>
        <v>400</v>
      </c>
      <c r="M73" s="955" t="s">
        <v>3595</v>
      </c>
      <c r="N73" s="955" t="s">
        <v>3605</v>
      </c>
    </row>
    <row r="74" spans="1:15" x14ac:dyDescent="0.4">
      <c r="A74" s="36">
        <v>202785</v>
      </c>
      <c r="B74">
        <v>50</v>
      </c>
      <c r="C74" s="36">
        <f t="shared" si="8"/>
        <v>250</v>
      </c>
      <c r="D74" s="1588">
        <v>1</v>
      </c>
      <c r="E74" s="1588">
        <v>1</v>
      </c>
      <c r="F74" s="1588">
        <v>1</v>
      </c>
      <c r="G74" s="1588">
        <v>1</v>
      </c>
      <c r="H74" s="1588">
        <v>1</v>
      </c>
      <c r="I74" s="1588">
        <v>1</v>
      </c>
      <c r="J74" s="1589">
        <f t="shared" si="9"/>
        <v>6</v>
      </c>
      <c r="K74" s="1589">
        <f t="shared" si="10"/>
        <v>5</v>
      </c>
      <c r="L74" s="1588">
        <f t="shared" si="11"/>
        <v>250</v>
      </c>
      <c r="M74" s="955" t="s">
        <v>3596</v>
      </c>
      <c r="N74" s="955" t="s">
        <v>3606</v>
      </c>
    </row>
    <row r="75" spans="1:15" x14ac:dyDescent="0.4">
      <c r="A75" s="36">
        <v>202786</v>
      </c>
      <c r="B75">
        <v>45</v>
      </c>
      <c r="C75" s="36">
        <f t="shared" si="8"/>
        <v>225</v>
      </c>
      <c r="D75" s="1588">
        <v>0</v>
      </c>
      <c r="E75" s="1588">
        <v>0</v>
      </c>
      <c r="F75" s="1588">
        <v>0</v>
      </c>
      <c r="G75" s="1588">
        <v>0</v>
      </c>
      <c r="H75" s="1588">
        <v>0</v>
      </c>
      <c r="I75" s="1588">
        <v>1</v>
      </c>
      <c r="J75" s="1589">
        <f t="shared" si="9"/>
        <v>1</v>
      </c>
      <c r="K75" s="1589">
        <f t="shared" si="10"/>
        <v>0</v>
      </c>
      <c r="L75" s="1588">
        <f t="shared" si="11"/>
        <v>0</v>
      </c>
      <c r="M75" s="955" t="s">
        <v>3597</v>
      </c>
      <c r="N75" s="955" t="s">
        <v>3607</v>
      </c>
    </row>
    <row r="76" spans="1:15" x14ac:dyDescent="0.4">
      <c r="A76" s="36">
        <v>202787</v>
      </c>
      <c r="B76">
        <v>45</v>
      </c>
      <c r="C76" s="36">
        <f t="shared" si="8"/>
        <v>225</v>
      </c>
      <c r="D76" s="1588">
        <v>0</v>
      </c>
      <c r="E76" s="1588">
        <v>0</v>
      </c>
      <c r="F76" s="1588">
        <v>0</v>
      </c>
      <c r="G76" s="1588">
        <v>1</v>
      </c>
      <c r="H76" s="1588">
        <v>1</v>
      </c>
      <c r="I76" s="1588">
        <v>1</v>
      </c>
      <c r="J76" s="1589">
        <f t="shared" si="9"/>
        <v>3</v>
      </c>
      <c r="K76" s="1589">
        <f t="shared" si="10"/>
        <v>2</v>
      </c>
      <c r="L76" s="1588">
        <f t="shared" si="11"/>
        <v>90</v>
      </c>
      <c r="M76" s="955" t="s">
        <v>3597</v>
      </c>
      <c r="N76" s="955" t="s">
        <v>3607</v>
      </c>
    </row>
    <row r="77" spans="1:15" x14ac:dyDescent="0.4">
      <c r="A77" s="36">
        <v>202788</v>
      </c>
      <c r="B77">
        <v>45</v>
      </c>
      <c r="C77" s="36">
        <f t="shared" si="8"/>
        <v>225</v>
      </c>
      <c r="D77" s="1588">
        <v>0</v>
      </c>
      <c r="E77" s="1588">
        <v>0</v>
      </c>
      <c r="F77" s="1588">
        <v>0</v>
      </c>
      <c r="G77" s="1588">
        <v>0</v>
      </c>
      <c r="H77" s="1588">
        <v>1</v>
      </c>
      <c r="I77" s="1588">
        <v>1</v>
      </c>
      <c r="J77" s="1589">
        <f t="shared" si="9"/>
        <v>2</v>
      </c>
      <c r="K77" s="1589">
        <f t="shared" si="10"/>
        <v>1</v>
      </c>
      <c r="L77" s="1588">
        <f t="shared" si="11"/>
        <v>45</v>
      </c>
      <c r="M77" s="955" t="s">
        <v>3598</v>
      </c>
      <c r="N77" s="955" t="s">
        <v>3599</v>
      </c>
    </row>
    <row r="78" spans="1:15" x14ac:dyDescent="0.4">
      <c r="A78" s="36">
        <v>202789</v>
      </c>
      <c r="B78">
        <v>60</v>
      </c>
      <c r="C78" s="36">
        <f t="shared" si="8"/>
        <v>300</v>
      </c>
      <c r="D78" s="1588">
        <v>0</v>
      </c>
      <c r="E78" s="1588">
        <v>0</v>
      </c>
      <c r="F78" s="1588">
        <v>0</v>
      </c>
      <c r="G78" s="1588">
        <v>0</v>
      </c>
      <c r="H78" s="1588">
        <v>1</v>
      </c>
      <c r="I78" s="1588">
        <v>1</v>
      </c>
      <c r="J78" s="1589">
        <f t="shared" si="9"/>
        <v>2</v>
      </c>
      <c r="K78" s="1589">
        <f t="shared" si="10"/>
        <v>1</v>
      </c>
      <c r="L78" s="1588">
        <f t="shared" si="11"/>
        <v>60</v>
      </c>
      <c r="M78" s="955" t="s">
        <v>3598</v>
      </c>
      <c r="N78" s="955" t="s">
        <v>3599</v>
      </c>
    </row>
    <row r="79" spans="1:15" x14ac:dyDescent="0.4">
      <c r="A79" s="22">
        <v>202790</v>
      </c>
      <c r="B79" s="22">
        <v>45</v>
      </c>
      <c r="C79" s="22">
        <f t="shared" ref="C79:C139" si="14">SUM(B79*5)</f>
        <v>225</v>
      </c>
      <c r="D79" s="557">
        <v>0</v>
      </c>
      <c r="E79" s="557">
        <v>0</v>
      </c>
      <c r="F79" s="557">
        <v>0</v>
      </c>
      <c r="G79" s="557">
        <v>0</v>
      </c>
      <c r="H79" s="557">
        <v>0</v>
      </c>
      <c r="I79" s="557">
        <v>0</v>
      </c>
      <c r="J79" s="24">
        <f t="shared" ref="J79:J139" si="15">SUM(D79:I79)</f>
        <v>0</v>
      </c>
      <c r="K79" s="24">
        <f t="shared" ref="K79:K139" si="16">SUM(D79:H79)</f>
        <v>0</v>
      </c>
      <c r="L79" s="557">
        <f t="shared" ref="L79:L139" si="17">B79*K79</f>
        <v>0</v>
      </c>
      <c r="M79" s="29" t="s">
        <v>3621</v>
      </c>
      <c r="N79" s="29" t="s">
        <v>3622</v>
      </c>
    </row>
    <row r="80" spans="1:15" x14ac:dyDescent="0.4">
      <c r="A80" s="22">
        <v>202791</v>
      </c>
      <c r="B80" s="22">
        <v>45</v>
      </c>
      <c r="C80" s="22">
        <f t="shared" si="14"/>
        <v>225</v>
      </c>
      <c r="D80" s="557">
        <v>0</v>
      </c>
      <c r="E80" s="557">
        <v>0</v>
      </c>
      <c r="F80" s="557">
        <v>0</v>
      </c>
      <c r="G80" s="557">
        <v>0</v>
      </c>
      <c r="H80" s="557">
        <v>0</v>
      </c>
      <c r="I80" s="557">
        <v>0</v>
      </c>
      <c r="J80" s="24">
        <f t="shared" si="15"/>
        <v>0</v>
      </c>
      <c r="K80" s="24">
        <f t="shared" si="16"/>
        <v>0</v>
      </c>
      <c r="L80" s="557">
        <f t="shared" si="17"/>
        <v>0</v>
      </c>
      <c r="M80" s="29" t="s">
        <v>3621</v>
      </c>
      <c r="N80" s="29" t="s">
        <v>3622</v>
      </c>
    </row>
    <row r="81" spans="1:15" x14ac:dyDescent="0.4">
      <c r="A81" s="36">
        <v>202792</v>
      </c>
      <c r="B81">
        <v>60</v>
      </c>
      <c r="C81" s="36">
        <f t="shared" si="14"/>
        <v>300</v>
      </c>
      <c r="D81" s="1629">
        <v>0</v>
      </c>
      <c r="E81" s="1629">
        <v>0</v>
      </c>
      <c r="F81" s="1629">
        <v>0</v>
      </c>
      <c r="G81" s="1629">
        <v>0</v>
      </c>
      <c r="H81" s="1629">
        <v>1</v>
      </c>
      <c r="I81" s="1629">
        <v>1</v>
      </c>
      <c r="J81" s="1631">
        <f t="shared" si="15"/>
        <v>2</v>
      </c>
      <c r="K81" s="1631">
        <f t="shared" si="16"/>
        <v>1</v>
      </c>
      <c r="L81" s="1629">
        <f t="shared" si="17"/>
        <v>60</v>
      </c>
      <c r="M81" s="955" t="s">
        <v>3623</v>
      </c>
      <c r="N81" s="955" t="s">
        <v>3624</v>
      </c>
    </row>
    <row r="82" spans="1:15" x14ac:dyDescent="0.4">
      <c r="A82" s="36">
        <v>202793</v>
      </c>
      <c r="B82">
        <v>45</v>
      </c>
      <c r="C82" s="36">
        <f t="shared" si="14"/>
        <v>225</v>
      </c>
      <c r="D82" s="1629">
        <v>0</v>
      </c>
      <c r="E82" s="1629">
        <v>0</v>
      </c>
      <c r="F82" s="1629">
        <v>0</v>
      </c>
      <c r="G82" s="1629">
        <v>0</v>
      </c>
      <c r="H82" s="1629">
        <v>1</v>
      </c>
      <c r="I82" s="1629">
        <v>1</v>
      </c>
      <c r="J82" s="1631">
        <f t="shared" si="15"/>
        <v>2</v>
      </c>
      <c r="K82" s="1631">
        <f t="shared" si="16"/>
        <v>1</v>
      </c>
      <c r="L82" s="1629">
        <f t="shared" si="17"/>
        <v>45</v>
      </c>
      <c r="M82" s="955" t="s">
        <v>3625</v>
      </c>
      <c r="N82" s="955" t="s">
        <v>3626</v>
      </c>
    </row>
    <row r="83" spans="1:15" x14ac:dyDescent="0.4">
      <c r="A83" s="16">
        <v>202794</v>
      </c>
      <c r="B83" s="16">
        <v>60</v>
      </c>
      <c r="C83" s="16">
        <f t="shared" si="14"/>
        <v>300</v>
      </c>
      <c r="D83" s="1774">
        <v>0</v>
      </c>
      <c r="E83" s="1774">
        <v>0</v>
      </c>
      <c r="F83" s="1774">
        <v>0</v>
      </c>
      <c r="G83" s="1774">
        <v>0</v>
      </c>
      <c r="H83" s="1774">
        <v>0</v>
      </c>
      <c r="I83" s="1774">
        <v>0</v>
      </c>
      <c r="J83" s="1775">
        <f t="shared" si="15"/>
        <v>0</v>
      </c>
      <c r="K83" s="1775">
        <f t="shared" si="16"/>
        <v>0</v>
      </c>
      <c r="L83" s="1774">
        <f t="shared" si="17"/>
        <v>0</v>
      </c>
      <c r="M83" s="30" t="s">
        <v>3627</v>
      </c>
      <c r="N83" s="30" t="s">
        <v>3628</v>
      </c>
    </row>
    <row r="84" spans="1:15" x14ac:dyDescent="0.4">
      <c r="A84" s="359">
        <v>202795</v>
      </c>
      <c r="B84" s="359">
        <v>60</v>
      </c>
      <c r="C84" s="359">
        <f t="shared" si="14"/>
        <v>300</v>
      </c>
      <c r="D84" s="1967">
        <v>0</v>
      </c>
      <c r="E84" s="1967">
        <v>0</v>
      </c>
      <c r="F84" s="1967">
        <v>0</v>
      </c>
      <c r="G84" s="1967">
        <v>0</v>
      </c>
      <c r="H84" s="1967">
        <v>0</v>
      </c>
      <c r="I84" s="1967">
        <v>0</v>
      </c>
      <c r="J84" s="360">
        <f t="shared" si="15"/>
        <v>0</v>
      </c>
      <c r="K84" s="360">
        <f t="shared" si="16"/>
        <v>0</v>
      </c>
      <c r="L84" s="1967">
        <f t="shared" si="17"/>
        <v>0</v>
      </c>
      <c r="M84" s="1968" t="s">
        <v>3629</v>
      </c>
      <c r="N84" s="1968" t="s">
        <v>3630</v>
      </c>
    </row>
    <row r="85" spans="1:15" x14ac:dyDescent="0.4">
      <c r="A85" s="16">
        <v>202796</v>
      </c>
      <c r="B85" s="16">
        <v>50</v>
      </c>
      <c r="C85" s="16">
        <f t="shared" si="14"/>
        <v>250</v>
      </c>
      <c r="D85" s="1827">
        <v>0</v>
      </c>
      <c r="E85" s="1827">
        <v>0</v>
      </c>
      <c r="F85" s="1827">
        <v>0</v>
      </c>
      <c r="G85" s="1827">
        <v>0</v>
      </c>
      <c r="H85" s="1827">
        <v>0</v>
      </c>
      <c r="I85" s="1827">
        <v>0</v>
      </c>
      <c r="J85" s="1828">
        <f t="shared" si="15"/>
        <v>0</v>
      </c>
      <c r="K85" s="1828">
        <f t="shared" si="16"/>
        <v>0</v>
      </c>
      <c r="L85" s="1827">
        <f t="shared" si="17"/>
        <v>0</v>
      </c>
      <c r="M85" s="30" t="s">
        <v>3631</v>
      </c>
      <c r="N85" s="30" t="s">
        <v>3632</v>
      </c>
    </row>
    <row r="86" spans="1:15" x14ac:dyDescent="0.4">
      <c r="A86" s="36">
        <v>202797</v>
      </c>
      <c r="B86">
        <v>60</v>
      </c>
      <c r="C86" s="36">
        <f t="shared" si="14"/>
        <v>300</v>
      </c>
      <c r="D86" s="1629">
        <v>0</v>
      </c>
      <c r="E86" s="1629">
        <v>0</v>
      </c>
      <c r="F86" s="1629">
        <v>0</v>
      </c>
      <c r="G86" s="1629">
        <v>0</v>
      </c>
      <c r="H86" s="1629">
        <v>0</v>
      </c>
      <c r="I86" s="1629">
        <v>1</v>
      </c>
      <c r="J86" s="1631">
        <f t="shared" si="15"/>
        <v>1</v>
      </c>
      <c r="K86" s="1631">
        <f t="shared" si="16"/>
        <v>0</v>
      </c>
      <c r="L86" s="1629">
        <f t="shared" si="17"/>
        <v>0</v>
      </c>
      <c r="M86" s="955" t="s">
        <v>3633</v>
      </c>
      <c r="N86" s="955" t="s">
        <v>3634</v>
      </c>
    </row>
    <row r="87" spans="1:15" x14ac:dyDescent="0.4">
      <c r="A87" s="36">
        <v>202798</v>
      </c>
      <c r="B87">
        <v>60</v>
      </c>
      <c r="C87" s="36">
        <f t="shared" si="14"/>
        <v>300</v>
      </c>
      <c r="D87" s="1629">
        <v>0</v>
      </c>
      <c r="E87" s="1629">
        <v>0</v>
      </c>
      <c r="F87" s="1629">
        <v>0</v>
      </c>
      <c r="G87" s="1629">
        <v>0</v>
      </c>
      <c r="H87" s="1629">
        <v>1</v>
      </c>
      <c r="I87" s="1629">
        <v>1</v>
      </c>
      <c r="J87" s="1631">
        <f t="shared" si="15"/>
        <v>2</v>
      </c>
      <c r="K87" s="1631">
        <f t="shared" si="16"/>
        <v>1</v>
      </c>
      <c r="L87" s="1629">
        <f t="shared" si="17"/>
        <v>60</v>
      </c>
      <c r="M87" s="955" t="s">
        <v>3635</v>
      </c>
      <c r="N87" s="955" t="s">
        <v>3636</v>
      </c>
    </row>
    <row r="88" spans="1:15" x14ac:dyDescent="0.4">
      <c r="A88" s="36">
        <v>202799</v>
      </c>
      <c r="B88">
        <v>45</v>
      </c>
      <c r="C88" s="36">
        <f t="shared" si="14"/>
        <v>225</v>
      </c>
      <c r="D88" s="1629">
        <v>0</v>
      </c>
      <c r="E88" s="1629">
        <v>0</v>
      </c>
      <c r="F88" s="1629">
        <v>0</v>
      </c>
      <c r="G88" s="1629">
        <v>0</v>
      </c>
      <c r="H88" s="1629">
        <v>1</v>
      </c>
      <c r="I88" s="1629">
        <v>1</v>
      </c>
      <c r="J88" s="1631">
        <f t="shared" si="15"/>
        <v>2</v>
      </c>
      <c r="K88" s="1631">
        <f t="shared" si="16"/>
        <v>1</v>
      </c>
      <c r="L88" s="1629">
        <f t="shared" si="17"/>
        <v>45</v>
      </c>
      <c r="M88" s="955" t="s">
        <v>3637</v>
      </c>
      <c r="N88" s="955" t="s">
        <v>3638</v>
      </c>
    </row>
    <row r="89" spans="1:15" x14ac:dyDescent="0.4">
      <c r="A89" s="36">
        <v>202800</v>
      </c>
      <c r="B89">
        <v>60</v>
      </c>
      <c r="C89" s="36">
        <f t="shared" si="14"/>
        <v>300</v>
      </c>
      <c r="D89" s="1629">
        <v>0</v>
      </c>
      <c r="E89" s="1629">
        <v>0</v>
      </c>
      <c r="F89" s="1629">
        <v>0</v>
      </c>
      <c r="G89" s="1629">
        <v>0</v>
      </c>
      <c r="H89" s="1629">
        <v>0</v>
      </c>
      <c r="I89" s="1629">
        <v>1</v>
      </c>
      <c r="J89" s="1631">
        <f t="shared" si="15"/>
        <v>1</v>
      </c>
      <c r="K89" s="1631">
        <f t="shared" si="16"/>
        <v>0</v>
      </c>
      <c r="L89" s="1629">
        <f t="shared" si="17"/>
        <v>0</v>
      </c>
      <c r="M89" s="955" t="s">
        <v>3639</v>
      </c>
      <c r="N89" s="955" t="s">
        <v>3640</v>
      </c>
    </row>
    <row r="90" spans="1:15" x14ac:dyDescent="0.4">
      <c r="A90" s="22">
        <v>202801</v>
      </c>
      <c r="B90" s="22">
        <v>60</v>
      </c>
      <c r="C90" s="22">
        <f t="shared" si="14"/>
        <v>300</v>
      </c>
      <c r="D90" s="557">
        <v>0</v>
      </c>
      <c r="E90" s="557">
        <v>0</v>
      </c>
      <c r="F90" s="557">
        <v>0</v>
      </c>
      <c r="G90" s="557">
        <v>0</v>
      </c>
      <c r="H90" s="557">
        <v>0</v>
      </c>
      <c r="I90" s="557">
        <v>0</v>
      </c>
      <c r="J90" s="24">
        <f t="shared" si="15"/>
        <v>0</v>
      </c>
      <c r="K90" s="24">
        <f t="shared" si="16"/>
        <v>0</v>
      </c>
      <c r="L90" s="557">
        <f t="shared" si="17"/>
        <v>0</v>
      </c>
      <c r="M90" s="29" t="s">
        <v>3639</v>
      </c>
      <c r="N90" s="29" t="s">
        <v>3640</v>
      </c>
    </row>
    <row r="91" spans="1:15" x14ac:dyDescent="0.4">
      <c r="A91" s="36">
        <v>202802</v>
      </c>
      <c r="B91">
        <v>60</v>
      </c>
      <c r="C91" s="36">
        <f t="shared" si="14"/>
        <v>300</v>
      </c>
      <c r="D91" s="1629">
        <v>0</v>
      </c>
      <c r="E91" s="1629">
        <v>0</v>
      </c>
      <c r="F91" s="1629">
        <v>0</v>
      </c>
      <c r="G91" s="1629">
        <v>0</v>
      </c>
      <c r="H91" s="1629">
        <v>0</v>
      </c>
      <c r="I91" s="1629">
        <v>1</v>
      </c>
      <c r="J91" s="1631">
        <f t="shared" si="15"/>
        <v>1</v>
      </c>
      <c r="K91" s="1631">
        <f t="shared" si="16"/>
        <v>0</v>
      </c>
      <c r="L91" s="1629">
        <f t="shared" si="17"/>
        <v>0</v>
      </c>
      <c r="M91" s="955" t="s">
        <v>3639</v>
      </c>
      <c r="N91" s="955" t="s">
        <v>3640</v>
      </c>
    </row>
    <row r="92" spans="1:15" x14ac:dyDescent="0.4">
      <c r="A92" s="1034">
        <v>202803</v>
      </c>
      <c r="B92" s="1034">
        <v>45</v>
      </c>
      <c r="C92" s="1034">
        <f t="shared" si="14"/>
        <v>225</v>
      </c>
      <c r="D92" s="1035">
        <v>0</v>
      </c>
      <c r="E92" s="1035">
        <v>0</v>
      </c>
      <c r="F92" s="1035">
        <v>0</v>
      </c>
      <c r="G92" s="1035">
        <v>0</v>
      </c>
      <c r="H92" s="1035">
        <v>0</v>
      </c>
      <c r="I92" s="1035">
        <v>0</v>
      </c>
      <c r="J92" s="1036">
        <f t="shared" si="15"/>
        <v>0</v>
      </c>
      <c r="K92" s="1036">
        <f t="shared" si="16"/>
        <v>0</v>
      </c>
      <c r="L92" s="1035">
        <f t="shared" si="17"/>
        <v>0</v>
      </c>
      <c r="M92" s="1957" t="s">
        <v>3639</v>
      </c>
      <c r="N92" s="1957" t="s">
        <v>3640</v>
      </c>
    </row>
    <row r="93" spans="1:15" x14ac:dyDescent="0.4">
      <c r="A93" s="1">
        <v>202804</v>
      </c>
      <c r="B93" s="1">
        <v>45</v>
      </c>
      <c r="C93" s="1">
        <f t="shared" si="14"/>
        <v>225</v>
      </c>
      <c r="D93" s="2005">
        <v>0</v>
      </c>
      <c r="E93" s="2005">
        <v>0</v>
      </c>
      <c r="F93" s="2005">
        <v>0</v>
      </c>
      <c r="G93" s="2005">
        <v>0</v>
      </c>
      <c r="H93" s="2005">
        <v>0</v>
      </c>
      <c r="I93" s="2005">
        <v>0</v>
      </c>
      <c r="J93" s="2006">
        <f t="shared" si="15"/>
        <v>0</v>
      </c>
      <c r="K93" s="2006">
        <f t="shared" ref="K93" si="18">SUM(D93:H93)</f>
        <v>0</v>
      </c>
      <c r="L93" s="2005">
        <f t="shared" ref="L93" si="19">B93*K93</f>
        <v>0</v>
      </c>
      <c r="M93" s="141" t="s">
        <v>3641</v>
      </c>
      <c r="N93" s="141" t="s">
        <v>3642</v>
      </c>
    </row>
    <row r="94" spans="1:15" x14ac:dyDescent="0.4">
      <c r="A94" s="1993">
        <v>202805</v>
      </c>
      <c r="B94" s="1993">
        <v>60</v>
      </c>
      <c r="C94" s="1993">
        <f t="shared" si="14"/>
        <v>300</v>
      </c>
      <c r="D94" s="1994">
        <v>0</v>
      </c>
      <c r="E94" s="1994">
        <v>0</v>
      </c>
      <c r="F94" s="1994">
        <v>0</v>
      </c>
      <c r="G94" s="1994">
        <v>0</v>
      </c>
      <c r="H94" s="1994">
        <v>0</v>
      </c>
      <c r="I94" s="1994">
        <v>0</v>
      </c>
      <c r="J94" s="1995">
        <f t="shared" si="15"/>
        <v>0</v>
      </c>
      <c r="K94" s="1995">
        <f t="shared" si="16"/>
        <v>0</v>
      </c>
      <c r="L94" s="1994">
        <f t="shared" si="17"/>
        <v>0</v>
      </c>
      <c r="M94" s="1996" t="s">
        <v>3643</v>
      </c>
      <c r="N94" s="1996" t="s">
        <v>3644</v>
      </c>
    </row>
    <row r="95" spans="1:15" x14ac:dyDescent="0.4">
      <c r="A95" s="2021">
        <v>202806</v>
      </c>
      <c r="B95" s="2021">
        <v>45</v>
      </c>
      <c r="C95" s="2021">
        <f t="shared" si="14"/>
        <v>225</v>
      </c>
      <c r="D95" s="2022">
        <v>0</v>
      </c>
      <c r="E95" s="2022">
        <v>0</v>
      </c>
      <c r="F95" s="2022">
        <v>0</v>
      </c>
      <c r="G95" s="2022">
        <v>0</v>
      </c>
      <c r="H95" s="2022">
        <v>0</v>
      </c>
      <c r="I95" s="2022">
        <v>0</v>
      </c>
      <c r="J95" s="2023">
        <f t="shared" si="15"/>
        <v>0</v>
      </c>
      <c r="K95" s="2023">
        <f t="shared" si="16"/>
        <v>0</v>
      </c>
      <c r="L95" s="2022">
        <f t="shared" si="17"/>
        <v>0</v>
      </c>
      <c r="M95" s="2024" t="s">
        <v>3643</v>
      </c>
      <c r="N95" s="2024" t="s">
        <v>3644</v>
      </c>
      <c r="O95" s="2021" t="s">
        <v>3901</v>
      </c>
    </row>
    <row r="96" spans="1:15" x14ac:dyDescent="0.4">
      <c r="A96" s="16">
        <v>202807</v>
      </c>
      <c r="B96" s="16">
        <v>45</v>
      </c>
      <c r="C96" s="16">
        <f t="shared" si="14"/>
        <v>225</v>
      </c>
      <c r="D96" s="1839">
        <v>0</v>
      </c>
      <c r="E96" s="1839">
        <v>0</v>
      </c>
      <c r="F96" s="1839">
        <v>0</v>
      </c>
      <c r="G96" s="1839">
        <v>0</v>
      </c>
      <c r="H96" s="1839">
        <v>0</v>
      </c>
      <c r="I96" s="1839">
        <v>0</v>
      </c>
      <c r="J96" s="1840">
        <f t="shared" si="15"/>
        <v>0</v>
      </c>
      <c r="K96" s="1840">
        <f t="shared" si="16"/>
        <v>0</v>
      </c>
      <c r="L96" s="1839">
        <f t="shared" si="17"/>
        <v>0</v>
      </c>
      <c r="M96" s="30" t="s">
        <v>3645</v>
      </c>
      <c r="N96" s="30" t="s">
        <v>3646</v>
      </c>
    </row>
    <row r="97" spans="1:22" x14ac:dyDescent="0.4">
      <c r="A97" s="36">
        <v>202808</v>
      </c>
      <c r="B97">
        <v>45</v>
      </c>
      <c r="C97" s="36">
        <f t="shared" si="14"/>
        <v>225</v>
      </c>
      <c r="D97" s="1629">
        <v>0</v>
      </c>
      <c r="E97" s="1629">
        <v>0</v>
      </c>
      <c r="F97" s="1629">
        <v>1</v>
      </c>
      <c r="G97" s="1629">
        <v>1</v>
      </c>
      <c r="H97" s="1629">
        <v>1</v>
      </c>
      <c r="I97" s="1629">
        <v>1</v>
      </c>
      <c r="J97" s="1631">
        <f t="shared" si="15"/>
        <v>4</v>
      </c>
      <c r="K97" s="1631">
        <f t="shared" si="16"/>
        <v>3</v>
      </c>
      <c r="L97" s="1629">
        <f t="shared" si="17"/>
        <v>135</v>
      </c>
      <c r="M97" s="955" t="s">
        <v>3647</v>
      </c>
      <c r="N97" s="955" t="s">
        <v>3648</v>
      </c>
    </row>
    <row r="98" spans="1:22" x14ac:dyDescent="0.4">
      <c r="A98" s="16">
        <v>202809</v>
      </c>
      <c r="B98" s="16">
        <v>45</v>
      </c>
      <c r="C98" s="16">
        <f t="shared" si="14"/>
        <v>225</v>
      </c>
      <c r="D98" s="1839">
        <v>0</v>
      </c>
      <c r="E98" s="1839">
        <v>0</v>
      </c>
      <c r="F98" s="1839">
        <v>0</v>
      </c>
      <c r="G98" s="1839">
        <v>0</v>
      </c>
      <c r="H98" s="1839">
        <v>0</v>
      </c>
      <c r="I98" s="1839">
        <v>0</v>
      </c>
      <c r="J98" s="1840">
        <f t="shared" si="15"/>
        <v>0</v>
      </c>
      <c r="K98" s="1840">
        <f t="shared" si="16"/>
        <v>0</v>
      </c>
      <c r="L98" s="1839">
        <f t="shared" si="17"/>
        <v>0</v>
      </c>
      <c r="M98" s="30" t="s">
        <v>3650</v>
      </c>
      <c r="N98" s="30" t="s">
        <v>3651</v>
      </c>
    </row>
    <row r="99" spans="1:22" x14ac:dyDescent="0.4">
      <c r="A99" s="36">
        <v>202810</v>
      </c>
      <c r="B99">
        <v>60</v>
      </c>
      <c r="C99" s="36">
        <f t="shared" si="14"/>
        <v>300</v>
      </c>
      <c r="D99" s="1629">
        <v>0</v>
      </c>
      <c r="E99" s="1629">
        <v>0</v>
      </c>
      <c r="F99" s="1629">
        <v>1</v>
      </c>
      <c r="G99" s="1629">
        <v>1</v>
      </c>
      <c r="H99" s="1629">
        <v>1</v>
      </c>
      <c r="I99" s="1629">
        <v>1</v>
      </c>
      <c r="J99" s="1631">
        <f t="shared" si="15"/>
        <v>4</v>
      </c>
      <c r="K99" s="1631">
        <f t="shared" si="16"/>
        <v>3</v>
      </c>
      <c r="L99" s="1629">
        <f t="shared" si="17"/>
        <v>180</v>
      </c>
      <c r="M99" s="955" t="s">
        <v>3652</v>
      </c>
      <c r="N99" s="955" t="s">
        <v>3653</v>
      </c>
    </row>
    <row r="100" spans="1:22" x14ac:dyDescent="0.4">
      <c r="A100" s="1960">
        <v>202811</v>
      </c>
      <c r="B100" s="1960">
        <v>60</v>
      </c>
      <c r="C100" s="1960">
        <f t="shared" si="14"/>
        <v>300</v>
      </c>
      <c r="D100" s="1961">
        <v>0</v>
      </c>
      <c r="E100" s="1961">
        <v>0</v>
      </c>
      <c r="F100" s="1961">
        <v>0</v>
      </c>
      <c r="G100" s="1961">
        <v>0</v>
      </c>
      <c r="H100" s="1961">
        <v>0</v>
      </c>
      <c r="I100" s="1961">
        <v>0</v>
      </c>
      <c r="J100" s="1962">
        <f t="shared" si="15"/>
        <v>0</v>
      </c>
      <c r="K100" s="1962">
        <f t="shared" si="16"/>
        <v>0</v>
      </c>
      <c r="L100" s="1961">
        <f t="shared" si="17"/>
        <v>0</v>
      </c>
      <c r="M100" s="1963" t="s">
        <v>3655</v>
      </c>
      <c r="N100" s="1963" t="s">
        <v>3656</v>
      </c>
    </row>
    <row r="101" spans="1:22" x14ac:dyDescent="0.4">
      <c r="A101" s="16">
        <v>202812</v>
      </c>
      <c r="B101" s="16">
        <v>60</v>
      </c>
      <c r="C101" s="16">
        <f t="shared" si="14"/>
        <v>300</v>
      </c>
      <c r="D101" s="1726">
        <v>0</v>
      </c>
      <c r="E101" s="1726">
        <v>0</v>
      </c>
      <c r="F101" s="1726">
        <v>0</v>
      </c>
      <c r="G101" s="1726">
        <v>0</v>
      </c>
      <c r="H101" s="1726">
        <v>0</v>
      </c>
      <c r="I101" s="1726">
        <v>0</v>
      </c>
      <c r="J101" s="1727">
        <f t="shared" si="15"/>
        <v>0</v>
      </c>
      <c r="K101" s="1727">
        <f t="shared" si="16"/>
        <v>0</v>
      </c>
      <c r="L101" s="1726">
        <f t="shared" si="17"/>
        <v>0</v>
      </c>
      <c r="M101" s="30" t="s">
        <v>3655</v>
      </c>
      <c r="N101" s="30" t="s">
        <v>3656</v>
      </c>
    </row>
    <row r="102" spans="1:22" x14ac:dyDescent="0.4">
      <c r="A102" s="36">
        <v>202813</v>
      </c>
      <c r="B102">
        <v>45</v>
      </c>
      <c r="C102" s="36">
        <f t="shared" si="14"/>
        <v>225</v>
      </c>
      <c r="D102" s="1629">
        <v>1</v>
      </c>
      <c r="E102" s="1629">
        <v>1</v>
      </c>
      <c r="F102" s="1629">
        <v>1</v>
      </c>
      <c r="G102" s="1629">
        <v>1</v>
      </c>
      <c r="H102" s="1629">
        <v>1</v>
      </c>
      <c r="I102" s="1629">
        <v>1</v>
      </c>
      <c r="J102" s="1631">
        <f t="shared" si="15"/>
        <v>6</v>
      </c>
      <c r="K102" s="1631">
        <f t="shared" si="16"/>
        <v>5</v>
      </c>
      <c r="L102" s="1629">
        <f t="shared" si="17"/>
        <v>225</v>
      </c>
      <c r="M102" s="955" t="s">
        <v>3657</v>
      </c>
      <c r="N102" s="955" t="s">
        <v>3658</v>
      </c>
    </row>
    <row r="103" spans="1:22" x14ac:dyDescent="0.4">
      <c r="A103" s="1">
        <v>202814</v>
      </c>
      <c r="B103" s="1">
        <v>60</v>
      </c>
      <c r="C103" s="1">
        <f t="shared" si="14"/>
        <v>300</v>
      </c>
      <c r="D103" s="1964">
        <v>0</v>
      </c>
      <c r="E103" s="1964">
        <v>0</v>
      </c>
      <c r="F103" s="1964">
        <v>0</v>
      </c>
      <c r="G103" s="1964">
        <v>0</v>
      </c>
      <c r="H103" s="1964">
        <v>0</v>
      </c>
      <c r="I103" s="1964">
        <v>0</v>
      </c>
      <c r="J103" s="1966">
        <f t="shared" si="15"/>
        <v>0</v>
      </c>
      <c r="K103" s="1966">
        <f t="shared" si="16"/>
        <v>0</v>
      </c>
      <c r="L103" s="1964">
        <f t="shared" si="17"/>
        <v>0</v>
      </c>
      <c r="M103" s="141" t="s">
        <v>3659</v>
      </c>
      <c r="N103" s="141" t="s">
        <v>3660</v>
      </c>
    </row>
    <row r="104" spans="1:22" x14ac:dyDescent="0.4">
      <c r="A104" s="36">
        <v>202815</v>
      </c>
      <c r="B104">
        <v>60</v>
      </c>
      <c r="C104" s="36">
        <f t="shared" si="14"/>
        <v>300</v>
      </c>
      <c r="D104" s="1629">
        <v>0</v>
      </c>
      <c r="E104" s="1629">
        <v>0</v>
      </c>
      <c r="F104" s="1629">
        <v>1</v>
      </c>
      <c r="G104" s="1629">
        <v>1</v>
      </c>
      <c r="H104" s="1629">
        <v>1</v>
      </c>
      <c r="I104" s="1629">
        <v>1</v>
      </c>
      <c r="J104" s="1631">
        <f t="shared" si="15"/>
        <v>4</v>
      </c>
      <c r="K104" s="1631">
        <f t="shared" si="16"/>
        <v>3</v>
      </c>
      <c r="L104" s="1629">
        <f t="shared" si="17"/>
        <v>180</v>
      </c>
      <c r="M104" s="955" t="s">
        <v>3661</v>
      </c>
      <c r="N104" s="955" t="s">
        <v>3662</v>
      </c>
    </row>
    <row r="105" spans="1:22" x14ac:dyDescent="0.4">
      <c r="A105" s="36">
        <v>202816</v>
      </c>
      <c r="B105">
        <v>45</v>
      </c>
      <c r="C105" s="36">
        <f t="shared" si="14"/>
        <v>225</v>
      </c>
      <c r="D105" s="1629">
        <v>0</v>
      </c>
      <c r="E105" s="1629">
        <v>0</v>
      </c>
      <c r="F105" s="1629">
        <v>1</v>
      </c>
      <c r="G105" s="1629">
        <v>1</v>
      </c>
      <c r="H105" s="1629">
        <v>1</v>
      </c>
      <c r="I105" s="1629">
        <v>1</v>
      </c>
      <c r="J105" s="1631">
        <f t="shared" si="15"/>
        <v>4</v>
      </c>
      <c r="K105" s="1631">
        <f t="shared" si="16"/>
        <v>3</v>
      </c>
      <c r="L105" s="1629">
        <f t="shared" si="17"/>
        <v>135</v>
      </c>
      <c r="M105" s="955" t="s">
        <v>3663</v>
      </c>
      <c r="N105" s="955" t="s">
        <v>3664</v>
      </c>
    </row>
    <row r="106" spans="1:22" x14ac:dyDescent="0.4">
      <c r="A106" s="36">
        <v>202817</v>
      </c>
      <c r="B106">
        <v>45</v>
      </c>
      <c r="C106" s="36">
        <f t="shared" si="14"/>
        <v>225</v>
      </c>
      <c r="D106" s="1629">
        <v>0</v>
      </c>
      <c r="E106" s="1629">
        <v>0</v>
      </c>
      <c r="F106" s="1629">
        <v>0</v>
      </c>
      <c r="G106" s="1629">
        <v>0</v>
      </c>
      <c r="H106" s="1629">
        <v>0</v>
      </c>
      <c r="I106" s="1629">
        <v>0</v>
      </c>
      <c r="J106" s="1631">
        <f t="shared" si="15"/>
        <v>0</v>
      </c>
      <c r="K106" s="1631">
        <f t="shared" si="16"/>
        <v>0</v>
      </c>
      <c r="L106" s="1629">
        <f t="shared" si="17"/>
        <v>0</v>
      </c>
      <c r="M106" s="955" t="s">
        <v>3665</v>
      </c>
      <c r="N106" s="955" t="s">
        <v>3666</v>
      </c>
    </row>
    <row r="107" spans="1:22" x14ac:dyDescent="0.4">
      <c r="A107" s="359">
        <v>202818</v>
      </c>
      <c r="B107" s="359">
        <v>45</v>
      </c>
      <c r="C107" s="359">
        <f t="shared" si="14"/>
        <v>225</v>
      </c>
      <c r="D107" s="1967">
        <v>0</v>
      </c>
      <c r="E107" s="1967">
        <v>0</v>
      </c>
      <c r="F107" s="1967">
        <v>0</v>
      </c>
      <c r="G107" s="1967">
        <v>0</v>
      </c>
      <c r="H107" s="1967">
        <v>0</v>
      </c>
      <c r="I107" s="1967">
        <v>0</v>
      </c>
      <c r="J107" s="360">
        <f t="shared" si="15"/>
        <v>0</v>
      </c>
      <c r="K107" s="360">
        <f t="shared" si="16"/>
        <v>0</v>
      </c>
      <c r="L107" s="1967">
        <f t="shared" si="17"/>
        <v>0</v>
      </c>
      <c r="M107" s="1968" t="s">
        <v>3665</v>
      </c>
      <c r="N107" s="1968" t="s">
        <v>3666</v>
      </c>
      <c r="O107" t="s">
        <v>3667</v>
      </c>
    </row>
    <row r="108" spans="1:22" x14ac:dyDescent="0.4">
      <c r="A108" s="36">
        <v>202819</v>
      </c>
      <c r="B108">
        <v>60</v>
      </c>
      <c r="C108" s="36">
        <f t="shared" si="14"/>
        <v>300</v>
      </c>
      <c r="D108" s="1629">
        <v>0</v>
      </c>
      <c r="E108" s="1629">
        <v>0</v>
      </c>
      <c r="F108" s="1629">
        <v>0</v>
      </c>
      <c r="G108" s="1629">
        <v>0</v>
      </c>
      <c r="H108" s="1629">
        <v>0</v>
      </c>
      <c r="I108" s="1629">
        <v>1</v>
      </c>
      <c r="J108" s="1631">
        <f t="shared" si="15"/>
        <v>1</v>
      </c>
      <c r="K108" s="1631">
        <f t="shared" si="16"/>
        <v>0</v>
      </c>
      <c r="L108" s="1629">
        <f>B108*K108-60</f>
        <v>-60</v>
      </c>
      <c r="M108" s="955" t="s">
        <v>3665</v>
      </c>
      <c r="N108" s="955" t="s">
        <v>3666</v>
      </c>
      <c r="O108" t="s">
        <v>3668</v>
      </c>
    </row>
    <row r="109" spans="1:22" x14ac:dyDescent="0.4">
      <c r="A109" s="36">
        <v>202820</v>
      </c>
      <c r="B109">
        <v>60</v>
      </c>
      <c r="C109" s="36">
        <f t="shared" si="14"/>
        <v>300</v>
      </c>
      <c r="D109" s="1629">
        <v>0</v>
      </c>
      <c r="E109" s="1629">
        <v>0</v>
      </c>
      <c r="F109" s="1629">
        <v>1</v>
      </c>
      <c r="G109" s="1629">
        <v>1</v>
      </c>
      <c r="H109" s="1629">
        <v>1</v>
      </c>
      <c r="I109" s="1629">
        <v>1</v>
      </c>
      <c r="J109" s="1631">
        <f t="shared" si="15"/>
        <v>4</v>
      </c>
      <c r="K109" s="1631">
        <f t="shared" si="16"/>
        <v>3</v>
      </c>
      <c r="L109" s="1629">
        <f t="shared" si="17"/>
        <v>180</v>
      </c>
      <c r="M109" s="955" t="s">
        <v>3598</v>
      </c>
      <c r="N109" s="955" t="s">
        <v>3599</v>
      </c>
      <c r="O109" s="123" t="s">
        <v>3649</v>
      </c>
      <c r="P109" s="123"/>
      <c r="Q109" s="123"/>
      <c r="R109" s="123"/>
      <c r="S109" s="123"/>
      <c r="T109" s="123"/>
      <c r="U109" s="123"/>
      <c r="V109" s="123"/>
    </row>
    <row r="110" spans="1:22" x14ac:dyDescent="0.4">
      <c r="A110" s="2061">
        <v>202821</v>
      </c>
      <c r="B110" s="2064">
        <v>35</v>
      </c>
      <c r="C110" s="2060">
        <f>SUM(B110*10)</f>
        <v>350</v>
      </c>
      <c r="D110" s="1629">
        <v>0</v>
      </c>
      <c r="E110" s="1629">
        <v>0</v>
      </c>
      <c r="F110" s="1629">
        <v>0</v>
      </c>
      <c r="G110" s="1629">
        <v>1</v>
      </c>
      <c r="H110" s="1629">
        <v>1</v>
      </c>
      <c r="I110" s="1629">
        <v>1</v>
      </c>
      <c r="J110" s="2040">
        <f>SUM(D110:I111)</f>
        <v>9</v>
      </c>
      <c r="K110" s="2040">
        <f>SUM(D110:H111)</f>
        <v>7</v>
      </c>
      <c r="L110" s="2040">
        <f t="shared" si="17"/>
        <v>245</v>
      </c>
      <c r="M110" s="2062" t="s">
        <v>3608</v>
      </c>
      <c r="N110" s="2062" t="s">
        <v>3609</v>
      </c>
      <c r="O110" s="2063" t="s">
        <v>3649</v>
      </c>
      <c r="P110" s="2063"/>
      <c r="Q110" s="2063"/>
      <c r="R110" s="2063"/>
      <c r="S110" s="2063"/>
      <c r="T110" s="2063"/>
      <c r="U110" s="2063"/>
      <c r="V110" s="2063"/>
    </row>
    <row r="111" spans="1:22" x14ac:dyDescent="0.4">
      <c r="A111" s="2061"/>
      <c r="B111" s="2064"/>
      <c r="C111" s="2060"/>
      <c r="D111" s="1633">
        <v>1</v>
      </c>
      <c r="E111" s="1633">
        <v>1</v>
      </c>
      <c r="F111" s="1633">
        <v>1</v>
      </c>
      <c r="G111" s="1633">
        <v>1</v>
      </c>
      <c r="H111" s="1633">
        <v>1</v>
      </c>
      <c r="I111" s="1633">
        <v>1</v>
      </c>
      <c r="J111" s="2040"/>
      <c r="K111" s="2040"/>
      <c r="L111" s="2040"/>
      <c r="M111" s="2062"/>
      <c r="N111" s="2062"/>
      <c r="O111" s="2063"/>
      <c r="P111" s="2063"/>
      <c r="Q111" s="2063"/>
      <c r="R111" s="2063"/>
      <c r="S111" s="2063"/>
      <c r="T111" s="2063"/>
      <c r="U111" s="2063"/>
      <c r="V111" s="2063"/>
    </row>
    <row r="112" spans="1:22" x14ac:dyDescent="0.4">
      <c r="A112" s="36">
        <v>202822</v>
      </c>
      <c r="B112">
        <v>45</v>
      </c>
      <c r="C112" s="36">
        <f t="shared" si="14"/>
        <v>225</v>
      </c>
      <c r="D112" s="1629">
        <v>0</v>
      </c>
      <c r="E112" s="1629">
        <v>0</v>
      </c>
      <c r="F112" s="1629">
        <v>0</v>
      </c>
      <c r="G112" s="1629">
        <v>0</v>
      </c>
      <c r="H112" s="1629">
        <v>0</v>
      </c>
      <c r="I112" s="1629">
        <v>0</v>
      </c>
      <c r="J112" s="1631">
        <f t="shared" si="15"/>
        <v>0</v>
      </c>
      <c r="K112" s="1631">
        <f t="shared" si="16"/>
        <v>0</v>
      </c>
      <c r="L112" s="1629">
        <f t="shared" si="17"/>
        <v>0</v>
      </c>
      <c r="M112" s="955" t="s">
        <v>3610</v>
      </c>
      <c r="N112" s="955" t="s">
        <v>3611</v>
      </c>
      <c r="O112" s="123" t="s">
        <v>3649</v>
      </c>
      <c r="P112" s="123"/>
      <c r="Q112" s="123"/>
      <c r="R112" s="123"/>
      <c r="S112" s="123"/>
      <c r="T112" s="123"/>
      <c r="U112" s="123"/>
      <c r="V112" s="123"/>
    </row>
    <row r="113" spans="1:22" x14ac:dyDescent="0.4">
      <c r="A113" s="36">
        <v>202823</v>
      </c>
      <c r="B113">
        <v>45</v>
      </c>
      <c r="C113" s="36">
        <f t="shared" si="14"/>
        <v>225</v>
      </c>
      <c r="D113" s="1629">
        <v>0</v>
      </c>
      <c r="E113" s="1629">
        <v>0</v>
      </c>
      <c r="F113" s="1629">
        <v>0</v>
      </c>
      <c r="G113" s="1629">
        <v>0</v>
      </c>
      <c r="H113" s="1629">
        <v>1</v>
      </c>
      <c r="I113" s="1629">
        <v>1</v>
      </c>
      <c r="J113" s="1631">
        <f t="shared" si="15"/>
        <v>2</v>
      </c>
      <c r="K113" s="1631">
        <f t="shared" si="16"/>
        <v>1</v>
      </c>
      <c r="L113" s="1629">
        <f t="shared" si="17"/>
        <v>45</v>
      </c>
      <c r="M113" s="955" t="s">
        <v>3610</v>
      </c>
      <c r="N113" s="955" t="s">
        <v>3611</v>
      </c>
      <c r="O113" s="123" t="s">
        <v>3649</v>
      </c>
      <c r="P113" s="123"/>
      <c r="Q113" s="123"/>
      <c r="R113" s="123"/>
      <c r="S113" s="123"/>
      <c r="T113" s="123"/>
      <c r="U113" s="123"/>
      <c r="V113" s="123"/>
    </row>
    <row r="114" spans="1:22" x14ac:dyDescent="0.4">
      <c r="A114" s="36">
        <v>202824</v>
      </c>
      <c r="B114">
        <v>60</v>
      </c>
      <c r="C114" s="36">
        <f t="shared" si="14"/>
        <v>300</v>
      </c>
      <c r="D114" s="1629">
        <v>0</v>
      </c>
      <c r="E114" s="1629">
        <v>0</v>
      </c>
      <c r="F114" s="1629">
        <v>0</v>
      </c>
      <c r="G114" s="1629">
        <v>0</v>
      </c>
      <c r="H114" s="1629">
        <v>0</v>
      </c>
      <c r="I114" s="1629">
        <v>1</v>
      </c>
      <c r="J114" s="1631">
        <f t="shared" si="15"/>
        <v>1</v>
      </c>
      <c r="K114" s="1631">
        <f t="shared" si="16"/>
        <v>0</v>
      </c>
      <c r="L114" s="1629">
        <f t="shared" si="17"/>
        <v>0</v>
      </c>
      <c r="M114" s="955" t="s">
        <v>3610</v>
      </c>
      <c r="N114" s="955" t="s">
        <v>3611</v>
      </c>
      <c r="O114" s="123" t="s">
        <v>3649</v>
      </c>
      <c r="P114" s="123"/>
      <c r="Q114" s="123"/>
      <c r="R114" s="123"/>
      <c r="S114" s="123"/>
      <c r="T114" s="123"/>
      <c r="U114" s="123"/>
      <c r="V114" s="123"/>
    </row>
    <row r="115" spans="1:22" x14ac:dyDescent="0.4">
      <c r="A115" s="1">
        <v>202825</v>
      </c>
      <c r="B115" s="1">
        <v>45</v>
      </c>
      <c r="C115" s="1">
        <f t="shared" si="14"/>
        <v>225</v>
      </c>
      <c r="D115" s="1953">
        <v>0</v>
      </c>
      <c r="E115" s="1953">
        <v>0</v>
      </c>
      <c r="F115" s="1953">
        <v>0</v>
      </c>
      <c r="G115" s="1953">
        <v>0</v>
      </c>
      <c r="H115" s="1953">
        <v>0</v>
      </c>
      <c r="I115" s="1953">
        <v>0</v>
      </c>
      <c r="J115" s="1956">
        <f t="shared" si="15"/>
        <v>0</v>
      </c>
      <c r="K115" s="1956">
        <f t="shared" si="16"/>
        <v>0</v>
      </c>
      <c r="L115" s="1953">
        <f t="shared" si="17"/>
        <v>0</v>
      </c>
      <c r="M115" s="141" t="s">
        <v>3613</v>
      </c>
      <c r="N115" s="141" t="s">
        <v>3614</v>
      </c>
      <c r="O115" s="123" t="s">
        <v>3649</v>
      </c>
      <c r="P115" s="123"/>
      <c r="Q115" s="123"/>
      <c r="R115" s="123"/>
      <c r="S115" s="123"/>
      <c r="T115" s="123"/>
      <c r="U115" s="123"/>
      <c r="V115" s="123"/>
    </row>
    <row r="116" spans="1:22" x14ac:dyDescent="0.4">
      <c r="A116" s="359">
        <v>202826</v>
      </c>
      <c r="B116" s="359">
        <v>45</v>
      </c>
      <c r="C116" s="359">
        <f t="shared" si="14"/>
        <v>225</v>
      </c>
      <c r="D116" s="1967">
        <v>0</v>
      </c>
      <c r="E116" s="1967">
        <v>0</v>
      </c>
      <c r="F116" s="1967">
        <v>0</v>
      </c>
      <c r="G116" s="1967">
        <v>0</v>
      </c>
      <c r="H116" s="1967">
        <v>0</v>
      </c>
      <c r="I116" s="1967">
        <v>0</v>
      </c>
      <c r="J116" s="360">
        <f t="shared" si="15"/>
        <v>0</v>
      </c>
      <c r="K116" s="360">
        <f t="shared" si="16"/>
        <v>0</v>
      </c>
      <c r="L116" s="1967">
        <f t="shared" si="17"/>
        <v>0</v>
      </c>
      <c r="M116" s="1968" t="s">
        <v>3669</v>
      </c>
      <c r="N116" s="1968" t="s">
        <v>3670</v>
      </c>
    </row>
    <row r="117" spans="1:22" x14ac:dyDescent="0.4">
      <c r="A117" s="16">
        <v>202827</v>
      </c>
      <c r="B117" s="16">
        <v>45</v>
      </c>
      <c r="C117" s="16">
        <f t="shared" si="14"/>
        <v>225</v>
      </c>
      <c r="D117" s="1954">
        <v>0</v>
      </c>
      <c r="E117" s="1954">
        <v>0</v>
      </c>
      <c r="F117" s="1954">
        <v>0</v>
      </c>
      <c r="G117" s="1860">
        <v>0</v>
      </c>
      <c r="H117" s="1860">
        <v>0</v>
      </c>
      <c r="I117" s="1860">
        <v>0</v>
      </c>
      <c r="J117" s="1861">
        <f t="shared" si="15"/>
        <v>0</v>
      </c>
      <c r="K117" s="1861">
        <f t="shared" si="16"/>
        <v>0</v>
      </c>
      <c r="L117" s="1860">
        <f t="shared" si="17"/>
        <v>0</v>
      </c>
      <c r="M117" s="30" t="s">
        <v>3671</v>
      </c>
      <c r="N117" s="30" t="s">
        <v>3672</v>
      </c>
    </row>
    <row r="118" spans="1:22" x14ac:dyDescent="0.4">
      <c r="A118" s="36">
        <v>202828</v>
      </c>
      <c r="B118">
        <v>45</v>
      </c>
      <c r="C118" s="36">
        <f t="shared" si="14"/>
        <v>225</v>
      </c>
      <c r="D118" s="1955">
        <v>0</v>
      </c>
      <c r="E118" s="1955">
        <v>0</v>
      </c>
      <c r="F118" s="1955">
        <v>1</v>
      </c>
      <c r="G118" s="1629">
        <v>1</v>
      </c>
      <c r="H118" s="1629">
        <v>1</v>
      </c>
      <c r="I118" s="1629">
        <v>1</v>
      </c>
      <c r="J118" s="1631">
        <f t="shared" si="15"/>
        <v>4</v>
      </c>
      <c r="K118" s="1631">
        <f t="shared" si="16"/>
        <v>3</v>
      </c>
      <c r="L118" s="1629">
        <f t="shared" si="17"/>
        <v>135</v>
      </c>
      <c r="M118" s="955" t="s">
        <v>3673</v>
      </c>
      <c r="N118" s="955" t="s">
        <v>3674</v>
      </c>
    </row>
    <row r="119" spans="1:22" x14ac:dyDescent="0.4">
      <c r="A119" s="36">
        <v>202829</v>
      </c>
      <c r="B119">
        <v>50</v>
      </c>
      <c r="C119" s="36">
        <f t="shared" si="14"/>
        <v>250</v>
      </c>
      <c r="D119" s="1955">
        <v>0</v>
      </c>
      <c r="E119" s="1955">
        <v>0</v>
      </c>
      <c r="F119" s="1955">
        <v>0</v>
      </c>
      <c r="G119" s="1629">
        <v>0</v>
      </c>
      <c r="H119" s="1629">
        <v>1</v>
      </c>
      <c r="I119" s="1629">
        <v>1</v>
      </c>
      <c r="J119" s="1631">
        <f t="shared" si="15"/>
        <v>2</v>
      </c>
      <c r="K119" s="1631">
        <f t="shared" si="16"/>
        <v>1</v>
      </c>
      <c r="L119" s="1629">
        <f t="shared" si="17"/>
        <v>50</v>
      </c>
      <c r="M119" s="955" t="s">
        <v>3675</v>
      </c>
      <c r="N119" s="955" t="s">
        <v>3676</v>
      </c>
    </row>
    <row r="120" spans="1:22" x14ac:dyDescent="0.4">
      <c r="A120" s="36">
        <v>202830</v>
      </c>
      <c r="B120">
        <v>60</v>
      </c>
      <c r="C120" s="36">
        <f t="shared" si="14"/>
        <v>300</v>
      </c>
      <c r="D120" s="1955">
        <v>0</v>
      </c>
      <c r="E120" s="1955">
        <v>0</v>
      </c>
      <c r="F120" s="1955">
        <v>1</v>
      </c>
      <c r="G120" s="1629">
        <v>1</v>
      </c>
      <c r="H120" s="1629">
        <v>1</v>
      </c>
      <c r="I120" s="1629">
        <v>1</v>
      </c>
      <c r="J120" s="1631">
        <f t="shared" si="15"/>
        <v>4</v>
      </c>
      <c r="K120" s="1631">
        <f t="shared" si="16"/>
        <v>3</v>
      </c>
      <c r="L120" s="1629">
        <f t="shared" si="17"/>
        <v>180</v>
      </c>
      <c r="M120" s="955" t="s">
        <v>3675</v>
      </c>
      <c r="N120" s="955" t="s">
        <v>3676</v>
      </c>
    </row>
    <row r="121" spans="1:22" x14ac:dyDescent="0.4">
      <c r="A121" s="36">
        <v>202831</v>
      </c>
      <c r="B121">
        <v>60</v>
      </c>
      <c r="C121" s="36">
        <f t="shared" si="14"/>
        <v>300</v>
      </c>
      <c r="D121" s="1955">
        <v>0</v>
      </c>
      <c r="E121" s="1955">
        <v>0</v>
      </c>
      <c r="F121" s="1955">
        <v>0</v>
      </c>
      <c r="G121" s="1629">
        <v>0</v>
      </c>
      <c r="H121" s="1629">
        <v>1</v>
      </c>
      <c r="I121" s="1629">
        <v>1</v>
      </c>
      <c r="J121" s="1631">
        <f t="shared" si="15"/>
        <v>2</v>
      </c>
      <c r="K121" s="1631">
        <f t="shared" si="16"/>
        <v>1</v>
      </c>
      <c r="L121" s="1629">
        <f t="shared" si="17"/>
        <v>60</v>
      </c>
      <c r="M121" s="955" t="s">
        <v>3675</v>
      </c>
      <c r="N121" s="955" t="s">
        <v>3676</v>
      </c>
    </row>
    <row r="122" spans="1:22" x14ac:dyDescent="0.4">
      <c r="A122" s="36">
        <v>202832</v>
      </c>
      <c r="B122">
        <v>50</v>
      </c>
      <c r="C122" s="36">
        <f t="shared" si="14"/>
        <v>250</v>
      </c>
      <c r="D122" s="1955">
        <v>0</v>
      </c>
      <c r="E122" s="1955">
        <v>1</v>
      </c>
      <c r="F122" s="1955">
        <v>1</v>
      </c>
      <c r="G122" s="1629">
        <v>1</v>
      </c>
      <c r="H122" s="1629">
        <v>1</v>
      </c>
      <c r="I122" s="1629">
        <v>1</v>
      </c>
      <c r="J122" s="1631">
        <f t="shared" si="15"/>
        <v>5</v>
      </c>
      <c r="K122" s="1631">
        <f t="shared" si="16"/>
        <v>4</v>
      </c>
      <c r="L122" s="1629">
        <f t="shared" si="17"/>
        <v>200</v>
      </c>
      <c r="M122" s="955" t="s">
        <v>3677</v>
      </c>
      <c r="N122" s="955" t="s">
        <v>3678</v>
      </c>
    </row>
    <row r="123" spans="1:22" x14ac:dyDescent="0.4">
      <c r="A123" s="16">
        <v>202833</v>
      </c>
      <c r="B123" s="16">
        <v>50</v>
      </c>
      <c r="C123" s="16">
        <f t="shared" si="14"/>
        <v>250</v>
      </c>
      <c r="D123" s="1954">
        <v>0</v>
      </c>
      <c r="E123" s="1954">
        <v>0</v>
      </c>
      <c r="F123" s="1954">
        <v>0</v>
      </c>
      <c r="G123" s="1839">
        <v>0</v>
      </c>
      <c r="H123" s="1839">
        <v>0</v>
      </c>
      <c r="I123" s="1839">
        <v>0</v>
      </c>
      <c r="J123" s="1840">
        <f t="shared" si="15"/>
        <v>0</v>
      </c>
      <c r="K123" s="1840">
        <f t="shared" si="16"/>
        <v>0</v>
      </c>
      <c r="L123" s="1839">
        <f t="shared" si="17"/>
        <v>0</v>
      </c>
      <c r="M123" s="30" t="s">
        <v>3677</v>
      </c>
      <c r="N123" s="30" t="s">
        <v>3678</v>
      </c>
    </row>
    <row r="124" spans="1:22" x14ac:dyDescent="0.4">
      <c r="A124" s="16">
        <v>202834</v>
      </c>
      <c r="B124" s="16">
        <v>60</v>
      </c>
      <c r="C124" s="16">
        <f t="shared" si="14"/>
        <v>300</v>
      </c>
      <c r="D124" s="1954">
        <v>0</v>
      </c>
      <c r="E124" s="1954">
        <v>0</v>
      </c>
      <c r="F124" s="1954">
        <v>0</v>
      </c>
      <c r="G124" s="1891">
        <v>0</v>
      </c>
      <c r="H124" s="1891">
        <v>0</v>
      </c>
      <c r="I124" s="1891">
        <v>0</v>
      </c>
      <c r="J124" s="1892">
        <f t="shared" si="15"/>
        <v>0</v>
      </c>
      <c r="K124" s="1892">
        <f t="shared" si="16"/>
        <v>0</v>
      </c>
      <c r="L124" s="1891">
        <f t="shared" si="17"/>
        <v>0</v>
      </c>
      <c r="M124" s="30" t="s">
        <v>3679</v>
      </c>
      <c r="N124" s="30" t="s">
        <v>3680</v>
      </c>
    </row>
    <row r="125" spans="1:22" x14ac:dyDescent="0.4">
      <c r="A125" s="36">
        <v>202835</v>
      </c>
      <c r="B125">
        <v>60</v>
      </c>
      <c r="C125" s="36">
        <f t="shared" si="14"/>
        <v>300</v>
      </c>
      <c r="D125" s="1955">
        <v>0</v>
      </c>
      <c r="E125" s="1955">
        <v>0</v>
      </c>
      <c r="F125" s="1955">
        <v>0</v>
      </c>
      <c r="G125" s="1629">
        <v>0</v>
      </c>
      <c r="H125" s="1629">
        <v>1</v>
      </c>
      <c r="I125" s="1629">
        <v>1</v>
      </c>
      <c r="J125" s="1631">
        <f t="shared" si="15"/>
        <v>2</v>
      </c>
      <c r="K125" s="1631">
        <f t="shared" si="16"/>
        <v>1</v>
      </c>
      <c r="L125" s="1629">
        <f t="shared" si="17"/>
        <v>60</v>
      </c>
      <c r="M125" s="955" t="s">
        <v>3679</v>
      </c>
      <c r="N125" s="955" t="s">
        <v>3680</v>
      </c>
    </row>
    <row r="126" spans="1:22" x14ac:dyDescent="0.4">
      <c r="A126" s="16">
        <v>202836</v>
      </c>
      <c r="B126" s="16">
        <v>60</v>
      </c>
      <c r="C126" s="16">
        <f t="shared" si="14"/>
        <v>300</v>
      </c>
      <c r="D126" s="1954">
        <v>0</v>
      </c>
      <c r="E126" s="1954">
        <v>0</v>
      </c>
      <c r="F126" s="1954">
        <v>0</v>
      </c>
      <c r="G126" s="1906">
        <v>0</v>
      </c>
      <c r="H126" s="1906">
        <v>0</v>
      </c>
      <c r="I126" s="1906">
        <v>0</v>
      </c>
      <c r="J126" s="1907">
        <f t="shared" si="15"/>
        <v>0</v>
      </c>
      <c r="K126" s="1907">
        <f t="shared" si="16"/>
        <v>0</v>
      </c>
      <c r="L126" s="1906">
        <f t="shared" si="17"/>
        <v>0</v>
      </c>
      <c r="M126" s="30" t="s">
        <v>3683</v>
      </c>
      <c r="N126" s="30" t="s">
        <v>3684</v>
      </c>
    </row>
    <row r="127" spans="1:22" x14ac:dyDescent="0.4">
      <c r="A127" s="36">
        <v>202837</v>
      </c>
      <c r="B127">
        <v>60</v>
      </c>
      <c r="C127" s="36">
        <f t="shared" si="14"/>
        <v>300</v>
      </c>
      <c r="D127" s="1955">
        <v>0</v>
      </c>
      <c r="E127" s="1955">
        <v>0</v>
      </c>
      <c r="F127" s="1955">
        <v>0</v>
      </c>
      <c r="G127" s="1629">
        <v>1</v>
      </c>
      <c r="H127" s="1629">
        <v>1</v>
      </c>
      <c r="I127" s="1629">
        <v>1</v>
      </c>
      <c r="J127" s="1631">
        <f t="shared" si="15"/>
        <v>3</v>
      </c>
      <c r="K127" s="1631">
        <f t="shared" si="16"/>
        <v>2</v>
      </c>
      <c r="L127" s="1629">
        <f t="shared" si="17"/>
        <v>120</v>
      </c>
      <c r="M127" s="955" t="s">
        <v>3683</v>
      </c>
      <c r="N127" s="955" t="s">
        <v>3684</v>
      </c>
    </row>
    <row r="128" spans="1:22" x14ac:dyDescent="0.4">
      <c r="A128" s="16">
        <v>202838</v>
      </c>
      <c r="B128" s="16">
        <v>50</v>
      </c>
      <c r="C128" s="16">
        <f t="shared" si="14"/>
        <v>250</v>
      </c>
      <c r="D128" s="1954">
        <v>0</v>
      </c>
      <c r="E128" s="1954">
        <v>0</v>
      </c>
      <c r="F128" s="1954">
        <v>0</v>
      </c>
      <c r="G128" s="1933">
        <v>0</v>
      </c>
      <c r="H128" s="1933">
        <v>0</v>
      </c>
      <c r="I128" s="1933">
        <v>0</v>
      </c>
      <c r="J128" s="1934">
        <f t="shared" si="15"/>
        <v>0</v>
      </c>
      <c r="K128" s="1934">
        <f t="shared" si="16"/>
        <v>0</v>
      </c>
      <c r="L128" s="1933">
        <f t="shared" si="17"/>
        <v>0</v>
      </c>
      <c r="M128" s="30" t="s">
        <v>3683</v>
      </c>
      <c r="N128" s="30" t="s">
        <v>3684</v>
      </c>
    </row>
    <row r="129" spans="1:18" x14ac:dyDescent="0.4">
      <c r="A129" s="16">
        <v>202839</v>
      </c>
      <c r="B129" s="16">
        <v>45</v>
      </c>
      <c r="C129" s="16">
        <f t="shared" si="14"/>
        <v>225</v>
      </c>
      <c r="D129" s="1954">
        <v>0</v>
      </c>
      <c r="E129" s="1954">
        <v>0</v>
      </c>
      <c r="F129" s="1954">
        <v>0</v>
      </c>
      <c r="G129" s="1920">
        <v>0</v>
      </c>
      <c r="H129" s="1920">
        <v>0</v>
      </c>
      <c r="I129" s="1920">
        <v>0</v>
      </c>
      <c r="J129" s="1921">
        <f t="shared" si="15"/>
        <v>0</v>
      </c>
      <c r="K129" s="1921">
        <f t="shared" si="16"/>
        <v>0</v>
      </c>
      <c r="L129" s="1920">
        <f t="shared" si="17"/>
        <v>0</v>
      </c>
      <c r="M129" s="30" t="s">
        <v>3685</v>
      </c>
      <c r="N129" s="30" t="s">
        <v>3686</v>
      </c>
    </row>
    <row r="130" spans="1:18" x14ac:dyDescent="0.4">
      <c r="A130" s="36">
        <v>202840</v>
      </c>
      <c r="B130">
        <v>45</v>
      </c>
      <c r="C130" s="36">
        <f t="shared" si="14"/>
        <v>225</v>
      </c>
      <c r="D130" s="1955">
        <v>0</v>
      </c>
      <c r="E130" s="1955">
        <v>0</v>
      </c>
      <c r="F130" s="1955">
        <v>0</v>
      </c>
      <c r="G130" s="1629">
        <v>0</v>
      </c>
      <c r="H130" s="1629">
        <v>0</v>
      </c>
      <c r="I130" s="1629">
        <v>1</v>
      </c>
      <c r="J130" s="1631">
        <f t="shared" si="15"/>
        <v>1</v>
      </c>
      <c r="K130" s="1631">
        <f t="shared" si="16"/>
        <v>0</v>
      </c>
      <c r="L130" s="1629">
        <f t="shared" si="17"/>
        <v>0</v>
      </c>
      <c r="M130" s="955" t="s">
        <v>3687</v>
      </c>
      <c r="N130" s="955" t="s">
        <v>3688</v>
      </c>
    </row>
    <row r="131" spans="1:18" x14ac:dyDescent="0.4">
      <c r="A131" s="36">
        <v>202841</v>
      </c>
      <c r="B131">
        <v>45</v>
      </c>
      <c r="C131" s="36">
        <f t="shared" si="14"/>
        <v>225</v>
      </c>
      <c r="D131" s="1629">
        <v>0</v>
      </c>
      <c r="E131" s="1629">
        <v>0</v>
      </c>
      <c r="F131" s="1629">
        <v>0</v>
      </c>
      <c r="G131" s="1629">
        <v>1</v>
      </c>
      <c r="H131" s="1629">
        <v>1</v>
      </c>
      <c r="I131" s="1629">
        <v>1</v>
      </c>
      <c r="J131" s="1631">
        <f t="shared" si="15"/>
        <v>3</v>
      </c>
      <c r="K131" s="1631">
        <f t="shared" si="16"/>
        <v>2</v>
      </c>
      <c r="L131" s="1629">
        <f t="shared" si="17"/>
        <v>90</v>
      </c>
      <c r="M131" s="955" t="s">
        <v>3689</v>
      </c>
      <c r="N131" s="955" t="s">
        <v>3690</v>
      </c>
    </row>
    <row r="132" spans="1:18" x14ac:dyDescent="0.4">
      <c r="A132" s="16">
        <v>202842</v>
      </c>
      <c r="B132" s="16">
        <v>45</v>
      </c>
      <c r="C132" s="16">
        <f t="shared" si="14"/>
        <v>225</v>
      </c>
      <c r="D132" s="1839">
        <v>0</v>
      </c>
      <c r="E132" s="1839">
        <v>0</v>
      </c>
      <c r="F132" s="1839">
        <v>0</v>
      </c>
      <c r="G132" s="1839">
        <v>0</v>
      </c>
      <c r="H132" s="1839">
        <v>0</v>
      </c>
      <c r="I132" s="1839">
        <v>0</v>
      </c>
      <c r="J132" s="1840">
        <f t="shared" si="15"/>
        <v>0</v>
      </c>
      <c r="K132" s="1840">
        <f t="shared" si="16"/>
        <v>0</v>
      </c>
      <c r="L132" s="1839">
        <f t="shared" si="17"/>
        <v>0</v>
      </c>
      <c r="M132" s="30" t="s">
        <v>3691</v>
      </c>
      <c r="N132" s="30" t="s">
        <v>3692</v>
      </c>
    </row>
    <row r="133" spans="1:18" x14ac:dyDescent="0.4">
      <c r="A133" s="1960">
        <v>202843</v>
      </c>
      <c r="B133" s="1960">
        <v>60</v>
      </c>
      <c r="C133" s="1960">
        <f t="shared" si="14"/>
        <v>300</v>
      </c>
      <c r="D133" s="1961">
        <v>0</v>
      </c>
      <c r="E133" s="1961">
        <v>0</v>
      </c>
      <c r="F133" s="1961">
        <v>0</v>
      </c>
      <c r="G133" s="1961">
        <v>0</v>
      </c>
      <c r="H133" s="1961">
        <v>0</v>
      </c>
      <c r="I133" s="1961">
        <v>0</v>
      </c>
      <c r="J133" s="1962">
        <f t="shared" si="15"/>
        <v>0</v>
      </c>
      <c r="K133" s="1962">
        <f t="shared" si="16"/>
        <v>0</v>
      </c>
      <c r="L133" s="1961">
        <f t="shared" si="17"/>
        <v>0</v>
      </c>
      <c r="M133" s="1963" t="s">
        <v>3693</v>
      </c>
      <c r="N133" s="1963" t="s">
        <v>3694</v>
      </c>
    </row>
    <row r="134" spans="1:18" x14ac:dyDescent="0.4">
      <c r="A134" s="16">
        <v>202844</v>
      </c>
      <c r="B134" s="16">
        <v>60</v>
      </c>
      <c r="C134" s="16">
        <f t="shared" si="14"/>
        <v>300</v>
      </c>
      <c r="D134" s="1933">
        <v>0</v>
      </c>
      <c r="E134" s="1933">
        <v>0</v>
      </c>
      <c r="F134" s="1933">
        <v>0</v>
      </c>
      <c r="G134" s="1933">
        <v>0</v>
      </c>
      <c r="H134" s="1933">
        <v>0</v>
      </c>
      <c r="I134" s="1933">
        <v>0</v>
      </c>
      <c r="J134" s="1934">
        <f t="shared" si="15"/>
        <v>0</v>
      </c>
      <c r="K134" s="1934">
        <f t="shared" si="16"/>
        <v>0</v>
      </c>
      <c r="L134" s="1933">
        <f t="shared" si="17"/>
        <v>0</v>
      </c>
      <c r="M134" s="30" t="s">
        <v>3695</v>
      </c>
      <c r="N134" s="30" t="s">
        <v>3696</v>
      </c>
    </row>
    <row r="135" spans="1:18" x14ac:dyDescent="0.4">
      <c r="A135" s="16">
        <v>202845</v>
      </c>
      <c r="B135" s="16">
        <v>0</v>
      </c>
      <c r="C135" s="16">
        <f t="shared" si="14"/>
        <v>0</v>
      </c>
      <c r="D135" s="1714">
        <v>0</v>
      </c>
      <c r="E135" s="1714"/>
      <c r="F135" s="1714"/>
      <c r="G135" s="1714"/>
      <c r="H135" s="1714"/>
      <c r="I135" s="1714"/>
      <c r="J135" s="1715">
        <f t="shared" si="15"/>
        <v>0</v>
      </c>
      <c r="K135" s="1715">
        <f t="shared" si="16"/>
        <v>0</v>
      </c>
      <c r="L135" s="1714">
        <f t="shared" si="17"/>
        <v>0</v>
      </c>
      <c r="M135" s="30" t="s">
        <v>3697</v>
      </c>
      <c r="N135" s="30" t="s">
        <v>3698</v>
      </c>
      <c r="O135" s="16" t="s">
        <v>3699</v>
      </c>
      <c r="P135" s="16"/>
      <c r="Q135" s="16"/>
      <c r="R135" s="16"/>
    </row>
    <row r="136" spans="1:18" x14ac:dyDescent="0.4">
      <c r="A136" s="36">
        <v>202846</v>
      </c>
      <c r="B136">
        <v>60</v>
      </c>
      <c r="C136" s="36">
        <f t="shared" si="14"/>
        <v>300</v>
      </c>
      <c r="D136" s="1629">
        <v>0</v>
      </c>
      <c r="E136" s="1629">
        <v>1</v>
      </c>
      <c r="F136" s="1629">
        <v>1</v>
      </c>
      <c r="G136" s="1629">
        <v>1</v>
      </c>
      <c r="H136" s="1629">
        <v>1</v>
      </c>
      <c r="I136" s="1629">
        <v>1</v>
      </c>
      <c r="J136" s="1631">
        <f t="shared" si="15"/>
        <v>5</v>
      </c>
      <c r="K136" s="1631">
        <f t="shared" si="16"/>
        <v>4</v>
      </c>
      <c r="L136" s="1629">
        <f t="shared" si="17"/>
        <v>240</v>
      </c>
      <c r="M136" s="955" t="s">
        <v>3700</v>
      </c>
      <c r="N136" s="955" t="s">
        <v>3701</v>
      </c>
    </row>
    <row r="137" spans="1:18" x14ac:dyDescent="0.4">
      <c r="A137" s="36">
        <v>202847</v>
      </c>
      <c r="B137">
        <v>45</v>
      </c>
      <c r="C137" s="36">
        <f t="shared" si="14"/>
        <v>225</v>
      </c>
      <c r="D137" s="1629">
        <v>0</v>
      </c>
      <c r="E137" s="1629">
        <v>0</v>
      </c>
      <c r="F137" s="1629">
        <v>0</v>
      </c>
      <c r="G137" s="1629">
        <v>0</v>
      </c>
      <c r="H137" s="1629">
        <v>1</v>
      </c>
      <c r="I137" s="1629">
        <v>1</v>
      </c>
      <c r="J137" s="1631">
        <f t="shared" si="15"/>
        <v>2</v>
      </c>
      <c r="K137" s="1631">
        <f t="shared" si="16"/>
        <v>1</v>
      </c>
      <c r="L137" s="1629">
        <f t="shared" si="17"/>
        <v>45</v>
      </c>
      <c r="M137" s="955" t="s">
        <v>3702</v>
      </c>
      <c r="N137" s="955" t="s">
        <v>3703</v>
      </c>
    </row>
    <row r="138" spans="1:18" x14ac:dyDescent="0.4">
      <c r="A138" s="36">
        <v>202848</v>
      </c>
      <c r="B138">
        <v>60</v>
      </c>
      <c r="C138" s="36">
        <f t="shared" si="14"/>
        <v>300</v>
      </c>
      <c r="D138" s="1629">
        <v>0</v>
      </c>
      <c r="E138" s="1629">
        <v>0</v>
      </c>
      <c r="F138" s="1629">
        <v>0</v>
      </c>
      <c r="G138" s="1629">
        <v>0</v>
      </c>
      <c r="H138" s="1629">
        <v>0</v>
      </c>
      <c r="I138" s="1629">
        <v>0</v>
      </c>
      <c r="J138" s="1631">
        <f t="shared" si="15"/>
        <v>0</v>
      </c>
      <c r="K138" s="1631">
        <f t="shared" si="16"/>
        <v>0</v>
      </c>
      <c r="L138" s="1629">
        <f t="shared" si="17"/>
        <v>0</v>
      </c>
      <c r="M138" s="955" t="s">
        <v>3704</v>
      </c>
      <c r="N138" s="955" t="s">
        <v>3705</v>
      </c>
    </row>
    <row r="139" spans="1:18" x14ac:dyDescent="0.4">
      <c r="A139" s="36">
        <v>202849</v>
      </c>
      <c r="B139">
        <v>60</v>
      </c>
      <c r="C139" s="36">
        <f t="shared" si="14"/>
        <v>300</v>
      </c>
      <c r="D139" s="1629">
        <v>0</v>
      </c>
      <c r="E139" s="1629">
        <v>0</v>
      </c>
      <c r="F139" s="1629">
        <v>0</v>
      </c>
      <c r="G139" s="1629">
        <v>1</v>
      </c>
      <c r="H139" s="1629">
        <v>1</v>
      </c>
      <c r="I139" s="1629">
        <v>1</v>
      </c>
      <c r="J139" s="1631">
        <f t="shared" si="15"/>
        <v>3</v>
      </c>
      <c r="K139" s="1631">
        <f t="shared" si="16"/>
        <v>2</v>
      </c>
      <c r="L139" s="1629">
        <f t="shared" si="17"/>
        <v>120</v>
      </c>
      <c r="M139" s="955" t="s">
        <v>3704</v>
      </c>
      <c r="N139" s="955" t="s">
        <v>3705</v>
      </c>
    </row>
    <row r="140" spans="1:18" x14ac:dyDescent="0.4">
      <c r="A140" s="36">
        <v>202850</v>
      </c>
      <c r="B140">
        <v>60</v>
      </c>
      <c r="C140" s="36">
        <f t="shared" ref="C140:C169" si="20">SUM(B140*5)</f>
        <v>300</v>
      </c>
      <c r="D140" s="1700">
        <v>0</v>
      </c>
      <c r="E140" s="1700">
        <v>1</v>
      </c>
      <c r="F140" s="1700">
        <v>1</v>
      </c>
      <c r="G140" s="1700">
        <v>1</v>
      </c>
      <c r="H140" s="1700">
        <v>1</v>
      </c>
      <c r="I140" s="1700">
        <v>1</v>
      </c>
      <c r="J140" s="1701">
        <f t="shared" ref="J140:J169" si="21">SUM(D140:I140)</f>
        <v>5</v>
      </c>
      <c r="K140" s="1701">
        <f t="shared" ref="K140:K169" si="22">SUM(D140:H140)</f>
        <v>4</v>
      </c>
      <c r="L140" s="1700">
        <f t="shared" ref="L140:L169" si="23">B140*K140</f>
        <v>240</v>
      </c>
      <c r="M140" s="955" t="s">
        <v>3704</v>
      </c>
      <c r="N140" s="955" t="s">
        <v>3705</v>
      </c>
    </row>
    <row r="141" spans="1:18" x14ac:dyDescent="0.4">
      <c r="A141" s="16">
        <v>202851</v>
      </c>
      <c r="B141" s="16">
        <v>45</v>
      </c>
      <c r="C141" s="16">
        <f t="shared" si="20"/>
        <v>225</v>
      </c>
      <c r="D141" s="1815">
        <v>0</v>
      </c>
      <c r="E141" s="1815">
        <v>0</v>
      </c>
      <c r="F141" s="1815">
        <v>0</v>
      </c>
      <c r="G141" s="1815">
        <v>0</v>
      </c>
      <c r="H141" s="1815">
        <v>0</v>
      </c>
      <c r="I141" s="1815">
        <v>0</v>
      </c>
      <c r="J141" s="1816">
        <f t="shared" si="21"/>
        <v>0</v>
      </c>
      <c r="K141" s="1816">
        <f t="shared" si="22"/>
        <v>0</v>
      </c>
      <c r="L141" s="1815">
        <f t="shared" si="23"/>
        <v>0</v>
      </c>
      <c r="M141" s="30" t="s">
        <v>3706</v>
      </c>
      <c r="N141" s="30" t="s">
        <v>3707</v>
      </c>
    </row>
    <row r="142" spans="1:18" x14ac:dyDescent="0.4">
      <c r="A142" s="36">
        <v>202852</v>
      </c>
      <c r="B142">
        <v>45</v>
      </c>
      <c r="C142" s="36">
        <f t="shared" si="20"/>
        <v>225</v>
      </c>
      <c r="D142" s="1700">
        <v>0</v>
      </c>
      <c r="E142" s="1700">
        <v>0</v>
      </c>
      <c r="F142" s="1700">
        <v>0</v>
      </c>
      <c r="G142" s="1700">
        <v>0</v>
      </c>
      <c r="H142" s="1700">
        <v>0</v>
      </c>
      <c r="I142" s="1700">
        <v>0</v>
      </c>
      <c r="J142" s="1701">
        <f t="shared" si="21"/>
        <v>0</v>
      </c>
      <c r="K142" s="1701">
        <f t="shared" si="22"/>
        <v>0</v>
      </c>
      <c r="L142" s="1700">
        <f t="shared" si="23"/>
        <v>0</v>
      </c>
      <c r="M142" s="955" t="s">
        <v>3708</v>
      </c>
      <c r="N142" s="955" t="s">
        <v>3709</v>
      </c>
    </row>
    <row r="143" spans="1:18" x14ac:dyDescent="0.4">
      <c r="A143" s="36">
        <v>202853</v>
      </c>
      <c r="B143">
        <v>45</v>
      </c>
      <c r="C143" s="36">
        <f t="shared" si="20"/>
        <v>225</v>
      </c>
      <c r="D143" s="1700">
        <v>0</v>
      </c>
      <c r="E143" s="1700">
        <v>0</v>
      </c>
      <c r="F143" s="1700">
        <v>1</v>
      </c>
      <c r="G143" s="1700">
        <v>1</v>
      </c>
      <c r="H143" s="1700">
        <v>1</v>
      </c>
      <c r="I143" s="1700">
        <v>1</v>
      </c>
      <c r="J143" s="1701">
        <f t="shared" si="21"/>
        <v>4</v>
      </c>
      <c r="K143" s="1701">
        <f t="shared" si="22"/>
        <v>3</v>
      </c>
      <c r="L143" s="1700">
        <f t="shared" si="23"/>
        <v>135</v>
      </c>
      <c r="M143" s="955" t="s">
        <v>3710</v>
      </c>
      <c r="N143" s="955" t="s">
        <v>3711</v>
      </c>
    </row>
    <row r="144" spans="1:18" x14ac:dyDescent="0.4">
      <c r="A144" s="36">
        <v>202854</v>
      </c>
      <c r="B144">
        <v>60</v>
      </c>
      <c r="C144" s="36">
        <f t="shared" si="20"/>
        <v>300</v>
      </c>
      <c r="D144" s="1700">
        <v>0</v>
      </c>
      <c r="E144" s="1700">
        <v>0</v>
      </c>
      <c r="F144" s="1700">
        <v>0</v>
      </c>
      <c r="G144" s="1700">
        <v>0</v>
      </c>
      <c r="H144" s="1700">
        <v>1</v>
      </c>
      <c r="I144" s="1700">
        <v>1</v>
      </c>
      <c r="J144" s="1701">
        <f t="shared" si="21"/>
        <v>2</v>
      </c>
      <c r="K144" s="1701">
        <f t="shared" si="22"/>
        <v>1</v>
      </c>
      <c r="L144" s="1700">
        <f t="shared" si="23"/>
        <v>60</v>
      </c>
      <c r="M144" s="955" t="s">
        <v>3710</v>
      </c>
      <c r="N144" s="955" t="s">
        <v>3711</v>
      </c>
    </row>
    <row r="145" spans="1:15" x14ac:dyDescent="0.4">
      <c r="A145" s="22">
        <v>202855</v>
      </c>
      <c r="B145" s="22">
        <v>45</v>
      </c>
      <c r="C145" s="22">
        <f t="shared" si="20"/>
        <v>225</v>
      </c>
      <c r="D145" s="557">
        <v>0</v>
      </c>
      <c r="E145" s="557">
        <v>0</v>
      </c>
      <c r="F145" s="557">
        <v>0</v>
      </c>
      <c r="G145" s="557">
        <v>0</v>
      </c>
      <c r="H145" s="557">
        <v>0</v>
      </c>
      <c r="I145" s="557">
        <v>0</v>
      </c>
      <c r="J145" s="24">
        <f t="shared" si="21"/>
        <v>0</v>
      </c>
      <c r="K145" s="24">
        <f t="shared" si="22"/>
        <v>0</v>
      </c>
      <c r="L145" s="557">
        <f t="shared" si="23"/>
        <v>0</v>
      </c>
      <c r="M145" s="29" t="s">
        <v>3710</v>
      </c>
      <c r="N145" s="29" t="s">
        <v>3711</v>
      </c>
      <c r="O145" t="s">
        <v>3712</v>
      </c>
    </row>
    <row r="146" spans="1:15" x14ac:dyDescent="0.4">
      <c r="A146" s="36">
        <v>202856</v>
      </c>
      <c r="B146">
        <v>60</v>
      </c>
      <c r="C146" s="36">
        <f t="shared" si="20"/>
        <v>300</v>
      </c>
      <c r="D146" s="1700">
        <v>0</v>
      </c>
      <c r="E146" s="1700">
        <v>0</v>
      </c>
      <c r="F146" s="1700">
        <v>1</v>
      </c>
      <c r="G146" s="1700">
        <v>1</v>
      </c>
      <c r="H146" s="1700">
        <v>1</v>
      </c>
      <c r="I146" s="1700">
        <v>1</v>
      </c>
      <c r="J146" s="1701">
        <f t="shared" si="21"/>
        <v>4</v>
      </c>
      <c r="K146" s="1701">
        <f t="shared" si="22"/>
        <v>3</v>
      </c>
      <c r="L146" s="1700">
        <f t="shared" si="23"/>
        <v>180</v>
      </c>
      <c r="M146" s="955" t="s">
        <v>3710</v>
      </c>
      <c r="N146" s="955" t="s">
        <v>3711</v>
      </c>
    </row>
    <row r="147" spans="1:15" x14ac:dyDescent="0.4">
      <c r="A147" s="22">
        <v>202857</v>
      </c>
      <c r="B147" s="22">
        <v>60</v>
      </c>
      <c r="C147" s="22">
        <f t="shared" si="20"/>
        <v>300</v>
      </c>
      <c r="D147" s="557">
        <v>0</v>
      </c>
      <c r="E147" s="557">
        <v>0</v>
      </c>
      <c r="F147" s="557">
        <v>0</v>
      </c>
      <c r="G147" s="557">
        <v>0</v>
      </c>
      <c r="H147" s="557">
        <v>0</v>
      </c>
      <c r="I147" s="557">
        <v>0</v>
      </c>
      <c r="J147" s="24">
        <f t="shared" si="21"/>
        <v>0</v>
      </c>
      <c r="K147" s="24">
        <f t="shared" si="22"/>
        <v>0</v>
      </c>
      <c r="L147" s="557">
        <f t="shared" si="23"/>
        <v>0</v>
      </c>
      <c r="M147" s="29" t="s">
        <v>3714</v>
      </c>
      <c r="N147" s="29" t="s">
        <v>3715</v>
      </c>
    </row>
    <row r="148" spans="1:15" x14ac:dyDescent="0.4">
      <c r="A148" s="36">
        <v>202858</v>
      </c>
      <c r="B148">
        <v>60</v>
      </c>
      <c r="C148" s="36">
        <f t="shared" si="20"/>
        <v>300</v>
      </c>
      <c r="D148" s="1700">
        <v>0</v>
      </c>
      <c r="E148" s="1700">
        <v>0</v>
      </c>
      <c r="F148" s="1700">
        <v>0</v>
      </c>
      <c r="G148" s="1700">
        <v>0</v>
      </c>
      <c r="H148" s="1700">
        <v>1</v>
      </c>
      <c r="I148" s="1700">
        <v>1</v>
      </c>
      <c r="J148" s="1701">
        <f t="shared" si="21"/>
        <v>2</v>
      </c>
      <c r="K148" s="1701">
        <f t="shared" si="22"/>
        <v>1</v>
      </c>
      <c r="L148" s="1700">
        <f t="shared" si="23"/>
        <v>60</v>
      </c>
      <c r="M148" s="955" t="s">
        <v>3714</v>
      </c>
      <c r="N148" s="955" t="s">
        <v>3715</v>
      </c>
    </row>
    <row r="149" spans="1:15" x14ac:dyDescent="0.4">
      <c r="A149" s="1940">
        <v>202859</v>
      </c>
      <c r="B149" s="1940">
        <v>60</v>
      </c>
      <c r="C149" s="1940">
        <f t="shared" si="20"/>
        <v>300</v>
      </c>
      <c r="D149" s="1941">
        <v>0</v>
      </c>
      <c r="E149" s="1941">
        <v>0</v>
      </c>
      <c r="F149" s="1941">
        <v>0</v>
      </c>
      <c r="G149" s="1941">
        <v>0</v>
      </c>
      <c r="H149" s="1941">
        <v>0</v>
      </c>
      <c r="I149" s="1941">
        <v>0</v>
      </c>
      <c r="J149" s="1942">
        <f t="shared" si="21"/>
        <v>0</v>
      </c>
      <c r="K149" s="1942">
        <f t="shared" si="22"/>
        <v>0</v>
      </c>
      <c r="L149" s="1941">
        <f t="shared" si="23"/>
        <v>0</v>
      </c>
      <c r="M149" s="1943" t="s">
        <v>3716</v>
      </c>
      <c r="N149" s="1943" t="s">
        <v>3717</v>
      </c>
    </row>
    <row r="150" spans="1:15" x14ac:dyDescent="0.4">
      <c r="A150" s="36">
        <v>202860</v>
      </c>
      <c r="B150">
        <v>60</v>
      </c>
      <c r="C150" s="36">
        <f t="shared" si="20"/>
        <v>300</v>
      </c>
      <c r="D150" s="1700">
        <v>0</v>
      </c>
      <c r="E150" s="1700">
        <v>0</v>
      </c>
      <c r="F150" s="1700">
        <v>0</v>
      </c>
      <c r="G150" s="1700">
        <v>0</v>
      </c>
      <c r="H150" s="1700">
        <v>0</v>
      </c>
      <c r="I150" s="1700">
        <v>1</v>
      </c>
      <c r="J150" s="1701">
        <f t="shared" si="21"/>
        <v>1</v>
      </c>
      <c r="K150" s="1701">
        <f t="shared" si="22"/>
        <v>0</v>
      </c>
      <c r="L150" s="1700">
        <f t="shared" si="23"/>
        <v>0</v>
      </c>
      <c r="M150" s="955" t="s">
        <v>3718</v>
      </c>
      <c r="N150" s="955" t="s">
        <v>3719</v>
      </c>
    </row>
    <row r="151" spans="1:15" x14ac:dyDescent="0.4">
      <c r="A151" s="1034">
        <v>202861</v>
      </c>
      <c r="B151" s="1034">
        <v>50</v>
      </c>
      <c r="C151" s="1034">
        <f t="shared" si="20"/>
        <v>250</v>
      </c>
      <c r="D151" s="1035">
        <v>0</v>
      </c>
      <c r="E151" s="1035">
        <v>0</v>
      </c>
      <c r="F151" s="1035">
        <v>0</v>
      </c>
      <c r="G151" s="1035">
        <v>0</v>
      </c>
      <c r="H151" s="1035">
        <v>0</v>
      </c>
      <c r="I151" s="1035">
        <v>0</v>
      </c>
      <c r="J151" s="1036">
        <f t="shared" si="21"/>
        <v>0</v>
      </c>
      <c r="K151" s="1036">
        <f t="shared" si="22"/>
        <v>0</v>
      </c>
      <c r="L151" s="1035">
        <f t="shared" si="23"/>
        <v>0</v>
      </c>
      <c r="M151" s="1957" t="s">
        <v>3720</v>
      </c>
      <c r="N151" s="1957" t="s">
        <v>3721</v>
      </c>
    </row>
    <row r="152" spans="1:15" x14ac:dyDescent="0.4">
      <c r="A152" s="36">
        <v>202862</v>
      </c>
      <c r="B152">
        <v>60</v>
      </c>
      <c r="C152" s="36">
        <f t="shared" si="20"/>
        <v>300</v>
      </c>
      <c r="D152" s="1700">
        <v>0</v>
      </c>
      <c r="E152" s="1700">
        <v>0</v>
      </c>
      <c r="F152" s="1700">
        <v>0</v>
      </c>
      <c r="G152" s="1700">
        <v>0</v>
      </c>
      <c r="H152" s="1700">
        <v>1</v>
      </c>
      <c r="I152" s="1700">
        <v>1</v>
      </c>
      <c r="J152" s="1701">
        <f t="shared" si="21"/>
        <v>2</v>
      </c>
      <c r="K152" s="1701">
        <f t="shared" si="22"/>
        <v>1</v>
      </c>
      <c r="L152" s="1700">
        <f t="shared" si="23"/>
        <v>60</v>
      </c>
      <c r="M152" s="955" t="s">
        <v>3720</v>
      </c>
      <c r="N152" s="955" t="s">
        <v>3721</v>
      </c>
    </row>
    <row r="153" spans="1:15" x14ac:dyDescent="0.4">
      <c r="A153" s="16">
        <v>202863</v>
      </c>
      <c r="B153" s="16">
        <v>60</v>
      </c>
      <c r="C153" s="16">
        <f t="shared" si="20"/>
        <v>300</v>
      </c>
      <c r="D153" s="1799">
        <v>0</v>
      </c>
      <c r="E153" s="1799">
        <v>0</v>
      </c>
      <c r="F153" s="1799">
        <v>0</v>
      </c>
      <c r="G153" s="1799">
        <v>0</v>
      </c>
      <c r="H153" s="1799">
        <v>0</v>
      </c>
      <c r="I153" s="1799">
        <v>0</v>
      </c>
      <c r="J153" s="1800">
        <f t="shared" si="21"/>
        <v>0</v>
      </c>
      <c r="K153" s="1800">
        <f t="shared" si="22"/>
        <v>0</v>
      </c>
      <c r="L153" s="1799">
        <f t="shared" si="23"/>
        <v>0</v>
      </c>
      <c r="M153" s="30" t="s">
        <v>3722</v>
      </c>
      <c r="N153" s="30" t="s">
        <v>3723</v>
      </c>
    </row>
    <row r="154" spans="1:15" x14ac:dyDescent="0.4">
      <c r="A154" s="36">
        <v>202864</v>
      </c>
      <c r="B154">
        <v>45</v>
      </c>
      <c r="C154" s="36">
        <f t="shared" si="20"/>
        <v>225</v>
      </c>
      <c r="D154" s="1700">
        <v>0</v>
      </c>
      <c r="E154" s="1700">
        <v>0</v>
      </c>
      <c r="F154" s="1700">
        <v>0</v>
      </c>
      <c r="G154" s="1700">
        <v>0</v>
      </c>
      <c r="H154" s="1700">
        <v>0</v>
      </c>
      <c r="I154" s="1700">
        <v>1</v>
      </c>
      <c r="J154" s="1701">
        <f t="shared" si="21"/>
        <v>1</v>
      </c>
      <c r="K154" s="1701">
        <f t="shared" si="22"/>
        <v>0</v>
      </c>
      <c r="L154" s="1700">
        <f t="shared" si="23"/>
        <v>0</v>
      </c>
      <c r="M154" s="955" t="s">
        <v>3722</v>
      </c>
      <c r="N154" s="955" t="s">
        <v>3723</v>
      </c>
    </row>
    <row r="155" spans="1:15" x14ac:dyDescent="0.4">
      <c r="A155" s="36">
        <v>202865</v>
      </c>
      <c r="B155">
        <v>60</v>
      </c>
      <c r="C155" s="36">
        <f t="shared" si="20"/>
        <v>300</v>
      </c>
      <c r="D155" s="1700">
        <v>0</v>
      </c>
      <c r="E155" s="1700">
        <v>0</v>
      </c>
      <c r="F155" s="1700">
        <v>0</v>
      </c>
      <c r="G155" s="1700">
        <v>0</v>
      </c>
      <c r="H155" s="1700">
        <v>1</v>
      </c>
      <c r="I155" s="1700">
        <v>1</v>
      </c>
      <c r="J155" s="1701">
        <f t="shared" si="21"/>
        <v>2</v>
      </c>
      <c r="K155" s="1701">
        <f t="shared" si="22"/>
        <v>1</v>
      </c>
      <c r="L155" s="1700">
        <f t="shared" si="23"/>
        <v>60</v>
      </c>
      <c r="M155" s="955" t="s">
        <v>3724</v>
      </c>
      <c r="N155" s="955" t="s">
        <v>3725</v>
      </c>
    </row>
    <row r="156" spans="1:15" x14ac:dyDescent="0.4">
      <c r="A156" s="36">
        <v>202866</v>
      </c>
      <c r="B156">
        <v>0</v>
      </c>
      <c r="C156" s="36">
        <f t="shared" si="20"/>
        <v>0</v>
      </c>
      <c r="D156" s="1700">
        <v>1</v>
      </c>
      <c r="E156" s="1700"/>
      <c r="F156" s="1700"/>
      <c r="G156" s="1700"/>
      <c r="H156" s="1700"/>
      <c r="I156" s="1700"/>
      <c r="J156" s="1701">
        <f t="shared" si="21"/>
        <v>1</v>
      </c>
      <c r="K156" s="1701">
        <f t="shared" si="22"/>
        <v>1</v>
      </c>
      <c r="L156" s="1700">
        <f t="shared" si="23"/>
        <v>0</v>
      </c>
      <c r="M156" s="955" t="s">
        <v>3726</v>
      </c>
      <c r="N156" s="955" t="s">
        <v>3732</v>
      </c>
      <c r="O156" t="s">
        <v>3727</v>
      </c>
    </row>
    <row r="157" spans="1:15" x14ac:dyDescent="0.4">
      <c r="A157" s="1982">
        <v>202867</v>
      </c>
      <c r="B157" s="1982">
        <v>45</v>
      </c>
      <c r="C157" s="1982">
        <f t="shared" si="20"/>
        <v>225</v>
      </c>
      <c r="D157" s="1983">
        <v>0</v>
      </c>
      <c r="E157" s="1983">
        <v>0</v>
      </c>
      <c r="F157" s="1983">
        <v>0</v>
      </c>
      <c r="G157" s="1983">
        <v>0</v>
      </c>
      <c r="H157" s="1983">
        <v>0</v>
      </c>
      <c r="I157" s="1983">
        <v>0</v>
      </c>
      <c r="J157" s="1984">
        <f t="shared" si="21"/>
        <v>0</v>
      </c>
      <c r="K157" s="1984">
        <f t="shared" si="22"/>
        <v>0</v>
      </c>
      <c r="L157" s="1983">
        <f t="shared" si="23"/>
        <v>0</v>
      </c>
      <c r="M157" s="1985" t="s">
        <v>3728</v>
      </c>
      <c r="N157" s="1985" t="s">
        <v>3711</v>
      </c>
    </row>
    <row r="158" spans="1:15" x14ac:dyDescent="0.4">
      <c r="A158" s="36">
        <v>202868</v>
      </c>
      <c r="B158">
        <v>0</v>
      </c>
      <c r="C158" s="36">
        <f t="shared" si="20"/>
        <v>0</v>
      </c>
      <c r="D158" s="1700">
        <v>0</v>
      </c>
      <c r="E158" s="1700">
        <v>1</v>
      </c>
      <c r="F158" s="1700">
        <v>1</v>
      </c>
      <c r="G158" s="1700"/>
      <c r="H158" s="1700"/>
      <c r="I158" s="1700"/>
      <c r="J158" s="1701">
        <f t="shared" si="21"/>
        <v>2</v>
      </c>
      <c r="K158" s="1701">
        <f t="shared" si="22"/>
        <v>2</v>
      </c>
      <c r="L158" s="1700">
        <f t="shared" si="23"/>
        <v>0</v>
      </c>
      <c r="M158" s="955" t="s">
        <v>3728</v>
      </c>
      <c r="N158" s="955" t="s">
        <v>3729</v>
      </c>
      <c r="O158" t="s">
        <v>3730</v>
      </c>
    </row>
    <row r="159" spans="1:15" x14ac:dyDescent="0.4">
      <c r="A159" s="36">
        <v>202869</v>
      </c>
      <c r="B159">
        <v>45</v>
      </c>
      <c r="C159" s="36">
        <f t="shared" si="20"/>
        <v>225</v>
      </c>
      <c r="D159" s="1700">
        <v>0</v>
      </c>
      <c r="E159" s="1700">
        <v>0</v>
      </c>
      <c r="F159" s="1700">
        <v>1</v>
      </c>
      <c r="G159" s="1700">
        <v>1</v>
      </c>
      <c r="H159" s="1700">
        <v>1</v>
      </c>
      <c r="I159" s="1700">
        <v>1</v>
      </c>
      <c r="J159" s="1701">
        <f t="shared" si="21"/>
        <v>4</v>
      </c>
      <c r="K159" s="1701">
        <f t="shared" si="22"/>
        <v>3</v>
      </c>
      <c r="L159" s="1700">
        <f t="shared" si="23"/>
        <v>135</v>
      </c>
      <c r="M159" s="955" t="s">
        <v>3733</v>
      </c>
      <c r="N159" s="955" t="s">
        <v>3734</v>
      </c>
    </row>
    <row r="160" spans="1:15" x14ac:dyDescent="0.4">
      <c r="A160" s="1947">
        <v>202870</v>
      </c>
      <c r="B160" s="1947">
        <v>60</v>
      </c>
      <c r="C160" s="1947">
        <f t="shared" si="20"/>
        <v>300</v>
      </c>
      <c r="D160" s="1948">
        <v>0</v>
      </c>
      <c r="E160" s="1948">
        <v>0</v>
      </c>
      <c r="F160" s="1948">
        <v>0</v>
      </c>
      <c r="G160" s="1948">
        <v>0</v>
      </c>
      <c r="H160" s="1948">
        <v>0</v>
      </c>
      <c r="I160" s="1948">
        <v>0</v>
      </c>
      <c r="J160" s="1949">
        <f t="shared" si="21"/>
        <v>0</v>
      </c>
      <c r="K160" s="1949">
        <f t="shared" si="22"/>
        <v>0</v>
      </c>
      <c r="L160" s="1948">
        <f t="shared" si="23"/>
        <v>0</v>
      </c>
      <c r="M160" s="1950" t="s">
        <v>3735</v>
      </c>
      <c r="N160" s="1950" t="s">
        <v>3736</v>
      </c>
    </row>
    <row r="161" spans="1:15" x14ac:dyDescent="0.4">
      <c r="A161" s="36">
        <v>202871</v>
      </c>
      <c r="B161">
        <v>45</v>
      </c>
      <c r="C161" s="36">
        <f t="shared" si="20"/>
        <v>225</v>
      </c>
      <c r="D161" s="1700">
        <v>0</v>
      </c>
      <c r="E161" s="1700">
        <v>0</v>
      </c>
      <c r="F161" s="1700">
        <v>0</v>
      </c>
      <c r="G161" s="1700">
        <v>0</v>
      </c>
      <c r="H161" s="1700">
        <v>0</v>
      </c>
      <c r="I161" s="1700">
        <v>0</v>
      </c>
      <c r="J161" s="1701">
        <f t="shared" si="21"/>
        <v>0</v>
      </c>
      <c r="K161" s="1701">
        <f t="shared" si="22"/>
        <v>0</v>
      </c>
      <c r="L161" s="1700">
        <f t="shared" si="23"/>
        <v>0</v>
      </c>
      <c r="M161" s="955" t="s">
        <v>3735</v>
      </c>
      <c r="N161" s="955" t="s">
        <v>3736</v>
      </c>
    </row>
    <row r="162" spans="1:15" x14ac:dyDescent="0.4">
      <c r="A162" s="36">
        <v>202872</v>
      </c>
      <c r="B162">
        <v>60</v>
      </c>
      <c r="C162" s="36">
        <f t="shared" si="20"/>
        <v>300</v>
      </c>
      <c r="D162" s="1700">
        <v>0</v>
      </c>
      <c r="E162" s="1700">
        <v>0</v>
      </c>
      <c r="F162" s="1700">
        <v>1</v>
      </c>
      <c r="G162" s="1700">
        <v>1</v>
      </c>
      <c r="H162" s="1700">
        <v>1</v>
      </c>
      <c r="I162" s="1700">
        <v>1</v>
      </c>
      <c r="J162" s="1701">
        <f t="shared" si="21"/>
        <v>4</v>
      </c>
      <c r="K162" s="1701">
        <f t="shared" si="22"/>
        <v>3</v>
      </c>
      <c r="L162" s="1700">
        <f t="shared" si="23"/>
        <v>180</v>
      </c>
      <c r="M162" s="955" t="s">
        <v>3737</v>
      </c>
      <c r="N162" s="955" t="s">
        <v>3738</v>
      </c>
    </row>
    <row r="163" spans="1:15" x14ac:dyDescent="0.4">
      <c r="A163" s="36">
        <v>202873</v>
      </c>
      <c r="B163">
        <v>60</v>
      </c>
      <c r="C163" s="36">
        <f t="shared" si="20"/>
        <v>300</v>
      </c>
      <c r="D163" s="1700">
        <v>0</v>
      </c>
      <c r="E163" s="1700">
        <v>0</v>
      </c>
      <c r="F163" s="1700">
        <v>0</v>
      </c>
      <c r="G163" s="1700">
        <v>1</v>
      </c>
      <c r="H163" s="1700">
        <v>1</v>
      </c>
      <c r="I163" s="1700">
        <v>1</v>
      </c>
      <c r="J163" s="1701">
        <f t="shared" si="21"/>
        <v>3</v>
      </c>
      <c r="K163" s="1701">
        <f t="shared" si="22"/>
        <v>2</v>
      </c>
      <c r="L163" s="1700">
        <f t="shared" si="23"/>
        <v>120</v>
      </c>
      <c r="M163" s="955" t="s">
        <v>3739</v>
      </c>
      <c r="N163" s="955" t="s">
        <v>3740</v>
      </c>
    </row>
    <row r="164" spans="1:15" x14ac:dyDescent="0.4">
      <c r="A164" s="36">
        <v>202874</v>
      </c>
      <c r="B164">
        <v>60</v>
      </c>
      <c r="C164" s="36">
        <f t="shared" si="20"/>
        <v>300</v>
      </c>
      <c r="D164" s="1700">
        <v>0</v>
      </c>
      <c r="E164" s="1700">
        <v>0</v>
      </c>
      <c r="F164" s="1700">
        <v>0</v>
      </c>
      <c r="G164" s="1700">
        <v>0</v>
      </c>
      <c r="H164" s="1700">
        <v>0</v>
      </c>
      <c r="I164" s="1700">
        <v>1</v>
      </c>
      <c r="J164" s="1701">
        <f t="shared" si="21"/>
        <v>1</v>
      </c>
      <c r="K164" s="1701">
        <f t="shared" si="22"/>
        <v>0</v>
      </c>
      <c r="L164" s="1700">
        <f t="shared" si="23"/>
        <v>0</v>
      </c>
      <c r="M164" s="955" t="s">
        <v>3739</v>
      </c>
      <c r="N164" s="955" t="s">
        <v>3740</v>
      </c>
      <c r="O164" t="s">
        <v>3899</v>
      </c>
    </row>
    <row r="165" spans="1:15" x14ac:dyDescent="0.4">
      <c r="A165" s="1960">
        <v>202875</v>
      </c>
      <c r="B165" s="1960">
        <v>60</v>
      </c>
      <c r="C165" s="1960">
        <f t="shared" si="20"/>
        <v>300</v>
      </c>
      <c r="D165" s="1961">
        <v>0</v>
      </c>
      <c r="E165" s="1961">
        <v>0</v>
      </c>
      <c r="F165" s="1961">
        <v>0</v>
      </c>
      <c r="G165" s="1961">
        <v>0</v>
      </c>
      <c r="H165" s="1961">
        <v>0</v>
      </c>
      <c r="I165" s="1961">
        <v>0</v>
      </c>
      <c r="J165" s="1962">
        <f t="shared" si="21"/>
        <v>0</v>
      </c>
      <c r="K165" s="1962">
        <f t="shared" si="22"/>
        <v>0</v>
      </c>
      <c r="L165" s="1961">
        <f t="shared" si="23"/>
        <v>0</v>
      </c>
      <c r="M165" s="1963" t="s">
        <v>3741</v>
      </c>
      <c r="N165" s="1963" t="s">
        <v>3742</v>
      </c>
    </row>
    <row r="166" spans="1:15" x14ac:dyDescent="0.4">
      <c r="A166" s="36">
        <v>202876</v>
      </c>
      <c r="B166">
        <v>60</v>
      </c>
      <c r="C166" s="36">
        <f t="shared" si="20"/>
        <v>300</v>
      </c>
      <c r="D166" s="1700">
        <v>0</v>
      </c>
      <c r="E166" s="1700">
        <v>0</v>
      </c>
      <c r="F166" s="1700">
        <v>1</v>
      </c>
      <c r="G166" s="1700">
        <v>1</v>
      </c>
      <c r="H166" s="1700">
        <v>1</v>
      </c>
      <c r="I166" s="1700">
        <v>1</v>
      </c>
      <c r="J166" s="1701">
        <f t="shared" si="21"/>
        <v>4</v>
      </c>
      <c r="K166" s="1701">
        <f t="shared" si="22"/>
        <v>3</v>
      </c>
      <c r="L166" s="1700">
        <f t="shared" si="23"/>
        <v>180</v>
      </c>
      <c r="M166" s="955" t="s">
        <v>3743</v>
      </c>
      <c r="N166" s="955" t="s">
        <v>3744</v>
      </c>
    </row>
    <row r="167" spans="1:15" x14ac:dyDescent="0.4">
      <c r="A167" s="2021">
        <v>202877</v>
      </c>
      <c r="B167" s="2021">
        <v>45</v>
      </c>
      <c r="C167" s="2021">
        <f t="shared" si="20"/>
        <v>225</v>
      </c>
      <c r="D167" s="2022">
        <v>0</v>
      </c>
      <c r="E167" s="2022">
        <v>0</v>
      </c>
      <c r="F167" s="2022">
        <v>0</v>
      </c>
      <c r="G167" s="2022">
        <v>0</v>
      </c>
      <c r="H167" s="2022">
        <v>0</v>
      </c>
      <c r="I167" s="2022">
        <v>0</v>
      </c>
      <c r="J167" s="2023">
        <f t="shared" si="21"/>
        <v>0</v>
      </c>
      <c r="K167" s="2023">
        <f t="shared" si="22"/>
        <v>0</v>
      </c>
      <c r="L167" s="2022">
        <f t="shared" si="23"/>
        <v>0</v>
      </c>
      <c r="M167" s="2024" t="s">
        <v>3745</v>
      </c>
      <c r="N167" s="2024" t="s">
        <v>3746</v>
      </c>
    </row>
    <row r="168" spans="1:15" x14ac:dyDescent="0.4">
      <c r="A168" s="1989">
        <v>202878</v>
      </c>
      <c r="B168" s="1989">
        <v>60</v>
      </c>
      <c r="C168" s="1989">
        <f t="shared" si="20"/>
        <v>300</v>
      </c>
      <c r="D168" s="1990">
        <v>0</v>
      </c>
      <c r="E168" s="1990">
        <v>0</v>
      </c>
      <c r="F168" s="1990">
        <v>0</v>
      </c>
      <c r="G168" s="1990">
        <v>0</v>
      </c>
      <c r="H168" s="1990">
        <v>0</v>
      </c>
      <c r="I168" s="1990">
        <v>0</v>
      </c>
      <c r="J168" s="1991">
        <f t="shared" si="21"/>
        <v>0</v>
      </c>
      <c r="K168" s="1991">
        <f t="shared" si="22"/>
        <v>0</v>
      </c>
      <c r="L168" s="1990">
        <f t="shared" si="23"/>
        <v>0</v>
      </c>
      <c r="M168" s="1992" t="s">
        <v>3745</v>
      </c>
      <c r="N168" s="1992" t="s">
        <v>3746</v>
      </c>
    </row>
    <row r="169" spans="1:15" x14ac:dyDescent="0.4">
      <c r="A169" s="36">
        <v>202879</v>
      </c>
      <c r="B169">
        <v>45</v>
      </c>
      <c r="C169" s="36">
        <f t="shared" si="20"/>
        <v>225</v>
      </c>
      <c r="D169" s="1700">
        <v>0</v>
      </c>
      <c r="E169" s="1700">
        <v>1</v>
      </c>
      <c r="F169" s="1700">
        <v>1</v>
      </c>
      <c r="G169" s="1700">
        <v>1</v>
      </c>
      <c r="H169" s="1700">
        <v>1</v>
      </c>
      <c r="I169" s="1700">
        <v>1</v>
      </c>
      <c r="J169" s="1701">
        <f t="shared" si="21"/>
        <v>5</v>
      </c>
      <c r="K169" s="1701">
        <f t="shared" si="22"/>
        <v>4</v>
      </c>
      <c r="L169" s="1700">
        <f t="shared" si="23"/>
        <v>180</v>
      </c>
      <c r="M169" s="955" t="s">
        <v>3747</v>
      </c>
      <c r="N169" s="955" t="s">
        <v>3748</v>
      </c>
    </row>
    <row r="170" spans="1:15" x14ac:dyDescent="0.4">
      <c r="A170" s="16">
        <v>202880</v>
      </c>
      <c r="B170" s="16">
        <v>60</v>
      </c>
      <c r="C170" s="16">
        <f t="shared" ref="C170:C199" si="24">SUM(B170*5)</f>
        <v>300</v>
      </c>
      <c r="D170" s="1916">
        <v>0</v>
      </c>
      <c r="E170" s="1916">
        <v>0</v>
      </c>
      <c r="F170" s="1916">
        <v>0</v>
      </c>
      <c r="G170" s="1916">
        <v>0</v>
      </c>
      <c r="H170" s="1916">
        <v>0</v>
      </c>
      <c r="I170" s="1916">
        <v>0</v>
      </c>
      <c r="J170" s="1917">
        <f t="shared" ref="J170:J199" si="25">SUM(D170:I170)</f>
        <v>0</v>
      </c>
      <c r="K170" s="1917">
        <f t="shared" ref="K170:K199" si="26">SUM(D170:H170)</f>
        <v>0</v>
      </c>
      <c r="L170" s="1916">
        <f t="shared" ref="L170:L199" si="27">B170*K170</f>
        <v>0</v>
      </c>
      <c r="M170" s="30" t="s">
        <v>3747</v>
      </c>
      <c r="N170" s="30" t="s">
        <v>3748</v>
      </c>
    </row>
    <row r="171" spans="1:15" x14ac:dyDescent="0.4">
      <c r="A171" s="36">
        <v>202881</v>
      </c>
      <c r="B171">
        <v>45</v>
      </c>
      <c r="C171" s="36">
        <f t="shared" si="24"/>
        <v>225</v>
      </c>
      <c r="D171" s="1732">
        <v>0</v>
      </c>
      <c r="E171" s="1732">
        <v>0</v>
      </c>
      <c r="F171" s="1732">
        <v>1</v>
      </c>
      <c r="G171" s="1732">
        <v>1</v>
      </c>
      <c r="H171" s="1732">
        <v>1</v>
      </c>
      <c r="I171" s="1732">
        <v>1</v>
      </c>
      <c r="J171" s="1733">
        <f t="shared" si="25"/>
        <v>4</v>
      </c>
      <c r="K171" s="1733">
        <f t="shared" si="26"/>
        <v>3</v>
      </c>
      <c r="L171" s="1732">
        <f t="shared" si="27"/>
        <v>135</v>
      </c>
      <c r="M171" s="955" t="s">
        <v>3749</v>
      </c>
      <c r="N171" s="955" t="s">
        <v>3750</v>
      </c>
    </row>
    <row r="172" spans="1:15" x14ac:dyDescent="0.4">
      <c r="A172" s="1">
        <v>202882</v>
      </c>
      <c r="B172" s="1">
        <v>60</v>
      </c>
      <c r="C172" s="1">
        <f t="shared" si="24"/>
        <v>300</v>
      </c>
      <c r="D172" s="2015">
        <v>0</v>
      </c>
      <c r="E172" s="2015">
        <v>0</v>
      </c>
      <c r="F172" s="2015">
        <v>0</v>
      </c>
      <c r="G172" s="2015">
        <v>0</v>
      </c>
      <c r="H172" s="2015">
        <v>0</v>
      </c>
      <c r="I172" s="2015">
        <v>0</v>
      </c>
      <c r="J172" s="2016">
        <f t="shared" si="25"/>
        <v>0</v>
      </c>
      <c r="K172" s="2016">
        <f t="shared" si="26"/>
        <v>0</v>
      </c>
      <c r="L172" s="2015">
        <f t="shared" si="27"/>
        <v>0</v>
      </c>
      <c r="M172" s="141" t="s">
        <v>3749</v>
      </c>
      <c r="N172" s="141" t="s">
        <v>3750</v>
      </c>
    </row>
    <row r="173" spans="1:15" x14ac:dyDescent="0.4">
      <c r="A173" s="1940">
        <v>202883</v>
      </c>
      <c r="B173" s="1940">
        <v>60</v>
      </c>
      <c r="C173" s="1940">
        <f t="shared" si="24"/>
        <v>300</v>
      </c>
      <c r="D173" s="1941">
        <v>0</v>
      </c>
      <c r="E173" s="1941">
        <v>0</v>
      </c>
      <c r="F173" s="1941">
        <v>0</v>
      </c>
      <c r="G173" s="1941">
        <v>0</v>
      </c>
      <c r="H173" s="1941">
        <v>0</v>
      </c>
      <c r="I173" s="1941">
        <v>0</v>
      </c>
      <c r="J173" s="1942">
        <f t="shared" si="25"/>
        <v>0</v>
      </c>
      <c r="K173" s="1942">
        <f t="shared" si="26"/>
        <v>0</v>
      </c>
      <c r="L173" s="1941">
        <f t="shared" si="27"/>
        <v>0</v>
      </c>
      <c r="M173" s="1943" t="s">
        <v>3751</v>
      </c>
      <c r="N173" s="1943" t="s">
        <v>3752</v>
      </c>
    </row>
    <row r="174" spans="1:15" x14ac:dyDescent="0.4">
      <c r="A174" s="36">
        <v>202884</v>
      </c>
      <c r="B174">
        <v>45</v>
      </c>
      <c r="C174" s="36">
        <f t="shared" si="24"/>
        <v>225</v>
      </c>
      <c r="D174" s="1732">
        <v>0</v>
      </c>
      <c r="E174" s="1732">
        <v>0</v>
      </c>
      <c r="F174" s="1732">
        <v>1</v>
      </c>
      <c r="G174" s="1732">
        <v>1</v>
      </c>
      <c r="H174" s="1732">
        <v>1</v>
      </c>
      <c r="I174" s="1732">
        <v>1</v>
      </c>
      <c r="J174" s="1733">
        <f t="shared" si="25"/>
        <v>4</v>
      </c>
      <c r="K174" s="1733">
        <f t="shared" si="26"/>
        <v>3</v>
      </c>
      <c r="L174" s="1732">
        <f t="shared" si="27"/>
        <v>135</v>
      </c>
      <c r="M174" s="955" t="s">
        <v>3751</v>
      </c>
      <c r="N174" s="955" t="s">
        <v>3752</v>
      </c>
    </row>
    <row r="175" spans="1:15" x14ac:dyDescent="0.4">
      <c r="A175" s="22">
        <v>202885</v>
      </c>
      <c r="B175" s="22">
        <v>45</v>
      </c>
      <c r="C175" s="22">
        <f t="shared" si="24"/>
        <v>225</v>
      </c>
      <c r="D175" s="557">
        <v>0</v>
      </c>
      <c r="E175" s="557">
        <v>0</v>
      </c>
      <c r="F175" s="557">
        <v>0</v>
      </c>
      <c r="G175" s="557">
        <v>0</v>
      </c>
      <c r="H175" s="557">
        <v>0</v>
      </c>
      <c r="I175" s="557">
        <v>0</v>
      </c>
      <c r="J175" s="24">
        <f t="shared" si="25"/>
        <v>0</v>
      </c>
      <c r="K175" s="24">
        <f t="shared" si="26"/>
        <v>0</v>
      </c>
      <c r="L175" s="557">
        <f t="shared" si="27"/>
        <v>0</v>
      </c>
      <c r="M175" s="29" t="s">
        <v>3753</v>
      </c>
      <c r="N175" s="29" t="s">
        <v>3754</v>
      </c>
    </row>
    <row r="176" spans="1:15" x14ac:dyDescent="0.4">
      <c r="A176" s="36">
        <v>202886</v>
      </c>
      <c r="B176">
        <v>60</v>
      </c>
      <c r="C176" s="36">
        <f t="shared" si="24"/>
        <v>300</v>
      </c>
      <c r="D176" s="1732">
        <v>0</v>
      </c>
      <c r="E176" s="1732">
        <v>0</v>
      </c>
      <c r="F176" s="1732">
        <v>0</v>
      </c>
      <c r="G176" s="1732">
        <v>0</v>
      </c>
      <c r="H176" s="1732">
        <v>1</v>
      </c>
      <c r="I176" s="1732">
        <v>1</v>
      </c>
      <c r="J176" s="1733">
        <f t="shared" si="25"/>
        <v>2</v>
      </c>
      <c r="K176" s="1733">
        <f t="shared" si="26"/>
        <v>1</v>
      </c>
      <c r="L176" s="1732">
        <f t="shared" si="27"/>
        <v>60</v>
      </c>
      <c r="M176" s="955" t="s">
        <v>3753</v>
      </c>
      <c r="N176" s="955" t="s">
        <v>3754</v>
      </c>
    </row>
    <row r="177" spans="1:14" x14ac:dyDescent="0.4">
      <c r="A177" s="36">
        <v>202887</v>
      </c>
      <c r="B177">
        <v>60</v>
      </c>
      <c r="C177" s="36">
        <f t="shared" si="24"/>
        <v>300</v>
      </c>
      <c r="D177" s="1732">
        <v>0</v>
      </c>
      <c r="E177" s="1732">
        <v>0</v>
      </c>
      <c r="F177" s="1732">
        <v>0</v>
      </c>
      <c r="G177" s="1732">
        <v>0</v>
      </c>
      <c r="H177" s="1732">
        <v>1</v>
      </c>
      <c r="I177" s="1732">
        <v>1</v>
      </c>
      <c r="J177" s="1733">
        <f t="shared" si="25"/>
        <v>2</v>
      </c>
      <c r="K177" s="1733">
        <f t="shared" si="26"/>
        <v>1</v>
      </c>
      <c r="L177" s="1732">
        <f t="shared" si="27"/>
        <v>60</v>
      </c>
      <c r="M177" s="955" t="s">
        <v>3755</v>
      </c>
      <c r="N177" s="955" t="s">
        <v>3756</v>
      </c>
    </row>
    <row r="178" spans="1:14" x14ac:dyDescent="0.4">
      <c r="A178" s="36">
        <v>202888</v>
      </c>
      <c r="B178">
        <v>50</v>
      </c>
      <c r="C178" s="36">
        <f t="shared" si="24"/>
        <v>250</v>
      </c>
      <c r="D178" s="1732">
        <v>0</v>
      </c>
      <c r="E178" s="1732">
        <v>0</v>
      </c>
      <c r="F178" s="1732">
        <v>1</v>
      </c>
      <c r="G178" s="1732">
        <v>1</v>
      </c>
      <c r="H178" s="1732">
        <v>1</v>
      </c>
      <c r="I178" s="1732">
        <v>1</v>
      </c>
      <c r="J178" s="1733">
        <f t="shared" si="25"/>
        <v>4</v>
      </c>
      <c r="K178" s="1733">
        <f t="shared" si="26"/>
        <v>3</v>
      </c>
      <c r="L178" s="1732">
        <f t="shared" si="27"/>
        <v>150</v>
      </c>
      <c r="M178" s="955" t="s">
        <v>3755</v>
      </c>
      <c r="N178" s="955" t="s">
        <v>3756</v>
      </c>
    </row>
    <row r="179" spans="1:14" s="2" customFormat="1" x14ac:dyDescent="0.4">
      <c r="A179" s="16">
        <v>202889</v>
      </c>
      <c r="B179" s="16">
        <v>60</v>
      </c>
      <c r="C179" s="16">
        <f t="shared" si="24"/>
        <v>300</v>
      </c>
      <c r="D179" s="1916">
        <v>0</v>
      </c>
      <c r="E179" s="1916">
        <v>0</v>
      </c>
      <c r="F179" s="1916">
        <v>0</v>
      </c>
      <c r="G179" s="1916">
        <v>0</v>
      </c>
      <c r="H179" s="1916">
        <v>0</v>
      </c>
      <c r="I179" s="1916">
        <v>0</v>
      </c>
      <c r="J179" s="1917">
        <f t="shared" si="25"/>
        <v>0</v>
      </c>
      <c r="K179" s="1917">
        <f t="shared" si="26"/>
        <v>0</v>
      </c>
      <c r="L179" s="1916">
        <f t="shared" si="27"/>
        <v>0</v>
      </c>
      <c r="M179" s="30" t="s">
        <v>3757</v>
      </c>
      <c r="N179" s="30" t="s">
        <v>3758</v>
      </c>
    </row>
    <row r="180" spans="1:14" x14ac:dyDescent="0.4">
      <c r="A180" s="36">
        <v>202890</v>
      </c>
      <c r="B180">
        <v>45</v>
      </c>
      <c r="C180" s="36">
        <f t="shared" si="24"/>
        <v>225</v>
      </c>
      <c r="D180" s="1732">
        <v>0</v>
      </c>
      <c r="E180" s="1732">
        <v>0</v>
      </c>
      <c r="F180" s="1732">
        <v>0</v>
      </c>
      <c r="G180" s="1732">
        <v>0</v>
      </c>
      <c r="H180" s="1732">
        <v>1</v>
      </c>
      <c r="I180" s="1732">
        <v>1</v>
      </c>
      <c r="J180" s="1733">
        <f t="shared" si="25"/>
        <v>2</v>
      </c>
      <c r="K180" s="1733">
        <f t="shared" si="26"/>
        <v>1</v>
      </c>
      <c r="L180" s="1732">
        <f t="shared" si="27"/>
        <v>45</v>
      </c>
      <c r="M180" s="955" t="s">
        <v>3759</v>
      </c>
      <c r="N180" s="955" t="s">
        <v>3760</v>
      </c>
    </row>
    <row r="181" spans="1:14" x14ac:dyDescent="0.4">
      <c r="A181" s="36">
        <v>202891</v>
      </c>
      <c r="B181">
        <v>60</v>
      </c>
      <c r="C181" s="36">
        <f t="shared" si="24"/>
        <v>300</v>
      </c>
      <c r="D181" s="1732">
        <v>0</v>
      </c>
      <c r="E181" s="1732">
        <v>0</v>
      </c>
      <c r="F181" s="1732">
        <v>1</v>
      </c>
      <c r="G181" s="1732">
        <v>1</v>
      </c>
      <c r="H181" s="1732">
        <v>1</v>
      </c>
      <c r="I181" s="1732">
        <v>1</v>
      </c>
      <c r="J181" s="1733">
        <f t="shared" si="25"/>
        <v>4</v>
      </c>
      <c r="K181" s="1733">
        <f t="shared" si="26"/>
        <v>3</v>
      </c>
      <c r="L181" s="1732">
        <f t="shared" si="27"/>
        <v>180</v>
      </c>
      <c r="M181" s="955" t="s">
        <v>3759</v>
      </c>
      <c r="N181" s="955" t="s">
        <v>3760</v>
      </c>
    </row>
    <row r="182" spans="1:14" x14ac:dyDescent="0.4">
      <c r="A182" s="22">
        <v>202892</v>
      </c>
      <c r="B182" s="22">
        <v>45</v>
      </c>
      <c r="C182" s="22">
        <f t="shared" si="24"/>
        <v>225</v>
      </c>
      <c r="D182" s="557">
        <v>0</v>
      </c>
      <c r="E182" s="557">
        <v>0</v>
      </c>
      <c r="F182" s="557">
        <v>0</v>
      </c>
      <c r="G182" s="557">
        <v>0</v>
      </c>
      <c r="H182" s="557">
        <v>0</v>
      </c>
      <c r="I182" s="557">
        <v>0</v>
      </c>
      <c r="J182" s="24">
        <f t="shared" si="25"/>
        <v>0</v>
      </c>
      <c r="K182" s="24">
        <f t="shared" si="26"/>
        <v>0</v>
      </c>
      <c r="L182" s="557">
        <f t="shared" si="27"/>
        <v>0</v>
      </c>
      <c r="M182" s="29" t="s">
        <v>3823</v>
      </c>
      <c r="N182" s="29" t="s">
        <v>3824</v>
      </c>
    </row>
    <row r="183" spans="1:14" x14ac:dyDescent="0.4">
      <c r="A183" s="36">
        <v>202893</v>
      </c>
      <c r="B183">
        <v>60</v>
      </c>
      <c r="C183" s="36">
        <f t="shared" si="24"/>
        <v>300</v>
      </c>
      <c r="D183" s="1732">
        <v>0</v>
      </c>
      <c r="E183" s="1732">
        <v>0</v>
      </c>
      <c r="F183" s="1732">
        <v>0</v>
      </c>
      <c r="G183" s="1732">
        <v>0</v>
      </c>
      <c r="H183" s="1732">
        <v>1</v>
      </c>
      <c r="I183" s="1732">
        <v>1</v>
      </c>
      <c r="J183" s="1733">
        <f t="shared" si="25"/>
        <v>2</v>
      </c>
      <c r="K183" s="1733">
        <f t="shared" si="26"/>
        <v>1</v>
      </c>
      <c r="L183" s="1732">
        <f t="shared" si="27"/>
        <v>60</v>
      </c>
      <c r="M183" s="955" t="s">
        <v>3823</v>
      </c>
      <c r="N183" s="955" t="s">
        <v>3824</v>
      </c>
    </row>
    <row r="184" spans="1:14" x14ac:dyDescent="0.4">
      <c r="A184" s="36">
        <v>202894</v>
      </c>
      <c r="B184">
        <v>60</v>
      </c>
      <c r="C184" s="36">
        <f t="shared" si="24"/>
        <v>300</v>
      </c>
      <c r="D184" s="1732">
        <v>0</v>
      </c>
      <c r="E184" s="1732">
        <v>0</v>
      </c>
      <c r="F184" s="1732">
        <v>1</v>
      </c>
      <c r="G184" s="1732">
        <v>1</v>
      </c>
      <c r="H184" s="1732">
        <v>1</v>
      </c>
      <c r="I184" s="1732">
        <v>1</v>
      </c>
      <c r="J184" s="1733">
        <f t="shared" si="25"/>
        <v>4</v>
      </c>
      <c r="K184" s="1733">
        <f t="shared" si="26"/>
        <v>3</v>
      </c>
      <c r="L184" s="1732">
        <f t="shared" si="27"/>
        <v>180</v>
      </c>
      <c r="M184" s="955" t="s">
        <v>3823</v>
      </c>
      <c r="N184" s="955" t="s">
        <v>3824</v>
      </c>
    </row>
    <row r="185" spans="1:14" x14ac:dyDescent="0.4">
      <c r="A185" s="1">
        <v>202895</v>
      </c>
      <c r="B185" s="1">
        <v>45</v>
      </c>
      <c r="C185" s="1">
        <f t="shared" si="24"/>
        <v>225</v>
      </c>
      <c r="D185" s="1945">
        <v>0</v>
      </c>
      <c r="E185" s="1945">
        <v>0</v>
      </c>
      <c r="F185" s="1945">
        <v>0</v>
      </c>
      <c r="G185" s="1945">
        <v>0</v>
      </c>
      <c r="H185" s="1945">
        <v>0</v>
      </c>
      <c r="I185" s="1945">
        <v>0</v>
      </c>
      <c r="J185" s="1946">
        <f t="shared" si="25"/>
        <v>0</v>
      </c>
      <c r="K185" s="1946">
        <f t="shared" si="26"/>
        <v>0</v>
      </c>
      <c r="L185" s="1945">
        <f t="shared" si="27"/>
        <v>0</v>
      </c>
      <c r="M185" s="141" t="s">
        <v>3823</v>
      </c>
      <c r="N185" s="141" t="s">
        <v>3824</v>
      </c>
    </row>
    <row r="186" spans="1:14" x14ac:dyDescent="0.4">
      <c r="A186" s="36">
        <v>202896</v>
      </c>
      <c r="B186">
        <v>50</v>
      </c>
      <c r="C186" s="36">
        <f t="shared" si="24"/>
        <v>250</v>
      </c>
      <c r="D186" s="1732">
        <v>0</v>
      </c>
      <c r="E186" s="1732">
        <v>0</v>
      </c>
      <c r="F186" s="1732">
        <v>1</v>
      </c>
      <c r="G186" s="1732">
        <v>1</v>
      </c>
      <c r="H186" s="1732">
        <v>1</v>
      </c>
      <c r="I186" s="1732">
        <v>1</v>
      </c>
      <c r="J186" s="1733">
        <f t="shared" si="25"/>
        <v>4</v>
      </c>
      <c r="K186" s="1733">
        <f t="shared" si="26"/>
        <v>3</v>
      </c>
      <c r="L186" s="1732">
        <f t="shared" si="27"/>
        <v>150</v>
      </c>
      <c r="M186" s="955" t="s">
        <v>3825</v>
      </c>
      <c r="N186" s="955" t="s">
        <v>3826</v>
      </c>
    </row>
    <row r="187" spans="1:14" x14ac:dyDescent="0.4">
      <c r="A187" s="1034">
        <v>202897</v>
      </c>
      <c r="B187" s="1034">
        <v>45</v>
      </c>
      <c r="C187" s="1034">
        <f t="shared" si="24"/>
        <v>225</v>
      </c>
      <c r="D187" s="1035">
        <v>0</v>
      </c>
      <c r="E187" s="1035">
        <v>0</v>
      </c>
      <c r="F187" s="1035">
        <v>0</v>
      </c>
      <c r="G187" s="1035">
        <v>0</v>
      </c>
      <c r="H187" s="1035">
        <v>0</v>
      </c>
      <c r="I187" s="1035">
        <v>0</v>
      </c>
      <c r="J187" s="1036">
        <f t="shared" si="25"/>
        <v>0</v>
      </c>
      <c r="K187" s="1036">
        <f t="shared" si="26"/>
        <v>0</v>
      </c>
      <c r="L187" s="1035">
        <f t="shared" si="27"/>
        <v>0</v>
      </c>
      <c r="M187" s="1957" t="s">
        <v>3827</v>
      </c>
      <c r="N187" s="1957" t="s">
        <v>3828</v>
      </c>
    </row>
    <row r="188" spans="1:14" x14ac:dyDescent="0.4">
      <c r="A188" s="36">
        <v>202898</v>
      </c>
      <c r="B188">
        <v>45</v>
      </c>
      <c r="C188" s="36">
        <f t="shared" si="24"/>
        <v>225</v>
      </c>
      <c r="D188" s="1732">
        <v>0</v>
      </c>
      <c r="E188" s="1732">
        <v>0</v>
      </c>
      <c r="F188" s="1732">
        <v>0</v>
      </c>
      <c r="G188" s="1732">
        <v>1</v>
      </c>
      <c r="H188" s="1732">
        <v>1</v>
      </c>
      <c r="I188" s="1732">
        <v>1</v>
      </c>
      <c r="J188" s="1733">
        <f t="shared" si="25"/>
        <v>3</v>
      </c>
      <c r="K188" s="1733">
        <f t="shared" si="26"/>
        <v>2</v>
      </c>
      <c r="L188" s="1732">
        <f t="shared" si="27"/>
        <v>90</v>
      </c>
      <c r="M188" s="955" t="s">
        <v>3827</v>
      </c>
      <c r="N188" s="955" t="s">
        <v>3828</v>
      </c>
    </row>
    <row r="189" spans="1:14" x14ac:dyDescent="0.4">
      <c r="A189" s="36">
        <v>202899</v>
      </c>
      <c r="B189">
        <v>45</v>
      </c>
      <c r="C189" s="36">
        <f t="shared" si="24"/>
        <v>225</v>
      </c>
      <c r="D189" s="1732">
        <v>0</v>
      </c>
      <c r="E189" s="1732">
        <v>0</v>
      </c>
      <c r="F189" s="1732">
        <v>0</v>
      </c>
      <c r="G189" s="1732">
        <v>0</v>
      </c>
      <c r="H189" s="1732">
        <v>0</v>
      </c>
      <c r="I189" s="1732">
        <v>1</v>
      </c>
      <c r="J189" s="1733">
        <f t="shared" si="25"/>
        <v>1</v>
      </c>
      <c r="K189" s="1733">
        <f t="shared" si="26"/>
        <v>0</v>
      </c>
      <c r="L189" s="1732">
        <f t="shared" si="27"/>
        <v>0</v>
      </c>
      <c r="M189" s="955" t="s">
        <v>3829</v>
      </c>
      <c r="N189" s="955" t="s">
        <v>3830</v>
      </c>
    </row>
    <row r="190" spans="1:14" x14ac:dyDescent="0.4">
      <c r="A190" s="36">
        <v>202900</v>
      </c>
      <c r="B190">
        <v>50</v>
      </c>
      <c r="C190" s="36">
        <f t="shared" si="24"/>
        <v>250</v>
      </c>
      <c r="D190" s="1732">
        <v>0</v>
      </c>
      <c r="E190" s="1732">
        <v>1</v>
      </c>
      <c r="F190" s="1732">
        <v>1</v>
      </c>
      <c r="G190" s="1732">
        <v>1</v>
      </c>
      <c r="H190" s="1732">
        <v>1</v>
      </c>
      <c r="I190" s="1732">
        <v>1</v>
      </c>
      <c r="J190" s="1733">
        <f t="shared" si="25"/>
        <v>5</v>
      </c>
      <c r="K190" s="1733">
        <f t="shared" si="26"/>
        <v>4</v>
      </c>
      <c r="L190" s="1732">
        <f t="shared" si="27"/>
        <v>200</v>
      </c>
      <c r="M190" s="955" t="s">
        <v>3833</v>
      </c>
      <c r="N190" s="955" t="s">
        <v>3834</v>
      </c>
    </row>
    <row r="191" spans="1:14" x14ac:dyDescent="0.4">
      <c r="A191" s="5">
        <v>202901</v>
      </c>
      <c r="B191" s="5">
        <v>60</v>
      </c>
      <c r="C191" s="5">
        <f t="shared" si="24"/>
        <v>300</v>
      </c>
      <c r="D191" s="1928">
        <v>0</v>
      </c>
      <c r="E191" s="1928">
        <v>0</v>
      </c>
      <c r="F191" s="1928">
        <v>0</v>
      </c>
      <c r="G191" s="1928">
        <v>0</v>
      </c>
      <c r="H191" s="1928">
        <v>0</v>
      </c>
      <c r="I191" s="1928">
        <v>0</v>
      </c>
      <c r="J191" s="1929">
        <f t="shared" si="25"/>
        <v>0</v>
      </c>
      <c r="K191" s="1929">
        <f t="shared" si="26"/>
        <v>0</v>
      </c>
      <c r="L191" s="1928">
        <f t="shared" si="27"/>
        <v>0</v>
      </c>
      <c r="M191" s="1930" t="s">
        <v>3835</v>
      </c>
      <c r="N191" s="1930" t="s">
        <v>3836</v>
      </c>
    </row>
    <row r="192" spans="1:14" x14ac:dyDescent="0.4">
      <c r="A192" s="36">
        <v>202902</v>
      </c>
      <c r="B192">
        <v>45</v>
      </c>
      <c r="C192" s="36">
        <f t="shared" si="24"/>
        <v>225</v>
      </c>
      <c r="D192" s="1732">
        <v>0</v>
      </c>
      <c r="E192" s="1732">
        <v>0</v>
      </c>
      <c r="F192" s="1732">
        <v>1</v>
      </c>
      <c r="G192" s="1732">
        <v>1</v>
      </c>
      <c r="H192" s="1732">
        <v>1</v>
      </c>
      <c r="I192" s="1732">
        <v>1</v>
      </c>
      <c r="J192" s="1733">
        <f t="shared" si="25"/>
        <v>4</v>
      </c>
      <c r="K192" s="1733">
        <f t="shared" si="26"/>
        <v>3</v>
      </c>
      <c r="L192" s="1732">
        <f t="shared" si="27"/>
        <v>135</v>
      </c>
      <c r="M192" s="955" t="s">
        <v>3835</v>
      </c>
      <c r="N192" s="955" t="s">
        <v>3836</v>
      </c>
    </row>
    <row r="193" spans="1:25" x14ac:dyDescent="0.4">
      <c r="A193" s="36">
        <v>202903</v>
      </c>
      <c r="B193">
        <v>45</v>
      </c>
      <c r="C193" s="36">
        <f t="shared" si="24"/>
        <v>225</v>
      </c>
      <c r="D193" s="1732">
        <v>1</v>
      </c>
      <c r="E193" s="1732">
        <v>1</v>
      </c>
      <c r="F193" s="1732">
        <v>1</v>
      </c>
      <c r="G193" s="1732">
        <v>1</v>
      </c>
      <c r="H193" s="1732">
        <v>1</v>
      </c>
      <c r="I193" s="1732">
        <v>1</v>
      </c>
      <c r="J193" s="1733">
        <f t="shared" si="25"/>
        <v>6</v>
      </c>
      <c r="K193" s="1733">
        <f t="shared" si="26"/>
        <v>5</v>
      </c>
      <c r="L193" s="1732">
        <f t="shared" si="27"/>
        <v>225</v>
      </c>
      <c r="M193" s="955" t="s">
        <v>3839</v>
      </c>
      <c r="N193" s="955" t="s">
        <v>3840</v>
      </c>
    </row>
    <row r="194" spans="1:25" x14ac:dyDescent="0.4">
      <c r="A194" s="36">
        <v>202904</v>
      </c>
      <c r="B194">
        <v>45</v>
      </c>
      <c r="C194" s="36">
        <f t="shared" si="24"/>
        <v>225</v>
      </c>
      <c r="D194" s="1732">
        <v>0</v>
      </c>
      <c r="E194" s="1732">
        <v>0</v>
      </c>
      <c r="F194" s="1732">
        <v>0</v>
      </c>
      <c r="G194" s="1732">
        <v>1</v>
      </c>
      <c r="H194" s="1732">
        <v>1</v>
      </c>
      <c r="I194" s="1732">
        <v>1</v>
      </c>
      <c r="J194" s="1733">
        <f t="shared" si="25"/>
        <v>3</v>
      </c>
      <c r="K194" s="1733">
        <f t="shared" si="26"/>
        <v>2</v>
      </c>
      <c r="L194" s="1732">
        <f t="shared" si="27"/>
        <v>90</v>
      </c>
      <c r="M194" s="955" t="s">
        <v>3839</v>
      </c>
      <c r="N194" s="955" t="s">
        <v>3840</v>
      </c>
    </row>
    <row r="195" spans="1:25" x14ac:dyDescent="0.4">
      <c r="A195" s="22">
        <v>202905</v>
      </c>
      <c r="B195" s="22">
        <v>60</v>
      </c>
      <c r="C195" s="22">
        <f t="shared" si="24"/>
        <v>300</v>
      </c>
      <c r="D195" s="557">
        <v>0</v>
      </c>
      <c r="E195" s="557">
        <v>0</v>
      </c>
      <c r="F195" s="557">
        <v>0</v>
      </c>
      <c r="G195" s="557">
        <v>0</v>
      </c>
      <c r="H195" s="557">
        <v>0</v>
      </c>
      <c r="I195" s="557">
        <v>0</v>
      </c>
      <c r="J195" s="24">
        <f t="shared" si="25"/>
        <v>0</v>
      </c>
      <c r="K195" s="24">
        <f t="shared" si="26"/>
        <v>0</v>
      </c>
      <c r="L195" s="557">
        <f t="shared" si="27"/>
        <v>0</v>
      </c>
      <c r="M195" s="29" t="s">
        <v>3838</v>
      </c>
      <c r="N195" s="29" t="s">
        <v>3837</v>
      </c>
    </row>
    <row r="196" spans="1:25" x14ac:dyDescent="0.4">
      <c r="A196" s="36">
        <v>202906</v>
      </c>
      <c r="B196">
        <v>45</v>
      </c>
      <c r="C196" s="36">
        <f t="shared" si="24"/>
        <v>225</v>
      </c>
      <c r="D196" s="1732">
        <v>0</v>
      </c>
      <c r="E196" s="1732">
        <v>0</v>
      </c>
      <c r="F196" s="1732">
        <v>0</v>
      </c>
      <c r="G196" s="1732">
        <v>0</v>
      </c>
      <c r="H196" s="1732">
        <v>1</v>
      </c>
      <c r="I196" s="1732">
        <v>1</v>
      </c>
      <c r="J196" s="1733">
        <f t="shared" si="25"/>
        <v>2</v>
      </c>
      <c r="K196" s="1733">
        <f t="shared" si="26"/>
        <v>1</v>
      </c>
      <c r="L196" s="1732">
        <f t="shared" si="27"/>
        <v>45</v>
      </c>
      <c r="M196" s="955" t="s">
        <v>3841</v>
      </c>
      <c r="N196" s="955" t="s">
        <v>3842</v>
      </c>
    </row>
    <row r="197" spans="1:25" x14ac:dyDescent="0.4">
      <c r="A197" s="5">
        <v>202907</v>
      </c>
      <c r="B197" s="5">
        <v>55</v>
      </c>
      <c r="C197" s="5">
        <f t="shared" si="24"/>
        <v>275</v>
      </c>
      <c r="D197" s="1928">
        <v>0</v>
      </c>
      <c r="E197" s="1928">
        <v>0</v>
      </c>
      <c r="F197" s="1928">
        <v>0</v>
      </c>
      <c r="G197" s="1928">
        <v>0</v>
      </c>
      <c r="H197" s="1928">
        <v>0</v>
      </c>
      <c r="I197" s="1928">
        <v>0</v>
      </c>
      <c r="J197" s="1929">
        <f t="shared" si="25"/>
        <v>0</v>
      </c>
      <c r="K197" s="1929">
        <f t="shared" si="26"/>
        <v>0</v>
      </c>
      <c r="L197" s="1928">
        <f t="shared" si="27"/>
        <v>0</v>
      </c>
      <c r="M197" s="1930" t="s">
        <v>3841</v>
      </c>
      <c r="N197" s="1930" t="s">
        <v>3842</v>
      </c>
    </row>
    <row r="198" spans="1:25" x14ac:dyDescent="0.4">
      <c r="A198" s="36">
        <v>202908</v>
      </c>
      <c r="B198">
        <v>45</v>
      </c>
      <c r="C198" s="36">
        <f t="shared" si="24"/>
        <v>225</v>
      </c>
      <c r="D198" s="1732">
        <v>0</v>
      </c>
      <c r="E198" s="1732">
        <v>0</v>
      </c>
      <c r="F198" s="1732">
        <v>0</v>
      </c>
      <c r="G198" s="1732">
        <v>0</v>
      </c>
      <c r="H198" s="1732">
        <v>1</v>
      </c>
      <c r="I198" s="1732">
        <v>1</v>
      </c>
      <c r="J198" s="1733">
        <f t="shared" si="25"/>
        <v>2</v>
      </c>
      <c r="K198" s="1733">
        <f t="shared" si="26"/>
        <v>1</v>
      </c>
      <c r="L198" s="1732">
        <f t="shared" si="27"/>
        <v>45</v>
      </c>
      <c r="M198" s="955" t="s">
        <v>3841</v>
      </c>
      <c r="N198" s="955" t="s">
        <v>3842</v>
      </c>
    </row>
    <row r="199" spans="1:25" x14ac:dyDescent="0.4">
      <c r="A199" s="36">
        <v>202909</v>
      </c>
      <c r="B199">
        <v>45</v>
      </c>
      <c r="C199" s="36">
        <f t="shared" si="24"/>
        <v>225</v>
      </c>
      <c r="D199" s="1732">
        <v>0</v>
      </c>
      <c r="E199" s="1732">
        <v>0</v>
      </c>
      <c r="F199" s="1732">
        <v>0</v>
      </c>
      <c r="G199" s="1732">
        <v>0</v>
      </c>
      <c r="H199" s="1732">
        <v>0</v>
      </c>
      <c r="I199" s="1732">
        <v>1</v>
      </c>
      <c r="J199" s="1733">
        <f t="shared" si="25"/>
        <v>1</v>
      </c>
      <c r="K199" s="1733">
        <f t="shared" si="26"/>
        <v>0</v>
      </c>
      <c r="L199" s="1732">
        <f t="shared" si="27"/>
        <v>0</v>
      </c>
      <c r="M199" s="955" t="s">
        <v>3843</v>
      </c>
      <c r="N199" s="955" t="s">
        <v>3844</v>
      </c>
    </row>
    <row r="200" spans="1:25" x14ac:dyDescent="0.4">
      <c r="A200" s="123">
        <v>202910</v>
      </c>
      <c r="B200" s="123"/>
      <c r="C200" s="123">
        <f t="shared" ref="C200:C229" si="28">SUM(B200*5)</f>
        <v>0</v>
      </c>
      <c r="D200" s="1788">
        <v>1</v>
      </c>
      <c r="E200" s="1788">
        <v>1</v>
      </c>
      <c r="F200" s="1788">
        <v>1</v>
      </c>
      <c r="G200" s="1788">
        <v>1</v>
      </c>
      <c r="H200" s="1788">
        <v>1</v>
      </c>
      <c r="I200" s="1788">
        <v>1</v>
      </c>
      <c r="J200" s="253">
        <f t="shared" ref="J200:J229" si="29">SUM(D200:I200)</f>
        <v>6</v>
      </c>
      <c r="K200" s="253">
        <f t="shared" ref="K200:K229" si="30">SUM(D200:H200)</f>
        <v>5</v>
      </c>
      <c r="L200" s="1788">
        <f t="shared" ref="L200:L229" si="31">B200*K200</f>
        <v>0</v>
      </c>
      <c r="M200" s="1789" t="s">
        <v>3846</v>
      </c>
      <c r="N200" s="123"/>
      <c r="O200" t="s">
        <v>3845</v>
      </c>
      <c r="Q200" s="16" t="s">
        <v>3761</v>
      </c>
      <c r="R200" s="30" t="s">
        <v>3762</v>
      </c>
      <c r="S200" s="16">
        <v>60</v>
      </c>
      <c r="T200" s="16">
        <f>SUM(S200*1)</f>
        <v>60</v>
      </c>
      <c r="U200" s="1791">
        <v>0</v>
      </c>
      <c r="V200" s="1792">
        <f>SUM(U200:U200)</f>
        <v>0</v>
      </c>
      <c r="W200" s="1792">
        <f>SUM(U200:U200)</f>
        <v>0</v>
      </c>
      <c r="X200" s="1791">
        <f>S200*W200</f>
        <v>0</v>
      </c>
      <c r="Y200" t="s">
        <v>3822</v>
      </c>
    </row>
    <row r="201" spans="1:25" x14ac:dyDescent="0.4">
      <c r="A201" s="1960">
        <v>202911</v>
      </c>
      <c r="B201" s="1960">
        <v>60</v>
      </c>
      <c r="C201" s="1960">
        <f t="shared" si="28"/>
        <v>300</v>
      </c>
      <c r="D201" s="1961">
        <v>0</v>
      </c>
      <c r="E201" s="1961">
        <v>0</v>
      </c>
      <c r="F201" s="1961">
        <v>0</v>
      </c>
      <c r="G201" s="1961">
        <v>0</v>
      </c>
      <c r="H201" s="1961">
        <v>0</v>
      </c>
      <c r="I201" s="1961">
        <v>1</v>
      </c>
      <c r="J201" s="1962">
        <f t="shared" si="29"/>
        <v>1</v>
      </c>
      <c r="K201" s="1962">
        <f t="shared" si="30"/>
        <v>0</v>
      </c>
      <c r="L201" s="1961">
        <f t="shared" si="31"/>
        <v>0</v>
      </c>
      <c r="M201" s="1963" t="s">
        <v>3847</v>
      </c>
      <c r="N201" s="1963" t="s">
        <v>3848</v>
      </c>
      <c r="Q201" s="1137"/>
      <c r="R201" s="1756" t="s">
        <v>3763</v>
      </c>
      <c r="S201" s="1137">
        <v>60</v>
      </c>
      <c r="T201" s="1137">
        <f t="shared" ref="T201:T259" si="32">SUM(S201*1)</f>
        <v>60</v>
      </c>
      <c r="U201" s="1138">
        <v>1</v>
      </c>
      <c r="V201" s="1139">
        <f t="shared" ref="V201:V259" si="33">SUM(U201:U201)</f>
        <v>1</v>
      </c>
      <c r="W201" s="1139">
        <f t="shared" ref="W201:W249" si="34">SUM(U201:U201)</f>
        <v>1</v>
      </c>
      <c r="X201" s="1138">
        <f t="shared" ref="X201:X259" si="35">S201*W201</f>
        <v>60</v>
      </c>
    </row>
    <row r="202" spans="1:25" x14ac:dyDescent="0.4">
      <c r="A202" s="1960">
        <v>202912</v>
      </c>
      <c r="B202" s="1960">
        <v>60</v>
      </c>
      <c r="C202" s="1960">
        <f t="shared" si="28"/>
        <v>300</v>
      </c>
      <c r="D202" s="1961">
        <v>0</v>
      </c>
      <c r="E202" s="1961">
        <v>0</v>
      </c>
      <c r="F202" s="1961">
        <v>0</v>
      </c>
      <c r="G202" s="1961">
        <v>0</v>
      </c>
      <c r="H202" s="1961">
        <v>0</v>
      </c>
      <c r="I202" s="1961">
        <v>0</v>
      </c>
      <c r="J202" s="1962">
        <f t="shared" si="29"/>
        <v>0</v>
      </c>
      <c r="K202" s="1962">
        <f t="shared" si="30"/>
        <v>0</v>
      </c>
      <c r="L202" s="1961">
        <f t="shared" si="31"/>
        <v>0</v>
      </c>
      <c r="M202" s="1963" t="s">
        <v>3847</v>
      </c>
      <c r="N202" s="1963" t="s">
        <v>3848</v>
      </c>
      <c r="Q202" s="1137"/>
      <c r="R202" s="1756" t="s">
        <v>3764</v>
      </c>
      <c r="S202" s="1137">
        <v>60</v>
      </c>
      <c r="T202" s="1137">
        <f t="shared" si="32"/>
        <v>60</v>
      </c>
      <c r="U202" s="1138">
        <v>1</v>
      </c>
      <c r="V202" s="1139">
        <f t="shared" si="33"/>
        <v>1</v>
      </c>
      <c r="W202" s="1139">
        <f t="shared" si="34"/>
        <v>1</v>
      </c>
      <c r="X202" s="1138">
        <f t="shared" si="35"/>
        <v>60</v>
      </c>
    </row>
    <row r="203" spans="1:25" x14ac:dyDescent="0.4">
      <c r="A203" s="5">
        <v>202913</v>
      </c>
      <c r="B203" s="5">
        <v>45</v>
      </c>
      <c r="C203" s="5">
        <f t="shared" si="28"/>
        <v>225</v>
      </c>
      <c r="D203" s="1928">
        <v>0</v>
      </c>
      <c r="E203" s="1928">
        <v>0</v>
      </c>
      <c r="F203" s="1928">
        <v>0</v>
      </c>
      <c r="G203" s="1928">
        <v>0</v>
      </c>
      <c r="H203" s="1928">
        <v>0</v>
      </c>
      <c r="I203" s="1928">
        <v>0</v>
      </c>
      <c r="J203" s="1929">
        <f t="shared" si="29"/>
        <v>0</v>
      </c>
      <c r="K203" s="1929">
        <f t="shared" si="30"/>
        <v>0</v>
      </c>
      <c r="L203" s="1928">
        <f t="shared" si="31"/>
        <v>0</v>
      </c>
      <c r="M203" s="1930" t="s">
        <v>3849</v>
      </c>
      <c r="N203" s="1930" t="s">
        <v>3850</v>
      </c>
      <c r="Q203" s="18"/>
      <c r="R203" s="67" t="s">
        <v>3765</v>
      </c>
      <c r="S203" s="18">
        <v>60</v>
      </c>
      <c r="T203" s="18">
        <f t="shared" si="32"/>
        <v>60</v>
      </c>
      <c r="U203" s="1938">
        <v>0</v>
      </c>
      <c r="V203" s="28">
        <f t="shared" si="33"/>
        <v>0</v>
      </c>
      <c r="W203" s="28">
        <f t="shared" si="34"/>
        <v>0</v>
      </c>
      <c r="X203" s="1938">
        <f t="shared" si="35"/>
        <v>0</v>
      </c>
    </row>
    <row r="204" spans="1:25" x14ac:dyDescent="0.4">
      <c r="A204" s="36">
        <v>202914</v>
      </c>
      <c r="B204">
        <v>45</v>
      </c>
      <c r="C204" s="36">
        <f t="shared" si="28"/>
        <v>225</v>
      </c>
      <c r="D204" s="1784">
        <v>0</v>
      </c>
      <c r="E204" s="1784">
        <v>0</v>
      </c>
      <c r="F204" s="1784">
        <v>1</v>
      </c>
      <c r="G204" s="1784">
        <v>1</v>
      </c>
      <c r="H204" s="1784">
        <v>1</v>
      </c>
      <c r="I204" s="1784">
        <v>1</v>
      </c>
      <c r="J204" s="1785">
        <f t="shared" si="29"/>
        <v>4</v>
      </c>
      <c r="K204" s="1785">
        <f t="shared" si="30"/>
        <v>3</v>
      </c>
      <c r="L204" s="1784">
        <f t="shared" si="31"/>
        <v>135</v>
      </c>
      <c r="M204" s="955" t="s">
        <v>3851</v>
      </c>
      <c r="N204" s="955" t="s">
        <v>3852</v>
      </c>
      <c r="Q204" s="18"/>
      <c r="R204" s="67" t="s">
        <v>3766</v>
      </c>
      <c r="S204" s="18">
        <v>60</v>
      </c>
      <c r="T204" s="18">
        <f t="shared" si="32"/>
        <v>60</v>
      </c>
      <c r="U204" s="1938">
        <v>0</v>
      </c>
      <c r="V204" s="28">
        <f t="shared" si="33"/>
        <v>0</v>
      </c>
      <c r="W204" s="28">
        <f t="shared" si="34"/>
        <v>0</v>
      </c>
      <c r="X204" s="1938">
        <f t="shared" si="35"/>
        <v>0</v>
      </c>
    </row>
    <row r="205" spans="1:25" x14ac:dyDescent="0.4">
      <c r="A205" s="36">
        <v>202915</v>
      </c>
      <c r="B205">
        <v>60</v>
      </c>
      <c r="C205" s="36">
        <f t="shared" si="28"/>
        <v>300</v>
      </c>
      <c r="D205" s="1784">
        <v>0</v>
      </c>
      <c r="E205" s="1784">
        <v>0</v>
      </c>
      <c r="F205" s="1784">
        <v>0</v>
      </c>
      <c r="G205" s="1784">
        <v>0</v>
      </c>
      <c r="H205" s="1784">
        <v>1</v>
      </c>
      <c r="I205" s="1784">
        <v>1</v>
      </c>
      <c r="J205" s="1785">
        <f t="shared" si="29"/>
        <v>2</v>
      </c>
      <c r="K205" s="1785">
        <f t="shared" si="30"/>
        <v>1</v>
      </c>
      <c r="L205" s="1784">
        <f t="shared" si="31"/>
        <v>60</v>
      </c>
      <c r="M205" s="955" t="s">
        <v>3853</v>
      </c>
      <c r="N205" s="955" t="s">
        <v>3854</v>
      </c>
      <c r="Q205" s="18"/>
      <c r="R205" s="67" t="s">
        <v>3767</v>
      </c>
      <c r="S205" s="18">
        <v>60</v>
      </c>
      <c r="T205" s="18">
        <f t="shared" si="32"/>
        <v>60</v>
      </c>
      <c r="U205" s="1938">
        <v>0</v>
      </c>
      <c r="V205" s="28">
        <f t="shared" si="33"/>
        <v>0</v>
      </c>
      <c r="W205" s="28">
        <f t="shared" si="34"/>
        <v>0</v>
      </c>
      <c r="X205" s="1938">
        <f t="shared" si="35"/>
        <v>0</v>
      </c>
    </row>
    <row r="206" spans="1:25" x14ac:dyDescent="0.4">
      <c r="A206" s="36">
        <v>202916</v>
      </c>
      <c r="B206">
        <v>45</v>
      </c>
      <c r="C206" s="36">
        <f t="shared" si="28"/>
        <v>225</v>
      </c>
      <c r="D206" s="1784">
        <v>0</v>
      </c>
      <c r="E206" s="1784">
        <v>0</v>
      </c>
      <c r="F206" s="1784">
        <v>0</v>
      </c>
      <c r="G206" s="1784">
        <v>0</v>
      </c>
      <c r="H206" s="1784">
        <v>1</v>
      </c>
      <c r="I206" s="1784">
        <v>1</v>
      </c>
      <c r="J206" s="1785">
        <f t="shared" si="29"/>
        <v>2</v>
      </c>
      <c r="K206" s="1785">
        <f t="shared" si="30"/>
        <v>1</v>
      </c>
      <c r="L206" s="1784">
        <f t="shared" si="31"/>
        <v>45</v>
      </c>
      <c r="M206" s="955" t="s">
        <v>2642</v>
      </c>
      <c r="N206" s="955" t="s">
        <v>3273</v>
      </c>
      <c r="Q206" s="18"/>
      <c r="R206" s="67" t="s">
        <v>3768</v>
      </c>
      <c r="S206" s="18">
        <v>60</v>
      </c>
      <c r="T206" s="18">
        <f t="shared" si="32"/>
        <v>60</v>
      </c>
      <c r="U206" s="1938">
        <v>0</v>
      </c>
      <c r="V206" s="28">
        <f t="shared" si="33"/>
        <v>0</v>
      </c>
      <c r="W206" s="28">
        <f t="shared" si="34"/>
        <v>0</v>
      </c>
      <c r="X206" s="1938">
        <f t="shared" si="35"/>
        <v>0</v>
      </c>
    </row>
    <row r="207" spans="1:25" x14ac:dyDescent="0.4">
      <c r="A207" s="36">
        <v>202917</v>
      </c>
      <c r="B207">
        <v>60</v>
      </c>
      <c r="C207" s="36">
        <f t="shared" si="28"/>
        <v>300</v>
      </c>
      <c r="D207" s="1784">
        <v>0</v>
      </c>
      <c r="E207" s="1784">
        <v>0</v>
      </c>
      <c r="F207" s="1784">
        <v>0</v>
      </c>
      <c r="G207" s="1784">
        <v>0</v>
      </c>
      <c r="H207" s="1784">
        <v>1</v>
      </c>
      <c r="I207" s="1784">
        <v>1</v>
      </c>
      <c r="J207" s="1785">
        <f t="shared" si="29"/>
        <v>2</v>
      </c>
      <c r="K207" s="1785">
        <f t="shared" si="30"/>
        <v>1</v>
      </c>
      <c r="L207" s="1784">
        <f t="shared" si="31"/>
        <v>60</v>
      </c>
      <c r="M207" s="955" t="s">
        <v>2645</v>
      </c>
      <c r="N207" s="955" t="s">
        <v>3275</v>
      </c>
      <c r="Q207" s="18"/>
      <c r="R207" s="67" t="s">
        <v>3769</v>
      </c>
      <c r="S207" s="18">
        <v>60</v>
      </c>
      <c r="T207" s="18">
        <f t="shared" si="32"/>
        <v>60</v>
      </c>
      <c r="U207" s="1938">
        <v>0</v>
      </c>
      <c r="V207" s="28">
        <f t="shared" si="33"/>
        <v>0</v>
      </c>
      <c r="W207" s="28">
        <f t="shared" si="34"/>
        <v>0</v>
      </c>
      <c r="X207" s="1938">
        <f t="shared" si="35"/>
        <v>0</v>
      </c>
    </row>
    <row r="208" spans="1:25" x14ac:dyDescent="0.4">
      <c r="A208" s="36">
        <v>202918</v>
      </c>
      <c r="B208">
        <v>60</v>
      </c>
      <c r="C208" s="36">
        <f t="shared" si="28"/>
        <v>300</v>
      </c>
      <c r="D208" s="1784">
        <v>0</v>
      </c>
      <c r="E208" s="1784">
        <v>0</v>
      </c>
      <c r="F208" s="1784">
        <v>0</v>
      </c>
      <c r="G208" s="1784">
        <v>0</v>
      </c>
      <c r="H208" s="1784">
        <v>1</v>
      </c>
      <c r="I208" s="1784">
        <v>1</v>
      </c>
      <c r="J208" s="1785">
        <f t="shared" si="29"/>
        <v>2</v>
      </c>
      <c r="K208" s="1785">
        <f t="shared" si="30"/>
        <v>1</v>
      </c>
      <c r="L208" s="1784">
        <f t="shared" si="31"/>
        <v>60</v>
      </c>
      <c r="M208" s="955" t="s">
        <v>2656</v>
      </c>
      <c r="N208" s="955" t="s">
        <v>3277</v>
      </c>
      <c r="Q208" s="18"/>
      <c r="R208" s="67" t="s">
        <v>3770</v>
      </c>
      <c r="S208" s="18">
        <v>60</v>
      </c>
      <c r="T208" s="18">
        <f t="shared" si="32"/>
        <v>60</v>
      </c>
      <c r="U208" s="1938">
        <v>0</v>
      </c>
      <c r="V208" s="28">
        <f t="shared" si="33"/>
        <v>0</v>
      </c>
      <c r="W208" s="28">
        <f t="shared" si="34"/>
        <v>0</v>
      </c>
      <c r="X208" s="1938">
        <f t="shared" si="35"/>
        <v>0</v>
      </c>
    </row>
    <row r="209" spans="1:24" x14ac:dyDescent="0.4">
      <c r="A209" s="36">
        <v>202919</v>
      </c>
      <c r="B209">
        <v>60</v>
      </c>
      <c r="C209" s="36">
        <f t="shared" si="28"/>
        <v>300</v>
      </c>
      <c r="D209" s="1784">
        <v>0</v>
      </c>
      <c r="E209" s="1784">
        <v>0</v>
      </c>
      <c r="F209" s="1784">
        <v>0</v>
      </c>
      <c r="G209" s="1784">
        <v>0</v>
      </c>
      <c r="H209" s="1784">
        <v>1</v>
      </c>
      <c r="I209" s="1784">
        <v>1</v>
      </c>
      <c r="J209" s="1785">
        <f t="shared" si="29"/>
        <v>2</v>
      </c>
      <c r="K209" s="1785">
        <f t="shared" si="30"/>
        <v>1</v>
      </c>
      <c r="L209" s="1784">
        <f t="shared" si="31"/>
        <v>60</v>
      </c>
      <c r="M209" s="955" t="s">
        <v>2647</v>
      </c>
      <c r="N209" s="955" t="s">
        <v>3855</v>
      </c>
      <c r="Q209" s="1137"/>
      <c r="R209" s="1756" t="s">
        <v>3771</v>
      </c>
      <c r="S209" s="1137">
        <v>60</v>
      </c>
      <c r="T209" s="1137">
        <f t="shared" si="32"/>
        <v>60</v>
      </c>
      <c r="U209" s="1138">
        <v>1</v>
      </c>
      <c r="V209" s="1139">
        <f t="shared" si="33"/>
        <v>1</v>
      </c>
      <c r="W209" s="1139">
        <f t="shared" si="34"/>
        <v>1</v>
      </c>
      <c r="X209" s="1138">
        <f t="shared" si="35"/>
        <v>60</v>
      </c>
    </row>
    <row r="210" spans="1:24" x14ac:dyDescent="0.4">
      <c r="A210" s="36">
        <v>202920</v>
      </c>
      <c r="B210">
        <v>45</v>
      </c>
      <c r="C210" s="36">
        <f t="shared" si="28"/>
        <v>225</v>
      </c>
      <c r="D210" s="1784">
        <v>0</v>
      </c>
      <c r="E210" s="1784">
        <v>0</v>
      </c>
      <c r="F210" s="1784">
        <v>1</v>
      </c>
      <c r="G210" s="1784">
        <v>1</v>
      </c>
      <c r="H210" s="1784">
        <v>1</v>
      </c>
      <c r="I210" s="1784">
        <v>1</v>
      </c>
      <c r="J210" s="1785">
        <f t="shared" si="29"/>
        <v>4</v>
      </c>
      <c r="K210" s="1785">
        <f t="shared" si="30"/>
        <v>3</v>
      </c>
      <c r="L210" s="1784">
        <f t="shared" si="31"/>
        <v>135</v>
      </c>
      <c r="M210" s="955" t="s">
        <v>2650</v>
      </c>
      <c r="N210" s="955" t="s">
        <v>3280</v>
      </c>
      <c r="Q210" s="18"/>
      <c r="R210" s="67" t="s">
        <v>3772</v>
      </c>
      <c r="S210" s="18">
        <v>60</v>
      </c>
      <c r="T210" s="18">
        <f t="shared" si="32"/>
        <v>60</v>
      </c>
      <c r="U210" s="1938">
        <v>0</v>
      </c>
      <c r="V210" s="28">
        <f t="shared" si="33"/>
        <v>0</v>
      </c>
      <c r="W210" s="28">
        <f t="shared" si="34"/>
        <v>0</v>
      </c>
      <c r="X210" s="1938">
        <f t="shared" si="35"/>
        <v>0</v>
      </c>
    </row>
    <row r="211" spans="1:24" x14ac:dyDescent="0.4">
      <c r="A211" s="36">
        <v>202921</v>
      </c>
      <c r="B211">
        <v>50</v>
      </c>
      <c r="C211" s="36">
        <f t="shared" si="28"/>
        <v>250</v>
      </c>
      <c r="D211" s="1784">
        <v>0</v>
      </c>
      <c r="E211" s="1784">
        <v>0</v>
      </c>
      <c r="F211" s="1784">
        <v>0</v>
      </c>
      <c r="G211" s="1784">
        <v>1</v>
      </c>
      <c r="H211" s="1784">
        <v>1</v>
      </c>
      <c r="I211" s="1784">
        <v>1</v>
      </c>
      <c r="J211" s="1785">
        <f t="shared" si="29"/>
        <v>3</v>
      </c>
      <c r="K211" s="1785">
        <f t="shared" si="30"/>
        <v>2</v>
      </c>
      <c r="L211" s="1784">
        <f t="shared" si="31"/>
        <v>100</v>
      </c>
      <c r="M211" s="955" t="s">
        <v>2655</v>
      </c>
      <c r="N211" s="955" t="s">
        <v>3282</v>
      </c>
      <c r="Q211" s="18"/>
      <c r="R211" s="67" t="s">
        <v>3773</v>
      </c>
      <c r="S211" s="18">
        <v>60</v>
      </c>
      <c r="T211" s="18">
        <f t="shared" si="32"/>
        <v>60</v>
      </c>
      <c r="U211" s="1938">
        <v>0</v>
      </c>
      <c r="V211" s="28">
        <f t="shared" si="33"/>
        <v>0</v>
      </c>
      <c r="W211" s="28">
        <f t="shared" si="34"/>
        <v>0</v>
      </c>
      <c r="X211" s="1938">
        <f t="shared" si="35"/>
        <v>0</v>
      </c>
    </row>
    <row r="212" spans="1:24" x14ac:dyDescent="0.4">
      <c r="A212" s="36">
        <v>202922</v>
      </c>
      <c r="B212">
        <v>60</v>
      </c>
      <c r="C212" s="36">
        <f t="shared" si="28"/>
        <v>300</v>
      </c>
      <c r="D212" s="1784">
        <v>0</v>
      </c>
      <c r="E212" s="1784">
        <v>0</v>
      </c>
      <c r="F212" s="1784">
        <v>0</v>
      </c>
      <c r="G212" s="1784">
        <v>0</v>
      </c>
      <c r="H212" s="1784">
        <v>1</v>
      </c>
      <c r="I212" s="1784">
        <v>1</v>
      </c>
      <c r="J212" s="1785">
        <f t="shared" si="29"/>
        <v>2</v>
      </c>
      <c r="K212" s="1785">
        <f t="shared" si="30"/>
        <v>1</v>
      </c>
      <c r="L212" s="1784">
        <f t="shared" si="31"/>
        <v>60</v>
      </c>
      <c r="M212" s="955" t="s">
        <v>2673</v>
      </c>
      <c r="N212" s="955" t="s">
        <v>3284</v>
      </c>
      <c r="Q212" s="18"/>
      <c r="R212" s="67" t="s">
        <v>3774</v>
      </c>
      <c r="S212" s="18">
        <v>60</v>
      </c>
      <c r="T212" s="18">
        <f t="shared" si="32"/>
        <v>60</v>
      </c>
      <c r="U212" s="1965">
        <v>0</v>
      </c>
      <c r="V212" s="28">
        <f t="shared" si="33"/>
        <v>0</v>
      </c>
      <c r="W212" s="28">
        <f t="shared" si="34"/>
        <v>0</v>
      </c>
      <c r="X212" s="1965">
        <f t="shared" si="35"/>
        <v>0</v>
      </c>
    </row>
    <row r="213" spans="1:24" x14ac:dyDescent="0.4">
      <c r="A213" s="36">
        <v>202923</v>
      </c>
      <c r="B213">
        <v>60</v>
      </c>
      <c r="C213" s="36">
        <f t="shared" si="28"/>
        <v>300</v>
      </c>
      <c r="D213" s="1784">
        <v>0</v>
      </c>
      <c r="E213" s="1784">
        <v>0</v>
      </c>
      <c r="F213" s="1784">
        <v>0</v>
      </c>
      <c r="G213" s="1784">
        <v>0</v>
      </c>
      <c r="H213" s="1784">
        <v>1</v>
      </c>
      <c r="I213" s="1784">
        <v>1</v>
      </c>
      <c r="J213" s="1785">
        <f t="shared" si="29"/>
        <v>2</v>
      </c>
      <c r="K213" s="1785">
        <f t="shared" si="30"/>
        <v>1</v>
      </c>
      <c r="L213" s="1784">
        <f t="shared" si="31"/>
        <v>60</v>
      </c>
      <c r="M213" s="955" t="s">
        <v>2675</v>
      </c>
      <c r="N213" s="955" t="s">
        <v>3286</v>
      </c>
      <c r="Q213" s="18"/>
      <c r="R213" s="67" t="s">
        <v>3775</v>
      </c>
      <c r="S213" s="18">
        <v>60</v>
      </c>
      <c r="T213" s="18">
        <f t="shared" si="32"/>
        <v>60</v>
      </c>
      <c r="U213" s="1938">
        <v>0</v>
      </c>
      <c r="V213" s="28">
        <f t="shared" si="33"/>
        <v>0</v>
      </c>
      <c r="W213" s="28">
        <f t="shared" si="34"/>
        <v>0</v>
      </c>
      <c r="X213" s="1938">
        <f t="shared" si="35"/>
        <v>0</v>
      </c>
    </row>
    <row r="214" spans="1:24" x14ac:dyDescent="0.4">
      <c r="A214" s="36">
        <v>202924</v>
      </c>
      <c r="B214">
        <v>60</v>
      </c>
      <c r="C214" s="36">
        <f t="shared" si="28"/>
        <v>300</v>
      </c>
      <c r="D214" s="1784">
        <v>0</v>
      </c>
      <c r="E214" s="1784">
        <v>0</v>
      </c>
      <c r="F214" s="1784">
        <v>0</v>
      </c>
      <c r="G214" s="1784">
        <v>1</v>
      </c>
      <c r="H214" s="1784">
        <v>1</v>
      </c>
      <c r="I214" s="1784">
        <v>1</v>
      </c>
      <c r="J214" s="1785">
        <f t="shared" si="29"/>
        <v>3</v>
      </c>
      <c r="K214" s="1785">
        <f t="shared" si="30"/>
        <v>2</v>
      </c>
      <c r="L214" s="1784">
        <f t="shared" si="31"/>
        <v>120</v>
      </c>
      <c r="M214" s="955" t="s">
        <v>2679</v>
      </c>
      <c r="N214" s="955" t="s">
        <v>3856</v>
      </c>
      <c r="Q214" s="18"/>
      <c r="R214" s="67" t="s">
        <v>3776</v>
      </c>
      <c r="S214" s="18">
        <v>60</v>
      </c>
      <c r="T214" s="18">
        <f t="shared" si="32"/>
        <v>60</v>
      </c>
      <c r="U214" s="1938">
        <v>0</v>
      </c>
      <c r="V214" s="28">
        <f t="shared" si="33"/>
        <v>0</v>
      </c>
      <c r="W214" s="28">
        <f t="shared" si="34"/>
        <v>0</v>
      </c>
      <c r="X214" s="1938">
        <f t="shared" si="35"/>
        <v>0</v>
      </c>
    </row>
    <row r="215" spans="1:24" x14ac:dyDescent="0.4">
      <c r="A215" s="36">
        <v>202925</v>
      </c>
      <c r="B215">
        <v>60</v>
      </c>
      <c r="C215" s="36">
        <f t="shared" si="28"/>
        <v>300</v>
      </c>
      <c r="D215" s="1784">
        <v>0</v>
      </c>
      <c r="E215" s="1784">
        <v>0</v>
      </c>
      <c r="F215" s="1784">
        <v>0</v>
      </c>
      <c r="G215" s="1784">
        <v>0</v>
      </c>
      <c r="H215" s="1784">
        <v>0</v>
      </c>
      <c r="I215" s="1784">
        <v>1</v>
      </c>
      <c r="J215" s="1785">
        <f t="shared" si="29"/>
        <v>1</v>
      </c>
      <c r="K215" s="1785">
        <f t="shared" si="30"/>
        <v>0</v>
      </c>
      <c r="L215" s="1784">
        <f t="shared" si="31"/>
        <v>0</v>
      </c>
      <c r="M215" s="955" t="s">
        <v>2679</v>
      </c>
      <c r="N215" s="955" t="s">
        <v>3856</v>
      </c>
      <c r="Q215" s="1137"/>
      <c r="R215" s="1756" t="s">
        <v>3777</v>
      </c>
      <c r="S215" s="1137">
        <v>60</v>
      </c>
      <c r="T215" s="1137">
        <f t="shared" si="32"/>
        <v>60</v>
      </c>
      <c r="U215" s="1138">
        <v>1</v>
      </c>
      <c r="V215" s="1139">
        <f t="shared" si="33"/>
        <v>1</v>
      </c>
      <c r="W215" s="1139">
        <f t="shared" si="34"/>
        <v>1</v>
      </c>
      <c r="X215" s="1138">
        <f t="shared" si="35"/>
        <v>60</v>
      </c>
    </row>
    <row r="216" spans="1:24" x14ac:dyDescent="0.4">
      <c r="A216" s="36">
        <v>202926</v>
      </c>
      <c r="B216">
        <v>45</v>
      </c>
      <c r="C216" s="36">
        <f t="shared" si="28"/>
        <v>225</v>
      </c>
      <c r="D216" s="1784">
        <v>0</v>
      </c>
      <c r="E216" s="1784">
        <v>0</v>
      </c>
      <c r="F216" s="1784">
        <v>0</v>
      </c>
      <c r="G216" s="1784">
        <v>0</v>
      </c>
      <c r="H216" s="1784">
        <v>1</v>
      </c>
      <c r="I216" s="1784">
        <v>1</v>
      </c>
      <c r="J216" s="1785">
        <f t="shared" si="29"/>
        <v>2</v>
      </c>
      <c r="K216" s="1785">
        <f t="shared" si="30"/>
        <v>1</v>
      </c>
      <c r="L216" s="1784">
        <f t="shared" si="31"/>
        <v>45</v>
      </c>
      <c r="M216" s="955" t="s">
        <v>3858</v>
      </c>
      <c r="N216" s="955" t="s">
        <v>3292</v>
      </c>
      <c r="Q216" s="1137"/>
      <c r="R216" s="1756" t="s">
        <v>3778</v>
      </c>
      <c r="S216" s="1137">
        <v>60</v>
      </c>
      <c r="T216" s="1137">
        <f t="shared" si="32"/>
        <v>60</v>
      </c>
      <c r="U216" s="1138">
        <v>1</v>
      </c>
      <c r="V216" s="1139">
        <f t="shared" si="33"/>
        <v>1</v>
      </c>
      <c r="W216" s="1139">
        <f t="shared" si="34"/>
        <v>1</v>
      </c>
      <c r="X216" s="1138">
        <f t="shared" si="35"/>
        <v>60</v>
      </c>
    </row>
    <row r="217" spans="1:24" x14ac:dyDescent="0.4">
      <c r="A217" s="22">
        <v>202927</v>
      </c>
      <c r="B217" s="22">
        <v>45</v>
      </c>
      <c r="C217" s="22">
        <f t="shared" si="28"/>
        <v>225</v>
      </c>
      <c r="D217" s="557">
        <v>0</v>
      </c>
      <c r="E217" s="557">
        <v>0</v>
      </c>
      <c r="F217" s="557">
        <v>0</v>
      </c>
      <c r="G217" s="557">
        <v>0</v>
      </c>
      <c r="H217" s="557">
        <v>0</v>
      </c>
      <c r="I217" s="557">
        <v>0</v>
      </c>
      <c r="J217" s="24">
        <f t="shared" si="29"/>
        <v>0</v>
      </c>
      <c r="K217" s="24">
        <f t="shared" si="30"/>
        <v>0</v>
      </c>
      <c r="L217" s="557">
        <f t="shared" si="31"/>
        <v>0</v>
      </c>
      <c r="M217" s="29" t="s">
        <v>2683</v>
      </c>
      <c r="N217" s="29" t="s">
        <v>3857</v>
      </c>
      <c r="Q217" s="1137"/>
      <c r="R217" s="1756" t="s">
        <v>3779</v>
      </c>
      <c r="S217" s="1137">
        <v>60</v>
      </c>
      <c r="T217" s="1137">
        <f t="shared" si="32"/>
        <v>60</v>
      </c>
      <c r="U217" s="1138">
        <v>1</v>
      </c>
      <c r="V217" s="1139">
        <f t="shared" si="33"/>
        <v>1</v>
      </c>
      <c r="W217" s="1139">
        <f t="shared" si="34"/>
        <v>1</v>
      </c>
      <c r="X217" s="1138">
        <f t="shared" si="35"/>
        <v>60</v>
      </c>
    </row>
    <row r="218" spans="1:24" x14ac:dyDescent="0.4">
      <c r="A218" s="36">
        <v>202928</v>
      </c>
      <c r="B218">
        <v>60</v>
      </c>
      <c r="C218" s="36">
        <f t="shared" si="28"/>
        <v>300</v>
      </c>
      <c r="D218" s="1784">
        <v>0</v>
      </c>
      <c r="E218" s="1784">
        <v>0</v>
      </c>
      <c r="F218" s="1784">
        <v>0</v>
      </c>
      <c r="G218" s="1784">
        <v>0</v>
      </c>
      <c r="H218" s="1784">
        <v>0</v>
      </c>
      <c r="I218" s="1784">
        <v>1</v>
      </c>
      <c r="J218" s="1785">
        <f t="shared" si="29"/>
        <v>1</v>
      </c>
      <c r="K218" s="1785">
        <f t="shared" si="30"/>
        <v>0</v>
      </c>
      <c r="L218" s="1784">
        <f t="shared" si="31"/>
        <v>0</v>
      </c>
      <c r="M218" s="955" t="s">
        <v>2683</v>
      </c>
      <c r="N218" s="955" t="s">
        <v>3857</v>
      </c>
      <c r="Q218" s="18"/>
      <c r="R218" s="67" t="s">
        <v>3780</v>
      </c>
      <c r="S218" s="18">
        <v>60</v>
      </c>
      <c r="T218" s="18">
        <f t="shared" si="32"/>
        <v>60</v>
      </c>
      <c r="U218" s="1938">
        <v>0</v>
      </c>
      <c r="V218" s="28">
        <f t="shared" si="33"/>
        <v>0</v>
      </c>
      <c r="W218" s="28">
        <f t="shared" si="34"/>
        <v>0</v>
      </c>
      <c r="X218" s="1938">
        <f t="shared" si="35"/>
        <v>0</v>
      </c>
    </row>
    <row r="219" spans="1:24" x14ac:dyDescent="0.4">
      <c r="A219" s="36">
        <v>202929</v>
      </c>
      <c r="B219">
        <v>45</v>
      </c>
      <c r="C219" s="36">
        <f t="shared" si="28"/>
        <v>225</v>
      </c>
      <c r="D219" s="1784">
        <v>0</v>
      </c>
      <c r="E219" s="1784">
        <v>0</v>
      </c>
      <c r="F219" s="1784">
        <v>0</v>
      </c>
      <c r="G219" s="1784">
        <v>0</v>
      </c>
      <c r="H219" s="1784">
        <v>1</v>
      </c>
      <c r="I219" s="1784">
        <v>1</v>
      </c>
      <c r="J219" s="1785">
        <f t="shared" si="29"/>
        <v>2</v>
      </c>
      <c r="K219" s="1785">
        <f t="shared" si="30"/>
        <v>1</v>
      </c>
      <c r="L219" s="1784">
        <f t="shared" si="31"/>
        <v>45</v>
      </c>
      <c r="M219" s="955" t="s">
        <v>2687</v>
      </c>
      <c r="N219" s="955" t="s">
        <v>3296</v>
      </c>
      <c r="Q219" s="18"/>
      <c r="R219" s="67" t="s">
        <v>3781</v>
      </c>
      <c r="S219" s="18">
        <v>60</v>
      </c>
      <c r="T219" s="18">
        <f t="shared" si="32"/>
        <v>60</v>
      </c>
      <c r="U219" s="1987">
        <v>0</v>
      </c>
      <c r="V219" s="28">
        <f t="shared" si="33"/>
        <v>0</v>
      </c>
      <c r="W219" s="28">
        <f t="shared" si="34"/>
        <v>0</v>
      </c>
      <c r="X219" s="1987">
        <f t="shared" si="35"/>
        <v>0</v>
      </c>
    </row>
    <row r="220" spans="1:24" x14ac:dyDescent="0.4">
      <c r="A220" s="1">
        <v>202930</v>
      </c>
      <c r="B220" s="1">
        <v>45</v>
      </c>
      <c r="C220" s="1">
        <f t="shared" si="28"/>
        <v>225</v>
      </c>
      <c r="D220" s="2030">
        <v>0</v>
      </c>
      <c r="E220" s="2030">
        <v>0</v>
      </c>
      <c r="F220" s="2030">
        <v>0</v>
      </c>
      <c r="G220" s="2030">
        <v>0</v>
      </c>
      <c r="H220" s="2030">
        <v>0</v>
      </c>
      <c r="I220" s="2030">
        <v>0</v>
      </c>
      <c r="J220" s="2031">
        <f t="shared" si="29"/>
        <v>0</v>
      </c>
      <c r="K220" s="2031">
        <f t="shared" si="30"/>
        <v>0</v>
      </c>
      <c r="L220" s="2030">
        <f t="shared" si="31"/>
        <v>0</v>
      </c>
      <c r="M220" s="141" t="s">
        <v>3859</v>
      </c>
      <c r="N220" s="141" t="s">
        <v>3860</v>
      </c>
      <c r="Q220" s="1137"/>
      <c r="R220" s="1756" t="s">
        <v>3782</v>
      </c>
      <c r="S220" s="1137">
        <v>60</v>
      </c>
      <c r="T220" s="1137">
        <f t="shared" si="32"/>
        <v>60</v>
      </c>
      <c r="U220" s="1138">
        <v>1</v>
      </c>
      <c r="V220" s="1139">
        <f t="shared" si="33"/>
        <v>1</v>
      </c>
      <c r="W220" s="1139">
        <f t="shared" si="34"/>
        <v>1</v>
      </c>
      <c r="X220" s="1138">
        <f t="shared" si="35"/>
        <v>60</v>
      </c>
    </row>
    <row r="221" spans="1:24" x14ac:dyDescent="0.4">
      <c r="A221" s="36">
        <v>202931</v>
      </c>
      <c r="B221">
        <v>60</v>
      </c>
      <c r="C221" s="36">
        <f t="shared" si="28"/>
        <v>300</v>
      </c>
      <c r="D221" s="1784">
        <v>0</v>
      </c>
      <c r="E221" s="1784">
        <v>0</v>
      </c>
      <c r="F221" s="1784">
        <v>0</v>
      </c>
      <c r="G221" s="1784">
        <v>0</v>
      </c>
      <c r="H221" s="1784">
        <v>0</v>
      </c>
      <c r="I221" s="1784">
        <v>1</v>
      </c>
      <c r="J221" s="1785">
        <f t="shared" si="29"/>
        <v>1</v>
      </c>
      <c r="K221" s="1785">
        <f t="shared" si="30"/>
        <v>0</v>
      </c>
      <c r="L221" s="1784">
        <f t="shared" si="31"/>
        <v>0</v>
      </c>
      <c r="M221" s="955" t="s">
        <v>3859</v>
      </c>
      <c r="N221" s="955" t="s">
        <v>3860</v>
      </c>
      <c r="Q221" s="1137"/>
      <c r="R221" s="1756" t="s">
        <v>3783</v>
      </c>
      <c r="S221" s="1137">
        <v>60</v>
      </c>
      <c r="T221" s="1137">
        <f t="shared" si="32"/>
        <v>60</v>
      </c>
      <c r="U221" s="1138">
        <v>1</v>
      </c>
      <c r="V221" s="1139">
        <f t="shared" si="33"/>
        <v>1</v>
      </c>
      <c r="W221" s="1139">
        <f t="shared" si="34"/>
        <v>1</v>
      </c>
      <c r="X221" s="1138">
        <f t="shared" si="35"/>
        <v>60</v>
      </c>
    </row>
    <row r="222" spans="1:24" x14ac:dyDescent="0.4">
      <c r="A222" s="36">
        <v>202932</v>
      </c>
      <c r="B222">
        <v>60</v>
      </c>
      <c r="C222" s="36">
        <f t="shared" si="28"/>
        <v>300</v>
      </c>
      <c r="D222" s="1784">
        <v>0</v>
      </c>
      <c r="E222" s="1784">
        <v>0</v>
      </c>
      <c r="F222" s="1784">
        <v>0</v>
      </c>
      <c r="G222" s="1784">
        <v>1</v>
      </c>
      <c r="H222" s="1784">
        <v>1</v>
      </c>
      <c r="I222" s="1784">
        <v>1</v>
      </c>
      <c r="J222" s="1785">
        <f t="shared" si="29"/>
        <v>3</v>
      </c>
      <c r="K222" s="1785">
        <f t="shared" si="30"/>
        <v>2</v>
      </c>
      <c r="L222" s="1784">
        <f t="shared" si="31"/>
        <v>120</v>
      </c>
      <c r="M222" s="955" t="s">
        <v>3861</v>
      </c>
      <c r="N222" s="955" t="s">
        <v>3299</v>
      </c>
      <c r="Q222" s="1137"/>
      <c r="R222" s="1756" t="s">
        <v>3784</v>
      </c>
      <c r="S222" s="1137">
        <v>60</v>
      </c>
      <c r="T222" s="1137">
        <f t="shared" si="32"/>
        <v>60</v>
      </c>
      <c r="U222" s="1138">
        <v>1</v>
      </c>
      <c r="V222" s="1139">
        <f t="shared" si="33"/>
        <v>1</v>
      </c>
      <c r="W222" s="1139">
        <f t="shared" si="34"/>
        <v>1</v>
      </c>
      <c r="X222" s="1138">
        <f t="shared" si="35"/>
        <v>60</v>
      </c>
    </row>
    <row r="223" spans="1:24" x14ac:dyDescent="0.4">
      <c r="A223" s="36">
        <v>202933</v>
      </c>
      <c r="B223">
        <v>50</v>
      </c>
      <c r="C223" s="36">
        <f t="shared" si="28"/>
        <v>250</v>
      </c>
      <c r="D223" s="1784">
        <v>0</v>
      </c>
      <c r="E223" s="1784">
        <v>0</v>
      </c>
      <c r="F223" s="1784">
        <v>0</v>
      </c>
      <c r="G223" s="1784">
        <v>0</v>
      </c>
      <c r="H223" s="1784">
        <v>0</v>
      </c>
      <c r="I223" s="1784">
        <v>0</v>
      </c>
      <c r="J223" s="1785">
        <f t="shared" si="29"/>
        <v>0</v>
      </c>
      <c r="K223" s="1785">
        <f t="shared" si="30"/>
        <v>0</v>
      </c>
      <c r="L223" s="1784">
        <f t="shared" si="31"/>
        <v>0</v>
      </c>
      <c r="M223" s="955" t="s">
        <v>3863</v>
      </c>
      <c r="N223" s="955" t="s">
        <v>3301</v>
      </c>
      <c r="Q223" s="18"/>
      <c r="R223" s="67" t="s">
        <v>3785</v>
      </c>
      <c r="S223" s="18">
        <v>60</v>
      </c>
      <c r="T223" s="18">
        <f t="shared" si="32"/>
        <v>60</v>
      </c>
      <c r="U223" s="1938">
        <v>0</v>
      </c>
      <c r="V223" s="28">
        <f t="shared" si="33"/>
        <v>0</v>
      </c>
      <c r="W223" s="28">
        <f t="shared" si="34"/>
        <v>0</v>
      </c>
      <c r="X223" s="1938">
        <f t="shared" si="35"/>
        <v>0</v>
      </c>
    </row>
    <row r="224" spans="1:24" x14ac:dyDescent="0.4">
      <c r="A224" s="36">
        <v>202934</v>
      </c>
      <c r="B224">
        <v>45</v>
      </c>
      <c r="C224" s="36">
        <f t="shared" si="28"/>
        <v>225</v>
      </c>
      <c r="D224" s="1784">
        <v>0</v>
      </c>
      <c r="E224" s="1784">
        <v>0</v>
      </c>
      <c r="F224" s="1784">
        <v>1</v>
      </c>
      <c r="G224" s="1784">
        <v>1</v>
      </c>
      <c r="H224" s="1784">
        <v>1</v>
      </c>
      <c r="I224" s="1784">
        <v>1</v>
      </c>
      <c r="J224" s="1785">
        <f t="shared" si="29"/>
        <v>4</v>
      </c>
      <c r="K224" s="1785">
        <f t="shared" si="30"/>
        <v>3</v>
      </c>
      <c r="L224" s="1784">
        <f t="shared" si="31"/>
        <v>135</v>
      </c>
      <c r="M224" s="955" t="s">
        <v>2690</v>
      </c>
      <c r="N224" s="955" t="s">
        <v>3864</v>
      </c>
      <c r="Q224" s="1137"/>
      <c r="R224" s="1756" t="s">
        <v>3786</v>
      </c>
      <c r="S224" s="1137">
        <v>60</v>
      </c>
      <c r="T224" s="1137">
        <f t="shared" si="32"/>
        <v>60</v>
      </c>
      <c r="U224" s="1138">
        <v>1</v>
      </c>
      <c r="V224" s="1139">
        <f t="shared" si="33"/>
        <v>1</v>
      </c>
      <c r="W224" s="1139">
        <f t="shared" si="34"/>
        <v>1</v>
      </c>
      <c r="X224" s="1138">
        <f t="shared" si="35"/>
        <v>60</v>
      </c>
    </row>
    <row r="225" spans="1:24" x14ac:dyDescent="0.4">
      <c r="A225" s="36">
        <v>202935</v>
      </c>
      <c r="B225">
        <v>60</v>
      </c>
      <c r="C225" s="36">
        <f t="shared" si="28"/>
        <v>300</v>
      </c>
      <c r="D225" s="1784">
        <v>0</v>
      </c>
      <c r="E225" s="1784">
        <v>0</v>
      </c>
      <c r="F225" s="1784">
        <v>0</v>
      </c>
      <c r="G225" s="1784">
        <v>0</v>
      </c>
      <c r="H225" s="1784">
        <v>1</v>
      </c>
      <c r="I225" s="1784">
        <v>1</v>
      </c>
      <c r="J225" s="1785">
        <f t="shared" si="29"/>
        <v>2</v>
      </c>
      <c r="K225" s="1785">
        <f t="shared" si="30"/>
        <v>1</v>
      </c>
      <c r="L225" s="1784">
        <f t="shared" si="31"/>
        <v>60</v>
      </c>
      <c r="M225" s="955" t="s">
        <v>2690</v>
      </c>
      <c r="N225" s="955" t="s">
        <v>3864</v>
      </c>
      <c r="Q225" s="1137"/>
      <c r="R225" s="1756" t="s">
        <v>3787</v>
      </c>
      <c r="S225" s="1137">
        <v>60</v>
      </c>
      <c r="T225" s="1137">
        <f t="shared" si="32"/>
        <v>60</v>
      </c>
      <c r="U225" s="1138">
        <v>1</v>
      </c>
      <c r="V225" s="1139">
        <f t="shared" si="33"/>
        <v>1</v>
      </c>
      <c r="W225" s="1139">
        <f t="shared" si="34"/>
        <v>1</v>
      </c>
      <c r="X225" s="1138">
        <f t="shared" si="35"/>
        <v>60</v>
      </c>
    </row>
    <row r="226" spans="1:24" x14ac:dyDescent="0.4">
      <c r="A226" s="36">
        <v>202936</v>
      </c>
      <c r="B226">
        <v>45</v>
      </c>
      <c r="C226" s="36">
        <f t="shared" si="28"/>
        <v>225</v>
      </c>
      <c r="D226" s="1784">
        <v>0</v>
      </c>
      <c r="E226" s="1784">
        <v>0</v>
      </c>
      <c r="F226" s="1784">
        <v>0</v>
      </c>
      <c r="G226" s="1784">
        <v>0</v>
      </c>
      <c r="H226" s="1784">
        <v>1</v>
      </c>
      <c r="I226" s="1784">
        <v>1</v>
      </c>
      <c r="J226" s="1785">
        <f t="shared" si="29"/>
        <v>2</v>
      </c>
      <c r="K226" s="1785">
        <f t="shared" si="30"/>
        <v>1</v>
      </c>
      <c r="L226" s="1784">
        <f t="shared" si="31"/>
        <v>45</v>
      </c>
      <c r="M226" s="955" t="s">
        <v>3865</v>
      </c>
      <c r="N226" s="955" t="s">
        <v>3303</v>
      </c>
      <c r="Q226" s="1137"/>
      <c r="R226" s="1756" t="s">
        <v>3788</v>
      </c>
      <c r="S226" s="1137">
        <v>60</v>
      </c>
      <c r="T226" s="1137">
        <f t="shared" si="32"/>
        <v>60</v>
      </c>
      <c r="U226" s="1138">
        <v>1</v>
      </c>
      <c r="V226" s="1139">
        <f t="shared" si="33"/>
        <v>1</v>
      </c>
      <c r="W226" s="1139">
        <f t="shared" si="34"/>
        <v>1</v>
      </c>
      <c r="X226" s="1138">
        <f t="shared" si="35"/>
        <v>60</v>
      </c>
    </row>
    <row r="227" spans="1:24" x14ac:dyDescent="0.4">
      <c r="A227" s="36">
        <v>202937</v>
      </c>
      <c r="B227">
        <v>60</v>
      </c>
      <c r="C227" s="36">
        <f t="shared" si="28"/>
        <v>300</v>
      </c>
      <c r="D227" s="1784">
        <v>0</v>
      </c>
      <c r="E227" s="1784">
        <v>0</v>
      </c>
      <c r="F227" s="1784">
        <v>0</v>
      </c>
      <c r="G227" s="1784">
        <v>0</v>
      </c>
      <c r="H227" s="1784">
        <v>0</v>
      </c>
      <c r="I227" s="1784">
        <v>0</v>
      </c>
      <c r="J227" s="1785">
        <f t="shared" si="29"/>
        <v>0</v>
      </c>
      <c r="K227" s="1785">
        <f t="shared" si="30"/>
        <v>0</v>
      </c>
      <c r="L227" s="1784">
        <f t="shared" si="31"/>
        <v>0</v>
      </c>
      <c r="M227" s="955" t="s">
        <v>3865</v>
      </c>
      <c r="N227" s="955" t="s">
        <v>3303</v>
      </c>
      <c r="Q227" s="1137"/>
      <c r="R227" s="1756" t="s">
        <v>3789</v>
      </c>
      <c r="S227" s="1137">
        <v>60</v>
      </c>
      <c r="T227" s="1137">
        <f t="shared" si="32"/>
        <v>60</v>
      </c>
      <c r="U227" s="1138">
        <v>1</v>
      </c>
      <c r="V227" s="1139">
        <f t="shared" si="33"/>
        <v>1</v>
      </c>
      <c r="W227" s="1139">
        <f t="shared" si="34"/>
        <v>1</v>
      </c>
      <c r="X227" s="1138">
        <f t="shared" si="35"/>
        <v>60</v>
      </c>
    </row>
    <row r="228" spans="1:24" x14ac:dyDescent="0.4">
      <c r="A228" s="1940">
        <v>202938</v>
      </c>
      <c r="B228" s="1940">
        <v>50</v>
      </c>
      <c r="C228" s="1940">
        <f t="shared" si="28"/>
        <v>250</v>
      </c>
      <c r="D228" s="1941">
        <v>0</v>
      </c>
      <c r="E228" s="1941">
        <v>0</v>
      </c>
      <c r="F228" s="1941">
        <v>0</v>
      </c>
      <c r="G228" s="1941">
        <v>0</v>
      </c>
      <c r="H228" s="1941">
        <v>0</v>
      </c>
      <c r="I228" s="1941">
        <v>0</v>
      </c>
      <c r="J228" s="1942">
        <f t="shared" si="29"/>
        <v>0</v>
      </c>
      <c r="K228" s="1942">
        <f t="shared" si="30"/>
        <v>0</v>
      </c>
      <c r="L228" s="1941">
        <f t="shared" si="31"/>
        <v>0</v>
      </c>
      <c r="M228" s="1943" t="s">
        <v>3866</v>
      </c>
      <c r="N228" s="1943" t="s">
        <v>3305</v>
      </c>
      <c r="Q228" s="1137"/>
      <c r="R228" s="1756" t="s">
        <v>3790</v>
      </c>
      <c r="S228" s="1137">
        <v>60</v>
      </c>
      <c r="T228" s="1137">
        <f t="shared" si="32"/>
        <v>60</v>
      </c>
      <c r="U228" s="1138">
        <v>1</v>
      </c>
      <c r="V228" s="1139">
        <f t="shared" si="33"/>
        <v>1</v>
      </c>
      <c r="W228" s="1139">
        <f t="shared" si="34"/>
        <v>1</v>
      </c>
      <c r="X228" s="1138">
        <f t="shared" si="35"/>
        <v>60</v>
      </c>
    </row>
    <row r="229" spans="1:24" x14ac:dyDescent="0.4">
      <c r="A229" s="1947">
        <v>202939</v>
      </c>
      <c r="B229" s="1947">
        <v>50</v>
      </c>
      <c r="C229" s="1947">
        <f t="shared" si="28"/>
        <v>250</v>
      </c>
      <c r="D229" s="1948">
        <v>0</v>
      </c>
      <c r="E229" s="1948">
        <v>0</v>
      </c>
      <c r="F229" s="1948">
        <v>0</v>
      </c>
      <c r="G229" s="1948">
        <v>0</v>
      </c>
      <c r="H229" s="1948">
        <v>0</v>
      </c>
      <c r="I229" s="1948">
        <v>0</v>
      </c>
      <c r="J229" s="1949">
        <f t="shared" si="29"/>
        <v>0</v>
      </c>
      <c r="K229" s="1949">
        <f t="shared" si="30"/>
        <v>0</v>
      </c>
      <c r="L229" s="1948">
        <f t="shared" si="31"/>
        <v>0</v>
      </c>
      <c r="M229" s="1950" t="s">
        <v>3866</v>
      </c>
      <c r="N229" s="1950" t="s">
        <v>3305</v>
      </c>
      <c r="Q229" s="1137"/>
      <c r="R229" s="1756" t="s">
        <v>3791</v>
      </c>
      <c r="S229" s="1137">
        <v>60</v>
      </c>
      <c r="T229" s="1137">
        <f t="shared" si="32"/>
        <v>60</v>
      </c>
      <c r="U229" s="1138">
        <v>1</v>
      </c>
      <c r="V229" s="1139">
        <f t="shared" si="33"/>
        <v>1</v>
      </c>
      <c r="W229" s="1139">
        <f t="shared" si="34"/>
        <v>1</v>
      </c>
      <c r="X229" s="1138">
        <f t="shared" si="35"/>
        <v>60</v>
      </c>
    </row>
    <row r="230" spans="1:24" x14ac:dyDescent="0.4">
      <c r="A230" s="5">
        <v>202940</v>
      </c>
      <c r="B230" s="5">
        <v>45</v>
      </c>
      <c r="C230" s="5">
        <f t="shared" ref="C230:C232" si="36">SUM(B230*5)</f>
        <v>225</v>
      </c>
      <c r="D230" s="1928">
        <v>0</v>
      </c>
      <c r="E230" s="1928">
        <v>0</v>
      </c>
      <c r="F230" s="1928">
        <v>0</v>
      </c>
      <c r="G230" s="1928">
        <v>0</v>
      </c>
      <c r="H230" s="1928">
        <v>0</v>
      </c>
      <c r="I230" s="1928">
        <v>0</v>
      </c>
      <c r="J230" s="1929">
        <f t="shared" ref="J230:J232" si="37">SUM(D230:I230)</f>
        <v>0</v>
      </c>
      <c r="K230" s="1929">
        <f t="shared" ref="K230:K232" si="38">SUM(D230:H230)</f>
        <v>0</v>
      </c>
      <c r="L230" s="1928">
        <f t="shared" ref="L230:L232" si="39">B230*K230</f>
        <v>0</v>
      </c>
      <c r="M230" s="1930" t="s">
        <v>2692</v>
      </c>
      <c r="N230" s="1930" t="s">
        <v>3867</v>
      </c>
      <c r="Q230" s="1137"/>
      <c r="R230" s="1756" t="s">
        <v>3792</v>
      </c>
      <c r="S230" s="1137">
        <v>60</v>
      </c>
      <c r="T230" s="1137">
        <f t="shared" si="32"/>
        <v>60</v>
      </c>
      <c r="U230" s="1138">
        <v>1</v>
      </c>
      <c r="V230" s="1139">
        <f t="shared" si="33"/>
        <v>1</v>
      </c>
      <c r="W230" s="1139">
        <f t="shared" si="34"/>
        <v>1</v>
      </c>
      <c r="X230" s="1138">
        <f t="shared" si="35"/>
        <v>60</v>
      </c>
    </row>
    <row r="231" spans="1:24" x14ac:dyDescent="0.4">
      <c r="A231" s="1">
        <v>202941</v>
      </c>
      <c r="B231" s="1">
        <v>60</v>
      </c>
      <c r="C231" s="1">
        <f t="shared" si="36"/>
        <v>300</v>
      </c>
      <c r="D231" s="2007">
        <v>0</v>
      </c>
      <c r="E231" s="2007">
        <v>0</v>
      </c>
      <c r="F231" s="2007">
        <v>0</v>
      </c>
      <c r="G231" s="2007">
        <v>0</v>
      </c>
      <c r="H231" s="2007">
        <v>0</v>
      </c>
      <c r="I231" s="2007">
        <v>0</v>
      </c>
      <c r="J231" s="2008">
        <f t="shared" si="37"/>
        <v>0</v>
      </c>
      <c r="K231" s="2008">
        <f t="shared" si="38"/>
        <v>0</v>
      </c>
      <c r="L231" s="2007">
        <f t="shared" si="39"/>
        <v>0</v>
      </c>
      <c r="M231" s="141" t="s">
        <v>2692</v>
      </c>
      <c r="N231" s="141" t="s">
        <v>3867</v>
      </c>
      <c r="Q231" s="1137"/>
      <c r="R231" s="1756" t="s">
        <v>3793</v>
      </c>
      <c r="S231" s="1137">
        <v>60</v>
      </c>
      <c r="T231" s="1137">
        <f t="shared" si="32"/>
        <v>60</v>
      </c>
      <c r="U231" s="1138">
        <v>1</v>
      </c>
      <c r="V231" s="1139">
        <f t="shared" si="33"/>
        <v>1</v>
      </c>
      <c r="W231" s="1139">
        <f t="shared" si="34"/>
        <v>1</v>
      </c>
      <c r="X231" s="1138">
        <f t="shared" si="35"/>
        <v>60</v>
      </c>
    </row>
    <row r="232" spans="1:24" x14ac:dyDescent="0.4">
      <c r="A232" s="36">
        <v>202942</v>
      </c>
      <c r="B232">
        <v>60</v>
      </c>
      <c r="C232" s="36">
        <f t="shared" si="36"/>
        <v>300</v>
      </c>
      <c r="D232" s="1829">
        <v>0</v>
      </c>
      <c r="E232" s="1829">
        <v>0</v>
      </c>
      <c r="F232" s="1829">
        <v>0</v>
      </c>
      <c r="G232" s="1829">
        <v>1</v>
      </c>
      <c r="H232" s="1829">
        <v>1</v>
      </c>
      <c r="I232" s="1829">
        <v>1</v>
      </c>
      <c r="J232" s="1830">
        <f t="shared" si="37"/>
        <v>3</v>
      </c>
      <c r="K232" s="1830">
        <f t="shared" si="38"/>
        <v>2</v>
      </c>
      <c r="L232" s="1829">
        <f t="shared" si="39"/>
        <v>120</v>
      </c>
      <c r="M232" s="955" t="s">
        <v>2692</v>
      </c>
      <c r="N232" s="955" t="s">
        <v>3867</v>
      </c>
      <c r="Q232" s="1137"/>
      <c r="R232" s="1756" t="s">
        <v>3794</v>
      </c>
      <c r="S232" s="1137">
        <v>60</v>
      </c>
      <c r="T232" s="1137">
        <f t="shared" si="32"/>
        <v>60</v>
      </c>
      <c r="U232" s="1138">
        <v>1</v>
      </c>
      <c r="V232" s="1139">
        <f t="shared" si="33"/>
        <v>1</v>
      </c>
      <c r="W232" s="1139">
        <f t="shared" si="34"/>
        <v>1</v>
      </c>
      <c r="X232" s="1138">
        <f t="shared" si="35"/>
        <v>60</v>
      </c>
    </row>
    <row r="233" spans="1:24" x14ac:dyDescent="0.4">
      <c r="A233" s="36">
        <v>202943</v>
      </c>
      <c r="B233">
        <v>60</v>
      </c>
      <c r="C233" s="36">
        <f t="shared" ref="C233:C259" si="40">SUM(B233*5)</f>
        <v>300</v>
      </c>
      <c r="D233" s="1833">
        <v>0</v>
      </c>
      <c r="E233" s="1833">
        <v>0</v>
      </c>
      <c r="F233" s="1833">
        <v>0</v>
      </c>
      <c r="G233" s="1833">
        <v>0</v>
      </c>
      <c r="H233" s="1833">
        <v>0</v>
      </c>
      <c r="I233" s="1833">
        <v>1</v>
      </c>
      <c r="J233" s="1834">
        <f t="shared" ref="J233:J259" si="41">SUM(D233:I233)</f>
        <v>1</v>
      </c>
      <c r="K233" s="1834">
        <f t="shared" ref="K233:K259" si="42">SUM(D233:H233)</f>
        <v>0</v>
      </c>
      <c r="L233" s="1833">
        <f t="shared" ref="L233:L259" si="43">B233*K233</f>
        <v>0</v>
      </c>
      <c r="M233" s="955" t="s">
        <v>2694</v>
      </c>
      <c r="N233" s="955" t="s">
        <v>3309</v>
      </c>
      <c r="O233" t="s">
        <v>3900</v>
      </c>
      <c r="Q233" s="2"/>
      <c r="R233" s="1944" t="s">
        <v>3795</v>
      </c>
      <c r="S233" s="2">
        <v>60</v>
      </c>
      <c r="T233" s="2">
        <f t="shared" si="32"/>
        <v>60</v>
      </c>
      <c r="U233" s="1925">
        <v>0</v>
      </c>
      <c r="V233" s="1924">
        <f t="shared" si="33"/>
        <v>0</v>
      </c>
      <c r="W233" s="1924">
        <f t="shared" si="34"/>
        <v>0</v>
      </c>
      <c r="X233" s="1925">
        <f t="shared" si="35"/>
        <v>0</v>
      </c>
    </row>
    <row r="234" spans="1:24" x14ac:dyDescent="0.4">
      <c r="A234" s="18">
        <v>202944</v>
      </c>
      <c r="B234" s="18">
        <v>45</v>
      </c>
      <c r="C234" s="18">
        <f t="shared" si="40"/>
        <v>225</v>
      </c>
      <c r="D234" s="1931">
        <v>0</v>
      </c>
      <c r="E234" s="1931">
        <v>0</v>
      </c>
      <c r="F234" s="1931">
        <v>0</v>
      </c>
      <c r="G234" s="1931">
        <v>0</v>
      </c>
      <c r="H234" s="1931">
        <v>0</v>
      </c>
      <c r="I234" s="1931">
        <v>0</v>
      </c>
      <c r="J234" s="28">
        <f t="shared" si="41"/>
        <v>0</v>
      </c>
      <c r="K234" s="28">
        <f t="shared" si="42"/>
        <v>0</v>
      </c>
      <c r="L234" s="1931">
        <f t="shared" si="43"/>
        <v>0</v>
      </c>
      <c r="M234" s="67" t="s">
        <v>3868</v>
      </c>
      <c r="N234" s="67" t="s">
        <v>3869</v>
      </c>
      <c r="Q234" s="1137"/>
      <c r="R234" s="1756" t="s">
        <v>3796</v>
      </c>
      <c r="S234" s="1137">
        <v>60</v>
      </c>
      <c r="T234" s="1137">
        <f t="shared" si="32"/>
        <v>60</v>
      </c>
      <c r="U234" s="1138">
        <v>1</v>
      </c>
      <c r="V234" s="1139">
        <f t="shared" si="33"/>
        <v>1</v>
      </c>
      <c r="W234" s="1139">
        <f t="shared" si="34"/>
        <v>1</v>
      </c>
      <c r="X234" s="1138">
        <f t="shared" si="35"/>
        <v>60</v>
      </c>
    </row>
    <row r="235" spans="1:24" x14ac:dyDescent="0.4">
      <c r="A235" s="36">
        <v>202945</v>
      </c>
      <c r="B235">
        <v>45</v>
      </c>
      <c r="C235" s="36">
        <f t="shared" si="40"/>
        <v>225</v>
      </c>
      <c r="D235" s="1833">
        <v>0</v>
      </c>
      <c r="E235" s="1833">
        <v>0</v>
      </c>
      <c r="F235" s="1833">
        <v>1</v>
      </c>
      <c r="G235" s="1833">
        <v>1</v>
      </c>
      <c r="H235" s="1833">
        <v>1</v>
      </c>
      <c r="I235" s="1833">
        <v>1</v>
      </c>
      <c r="J235" s="1834">
        <f t="shared" si="41"/>
        <v>4</v>
      </c>
      <c r="K235" s="1834">
        <f t="shared" si="42"/>
        <v>3</v>
      </c>
      <c r="L235" s="1833">
        <f t="shared" si="43"/>
        <v>135</v>
      </c>
      <c r="M235" s="955" t="s">
        <v>3868</v>
      </c>
      <c r="N235" s="955" t="s">
        <v>3869</v>
      </c>
      <c r="Q235" s="1137"/>
      <c r="R235" s="1756" t="s">
        <v>3797</v>
      </c>
      <c r="S235" s="1137">
        <v>60</v>
      </c>
      <c r="T235" s="1137">
        <f t="shared" si="32"/>
        <v>60</v>
      </c>
      <c r="U235" s="1138">
        <v>1</v>
      </c>
      <c r="V235" s="1139">
        <f t="shared" si="33"/>
        <v>1</v>
      </c>
      <c r="W235" s="1139">
        <f t="shared" si="34"/>
        <v>1</v>
      </c>
      <c r="X235" s="1138">
        <f t="shared" si="35"/>
        <v>60</v>
      </c>
    </row>
    <row r="236" spans="1:24" x14ac:dyDescent="0.4">
      <c r="A236" s="36">
        <v>202946</v>
      </c>
      <c r="B236">
        <v>60</v>
      </c>
      <c r="C236" s="36">
        <f t="shared" si="40"/>
        <v>300</v>
      </c>
      <c r="D236" s="1833">
        <v>0</v>
      </c>
      <c r="E236" s="1833">
        <v>0</v>
      </c>
      <c r="F236" s="1833">
        <v>0</v>
      </c>
      <c r="G236" s="1833">
        <v>0</v>
      </c>
      <c r="H236" s="1833">
        <v>1</v>
      </c>
      <c r="I236" s="1833">
        <v>1</v>
      </c>
      <c r="J236" s="1834">
        <f t="shared" si="41"/>
        <v>2</v>
      </c>
      <c r="K236" s="1834">
        <f t="shared" si="42"/>
        <v>1</v>
      </c>
      <c r="L236" s="1833">
        <f t="shared" si="43"/>
        <v>60</v>
      </c>
      <c r="M236" s="955" t="s">
        <v>3870</v>
      </c>
      <c r="N236" s="955" t="s">
        <v>3316</v>
      </c>
      <c r="O236" t="s">
        <v>3878</v>
      </c>
      <c r="Q236" s="1137"/>
      <c r="R236" s="1756" t="s">
        <v>3798</v>
      </c>
      <c r="S236" s="1137">
        <v>60</v>
      </c>
      <c r="T236" s="1137">
        <f t="shared" si="32"/>
        <v>60</v>
      </c>
      <c r="U236" s="1138">
        <v>1</v>
      </c>
      <c r="V236" s="1139">
        <f t="shared" si="33"/>
        <v>1</v>
      </c>
      <c r="W236" s="1139">
        <f t="shared" si="34"/>
        <v>1</v>
      </c>
      <c r="X236" s="1138">
        <f t="shared" si="35"/>
        <v>60</v>
      </c>
    </row>
    <row r="237" spans="1:24" x14ac:dyDescent="0.4">
      <c r="A237" s="1">
        <v>202947</v>
      </c>
      <c r="B237" s="1">
        <v>65</v>
      </c>
      <c r="C237" s="1">
        <f t="shared" si="40"/>
        <v>325</v>
      </c>
      <c r="D237" s="1975">
        <v>0</v>
      </c>
      <c r="E237" s="1975">
        <v>0</v>
      </c>
      <c r="F237" s="1975">
        <v>0</v>
      </c>
      <c r="G237" s="1975">
        <v>0</v>
      </c>
      <c r="H237" s="1975">
        <v>0</v>
      </c>
      <c r="I237" s="1975">
        <v>0</v>
      </c>
      <c r="J237" s="1976">
        <f t="shared" si="41"/>
        <v>0</v>
      </c>
      <c r="K237" s="1976">
        <f t="shared" si="42"/>
        <v>0</v>
      </c>
      <c r="L237" s="1975">
        <f t="shared" si="43"/>
        <v>0</v>
      </c>
      <c r="M237" s="141" t="s">
        <v>3870</v>
      </c>
      <c r="N237" s="141" t="s">
        <v>3316</v>
      </c>
      <c r="O237" t="s">
        <v>3879</v>
      </c>
      <c r="Q237" s="2"/>
      <c r="R237" s="1944" t="s">
        <v>3799</v>
      </c>
      <c r="S237" s="2">
        <v>60</v>
      </c>
      <c r="T237" s="2">
        <f t="shared" si="32"/>
        <v>60</v>
      </c>
      <c r="U237" s="1925">
        <v>0</v>
      </c>
      <c r="V237" s="1924">
        <f t="shared" si="33"/>
        <v>0</v>
      </c>
      <c r="W237" s="1924">
        <f t="shared" si="34"/>
        <v>0</v>
      </c>
      <c r="X237" s="1925">
        <f t="shared" si="35"/>
        <v>0</v>
      </c>
    </row>
    <row r="238" spans="1:24" x14ac:dyDescent="0.4">
      <c r="A238" s="1">
        <v>202948</v>
      </c>
      <c r="B238" s="1">
        <v>45</v>
      </c>
      <c r="C238" s="1">
        <f t="shared" si="40"/>
        <v>225</v>
      </c>
      <c r="D238" s="1953">
        <v>0</v>
      </c>
      <c r="E238" s="1953">
        <v>0</v>
      </c>
      <c r="F238" s="1953">
        <v>0</v>
      </c>
      <c r="G238" s="1953">
        <v>0</v>
      </c>
      <c r="H238" s="1953">
        <v>0</v>
      </c>
      <c r="I238" s="1953">
        <v>0</v>
      </c>
      <c r="J238" s="1956">
        <f t="shared" si="41"/>
        <v>0</v>
      </c>
      <c r="K238" s="1956">
        <f t="shared" si="42"/>
        <v>0</v>
      </c>
      <c r="L238" s="1953">
        <f t="shared" si="43"/>
        <v>0</v>
      </c>
      <c r="M238" s="141" t="s">
        <v>3871</v>
      </c>
      <c r="N238" s="141" t="s">
        <v>3318</v>
      </c>
      <c r="Q238" s="1137"/>
      <c r="R238" s="1756" t="s">
        <v>3800</v>
      </c>
      <c r="S238" s="1137">
        <v>60</v>
      </c>
      <c r="T238" s="1137">
        <f t="shared" si="32"/>
        <v>60</v>
      </c>
      <c r="U238" s="1138">
        <v>1</v>
      </c>
      <c r="V238" s="1139">
        <f t="shared" si="33"/>
        <v>1</v>
      </c>
      <c r="W238" s="1139">
        <f t="shared" si="34"/>
        <v>1</v>
      </c>
      <c r="X238" s="1138">
        <f t="shared" si="35"/>
        <v>60</v>
      </c>
    </row>
    <row r="239" spans="1:24" x14ac:dyDescent="0.4">
      <c r="A239" s="1">
        <v>202949</v>
      </c>
      <c r="B239" s="1">
        <v>50</v>
      </c>
      <c r="C239" s="1">
        <f t="shared" si="40"/>
        <v>250</v>
      </c>
      <c r="D239" s="1912">
        <v>1</v>
      </c>
      <c r="E239" s="1912">
        <v>1</v>
      </c>
      <c r="F239" s="1912">
        <v>1</v>
      </c>
      <c r="G239" s="1912">
        <v>1</v>
      </c>
      <c r="H239" s="1912">
        <v>1</v>
      </c>
      <c r="I239" s="1912">
        <v>1</v>
      </c>
      <c r="J239" s="1913">
        <f t="shared" si="41"/>
        <v>6</v>
      </c>
      <c r="K239" s="1913">
        <f t="shared" si="42"/>
        <v>5</v>
      </c>
      <c r="L239" s="1912">
        <f t="shared" si="43"/>
        <v>250</v>
      </c>
      <c r="M239" s="141" t="s">
        <v>2702</v>
      </c>
      <c r="N239" s="141" t="s">
        <v>3872</v>
      </c>
      <c r="O239" s="1" t="s">
        <v>3886</v>
      </c>
      <c r="P239" s="1"/>
      <c r="Q239" s="1137"/>
      <c r="R239" s="1756" t="s">
        <v>3801</v>
      </c>
      <c r="S239" s="1137">
        <v>60</v>
      </c>
      <c r="T239" s="1137">
        <f t="shared" si="32"/>
        <v>60</v>
      </c>
      <c r="U239" s="1138">
        <v>1</v>
      </c>
      <c r="V239" s="1139">
        <f t="shared" si="33"/>
        <v>1</v>
      </c>
      <c r="W239" s="1139">
        <f t="shared" si="34"/>
        <v>1</v>
      </c>
      <c r="X239" s="1138">
        <f t="shared" si="35"/>
        <v>60</v>
      </c>
    </row>
    <row r="240" spans="1:24" x14ac:dyDescent="0.4">
      <c r="A240" s="1">
        <v>202950</v>
      </c>
      <c r="B240" s="1">
        <v>60</v>
      </c>
      <c r="C240" s="1">
        <f t="shared" si="40"/>
        <v>300</v>
      </c>
      <c r="D240" s="1964">
        <v>0</v>
      </c>
      <c r="E240" s="1964">
        <v>0</v>
      </c>
      <c r="F240" s="1964">
        <v>0</v>
      </c>
      <c r="G240" s="1964">
        <v>0</v>
      </c>
      <c r="H240" s="1964">
        <v>0</v>
      </c>
      <c r="I240" s="1964">
        <v>0</v>
      </c>
      <c r="J240" s="1966">
        <f t="shared" si="41"/>
        <v>0</v>
      </c>
      <c r="K240" s="1966">
        <f t="shared" si="42"/>
        <v>0</v>
      </c>
      <c r="L240" s="1964">
        <f t="shared" si="43"/>
        <v>0</v>
      </c>
      <c r="M240" s="141" t="s">
        <v>2704</v>
      </c>
      <c r="N240" s="141" t="s">
        <v>3322</v>
      </c>
      <c r="O240" t="s">
        <v>3887</v>
      </c>
      <c r="Q240" s="1137"/>
      <c r="R240" s="1756" t="s">
        <v>3802</v>
      </c>
      <c r="S240" s="1137">
        <v>60</v>
      </c>
      <c r="T240" s="1137">
        <f t="shared" si="32"/>
        <v>60</v>
      </c>
      <c r="U240" s="1138">
        <v>1</v>
      </c>
      <c r="V240" s="1139">
        <f t="shared" si="33"/>
        <v>1</v>
      </c>
      <c r="W240" s="1139">
        <f t="shared" si="34"/>
        <v>1</v>
      </c>
      <c r="X240" s="1138">
        <f t="shared" si="35"/>
        <v>60</v>
      </c>
    </row>
    <row r="241" spans="1:24" x14ac:dyDescent="0.4">
      <c r="A241" s="18">
        <v>202951</v>
      </c>
      <c r="B241" s="18">
        <v>45</v>
      </c>
      <c r="C241" s="18">
        <f t="shared" si="40"/>
        <v>225</v>
      </c>
      <c r="D241" s="1939">
        <v>0</v>
      </c>
      <c r="E241" s="1939">
        <v>0</v>
      </c>
      <c r="F241" s="1939">
        <v>0</v>
      </c>
      <c r="G241" s="1939">
        <v>0</v>
      </c>
      <c r="H241" s="1939">
        <v>0</v>
      </c>
      <c r="I241" s="1939">
        <v>0</v>
      </c>
      <c r="J241" s="28">
        <f t="shared" si="41"/>
        <v>0</v>
      </c>
      <c r="K241" s="28">
        <f t="shared" si="42"/>
        <v>0</v>
      </c>
      <c r="L241" s="1939">
        <f t="shared" si="43"/>
        <v>0</v>
      </c>
      <c r="M241" s="67" t="s">
        <v>3873</v>
      </c>
      <c r="N241" s="67" t="s">
        <v>3326</v>
      </c>
      <c r="Q241" s="1137"/>
      <c r="R241" s="1756" t="s">
        <v>3803</v>
      </c>
      <c r="S241" s="1137">
        <v>60</v>
      </c>
      <c r="T241" s="1137">
        <f t="shared" si="32"/>
        <v>60</v>
      </c>
      <c r="U241" s="1138">
        <v>1</v>
      </c>
      <c r="V241" s="1139">
        <f t="shared" si="33"/>
        <v>1</v>
      </c>
      <c r="W241" s="1139">
        <f t="shared" si="34"/>
        <v>1</v>
      </c>
      <c r="X241" s="1138">
        <f t="shared" si="35"/>
        <v>60</v>
      </c>
    </row>
    <row r="242" spans="1:24" x14ac:dyDescent="0.4">
      <c r="A242" s="1960">
        <v>202952</v>
      </c>
      <c r="B242" s="1960">
        <v>45</v>
      </c>
      <c r="C242" s="1960">
        <f t="shared" si="40"/>
        <v>225</v>
      </c>
      <c r="D242" s="1961">
        <v>0</v>
      </c>
      <c r="E242" s="1961">
        <v>0</v>
      </c>
      <c r="F242" s="1961">
        <v>0</v>
      </c>
      <c r="G242" s="1961">
        <v>0</v>
      </c>
      <c r="H242" s="1961">
        <v>0</v>
      </c>
      <c r="I242" s="1961">
        <v>0</v>
      </c>
      <c r="J242" s="1962">
        <f t="shared" si="41"/>
        <v>0</v>
      </c>
      <c r="K242" s="1962">
        <f t="shared" si="42"/>
        <v>0</v>
      </c>
      <c r="L242" s="1961">
        <f t="shared" si="43"/>
        <v>0</v>
      </c>
      <c r="M242" s="1963" t="s">
        <v>2709</v>
      </c>
      <c r="N242" s="1963" t="s">
        <v>3330</v>
      </c>
      <c r="Q242" s="1137"/>
      <c r="R242" s="1756" t="s">
        <v>3804</v>
      </c>
      <c r="S242" s="1137">
        <v>60</v>
      </c>
      <c r="T242" s="1137">
        <f t="shared" si="32"/>
        <v>60</v>
      </c>
      <c r="U242" s="1138">
        <v>1</v>
      </c>
      <c r="V242" s="1139">
        <f t="shared" si="33"/>
        <v>1</v>
      </c>
      <c r="W242" s="1139">
        <f t="shared" si="34"/>
        <v>1</v>
      </c>
      <c r="X242" s="1138">
        <f t="shared" si="35"/>
        <v>60</v>
      </c>
    </row>
    <row r="243" spans="1:24" x14ac:dyDescent="0.4">
      <c r="A243" s="36">
        <v>202953</v>
      </c>
      <c r="B243">
        <v>60</v>
      </c>
      <c r="C243" s="36">
        <f t="shared" si="40"/>
        <v>300</v>
      </c>
      <c r="D243" s="1833">
        <v>0</v>
      </c>
      <c r="E243" s="1833">
        <v>0</v>
      </c>
      <c r="F243" s="1833">
        <v>0</v>
      </c>
      <c r="G243" s="1833">
        <v>0</v>
      </c>
      <c r="H243" s="1833">
        <v>1</v>
      </c>
      <c r="I243" s="1833">
        <v>1</v>
      </c>
      <c r="J243" s="1834">
        <f t="shared" si="41"/>
        <v>2</v>
      </c>
      <c r="K243" s="1834">
        <f t="shared" si="42"/>
        <v>1</v>
      </c>
      <c r="L243" s="1833">
        <f t="shared" si="43"/>
        <v>60</v>
      </c>
      <c r="M243" s="955" t="s">
        <v>2717</v>
      </c>
      <c r="N243" s="955" t="s">
        <v>3335</v>
      </c>
      <c r="Q243" s="1137"/>
      <c r="R243" s="1756" t="s">
        <v>3805</v>
      </c>
      <c r="S243" s="1137">
        <v>60</v>
      </c>
      <c r="T243" s="1137">
        <f t="shared" si="32"/>
        <v>60</v>
      </c>
      <c r="U243" s="1138">
        <v>1</v>
      </c>
      <c r="V243" s="1139">
        <f t="shared" si="33"/>
        <v>1</v>
      </c>
      <c r="W243" s="1139">
        <f t="shared" si="34"/>
        <v>1</v>
      </c>
      <c r="X243" s="1138">
        <f t="shared" si="35"/>
        <v>60</v>
      </c>
    </row>
    <row r="244" spans="1:24" x14ac:dyDescent="0.4">
      <c r="A244" s="36">
        <v>202954</v>
      </c>
      <c r="B244">
        <v>45</v>
      </c>
      <c r="C244" s="36">
        <f t="shared" si="40"/>
        <v>225</v>
      </c>
      <c r="D244" s="1833">
        <v>0</v>
      </c>
      <c r="E244" s="1833">
        <v>0</v>
      </c>
      <c r="F244" s="1833">
        <v>0</v>
      </c>
      <c r="G244" s="1833">
        <v>0</v>
      </c>
      <c r="H244" s="1833">
        <v>1</v>
      </c>
      <c r="I244" s="1833">
        <v>1</v>
      </c>
      <c r="J244" s="1834">
        <f t="shared" si="41"/>
        <v>2</v>
      </c>
      <c r="K244" s="1834">
        <f t="shared" si="42"/>
        <v>1</v>
      </c>
      <c r="L244" s="1833">
        <f t="shared" si="43"/>
        <v>45</v>
      </c>
      <c r="M244" s="955" t="s">
        <v>2717</v>
      </c>
      <c r="N244" s="955" t="s">
        <v>3335</v>
      </c>
      <c r="Q244" s="1137"/>
      <c r="R244" s="1756" t="s">
        <v>3806</v>
      </c>
      <c r="S244" s="1137">
        <v>60</v>
      </c>
      <c r="T244" s="1137">
        <f t="shared" si="32"/>
        <v>60</v>
      </c>
      <c r="U244" s="1138">
        <v>1</v>
      </c>
      <c r="V244" s="1139">
        <f t="shared" si="33"/>
        <v>1</v>
      </c>
      <c r="W244" s="1139">
        <f t="shared" si="34"/>
        <v>1</v>
      </c>
      <c r="X244" s="1138">
        <f t="shared" si="35"/>
        <v>60</v>
      </c>
    </row>
    <row r="245" spans="1:24" x14ac:dyDescent="0.4">
      <c r="A245" s="36">
        <v>202955</v>
      </c>
      <c r="B245">
        <v>45</v>
      </c>
      <c r="C245" s="36">
        <f t="shared" si="40"/>
        <v>225</v>
      </c>
      <c r="D245" s="1833">
        <v>0</v>
      </c>
      <c r="E245" s="1833">
        <v>0</v>
      </c>
      <c r="F245" s="1833">
        <v>0</v>
      </c>
      <c r="G245" s="1833">
        <v>0</v>
      </c>
      <c r="H245" s="1833">
        <v>0</v>
      </c>
      <c r="I245" s="1833">
        <v>1</v>
      </c>
      <c r="J245" s="1834">
        <f t="shared" si="41"/>
        <v>1</v>
      </c>
      <c r="K245" s="1834">
        <f t="shared" si="42"/>
        <v>0</v>
      </c>
      <c r="L245" s="1833">
        <f t="shared" si="43"/>
        <v>0</v>
      </c>
      <c r="M245" s="955" t="s">
        <v>2721</v>
      </c>
      <c r="N245" s="955" t="s">
        <v>3341</v>
      </c>
      <c r="Q245" s="1137"/>
      <c r="R245" s="1756" t="s">
        <v>3807</v>
      </c>
      <c r="S245" s="1137">
        <v>60</v>
      </c>
      <c r="T245" s="1137">
        <f t="shared" si="32"/>
        <v>60</v>
      </c>
      <c r="U245" s="1138">
        <v>1</v>
      </c>
      <c r="V245" s="1139">
        <f t="shared" si="33"/>
        <v>1</v>
      </c>
      <c r="W245" s="1139">
        <f t="shared" si="34"/>
        <v>1</v>
      </c>
      <c r="X245" s="1138">
        <f t="shared" si="35"/>
        <v>60</v>
      </c>
    </row>
    <row r="246" spans="1:24" x14ac:dyDescent="0.4">
      <c r="A246" s="1">
        <v>202956</v>
      </c>
      <c r="B246" s="1">
        <v>45</v>
      </c>
      <c r="C246" s="1">
        <f t="shared" si="40"/>
        <v>225</v>
      </c>
      <c r="D246" s="1953">
        <v>0</v>
      </c>
      <c r="E246" s="1953">
        <v>0</v>
      </c>
      <c r="F246" s="1953">
        <v>0</v>
      </c>
      <c r="G246" s="1953">
        <v>0</v>
      </c>
      <c r="H246" s="1953">
        <v>0</v>
      </c>
      <c r="I246" s="1953">
        <v>0</v>
      </c>
      <c r="J246" s="1956">
        <f t="shared" si="41"/>
        <v>0</v>
      </c>
      <c r="K246" s="1956">
        <f t="shared" si="42"/>
        <v>0</v>
      </c>
      <c r="L246" s="1953">
        <f t="shared" si="43"/>
        <v>0</v>
      </c>
      <c r="M246" s="141" t="s">
        <v>2721</v>
      </c>
      <c r="N246" s="141" t="s">
        <v>3341</v>
      </c>
      <c r="Q246" s="1137"/>
      <c r="R246" s="1756" t="s">
        <v>3808</v>
      </c>
      <c r="S246" s="1137">
        <v>60</v>
      </c>
      <c r="T246" s="1137">
        <f t="shared" si="32"/>
        <v>60</v>
      </c>
      <c r="U246" s="1138">
        <v>1</v>
      </c>
      <c r="V246" s="1139">
        <f t="shared" si="33"/>
        <v>1</v>
      </c>
      <c r="W246" s="1139">
        <f t="shared" si="34"/>
        <v>1</v>
      </c>
      <c r="X246" s="1138">
        <f t="shared" si="35"/>
        <v>60</v>
      </c>
    </row>
    <row r="247" spans="1:24" x14ac:dyDescent="0.4">
      <c r="A247" s="22">
        <v>202957</v>
      </c>
      <c r="B247" s="22">
        <v>60</v>
      </c>
      <c r="C247" s="22">
        <f t="shared" si="40"/>
        <v>300</v>
      </c>
      <c r="D247" s="557">
        <v>0</v>
      </c>
      <c r="E247" s="557">
        <v>0</v>
      </c>
      <c r="F247" s="557">
        <v>0</v>
      </c>
      <c r="G247" s="557">
        <v>0</v>
      </c>
      <c r="H247" s="557">
        <v>0</v>
      </c>
      <c r="I247" s="557">
        <v>0</v>
      </c>
      <c r="J247" s="24">
        <f t="shared" si="41"/>
        <v>0</v>
      </c>
      <c r="K247" s="24">
        <f t="shared" si="42"/>
        <v>0</v>
      </c>
      <c r="L247" s="557">
        <f t="shared" si="43"/>
        <v>0</v>
      </c>
      <c r="M247" s="29" t="s">
        <v>2721</v>
      </c>
      <c r="N247" s="29" t="s">
        <v>3341</v>
      </c>
      <c r="Q247" s="1137"/>
      <c r="R247" s="1756" t="s">
        <v>3809</v>
      </c>
      <c r="S247" s="1137">
        <v>60</v>
      </c>
      <c r="T247" s="1137">
        <f t="shared" si="32"/>
        <v>60</v>
      </c>
      <c r="U247" s="1138">
        <v>1</v>
      </c>
      <c r="V247" s="1139">
        <f t="shared" si="33"/>
        <v>1</v>
      </c>
      <c r="W247" s="1139">
        <f t="shared" si="34"/>
        <v>1</v>
      </c>
      <c r="X247" s="1138">
        <f t="shared" si="35"/>
        <v>60</v>
      </c>
    </row>
    <row r="248" spans="1:24" x14ac:dyDescent="0.4">
      <c r="A248" s="1">
        <v>202958</v>
      </c>
      <c r="B248" s="1">
        <v>60</v>
      </c>
      <c r="C248" s="1">
        <f t="shared" si="40"/>
        <v>300</v>
      </c>
      <c r="D248" s="2025">
        <v>0</v>
      </c>
      <c r="E248" s="2025">
        <v>0</v>
      </c>
      <c r="F248" s="2025">
        <v>0</v>
      </c>
      <c r="G248" s="2025">
        <v>0</v>
      </c>
      <c r="H248" s="2025">
        <v>0</v>
      </c>
      <c r="I248" s="2025">
        <v>0</v>
      </c>
      <c r="J248" s="2026">
        <f t="shared" si="41"/>
        <v>0</v>
      </c>
      <c r="K248" s="2026">
        <f t="shared" si="42"/>
        <v>0</v>
      </c>
      <c r="L248" s="2025">
        <f t="shared" si="43"/>
        <v>0</v>
      </c>
      <c r="M248" s="141" t="s">
        <v>2723</v>
      </c>
      <c r="N248" s="141" t="s">
        <v>3874</v>
      </c>
      <c r="Q248" s="1137"/>
      <c r="R248" s="1756" t="s">
        <v>3810</v>
      </c>
      <c r="S248" s="1137">
        <v>60</v>
      </c>
      <c r="T248" s="1137">
        <f t="shared" si="32"/>
        <v>60</v>
      </c>
      <c r="U248" s="1138">
        <v>1</v>
      </c>
      <c r="V248" s="1139">
        <f t="shared" si="33"/>
        <v>1</v>
      </c>
      <c r="W248" s="1139">
        <f t="shared" si="34"/>
        <v>1</v>
      </c>
      <c r="X248" s="1138">
        <f t="shared" si="35"/>
        <v>60</v>
      </c>
    </row>
    <row r="249" spans="1:24" x14ac:dyDescent="0.4">
      <c r="A249" s="1">
        <v>202959</v>
      </c>
      <c r="B249" s="1">
        <v>45</v>
      </c>
      <c r="C249" s="1">
        <f t="shared" si="40"/>
        <v>225</v>
      </c>
      <c r="D249" s="1969">
        <v>0</v>
      </c>
      <c r="E249" s="1969">
        <v>0</v>
      </c>
      <c r="F249" s="1969">
        <v>0</v>
      </c>
      <c r="G249" s="1969">
        <v>0</v>
      </c>
      <c r="H249" s="1969">
        <v>0</v>
      </c>
      <c r="I249" s="1969">
        <v>0</v>
      </c>
      <c r="J249" s="1970">
        <f t="shared" si="41"/>
        <v>0</v>
      </c>
      <c r="K249" s="1970">
        <f t="shared" si="42"/>
        <v>0</v>
      </c>
      <c r="L249" s="1969">
        <f t="shared" si="43"/>
        <v>0</v>
      </c>
      <c r="M249" s="141" t="s">
        <v>2723</v>
      </c>
      <c r="N249" s="141" t="s">
        <v>3874</v>
      </c>
      <c r="Q249" s="1137"/>
      <c r="R249" s="1756" t="s">
        <v>3811</v>
      </c>
      <c r="S249" s="1137">
        <v>60</v>
      </c>
      <c r="T249" s="1137">
        <f t="shared" si="32"/>
        <v>60</v>
      </c>
      <c r="U249" s="1138">
        <v>1</v>
      </c>
      <c r="V249" s="1139">
        <f t="shared" si="33"/>
        <v>1</v>
      </c>
      <c r="W249" s="1139">
        <f t="shared" si="34"/>
        <v>1</v>
      </c>
      <c r="X249" s="1138">
        <f t="shared" si="35"/>
        <v>60</v>
      </c>
    </row>
    <row r="250" spans="1:24" x14ac:dyDescent="0.4">
      <c r="A250" s="36">
        <v>202960</v>
      </c>
      <c r="B250">
        <v>65</v>
      </c>
      <c r="C250" s="36">
        <f t="shared" si="40"/>
        <v>325</v>
      </c>
      <c r="D250" s="1833">
        <v>0</v>
      </c>
      <c r="E250" s="1833">
        <v>0</v>
      </c>
      <c r="F250" s="1833">
        <v>0</v>
      </c>
      <c r="G250" s="1833">
        <v>0</v>
      </c>
      <c r="H250" s="1833">
        <v>0</v>
      </c>
      <c r="I250" s="1833">
        <v>1</v>
      </c>
      <c r="J250" s="1834">
        <f t="shared" si="41"/>
        <v>1</v>
      </c>
      <c r="K250" s="1834">
        <f t="shared" si="42"/>
        <v>0</v>
      </c>
      <c r="L250" s="1833">
        <f t="shared" si="43"/>
        <v>0</v>
      </c>
      <c r="M250" s="955" t="s">
        <v>2727</v>
      </c>
      <c r="N250" s="955" t="s">
        <v>3346</v>
      </c>
      <c r="Q250" s="1137"/>
      <c r="R250" s="1756" t="s">
        <v>3812</v>
      </c>
      <c r="S250" s="1137">
        <v>60</v>
      </c>
      <c r="T250" s="1137">
        <f t="shared" si="32"/>
        <v>60</v>
      </c>
      <c r="U250" s="1138">
        <v>1</v>
      </c>
      <c r="V250" s="1139">
        <f t="shared" si="33"/>
        <v>1</v>
      </c>
      <c r="W250" s="1139">
        <v>0</v>
      </c>
      <c r="X250" s="1138">
        <f>S250*W250</f>
        <v>0</v>
      </c>
    </row>
    <row r="251" spans="1:24" x14ac:dyDescent="0.4">
      <c r="A251" s="1960">
        <v>202961</v>
      </c>
      <c r="B251" s="1960">
        <v>0</v>
      </c>
      <c r="C251" s="1960">
        <f t="shared" si="40"/>
        <v>0</v>
      </c>
      <c r="D251" s="1961">
        <v>0</v>
      </c>
      <c r="E251" s="1961">
        <v>0</v>
      </c>
      <c r="F251" s="1961">
        <v>0</v>
      </c>
      <c r="G251" s="1961">
        <v>0</v>
      </c>
      <c r="H251" s="1961">
        <v>0</v>
      </c>
      <c r="I251" s="1961">
        <v>0</v>
      </c>
      <c r="J251" s="1962">
        <f t="shared" si="41"/>
        <v>0</v>
      </c>
      <c r="K251" s="1962">
        <f t="shared" si="42"/>
        <v>0</v>
      </c>
      <c r="L251" s="1961">
        <f t="shared" si="43"/>
        <v>0</v>
      </c>
      <c r="M251" s="1963" t="s">
        <v>2731</v>
      </c>
      <c r="N251" s="1963" t="s">
        <v>3350</v>
      </c>
      <c r="Q251" s="1137"/>
      <c r="R251" s="1756" t="s">
        <v>3813</v>
      </c>
      <c r="S251" s="1137">
        <v>60</v>
      </c>
      <c r="T251" s="1137">
        <f t="shared" si="32"/>
        <v>60</v>
      </c>
      <c r="U251" s="1138">
        <v>1</v>
      </c>
      <c r="V251" s="1139">
        <f t="shared" si="33"/>
        <v>1</v>
      </c>
      <c r="W251" s="1139">
        <v>0</v>
      </c>
      <c r="X251" s="1138">
        <f t="shared" si="35"/>
        <v>0</v>
      </c>
    </row>
    <row r="252" spans="1:24" x14ac:dyDescent="0.4">
      <c r="A252" s="36">
        <v>202962</v>
      </c>
      <c r="B252">
        <v>60</v>
      </c>
      <c r="C252" s="36">
        <f t="shared" si="40"/>
        <v>300</v>
      </c>
      <c r="D252" s="1833">
        <v>0</v>
      </c>
      <c r="E252" s="1833">
        <v>1</v>
      </c>
      <c r="F252" s="1833">
        <v>1</v>
      </c>
      <c r="G252" s="1833">
        <v>1</v>
      </c>
      <c r="H252" s="1833">
        <v>1</v>
      </c>
      <c r="I252" s="1833">
        <v>1</v>
      </c>
      <c r="J252" s="1834">
        <f t="shared" si="41"/>
        <v>5</v>
      </c>
      <c r="K252" s="1834">
        <f t="shared" si="42"/>
        <v>4</v>
      </c>
      <c r="L252" s="1833">
        <f t="shared" si="43"/>
        <v>240</v>
      </c>
      <c r="M252" s="955" t="s">
        <v>2735</v>
      </c>
      <c r="N252" s="955" t="s">
        <v>3352</v>
      </c>
      <c r="Q252" s="1137"/>
      <c r="R252" s="1756" t="s">
        <v>3814</v>
      </c>
      <c r="S252" s="1137">
        <v>60</v>
      </c>
      <c r="T252" s="1137">
        <f t="shared" si="32"/>
        <v>60</v>
      </c>
      <c r="U252" s="1138">
        <v>1</v>
      </c>
      <c r="V252" s="1139">
        <f t="shared" si="33"/>
        <v>1</v>
      </c>
      <c r="W252" s="1139">
        <v>0</v>
      </c>
      <c r="X252" s="1138">
        <f t="shared" si="35"/>
        <v>0</v>
      </c>
    </row>
    <row r="253" spans="1:24" x14ac:dyDescent="0.4">
      <c r="A253" s="1960">
        <v>202963</v>
      </c>
      <c r="B253" s="1960">
        <v>50</v>
      </c>
      <c r="C253" s="1960">
        <f>SUM(B253*3)</f>
        <v>150</v>
      </c>
      <c r="D253" s="1961">
        <v>0</v>
      </c>
      <c r="E253" s="1961">
        <v>0</v>
      </c>
      <c r="F253" s="1961">
        <v>0</v>
      </c>
      <c r="G253" s="1961">
        <v>0</v>
      </c>
      <c r="H253" s="1961">
        <v>0</v>
      </c>
      <c r="I253" s="1961">
        <v>0</v>
      </c>
      <c r="J253" s="1962">
        <f t="shared" si="41"/>
        <v>0</v>
      </c>
      <c r="K253" s="1962">
        <f t="shared" si="42"/>
        <v>0</v>
      </c>
      <c r="L253" s="1961">
        <f t="shared" si="43"/>
        <v>0</v>
      </c>
      <c r="M253" s="1963" t="s">
        <v>2737</v>
      </c>
      <c r="N253" s="1963" t="s">
        <v>3354</v>
      </c>
      <c r="Q253" s="1137"/>
      <c r="R253" s="1756" t="s">
        <v>3815</v>
      </c>
      <c r="S253" s="1137">
        <v>60</v>
      </c>
      <c r="T253" s="1137">
        <f t="shared" si="32"/>
        <v>60</v>
      </c>
      <c r="U253" s="1138">
        <v>1</v>
      </c>
      <c r="V253" s="1139">
        <f t="shared" si="33"/>
        <v>1</v>
      </c>
      <c r="W253" s="1139">
        <v>0</v>
      </c>
      <c r="X253" s="1138">
        <f t="shared" si="35"/>
        <v>0</v>
      </c>
    </row>
    <row r="254" spans="1:24" x14ac:dyDescent="0.4">
      <c r="A254" s="36">
        <v>202964</v>
      </c>
      <c r="B254">
        <v>50</v>
      </c>
      <c r="C254" s="36">
        <f>SUM(B254*2)</f>
        <v>100</v>
      </c>
      <c r="D254" s="1833">
        <v>0</v>
      </c>
      <c r="E254" s="1833">
        <v>1</v>
      </c>
      <c r="F254" s="1833">
        <v>1</v>
      </c>
      <c r="G254" s="1833">
        <v>1</v>
      </c>
      <c r="H254" s="1833">
        <v>1</v>
      </c>
      <c r="I254" s="1833">
        <v>1</v>
      </c>
      <c r="J254" s="1834">
        <f t="shared" si="41"/>
        <v>5</v>
      </c>
      <c r="K254" s="1834">
        <f t="shared" si="42"/>
        <v>4</v>
      </c>
      <c r="L254" s="1833">
        <f t="shared" si="43"/>
        <v>200</v>
      </c>
      <c r="M254" s="955" t="s">
        <v>2737</v>
      </c>
      <c r="N254" s="955" t="s">
        <v>3354</v>
      </c>
      <c r="Q254" s="1137"/>
      <c r="R254" s="1756" t="s">
        <v>3816</v>
      </c>
      <c r="S254" s="1137">
        <v>60</v>
      </c>
      <c r="T254" s="1137">
        <f t="shared" si="32"/>
        <v>60</v>
      </c>
      <c r="U254" s="1138">
        <v>1</v>
      </c>
      <c r="V254" s="1139">
        <f t="shared" si="33"/>
        <v>1</v>
      </c>
      <c r="W254" s="1139">
        <v>0</v>
      </c>
      <c r="X254" s="1138">
        <f t="shared" si="35"/>
        <v>0</v>
      </c>
    </row>
    <row r="255" spans="1:24" x14ac:dyDescent="0.4">
      <c r="A255" s="36">
        <v>202965</v>
      </c>
      <c r="B255">
        <v>45</v>
      </c>
      <c r="C255" s="36">
        <f t="shared" si="40"/>
        <v>225</v>
      </c>
      <c r="D255" s="1833">
        <v>0</v>
      </c>
      <c r="E255" s="1833">
        <v>0</v>
      </c>
      <c r="F255" s="1833">
        <v>1</v>
      </c>
      <c r="G255" s="1833">
        <v>1</v>
      </c>
      <c r="H255" s="1833">
        <v>1</v>
      </c>
      <c r="I255" s="1833">
        <v>1</v>
      </c>
      <c r="J255" s="1834">
        <f t="shared" si="41"/>
        <v>4</v>
      </c>
      <c r="K255" s="1834">
        <f t="shared" si="42"/>
        <v>3</v>
      </c>
      <c r="L255" s="1833">
        <f t="shared" si="43"/>
        <v>135</v>
      </c>
      <c r="M255" s="955" t="s">
        <v>2741</v>
      </c>
      <c r="N255" s="955" t="s">
        <v>3875</v>
      </c>
      <c r="Q255" s="1137"/>
      <c r="R255" s="1756" t="s">
        <v>3817</v>
      </c>
      <c r="S255" s="1137">
        <v>60</v>
      </c>
      <c r="T255" s="1137">
        <f t="shared" si="32"/>
        <v>60</v>
      </c>
      <c r="U255" s="1138">
        <v>1</v>
      </c>
      <c r="V255" s="1139">
        <f t="shared" si="33"/>
        <v>1</v>
      </c>
      <c r="W255" s="1139">
        <v>0</v>
      </c>
      <c r="X255" s="1138">
        <f t="shared" si="35"/>
        <v>0</v>
      </c>
    </row>
    <row r="256" spans="1:24" x14ac:dyDescent="0.4">
      <c r="A256" s="1">
        <v>202966</v>
      </c>
      <c r="B256" s="1">
        <v>60</v>
      </c>
      <c r="C256" s="1">
        <f t="shared" si="40"/>
        <v>300</v>
      </c>
      <c r="D256" s="1975">
        <v>0</v>
      </c>
      <c r="E256" s="1975">
        <v>0</v>
      </c>
      <c r="F256" s="1975">
        <v>0</v>
      </c>
      <c r="G256" s="1975">
        <v>0</v>
      </c>
      <c r="H256" s="1975">
        <v>0</v>
      </c>
      <c r="I256" s="1975">
        <v>1</v>
      </c>
      <c r="J256" s="1976">
        <f t="shared" si="41"/>
        <v>1</v>
      </c>
      <c r="K256" s="1976">
        <f t="shared" si="42"/>
        <v>0</v>
      </c>
      <c r="L256" s="1975">
        <f t="shared" si="43"/>
        <v>0</v>
      </c>
      <c r="M256" s="141" t="s">
        <v>2747</v>
      </c>
      <c r="N256" s="141" t="s">
        <v>3876</v>
      </c>
      <c r="Q256" s="1137"/>
      <c r="R256" s="1756" t="s">
        <v>3818</v>
      </c>
      <c r="S256" s="1137">
        <v>60</v>
      </c>
      <c r="T256" s="1137">
        <f t="shared" si="32"/>
        <v>60</v>
      </c>
      <c r="U256" s="1138">
        <v>1</v>
      </c>
      <c r="V256" s="1139">
        <f t="shared" si="33"/>
        <v>1</v>
      </c>
      <c r="W256" s="1139">
        <v>0</v>
      </c>
      <c r="X256" s="1138">
        <f t="shared" si="35"/>
        <v>0</v>
      </c>
    </row>
    <row r="257" spans="1:24" x14ac:dyDescent="0.4">
      <c r="A257" s="1960">
        <v>202967</v>
      </c>
      <c r="B257" s="1960">
        <v>50</v>
      </c>
      <c r="C257" s="1960">
        <f t="shared" si="40"/>
        <v>250</v>
      </c>
      <c r="D257" s="1961">
        <v>0</v>
      </c>
      <c r="E257" s="1961">
        <v>0</v>
      </c>
      <c r="F257" s="1961">
        <v>0</v>
      </c>
      <c r="G257" s="1961">
        <v>0</v>
      </c>
      <c r="H257" s="1961">
        <v>0</v>
      </c>
      <c r="I257" s="1961">
        <v>0</v>
      </c>
      <c r="J257" s="1962">
        <f t="shared" si="41"/>
        <v>0</v>
      </c>
      <c r="K257" s="1962">
        <f t="shared" si="42"/>
        <v>0</v>
      </c>
      <c r="L257" s="1961">
        <f t="shared" si="43"/>
        <v>0</v>
      </c>
      <c r="M257" s="1963" t="s">
        <v>2747</v>
      </c>
      <c r="N257" s="1963" t="s">
        <v>3876</v>
      </c>
      <c r="Q257" s="1137"/>
      <c r="R257" s="1756" t="s">
        <v>3819</v>
      </c>
      <c r="S257" s="1137">
        <v>60</v>
      </c>
      <c r="T257" s="1137">
        <f t="shared" si="32"/>
        <v>60</v>
      </c>
      <c r="U257" s="1138">
        <v>1</v>
      </c>
      <c r="V257" s="1139">
        <f t="shared" si="33"/>
        <v>1</v>
      </c>
      <c r="W257" s="1139">
        <v>0</v>
      </c>
      <c r="X257" s="1138">
        <f t="shared" si="35"/>
        <v>0</v>
      </c>
    </row>
    <row r="258" spans="1:24" x14ac:dyDescent="0.4">
      <c r="A258" s="36">
        <v>202968</v>
      </c>
      <c r="B258">
        <v>60</v>
      </c>
      <c r="C258" s="36">
        <f t="shared" si="40"/>
        <v>300</v>
      </c>
      <c r="D258" s="1833">
        <v>1</v>
      </c>
      <c r="E258" s="1833">
        <v>1</v>
      </c>
      <c r="F258" s="1833">
        <v>1</v>
      </c>
      <c r="G258" s="1833">
        <v>1</v>
      </c>
      <c r="H258" s="1833">
        <v>1</v>
      </c>
      <c r="I258" s="1833">
        <v>1</v>
      </c>
      <c r="J258" s="1834">
        <f t="shared" si="41"/>
        <v>6</v>
      </c>
      <c r="K258" s="1834">
        <f t="shared" si="42"/>
        <v>5</v>
      </c>
      <c r="L258" s="1833">
        <f t="shared" si="43"/>
        <v>300</v>
      </c>
      <c r="M258" s="955" t="s">
        <v>2749</v>
      </c>
      <c r="N258" s="955" t="s">
        <v>3087</v>
      </c>
      <c r="Q258" s="1137"/>
      <c r="R258" s="1756" t="s">
        <v>3820</v>
      </c>
      <c r="S258" s="1137">
        <v>60</v>
      </c>
      <c r="T258" s="1137">
        <f t="shared" si="32"/>
        <v>60</v>
      </c>
      <c r="U258" s="1138">
        <v>1</v>
      </c>
      <c r="V258" s="1139">
        <f t="shared" si="33"/>
        <v>1</v>
      </c>
      <c r="W258" s="1139">
        <v>0</v>
      </c>
      <c r="X258" s="1138">
        <f t="shared" si="35"/>
        <v>0</v>
      </c>
    </row>
    <row r="259" spans="1:24" x14ac:dyDescent="0.4">
      <c r="A259" s="36">
        <v>202969</v>
      </c>
      <c r="B259">
        <v>60</v>
      </c>
      <c r="C259" s="36">
        <f t="shared" si="40"/>
        <v>300</v>
      </c>
      <c r="D259" s="1833">
        <v>0</v>
      </c>
      <c r="E259" s="1833">
        <v>0</v>
      </c>
      <c r="F259" s="1833">
        <v>0</v>
      </c>
      <c r="G259" s="1833">
        <v>1</v>
      </c>
      <c r="H259" s="1833">
        <v>1</v>
      </c>
      <c r="I259" s="1833">
        <v>1</v>
      </c>
      <c r="J259" s="1834">
        <f t="shared" si="41"/>
        <v>3</v>
      </c>
      <c r="K259" s="1834">
        <f t="shared" si="42"/>
        <v>2</v>
      </c>
      <c r="L259" s="1833">
        <f t="shared" si="43"/>
        <v>120</v>
      </c>
      <c r="M259" s="955" t="s">
        <v>2749</v>
      </c>
      <c r="N259" s="955" t="s">
        <v>3087</v>
      </c>
      <c r="Q259" s="1137"/>
      <c r="R259" s="1756" t="s">
        <v>3821</v>
      </c>
      <c r="S259" s="1137">
        <v>60</v>
      </c>
      <c r="T259" s="1137">
        <f t="shared" si="32"/>
        <v>60</v>
      </c>
      <c r="U259" s="1138">
        <v>1</v>
      </c>
      <c r="V259" s="1139">
        <f t="shared" si="33"/>
        <v>1</v>
      </c>
      <c r="W259" s="1139">
        <v>0</v>
      </c>
      <c r="X259" s="1138">
        <f t="shared" si="35"/>
        <v>0</v>
      </c>
    </row>
    <row r="260" spans="1:24" x14ac:dyDescent="0.4">
      <c r="A260" s="1">
        <v>202970</v>
      </c>
      <c r="B260" s="1">
        <v>45</v>
      </c>
      <c r="C260" s="1">
        <f t="shared" ref="C260:C289" si="44">SUM(B260*5)</f>
        <v>225</v>
      </c>
      <c r="D260" s="2009">
        <v>0</v>
      </c>
      <c r="E260" s="2009">
        <v>0</v>
      </c>
      <c r="F260" s="2009">
        <v>0</v>
      </c>
      <c r="G260" s="2009">
        <v>0</v>
      </c>
      <c r="H260" s="2009">
        <v>0</v>
      </c>
      <c r="I260" s="2009">
        <v>0</v>
      </c>
      <c r="J260" s="2010">
        <f t="shared" ref="J260:J289" si="45">SUM(D260:I260)</f>
        <v>0</v>
      </c>
      <c r="K260" s="2010">
        <f t="shared" ref="K260:K289" si="46">SUM(D260:H260)</f>
        <v>0</v>
      </c>
      <c r="L260" s="2009">
        <f t="shared" ref="L260:L289" si="47">B260*K260</f>
        <v>0</v>
      </c>
      <c r="M260" s="141" t="s">
        <v>3880</v>
      </c>
      <c r="N260" s="141" t="s">
        <v>3093</v>
      </c>
    </row>
    <row r="261" spans="1:24" x14ac:dyDescent="0.4">
      <c r="A261" s="36">
        <v>202971</v>
      </c>
      <c r="B261">
        <v>45</v>
      </c>
      <c r="C261" s="36">
        <f t="shared" si="44"/>
        <v>225</v>
      </c>
      <c r="D261" s="1855">
        <v>0</v>
      </c>
      <c r="E261" s="1855">
        <v>0</v>
      </c>
      <c r="F261" s="1855">
        <v>0</v>
      </c>
      <c r="G261" s="1855">
        <v>0</v>
      </c>
      <c r="H261" s="1855">
        <v>0</v>
      </c>
      <c r="I261" s="1855">
        <v>1</v>
      </c>
      <c r="J261" s="1856">
        <f t="shared" si="45"/>
        <v>1</v>
      </c>
      <c r="K261" s="1856">
        <f t="shared" si="46"/>
        <v>0</v>
      </c>
      <c r="L261" s="1855">
        <f t="shared" si="47"/>
        <v>0</v>
      </c>
      <c r="M261" s="955" t="s">
        <v>2751</v>
      </c>
      <c r="N261" s="955" t="s">
        <v>3094</v>
      </c>
    </row>
    <row r="262" spans="1:24" x14ac:dyDescent="0.4">
      <c r="A262" s="1993">
        <v>202972</v>
      </c>
      <c r="B262" s="1993">
        <v>60</v>
      </c>
      <c r="C262" s="1993">
        <f t="shared" si="44"/>
        <v>300</v>
      </c>
      <c r="D262" s="1994">
        <v>0</v>
      </c>
      <c r="E262" s="1994">
        <v>0</v>
      </c>
      <c r="F262" s="1994">
        <v>0</v>
      </c>
      <c r="G262" s="1994">
        <v>0</v>
      </c>
      <c r="H262" s="1994">
        <v>0</v>
      </c>
      <c r="I262" s="1994">
        <v>0</v>
      </c>
      <c r="J262" s="1995">
        <f t="shared" si="45"/>
        <v>0</v>
      </c>
      <c r="K262" s="1995">
        <f t="shared" si="46"/>
        <v>0</v>
      </c>
      <c r="L262" s="1994">
        <f t="shared" si="47"/>
        <v>0</v>
      </c>
      <c r="M262" s="1996" t="s">
        <v>3881</v>
      </c>
      <c r="N262" s="1996" t="s">
        <v>3099</v>
      </c>
    </row>
    <row r="263" spans="1:24" x14ac:dyDescent="0.4">
      <c r="A263" s="1993">
        <v>202973</v>
      </c>
      <c r="B263" s="1993">
        <v>45</v>
      </c>
      <c r="C263" s="1993">
        <f t="shared" si="44"/>
        <v>225</v>
      </c>
      <c r="D263" s="1994">
        <v>0</v>
      </c>
      <c r="E263" s="1994">
        <v>0</v>
      </c>
      <c r="F263" s="1994">
        <v>0</v>
      </c>
      <c r="G263" s="1994">
        <v>0</v>
      </c>
      <c r="H263" s="1994">
        <v>0</v>
      </c>
      <c r="I263" s="1994">
        <v>0</v>
      </c>
      <c r="J263" s="1995">
        <f t="shared" si="45"/>
        <v>0</v>
      </c>
      <c r="K263" s="1995">
        <f t="shared" si="46"/>
        <v>0</v>
      </c>
      <c r="L263" s="1994">
        <f t="shared" si="47"/>
        <v>0</v>
      </c>
      <c r="M263" s="1996" t="s">
        <v>3881</v>
      </c>
      <c r="N263" s="1996" t="s">
        <v>3099</v>
      </c>
    </row>
    <row r="264" spans="1:24" x14ac:dyDescent="0.4">
      <c r="A264" s="36">
        <v>202974</v>
      </c>
      <c r="B264">
        <v>60</v>
      </c>
      <c r="C264" s="36">
        <f t="shared" si="44"/>
        <v>300</v>
      </c>
      <c r="D264" s="1855">
        <v>0</v>
      </c>
      <c r="E264" s="1855">
        <v>0</v>
      </c>
      <c r="F264" s="1855">
        <v>0</v>
      </c>
      <c r="G264" s="1855">
        <v>0</v>
      </c>
      <c r="H264" s="1855">
        <v>0</v>
      </c>
      <c r="I264" s="1855">
        <v>1</v>
      </c>
      <c r="J264" s="1856">
        <f t="shared" si="45"/>
        <v>1</v>
      </c>
      <c r="K264" s="1856">
        <f t="shared" si="46"/>
        <v>0</v>
      </c>
      <c r="L264" s="1855">
        <f t="shared" si="47"/>
        <v>0</v>
      </c>
      <c r="M264" s="955" t="s">
        <v>3882</v>
      </c>
      <c r="N264" s="955" t="s">
        <v>3101</v>
      </c>
    </row>
    <row r="265" spans="1:24" x14ac:dyDescent="0.4">
      <c r="A265" s="1">
        <v>202975</v>
      </c>
      <c r="B265" s="1">
        <v>50</v>
      </c>
      <c r="C265" s="1">
        <f t="shared" si="44"/>
        <v>250</v>
      </c>
      <c r="D265" s="2009">
        <v>0</v>
      </c>
      <c r="E265" s="2009">
        <v>0</v>
      </c>
      <c r="F265" s="2009">
        <v>0</v>
      </c>
      <c r="G265" s="2009">
        <v>0</v>
      </c>
      <c r="H265" s="2009">
        <v>0</v>
      </c>
      <c r="I265" s="2009">
        <v>0</v>
      </c>
      <c r="J265" s="2010">
        <f t="shared" si="45"/>
        <v>0</v>
      </c>
      <c r="K265" s="2010">
        <f t="shared" si="46"/>
        <v>0</v>
      </c>
      <c r="L265" s="2009">
        <f t="shared" si="47"/>
        <v>0</v>
      </c>
      <c r="M265" s="141" t="s">
        <v>3883</v>
      </c>
      <c r="N265" s="141" t="s">
        <v>3114</v>
      </c>
    </row>
    <row r="266" spans="1:24" x14ac:dyDescent="0.4">
      <c r="A266" s="36">
        <v>202976</v>
      </c>
      <c r="B266">
        <v>60</v>
      </c>
      <c r="C266" s="36">
        <f t="shared" si="44"/>
        <v>300</v>
      </c>
      <c r="D266" s="1855">
        <v>1</v>
      </c>
      <c r="E266" s="1855">
        <v>1</v>
      </c>
      <c r="F266" s="1855">
        <v>1</v>
      </c>
      <c r="G266" s="1855">
        <v>1</v>
      </c>
      <c r="H266" s="1855">
        <v>1</v>
      </c>
      <c r="I266" s="1855">
        <v>1</v>
      </c>
      <c r="J266" s="1856">
        <f t="shared" si="45"/>
        <v>6</v>
      </c>
      <c r="K266" s="1856">
        <f t="shared" si="46"/>
        <v>5</v>
      </c>
      <c r="L266" s="1855">
        <f t="shared" si="47"/>
        <v>300</v>
      </c>
      <c r="M266" s="955" t="s">
        <v>3884</v>
      </c>
      <c r="N266" s="955" t="s">
        <v>3117</v>
      </c>
    </row>
    <row r="267" spans="1:24" x14ac:dyDescent="0.4">
      <c r="A267" s="36">
        <v>202977</v>
      </c>
      <c r="B267">
        <v>60</v>
      </c>
      <c r="C267" s="36">
        <f t="shared" si="44"/>
        <v>300</v>
      </c>
      <c r="D267" s="1855">
        <v>0</v>
      </c>
      <c r="E267" s="1855">
        <v>0</v>
      </c>
      <c r="F267" s="1855">
        <v>0</v>
      </c>
      <c r="G267" s="1855">
        <v>1</v>
      </c>
      <c r="H267" s="1855">
        <v>1</v>
      </c>
      <c r="I267" s="1855">
        <v>1</v>
      </c>
      <c r="J267" s="1856">
        <f t="shared" si="45"/>
        <v>3</v>
      </c>
      <c r="K267" s="1856">
        <f t="shared" si="46"/>
        <v>2</v>
      </c>
      <c r="L267" s="1855">
        <f t="shared" si="47"/>
        <v>120</v>
      </c>
      <c r="M267" s="955" t="s">
        <v>3885</v>
      </c>
      <c r="N267" s="955" t="s">
        <v>3119</v>
      </c>
    </row>
    <row r="268" spans="1:24" x14ac:dyDescent="0.4">
      <c r="A268" s="1982">
        <v>202978</v>
      </c>
      <c r="B268" s="1982">
        <v>60</v>
      </c>
      <c r="C268" s="1982">
        <f t="shared" si="44"/>
        <v>300</v>
      </c>
      <c r="D268" s="1983">
        <v>0</v>
      </c>
      <c r="E268" s="1983">
        <v>0</v>
      </c>
      <c r="F268" s="1983">
        <v>0</v>
      </c>
      <c r="G268" s="1983">
        <v>0</v>
      </c>
      <c r="H268" s="1983">
        <v>0</v>
      </c>
      <c r="I268" s="1983">
        <v>0</v>
      </c>
      <c r="J268" s="1984">
        <f t="shared" si="45"/>
        <v>0</v>
      </c>
      <c r="K268" s="1984">
        <f t="shared" si="46"/>
        <v>0</v>
      </c>
      <c r="L268" s="1983">
        <f t="shared" si="47"/>
        <v>0</v>
      </c>
      <c r="M268" s="1985" t="s">
        <v>2780</v>
      </c>
      <c r="N268" s="1985" t="s">
        <v>3131</v>
      </c>
      <c r="O268" t="s">
        <v>3898</v>
      </c>
    </row>
    <row r="269" spans="1:24" s="1" customFormat="1" x14ac:dyDescent="0.4">
      <c r="A269" s="1">
        <v>202979</v>
      </c>
      <c r="B269" s="1">
        <v>45</v>
      </c>
      <c r="C269" s="1">
        <f t="shared" si="44"/>
        <v>225</v>
      </c>
      <c r="D269" s="1912">
        <v>0</v>
      </c>
      <c r="E269" s="1912">
        <v>0</v>
      </c>
      <c r="F269" s="1912">
        <v>0</v>
      </c>
      <c r="G269" s="1912">
        <v>0</v>
      </c>
      <c r="H269" s="1912">
        <v>0</v>
      </c>
      <c r="I269" s="1912">
        <v>0</v>
      </c>
      <c r="J269" s="1913">
        <f t="shared" si="45"/>
        <v>0</v>
      </c>
      <c r="K269" s="1913">
        <f t="shared" si="46"/>
        <v>0</v>
      </c>
      <c r="L269" s="1912">
        <f t="shared" si="47"/>
        <v>0</v>
      </c>
      <c r="M269" s="141" t="s">
        <v>2780</v>
      </c>
      <c r="N269" s="141" t="s">
        <v>3131</v>
      </c>
      <c r="O269" s="2058" t="s">
        <v>3891</v>
      </c>
      <c r="P269" s="2059"/>
      <c r="Q269" s="2059"/>
      <c r="R269" s="2059"/>
    </row>
    <row r="270" spans="1:24" x14ac:dyDescent="0.4">
      <c r="A270" s="36">
        <v>202980</v>
      </c>
      <c r="B270">
        <v>60</v>
      </c>
      <c r="C270" s="36">
        <f t="shared" si="44"/>
        <v>300</v>
      </c>
      <c r="D270" s="1855">
        <v>0</v>
      </c>
      <c r="E270" s="1855">
        <v>0</v>
      </c>
      <c r="F270" s="1855">
        <v>0</v>
      </c>
      <c r="G270" s="1855">
        <v>0</v>
      </c>
      <c r="H270" s="1855">
        <v>0</v>
      </c>
      <c r="I270" s="1855">
        <v>1</v>
      </c>
      <c r="J270" s="1856">
        <f t="shared" si="45"/>
        <v>1</v>
      </c>
      <c r="K270" s="1856">
        <f t="shared" si="46"/>
        <v>0</v>
      </c>
      <c r="L270" s="1855">
        <f t="shared" si="47"/>
        <v>0</v>
      </c>
      <c r="M270" s="955" t="s">
        <v>2795</v>
      </c>
      <c r="N270" s="955" t="s">
        <v>3889</v>
      </c>
    </row>
    <row r="271" spans="1:24" x14ac:dyDescent="0.4">
      <c r="A271" s="36">
        <v>202981</v>
      </c>
      <c r="B271">
        <v>45</v>
      </c>
      <c r="C271" s="36">
        <f t="shared" si="44"/>
        <v>225</v>
      </c>
      <c r="D271" s="1855">
        <v>0</v>
      </c>
      <c r="E271" s="1855">
        <v>0</v>
      </c>
      <c r="F271" s="1855">
        <v>1</v>
      </c>
      <c r="G271" s="1855">
        <v>1</v>
      </c>
      <c r="H271" s="1855">
        <v>1</v>
      </c>
      <c r="I271" s="1855">
        <v>1</v>
      </c>
      <c r="J271" s="1856">
        <f t="shared" si="45"/>
        <v>4</v>
      </c>
      <c r="K271" s="1856">
        <f t="shared" si="46"/>
        <v>3</v>
      </c>
      <c r="L271" s="1855">
        <f t="shared" si="47"/>
        <v>135</v>
      </c>
      <c r="M271" s="955" t="s">
        <v>2802</v>
      </c>
      <c r="N271" s="955" t="s">
        <v>3136</v>
      </c>
    </row>
    <row r="272" spans="1:24" x14ac:dyDescent="0.4">
      <c r="A272" s="22">
        <v>202982</v>
      </c>
      <c r="B272" s="22">
        <v>60</v>
      </c>
      <c r="C272" s="22">
        <f t="shared" si="44"/>
        <v>300</v>
      </c>
      <c r="D272" s="557">
        <v>0</v>
      </c>
      <c r="E272" s="557">
        <v>0</v>
      </c>
      <c r="F272" s="557">
        <v>0</v>
      </c>
      <c r="G272" s="557">
        <v>0</v>
      </c>
      <c r="H272" s="557">
        <v>0</v>
      </c>
      <c r="I272" s="557">
        <v>0</v>
      </c>
      <c r="J272" s="24">
        <f t="shared" si="45"/>
        <v>0</v>
      </c>
      <c r="K272" s="24">
        <f t="shared" si="46"/>
        <v>0</v>
      </c>
      <c r="L272" s="557">
        <f t="shared" si="47"/>
        <v>0</v>
      </c>
      <c r="M272" s="29" t="s">
        <v>3890</v>
      </c>
      <c r="N272" s="29" t="s">
        <v>3141</v>
      </c>
    </row>
    <row r="273" spans="1:15" x14ac:dyDescent="0.4">
      <c r="A273" s="36">
        <v>202983</v>
      </c>
      <c r="B273">
        <v>45</v>
      </c>
      <c r="C273" s="36">
        <f t="shared" si="44"/>
        <v>225</v>
      </c>
      <c r="D273" s="1855">
        <v>0</v>
      </c>
      <c r="E273" s="1855">
        <v>0</v>
      </c>
      <c r="F273" s="1855">
        <v>0</v>
      </c>
      <c r="G273" s="1855">
        <v>0</v>
      </c>
      <c r="H273" s="1855">
        <v>1</v>
      </c>
      <c r="I273" s="1855">
        <v>1</v>
      </c>
      <c r="J273" s="1856">
        <f t="shared" si="45"/>
        <v>2</v>
      </c>
      <c r="K273" s="1856">
        <f t="shared" si="46"/>
        <v>1</v>
      </c>
      <c r="L273" s="1855">
        <f t="shared" si="47"/>
        <v>45</v>
      </c>
      <c r="M273" s="955" t="s">
        <v>2808</v>
      </c>
      <c r="N273" s="955" t="s">
        <v>3139</v>
      </c>
    </row>
    <row r="274" spans="1:15" x14ac:dyDescent="0.4">
      <c r="A274" s="22">
        <v>202984</v>
      </c>
      <c r="B274" s="22">
        <v>45</v>
      </c>
      <c r="C274" s="22">
        <f t="shared" si="44"/>
        <v>225</v>
      </c>
      <c r="D274" s="557">
        <v>0</v>
      </c>
      <c r="E274" s="557">
        <v>0</v>
      </c>
      <c r="F274" s="557">
        <v>0</v>
      </c>
      <c r="G274" s="557">
        <v>0</v>
      </c>
      <c r="H274" s="557">
        <v>0</v>
      </c>
      <c r="I274" s="557">
        <v>0</v>
      </c>
      <c r="J274" s="24">
        <f t="shared" si="45"/>
        <v>0</v>
      </c>
      <c r="K274" s="24">
        <f t="shared" si="46"/>
        <v>0</v>
      </c>
      <c r="L274" s="557">
        <f t="shared" si="47"/>
        <v>0</v>
      </c>
      <c r="M274" s="29" t="s">
        <v>2827</v>
      </c>
      <c r="N274" s="29" t="s">
        <v>3892</v>
      </c>
    </row>
    <row r="275" spans="1:15" x14ac:dyDescent="0.4">
      <c r="A275" s="1947">
        <v>202985</v>
      </c>
      <c r="B275" s="1947">
        <v>50</v>
      </c>
      <c r="C275" s="1947">
        <f t="shared" si="44"/>
        <v>250</v>
      </c>
      <c r="D275" s="1948">
        <v>0</v>
      </c>
      <c r="E275" s="1948">
        <v>0</v>
      </c>
      <c r="F275" s="1948">
        <v>0</v>
      </c>
      <c r="G275" s="1948">
        <v>0</v>
      </c>
      <c r="H275" s="1948">
        <v>0</v>
      </c>
      <c r="I275" s="1948">
        <v>0</v>
      </c>
      <c r="J275" s="1949">
        <f t="shared" si="45"/>
        <v>0</v>
      </c>
      <c r="K275" s="1949">
        <f t="shared" si="46"/>
        <v>0</v>
      </c>
      <c r="L275" s="1948">
        <f t="shared" si="47"/>
        <v>0</v>
      </c>
      <c r="M275" s="2027">
        <v>44158</v>
      </c>
      <c r="N275" s="2027">
        <v>44523</v>
      </c>
    </row>
    <row r="276" spans="1:15" x14ac:dyDescent="0.4">
      <c r="A276" s="36">
        <v>202986</v>
      </c>
      <c r="B276">
        <v>60</v>
      </c>
      <c r="C276" s="36">
        <f t="shared" si="44"/>
        <v>300</v>
      </c>
      <c r="D276" s="1855">
        <v>0</v>
      </c>
      <c r="E276" s="1855">
        <v>0</v>
      </c>
      <c r="F276" s="1855">
        <v>0</v>
      </c>
      <c r="G276" s="1855">
        <v>1</v>
      </c>
      <c r="H276" s="1855">
        <v>1</v>
      </c>
      <c r="I276" s="1855">
        <v>1</v>
      </c>
      <c r="J276" s="1856">
        <f t="shared" si="45"/>
        <v>3</v>
      </c>
      <c r="K276" s="1856">
        <f t="shared" si="46"/>
        <v>2</v>
      </c>
      <c r="L276" s="1855">
        <f t="shared" si="47"/>
        <v>120</v>
      </c>
      <c r="M276" s="56">
        <v>44160</v>
      </c>
      <c r="N276" s="56">
        <v>44525</v>
      </c>
    </row>
    <row r="277" spans="1:15" x14ac:dyDescent="0.4">
      <c r="A277" s="36">
        <v>202987</v>
      </c>
      <c r="B277">
        <v>50</v>
      </c>
      <c r="C277" s="36">
        <f t="shared" si="44"/>
        <v>250</v>
      </c>
      <c r="D277" s="1855">
        <v>0</v>
      </c>
      <c r="E277" s="1855">
        <v>0</v>
      </c>
      <c r="F277" s="1855">
        <v>0</v>
      </c>
      <c r="G277" s="1855">
        <v>0</v>
      </c>
      <c r="H277" s="1855">
        <v>1</v>
      </c>
      <c r="I277" s="1855">
        <v>1</v>
      </c>
      <c r="J277" s="1856">
        <f t="shared" si="45"/>
        <v>2</v>
      </c>
      <c r="K277" s="1856">
        <f t="shared" si="46"/>
        <v>1</v>
      </c>
      <c r="L277" s="1855">
        <f t="shared" si="47"/>
        <v>50</v>
      </c>
      <c r="M277" s="56">
        <v>44161</v>
      </c>
      <c r="N277" s="56">
        <v>44526</v>
      </c>
    </row>
    <row r="278" spans="1:15" x14ac:dyDescent="0.4">
      <c r="A278" s="36">
        <v>202988</v>
      </c>
      <c r="B278">
        <v>60</v>
      </c>
      <c r="C278" s="36">
        <f t="shared" si="44"/>
        <v>300</v>
      </c>
      <c r="D278" s="1855">
        <v>0</v>
      </c>
      <c r="E278" s="1855">
        <v>0</v>
      </c>
      <c r="F278" s="1855">
        <v>0</v>
      </c>
      <c r="G278" s="1855">
        <v>0</v>
      </c>
      <c r="H278" s="1855">
        <v>1</v>
      </c>
      <c r="I278" s="1855">
        <v>1</v>
      </c>
      <c r="J278" s="1856">
        <f t="shared" si="45"/>
        <v>2</v>
      </c>
      <c r="K278" s="1856">
        <f t="shared" si="46"/>
        <v>1</v>
      </c>
      <c r="L278" s="1855">
        <f t="shared" si="47"/>
        <v>60</v>
      </c>
      <c r="M278" s="56">
        <v>44161</v>
      </c>
      <c r="N278" s="56">
        <v>44526</v>
      </c>
    </row>
    <row r="279" spans="1:15" x14ac:dyDescent="0.4">
      <c r="A279" s="36">
        <v>202989</v>
      </c>
      <c r="B279">
        <v>60</v>
      </c>
      <c r="C279" s="36">
        <f t="shared" si="44"/>
        <v>300</v>
      </c>
      <c r="D279" s="1855">
        <v>0</v>
      </c>
      <c r="E279" s="1855">
        <v>0</v>
      </c>
      <c r="F279" s="1855">
        <v>0</v>
      </c>
      <c r="G279" s="1855">
        <v>1</v>
      </c>
      <c r="H279" s="1855">
        <v>1</v>
      </c>
      <c r="I279" s="1855">
        <v>1</v>
      </c>
      <c r="J279" s="1856">
        <f t="shared" si="45"/>
        <v>3</v>
      </c>
      <c r="K279" s="1856">
        <f t="shared" si="46"/>
        <v>2</v>
      </c>
      <c r="L279" s="1855">
        <f t="shared" si="47"/>
        <v>120</v>
      </c>
      <c r="M279" s="56">
        <v>44162</v>
      </c>
      <c r="N279" s="56">
        <v>44527</v>
      </c>
    </row>
    <row r="280" spans="1:15" x14ac:dyDescent="0.4">
      <c r="A280" s="36">
        <v>202990</v>
      </c>
      <c r="B280">
        <v>63</v>
      </c>
      <c r="C280" s="36">
        <f t="shared" si="44"/>
        <v>315</v>
      </c>
      <c r="D280" s="1855">
        <v>0</v>
      </c>
      <c r="E280" s="1855">
        <v>0</v>
      </c>
      <c r="F280" s="1855">
        <v>1</v>
      </c>
      <c r="G280" s="1855">
        <v>1</v>
      </c>
      <c r="H280" s="1855">
        <v>1</v>
      </c>
      <c r="I280" s="1855">
        <v>1</v>
      </c>
      <c r="J280" s="1856">
        <f t="shared" si="45"/>
        <v>4</v>
      </c>
      <c r="K280" s="1856">
        <f t="shared" si="46"/>
        <v>3</v>
      </c>
      <c r="L280" s="1855">
        <f t="shared" si="47"/>
        <v>189</v>
      </c>
      <c r="M280" s="56">
        <v>44162</v>
      </c>
      <c r="N280" s="56">
        <v>44527</v>
      </c>
    </row>
    <row r="281" spans="1:15" x14ac:dyDescent="0.4">
      <c r="A281" s="36">
        <v>202991</v>
      </c>
      <c r="B281">
        <v>60</v>
      </c>
      <c r="C281" s="36">
        <f t="shared" si="44"/>
        <v>300</v>
      </c>
      <c r="D281" s="1855">
        <v>0</v>
      </c>
      <c r="E281" s="1855">
        <v>0</v>
      </c>
      <c r="F281" s="1855">
        <v>1</v>
      </c>
      <c r="G281" s="1855">
        <v>1</v>
      </c>
      <c r="H281" s="1855">
        <v>1</v>
      </c>
      <c r="I281" s="1855">
        <v>1</v>
      </c>
      <c r="J281" s="1856">
        <f t="shared" si="45"/>
        <v>4</v>
      </c>
      <c r="K281" s="1856">
        <f t="shared" si="46"/>
        <v>3</v>
      </c>
      <c r="L281" s="1855">
        <f t="shared" si="47"/>
        <v>180</v>
      </c>
      <c r="M281" s="56">
        <v>44164</v>
      </c>
      <c r="N281" s="56">
        <v>44529</v>
      </c>
    </row>
    <row r="282" spans="1:15" x14ac:dyDescent="0.4">
      <c r="A282" s="36">
        <v>202992</v>
      </c>
      <c r="B282">
        <v>45</v>
      </c>
      <c r="C282" s="36">
        <f t="shared" si="44"/>
        <v>225</v>
      </c>
      <c r="D282" s="1855">
        <v>0</v>
      </c>
      <c r="E282" s="1855">
        <v>0</v>
      </c>
      <c r="F282" s="1855">
        <v>1</v>
      </c>
      <c r="G282" s="1855">
        <v>1</v>
      </c>
      <c r="H282" s="1855">
        <v>1</v>
      </c>
      <c r="I282" s="1855">
        <v>1</v>
      </c>
      <c r="J282" s="1856">
        <f t="shared" si="45"/>
        <v>4</v>
      </c>
      <c r="K282" s="1856">
        <f t="shared" si="46"/>
        <v>3</v>
      </c>
      <c r="L282" s="1855">
        <f t="shared" si="47"/>
        <v>135</v>
      </c>
      <c r="M282" s="56">
        <v>44167</v>
      </c>
      <c r="N282" s="56">
        <v>44532</v>
      </c>
    </row>
    <row r="283" spans="1:15" x14ac:dyDescent="0.4">
      <c r="A283" s="36">
        <v>202993</v>
      </c>
      <c r="B283">
        <v>60</v>
      </c>
      <c r="C283" s="36">
        <f t="shared" si="44"/>
        <v>300</v>
      </c>
      <c r="D283" s="1855">
        <v>0</v>
      </c>
      <c r="E283" s="1855">
        <v>1</v>
      </c>
      <c r="F283" s="1855">
        <v>1</v>
      </c>
      <c r="G283" s="1855">
        <v>1</v>
      </c>
      <c r="H283" s="1855">
        <v>1</v>
      </c>
      <c r="I283" s="1855">
        <v>1</v>
      </c>
      <c r="J283" s="1856">
        <f t="shared" si="45"/>
        <v>5</v>
      </c>
      <c r="K283" s="1856">
        <f t="shared" si="46"/>
        <v>4</v>
      </c>
      <c r="L283" s="1855">
        <f t="shared" si="47"/>
        <v>240</v>
      </c>
      <c r="M283" s="56">
        <v>44171</v>
      </c>
      <c r="N283" s="56">
        <v>44536</v>
      </c>
    </row>
    <row r="284" spans="1:15" x14ac:dyDescent="0.4">
      <c r="A284" s="1960">
        <v>202994</v>
      </c>
      <c r="B284" s="1960">
        <v>60</v>
      </c>
      <c r="C284" s="1960">
        <f t="shared" si="44"/>
        <v>300</v>
      </c>
      <c r="D284" s="1961">
        <v>0</v>
      </c>
      <c r="E284" s="1961">
        <v>0</v>
      </c>
      <c r="F284" s="1961">
        <v>0</v>
      </c>
      <c r="G284" s="1961">
        <v>0</v>
      </c>
      <c r="H284" s="1961">
        <v>0</v>
      </c>
      <c r="I284" s="1961">
        <v>0</v>
      </c>
      <c r="J284" s="1962">
        <f t="shared" si="45"/>
        <v>0</v>
      </c>
      <c r="K284" s="1962">
        <f t="shared" si="46"/>
        <v>0</v>
      </c>
      <c r="L284" s="1961">
        <f t="shared" si="47"/>
        <v>0</v>
      </c>
      <c r="M284" s="1977">
        <v>44171</v>
      </c>
      <c r="N284" s="1977">
        <v>44536</v>
      </c>
    </row>
    <row r="285" spans="1:15" x14ac:dyDescent="0.4">
      <c r="A285" s="123">
        <v>202995</v>
      </c>
      <c r="B285" s="123">
        <v>45</v>
      </c>
      <c r="C285" s="123">
        <f t="shared" si="44"/>
        <v>225</v>
      </c>
      <c r="D285" s="1884">
        <v>0</v>
      </c>
      <c r="E285" s="1884">
        <v>0</v>
      </c>
      <c r="F285" s="1884">
        <v>0</v>
      </c>
      <c r="G285" s="1884">
        <v>0</v>
      </c>
      <c r="H285" s="1884">
        <v>0</v>
      </c>
      <c r="I285" s="1884">
        <v>0</v>
      </c>
      <c r="J285" s="253">
        <f t="shared" si="45"/>
        <v>0</v>
      </c>
      <c r="K285" s="253">
        <f t="shared" si="46"/>
        <v>0</v>
      </c>
      <c r="L285" s="1884">
        <f t="shared" si="47"/>
        <v>0</v>
      </c>
      <c r="O285" t="s">
        <v>3895</v>
      </c>
    </row>
    <row r="286" spans="1:15" x14ac:dyDescent="0.4">
      <c r="A286" s="5">
        <v>202996</v>
      </c>
      <c r="B286" s="5">
        <v>60</v>
      </c>
      <c r="C286" s="5">
        <f t="shared" ref="C286" si="48">SUM(B286*5)</f>
        <v>300</v>
      </c>
      <c r="D286" s="2011">
        <v>0</v>
      </c>
      <c r="E286" s="2011">
        <v>0</v>
      </c>
      <c r="F286" s="2011">
        <v>0</v>
      </c>
      <c r="G286" s="2011">
        <v>0</v>
      </c>
      <c r="H286" s="2011">
        <v>0</v>
      </c>
      <c r="I286" s="2011">
        <v>0</v>
      </c>
      <c r="J286" s="1929">
        <f t="shared" ref="J286" si="49">SUM(D286:I286)</f>
        <v>0</v>
      </c>
      <c r="K286" s="1929">
        <f t="shared" ref="K286" si="50">SUM(D286:H286)</f>
        <v>0</v>
      </c>
      <c r="L286" s="2011">
        <f t="shared" ref="L286" si="51">B286*K286</f>
        <v>0</v>
      </c>
      <c r="M286" s="2014">
        <v>44127</v>
      </c>
      <c r="N286" s="2014">
        <v>44309</v>
      </c>
    </row>
    <row r="287" spans="1:15" x14ac:dyDescent="0.4">
      <c r="A287" s="36">
        <v>202997</v>
      </c>
      <c r="B287">
        <v>45</v>
      </c>
      <c r="C287" s="36">
        <f t="shared" si="44"/>
        <v>225</v>
      </c>
      <c r="D287" s="1855">
        <v>0</v>
      </c>
      <c r="E287" s="1855">
        <v>1</v>
      </c>
      <c r="F287" s="1855">
        <v>1</v>
      </c>
      <c r="G287" s="1855">
        <v>1</v>
      </c>
      <c r="H287" s="1855">
        <v>1</v>
      </c>
      <c r="I287" s="1855">
        <v>1</v>
      </c>
      <c r="J287" s="1856">
        <f t="shared" si="45"/>
        <v>5</v>
      </c>
      <c r="K287" s="1856">
        <f t="shared" si="46"/>
        <v>4</v>
      </c>
      <c r="L287" s="1855">
        <f t="shared" si="47"/>
        <v>180</v>
      </c>
      <c r="M287" s="56">
        <v>44173</v>
      </c>
      <c r="N287" s="56">
        <v>44355</v>
      </c>
    </row>
    <row r="288" spans="1:15" x14ac:dyDescent="0.4">
      <c r="A288" s="1960">
        <v>202998</v>
      </c>
      <c r="B288" s="1960">
        <v>45</v>
      </c>
      <c r="C288" s="1960">
        <f t="shared" si="44"/>
        <v>225</v>
      </c>
      <c r="D288" s="1961">
        <v>0</v>
      </c>
      <c r="E288" s="1961">
        <v>0</v>
      </c>
      <c r="F288" s="1961">
        <v>0</v>
      </c>
      <c r="G288" s="1961">
        <v>0</v>
      </c>
      <c r="H288" s="1961">
        <v>0</v>
      </c>
      <c r="I288" s="1961">
        <v>0</v>
      </c>
      <c r="J288" s="1962">
        <f t="shared" si="45"/>
        <v>0</v>
      </c>
      <c r="K288" s="1962">
        <f t="shared" si="46"/>
        <v>0</v>
      </c>
      <c r="L288" s="1961">
        <f t="shared" si="47"/>
        <v>0</v>
      </c>
      <c r="M288" s="1977">
        <v>44174</v>
      </c>
      <c r="N288" s="1977">
        <v>44356</v>
      </c>
    </row>
    <row r="289" spans="1:14" x14ac:dyDescent="0.4">
      <c r="A289" s="1947">
        <v>202999</v>
      </c>
      <c r="B289" s="1947">
        <v>60</v>
      </c>
      <c r="C289" s="1947">
        <f t="shared" si="44"/>
        <v>300</v>
      </c>
      <c r="D289" s="1948">
        <v>0</v>
      </c>
      <c r="E289" s="1948">
        <v>0</v>
      </c>
      <c r="F289" s="1948">
        <v>0</v>
      </c>
      <c r="G289" s="1948">
        <v>0</v>
      </c>
      <c r="H289" s="1948">
        <v>0</v>
      </c>
      <c r="I289" s="1948">
        <v>0</v>
      </c>
      <c r="J289" s="1949">
        <f t="shared" si="45"/>
        <v>0</v>
      </c>
      <c r="K289" s="1949">
        <f t="shared" si="46"/>
        <v>0</v>
      </c>
      <c r="L289" s="1948">
        <f t="shared" si="47"/>
        <v>0</v>
      </c>
      <c r="M289" s="2027">
        <v>44178</v>
      </c>
      <c r="N289" s="2027">
        <v>44360</v>
      </c>
    </row>
  </sheetData>
  <mergeCells count="16">
    <mergeCell ref="O269:R269"/>
    <mergeCell ref="N4:N5"/>
    <mergeCell ref="A52:A53"/>
    <mergeCell ref="D5:I5"/>
    <mergeCell ref="A4:A5"/>
    <mergeCell ref="D4:I4"/>
    <mergeCell ref="M4:M5"/>
    <mergeCell ref="A110:A111"/>
    <mergeCell ref="N110:N111"/>
    <mergeCell ref="M110:M111"/>
    <mergeCell ref="O110:V111"/>
    <mergeCell ref="B110:B111"/>
    <mergeCell ref="C110:C111"/>
    <mergeCell ref="J110:J111"/>
    <mergeCell ref="K110:K111"/>
    <mergeCell ref="L110:L111"/>
  </mergeCells>
  <phoneticPr fontId="1" type="noConversion"/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G21"/>
  <sheetViews>
    <sheetView zoomScale="145" zoomScaleNormal="145" workbookViewId="0">
      <selection activeCell="D16" sqref="D16"/>
    </sheetView>
  </sheetViews>
  <sheetFormatPr defaultRowHeight="17.399999999999999" x14ac:dyDescent="0.4"/>
  <cols>
    <col min="1" max="1" width="14.69921875" customWidth="1"/>
    <col min="2" max="9" width="17.69921875" customWidth="1"/>
  </cols>
  <sheetData>
    <row r="2" spans="1:7" x14ac:dyDescent="0.4">
      <c r="A2" s="1645" t="s">
        <v>3620</v>
      </c>
      <c r="B2" t="s">
        <v>3566</v>
      </c>
      <c r="C2" t="s">
        <v>3567</v>
      </c>
      <c r="D2" t="s">
        <v>3682</v>
      </c>
      <c r="E2" t="s">
        <v>3568</v>
      </c>
    </row>
    <row r="3" spans="1:7" x14ac:dyDescent="0.4">
      <c r="A3">
        <v>2012</v>
      </c>
      <c r="B3" s="1590">
        <v>17150</v>
      </c>
      <c r="C3" s="1590">
        <v>585</v>
      </c>
      <c r="D3" s="1590">
        <f>SUM('OCT2012'!M2)</f>
        <v>585</v>
      </c>
      <c r="E3" s="1591">
        <f>C3/B3</f>
        <v>3.4110787172011658E-2</v>
      </c>
      <c r="G3" s="1592" t="s">
        <v>3569</v>
      </c>
    </row>
    <row r="4" spans="1:7" x14ac:dyDescent="0.4">
      <c r="A4">
        <v>2013</v>
      </c>
      <c r="B4" s="1590">
        <v>52043</v>
      </c>
      <c r="C4" s="1590">
        <v>2040</v>
      </c>
      <c r="D4" s="1590">
        <f>SUM('2013'!L3)</f>
        <v>2040</v>
      </c>
      <c r="E4" s="1591">
        <f t="shared" ref="E4:E11" si="0">C4/B4</f>
        <v>3.919835520627174E-2</v>
      </c>
    </row>
    <row r="5" spans="1:7" x14ac:dyDescent="0.4">
      <c r="A5">
        <v>2014</v>
      </c>
      <c r="B5" s="1590">
        <v>71420</v>
      </c>
      <c r="C5" s="1590">
        <v>4740</v>
      </c>
      <c r="D5" s="1590">
        <f>SUM('2014'!L3)</f>
        <v>4740</v>
      </c>
      <c r="E5" s="1591">
        <f t="shared" si="0"/>
        <v>6.6367964155698678E-2</v>
      </c>
    </row>
    <row r="6" spans="1:7" x14ac:dyDescent="0.4">
      <c r="A6">
        <v>2015</v>
      </c>
      <c r="B6" s="1590">
        <v>78825</v>
      </c>
      <c r="C6" s="1590">
        <v>4909</v>
      </c>
      <c r="D6" s="1590">
        <f>SUM('2015'!L3)</f>
        <v>4909</v>
      </c>
      <c r="E6" s="1591">
        <f t="shared" si="0"/>
        <v>6.2277196320964158E-2</v>
      </c>
    </row>
    <row r="7" spans="1:7" x14ac:dyDescent="0.4">
      <c r="A7">
        <v>2016</v>
      </c>
      <c r="B7" s="1590">
        <v>84775</v>
      </c>
      <c r="C7" s="1590">
        <v>6530</v>
      </c>
      <c r="D7" s="1590">
        <f>SUM('2016'!L3)</f>
        <v>6530</v>
      </c>
      <c r="E7" s="1591">
        <f t="shared" si="0"/>
        <v>7.7027425538189323E-2</v>
      </c>
    </row>
    <row r="8" spans="1:7" x14ac:dyDescent="0.4">
      <c r="A8">
        <v>2017</v>
      </c>
      <c r="B8" s="1590">
        <v>102835</v>
      </c>
      <c r="C8" s="1590">
        <v>7130</v>
      </c>
      <c r="D8" s="1590">
        <f>SUM('2017'!L3)</f>
        <v>7130</v>
      </c>
      <c r="E8" s="1591">
        <f t="shared" si="0"/>
        <v>6.9334370593669467E-2</v>
      </c>
    </row>
    <row r="9" spans="1:7" x14ac:dyDescent="0.4">
      <c r="A9">
        <v>2018</v>
      </c>
      <c r="B9" s="1593">
        <f>'2018'!C3</f>
        <v>126435</v>
      </c>
      <c r="C9" s="1594">
        <f>'2018'!L3</f>
        <v>10480</v>
      </c>
      <c r="D9" s="1769">
        <f>SUM('2018'!K3)</f>
        <v>7560</v>
      </c>
      <c r="E9" s="1595">
        <f t="shared" si="0"/>
        <v>8.2888440700755323E-2</v>
      </c>
      <c r="F9" t="s">
        <v>3888</v>
      </c>
    </row>
    <row r="10" spans="1:7" x14ac:dyDescent="0.4">
      <c r="A10">
        <v>2019</v>
      </c>
      <c r="B10" s="1593">
        <f>'2019'!C3</f>
        <v>162030</v>
      </c>
      <c r="C10" s="1594">
        <f>'2019'!L3</f>
        <v>21735</v>
      </c>
      <c r="D10" s="1594"/>
      <c r="E10" s="1595">
        <f t="shared" si="0"/>
        <v>0.13414182558785409</v>
      </c>
    </row>
    <row r="11" spans="1:7" x14ac:dyDescent="0.4">
      <c r="A11">
        <v>2020</v>
      </c>
      <c r="B11" s="1593">
        <f>'2020'!C3</f>
        <v>55735</v>
      </c>
      <c r="C11" s="1594">
        <f>'2020'!L3</f>
        <v>14434</v>
      </c>
      <c r="D11" s="1594"/>
      <c r="E11" s="1595">
        <f t="shared" si="0"/>
        <v>0.25897550910558897</v>
      </c>
      <c r="G11" s="1593"/>
    </row>
    <row r="12" spans="1:7" x14ac:dyDescent="0.4">
      <c r="B12" s="1593"/>
      <c r="C12" s="1594"/>
      <c r="D12" s="1594"/>
      <c r="E12" s="1595"/>
      <c r="G12" s="1593"/>
    </row>
    <row r="13" spans="1:7" x14ac:dyDescent="0.4">
      <c r="A13" s="1768"/>
      <c r="B13" s="1694"/>
      <c r="C13" s="1594"/>
      <c r="D13" s="1594"/>
      <c r="E13" s="1595"/>
      <c r="G13" s="1593"/>
    </row>
    <row r="14" spans="1:7" x14ac:dyDescent="0.4">
      <c r="A14" s="1643" t="s">
        <v>3831</v>
      </c>
      <c r="B14" s="1644"/>
      <c r="C14" s="1644">
        <f>SUM(C3:C11)</f>
        <v>72583</v>
      </c>
      <c r="D14" s="1593"/>
      <c r="E14" s="264"/>
      <c r="G14" s="1759"/>
    </row>
    <row r="15" spans="1:7" x14ac:dyDescent="0.4">
      <c r="B15" s="1593"/>
      <c r="C15" s="1593"/>
      <c r="D15" s="1593"/>
      <c r="E15" s="264"/>
      <c r="G15" s="1759"/>
    </row>
    <row r="16" spans="1:7" x14ac:dyDescent="0.4">
      <c r="A16" t="s">
        <v>3832</v>
      </c>
      <c r="B16" s="1593"/>
      <c r="C16" s="1593">
        <f>SUM(C3:C8)</f>
        <v>25934</v>
      </c>
      <c r="D16" s="1593"/>
      <c r="E16" s="264"/>
    </row>
    <row r="17" spans="1:5" x14ac:dyDescent="0.4">
      <c r="A17" s="1643" t="s">
        <v>3616</v>
      </c>
      <c r="B17" s="1644"/>
      <c r="C17" s="1644">
        <f>D9</f>
        <v>7560</v>
      </c>
      <c r="D17" s="1694"/>
      <c r="E17" s="264"/>
    </row>
    <row r="18" spans="1:5" x14ac:dyDescent="0.4">
      <c r="B18" s="1593" t="s">
        <v>3617</v>
      </c>
      <c r="C18" s="1593">
        <f>SUM(C16:C17)</f>
        <v>33494</v>
      </c>
      <c r="D18" s="1593"/>
      <c r="E18" s="264"/>
    </row>
    <row r="19" spans="1:5" x14ac:dyDescent="0.4">
      <c r="B19" s="1593"/>
      <c r="C19" s="1593"/>
      <c r="D19" s="1593"/>
      <c r="E19" s="1593"/>
    </row>
    <row r="20" spans="1:5" x14ac:dyDescent="0.4">
      <c r="B20" s="1593" t="s">
        <v>3618</v>
      </c>
      <c r="C20" s="1593" t="s">
        <v>3619</v>
      </c>
      <c r="D20" s="1593"/>
      <c r="E20" s="264"/>
    </row>
    <row r="21" spans="1:5" x14ac:dyDescent="0.4">
      <c r="A21" s="1643" t="s">
        <v>3570</v>
      </c>
      <c r="B21" s="1644">
        <f>SUM(B3:B14)</f>
        <v>751248</v>
      </c>
      <c r="C21" s="1644">
        <f>C14-C18</f>
        <v>39089</v>
      </c>
      <c r="D21" s="1593"/>
      <c r="E21" s="264"/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46"/>
  <sheetViews>
    <sheetView workbookViewId="0">
      <selection activeCell="R27" sqref="R27"/>
    </sheetView>
  </sheetViews>
  <sheetFormatPr defaultRowHeight="17.399999999999999" x14ac:dyDescent="0.4"/>
  <cols>
    <col min="13" max="13" width="11.09765625" bestFit="1" customWidth="1"/>
  </cols>
  <sheetData>
    <row r="1" spans="1:17" x14ac:dyDescent="0.4">
      <c r="A1" s="5"/>
      <c r="B1" s="204"/>
      <c r="C1" s="204" t="s">
        <v>171</v>
      </c>
      <c r="D1" s="204"/>
      <c r="E1" s="204"/>
      <c r="F1" s="204"/>
      <c r="G1" s="204"/>
      <c r="H1" s="204"/>
      <c r="I1" s="204"/>
      <c r="J1" s="5"/>
      <c r="K1" s="5"/>
      <c r="L1" s="204" t="s">
        <v>171</v>
      </c>
      <c r="M1" s="204"/>
      <c r="N1" s="204"/>
      <c r="O1" s="204"/>
      <c r="P1" s="204"/>
      <c r="Q1" s="204"/>
    </row>
    <row r="2" spans="1:17" x14ac:dyDescent="0.4">
      <c r="A2" s="5" t="s">
        <v>172</v>
      </c>
      <c r="B2" s="204"/>
      <c r="C2" s="204" t="s">
        <v>173</v>
      </c>
      <c r="D2" s="204" t="s">
        <v>174</v>
      </c>
      <c r="E2" s="204"/>
      <c r="F2" s="204"/>
      <c r="G2" s="204"/>
      <c r="H2" s="204"/>
      <c r="I2" s="204"/>
      <c r="J2" s="5"/>
      <c r="K2" s="5"/>
      <c r="L2" s="204" t="s">
        <v>175</v>
      </c>
      <c r="M2" s="204"/>
      <c r="N2" s="204"/>
      <c r="O2" s="204"/>
      <c r="P2" s="204"/>
      <c r="Q2" s="204"/>
    </row>
    <row r="3" spans="1:17" x14ac:dyDescent="0.4">
      <c r="A3" s="36"/>
      <c r="B3" s="205"/>
      <c r="C3" s="205">
        <f>SUM(C7:C306)</f>
        <v>0</v>
      </c>
      <c r="D3" s="205"/>
      <c r="E3" s="205"/>
      <c r="F3" s="205"/>
      <c r="G3" s="205"/>
      <c r="H3" s="205"/>
      <c r="I3" s="205"/>
      <c r="J3" s="36"/>
      <c r="K3" s="36"/>
      <c r="L3" s="205">
        <f>SUM(L7:L306)</f>
        <v>0</v>
      </c>
      <c r="M3" s="205"/>
      <c r="N3" s="205"/>
      <c r="O3" s="205"/>
      <c r="P3" s="205"/>
      <c r="Q3" s="205"/>
    </row>
    <row r="4" spans="1:17" x14ac:dyDescent="0.4">
      <c r="A4" s="2035" t="s">
        <v>182</v>
      </c>
      <c r="B4" s="203" t="s">
        <v>176</v>
      </c>
      <c r="C4" s="203" t="s">
        <v>177</v>
      </c>
      <c r="D4" s="2041"/>
      <c r="E4" s="2042"/>
      <c r="F4" s="2042"/>
      <c r="G4" s="2042"/>
      <c r="H4" s="2042"/>
      <c r="I4" s="2043"/>
      <c r="J4" s="33" t="s">
        <v>178</v>
      </c>
      <c r="K4" s="33" t="s">
        <v>179</v>
      </c>
      <c r="L4" s="33" t="s">
        <v>896</v>
      </c>
      <c r="M4" s="2035" t="s">
        <v>187</v>
      </c>
      <c r="N4" s="2035" t="s">
        <v>188</v>
      </c>
      <c r="O4" s="203" t="s">
        <v>180</v>
      </c>
      <c r="P4" s="2035" t="s">
        <v>181</v>
      </c>
      <c r="Q4" s="2035" t="s">
        <v>190</v>
      </c>
    </row>
    <row r="5" spans="1:17" x14ac:dyDescent="0.4">
      <c r="A5" s="2036"/>
      <c r="B5" s="203" t="s">
        <v>183</v>
      </c>
      <c r="C5" s="203" t="s">
        <v>183</v>
      </c>
      <c r="D5" s="2039" t="s">
        <v>184</v>
      </c>
      <c r="E5" s="2039"/>
      <c r="F5" s="2039"/>
      <c r="G5" s="2039"/>
      <c r="H5" s="2039"/>
      <c r="I5" s="2039"/>
      <c r="J5" s="34" t="s">
        <v>185</v>
      </c>
      <c r="K5" s="34" t="s">
        <v>185</v>
      </c>
      <c r="L5" s="34" t="s">
        <v>407</v>
      </c>
      <c r="M5" s="2036"/>
      <c r="N5" s="2036"/>
      <c r="O5" s="203" t="s">
        <v>189</v>
      </c>
      <c r="P5" s="2036"/>
      <c r="Q5" s="2036"/>
    </row>
    <row r="6" spans="1:17" x14ac:dyDescent="0.4">
      <c r="A6">
        <v>1</v>
      </c>
      <c r="B6">
        <v>35</v>
      </c>
      <c r="D6">
        <v>1</v>
      </c>
      <c r="F6" s="2065" t="s">
        <v>1308</v>
      </c>
      <c r="G6" s="2065"/>
      <c r="H6" s="2065"/>
      <c r="J6">
        <f>D6</f>
        <v>1</v>
      </c>
      <c r="K6">
        <f>J6</f>
        <v>1</v>
      </c>
      <c r="M6" s="56">
        <v>42259</v>
      </c>
    </row>
    <row r="7" spans="1:17" x14ac:dyDescent="0.4">
      <c r="A7">
        <v>2</v>
      </c>
      <c r="B7">
        <v>35</v>
      </c>
      <c r="D7">
        <v>1</v>
      </c>
      <c r="F7" s="2065" t="s">
        <v>1308</v>
      </c>
      <c r="G7" s="2065"/>
      <c r="H7" s="2065"/>
      <c r="J7">
        <f t="shared" ref="J7:J46" si="0">D7</f>
        <v>1</v>
      </c>
      <c r="K7">
        <f t="shared" ref="K7:K46" si="1">J7</f>
        <v>1</v>
      </c>
      <c r="M7" s="56">
        <v>42259</v>
      </c>
    </row>
    <row r="8" spans="1:17" x14ac:dyDescent="0.4">
      <c r="A8">
        <v>3</v>
      </c>
      <c r="B8">
        <v>35</v>
      </c>
      <c r="D8">
        <v>1</v>
      </c>
      <c r="F8" s="2065" t="s">
        <v>1308</v>
      </c>
      <c r="G8" s="2065"/>
      <c r="H8" s="2065"/>
      <c r="J8">
        <f t="shared" si="0"/>
        <v>1</v>
      </c>
      <c r="K8">
        <f t="shared" si="1"/>
        <v>1</v>
      </c>
      <c r="M8" s="56">
        <v>42259</v>
      </c>
    </row>
    <row r="9" spans="1:17" x14ac:dyDescent="0.4">
      <c r="A9">
        <v>4</v>
      </c>
      <c r="B9">
        <v>35</v>
      </c>
      <c r="D9">
        <v>1</v>
      </c>
      <c r="F9" s="2065" t="s">
        <v>1308</v>
      </c>
      <c r="G9" s="2065"/>
      <c r="H9" s="2065"/>
      <c r="J9">
        <f t="shared" si="0"/>
        <v>1</v>
      </c>
      <c r="K9">
        <f t="shared" si="1"/>
        <v>1</v>
      </c>
      <c r="M9" s="56">
        <v>42259</v>
      </c>
    </row>
    <row r="10" spans="1:17" x14ac:dyDescent="0.4">
      <c r="A10">
        <v>5</v>
      </c>
      <c r="B10">
        <v>35</v>
      </c>
      <c r="D10">
        <v>1</v>
      </c>
      <c r="F10" s="2065" t="s">
        <v>1308</v>
      </c>
      <c r="G10" s="2065"/>
      <c r="H10" s="2065"/>
      <c r="J10">
        <f t="shared" si="0"/>
        <v>1</v>
      </c>
      <c r="K10">
        <f t="shared" si="1"/>
        <v>1</v>
      </c>
      <c r="M10" s="56">
        <v>42259</v>
      </c>
    </row>
    <row r="11" spans="1:17" x14ac:dyDescent="0.4">
      <c r="A11">
        <v>6</v>
      </c>
      <c r="B11">
        <v>35</v>
      </c>
      <c r="D11">
        <v>1</v>
      </c>
      <c r="F11" s="2065" t="s">
        <v>1308</v>
      </c>
      <c r="G11" s="2065"/>
      <c r="H11" s="2065"/>
      <c r="J11">
        <f t="shared" si="0"/>
        <v>1</v>
      </c>
      <c r="K11">
        <f t="shared" si="1"/>
        <v>1</v>
      </c>
      <c r="M11" s="56">
        <v>42259</v>
      </c>
    </row>
    <row r="12" spans="1:17" x14ac:dyDescent="0.4">
      <c r="A12">
        <v>7</v>
      </c>
      <c r="B12">
        <v>35</v>
      </c>
      <c r="D12">
        <v>1</v>
      </c>
      <c r="F12" s="2065" t="s">
        <v>1308</v>
      </c>
      <c r="G12" s="2065"/>
      <c r="H12" s="2065"/>
      <c r="J12">
        <f t="shared" si="0"/>
        <v>1</v>
      </c>
      <c r="K12">
        <f t="shared" si="1"/>
        <v>1</v>
      </c>
      <c r="M12" s="56">
        <v>42259</v>
      </c>
    </row>
    <row r="13" spans="1:17" x14ac:dyDescent="0.4">
      <c r="A13">
        <v>8</v>
      </c>
      <c r="B13">
        <v>35</v>
      </c>
      <c r="D13">
        <v>1</v>
      </c>
      <c r="F13" s="2065" t="s">
        <v>1308</v>
      </c>
      <c r="G13" s="2065"/>
      <c r="H13" s="2065"/>
      <c r="J13">
        <f t="shared" si="0"/>
        <v>1</v>
      </c>
      <c r="K13">
        <f t="shared" si="1"/>
        <v>1</v>
      </c>
      <c r="M13" s="56">
        <v>42259</v>
      </c>
    </row>
    <row r="14" spans="1:17" x14ac:dyDescent="0.4">
      <c r="A14">
        <v>9</v>
      </c>
      <c r="B14">
        <v>35</v>
      </c>
      <c r="D14">
        <v>1</v>
      </c>
      <c r="F14" s="2065" t="s">
        <v>1308</v>
      </c>
      <c r="G14" s="2065"/>
      <c r="H14" s="2065"/>
      <c r="J14">
        <f t="shared" si="0"/>
        <v>1</v>
      </c>
      <c r="K14">
        <f t="shared" si="1"/>
        <v>1</v>
      </c>
      <c r="M14" s="56">
        <v>42259</v>
      </c>
    </row>
    <row r="15" spans="1:17" x14ac:dyDescent="0.4">
      <c r="A15">
        <v>10</v>
      </c>
      <c r="B15">
        <v>35</v>
      </c>
      <c r="D15">
        <v>1</v>
      </c>
      <c r="F15" s="2065" t="s">
        <v>1308</v>
      </c>
      <c r="G15" s="2065"/>
      <c r="H15" s="2065"/>
      <c r="J15">
        <f t="shared" si="0"/>
        <v>1</v>
      </c>
      <c r="K15">
        <f t="shared" si="1"/>
        <v>1</v>
      </c>
      <c r="M15" s="56">
        <v>42259</v>
      </c>
    </row>
    <row r="16" spans="1:17" x14ac:dyDescent="0.4">
      <c r="A16">
        <v>11</v>
      </c>
      <c r="B16">
        <v>35</v>
      </c>
      <c r="D16">
        <v>1</v>
      </c>
      <c r="F16" s="2065" t="s">
        <v>1308</v>
      </c>
      <c r="G16" s="2065"/>
      <c r="H16" s="2065"/>
      <c r="J16">
        <f t="shared" si="0"/>
        <v>1</v>
      </c>
      <c r="K16">
        <f t="shared" si="1"/>
        <v>1</v>
      </c>
      <c r="M16" s="56">
        <v>42259</v>
      </c>
    </row>
    <row r="17" spans="1:13" x14ac:dyDescent="0.4">
      <c r="A17">
        <v>12</v>
      </c>
      <c r="B17">
        <v>35</v>
      </c>
      <c r="D17">
        <v>1</v>
      </c>
      <c r="F17" s="2065" t="s">
        <v>1308</v>
      </c>
      <c r="G17" s="2065"/>
      <c r="H17" s="2065"/>
      <c r="J17">
        <f t="shared" si="0"/>
        <v>1</v>
      </c>
      <c r="K17">
        <f t="shared" si="1"/>
        <v>1</v>
      </c>
      <c r="M17" s="56">
        <v>42259</v>
      </c>
    </row>
    <row r="18" spans="1:13" x14ac:dyDescent="0.4">
      <c r="A18">
        <v>13</v>
      </c>
      <c r="B18">
        <v>35</v>
      </c>
      <c r="D18">
        <v>1</v>
      </c>
      <c r="F18" s="2065" t="s">
        <v>1308</v>
      </c>
      <c r="G18" s="2065"/>
      <c r="H18" s="2065"/>
      <c r="J18">
        <f t="shared" si="0"/>
        <v>1</v>
      </c>
      <c r="K18">
        <f t="shared" si="1"/>
        <v>1</v>
      </c>
      <c r="M18" s="56">
        <v>42259</v>
      </c>
    </row>
    <row r="19" spans="1:13" x14ac:dyDescent="0.4">
      <c r="A19">
        <v>14</v>
      </c>
      <c r="B19">
        <v>35</v>
      </c>
      <c r="D19">
        <v>1</v>
      </c>
      <c r="F19" s="2065" t="s">
        <v>1308</v>
      </c>
      <c r="G19" s="2065"/>
      <c r="H19" s="2065"/>
      <c r="J19">
        <f t="shared" si="0"/>
        <v>1</v>
      </c>
      <c r="K19">
        <f t="shared" si="1"/>
        <v>1</v>
      </c>
      <c r="M19" s="56">
        <v>42259</v>
      </c>
    </row>
    <row r="20" spans="1:13" x14ac:dyDescent="0.4">
      <c r="A20">
        <v>15</v>
      </c>
      <c r="B20">
        <v>35</v>
      </c>
      <c r="D20">
        <v>1</v>
      </c>
      <c r="F20" s="2065" t="s">
        <v>1308</v>
      </c>
      <c r="G20" s="2065"/>
      <c r="H20" s="2065"/>
      <c r="J20">
        <f t="shared" si="0"/>
        <v>1</v>
      </c>
      <c r="K20">
        <f t="shared" si="1"/>
        <v>1</v>
      </c>
      <c r="M20" s="56">
        <v>42259</v>
      </c>
    </row>
    <row r="21" spans="1:13" x14ac:dyDescent="0.4">
      <c r="A21">
        <v>16</v>
      </c>
      <c r="B21">
        <v>35</v>
      </c>
      <c r="D21">
        <v>1</v>
      </c>
      <c r="F21" s="2065" t="s">
        <v>1308</v>
      </c>
      <c r="G21" s="2065"/>
      <c r="H21" s="2065"/>
      <c r="J21">
        <f t="shared" si="0"/>
        <v>1</v>
      </c>
      <c r="K21">
        <f t="shared" si="1"/>
        <v>1</v>
      </c>
      <c r="M21" s="56">
        <v>42259</v>
      </c>
    </row>
    <row r="22" spans="1:13" x14ac:dyDescent="0.4">
      <c r="A22">
        <v>17</v>
      </c>
      <c r="B22">
        <v>35</v>
      </c>
      <c r="D22">
        <v>1</v>
      </c>
      <c r="F22" s="2065" t="s">
        <v>1308</v>
      </c>
      <c r="G22" s="2065"/>
      <c r="H22" s="2065"/>
      <c r="J22">
        <f t="shared" si="0"/>
        <v>1</v>
      </c>
      <c r="K22">
        <f t="shared" si="1"/>
        <v>1</v>
      </c>
      <c r="M22" s="56">
        <v>42259</v>
      </c>
    </row>
    <row r="23" spans="1:13" x14ac:dyDescent="0.4">
      <c r="A23">
        <v>18</v>
      </c>
      <c r="B23">
        <v>35</v>
      </c>
      <c r="D23">
        <v>1</v>
      </c>
      <c r="F23" s="2065" t="s">
        <v>1308</v>
      </c>
      <c r="G23" s="2065"/>
      <c r="H23" s="2065"/>
      <c r="J23">
        <f t="shared" si="0"/>
        <v>1</v>
      </c>
      <c r="K23">
        <f t="shared" si="1"/>
        <v>1</v>
      </c>
      <c r="M23" s="56">
        <v>42259</v>
      </c>
    </row>
    <row r="24" spans="1:13" x14ac:dyDescent="0.4">
      <c r="A24">
        <v>19</v>
      </c>
      <c r="B24">
        <v>35</v>
      </c>
      <c r="D24">
        <v>1</v>
      </c>
      <c r="F24" s="2065" t="s">
        <v>1308</v>
      </c>
      <c r="G24" s="2065"/>
      <c r="H24" s="2065"/>
      <c r="J24">
        <f t="shared" si="0"/>
        <v>1</v>
      </c>
      <c r="K24">
        <f t="shared" si="1"/>
        <v>1</v>
      </c>
      <c r="M24" s="56">
        <v>42259</v>
      </c>
    </row>
    <row r="25" spans="1:13" x14ac:dyDescent="0.4">
      <c r="A25">
        <v>20</v>
      </c>
      <c r="B25">
        <v>35</v>
      </c>
      <c r="D25">
        <v>1</v>
      </c>
      <c r="F25" s="2065" t="s">
        <v>1308</v>
      </c>
      <c r="G25" s="2065"/>
      <c r="H25" s="2065"/>
      <c r="J25">
        <f t="shared" si="0"/>
        <v>1</v>
      </c>
      <c r="K25">
        <f t="shared" si="1"/>
        <v>1</v>
      </c>
      <c r="M25" s="56">
        <v>42259</v>
      </c>
    </row>
    <row r="26" spans="1:13" x14ac:dyDescent="0.4">
      <c r="A26">
        <v>21</v>
      </c>
      <c r="B26">
        <v>45</v>
      </c>
      <c r="D26">
        <v>1</v>
      </c>
      <c r="F26" s="2065" t="s">
        <v>1308</v>
      </c>
      <c r="G26" s="2065"/>
      <c r="H26" s="2065"/>
      <c r="J26">
        <f t="shared" si="0"/>
        <v>1</v>
      </c>
      <c r="K26">
        <f t="shared" si="1"/>
        <v>1</v>
      </c>
      <c r="M26" s="207">
        <v>75160</v>
      </c>
    </row>
    <row r="27" spans="1:13" x14ac:dyDescent="0.4">
      <c r="A27">
        <v>22</v>
      </c>
      <c r="B27">
        <v>45</v>
      </c>
      <c r="D27">
        <v>1</v>
      </c>
      <c r="F27" s="2065" t="s">
        <v>1308</v>
      </c>
      <c r="G27" s="2065"/>
      <c r="H27" s="2065"/>
      <c r="J27">
        <f t="shared" si="0"/>
        <v>1</v>
      </c>
      <c r="K27">
        <f t="shared" si="1"/>
        <v>1</v>
      </c>
      <c r="M27" s="207">
        <v>75160</v>
      </c>
    </row>
    <row r="28" spans="1:13" x14ac:dyDescent="0.4">
      <c r="A28">
        <v>23</v>
      </c>
      <c r="B28">
        <v>45</v>
      </c>
      <c r="D28">
        <v>1</v>
      </c>
      <c r="F28" s="2065" t="s">
        <v>1308</v>
      </c>
      <c r="G28" s="2065"/>
      <c r="H28" s="2065"/>
      <c r="J28">
        <f t="shared" si="0"/>
        <v>1</v>
      </c>
      <c r="K28">
        <f t="shared" si="1"/>
        <v>1</v>
      </c>
      <c r="M28" s="207">
        <v>75160</v>
      </c>
    </row>
    <row r="29" spans="1:13" x14ac:dyDescent="0.4">
      <c r="A29">
        <v>24</v>
      </c>
      <c r="B29">
        <v>45</v>
      </c>
      <c r="D29">
        <v>1</v>
      </c>
      <c r="F29" s="2065" t="s">
        <v>1308</v>
      </c>
      <c r="G29" s="2065"/>
      <c r="H29" s="2065"/>
      <c r="J29">
        <f t="shared" si="0"/>
        <v>1</v>
      </c>
      <c r="K29">
        <f t="shared" si="1"/>
        <v>1</v>
      </c>
      <c r="M29" s="207">
        <v>75160</v>
      </c>
    </row>
    <row r="30" spans="1:13" x14ac:dyDescent="0.4">
      <c r="A30">
        <v>25</v>
      </c>
      <c r="B30">
        <v>45</v>
      </c>
      <c r="D30">
        <v>1</v>
      </c>
      <c r="F30" s="2065" t="s">
        <v>1308</v>
      </c>
      <c r="G30" s="2065"/>
      <c r="H30" s="2065"/>
      <c r="J30">
        <f t="shared" si="0"/>
        <v>1</v>
      </c>
      <c r="K30">
        <f t="shared" si="1"/>
        <v>1</v>
      </c>
      <c r="M30" s="207">
        <v>75160</v>
      </c>
    </row>
    <row r="31" spans="1:13" x14ac:dyDescent="0.4">
      <c r="A31">
        <v>26</v>
      </c>
      <c r="B31">
        <v>45</v>
      </c>
      <c r="D31">
        <v>1</v>
      </c>
      <c r="F31" s="2065" t="s">
        <v>1308</v>
      </c>
      <c r="G31" s="2065"/>
      <c r="H31" s="2065"/>
      <c r="J31">
        <f t="shared" si="0"/>
        <v>1</v>
      </c>
      <c r="K31">
        <f t="shared" si="1"/>
        <v>1</v>
      </c>
      <c r="M31" s="207">
        <v>75160</v>
      </c>
    </row>
    <row r="32" spans="1:13" x14ac:dyDescent="0.4">
      <c r="A32">
        <v>27</v>
      </c>
      <c r="B32">
        <v>45</v>
      </c>
      <c r="D32">
        <v>1</v>
      </c>
      <c r="F32" s="2065" t="s">
        <v>1308</v>
      </c>
      <c r="G32" s="2065"/>
      <c r="H32" s="2065"/>
      <c r="J32">
        <f t="shared" si="0"/>
        <v>1</v>
      </c>
      <c r="K32">
        <f t="shared" si="1"/>
        <v>1</v>
      </c>
      <c r="M32" s="207">
        <v>75160</v>
      </c>
    </row>
    <row r="33" spans="1:13" x14ac:dyDescent="0.4">
      <c r="A33">
        <v>28</v>
      </c>
      <c r="B33">
        <v>45</v>
      </c>
      <c r="D33">
        <v>1</v>
      </c>
      <c r="F33" s="2065" t="s">
        <v>1308</v>
      </c>
      <c r="G33" s="2065"/>
      <c r="H33" s="2065"/>
      <c r="J33">
        <f t="shared" si="0"/>
        <v>1</v>
      </c>
      <c r="K33">
        <f t="shared" si="1"/>
        <v>1</v>
      </c>
      <c r="M33" s="207">
        <v>75160</v>
      </c>
    </row>
    <row r="34" spans="1:13" x14ac:dyDescent="0.4">
      <c r="A34">
        <v>29</v>
      </c>
      <c r="B34">
        <v>45</v>
      </c>
      <c r="D34">
        <v>1</v>
      </c>
      <c r="F34" s="2065" t="s">
        <v>1308</v>
      </c>
      <c r="G34" s="2065"/>
      <c r="H34" s="2065"/>
      <c r="J34">
        <f t="shared" si="0"/>
        <v>1</v>
      </c>
      <c r="K34">
        <f t="shared" si="1"/>
        <v>1</v>
      </c>
      <c r="M34" s="207">
        <v>75160</v>
      </c>
    </row>
    <row r="35" spans="1:13" x14ac:dyDescent="0.4">
      <c r="A35">
        <v>30</v>
      </c>
      <c r="B35">
        <v>45</v>
      </c>
      <c r="D35">
        <v>1</v>
      </c>
      <c r="F35" s="2065" t="s">
        <v>1308</v>
      </c>
      <c r="G35" s="2065"/>
      <c r="H35" s="2065"/>
      <c r="J35">
        <f t="shared" si="0"/>
        <v>1</v>
      </c>
      <c r="K35">
        <f t="shared" si="1"/>
        <v>1</v>
      </c>
      <c r="M35" s="207">
        <v>75160</v>
      </c>
    </row>
    <row r="36" spans="1:13" x14ac:dyDescent="0.4">
      <c r="A36">
        <v>31</v>
      </c>
      <c r="B36">
        <v>45</v>
      </c>
      <c r="D36">
        <v>1</v>
      </c>
      <c r="F36" s="2065" t="s">
        <v>1308</v>
      </c>
      <c r="G36" s="2065"/>
      <c r="H36" s="2065"/>
      <c r="J36">
        <f t="shared" si="0"/>
        <v>1</v>
      </c>
      <c r="K36">
        <f t="shared" si="1"/>
        <v>1</v>
      </c>
      <c r="M36" s="207">
        <v>75160</v>
      </c>
    </row>
    <row r="37" spans="1:13" x14ac:dyDescent="0.4">
      <c r="A37">
        <v>32</v>
      </c>
      <c r="B37">
        <v>45</v>
      </c>
      <c r="D37">
        <v>1</v>
      </c>
      <c r="F37" s="2065" t="s">
        <v>1308</v>
      </c>
      <c r="G37" s="2065"/>
      <c r="H37" s="2065"/>
      <c r="J37">
        <f t="shared" si="0"/>
        <v>1</v>
      </c>
      <c r="K37">
        <f t="shared" si="1"/>
        <v>1</v>
      </c>
      <c r="M37" s="207">
        <v>75160</v>
      </c>
    </row>
    <row r="38" spans="1:13" x14ac:dyDescent="0.4">
      <c r="A38">
        <v>33</v>
      </c>
      <c r="B38">
        <v>45</v>
      </c>
      <c r="D38">
        <v>1</v>
      </c>
      <c r="F38" s="2065" t="s">
        <v>1308</v>
      </c>
      <c r="G38" s="2065"/>
      <c r="H38" s="2065"/>
      <c r="J38">
        <f t="shared" si="0"/>
        <v>1</v>
      </c>
      <c r="K38">
        <f t="shared" si="1"/>
        <v>1</v>
      </c>
      <c r="M38" s="207">
        <v>75160</v>
      </c>
    </row>
    <row r="39" spans="1:13" x14ac:dyDescent="0.4">
      <c r="A39">
        <v>34</v>
      </c>
      <c r="B39">
        <v>45</v>
      </c>
      <c r="D39">
        <v>1</v>
      </c>
      <c r="F39" s="2065" t="s">
        <v>1308</v>
      </c>
      <c r="G39" s="2065"/>
      <c r="H39" s="2065"/>
      <c r="J39">
        <f t="shared" si="0"/>
        <v>1</v>
      </c>
      <c r="K39">
        <f t="shared" si="1"/>
        <v>1</v>
      </c>
      <c r="M39" s="207">
        <v>75160</v>
      </c>
    </row>
    <row r="40" spans="1:13" x14ac:dyDescent="0.4">
      <c r="A40">
        <v>35</v>
      </c>
      <c r="B40">
        <v>45</v>
      </c>
      <c r="D40">
        <v>1</v>
      </c>
      <c r="F40" s="2065" t="s">
        <v>1308</v>
      </c>
      <c r="G40" s="2065"/>
      <c r="H40" s="2065"/>
      <c r="J40">
        <f t="shared" si="0"/>
        <v>1</v>
      </c>
      <c r="K40">
        <f t="shared" si="1"/>
        <v>1</v>
      </c>
      <c r="M40" s="207">
        <v>75160</v>
      </c>
    </row>
    <row r="41" spans="1:13" x14ac:dyDescent="0.4">
      <c r="A41">
        <v>36</v>
      </c>
      <c r="B41">
        <v>45</v>
      </c>
      <c r="D41">
        <v>1</v>
      </c>
      <c r="F41" s="2065" t="s">
        <v>1308</v>
      </c>
      <c r="G41" s="2065"/>
      <c r="H41" s="2065"/>
      <c r="J41">
        <f t="shared" si="0"/>
        <v>1</v>
      </c>
      <c r="K41">
        <f t="shared" si="1"/>
        <v>1</v>
      </c>
      <c r="M41" s="207">
        <v>75160</v>
      </c>
    </row>
    <row r="42" spans="1:13" x14ac:dyDescent="0.4">
      <c r="A42">
        <v>37</v>
      </c>
      <c r="B42">
        <v>45</v>
      </c>
      <c r="D42">
        <v>1</v>
      </c>
      <c r="F42" s="2065" t="s">
        <v>1308</v>
      </c>
      <c r="G42" s="2065"/>
      <c r="H42" s="2065"/>
      <c r="J42">
        <f t="shared" si="0"/>
        <v>1</v>
      </c>
      <c r="K42">
        <f t="shared" si="1"/>
        <v>1</v>
      </c>
      <c r="M42" s="207">
        <v>75160</v>
      </c>
    </row>
    <row r="43" spans="1:13" x14ac:dyDescent="0.4">
      <c r="A43">
        <v>38</v>
      </c>
      <c r="B43">
        <v>45</v>
      </c>
      <c r="D43">
        <v>1</v>
      </c>
      <c r="F43" s="2065" t="s">
        <v>1308</v>
      </c>
      <c r="G43" s="2065"/>
      <c r="H43" s="2065"/>
      <c r="J43">
        <f t="shared" si="0"/>
        <v>1</v>
      </c>
      <c r="K43">
        <f t="shared" si="1"/>
        <v>1</v>
      </c>
      <c r="M43" s="207">
        <v>75160</v>
      </c>
    </row>
    <row r="44" spans="1:13" x14ac:dyDescent="0.4">
      <c r="A44">
        <v>39</v>
      </c>
      <c r="B44">
        <v>45</v>
      </c>
      <c r="D44">
        <v>1</v>
      </c>
      <c r="F44" s="2065" t="s">
        <v>1308</v>
      </c>
      <c r="G44" s="2065"/>
      <c r="H44" s="2065"/>
      <c r="J44">
        <f t="shared" si="0"/>
        <v>1</v>
      </c>
      <c r="K44">
        <f t="shared" si="1"/>
        <v>1</v>
      </c>
      <c r="M44" s="207">
        <v>75160</v>
      </c>
    </row>
    <row r="45" spans="1:13" x14ac:dyDescent="0.4">
      <c r="A45">
        <v>40</v>
      </c>
      <c r="B45">
        <v>45</v>
      </c>
      <c r="D45">
        <v>1</v>
      </c>
      <c r="F45" s="2065" t="s">
        <v>1308</v>
      </c>
      <c r="G45" s="2065"/>
      <c r="H45" s="2065"/>
      <c r="J45">
        <f t="shared" si="0"/>
        <v>1</v>
      </c>
      <c r="K45">
        <f t="shared" si="1"/>
        <v>1</v>
      </c>
      <c r="M45" s="207">
        <v>75160</v>
      </c>
    </row>
    <row r="46" spans="1:13" x14ac:dyDescent="0.4">
      <c r="A46">
        <v>41</v>
      </c>
      <c r="B46">
        <v>45</v>
      </c>
      <c r="D46">
        <v>1</v>
      </c>
      <c r="F46" s="2065" t="s">
        <v>1308</v>
      </c>
      <c r="G46" s="2065"/>
      <c r="H46" s="2065"/>
      <c r="J46">
        <f t="shared" si="0"/>
        <v>1</v>
      </c>
      <c r="K46">
        <f t="shared" si="1"/>
        <v>1</v>
      </c>
      <c r="M46" s="207">
        <v>75160</v>
      </c>
    </row>
  </sheetData>
  <mergeCells count="48">
    <mergeCell ref="Q4:Q5"/>
    <mergeCell ref="D5:I5"/>
    <mergeCell ref="A4:A5"/>
    <mergeCell ref="D4:I4"/>
    <mergeCell ref="M4:M5"/>
    <mergeCell ref="N4:N5"/>
    <mergeCell ref="P4:P5"/>
    <mergeCell ref="F17:H17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29:H29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41:H41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2:H42"/>
    <mergeCell ref="F43:H43"/>
    <mergeCell ref="F44:H44"/>
    <mergeCell ref="F45:H45"/>
    <mergeCell ref="F46:H46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"/>
  <sheetViews>
    <sheetView workbookViewId="0">
      <selection activeCell="E26" sqref="E26"/>
    </sheetView>
  </sheetViews>
  <sheetFormatPr defaultRowHeight="17.399999999999999" x14ac:dyDescent="0.4"/>
  <cols>
    <col min="1" max="1" width="10.59765625" customWidth="1"/>
    <col min="4" max="4" width="11.8984375" customWidth="1"/>
    <col min="5" max="5" width="14.09765625" customWidth="1"/>
    <col min="6" max="6" width="22.09765625" customWidth="1"/>
  </cols>
  <sheetData>
    <row r="1" spans="1:4" x14ac:dyDescent="0.4">
      <c r="A1" t="s">
        <v>2885</v>
      </c>
      <c r="B1" t="s">
        <v>2886</v>
      </c>
      <c r="D1" t="s">
        <v>2887</v>
      </c>
    </row>
    <row r="2" spans="1:4" x14ac:dyDescent="0.4">
      <c r="A2" s="36" t="s">
        <v>2875</v>
      </c>
      <c r="B2" s="1005">
        <v>0</v>
      </c>
      <c r="C2" s="1005">
        <v>1</v>
      </c>
      <c r="D2" s="955"/>
    </row>
    <row r="3" spans="1:4" x14ac:dyDescent="0.4">
      <c r="A3" s="36" t="s">
        <v>2876</v>
      </c>
      <c r="B3" s="1005">
        <v>0</v>
      </c>
      <c r="C3" s="1005">
        <v>1</v>
      </c>
      <c r="D3" s="955"/>
    </row>
    <row r="4" spans="1:4" x14ac:dyDescent="0.4">
      <c r="A4" s="36" t="s">
        <v>2877</v>
      </c>
      <c r="B4" s="1005">
        <v>0</v>
      </c>
      <c r="C4" s="1005">
        <v>1</v>
      </c>
      <c r="D4" s="955"/>
    </row>
    <row r="5" spans="1:4" x14ac:dyDescent="0.4">
      <c r="A5" s="36" t="s">
        <v>2878</v>
      </c>
      <c r="B5" s="1005">
        <v>0</v>
      </c>
      <c r="C5" s="1005">
        <v>1</v>
      </c>
      <c r="D5" s="955"/>
    </row>
    <row r="6" spans="1:4" x14ac:dyDescent="0.4">
      <c r="A6" s="36" t="s">
        <v>2879</v>
      </c>
      <c r="B6" s="1005">
        <v>0</v>
      </c>
      <c r="C6" s="1005">
        <v>1</v>
      </c>
      <c r="D6" s="955"/>
    </row>
    <row r="7" spans="1:4" x14ac:dyDescent="0.4">
      <c r="A7" s="36" t="s">
        <v>2880</v>
      </c>
      <c r="B7" s="1005">
        <v>0</v>
      </c>
      <c r="C7" s="1005">
        <v>1</v>
      </c>
      <c r="D7" s="955"/>
    </row>
    <row r="8" spans="1:4" x14ac:dyDescent="0.4">
      <c r="A8" s="18" t="s">
        <v>2881</v>
      </c>
      <c r="B8" s="19">
        <v>0</v>
      </c>
      <c r="C8" s="19">
        <v>0</v>
      </c>
      <c r="D8" s="18" t="s">
        <v>2884</v>
      </c>
    </row>
    <row r="9" spans="1:4" x14ac:dyDescent="0.4">
      <c r="A9" s="36" t="s">
        <v>2882</v>
      </c>
      <c r="B9" s="1005">
        <v>0</v>
      </c>
      <c r="C9" s="1005">
        <v>1</v>
      </c>
      <c r="D9" s="955"/>
    </row>
    <row r="10" spans="1:4" x14ac:dyDescent="0.4">
      <c r="A10" s="36" t="s">
        <v>2883</v>
      </c>
      <c r="B10" s="1005">
        <v>0</v>
      </c>
      <c r="C10" s="1005">
        <v>1</v>
      </c>
      <c r="D10" s="955"/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270990D1-2CDE-407D-91C6-B86525D41194}"/>
</file>

<file path=customXml/itemProps2.xml><?xml version="1.0" encoding="utf-8"?>
<ds:datastoreItem xmlns:ds="http://schemas.openxmlformats.org/officeDocument/2006/customXml" ds:itemID="{827944B3-748D-4681-A3B8-4A1EDDF8FE3D}"/>
</file>

<file path=customXml/itemProps3.xml><?xml version="1.0" encoding="utf-8"?>
<ds:datastoreItem xmlns:ds="http://schemas.openxmlformats.org/officeDocument/2006/customXml" ds:itemID="{9EF072F2-71C4-4053-A457-00F60A620F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OCT2012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SUMMARY</vt:lpstr>
      <vt:lpstr>ALL BRANCH</vt:lpstr>
      <vt:lpstr>CRSL MOVEMBER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CHATSWOOD XTREAM No1</dc:creator>
  <cp:lastModifiedBy>Xtream Care</cp:lastModifiedBy>
  <cp:lastPrinted>2020-07-03T00:42:30Z</cp:lastPrinted>
  <dcterms:created xsi:type="dcterms:W3CDTF">2012-10-20T05:45:07Z</dcterms:created>
  <dcterms:modified xsi:type="dcterms:W3CDTF">2021-08-30T01:20:59Z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