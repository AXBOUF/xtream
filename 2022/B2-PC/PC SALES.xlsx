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6.xml" ContentType="application/vnd.openxmlformats-officedocument.drawing+xml"/>
  <Override PartName="/xl/drawings/drawing5.xml" ContentType="application/vnd.openxmlformats-officedocument.drawing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U:\home\B2-PC\"/>
    </mc:Choice>
  </mc:AlternateContent>
  <xr:revisionPtr revIDLastSave="0" documentId="13_ncr:1_{C1D6921F-EB64-4D51-AE19-3E4C480D6230}" xr6:coauthVersionLast="47" xr6:coauthVersionMax="47" xr10:uidLastSave="{00000000-0000-0000-0000-000000000000}"/>
  <bookViews>
    <workbookView xWindow="28680" yWindow="-120" windowWidth="29040" windowHeight="15840" activeTab="4" xr2:uid="{5255B9D2-B4D1-4BC7-94FE-5185AFEAFA62}"/>
  </bookViews>
  <sheets>
    <sheet name="PPCS 20" sheetId="1" r:id="rId1"/>
    <sheet name="PPCM 20" sheetId="2" r:id="rId2"/>
    <sheet name="PPCL 20" sheetId="3" r:id="rId3"/>
    <sheet name="B2PC 20" sheetId="12" r:id="rId4"/>
    <sheet name="PPCS 21" sheetId="6" r:id="rId5"/>
    <sheet name="PPCM 21" sheetId="8" r:id="rId6"/>
    <sheet name="PPCL 21" sheetId="9" r:id="rId7"/>
    <sheet name="PCM" sheetId="11" r:id="rId8"/>
    <sheet name="B2PC 21 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8" l="1"/>
  <c r="J21" i="8"/>
  <c r="K21" i="8" s="1"/>
  <c r="N21" i="8"/>
  <c r="B16" i="8"/>
  <c r="J16" i="8"/>
  <c r="K16" i="8"/>
  <c r="L16" i="8"/>
  <c r="N16" i="8"/>
  <c r="B17" i="8"/>
  <c r="J17" i="8"/>
  <c r="K17" i="8"/>
  <c r="L17" i="8"/>
  <c r="N17" i="8"/>
  <c r="B18" i="8"/>
  <c r="J18" i="8"/>
  <c r="L18" i="8" s="1"/>
  <c r="K18" i="8"/>
  <c r="N18" i="8"/>
  <c r="B19" i="8"/>
  <c r="J19" i="8"/>
  <c r="K19" i="8" s="1"/>
  <c r="N19" i="8"/>
  <c r="B20" i="8"/>
  <c r="J20" i="8"/>
  <c r="K20" i="8"/>
  <c r="L20" i="8"/>
  <c r="N20" i="8"/>
  <c r="L21" i="8" l="1"/>
  <c r="L19" i="8"/>
  <c r="B70" i="9" l="1"/>
  <c r="J70" i="9"/>
  <c r="L70" i="9" s="1"/>
  <c r="N70" i="9"/>
  <c r="B71" i="9"/>
  <c r="J71" i="9"/>
  <c r="L71" i="9" s="1"/>
  <c r="N71" i="9"/>
  <c r="B68" i="9"/>
  <c r="J68" i="9"/>
  <c r="K68" i="9" s="1"/>
  <c r="N68" i="9"/>
  <c r="B69" i="9"/>
  <c r="J69" i="9"/>
  <c r="K69" i="9"/>
  <c r="L69" i="9"/>
  <c r="N69" i="9"/>
  <c r="B66" i="9"/>
  <c r="J66" i="9"/>
  <c r="K66" i="9" s="1"/>
  <c r="L66" i="9"/>
  <c r="N66" i="9"/>
  <c r="B67" i="9"/>
  <c r="J67" i="9"/>
  <c r="K67" i="9"/>
  <c r="L67" i="9"/>
  <c r="N67" i="9"/>
  <c r="B60" i="9"/>
  <c r="J60" i="9"/>
  <c r="K60" i="9" s="1"/>
  <c r="N60" i="9"/>
  <c r="B61" i="9"/>
  <c r="J61" i="9"/>
  <c r="L61" i="9" s="1"/>
  <c r="N61" i="9"/>
  <c r="B62" i="9"/>
  <c r="J62" i="9"/>
  <c r="K62" i="9" s="1"/>
  <c r="L62" i="9"/>
  <c r="N62" i="9"/>
  <c r="B63" i="9"/>
  <c r="J63" i="9"/>
  <c r="K63" i="9" s="1"/>
  <c r="N63" i="9"/>
  <c r="B64" i="9"/>
  <c r="J64" i="9"/>
  <c r="K64" i="9" s="1"/>
  <c r="N64" i="9"/>
  <c r="B65" i="9"/>
  <c r="J65" i="9"/>
  <c r="K65" i="9" s="1"/>
  <c r="L65" i="9"/>
  <c r="N65" i="9"/>
  <c r="B58" i="9"/>
  <c r="J58" i="9"/>
  <c r="K58" i="9" s="1"/>
  <c r="N58" i="9"/>
  <c r="B59" i="9"/>
  <c r="J59" i="9"/>
  <c r="K59" i="9"/>
  <c r="L59" i="9"/>
  <c r="N59" i="9"/>
  <c r="B56" i="9"/>
  <c r="J56" i="9"/>
  <c r="K56" i="9" s="1"/>
  <c r="N56" i="9"/>
  <c r="B57" i="9"/>
  <c r="J57" i="9"/>
  <c r="K57" i="9" s="1"/>
  <c r="N57" i="9"/>
  <c r="B54" i="9"/>
  <c r="J54" i="9"/>
  <c r="K54" i="9" s="1"/>
  <c r="N54" i="9"/>
  <c r="B55" i="9"/>
  <c r="J55" i="9"/>
  <c r="K55" i="9"/>
  <c r="L55" i="9"/>
  <c r="N55" i="9"/>
  <c r="B50" i="9"/>
  <c r="J50" i="9"/>
  <c r="L50" i="9" s="1"/>
  <c r="N50" i="9"/>
  <c r="B51" i="9"/>
  <c r="J51" i="9"/>
  <c r="K51" i="9"/>
  <c r="L51" i="9"/>
  <c r="N51" i="9"/>
  <c r="B52" i="9"/>
  <c r="J52" i="9"/>
  <c r="L52" i="9" s="1"/>
  <c r="K52" i="9"/>
  <c r="N52" i="9"/>
  <c r="B53" i="9"/>
  <c r="J53" i="9"/>
  <c r="K53" i="9" s="1"/>
  <c r="N53" i="9"/>
  <c r="B49" i="9"/>
  <c r="J49" i="9"/>
  <c r="L49" i="9" s="1"/>
  <c r="N49" i="9"/>
  <c r="B53" i="6"/>
  <c r="J53" i="6"/>
  <c r="K53" i="6" s="1"/>
  <c r="N53" i="6"/>
  <c r="B54" i="6"/>
  <c r="J54" i="6"/>
  <c r="K54" i="6"/>
  <c r="L54" i="6"/>
  <c r="N54" i="6"/>
  <c r="B50" i="6"/>
  <c r="J50" i="6"/>
  <c r="K50" i="6" s="1"/>
  <c r="N50" i="6"/>
  <c r="B51" i="6"/>
  <c r="J51" i="6"/>
  <c r="K51" i="6"/>
  <c r="L51" i="6"/>
  <c r="N51" i="6"/>
  <c r="B52" i="6"/>
  <c r="J52" i="6"/>
  <c r="K52" i="6"/>
  <c r="L52" i="6"/>
  <c r="N52" i="6"/>
  <c r="N49" i="6"/>
  <c r="J49" i="6"/>
  <c r="K49" i="6" s="1"/>
  <c r="B49" i="6"/>
  <c r="B48" i="6"/>
  <c r="J48" i="6"/>
  <c r="K48" i="6" s="1"/>
  <c r="N48" i="6"/>
  <c r="B48" i="9"/>
  <c r="J48" i="9"/>
  <c r="L48" i="9" s="1"/>
  <c r="N48" i="9"/>
  <c r="K70" i="9" l="1"/>
  <c r="K71" i="9"/>
  <c r="L68" i="9"/>
  <c r="L64" i="9"/>
  <c r="K61" i="9"/>
  <c r="L60" i="9"/>
  <c r="L63" i="9"/>
  <c r="L57" i="9"/>
  <c r="K50" i="9"/>
  <c r="L58" i="9"/>
  <c r="L56" i="9"/>
  <c r="L54" i="9"/>
  <c r="L53" i="9"/>
  <c r="K49" i="9"/>
  <c r="L53" i="6"/>
  <c r="L50" i="6"/>
  <c r="L49" i="6"/>
  <c r="L48" i="6"/>
  <c r="K48" i="9"/>
  <c r="B38" i="6"/>
  <c r="J38" i="6"/>
  <c r="K38" i="6" s="1"/>
  <c r="N38" i="6"/>
  <c r="B39" i="6"/>
  <c r="J39" i="6"/>
  <c r="K39" i="6" s="1"/>
  <c r="N39" i="6"/>
  <c r="B40" i="6"/>
  <c r="J40" i="6"/>
  <c r="K40" i="6"/>
  <c r="L40" i="6"/>
  <c r="N40" i="6"/>
  <c r="B41" i="6"/>
  <c r="J41" i="6"/>
  <c r="L41" i="6" s="1"/>
  <c r="N41" i="6"/>
  <c r="B42" i="6"/>
  <c r="J42" i="6"/>
  <c r="K42" i="6" s="1"/>
  <c r="N42" i="6"/>
  <c r="B43" i="6"/>
  <c r="J43" i="6"/>
  <c r="K43" i="6" s="1"/>
  <c r="N43" i="6"/>
  <c r="B44" i="6"/>
  <c r="J44" i="6"/>
  <c r="K44" i="6"/>
  <c r="L44" i="6"/>
  <c r="N44" i="6"/>
  <c r="B45" i="6"/>
  <c r="J45" i="6"/>
  <c r="L45" i="6" s="1"/>
  <c r="K45" i="6"/>
  <c r="N45" i="6"/>
  <c r="B46" i="6"/>
  <c r="J46" i="6"/>
  <c r="K46" i="6" s="1"/>
  <c r="N46" i="6"/>
  <c r="B47" i="6"/>
  <c r="J47" i="6"/>
  <c r="K47" i="6" s="1"/>
  <c r="N47" i="6"/>
  <c r="M12" i="2"/>
  <c r="J12" i="2"/>
  <c r="K12" i="2" s="1"/>
  <c r="C12" i="2"/>
  <c r="L39" i="6" l="1"/>
  <c r="L47" i="6"/>
  <c r="L43" i="6"/>
  <c r="K41" i="6"/>
  <c r="L46" i="6"/>
  <c r="L42" i="6"/>
  <c r="L38" i="6"/>
  <c r="B45" i="9"/>
  <c r="J45" i="9"/>
  <c r="L45" i="9" s="1"/>
  <c r="N45" i="9"/>
  <c r="B46" i="9"/>
  <c r="J46" i="9"/>
  <c r="L46" i="9" s="1"/>
  <c r="N46" i="9"/>
  <c r="B47" i="9"/>
  <c r="J47" i="9"/>
  <c r="K47" i="9" s="1"/>
  <c r="N47" i="9"/>
  <c r="M13" i="3"/>
  <c r="J13" i="3"/>
  <c r="K13" i="3" s="1"/>
  <c r="C13" i="3"/>
  <c r="B42" i="9"/>
  <c r="J42" i="9"/>
  <c r="K42" i="9" s="1"/>
  <c r="L42" i="9"/>
  <c r="N42" i="9"/>
  <c r="B43" i="9"/>
  <c r="J43" i="9"/>
  <c r="L43" i="9" s="1"/>
  <c r="N43" i="9"/>
  <c r="B44" i="9"/>
  <c r="J44" i="9"/>
  <c r="K44" i="9" s="1"/>
  <c r="N44" i="9"/>
  <c r="B38" i="9"/>
  <c r="J38" i="9"/>
  <c r="K38" i="9" s="1"/>
  <c r="N38" i="9"/>
  <c r="B39" i="9"/>
  <c r="J39" i="9"/>
  <c r="K39" i="9" s="1"/>
  <c r="N39" i="9"/>
  <c r="B40" i="9"/>
  <c r="J40" i="9"/>
  <c r="L40" i="9" s="1"/>
  <c r="N40" i="9"/>
  <c r="B41" i="9"/>
  <c r="J41" i="9"/>
  <c r="K41" i="9" s="1"/>
  <c r="N41" i="9"/>
  <c r="L39" i="9" l="1"/>
  <c r="K43" i="9"/>
  <c r="L38" i="9"/>
  <c r="K45" i="9"/>
  <c r="K46" i="9"/>
  <c r="L47" i="9"/>
  <c r="L44" i="9"/>
  <c r="K40" i="9"/>
  <c r="L41" i="9"/>
  <c r="M10" i="3" l="1"/>
  <c r="B37" i="9" l="1"/>
  <c r="J37" i="9"/>
  <c r="K37" i="9" s="1"/>
  <c r="N37" i="9"/>
  <c r="B35" i="9"/>
  <c r="J35" i="9"/>
  <c r="K35" i="9" s="1"/>
  <c r="N35" i="9"/>
  <c r="B36" i="9"/>
  <c r="J36" i="9"/>
  <c r="K36" i="9" s="1"/>
  <c r="N36" i="9"/>
  <c r="B27" i="9"/>
  <c r="J27" i="9"/>
  <c r="K27" i="9" s="1"/>
  <c r="N27" i="9"/>
  <c r="B28" i="9"/>
  <c r="J28" i="9"/>
  <c r="K28" i="9"/>
  <c r="L28" i="9"/>
  <c r="N28" i="9"/>
  <c r="B29" i="9"/>
  <c r="J29" i="9"/>
  <c r="L29" i="9" s="1"/>
  <c r="N29" i="9"/>
  <c r="B30" i="9"/>
  <c r="J30" i="9"/>
  <c r="K30" i="9" s="1"/>
  <c r="N30" i="9"/>
  <c r="B31" i="9"/>
  <c r="J31" i="9"/>
  <c r="K31" i="9"/>
  <c r="L31" i="9"/>
  <c r="N31" i="9"/>
  <c r="B32" i="9"/>
  <c r="J32" i="9"/>
  <c r="K32" i="9"/>
  <c r="L32" i="9"/>
  <c r="N32" i="9"/>
  <c r="B33" i="9"/>
  <c r="J33" i="9"/>
  <c r="L33" i="9" s="1"/>
  <c r="K33" i="9"/>
  <c r="N33" i="9"/>
  <c r="B34" i="9"/>
  <c r="J34" i="9"/>
  <c r="K34" i="9" s="1"/>
  <c r="N34" i="9"/>
  <c r="B37" i="6"/>
  <c r="J37" i="6"/>
  <c r="K37" i="6" s="1"/>
  <c r="N37" i="6"/>
  <c r="B35" i="6"/>
  <c r="J35" i="6"/>
  <c r="K35" i="6" s="1"/>
  <c r="N35" i="6"/>
  <c r="B36" i="6"/>
  <c r="J36" i="6"/>
  <c r="K36" i="6"/>
  <c r="L36" i="6"/>
  <c r="N36" i="6"/>
  <c r="B33" i="6"/>
  <c r="J33" i="6"/>
  <c r="K33" i="6" s="1"/>
  <c r="L33" i="6"/>
  <c r="N33" i="6"/>
  <c r="B34" i="6"/>
  <c r="J34" i="6"/>
  <c r="K34" i="6" s="1"/>
  <c r="N34" i="6"/>
  <c r="B30" i="6"/>
  <c r="J30" i="6"/>
  <c r="K30" i="6" s="1"/>
  <c r="N30" i="6"/>
  <c r="B31" i="6"/>
  <c r="J31" i="6"/>
  <c r="K31" i="6" s="1"/>
  <c r="N31" i="6"/>
  <c r="B32" i="6"/>
  <c r="J32" i="6"/>
  <c r="K32" i="6"/>
  <c r="L32" i="6"/>
  <c r="N32" i="6"/>
  <c r="B24" i="6"/>
  <c r="J24" i="6"/>
  <c r="K24" i="6" s="1"/>
  <c r="N24" i="6"/>
  <c r="B25" i="6"/>
  <c r="J25" i="6"/>
  <c r="L25" i="6" s="1"/>
  <c r="N25" i="6"/>
  <c r="B26" i="6"/>
  <c r="J26" i="6"/>
  <c r="K26" i="6"/>
  <c r="L26" i="6"/>
  <c r="N26" i="6"/>
  <c r="B27" i="6"/>
  <c r="J27" i="6"/>
  <c r="L27" i="6" s="1"/>
  <c r="K27" i="6"/>
  <c r="N27" i="6"/>
  <c r="B28" i="6"/>
  <c r="J28" i="6"/>
  <c r="K28" i="6" s="1"/>
  <c r="N28" i="6"/>
  <c r="B29" i="6"/>
  <c r="J29" i="6"/>
  <c r="K29" i="6"/>
  <c r="L29" i="6"/>
  <c r="N29" i="6"/>
  <c r="J12" i="3"/>
  <c r="K12" i="3" s="1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6" i="6"/>
  <c r="J19" i="6"/>
  <c r="K19" i="6" s="1"/>
  <c r="N19" i="6"/>
  <c r="J20" i="6"/>
  <c r="K20" i="6" s="1"/>
  <c r="N20" i="6"/>
  <c r="J21" i="6"/>
  <c r="L21" i="6" s="1"/>
  <c r="N21" i="6"/>
  <c r="J22" i="6"/>
  <c r="L22" i="6" s="1"/>
  <c r="N22" i="6"/>
  <c r="J23" i="6"/>
  <c r="K23" i="6" s="1"/>
  <c r="N23" i="6"/>
  <c r="J18" i="6"/>
  <c r="K18" i="6" s="1"/>
  <c r="N18" i="6"/>
  <c r="J17" i="6"/>
  <c r="K17" i="6" s="1"/>
  <c r="N17" i="6"/>
  <c r="L34" i="6" l="1"/>
  <c r="K21" i="6"/>
  <c r="L36" i="9"/>
  <c r="K29" i="9"/>
  <c r="K25" i="6"/>
  <c r="L31" i="6"/>
  <c r="L27" i="9"/>
  <c r="L37" i="9"/>
  <c r="L35" i="9"/>
  <c r="L34" i="9"/>
  <c r="L30" i="9"/>
  <c r="L37" i="6"/>
  <c r="L35" i="6"/>
  <c r="L30" i="6"/>
  <c r="L28" i="6"/>
  <c r="L24" i="6"/>
  <c r="L20" i="6"/>
  <c r="K22" i="6"/>
  <c r="L23" i="6"/>
  <c r="L19" i="6"/>
  <c r="L18" i="6"/>
  <c r="L17" i="6"/>
  <c r="B7" i="9" l="1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6" i="9"/>
  <c r="J19" i="9"/>
  <c r="K19" i="9" s="1"/>
  <c r="N19" i="9"/>
  <c r="J20" i="9"/>
  <c r="K20" i="9"/>
  <c r="L20" i="9"/>
  <c r="N20" i="9"/>
  <c r="J21" i="9"/>
  <c r="K21" i="9" s="1"/>
  <c r="N21" i="9"/>
  <c r="J22" i="9"/>
  <c r="L22" i="9" s="1"/>
  <c r="N22" i="9"/>
  <c r="J23" i="9"/>
  <c r="K23" i="9" s="1"/>
  <c r="N23" i="9"/>
  <c r="J24" i="9"/>
  <c r="K24" i="9" s="1"/>
  <c r="N24" i="9"/>
  <c r="J25" i="9"/>
  <c r="L25" i="9" s="1"/>
  <c r="N25" i="9"/>
  <c r="J26" i="9"/>
  <c r="L26" i="9" s="1"/>
  <c r="N26" i="9"/>
  <c r="N6" i="8"/>
  <c r="J6" i="8"/>
  <c r="L6" i="8" s="1"/>
  <c r="B6" i="8"/>
  <c r="N17" i="9"/>
  <c r="J17" i="9"/>
  <c r="L17" i="9" s="1"/>
  <c r="J9" i="1"/>
  <c r="J8" i="1"/>
  <c r="L21" i="9" l="1"/>
  <c r="L24" i="9"/>
  <c r="K25" i="9"/>
  <c r="K26" i="9"/>
  <c r="K22" i="9"/>
  <c r="L23" i="9"/>
  <c r="L19" i="9"/>
  <c r="K6" i="8"/>
  <c r="K17" i="9"/>
  <c r="B9" i="1"/>
  <c r="M9" i="3"/>
  <c r="M8" i="3"/>
  <c r="B6" i="3"/>
  <c r="M7" i="2"/>
  <c r="M8" i="2"/>
  <c r="M9" i="2"/>
  <c r="M10" i="2"/>
  <c r="M11" i="2"/>
  <c r="M6" i="2"/>
  <c r="E14" i="12" l="1"/>
  <c r="D14" i="12"/>
  <c r="E13" i="12"/>
  <c r="D13" i="12"/>
  <c r="E12" i="12"/>
  <c r="D12" i="12"/>
  <c r="E11" i="12"/>
  <c r="D11" i="12"/>
  <c r="E10" i="12"/>
  <c r="D10" i="12"/>
  <c r="E9" i="12"/>
  <c r="D9" i="12"/>
  <c r="E8" i="12"/>
  <c r="D8" i="12"/>
  <c r="E7" i="12"/>
  <c r="D7" i="12"/>
  <c r="E6" i="12"/>
  <c r="D6" i="12"/>
  <c r="B3" i="12"/>
  <c r="J11" i="3"/>
  <c r="J10" i="3"/>
  <c r="J9" i="3"/>
  <c r="J8" i="3"/>
  <c r="J7" i="3"/>
  <c r="J6" i="3"/>
  <c r="K6" i="3" s="1"/>
  <c r="J11" i="2"/>
  <c r="J10" i="2"/>
  <c r="J9" i="2"/>
  <c r="J8" i="2"/>
  <c r="J7" i="2"/>
  <c r="J6" i="2"/>
  <c r="J7" i="1"/>
  <c r="K9" i="1"/>
  <c r="J10" i="1"/>
  <c r="J11" i="1"/>
  <c r="J6" i="1"/>
  <c r="D12" i="10"/>
  <c r="E12" i="10"/>
  <c r="D13" i="10"/>
  <c r="E13" i="10"/>
  <c r="D14" i="10"/>
  <c r="E14" i="10"/>
  <c r="E11" i="10"/>
  <c r="D11" i="10"/>
  <c r="E10" i="10"/>
  <c r="D10" i="10"/>
  <c r="E9" i="10"/>
  <c r="D9" i="10"/>
  <c r="E8" i="10"/>
  <c r="D8" i="10"/>
  <c r="E7" i="10"/>
  <c r="D7" i="10"/>
  <c r="E6" i="10"/>
  <c r="D6" i="10"/>
  <c r="B3" i="10"/>
  <c r="P27" i="11"/>
  <c r="M27" i="11"/>
  <c r="N27" i="11" s="1"/>
  <c r="L27" i="11"/>
  <c r="J27" i="11"/>
  <c r="G27" i="11"/>
  <c r="C27" i="11"/>
  <c r="P26" i="11"/>
  <c r="N26" i="11"/>
  <c r="M26" i="11"/>
  <c r="L26" i="11"/>
  <c r="J26" i="11"/>
  <c r="G26" i="11"/>
  <c r="C26" i="11"/>
  <c r="P25" i="11"/>
  <c r="M25" i="11"/>
  <c r="N25" i="11" s="1"/>
  <c r="L25" i="11"/>
  <c r="J25" i="11"/>
  <c r="G25" i="11"/>
  <c r="C25" i="11"/>
  <c r="P24" i="11"/>
  <c r="M24" i="11"/>
  <c r="N24" i="11" s="1"/>
  <c r="L24" i="11"/>
  <c r="J24" i="11"/>
  <c r="G24" i="11"/>
  <c r="C24" i="11"/>
  <c r="P23" i="11"/>
  <c r="M23" i="11"/>
  <c r="N23" i="11" s="1"/>
  <c r="L23" i="11"/>
  <c r="J23" i="11"/>
  <c r="G23" i="11"/>
  <c r="C23" i="11"/>
  <c r="P22" i="11"/>
  <c r="M22" i="11"/>
  <c r="N22" i="11" s="1"/>
  <c r="L22" i="11"/>
  <c r="J22" i="11"/>
  <c r="G22" i="11"/>
  <c r="C22" i="11"/>
  <c r="P21" i="11"/>
  <c r="M21" i="11"/>
  <c r="N21" i="11" s="1"/>
  <c r="L21" i="11"/>
  <c r="J21" i="11"/>
  <c r="G21" i="11"/>
  <c r="C21" i="11"/>
  <c r="P20" i="11"/>
  <c r="M20" i="11"/>
  <c r="N20" i="11" s="1"/>
  <c r="L20" i="11"/>
  <c r="J20" i="11"/>
  <c r="G20" i="11"/>
  <c r="C20" i="11"/>
  <c r="P19" i="11"/>
  <c r="M19" i="11"/>
  <c r="N19" i="11" s="1"/>
  <c r="L19" i="11"/>
  <c r="J19" i="11"/>
  <c r="G19" i="11"/>
  <c r="C19" i="11"/>
  <c r="P18" i="11"/>
  <c r="N18" i="11"/>
  <c r="M18" i="11"/>
  <c r="L18" i="11"/>
  <c r="J18" i="11"/>
  <c r="G18" i="11"/>
  <c r="C18" i="11"/>
  <c r="P17" i="11"/>
  <c r="N17" i="11"/>
  <c r="M17" i="11"/>
  <c r="L17" i="11"/>
  <c r="J17" i="11"/>
  <c r="G17" i="11"/>
  <c r="C17" i="11"/>
  <c r="P16" i="11"/>
  <c r="M16" i="11"/>
  <c r="N16" i="11" s="1"/>
  <c r="L16" i="11"/>
  <c r="J16" i="11"/>
  <c r="G16" i="11"/>
  <c r="C16" i="11"/>
  <c r="P15" i="11"/>
  <c r="M15" i="11"/>
  <c r="N15" i="11" s="1"/>
  <c r="L15" i="11"/>
  <c r="J15" i="11"/>
  <c r="G15" i="11"/>
  <c r="C15" i="11"/>
  <c r="P14" i="11"/>
  <c r="M14" i="11"/>
  <c r="N14" i="11" s="1"/>
  <c r="L14" i="11"/>
  <c r="J14" i="11"/>
  <c r="G14" i="11"/>
  <c r="C14" i="11"/>
  <c r="P13" i="11"/>
  <c r="M13" i="11"/>
  <c r="N13" i="11" s="1"/>
  <c r="L13" i="11"/>
  <c r="J13" i="11"/>
  <c r="G13" i="11"/>
  <c r="C13" i="11"/>
  <c r="P12" i="11"/>
  <c r="M12" i="11"/>
  <c r="N12" i="11" s="1"/>
  <c r="L12" i="11"/>
  <c r="J12" i="11"/>
  <c r="G12" i="11"/>
  <c r="C12" i="11"/>
  <c r="P11" i="11"/>
  <c r="M11" i="11"/>
  <c r="N11" i="11" s="1"/>
  <c r="L11" i="11"/>
  <c r="J11" i="11"/>
  <c r="G11" i="11"/>
  <c r="C11" i="11"/>
  <c r="P10" i="11"/>
  <c r="M10" i="11"/>
  <c r="N10" i="11" s="1"/>
  <c r="L10" i="11"/>
  <c r="J10" i="11"/>
  <c r="G10" i="11"/>
  <c r="C10" i="11"/>
  <c r="P9" i="11"/>
  <c r="M9" i="11"/>
  <c r="N9" i="11" s="1"/>
  <c r="L9" i="11"/>
  <c r="J9" i="11"/>
  <c r="G9" i="11"/>
  <c r="C9" i="11"/>
  <c r="P8" i="11"/>
  <c r="M8" i="11"/>
  <c r="N8" i="11" s="1"/>
  <c r="L8" i="11"/>
  <c r="J8" i="11"/>
  <c r="G8" i="11"/>
  <c r="C8" i="11"/>
  <c r="P7" i="11"/>
  <c r="M7" i="11"/>
  <c r="N7" i="11" s="1"/>
  <c r="L7" i="11"/>
  <c r="J7" i="11"/>
  <c r="G7" i="11"/>
  <c r="C7" i="11"/>
  <c r="P6" i="11"/>
  <c r="M6" i="11"/>
  <c r="N6" i="11" s="1"/>
  <c r="L6" i="11"/>
  <c r="J6" i="11"/>
  <c r="G6" i="11"/>
  <c r="C6" i="11"/>
  <c r="B3" i="11"/>
  <c r="N18" i="9"/>
  <c r="J18" i="9"/>
  <c r="L18" i="9" s="1"/>
  <c r="N16" i="9"/>
  <c r="J16" i="9"/>
  <c r="L16" i="9" s="1"/>
  <c r="N15" i="9"/>
  <c r="J15" i="9"/>
  <c r="K15" i="9" s="1"/>
  <c r="N14" i="9"/>
  <c r="J14" i="9"/>
  <c r="K14" i="9" s="1"/>
  <c r="N13" i="9"/>
  <c r="J13" i="9"/>
  <c r="K13" i="9" s="1"/>
  <c r="N12" i="9"/>
  <c r="J12" i="9"/>
  <c r="L12" i="9" s="1"/>
  <c r="N11" i="9"/>
  <c r="J11" i="9"/>
  <c r="K11" i="9" s="1"/>
  <c r="N10" i="9"/>
  <c r="J10" i="9"/>
  <c r="K10" i="9" s="1"/>
  <c r="N9" i="9"/>
  <c r="J9" i="9"/>
  <c r="K9" i="9" s="1"/>
  <c r="N8" i="9"/>
  <c r="J8" i="9"/>
  <c r="L8" i="9" s="1"/>
  <c r="N7" i="9"/>
  <c r="J7" i="9"/>
  <c r="K7" i="9" s="1"/>
  <c r="N6" i="9"/>
  <c r="J6" i="9"/>
  <c r="K6" i="9" s="1"/>
  <c r="C3" i="9"/>
  <c r="N15" i="8"/>
  <c r="J15" i="8"/>
  <c r="L15" i="8" s="1"/>
  <c r="B15" i="8"/>
  <c r="N14" i="8"/>
  <c r="J14" i="8"/>
  <c r="L14" i="8" s="1"/>
  <c r="B14" i="8"/>
  <c r="N13" i="8"/>
  <c r="J13" i="8"/>
  <c r="L13" i="8" s="1"/>
  <c r="B13" i="8"/>
  <c r="N12" i="8"/>
  <c r="J12" i="8"/>
  <c r="L12" i="8" s="1"/>
  <c r="B12" i="8"/>
  <c r="N11" i="8"/>
  <c r="J11" i="8"/>
  <c r="K11" i="8" s="1"/>
  <c r="B11" i="8"/>
  <c r="N10" i="8"/>
  <c r="J10" i="8"/>
  <c r="L10" i="8" s="1"/>
  <c r="B10" i="8"/>
  <c r="N9" i="8"/>
  <c r="J9" i="8"/>
  <c r="L9" i="8" s="1"/>
  <c r="B9" i="8"/>
  <c r="N8" i="8"/>
  <c r="J8" i="8"/>
  <c r="K8" i="8" s="1"/>
  <c r="B8" i="8"/>
  <c r="N7" i="8"/>
  <c r="J7" i="8"/>
  <c r="K7" i="8" s="1"/>
  <c r="B7" i="8"/>
  <c r="C3" i="8"/>
  <c r="J12" i="6"/>
  <c r="K12" i="6" s="1"/>
  <c r="N12" i="6"/>
  <c r="J13" i="6"/>
  <c r="L13" i="6" s="1"/>
  <c r="N13" i="6"/>
  <c r="J14" i="6"/>
  <c r="K14" i="6" s="1"/>
  <c r="N14" i="6"/>
  <c r="J15" i="6"/>
  <c r="K15" i="6" s="1"/>
  <c r="N15" i="6"/>
  <c r="J16" i="6"/>
  <c r="K16" i="6" s="1"/>
  <c r="N16" i="6"/>
  <c r="N11" i="6"/>
  <c r="J11" i="6"/>
  <c r="L11" i="6" s="1"/>
  <c r="N10" i="6"/>
  <c r="J10" i="6"/>
  <c r="L10" i="6" s="1"/>
  <c r="N9" i="6"/>
  <c r="J9" i="6"/>
  <c r="K9" i="6" s="1"/>
  <c r="N8" i="6"/>
  <c r="J8" i="6"/>
  <c r="L8" i="6" s="1"/>
  <c r="N7" i="6"/>
  <c r="J7" i="6"/>
  <c r="L7" i="6" s="1"/>
  <c r="N6" i="6"/>
  <c r="J6" i="6"/>
  <c r="L6" i="6" s="1"/>
  <c r="C3" i="6"/>
  <c r="C7" i="3"/>
  <c r="C8" i="3"/>
  <c r="C9" i="3"/>
  <c r="C11" i="3"/>
  <c r="C6" i="2"/>
  <c r="C7" i="2"/>
  <c r="C11" i="2"/>
  <c r="C6" i="1"/>
  <c r="C7" i="1"/>
  <c r="C8" i="1"/>
  <c r="K8" i="1" s="1"/>
  <c r="K6" i="1" l="1"/>
  <c r="K8" i="2"/>
  <c r="L14" i="9"/>
  <c r="K10" i="3"/>
  <c r="K9" i="3"/>
  <c r="K7" i="3"/>
  <c r="K7" i="2"/>
  <c r="K11" i="2"/>
  <c r="K9" i="2"/>
  <c r="K6" i="2"/>
  <c r="K10" i="2"/>
  <c r="K11" i="1"/>
  <c r="K7" i="1"/>
  <c r="K10" i="1"/>
  <c r="K11" i="3"/>
  <c r="K8" i="3"/>
  <c r="K10" i="6"/>
  <c r="L10" i="9"/>
  <c r="L9" i="6"/>
  <c r="C3" i="1"/>
  <c r="C3" i="3"/>
  <c r="K6" i="6"/>
  <c r="L16" i="6"/>
  <c r="L15" i="6"/>
  <c r="K13" i="6"/>
  <c r="L12" i="6"/>
  <c r="K8" i="9"/>
  <c r="L9" i="9"/>
  <c r="K12" i="9"/>
  <c r="L13" i="9"/>
  <c r="K16" i="9"/>
  <c r="N3" i="11"/>
  <c r="P3" i="11" s="1"/>
  <c r="L6" i="9"/>
  <c r="L7" i="9"/>
  <c r="L11" i="9"/>
  <c r="L15" i="9"/>
  <c r="K18" i="9"/>
  <c r="L7" i="8"/>
  <c r="L11" i="8"/>
  <c r="K12" i="8"/>
  <c r="K15" i="8"/>
  <c r="L8" i="8"/>
  <c r="K9" i="8"/>
  <c r="K13" i="8"/>
  <c r="K10" i="8"/>
  <c r="K14" i="8"/>
  <c r="L14" i="6"/>
  <c r="K11" i="6"/>
  <c r="K7" i="6"/>
  <c r="K8" i="6"/>
  <c r="C3" i="2"/>
  <c r="K3" i="1" l="1"/>
  <c r="K3" i="2"/>
  <c r="K3" i="3"/>
  <c r="L3" i="6"/>
  <c r="L3" i="8"/>
  <c r="L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Xtream Care</author>
  </authors>
  <commentList>
    <comment ref="F25" authorId="0" shapeId="0" xr:uid="{DFDEEE53-123E-4C65-90D4-16D9AD669C9A}">
      <text>
        <r>
          <rPr>
            <b/>
            <sz val="9"/>
            <color indexed="81"/>
            <rFont val="Tahoma"/>
            <family val="2"/>
          </rPr>
          <t>Xtream Care:</t>
        </r>
        <r>
          <rPr>
            <sz val="9"/>
            <color indexed="81"/>
            <rFont val="Tahoma"/>
            <family val="2"/>
          </rPr>
          <t xml:space="preserve">
GA
</t>
        </r>
      </text>
    </comment>
  </commentList>
</comments>
</file>

<file path=xl/sharedStrings.xml><?xml version="1.0" encoding="utf-8"?>
<sst xmlns="http://schemas.openxmlformats.org/spreadsheetml/2006/main" count="673" uniqueCount="432">
  <si>
    <t>JAN 06 2022</t>
  </si>
  <si>
    <t>PCS20006</t>
  </si>
  <si>
    <t>JAN 05 2022</t>
  </si>
  <si>
    <t>PCS20005</t>
  </si>
  <si>
    <t>JUN 02 2024</t>
  </si>
  <si>
    <t>DEC 02 2023</t>
  </si>
  <si>
    <t>PCS20004</t>
  </si>
  <si>
    <t>JUN 02 2023</t>
  </si>
  <si>
    <t>DEC 02 2022</t>
  </si>
  <si>
    <t>PCS20003</t>
  </si>
  <si>
    <t>JUN 19 2021</t>
    <phoneticPr fontId="2" type="noConversion"/>
  </si>
  <si>
    <t>DEC 19 2021</t>
    <phoneticPr fontId="2" type="noConversion"/>
  </si>
  <si>
    <t>PCS20002</t>
    <phoneticPr fontId="2" type="noConversion"/>
  </si>
  <si>
    <t>JUN 02 2021</t>
    <phoneticPr fontId="2" type="noConversion"/>
  </si>
  <si>
    <t>DEC 02 2020</t>
    <phoneticPr fontId="2" type="noConversion"/>
  </si>
  <si>
    <t>PCS20001</t>
    <phoneticPr fontId="2" type="noConversion"/>
  </si>
  <si>
    <t>left</t>
    <phoneticPr fontId="2" type="noConversion"/>
  </si>
  <si>
    <t>left</t>
  </si>
  <si>
    <t>(USED)</t>
  </si>
  <si>
    <t>Price</t>
  </si>
  <si>
    <t>expires at</t>
  </si>
  <si>
    <t>issued on</t>
  </si>
  <si>
    <t>$</t>
    <phoneticPr fontId="2" type="noConversion"/>
  </si>
  <si>
    <t xml:space="preserve">Value </t>
  </si>
  <si>
    <t>Service(s)</t>
  </si>
  <si>
    <t>Sales</t>
  </si>
  <si>
    <t>Unit</t>
  </si>
  <si>
    <t>No</t>
  </si>
  <si>
    <t>Percentage</t>
    <phoneticPr fontId="2" type="noConversion"/>
  </si>
  <si>
    <t>Unclaimed</t>
    <phoneticPr fontId="2" type="noConversion"/>
  </si>
  <si>
    <t xml:space="preserve"> </t>
  </si>
  <si>
    <t xml:space="preserve"> sold</t>
  </si>
  <si>
    <t>Numbers</t>
  </si>
  <si>
    <t>UNCLAIMED</t>
    <phoneticPr fontId="2" type="noConversion"/>
  </si>
  <si>
    <t>Amount</t>
  </si>
  <si>
    <t>PCM20006</t>
  </si>
  <si>
    <t>PCM20005</t>
  </si>
  <si>
    <t>PCM20004</t>
  </si>
  <si>
    <t>PCM20003</t>
  </si>
  <si>
    <t>PCM20002</t>
    <phoneticPr fontId="2" type="noConversion"/>
  </si>
  <si>
    <t>PCM20001</t>
    <phoneticPr fontId="2" type="noConversion"/>
  </si>
  <si>
    <t>JUN 18 2021</t>
    <phoneticPr fontId="2" type="noConversion"/>
  </si>
  <si>
    <t>PCL20006</t>
  </si>
  <si>
    <t>PCL20005</t>
  </si>
  <si>
    <t>PCL20004</t>
  </si>
  <si>
    <t>PCL20003</t>
  </si>
  <si>
    <t>JUN 16 2021</t>
    <phoneticPr fontId="2" type="noConversion"/>
  </si>
  <si>
    <t>DEC 16 2020</t>
    <phoneticPr fontId="2" type="noConversion"/>
  </si>
  <si>
    <t>PCL20002</t>
    <phoneticPr fontId="2" type="noConversion"/>
  </si>
  <si>
    <t>JUN 14 2021</t>
    <phoneticPr fontId="2" type="noConversion"/>
  </si>
  <si>
    <t>DEC 14 2020</t>
    <phoneticPr fontId="2" type="noConversion"/>
  </si>
  <si>
    <t>PCL20001</t>
    <phoneticPr fontId="2" type="noConversion"/>
  </si>
  <si>
    <t>Value</t>
    <phoneticPr fontId="2" type="noConversion"/>
  </si>
  <si>
    <t>H</t>
    <phoneticPr fontId="2" type="noConversion"/>
  </si>
  <si>
    <t>X</t>
    <phoneticPr fontId="2" type="noConversion"/>
  </si>
  <si>
    <t>D</t>
    <phoneticPr fontId="2" type="noConversion"/>
  </si>
  <si>
    <t>PCS21001</t>
  </si>
  <si>
    <t>PCS21002</t>
  </si>
  <si>
    <t>PCS21003</t>
  </si>
  <si>
    <t>PCS21004</t>
  </si>
  <si>
    <t>PCS21005</t>
  </si>
  <si>
    <t>PCS21006</t>
  </si>
  <si>
    <t>PCS21007</t>
  </si>
  <si>
    <t>PCS21008</t>
  </si>
  <si>
    <t>PCS21009</t>
  </si>
  <si>
    <t>PCS21010</t>
  </si>
  <si>
    <t>PCS21011</t>
  </si>
  <si>
    <t>PCS21012</t>
  </si>
  <si>
    <t>PCM21001</t>
  </si>
  <si>
    <t>PCM21002</t>
  </si>
  <si>
    <t>PCM21003</t>
  </si>
  <si>
    <t>PCM21004</t>
  </si>
  <si>
    <t>PCM21005</t>
  </si>
  <si>
    <t>PCM21006</t>
  </si>
  <si>
    <t>PCM21007</t>
  </si>
  <si>
    <t>PCM21008</t>
  </si>
  <si>
    <t>PCM21009</t>
  </si>
  <si>
    <t>PCL21001</t>
  </si>
  <si>
    <t>PCL21002</t>
  </si>
  <si>
    <t>PCL21003</t>
  </si>
  <si>
    <t>PCL21004</t>
  </si>
  <si>
    <t>PCL21005</t>
  </si>
  <si>
    <t>PCL21006</t>
  </si>
  <si>
    <t>PCL21007</t>
  </si>
  <si>
    <t>PCL21008</t>
  </si>
  <si>
    <t>PCL21009</t>
  </si>
  <si>
    <t>PCL21010</t>
  </si>
  <si>
    <t>PCL21011</t>
  </si>
  <si>
    <t>PCL21012</t>
  </si>
  <si>
    <t>PC21001</t>
  </si>
  <si>
    <t>PC21002</t>
  </si>
  <si>
    <t>PC21003</t>
  </si>
  <si>
    <t>PC21004</t>
  </si>
  <si>
    <t>PC21005</t>
  </si>
  <si>
    <t>PC21006</t>
  </si>
  <si>
    <t>PC21007</t>
  </si>
  <si>
    <t>PC21008</t>
  </si>
  <si>
    <t>PC21009</t>
  </si>
  <si>
    <t>USE DATE</t>
    <phoneticPr fontId="2" type="noConversion"/>
  </si>
  <si>
    <t>입력란</t>
    <phoneticPr fontId="2" type="noConversion"/>
  </si>
  <si>
    <t xml:space="preserve">Record the Date </t>
    <phoneticPr fontId="2" type="noConversion"/>
  </si>
  <si>
    <t>Service</t>
    <phoneticPr fontId="2" type="noConversion"/>
  </si>
  <si>
    <t>Use date (before use, remain 1)</t>
    <phoneticPr fontId="2" type="noConversion"/>
  </si>
  <si>
    <t>예</t>
    <phoneticPr fontId="2" type="noConversion"/>
  </si>
  <si>
    <t>PC20001</t>
    <phoneticPr fontId="2" type="noConversion"/>
  </si>
  <si>
    <t>PC20002</t>
  </si>
  <si>
    <t>PC20003</t>
  </si>
  <si>
    <t>PC20004</t>
  </si>
  <si>
    <t>PC20005</t>
  </si>
  <si>
    <t>PC20006</t>
  </si>
  <si>
    <t>PC20007</t>
  </si>
  <si>
    <t>PC20008</t>
  </si>
  <si>
    <t>PC20009</t>
  </si>
  <si>
    <t>sold on</t>
    <phoneticPr fontId="2" type="noConversion"/>
  </si>
  <si>
    <t>x</t>
    <phoneticPr fontId="2" type="noConversion"/>
  </si>
  <si>
    <t>B2PCMS 20001</t>
    <phoneticPr fontId="2" type="noConversion"/>
  </si>
  <si>
    <t>B2PCMS 20002</t>
  </si>
  <si>
    <t>B2PCMS 20003</t>
  </si>
  <si>
    <t>B2PCMS 20004</t>
  </si>
  <si>
    <t>B2PCMS 20005</t>
  </si>
  <si>
    <t>B2PCMS 20006</t>
  </si>
  <si>
    <t>B2PCMM 20001</t>
    <phoneticPr fontId="2" type="noConversion"/>
  </si>
  <si>
    <t>B2PCMM 20002</t>
  </si>
  <si>
    <t>B2PCMM 20003</t>
  </si>
  <si>
    <t>B2PCMM 20004</t>
  </si>
  <si>
    <t>B2PCMM 20005</t>
  </si>
  <si>
    <t>B2PCMM 20006</t>
  </si>
  <si>
    <t>B2PCML 20001</t>
    <phoneticPr fontId="2" type="noConversion"/>
  </si>
  <si>
    <t>B2PCML 20002</t>
  </si>
  <si>
    <t>B2PCML 20003</t>
  </si>
  <si>
    <t>B2PCML 20004</t>
  </si>
  <si>
    <t>B2PCML 20005</t>
  </si>
  <si>
    <t>B2PCML 20006</t>
  </si>
  <si>
    <t>JAN 10 2020</t>
    <phoneticPr fontId="2" type="noConversion"/>
  </si>
  <si>
    <t>JAN 13 2020</t>
    <phoneticPr fontId="2" type="noConversion"/>
  </si>
  <si>
    <t>CPH56R</t>
  </si>
  <si>
    <t>CLB30E</t>
  </si>
  <si>
    <t>JRC128</t>
  </si>
  <si>
    <t>NXD83Q</t>
  </si>
  <si>
    <t>ECS97K</t>
  </si>
  <si>
    <t>EJA08P</t>
  </si>
  <si>
    <t>EAR37X</t>
  </si>
  <si>
    <t>DTT77A</t>
  </si>
  <si>
    <t>EIIP2R</t>
  </si>
  <si>
    <t>ACF38E</t>
  </si>
  <si>
    <t>NGN21C</t>
  </si>
  <si>
    <t>EHU87A</t>
  </si>
  <si>
    <t>WJY77L</t>
  </si>
  <si>
    <t>KM1788</t>
  </si>
  <si>
    <t>CQL74Q</t>
  </si>
  <si>
    <t>BKC70S</t>
  </si>
  <si>
    <t>EGD12V</t>
  </si>
  <si>
    <t>PCL21013</t>
  </si>
  <si>
    <t>TSANG</t>
    <phoneticPr fontId="2" type="noConversion"/>
  </si>
  <si>
    <t>ODS</t>
  </si>
  <si>
    <t>LXB988</t>
  </si>
  <si>
    <t>8W8</t>
  </si>
  <si>
    <t>55ROCK</t>
  </si>
  <si>
    <t>BKC703</t>
  </si>
  <si>
    <t>42WAVE</t>
  </si>
  <si>
    <t>EII82R</t>
  </si>
  <si>
    <t>CHY90P</t>
  </si>
  <si>
    <t>TDS</t>
  </si>
  <si>
    <t>3DS</t>
  </si>
  <si>
    <t>1680HG</t>
  </si>
  <si>
    <t>EJA088</t>
  </si>
  <si>
    <t>CYO53G</t>
  </si>
  <si>
    <t>168OMG</t>
    <phoneticPr fontId="2" type="noConversion"/>
  </si>
  <si>
    <t>90S</t>
    <phoneticPr fontId="2" type="noConversion"/>
  </si>
  <si>
    <t>BBA32V</t>
    <phoneticPr fontId="2" type="noConversion"/>
  </si>
  <si>
    <t>BBA32V</t>
  </si>
  <si>
    <t>NBU75U</t>
    <phoneticPr fontId="2" type="noConversion"/>
  </si>
  <si>
    <t>추정</t>
    <phoneticPr fontId="2" type="noConversion"/>
  </si>
  <si>
    <t>DNM26N</t>
  </si>
  <si>
    <t xml:space="preserve"># PCL 21001 </t>
    <phoneticPr fontId="2" type="noConversion"/>
  </si>
  <si>
    <t>Rego</t>
    <phoneticPr fontId="2" type="noConversion"/>
  </si>
  <si>
    <t>PCL21014</t>
  </si>
  <si>
    <t>PCL21015</t>
  </si>
  <si>
    <t>PCL21016</t>
  </si>
  <si>
    <t>PCL21017</t>
  </si>
  <si>
    <t>PCL21018</t>
  </si>
  <si>
    <t>PCL21019</t>
  </si>
  <si>
    <t>PCL21020</t>
  </si>
  <si>
    <t>PCL21021</t>
  </si>
  <si>
    <t>DLS56L</t>
    <phoneticPr fontId="2" type="noConversion"/>
  </si>
  <si>
    <t>SKY5</t>
    <phoneticPr fontId="2" type="noConversion"/>
  </si>
  <si>
    <t>FAM338</t>
    <phoneticPr fontId="2" type="noConversion"/>
  </si>
  <si>
    <t>CVJ81M</t>
    <phoneticPr fontId="2" type="noConversion"/>
  </si>
  <si>
    <t>CLB30E</t>
    <phoneticPr fontId="2" type="noConversion"/>
  </si>
  <si>
    <t>99DS</t>
    <phoneticPr fontId="2" type="noConversion"/>
  </si>
  <si>
    <t>NJY77L</t>
    <phoneticPr fontId="2" type="noConversion"/>
  </si>
  <si>
    <t>EJI82R</t>
    <phoneticPr fontId="2" type="noConversion"/>
  </si>
  <si>
    <t>EIZ18C</t>
    <phoneticPr fontId="2" type="noConversion"/>
  </si>
  <si>
    <t>DJS57V</t>
    <phoneticPr fontId="2" type="noConversion"/>
  </si>
  <si>
    <t>CCWWW</t>
    <phoneticPr fontId="2" type="noConversion"/>
  </si>
  <si>
    <t>CYN61S</t>
    <phoneticPr fontId="2" type="noConversion"/>
  </si>
  <si>
    <t>PCS21013</t>
  </si>
  <si>
    <t>NBV96L</t>
    <phoneticPr fontId="2" type="noConversion"/>
  </si>
  <si>
    <t>PCS21014</t>
  </si>
  <si>
    <t>PCS21015</t>
  </si>
  <si>
    <t>PCS21017</t>
  </si>
  <si>
    <t>PCS21018</t>
  </si>
  <si>
    <t>DFI21H</t>
    <phoneticPr fontId="2" type="noConversion"/>
  </si>
  <si>
    <t>DYI58R</t>
    <phoneticPr fontId="2" type="noConversion"/>
  </si>
  <si>
    <t>MNY888</t>
    <phoneticPr fontId="2" type="noConversion"/>
  </si>
  <si>
    <t>BJ1688</t>
    <phoneticPr fontId="2" type="noConversion"/>
  </si>
  <si>
    <t>PCS21019</t>
  </si>
  <si>
    <t>PCS21020</t>
  </si>
  <si>
    <t>PCS21021</t>
  </si>
  <si>
    <t>PCS21022</t>
  </si>
  <si>
    <t>PCS21023</t>
  </si>
  <si>
    <t>PCS21024</t>
  </si>
  <si>
    <t>PCS21025</t>
  </si>
  <si>
    <t>PCS21026</t>
  </si>
  <si>
    <t>PCS21027</t>
  </si>
  <si>
    <t>PCS21028</t>
  </si>
  <si>
    <t>PCS21029</t>
  </si>
  <si>
    <t>PCS21030</t>
  </si>
  <si>
    <t>PCS21031</t>
  </si>
  <si>
    <t>PCS21032</t>
  </si>
  <si>
    <t>PCL21022</t>
  </si>
  <si>
    <t>PCL21023</t>
  </si>
  <si>
    <t>PCL21024</t>
  </si>
  <si>
    <t>PCL21025</t>
  </si>
  <si>
    <t>PCL21026</t>
  </si>
  <si>
    <t>PCL21027</t>
  </si>
  <si>
    <t>PCL21028</t>
  </si>
  <si>
    <t>PCL21029</t>
  </si>
  <si>
    <t>PCL21030</t>
  </si>
  <si>
    <t>PCL21031</t>
  </si>
  <si>
    <t>PCL21032</t>
  </si>
  <si>
    <t>EIW21F</t>
    <phoneticPr fontId="2" type="noConversion"/>
  </si>
  <si>
    <t>42WAVE</t>
    <phoneticPr fontId="2" type="noConversion"/>
  </si>
  <si>
    <t>BKG705</t>
    <phoneticPr fontId="2" type="noConversion"/>
  </si>
  <si>
    <t>KM788</t>
    <phoneticPr fontId="2" type="noConversion"/>
  </si>
  <si>
    <t>EMJ35Q</t>
    <phoneticPr fontId="2" type="noConversion"/>
  </si>
  <si>
    <t>ELA73S</t>
    <phoneticPr fontId="2" type="noConversion"/>
  </si>
  <si>
    <t>LXB988</t>
    <phoneticPr fontId="2" type="noConversion"/>
  </si>
  <si>
    <t>JEN98A</t>
    <phoneticPr fontId="2" type="noConversion"/>
  </si>
  <si>
    <t>CVY90Y</t>
    <phoneticPr fontId="2" type="noConversion"/>
  </si>
  <si>
    <t>HAR81N</t>
    <phoneticPr fontId="2" type="noConversion"/>
  </si>
  <si>
    <t>CXD09B</t>
    <phoneticPr fontId="2" type="noConversion"/>
  </si>
  <si>
    <t>DAO82R</t>
    <phoneticPr fontId="2" type="noConversion"/>
  </si>
  <si>
    <t>DQU61N</t>
    <phoneticPr fontId="2" type="noConversion"/>
  </si>
  <si>
    <t>YI628</t>
    <phoneticPr fontId="2" type="noConversion"/>
  </si>
  <si>
    <t>VV2888</t>
    <phoneticPr fontId="2" type="noConversion"/>
  </si>
  <si>
    <t>CLD21X</t>
    <phoneticPr fontId="2" type="noConversion"/>
  </si>
  <si>
    <t>KLF723</t>
    <phoneticPr fontId="2" type="noConversion"/>
  </si>
  <si>
    <t>PDD747</t>
    <phoneticPr fontId="2" type="noConversion"/>
  </si>
  <si>
    <t>DPH25M</t>
    <phoneticPr fontId="2" type="noConversion"/>
  </si>
  <si>
    <t>CMR01C</t>
    <phoneticPr fontId="2" type="noConversion"/>
  </si>
  <si>
    <t>DTD97Y</t>
    <phoneticPr fontId="2" type="noConversion"/>
  </si>
  <si>
    <t>DLX57A</t>
    <phoneticPr fontId="2" type="noConversion"/>
  </si>
  <si>
    <t>DSJ75Z</t>
    <phoneticPr fontId="2" type="noConversion"/>
  </si>
  <si>
    <t>CY053G</t>
    <phoneticPr fontId="2" type="noConversion"/>
  </si>
  <si>
    <t>CHY90P</t>
    <phoneticPr fontId="2" type="noConversion"/>
  </si>
  <si>
    <t>EGI01B</t>
  </si>
  <si>
    <t>purchase</t>
    <phoneticPr fontId="2" type="noConversion"/>
  </si>
  <si>
    <t>use</t>
    <phoneticPr fontId="2" type="noConversion"/>
  </si>
  <si>
    <t>EII82R</t>
    <phoneticPr fontId="2" type="noConversion"/>
  </si>
  <si>
    <t>OW1111</t>
    <phoneticPr fontId="2" type="noConversion"/>
  </si>
  <si>
    <t>MS79AJ</t>
    <phoneticPr fontId="2" type="noConversion"/>
  </si>
  <si>
    <t>CKA46E</t>
    <phoneticPr fontId="2" type="noConversion"/>
  </si>
  <si>
    <t>CMO57R</t>
    <phoneticPr fontId="2" type="noConversion"/>
  </si>
  <si>
    <t>?</t>
    <phoneticPr fontId="2" type="noConversion"/>
  </si>
  <si>
    <t>EJX85L</t>
    <phoneticPr fontId="2" type="noConversion"/>
  </si>
  <si>
    <t>BIS95J</t>
    <phoneticPr fontId="2" type="noConversion"/>
  </si>
  <si>
    <t>CJZ82B</t>
    <phoneticPr fontId="2" type="noConversion"/>
  </si>
  <si>
    <t>PCL21033</t>
  </si>
  <si>
    <t>PCL21034</t>
  </si>
  <si>
    <t>PCL21035</t>
  </si>
  <si>
    <t>PCL21036</t>
  </si>
  <si>
    <t>DVP85W</t>
    <phoneticPr fontId="2" type="noConversion"/>
  </si>
  <si>
    <t>NEC45R</t>
    <phoneticPr fontId="2" type="noConversion"/>
  </si>
  <si>
    <t>JRC128</t>
    <phoneticPr fontId="2" type="noConversion"/>
  </si>
  <si>
    <t>PCL21037</t>
  </si>
  <si>
    <t>PCL21038</t>
  </si>
  <si>
    <t>PCL21039</t>
  </si>
  <si>
    <t>NBZ17R</t>
    <phoneticPr fontId="2" type="noConversion"/>
  </si>
  <si>
    <t>EGD12V</t>
    <phoneticPr fontId="2" type="noConversion"/>
  </si>
  <si>
    <t>ELH32H</t>
    <phoneticPr fontId="2" type="noConversion"/>
  </si>
  <si>
    <t>DTI10V</t>
    <phoneticPr fontId="2" type="noConversion"/>
  </si>
  <si>
    <t>CAE70A</t>
    <phoneticPr fontId="2" type="noConversion"/>
  </si>
  <si>
    <t>XS66</t>
    <phoneticPr fontId="2" type="noConversion"/>
  </si>
  <si>
    <t>PCL21040</t>
  </si>
  <si>
    <t>PCL21041</t>
  </si>
  <si>
    <t>PCL21042</t>
  </si>
  <si>
    <t>EBO81P</t>
    <phoneticPr fontId="2" type="noConversion"/>
  </si>
  <si>
    <t>IAM338</t>
    <phoneticPr fontId="2" type="noConversion"/>
  </si>
  <si>
    <t>EE2233</t>
    <phoneticPr fontId="2" type="noConversion"/>
  </si>
  <si>
    <t>DGC99E</t>
    <phoneticPr fontId="2" type="noConversion"/>
  </si>
  <si>
    <t>DNY88H</t>
    <phoneticPr fontId="2" type="noConversion"/>
  </si>
  <si>
    <t>SYS390</t>
    <phoneticPr fontId="2" type="noConversion"/>
  </si>
  <si>
    <t>BDS</t>
    <phoneticPr fontId="2" type="noConversion"/>
  </si>
  <si>
    <t>DVA71U</t>
  </si>
  <si>
    <t>DAH83G</t>
    <phoneticPr fontId="2" type="noConversion"/>
  </si>
  <si>
    <t>BGD28A</t>
    <phoneticPr fontId="2" type="noConversion"/>
  </si>
  <si>
    <t>DRC173</t>
    <phoneticPr fontId="2" type="noConversion"/>
  </si>
  <si>
    <t>EME91B</t>
    <phoneticPr fontId="2" type="noConversion"/>
  </si>
  <si>
    <t>XHZ777</t>
    <phoneticPr fontId="2" type="noConversion"/>
  </si>
  <si>
    <t>DPM28Y</t>
    <phoneticPr fontId="2" type="noConversion"/>
  </si>
  <si>
    <t>PCS21033</t>
  </si>
  <si>
    <t>PCS21034</t>
  </si>
  <si>
    <t>PCS21035</t>
  </si>
  <si>
    <t>PCS21036</t>
  </si>
  <si>
    <t>PCS21037</t>
  </si>
  <si>
    <t>PCS21038</t>
  </si>
  <si>
    <t>PCS21039</t>
  </si>
  <si>
    <t>PCS21040</t>
  </si>
  <si>
    <t>PCS21041</t>
  </si>
  <si>
    <t>PCS21042</t>
  </si>
  <si>
    <t>DQS90F</t>
    <phoneticPr fontId="2" type="noConversion"/>
  </si>
  <si>
    <t>9DS</t>
    <phoneticPr fontId="2" type="noConversion"/>
  </si>
  <si>
    <t>149SCN</t>
    <phoneticPr fontId="2" type="noConversion"/>
  </si>
  <si>
    <t>CQL74Q</t>
    <phoneticPr fontId="2" type="noConversion"/>
  </si>
  <si>
    <t>DNK08Z</t>
    <phoneticPr fontId="2" type="noConversion"/>
  </si>
  <si>
    <t>EGD97B</t>
    <phoneticPr fontId="2" type="noConversion"/>
  </si>
  <si>
    <t>ODS</t>
    <phoneticPr fontId="2" type="noConversion"/>
  </si>
  <si>
    <t>PCL21043</t>
  </si>
  <si>
    <t>CXG60A</t>
    <phoneticPr fontId="2" type="noConversion"/>
  </si>
  <si>
    <t>NBV12E</t>
    <phoneticPr fontId="2" type="noConversion"/>
  </si>
  <si>
    <t>EAP37X</t>
    <phoneticPr fontId="2" type="noConversion"/>
  </si>
  <si>
    <t>YT918</t>
    <phoneticPr fontId="2" type="noConversion"/>
  </si>
  <si>
    <t>8W8</t>
    <phoneticPr fontId="2" type="noConversion"/>
  </si>
  <si>
    <t>EJM59R</t>
    <phoneticPr fontId="2" type="noConversion"/>
  </si>
  <si>
    <t>JCL139</t>
    <phoneticPr fontId="2" type="noConversion"/>
  </si>
  <si>
    <t>CHN05H</t>
    <phoneticPr fontId="2" type="noConversion"/>
  </si>
  <si>
    <t>999BBR</t>
    <phoneticPr fontId="2" type="noConversion"/>
  </si>
  <si>
    <t>NBU96L</t>
    <phoneticPr fontId="2" type="noConversion"/>
  </si>
  <si>
    <t>NDW022</t>
    <phoneticPr fontId="2" type="noConversion"/>
  </si>
  <si>
    <t>Cancel</t>
    <phoneticPr fontId="2" type="noConversion"/>
  </si>
  <si>
    <t>PCS21042-1</t>
    <phoneticPr fontId="2" type="noConversion"/>
  </si>
  <si>
    <t>PCM 21007을 변경</t>
    <phoneticPr fontId="2" type="noConversion"/>
  </si>
  <si>
    <t>PCS21043</t>
    <phoneticPr fontId="2" type="noConversion"/>
  </si>
  <si>
    <t>PCS21044</t>
  </si>
  <si>
    <t>PCS21045</t>
  </si>
  <si>
    <t>PCS21046</t>
  </si>
  <si>
    <t>PCS21047</t>
  </si>
  <si>
    <t>PCS21048</t>
  </si>
  <si>
    <t>BZB84A</t>
    <phoneticPr fontId="2" type="noConversion"/>
  </si>
  <si>
    <t>FJX85L</t>
    <phoneticPr fontId="2" type="noConversion"/>
  </si>
  <si>
    <t>CZJ94C</t>
    <phoneticPr fontId="2" type="noConversion"/>
  </si>
  <si>
    <t>CXD09B</t>
  </si>
  <si>
    <t>SKY</t>
    <phoneticPr fontId="2" type="noConversion"/>
  </si>
  <si>
    <t>PCL21044</t>
  </si>
  <si>
    <t>PCL21045</t>
  </si>
  <si>
    <t>PCL21046</t>
  </si>
  <si>
    <t>PCL21047</t>
  </si>
  <si>
    <t>PCL21048</t>
  </si>
  <si>
    <t>PCL21049</t>
  </si>
  <si>
    <t>PCL21050</t>
  </si>
  <si>
    <t>PCL21051</t>
  </si>
  <si>
    <t>PCL21052</t>
  </si>
  <si>
    <t>PCL21053</t>
  </si>
  <si>
    <t>PCL21054</t>
  </si>
  <si>
    <t>JIANG</t>
    <phoneticPr fontId="2" type="noConversion"/>
  </si>
  <si>
    <t>EJD86Q</t>
    <phoneticPr fontId="2" type="noConversion"/>
  </si>
  <si>
    <t>DGA63A</t>
    <phoneticPr fontId="2" type="noConversion"/>
  </si>
  <si>
    <t>ACF38E</t>
    <phoneticPr fontId="2" type="noConversion"/>
  </si>
  <si>
    <t>DTT77A</t>
    <phoneticPr fontId="2" type="noConversion"/>
  </si>
  <si>
    <t>ETS57V</t>
    <phoneticPr fontId="2" type="noConversion"/>
  </si>
  <si>
    <t>PLK777</t>
    <phoneticPr fontId="2" type="noConversion"/>
  </si>
  <si>
    <t>TONG</t>
    <phoneticPr fontId="2" type="noConversion"/>
  </si>
  <si>
    <t>DCS06A</t>
    <phoneticPr fontId="2" type="noConversion"/>
  </si>
  <si>
    <t>cxl</t>
    <phoneticPr fontId="2" type="noConversion"/>
  </si>
  <si>
    <t>DFP52V</t>
    <phoneticPr fontId="2" type="noConversion"/>
  </si>
  <si>
    <t>DCJ77L</t>
    <phoneticPr fontId="2" type="noConversion"/>
  </si>
  <si>
    <t>DBA59L</t>
    <phoneticPr fontId="2" type="noConversion"/>
  </si>
  <si>
    <t>EJA08P</t>
    <phoneticPr fontId="2" type="noConversion"/>
  </si>
  <si>
    <t>YBK23Y</t>
    <phoneticPr fontId="2" type="noConversion"/>
  </si>
  <si>
    <t>DZU80N</t>
    <phoneticPr fontId="2" type="noConversion"/>
  </si>
  <si>
    <t>DNM264</t>
    <phoneticPr fontId="2" type="noConversion"/>
  </si>
  <si>
    <t>CYO53G</t>
    <phoneticPr fontId="2" type="noConversion"/>
  </si>
  <si>
    <t>NSZ899</t>
    <phoneticPr fontId="2" type="noConversion"/>
  </si>
  <si>
    <t>JCL138</t>
    <phoneticPr fontId="2" type="noConversion"/>
  </si>
  <si>
    <t>DQC86M</t>
    <phoneticPr fontId="2" type="noConversion"/>
  </si>
  <si>
    <t>EJF41P</t>
    <phoneticPr fontId="2" type="noConversion"/>
  </si>
  <si>
    <t>DHU51T</t>
    <phoneticPr fontId="2" type="noConversion"/>
  </si>
  <si>
    <t>BKC70S</t>
    <phoneticPr fontId="2" type="noConversion"/>
  </si>
  <si>
    <t>E1X85L</t>
  </si>
  <si>
    <t>DSC68B</t>
    <phoneticPr fontId="2" type="noConversion"/>
  </si>
  <si>
    <t>ELV86M</t>
    <phoneticPr fontId="2" type="noConversion"/>
  </si>
  <si>
    <t>DXF86Q</t>
    <phoneticPr fontId="2" type="noConversion"/>
  </si>
  <si>
    <t>DFB88B</t>
    <phoneticPr fontId="2" type="noConversion"/>
  </si>
  <si>
    <t>PF888</t>
    <phoneticPr fontId="2" type="noConversion"/>
  </si>
  <si>
    <t>WEI11H</t>
    <phoneticPr fontId="2" type="noConversion"/>
  </si>
  <si>
    <t>8PS</t>
    <phoneticPr fontId="2" type="noConversion"/>
  </si>
  <si>
    <t>DQE82D</t>
    <phoneticPr fontId="2" type="noConversion"/>
  </si>
  <si>
    <t>HOI006</t>
    <phoneticPr fontId="2" type="noConversion"/>
  </si>
  <si>
    <t>ELZ18C</t>
    <phoneticPr fontId="2" type="noConversion"/>
  </si>
  <si>
    <t>CVJ81H</t>
    <phoneticPr fontId="2" type="noConversion"/>
  </si>
  <si>
    <t>DYF58R</t>
    <phoneticPr fontId="2" type="noConversion"/>
  </si>
  <si>
    <t>PCS21017</t>
    <phoneticPr fontId="2" type="noConversion"/>
  </si>
  <si>
    <t>CN800</t>
  </si>
  <si>
    <t>CZO86A</t>
    <phoneticPr fontId="2" type="noConversion"/>
  </si>
  <si>
    <t>NCA76N</t>
    <phoneticPr fontId="2" type="noConversion"/>
  </si>
  <si>
    <t>DSG58V</t>
    <phoneticPr fontId="2" type="noConversion"/>
  </si>
  <si>
    <t>EGT01B</t>
    <phoneticPr fontId="2" type="noConversion"/>
  </si>
  <si>
    <t>CPH56R</t>
    <phoneticPr fontId="2" type="noConversion"/>
  </si>
  <si>
    <t>PCL21055</t>
  </si>
  <si>
    <t>PCL21056</t>
  </si>
  <si>
    <t>PCL21057</t>
  </si>
  <si>
    <t>PCL21058</t>
  </si>
  <si>
    <t>PCL21059</t>
  </si>
  <si>
    <t>PCL21060</t>
  </si>
  <si>
    <t>PCL21061</t>
  </si>
  <si>
    <t>PCL21062</t>
  </si>
  <si>
    <t>PCL21063</t>
  </si>
  <si>
    <t>PCL21064</t>
  </si>
  <si>
    <t>PCL21065</t>
  </si>
  <si>
    <t>PCL21066</t>
  </si>
  <si>
    <t>DVO79C</t>
    <phoneticPr fontId="2" type="noConversion"/>
  </si>
  <si>
    <t>JCU39</t>
    <phoneticPr fontId="2" type="noConversion"/>
  </si>
  <si>
    <t>ELM40V</t>
    <phoneticPr fontId="2" type="noConversion"/>
  </si>
  <si>
    <t>PCM21010</t>
  </si>
  <si>
    <t>PCM21011</t>
  </si>
  <si>
    <t>PCM21012</t>
  </si>
  <si>
    <t>PCM21013</t>
  </si>
  <si>
    <t>PCM21014</t>
  </si>
  <si>
    <t>OJE001</t>
    <phoneticPr fontId="2" type="noConversion"/>
  </si>
  <si>
    <t>PCM21015</t>
  </si>
  <si>
    <t>DSC21044</t>
    <phoneticPr fontId="2" type="noConversion"/>
  </si>
  <si>
    <t>DSC06A</t>
    <phoneticPr fontId="2" type="noConversion"/>
  </si>
  <si>
    <t>YCS30L</t>
    <phoneticPr fontId="2" type="noConversion"/>
  </si>
  <si>
    <t>7DS</t>
    <phoneticPr fontId="2" type="noConversion"/>
  </si>
  <si>
    <t>DNK71T</t>
    <phoneticPr fontId="2" type="noConversion"/>
  </si>
  <si>
    <t>EHU87A</t>
    <phoneticPr fontId="2" type="noConversion"/>
  </si>
  <si>
    <t>DTA05A</t>
    <phoneticPr fontId="2" type="noConversion"/>
  </si>
  <si>
    <t>DHS111</t>
    <phoneticPr fontId="2" type="noConversion"/>
  </si>
  <si>
    <t>DLJ25S</t>
    <phoneticPr fontId="2" type="noConversion"/>
  </si>
  <si>
    <t>GINZA</t>
    <phoneticPr fontId="2" type="noConversion"/>
  </si>
  <si>
    <t>KM1788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</si>
</sst>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176" formatCode="\$#,##0"/>
    <numFmt numFmtId="177" formatCode="yyyy&quot;-&quot;m&quot;-&quot;d;@"/>
    <numFmt numFmtId="178" formatCode="0_);[Red]\(0\)"/>
    <numFmt numFmtId="179" formatCode="mm&quot;월&quot;\ dd&quot;일&quot;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4" tint="-0.499984740745262"/>
      <name val="맑은 고딕"/>
      <family val="3"/>
      <charset val="129"/>
      <scheme val="minor"/>
    </font>
    <font>
      <sz val="11"/>
      <color theme="4" tint="-0.499984740745262"/>
      <name val="맑은 고딕"/>
      <family val="2"/>
      <charset val="129"/>
      <scheme val="minor"/>
    </font>
    <font>
      <sz val="9"/>
      <color theme="4" tint="-0.499984740745262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</patternFill>
    </fill>
    <fill>
      <patternFill patternType="solid">
        <fgColor rgb="FFE9BDD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8">
    <xf numFmtId="0" fontId="0" fillId="0" borderId="0">
      <alignment vertical="center"/>
    </xf>
    <xf numFmtId="0" fontId="13" fillId="12" borderId="14" applyNumberFormat="0" applyAlignment="0" applyProtection="0">
      <alignment vertical="center"/>
    </xf>
    <xf numFmtId="0" fontId="12" fillId="0" borderId="0"/>
    <xf numFmtId="0" fontId="12" fillId="0" borderId="0"/>
    <xf numFmtId="42" fontId="12" fillId="0" borderId="0" applyFont="0" applyFill="0" applyBorder="0" applyAlignment="0" applyProtection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2" fontId="12" fillId="0" borderId="0" applyFont="0" applyFill="0" applyBorder="0" applyAlignment="0" applyProtection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2" fontId="12" fillId="0" borderId="0" applyFont="0" applyFill="0" applyBorder="0" applyAlignment="0" applyProtection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42" fontId="12" fillId="0" borderId="0" applyFont="0" applyFill="0" applyBorder="0" applyAlignment="0" applyProtection="0">
      <alignment vertical="center"/>
    </xf>
    <xf numFmtId="0" fontId="12" fillId="0" borderId="0"/>
    <xf numFmtId="42" fontId="12" fillId="0" borderId="0" applyFont="0" applyFill="0" applyBorder="0" applyAlignment="0" applyProtection="0">
      <alignment vertical="center"/>
    </xf>
    <xf numFmtId="0" fontId="12" fillId="0" borderId="0"/>
    <xf numFmtId="42" fontId="12" fillId="0" borderId="0" applyFont="0" applyFill="0" applyBorder="0" applyAlignment="0" applyProtection="0">
      <alignment vertical="center"/>
    </xf>
    <xf numFmtId="0" fontId="12" fillId="0" borderId="0"/>
    <xf numFmtId="42" fontId="12" fillId="0" borderId="0" applyFont="0" applyFill="0" applyBorder="0" applyAlignment="0" applyProtection="0">
      <alignment vertical="center"/>
    </xf>
  </cellStyleXfs>
  <cellXfs count="30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16" fontId="0" fillId="2" borderId="0" xfId="0" applyNumberFormat="1" applyFill="1">
      <alignment vertical="center"/>
    </xf>
    <xf numFmtId="0" fontId="0" fillId="3" borderId="0" xfId="0" applyFill="1">
      <alignment vertical="center"/>
    </xf>
    <xf numFmtId="0" fontId="1" fillId="2" borderId="0" xfId="0" applyFont="1" applyFill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>
      <alignment vertical="center"/>
    </xf>
    <xf numFmtId="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5" fillId="4" borderId="0" xfId="0" applyFont="1" applyFill="1" applyAlignment="1">
      <alignment horizontal="center" vertical="center"/>
    </xf>
    <xf numFmtId="0" fontId="0" fillId="5" borderId="0" xfId="0" applyFill="1" applyAlignment="1">
      <alignment horizontal="right" vertical="center"/>
    </xf>
    <xf numFmtId="177" fontId="0" fillId="0" borderId="0" xfId="0" applyNumberFormat="1">
      <alignment vertical="center"/>
    </xf>
    <xf numFmtId="16" fontId="0" fillId="6" borderId="0" xfId="0" applyNumberFormat="1" applyFill="1">
      <alignment vertical="center"/>
    </xf>
    <xf numFmtId="0" fontId="0" fillId="6" borderId="0" xfId="0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0" fillId="5" borderId="0" xfId="0" applyNumberFormat="1" applyFill="1" applyAlignment="1">
      <alignment horizontal="right" vertical="center"/>
    </xf>
    <xf numFmtId="178" fontId="0" fillId="0" borderId="0" xfId="0" applyNumberFormat="1" applyAlignment="1">
      <alignment horizontal="center" vertical="center"/>
    </xf>
    <xf numFmtId="0" fontId="6" fillId="7" borderId="1" xfId="0" applyFont="1" applyFill="1" applyBorder="1">
      <alignment vertical="center"/>
    </xf>
    <xf numFmtId="0" fontId="6" fillId="7" borderId="8" xfId="0" applyFont="1" applyFill="1" applyBorder="1">
      <alignment vertical="center"/>
    </xf>
    <xf numFmtId="0" fontId="6" fillId="7" borderId="3" xfId="0" applyFont="1" applyFill="1" applyBorder="1">
      <alignment vertical="center"/>
    </xf>
    <xf numFmtId="0" fontId="6" fillId="7" borderId="9" xfId="0" applyFont="1" applyFill="1" applyBorder="1">
      <alignment vertical="center"/>
    </xf>
    <xf numFmtId="9" fontId="7" fillId="8" borderId="0" xfId="0" applyNumberFormat="1" applyFont="1" applyFill="1" applyAlignment="1">
      <alignment horizontal="center" vertical="center"/>
    </xf>
    <xf numFmtId="176" fontId="7" fillId="8" borderId="0" xfId="0" applyNumberFormat="1" applyFont="1" applyFill="1" applyAlignment="1">
      <alignment horizontal="center" vertical="center"/>
    </xf>
    <xf numFmtId="0" fontId="7" fillId="8" borderId="0" xfId="0" applyFont="1" applyFill="1">
      <alignment vertical="center"/>
    </xf>
    <xf numFmtId="0" fontId="7" fillId="8" borderId="0" xfId="0" applyFont="1" applyFill="1" applyAlignment="1">
      <alignment horizontal="center" vertical="center"/>
    </xf>
    <xf numFmtId="176" fontId="8" fillId="9" borderId="0" xfId="0" applyNumberFormat="1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9" borderId="0" xfId="0" applyFont="1" applyFill="1">
      <alignment vertical="center"/>
    </xf>
    <xf numFmtId="0" fontId="10" fillId="9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>
      <alignment vertical="center"/>
    </xf>
    <xf numFmtId="0" fontId="6" fillId="7" borderId="6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6" borderId="0" xfId="0" applyFill="1" applyAlignment="1">
      <alignment horizontal="right" vertical="center"/>
    </xf>
    <xf numFmtId="1" fontId="0" fillId="6" borderId="0" xfId="0" applyNumberFormat="1" applyFill="1" applyAlignment="1">
      <alignment horizontal="center" vertical="center"/>
    </xf>
    <xf numFmtId="179" fontId="0" fillId="0" borderId="7" xfId="0" applyNumberFormat="1" applyBorder="1" applyAlignment="1">
      <alignment horizontal="center" vertical="center"/>
    </xf>
    <xf numFmtId="0" fontId="0" fillId="10" borderId="0" xfId="0" applyFill="1" applyAlignment="1">
      <alignment horizontal="right" vertical="center"/>
    </xf>
    <xf numFmtId="177" fontId="0" fillId="10" borderId="0" xfId="0" applyNumberFormat="1" applyFill="1">
      <alignment vertical="center"/>
    </xf>
    <xf numFmtId="16" fontId="0" fillId="2" borderId="0" xfId="0" applyNumberFormat="1" applyFill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1" fontId="0" fillId="6" borderId="0" xfId="0" applyNumberFormat="1" applyFill="1" applyAlignment="1">
      <alignment horizontal="right" vertical="center"/>
    </xf>
    <xf numFmtId="1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1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1" fontId="0" fillId="2" borderId="0" xfId="0" applyNumberFormat="1" applyFill="1">
      <alignment vertical="center"/>
    </xf>
    <xf numFmtId="15" fontId="0" fillId="2" borderId="0" xfId="0" applyNumberFormat="1" applyFill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1" borderId="0" xfId="0" applyFill="1">
      <alignment vertical="center"/>
    </xf>
    <xf numFmtId="16" fontId="0" fillId="11" borderId="0" xfId="0" applyNumberFormat="1" applyFill="1" applyAlignment="1">
      <alignment horizontal="center" vertical="center"/>
    </xf>
    <xf numFmtId="0" fontId="0" fillId="11" borderId="0" xfId="0" applyFill="1" applyAlignment="1">
      <alignment horizontal="right" vertical="center"/>
    </xf>
    <xf numFmtId="1" fontId="0" fillId="11" borderId="0" xfId="0" applyNumberFormat="1" applyFill="1" applyAlignment="1">
      <alignment horizontal="right" vertical="center"/>
    </xf>
    <xf numFmtId="1" fontId="0" fillId="11" borderId="0" xfId="0" applyNumberFormat="1" applyFill="1" applyAlignment="1">
      <alignment horizontal="center" vertical="center"/>
    </xf>
    <xf numFmtId="16" fontId="0" fillId="11" borderId="0" xfId="0" applyNumberFormat="1" applyFill="1">
      <alignment vertical="center"/>
    </xf>
    <xf numFmtId="16" fontId="0" fillId="2" borderId="0" xfId="0" applyNumberFormat="1" applyFill="1" applyAlignment="1">
      <alignment horizontal="center" vertical="center"/>
    </xf>
    <xf numFmtId="0" fontId="14" fillId="0" borderId="2" xfId="5" applyFont="1" applyBorder="1" applyAlignment="1">
      <alignment horizontal="left" shrinkToFit="1"/>
    </xf>
    <xf numFmtId="0" fontId="15" fillId="0" borderId="2" xfId="8" applyFont="1" applyBorder="1" applyAlignment="1">
      <alignment shrinkToFit="1"/>
    </xf>
    <xf numFmtId="0" fontId="16" fillId="0" borderId="2" xfId="1" applyFont="1" applyFill="1" applyBorder="1" applyAlignment="1">
      <alignment horizontal="left" shrinkToFit="1"/>
    </xf>
    <xf numFmtId="0" fontId="16" fillId="0" borderId="2" xfId="1" applyFont="1" applyFill="1" applyBorder="1" applyAlignment="1">
      <alignment horizontal="left" shrinkToFit="1"/>
    </xf>
    <xf numFmtId="0" fontId="0" fillId="13" borderId="0" xfId="0" applyFill="1">
      <alignment vertical="center"/>
    </xf>
    <xf numFmtId="16" fontId="0" fillId="13" borderId="0" xfId="0" applyNumberForma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horizontal="right" vertical="center"/>
    </xf>
    <xf numFmtId="16" fontId="0" fillId="13" borderId="0" xfId="0" applyNumberFormat="1" applyFill="1">
      <alignment vertical="center"/>
    </xf>
    <xf numFmtId="0" fontId="12" fillId="0" borderId="4" xfId="11" applyBorder="1"/>
    <xf numFmtId="0" fontId="14" fillId="0" borderId="2" xfId="14" applyFont="1" applyBorder="1" applyAlignment="1">
      <alignment horizontal="left" shrinkToFit="1"/>
    </xf>
    <xf numFmtId="0" fontId="14" fillId="0" borderId="2" xfId="18" applyFont="1" applyBorder="1" applyAlignment="1">
      <alignment horizontal="left" shrinkToFit="1"/>
    </xf>
    <xf numFmtId="0" fontId="12" fillId="0" borderId="4" xfId="19" applyBorder="1"/>
    <xf numFmtId="16" fontId="0" fillId="2" borderId="0" xfId="0" applyNumberFormat="1" applyFill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0" fontId="15" fillId="0" borderId="2" xfId="0" applyFont="1" applyBorder="1" applyAlignment="1">
      <alignment shrinkToFit="1"/>
    </xf>
    <xf numFmtId="0" fontId="16" fillId="0" borderId="2" xfId="1" applyFont="1" applyFill="1" applyBorder="1" applyAlignment="1">
      <alignment shrinkToFit="1"/>
    </xf>
    <xf numFmtId="0" fontId="12" fillId="0" borderId="4" xfId="23" applyBorder="1"/>
    <xf numFmtId="0" fontId="14" fillId="0" borderId="2" xfId="26" applyFont="1" applyBorder="1" applyAlignment="1">
      <alignment horizontal="left" shrinkToFit="1"/>
    </xf>
    <xf numFmtId="0" fontId="15" fillId="0" borderId="2" xfId="27" applyFont="1" applyBorder="1" applyAlignment="1">
      <alignment shrinkToFit="1"/>
    </xf>
    <xf numFmtId="0" fontId="12" fillId="0" borderId="8" xfId="28" applyBorder="1" applyAlignment="1">
      <alignment horizontal="left" shrinkToFit="1"/>
    </xf>
    <xf numFmtId="0" fontId="12" fillId="0" borderId="8" xfId="29" applyBorder="1" applyAlignment="1">
      <alignment horizontal="left" shrinkToFit="1"/>
    </xf>
    <xf numFmtId="0" fontId="12" fillId="0" borderId="8" xfId="31" applyBorder="1" applyAlignment="1">
      <alignment horizontal="left" shrinkToFit="1"/>
    </xf>
    <xf numFmtId="0" fontId="15" fillId="0" borderId="2" xfId="34" applyFont="1" applyBorder="1" applyAlignment="1">
      <alignment shrinkToFit="1"/>
    </xf>
    <xf numFmtId="0" fontId="12" fillId="0" borderId="4" xfId="37" applyBorder="1"/>
    <xf numFmtId="0" fontId="14" fillId="0" borderId="2" xfId="38" applyFont="1" applyBorder="1" applyAlignment="1">
      <alignment horizontal="left" shrinkToFit="1"/>
    </xf>
    <xf numFmtId="16" fontId="0" fillId="2" borderId="0" xfId="0" applyNumberFormat="1" applyFill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shrinkToFit="1"/>
    </xf>
    <xf numFmtId="16" fontId="0" fillId="3" borderId="0" xfId="0" applyNumberFormat="1" applyFill="1" applyAlignment="1">
      <alignment horizontal="center" vertical="center"/>
    </xf>
    <xf numFmtId="1" fontId="0" fillId="3" borderId="0" xfId="0" applyNumberFormat="1" applyFill="1" applyAlignment="1">
      <alignment horizontal="right" vertical="center"/>
    </xf>
    <xf numFmtId="1" fontId="0" fillId="3" borderId="0" xfId="0" applyNumberFormat="1" applyFill="1" applyAlignment="1">
      <alignment horizontal="center" vertical="center"/>
    </xf>
    <xf numFmtId="16" fontId="0" fillId="3" borderId="0" xfId="0" applyNumberFormat="1" applyFill="1">
      <alignment vertical="center"/>
    </xf>
    <xf numFmtId="0" fontId="16" fillId="0" borderId="2" xfId="1" applyFont="1" applyFill="1" applyBorder="1" applyAlignment="1">
      <alignment horizontal="left" shrinkToFit="1"/>
    </xf>
    <xf numFmtId="0" fontId="12" fillId="0" borderId="2" xfId="13" applyBorder="1" applyAlignment="1">
      <alignment horizontal="left"/>
    </xf>
    <xf numFmtId="0" fontId="0" fillId="2" borderId="2" xfId="0" applyFill="1" applyBorder="1">
      <alignment vertical="center"/>
    </xf>
    <xf numFmtId="0" fontId="12" fillId="0" borderId="2" xfId="42" applyBorder="1" applyAlignment="1">
      <alignment horizontal="left"/>
    </xf>
    <xf numFmtId="0" fontId="0" fillId="0" borderId="2" xfId="0" applyBorder="1" applyAlignment="1">
      <alignment horizontal="left"/>
    </xf>
    <xf numFmtId="0" fontId="12" fillId="0" borderId="2" xfId="12" applyBorder="1"/>
    <xf numFmtId="0" fontId="12" fillId="0" borderId="2" xfId="15" applyBorder="1" applyAlignment="1">
      <alignment horizontal="left" shrinkToFit="1"/>
    </xf>
    <xf numFmtId="0" fontId="12" fillId="0" borderId="2" xfId="16" applyBorder="1" applyAlignment="1">
      <alignment horizontal="left" shrinkToFit="1"/>
    </xf>
    <xf numFmtId="0" fontId="12" fillId="0" borderId="2" xfId="36" applyBorder="1"/>
    <xf numFmtId="0" fontId="12" fillId="0" borderId="4" xfId="48" applyBorder="1" applyAlignment="1">
      <alignment horizontal="left"/>
    </xf>
    <xf numFmtId="0" fontId="12" fillId="0" borderId="15" xfId="49" applyBorder="1"/>
    <xf numFmtId="16" fontId="0" fillId="2" borderId="0" xfId="0" applyNumberFormat="1" applyFill="1" applyAlignment="1">
      <alignment horizontal="center" vertical="center"/>
    </xf>
    <xf numFmtId="0" fontId="0" fillId="2" borderId="0" xfId="0" applyFill="1">
      <alignment vertical="center"/>
    </xf>
    <xf numFmtId="1" fontId="0" fillId="4" borderId="0" xfId="0" applyNumberFormat="1" applyFill="1">
      <alignment vertical="center"/>
    </xf>
    <xf numFmtId="1" fontId="0" fillId="11" borderId="0" xfId="0" applyNumberFormat="1" applyFill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0" fontId="0" fillId="0" borderId="15" xfId="0" applyBorder="1" applyAlignment="1"/>
    <xf numFmtId="0" fontId="0" fillId="0" borderId="1" xfId="0" applyBorder="1" applyAlignment="1">
      <alignment horizontal="center" shrinkToFit="1"/>
    </xf>
    <xf numFmtId="16" fontId="0" fillId="2" borderId="0" xfId="0" applyNumberFormat="1" applyFill="1" applyAlignment="1">
      <alignment horizontal="center" vertical="center"/>
    </xf>
    <xf numFmtId="0" fontId="14" fillId="0" borderId="2" xfId="0" applyFont="1" applyBorder="1" applyAlignment="1">
      <alignment horizontal="left" shrinkToFit="1"/>
    </xf>
    <xf numFmtId="0" fontId="0" fillId="0" borderId="4" xfId="0" applyBorder="1" applyAlignment="1">
      <alignment horizontal="left"/>
    </xf>
    <xf numFmtId="0" fontId="0" fillId="0" borderId="8" xfId="0" applyBorder="1" applyAlignment="1">
      <alignment horizontal="left" shrinkToFit="1"/>
    </xf>
    <xf numFmtId="0" fontId="0" fillId="5" borderId="0" xfId="0" applyFill="1">
      <alignment vertical="center"/>
    </xf>
    <xf numFmtId="1" fontId="0" fillId="5" borderId="0" xfId="0" applyNumberFormat="1" applyFill="1">
      <alignment vertical="center"/>
    </xf>
    <xf numFmtId="16" fontId="0" fillId="5" borderId="0" xfId="0" applyNumberForma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6" fontId="0" fillId="5" borderId="0" xfId="0" applyNumberFormat="1" applyFill="1">
      <alignment vertical="center"/>
    </xf>
    <xf numFmtId="0" fontId="0" fillId="0" borderId="4" xfId="0" applyBorder="1" applyAlignment="1"/>
    <xf numFmtId="0" fontId="0" fillId="2" borderId="0" xfId="0" applyFill="1" applyAlignment="1">
      <alignment horizontal="right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shrinkToFit="1"/>
    </xf>
    <xf numFmtId="16" fontId="0" fillId="2" borderId="0" xfId="0" applyNumberFormat="1" applyFill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0" fontId="0" fillId="2" borderId="0" xfId="0" applyFill="1">
      <alignment vertical="center"/>
    </xf>
    <xf numFmtId="16" fontId="0" fillId="2" borderId="0" xfId="0" applyNumberFormat="1" applyFill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14" borderId="0" xfId="0" applyFill="1">
      <alignment vertical="center"/>
    </xf>
    <xf numFmtId="1" fontId="0" fillId="14" borderId="0" xfId="0" applyNumberFormat="1" applyFill="1">
      <alignment vertical="center"/>
    </xf>
    <xf numFmtId="16" fontId="0" fillId="14" borderId="0" xfId="0" applyNumberFormat="1" applyFill="1" applyAlignment="1">
      <alignment horizontal="center" vertical="center"/>
    </xf>
    <xf numFmtId="0" fontId="0" fillId="14" borderId="0" xfId="0" applyFill="1" applyAlignment="1">
      <alignment horizontal="right" vertical="center"/>
    </xf>
    <xf numFmtId="1" fontId="0" fillId="14" borderId="0" xfId="0" applyNumberFormat="1" applyFill="1" applyAlignment="1">
      <alignment horizontal="right" vertical="center"/>
    </xf>
    <xf numFmtId="1" fontId="0" fillId="14" borderId="0" xfId="0" applyNumberFormat="1" applyFill="1" applyAlignment="1">
      <alignment horizontal="center" vertical="center"/>
    </xf>
    <xf numFmtId="16" fontId="0" fillId="14" borderId="0" xfId="0" applyNumberFormat="1" applyFill="1">
      <alignment vertical="center"/>
    </xf>
    <xf numFmtId="0" fontId="12" fillId="0" borderId="2" xfId="6" applyBorder="1" applyAlignment="1">
      <alignment horizontal="left"/>
    </xf>
    <xf numFmtId="0" fontId="12" fillId="0" borderId="2" xfId="3" applyBorder="1" applyAlignment="1">
      <alignment horizontal="left" shrinkToFit="1"/>
    </xf>
    <xf numFmtId="0" fontId="12" fillId="0" borderId="2" xfId="25" applyBorder="1"/>
    <xf numFmtId="0" fontId="12" fillId="0" borderId="2" xfId="2" applyBorder="1" applyAlignment="1">
      <alignment horizontal="left" shrinkToFit="1"/>
    </xf>
    <xf numFmtId="0" fontId="12" fillId="0" borderId="2" xfId="44" applyBorder="1" applyAlignment="1">
      <alignment horizontal="left" shrinkToFit="1"/>
    </xf>
    <xf numFmtId="0" fontId="12" fillId="0" borderId="2" xfId="3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0" borderId="2" xfId="0" applyBorder="1" applyAlignment="1"/>
    <xf numFmtId="16" fontId="0" fillId="2" borderId="0" xfId="0" applyNumberFormat="1" applyFill="1" applyAlignment="1">
      <alignment horizontal="center" vertical="center"/>
    </xf>
    <xf numFmtId="0" fontId="0" fillId="2" borderId="0" xfId="0" applyFill="1">
      <alignment vertical="center"/>
    </xf>
    <xf numFmtId="0" fontId="17" fillId="2" borderId="1" xfId="0" applyFont="1" applyFill="1" applyBorder="1" applyAlignment="1">
      <alignment horizontal="center" shrinkToFit="1"/>
    </xf>
    <xf numFmtId="0" fontId="0" fillId="2" borderId="0" xfId="0" applyFill="1">
      <alignment vertical="center"/>
    </xf>
    <xf numFmtId="16" fontId="0" fillId="2" borderId="0" xfId="0" applyNumberFormat="1" applyFill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left" shrinkToFit="1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0" fontId="0" fillId="15" borderId="0" xfId="0" applyFill="1">
      <alignment vertical="center"/>
    </xf>
    <xf numFmtId="16" fontId="0" fillId="15" borderId="0" xfId="0" applyNumberForma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5" borderId="0" xfId="0" applyFill="1" applyAlignment="1">
      <alignment horizontal="right" vertical="center"/>
    </xf>
    <xf numFmtId="15" fontId="0" fillId="15" borderId="0" xfId="0" applyNumberFormat="1" applyFill="1" applyAlignment="1">
      <alignment horizontal="center" vertical="center"/>
    </xf>
    <xf numFmtId="0" fontId="12" fillId="0" borderId="2" xfId="7" applyBorder="1"/>
    <xf numFmtId="0" fontId="12" fillId="0" borderId="2" xfId="32" applyBorder="1"/>
    <xf numFmtId="0" fontId="12" fillId="0" borderId="2" xfId="39" applyBorder="1" applyAlignment="1">
      <alignment horizontal="left"/>
    </xf>
    <xf numFmtId="1" fontId="0" fillId="15" borderId="0" xfId="0" applyNumberFormat="1" applyFill="1" applyAlignment="1">
      <alignment horizontal="center" vertical="center"/>
    </xf>
    <xf numFmtId="14" fontId="0" fillId="15" borderId="0" xfId="0" applyNumberFormat="1" applyFill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0" fontId="16" fillId="0" borderId="4" xfId="1" applyFont="1" applyFill="1" applyBorder="1" applyAlignment="1">
      <alignment shrinkToFit="1"/>
    </xf>
    <xf numFmtId="1" fontId="0" fillId="3" borderId="0" xfId="0" applyNumberFormat="1" applyFill="1">
      <alignment vertical="center"/>
    </xf>
    <xf numFmtId="0" fontId="0" fillId="2" borderId="0" xfId="0" applyFill="1">
      <alignment vertical="center"/>
    </xf>
    <xf numFmtId="16" fontId="0" fillId="2" borderId="0" xfId="0" applyNumberFormat="1" applyFill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0" fontId="12" fillId="0" borderId="0" xfId="50" applyAlignment="1">
      <alignment horizontal="left"/>
    </xf>
    <xf numFmtId="16" fontId="0" fillId="2" borderId="0" xfId="0" applyNumberFormat="1" applyFill="1" applyAlignment="1">
      <alignment horizontal="center" vertical="center"/>
    </xf>
    <xf numFmtId="0" fontId="0" fillId="16" borderId="0" xfId="0" applyFill="1">
      <alignment vertical="center"/>
    </xf>
    <xf numFmtId="1" fontId="0" fillId="16" borderId="0" xfId="0" applyNumberFormat="1" applyFill="1">
      <alignment vertical="center"/>
    </xf>
    <xf numFmtId="16" fontId="0" fillId="16" borderId="0" xfId="0" applyNumberFormat="1" applyFill="1" applyAlignment="1">
      <alignment horizontal="center" vertical="center"/>
    </xf>
    <xf numFmtId="0" fontId="0" fillId="16" borderId="0" xfId="0" applyFill="1" applyAlignment="1">
      <alignment horizontal="right" vertical="center"/>
    </xf>
    <xf numFmtId="1" fontId="0" fillId="16" borderId="0" xfId="0" applyNumberFormat="1" applyFill="1" applyAlignment="1">
      <alignment horizontal="right" vertical="center"/>
    </xf>
    <xf numFmtId="1" fontId="0" fillId="16" borderId="0" xfId="0" applyNumberFormat="1" applyFill="1" applyAlignment="1">
      <alignment horizontal="center" vertical="center"/>
    </xf>
    <xf numFmtId="16" fontId="0" fillId="16" borderId="0" xfId="0" applyNumberFormat="1" applyFill="1">
      <alignment vertical="center"/>
    </xf>
    <xf numFmtId="16" fontId="0" fillId="2" borderId="0" xfId="0" applyNumberFormat="1" applyFill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17" borderId="0" xfId="0" applyFill="1">
      <alignment vertical="center"/>
    </xf>
    <xf numFmtId="16" fontId="0" fillId="17" borderId="0" xfId="0" applyNumberFormat="1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1" fontId="0" fillId="17" borderId="0" xfId="0" applyNumberFormat="1" applyFill="1" applyAlignment="1">
      <alignment horizontal="right" vertical="center"/>
    </xf>
    <xf numFmtId="1" fontId="0" fillId="17" borderId="0" xfId="0" applyNumberFormat="1" applyFill="1" applyAlignment="1">
      <alignment horizontal="center" vertical="center"/>
    </xf>
    <xf numFmtId="16" fontId="0" fillId="17" borderId="0" xfId="0" applyNumberFormat="1" applyFill="1">
      <alignment vertical="center"/>
    </xf>
    <xf numFmtId="0" fontId="0" fillId="17" borderId="2" xfId="0" applyFill="1" applyBorder="1" applyAlignment="1"/>
    <xf numFmtId="0" fontId="0" fillId="17" borderId="2" xfId="0" applyFill="1" applyBorder="1">
      <alignment vertical="center"/>
    </xf>
    <xf numFmtId="16" fontId="0" fillId="2" borderId="0" xfId="0" applyNumberFormat="1" applyFill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right" vertical="center"/>
    </xf>
    <xf numFmtId="16" fontId="0" fillId="2" borderId="0" xfId="0" applyNumberFormat="1" applyFill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17" fillId="2" borderId="2" xfId="0" applyFont="1" applyFill="1" applyBorder="1" applyAlignment="1">
      <alignment horizontal="left" shrinkToFit="1"/>
    </xf>
    <xf numFmtId="0" fontId="0" fillId="2" borderId="0" xfId="0" applyFill="1">
      <alignment vertical="center"/>
    </xf>
    <xf numFmtId="16" fontId="0" fillId="2" borderId="0" xfId="0" applyNumberFormat="1" applyFill="1" applyAlignment="1">
      <alignment horizontal="center" vertical="center"/>
    </xf>
    <xf numFmtId="0" fontId="0" fillId="6" borderId="0" xfId="0" applyFill="1">
      <alignment vertical="center"/>
    </xf>
    <xf numFmtId="1" fontId="0" fillId="6" borderId="0" xfId="0" applyNumberFormat="1" applyFill="1">
      <alignment vertical="center"/>
    </xf>
    <xf numFmtId="16" fontId="0" fillId="6" borderId="0" xfId="0" applyNumberFormat="1" applyFill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0" fontId="0" fillId="3" borderId="2" xfId="0" applyFill="1" applyBorder="1" applyAlignment="1">
      <alignment horizontal="left"/>
    </xf>
    <xf numFmtId="16" fontId="0" fillId="2" borderId="0" xfId="0" applyNumberFormat="1" applyFill="1" applyAlignment="1">
      <alignment horizontal="center" vertical="center"/>
    </xf>
    <xf numFmtId="0" fontId="0" fillId="2" borderId="0" xfId="0" applyFill="1">
      <alignment vertical="center"/>
    </xf>
    <xf numFmtId="0" fontId="16" fillId="0" borderId="2" xfId="1" applyFont="1" applyFill="1" applyBorder="1" applyAlignment="1">
      <alignment horizontal="left" shrinkToFit="1"/>
    </xf>
    <xf numFmtId="0" fontId="12" fillId="2" borderId="2" xfId="52" applyFill="1" applyBorder="1" applyAlignment="1">
      <alignment shrinkToFit="1"/>
    </xf>
    <xf numFmtId="16" fontId="0" fillId="2" borderId="0" xfId="0" applyNumberFormat="1" applyFill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0" fontId="0" fillId="2" borderId="0" xfId="0" applyFill="1">
      <alignment vertical="center"/>
    </xf>
    <xf numFmtId="16" fontId="0" fillId="2" borderId="0" xfId="0" applyNumberFormat="1" applyFill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0" fontId="0" fillId="2" borderId="0" xfId="0" applyFill="1">
      <alignment vertical="center"/>
    </xf>
    <xf numFmtId="0" fontId="0" fillId="11" borderId="0" xfId="0" applyFill="1" applyAlignment="1">
      <alignment horizontal="center" vertical="center"/>
    </xf>
    <xf numFmtId="0" fontId="16" fillId="0" borderId="2" xfId="1" applyFont="1" applyFill="1" applyBorder="1" applyAlignment="1">
      <alignment horizontal="left" shrinkToFit="1"/>
    </xf>
    <xf numFmtId="0" fontId="12" fillId="0" borderId="8" xfId="54" applyBorder="1" applyAlignment="1">
      <alignment horizontal="left" shrinkToFit="1"/>
    </xf>
    <xf numFmtId="16" fontId="0" fillId="2" borderId="0" xfId="0" applyNumberFormat="1" applyFill="1" applyAlignment="1">
      <alignment horizontal="center" vertical="center"/>
    </xf>
    <xf numFmtId="0" fontId="16" fillId="0" borderId="2" xfId="1" applyFont="1" applyFill="1" applyBorder="1" applyAlignment="1">
      <alignment horizontal="left" shrinkToFit="1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0" fontId="0" fillId="18" borderId="0" xfId="0" applyFill="1">
      <alignment vertical="center"/>
    </xf>
    <xf numFmtId="1" fontId="0" fillId="18" borderId="0" xfId="0" applyNumberFormat="1" applyFill="1">
      <alignment vertical="center"/>
    </xf>
    <xf numFmtId="16" fontId="0" fillId="18" borderId="0" xfId="0" applyNumberFormat="1" applyFill="1" applyAlignment="1">
      <alignment horizontal="center" vertical="center"/>
    </xf>
    <xf numFmtId="1" fontId="0" fillId="18" borderId="0" xfId="0" applyNumberFormat="1" applyFill="1" applyAlignment="1">
      <alignment horizontal="right" vertical="center"/>
    </xf>
    <xf numFmtId="1" fontId="0" fillId="18" borderId="0" xfId="0" applyNumberFormat="1" applyFill="1" applyAlignment="1">
      <alignment horizontal="center" vertical="center"/>
    </xf>
    <xf numFmtId="16" fontId="0" fillId="18" borderId="0" xfId="0" applyNumberFormat="1" applyFill="1">
      <alignment vertical="center"/>
    </xf>
    <xf numFmtId="16" fontId="0" fillId="2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5" fontId="0" fillId="5" borderId="0" xfId="0" applyNumberFormat="1" applyFill="1" applyAlignment="1">
      <alignment horizontal="center" vertical="center"/>
    </xf>
    <xf numFmtId="0" fontId="0" fillId="2" borderId="0" xfId="0" applyFill="1">
      <alignment vertical="center"/>
    </xf>
    <xf numFmtId="1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0" borderId="2" xfId="0" applyBorder="1" applyAlignment="1">
      <alignment horizontal="center" shrinkToFit="1"/>
    </xf>
    <xf numFmtId="0" fontId="0" fillId="3" borderId="17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</cellXfs>
  <cellStyles count="58">
    <cellStyle name="출력" xfId="1" builtinId="21"/>
    <cellStyle name="통화 [0] 2" xfId="4" xr:uid="{CAFFAE05-6565-407C-B0E0-4E7A31A81951}"/>
    <cellStyle name="통화 [0] 3" xfId="22" xr:uid="{13472881-55F9-43C5-BB52-53EC3A403383}"/>
    <cellStyle name="통화 [0] 4" xfId="46" xr:uid="{4F225C5C-6169-4DB2-B15A-6A2708D1F2E1}"/>
    <cellStyle name="통화 [0] 5" xfId="51" xr:uid="{9B27733A-9FA3-4DA2-BB09-F3C43E29AF94}"/>
    <cellStyle name="통화 [0] 6" xfId="53" xr:uid="{2931E814-0637-4860-9696-CF075B821AC7}"/>
    <cellStyle name="통화 [0] 7" xfId="55" xr:uid="{77117C26-BAE1-4DF5-9583-495C61A5FED1}"/>
    <cellStyle name="통화 [0] 8" xfId="57" xr:uid="{AD3FE6CD-1BAB-423E-B286-D74B3388175B}"/>
    <cellStyle name="표준" xfId="0" builtinId="0"/>
    <cellStyle name="표준 10" xfId="11" xr:uid="{8B0044B7-EB68-43AC-BFD4-7894383B2C8C}"/>
    <cellStyle name="표준 11" xfId="13" xr:uid="{D77559AC-5355-4B5E-AE5E-9EA40645A8DB}"/>
    <cellStyle name="표준 12" xfId="12" xr:uid="{DA1DD0F8-82FF-4ED0-92E4-4B9C2BE395BE}"/>
    <cellStyle name="표준 13" xfId="14" xr:uid="{CF87E830-378E-46C9-B159-8D215B78075E}"/>
    <cellStyle name="표준 14" xfId="15" xr:uid="{A40E8222-3370-4992-BCBD-BECC0EA8AC6E}"/>
    <cellStyle name="표준 15" xfId="16" xr:uid="{206FFA1D-CEE4-4752-84ED-192EC976BB2C}"/>
    <cellStyle name="표준 16" xfId="17" xr:uid="{5B856F87-ED40-45FA-BA94-AFCEF4774EAE}"/>
    <cellStyle name="표준 17" xfId="18" xr:uid="{32E0AB76-74EF-4DBF-8BE2-80A7EED2BDF6}"/>
    <cellStyle name="표준 18" xfId="19" xr:uid="{768EDA89-8696-429E-B2A9-BE6E80155A28}"/>
    <cellStyle name="표준 19" xfId="20" xr:uid="{FFFD76AB-7C72-4B24-848B-89E34FE84D19}"/>
    <cellStyle name="표준 2" xfId="2" xr:uid="{1695EF20-E073-4319-B6E0-4973307EBD42}"/>
    <cellStyle name="표준 20" xfId="23" xr:uid="{A4D4D077-46F2-478A-A755-F7C95C5051E3}"/>
    <cellStyle name="표준 21" xfId="24" xr:uid="{F67911FE-5704-40DF-8B77-F161DAE6CD3D}"/>
    <cellStyle name="표준 22" xfId="21" xr:uid="{35EF5E4F-5983-419F-9897-9D70706ED24B}"/>
    <cellStyle name="표준 23" xfId="25" xr:uid="{6F935875-6B6C-496B-B987-1BE4A4A8BD4F}"/>
    <cellStyle name="표준 24" xfId="26" xr:uid="{47072991-F91F-4981-AD49-635ED063562A}"/>
    <cellStyle name="표준 25" xfId="27" xr:uid="{B8F6A4F3-1607-4AA6-B9A6-2D10126E6CB2}"/>
    <cellStyle name="표준 26" xfId="28" xr:uid="{F057A968-9183-48D2-8CAC-21B8B6F3FAF1}"/>
    <cellStyle name="표준 27" xfId="29" xr:uid="{F042F8FB-FF10-4B0C-8BBF-AABC195BBFAF}"/>
    <cellStyle name="표준 28" xfId="30" xr:uid="{8273F668-1897-4209-95DA-E85DB7783517}"/>
    <cellStyle name="표준 29" xfId="31" xr:uid="{516196D3-C618-437E-80E0-0EEEC60ED0FE}"/>
    <cellStyle name="표준 3" xfId="5" xr:uid="{FB331FE5-9285-48F2-A58C-E7E4F0951D71}"/>
    <cellStyle name="표준 30" xfId="32" xr:uid="{AE79DFEF-8266-4EFE-BD62-04C5097027E3}"/>
    <cellStyle name="표준 31" xfId="33" xr:uid="{B78A4980-99F9-45A6-AB56-94ECBE958152}"/>
    <cellStyle name="표준 32" xfId="34" xr:uid="{9F0ABD8C-2297-496E-9291-A5A05FA2E3AC}"/>
    <cellStyle name="표준 33" xfId="35" xr:uid="{E3E45E6C-08BB-4400-8EE0-573B008F455D}"/>
    <cellStyle name="표준 34" xfId="36" xr:uid="{2FA2EF21-2838-40BC-8A7F-B17D8B99DAC0}"/>
    <cellStyle name="표준 35" xfId="37" xr:uid="{9FD5C25E-3FB7-464D-A22E-8340A2E148C9}"/>
    <cellStyle name="표준 36" xfId="38" xr:uid="{3B336CD5-1F96-44D2-AB6E-2109F8AABB32}"/>
    <cellStyle name="표준 37" xfId="39" xr:uid="{2CC88ECA-516A-4BA7-AD83-EDF3A65393D3}"/>
    <cellStyle name="표준 38" xfId="40" xr:uid="{AA714D01-B692-4692-90FE-B1A560644CDD}"/>
    <cellStyle name="표준 39" xfId="41" xr:uid="{C0C75024-099B-4380-A14D-A909BC95E395}"/>
    <cellStyle name="표준 4" xfId="6" xr:uid="{7AF4CC31-145D-4D84-8997-551430ADC39D}"/>
    <cellStyle name="표준 40" xfId="42" xr:uid="{6CAEEAA0-CF4C-45FA-A4A0-4EA513F09535}"/>
    <cellStyle name="표준 41" xfId="43" xr:uid="{C1EF324F-56D5-41B0-8DAA-3C5E1C0626DF}"/>
    <cellStyle name="표준 42" xfId="44" xr:uid="{D8B2E0EB-3CC6-4D3D-978D-EE09E2D1EF33}"/>
    <cellStyle name="표준 43" xfId="45" xr:uid="{194D548C-E3DE-423A-B1DD-309FCCD6C928}"/>
    <cellStyle name="표준 44" xfId="47" xr:uid="{8CAC7E52-89D6-4FC2-A4D9-C81B5A159F00}"/>
    <cellStyle name="표준 45" xfId="48" xr:uid="{A8294A16-0536-4E4C-8CB3-89C4BBA7AA54}"/>
    <cellStyle name="표준 46" xfId="49" xr:uid="{1BEB954E-6366-4B9F-91A5-98A8E4BD828A}"/>
    <cellStyle name="표준 47" xfId="50" xr:uid="{8BF9038C-E002-4ACC-88B2-41845694A49E}"/>
    <cellStyle name="표준 48" xfId="52" xr:uid="{9A82B720-5F5C-4EB3-960A-E28485ADFA1F}"/>
    <cellStyle name="표준 49" xfId="54" xr:uid="{F1CF6757-5F2F-4CC4-B08F-155D7E8CA970}"/>
    <cellStyle name="표준 5" xfId="3" xr:uid="{0C9F3A02-7FF8-4D97-A786-6FC352AC32F4}"/>
    <cellStyle name="표준 50" xfId="56" xr:uid="{AB3D21D9-9995-4944-BE84-C1BF7EEB4274}"/>
    <cellStyle name="표준 6" xfId="7" xr:uid="{7239177F-AD9A-4B97-8521-ED868AD46528}"/>
    <cellStyle name="표준 7" xfId="8" xr:uid="{999E0B3F-D880-4644-BD95-FC89F4C36D9A}"/>
    <cellStyle name="표준 8" xfId="9" xr:uid="{A6B71EB7-0899-49FB-841F-6DA5911B11A1}"/>
    <cellStyle name="표준 9" xfId="10" xr:uid="{A4C6D14D-62D4-447F-BD07-6603C09F4212}"/>
  </cellStyles>
  <dxfs count="0"/>
  <tableStyles count="0" defaultTableStyle="TableStyleMedium2" defaultPivotStyle="PivotStyleLight16"/>
  <colors>
    <mruColors>
      <color rgb="FFE9BD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198120</xdr:colOff>
      <xdr:row>0</xdr:row>
      <xdr:rowOff>45720</xdr:rowOff>
    </xdr:from>
    <xdr:to>
      <xdr:col>3</xdr:col>
      <xdr:colOff>706755</xdr:colOff>
      <xdr:row>1</xdr:row>
      <xdr:rowOff>34647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7B3C1F5-079C-4199-9D5F-98113F464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0795" y="45720"/>
          <a:ext cx="518160" cy="1984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666750</xdr:colOff>
      <xdr:row>0</xdr:row>
      <xdr:rowOff>45720</xdr:rowOff>
    </xdr:from>
    <xdr:to>
      <xdr:col>6</xdr:col>
      <xdr:colOff>209550</xdr:colOff>
      <xdr:row>1</xdr:row>
      <xdr:rowOff>38457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4B738B3-48CA-4FFD-B9DF-5C733F033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45720"/>
          <a:ext cx="504825" cy="2118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276225</xdr:colOff>
      <xdr:row>0</xdr:row>
      <xdr:rowOff>133350</xdr:rowOff>
    </xdr:from>
    <xdr:to>
      <xdr:col>5</xdr:col>
      <xdr:colOff>782955</xdr:colOff>
      <xdr:row>1</xdr:row>
      <xdr:rowOff>129897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4CAD27A-9DF0-4004-BCF7-EFDD9688D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0" y="133350"/>
          <a:ext cx="506730" cy="206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333375</xdr:colOff>
      <xdr:row>0</xdr:row>
      <xdr:rowOff>85725</xdr:rowOff>
    </xdr:from>
    <xdr:to>
      <xdr:col>5</xdr:col>
      <xdr:colOff>840105</xdr:colOff>
      <xdr:row>1</xdr:row>
      <xdr:rowOff>72747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5F3C8FF-6582-4A6B-8742-A6C4720F4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85725"/>
          <a:ext cx="506730" cy="206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198120</xdr:colOff>
      <xdr:row>0</xdr:row>
      <xdr:rowOff>45720</xdr:rowOff>
    </xdr:from>
    <xdr:to>
      <xdr:col>5</xdr:col>
      <xdr:colOff>53340</xdr:colOff>
      <xdr:row>1</xdr:row>
      <xdr:rowOff>34647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CB6C3B0-FA60-4F40-8D36-43A7A1F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9480" y="45720"/>
          <a:ext cx="518160" cy="209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198120</xdr:colOff>
      <xdr:row>0</xdr:row>
      <xdr:rowOff>45720</xdr:rowOff>
    </xdr:from>
    <xdr:to>
      <xdr:col>3</xdr:col>
      <xdr:colOff>716280</xdr:colOff>
      <xdr:row>1</xdr:row>
      <xdr:rowOff>34647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3F8433D-2A02-4055-8957-95C088CF7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9380" y="45720"/>
          <a:ext cx="518160" cy="209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64ED-89A2-499D-8660-8D8CB9039BBE}">
  <dimension ref="A1:Y488"/>
  <sheetViews>
    <sheetView workbookViewId="0">
      <selection activeCell="L32" sqref="L32"/>
    </sheetView>
  </sheetViews>
  <sheetFormatPr defaultRowHeight="17.399999999999999" x14ac:dyDescent="0.4"/>
  <cols>
    <col min="1" max="1" width="10.8984375" customWidth="1"/>
    <col min="4" max="9" width="12.09765625" customWidth="1"/>
    <col min="10" max="10" width="9.69921875" customWidth="1"/>
    <col min="11" max="11" width="12.19921875" customWidth="1"/>
    <col min="12" max="12" width="14" customWidth="1"/>
    <col min="13" max="13" width="13.59765625" customWidth="1"/>
    <col min="17" max="17" width="12.19921875" customWidth="1"/>
  </cols>
  <sheetData>
    <row r="1" spans="1:25" x14ac:dyDescent="0.4">
      <c r="A1" s="15"/>
      <c r="B1" s="14"/>
      <c r="C1" s="14" t="s">
        <v>34</v>
      </c>
      <c r="D1" s="14"/>
      <c r="E1" s="14"/>
      <c r="F1" s="14"/>
      <c r="G1" s="14"/>
      <c r="H1" s="14"/>
      <c r="I1" s="14"/>
      <c r="J1" s="15"/>
      <c r="K1" s="14" t="s">
        <v>34</v>
      </c>
      <c r="L1" s="16"/>
      <c r="M1" s="16" t="s">
        <v>33</v>
      </c>
    </row>
    <row r="2" spans="1:25" x14ac:dyDescent="0.4">
      <c r="A2" s="15" t="s">
        <v>32</v>
      </c>
      <c r="B2" s="14"/>
      <c r="C2" s="14" t="s">
        <v>31</v>
      </c>
      <c r="D2" s="14" t="s">
        <v>30</v>
      </c>
      <c r="E2" s="14"/>
      <c r="F2" s="14"/>
      <c r="G2" s="14"/>
      <c r="H2" s="14"/>
      <c r="I2" s="14"/>
      <c r="J2" s="15"/>
      <c r="K2" s="14" t="s">
        <v>29</v>
      </c>
      <c r="L2" s="13"/>
      <c r="M2" s="13" t="s">
        <v>28</v>
      </c>
    </row>
    <row r="3" spans="1:25" x14ac:dyDescent="0.4">
      <c r="B3" s="12"/>
      <c r="C3" s="11">
        <f>SUM(C6:C183)</f>
        <v>1500</v>
      </c>
      <c r="D3" s="12"/>
      <c r="E3" s="12"/>
      <c r="F3" s="12"/>
      <c r="G3" s="12"/>
      <c r="H3" s="12"/>
      <c r="I3" s="12"/>
      <c r="K3" s="11">
        <f>SUM(K6:K2511)</f>
        <v>712.5</v>
      </c>
      <c r="L3" s="11"/>
      <c r="M3" s="10"/>
    </row>
    <row r="4" spans="1:25" x14ac:dyDescent="0.4">
      <c r="A4" s="280" t="s">
        <v>27</v>
      </c>
      <c r="B4" s="8" t="s">
        <v>26</v>
      </c>
      <c r="C4" s="8" t="s">
        <v>25</v>
      </c>
      <c r="D4" s="282"/>
      <c r="E4" s="283"/>
      <c r="F4" s="283"/>
      <c r="G4" s="283"/>
      <c r="H4" s="283"/>
      <c r="I4" s="284"/>
      <c r="J4" s="9" t="s">
        <v>24</v>
      </c>
      <c r="K4" s="9" t="s">
        <v>22</v>
      </c>
      <c r="L4" s="280" t="s">
        <v>21</v>
      </c>
      <c r="M4" s="280" t="s">
        <v>20</v>
      </c>
      <c r="N4" s="285" t="s">
        <v>175</v>
      </c>
      <c r="O4" s="285"/>
      <c r="P4" s="285"/>
      <c r="Q4" s="285"/>
      <c r="R4" s="285"/>
      <c r="S4" s="285"/>
    </row>
    <row r="5" spans="1:25" x14ac:dyDescent="0.4">
      <c r="A5" s="281"/>
      <c r="B5" s="8" t="s">
        <v>19</v>
      </c>
      <c r="C5" s="8" t="s">
        <v>19</v>
      </c>
      <c r="D5" s="285" t="s">
        <v>18</v>
      </c>
      <c r="E5" s="285"/>
      <c r="F5" s="285"/>
      <c r="G5" s="285"/>
      <c r="H5" s="285"/>
      <c r="I5" s="285"/>
      <c r="J5" s="7" t="s">
        <v>17</v>
      </c>
      <c r="K5" s="7" t="s">
        <v>16</v>
      </c>
      <c r="L5" s="281"/>
      <c r="M5" s="281"/>
      <c r="N5" s="285"/>
      <c r="O5" s="285"/>
      <c r="P5" s="285"/>
      <c r="Q5" s="285"/>
      <c r="R5" s="285"/>
      <c r="S5" s="285"/>
    </row>
    <row r="6" spans="1:25" x14ac:dyDescent="0.4">
      <c r="A6" s="1" t="s">
        <v>15</v>
      </c>
      <c r="B6" s="1">
        <v>45</v>
      </c>
      <c r="C6" s="1">
        <f t="shared" ref="C6:C8" si="0">SUM(B6*5)</f>
        <v>225</v>
      </c>
      <c r="D6" s="2">
        <v>0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3">
        <f>COUNTIF(D6:I6,"1")</f>
        <v>5</v>
      </c>
      <c r="K6" s="58">
        <f>J6*(C6/6)</f>
        <v>187.5</v>
      </c>
      <c r="L6" s="4" t="s">
        <v>14</v>
      </c>
      <c r="M6" s="4" t="s">
        <v>13</v>
      </c>
      <c r="N6" s="123"/>
      <c r="O6" s="123"/>
      <c r="P6" s="123"/>
      <c r="Q6" s="123"/>
      <c r="R6" s="123"/>
      <c r="S6" s="123"/>
      <c r="T6" s="1"/>
      <c r="U6" s="1"/>
      <c r="V6" s="1"/>
      <c r="W6" s="1"/>
      <c r="X6" s="1"/>
      <c r="Y6" s="1"/>
    </row>
    <row r="7" spans="1:25" x14ac:dyDescent="0.4">
      <c r="A7" s="1" t="s">
        <v>12</v>
      </c>
      <c r="B7" s="1">
        <v>45</v>
      </c>
      <c r="C7" s="1">
        <f t="shared" si="0"/>
        <v>225</v>
      </c>
      <c r="D7" s="75">
        <v>44184</v>
      </c>
      <c r="E7" s="75">
        <v>44220</v>
      </c>
      <c r="F7" s="97">
        <v>44261</v>
      </c>
      <c r="G7" s="2">
        <v>1</v>
      </c>
      <c r="H7" s="2">
        <v>1</v>
      </c>
      <c r="I7" s="2">
        <v>1</v>
      </c>
      <c r="J7" s="56">
        <f t="shared" ref="J7:J11" si="1">COUNTIF(D7:I7,"1")</f>
        <v>3</v>
      </c>
      <c r="K7" s="58">
        <f t="shared" ref="K7:K11" si="2">J7*(C7/6)</f>
        <v>112.5</v>
      </c>
      <c r="L7" s="4" t="s">
        <v>11</v>
      </c>
      <c r="M7" s="4" t="s">
        <v>10</v>
      </c>
      <c r="N7" s="123"/>
      <c r="O7" s="198" t="s">
        <v>139</v>
      </c>
      <c r="P7" s="199" t="s">
        <v>139</v>
      </c>
      <c r="Q7" s="123"/>
      <c r="R7" s="123"/>
      <c r="S7" s="123"/>
      <c r="T7" s="1"/>
      <c r="U7" s="1"/>
      <c r="V7" s="1"/>
      <c r="W7" s="1"/>
      <c r="X7" s="1"/>
      <c r="Y7" s="1"/>
    </row>
    <row r="8" spans="1:25" x14ac:dyDescent="0.4">
      <c r="A8" s="77" t="s">
        <v>9</v>
      </c>
      <c r="B8" s="77">
        <v>45</v>
      </c>
      <c r="C8" s="77">
        <f t="shared" si="0"/>
        <v>225</v>
      </c>
      <c r="D8" s="78">
        <v>44193</v>
      </c>
      <c r="E8" s="78">
        <v>44295</v>
      </c>
      <c r="F8" s="78">
        <v>44300</v>
      </c>
      <c r="G8" s="78">
        <v>44309</v>
      </c>
      <c r="H8" s="78">
        <v>44328</v>
      </c>
      <c r="I8" s="78">
        <v>44344</v>
      </c>
      <c r="J8" s="79">
        <f>COUNTIF(D8:I8,"1")</f>
        <v>0</v>
      </c>
      <c r="K8" s="259">
        <f t="shared" si="2"/>
        <v>0</v>
      </c>
      <c r="L8" s="82" t="s">
        <v>8</v>
      </c>
      <c r="M8" s="82" t="s">
        <v>7</v>
      </c>
      <c r="N8" s="261" t="s">
        <v>379</v>
      </c>
      <c r="O8" s="101" t="s">
        <v>250</v>
      </c>
      <c r="P8" s="189" t="s">
        <v>265</v>
      </c>
      <c r="Q8" s="150" t="s">
        <v>265</v>
      </c>
      <c r="R8" s="189" t="s">
        <v>340</v>
      </c>
      <c r="S8" s="144" t="s">
        <v>250</v>
      </c>
      <c r="T8" s="1"/>
      <c r="U8" s="1"/>
      <c r="V8" s="1"/>
      <c r="W8" s="1"/>
      <c r="X8" s="1"/>
      <c r="Y8" s="1"/>
    </row>
    <row r="9" spans="1:25" x14ac:dyDescent="0.4">
      <c r="A9" s="1" t="s">
        <v>6</v>
      </c>
      <c r="B9" s="71">
        <f>C9/6</f>
        <v>45.833333333333336</v>
      </c>
      <c r="C9" s="1">
        <v>275</v>
      </c>
      <c r="D9" s="70">
        <v>44205</v>
      </c>
      <c r="E9" s="220">
        <v>44324</v>
      </c>
      <c r="F9" s="2">
        <v>1</v>
      </c>
      <c r="G9" s="2">
        <v>1</v>
      </c>
      <c r="H9" s="2">
        <v>1</v>
      </c>
      <c r="I9" s="2">
        <v>1</v>
      </c>
      <c r="J9" s="56">
        <f>COUNTIF(D9:I9,"1")</f>
        <v>4</v>
      </c>
      <c r="K9" s="55">
        <f t="shared" si="2"/>
        <v>183.33333333333334</v>
      </c>
      <c r="L9" s="4" t="s">
        <v>5</v>
      </c>
      <c r="M9" s="4" t="s">
        <v>4</v>
      </c>
      <c r="N9" s="121" t="s">
        <v>327</v>
      </c>
      <c r="O9" s="121" t="s">
        <v>327</v>
      </c>
      <c r="P9" s="123"/>
      <c r="Q9" s="123"/>
      <c r="R9" s="123"/>
      <c r="S9" s="123"/>
      <c r="T9" s="1"/>
      <c r="U9" s="1"/>
      <c r="V9" s="1"/>
      <c r="W9" s="1"/>
      <c r="X9" s="1"/>
      <c r="Y9" s="1"/>
    </row>
    <row r="10" spans="1:25" x14ac:dyDescent="0.4">
      <c r="A10" s="145" t="s">
        <v>3</v>
      </c>
      <c r="B10" s="145">
        <v>45</v>
      </c>
      <c r="C10" s="145">
        <v>275</v>
      </c>
      <c r="D10" s="147">
        <v>44237</v>
      </c>
      <c r="E10" s="147">
        <v>44245</v>
      </c>
      <c r="F10" s="147">
        <v>44249</v>
      </c>
      <c r="G10" s="147">
        <v>44249</v>
      </c>
      <c r="H10" s="147">
        <v>44255</v>
      </c>
      <c r="I10" s="147">
        <v>44283</v>
      </c>
      <c r="J10" s="17">
        <f t="shared" si="1"/>
        <v>0</v>
      </c>
      <c r="K10" s="148">
        <f t="shared" si="2"/>
        <v>0</v>
      </c>
      <c r="L10" s="149" t="s">
        <v>133</v>
      </c>
      <c r="M10" s="149" t="s">
        <v>2</v>
      </c>
      <c r="N10" s="200" t="s">
        <v>162</v>
      </c>
      <c r="O10" s="121" t="s">
        <v>163</v>
      </c>
      <c r="P10" s="123"/>
      <c r="Q10" s="125" t="s">
        <v>168</v>
      </c>
      <c r="R10" s="125">
        <v>959</v>
      </c>
      <c r="S10" s="123"/>
      <c r="T10" s="1"/>
      <c r="U10" s="1"/>
      <c r="V10" s="1"/>
      <c r="W10" s="1"/>
      <c r="X10" s="1"/>
      <c r="Y10" s="1"/>
    </row>
    <row r="11" spans="1:25" x14ac:dyDescent="0.4">
      <c r="A11" s="1" t="s">
        <v>1</v>
      </c>
      <c r="B11" s="1">
        <v>45</v>
      </c>
      <c r="C11" s="1">
        <v>275</v>
      </c>
      <c r="D11" s="186">
        <v>44307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56">
        <f t="shared" si="1"/>
        <v>5</v>
      </c>
      <c r="K11" s="55">
        <f t="shared" si="2"/>
        <v>229.16666666666669</v>
      </c>
      <c r="L11" s="4" t="s">
        <v>134</v>
      </c>
      <c r="M11" s="4" t="s">
        <v>0</v>
      </c>
      <c r="N11" s="158" t="s">
        <v>287</v>
      </c>
      <c r="O11" s="123"/>
      <c r="P11" s="123"/>
      <c r="Q11" s="123"/>
      <c r="R11" s="123"/>
      <c r="S11" s="123"/>
      <c r="T11" s="1"/>
      <c r="U11" s="1"/>
      <c r="V11" s="1"/>
      <c r="W11" s="1"/>
      <c r="X11" s="1"/>
      <c r="Y11" s="1"/>
    </row>
    <row r="12" spans="1:25" x14ac:dyDescent="0.4">
      <c r="A12" s="1"/>
      <c r="B12" s="1"/>
      <c r="C12" s="1"/>
      <c r="D12" s="2"/>
      <c r="E12" s="2"/>
      <c r="F12" s="2"/>
      <c r="G12" s="2"/>
      <c r="H12" s="2"/>
      <c r="I12" s="2"/>
      <c r="J12" s="3"/>
      <c r="K12" s="2"/>
      <c r="L12" s="4"/>
      <c r="M12" s="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4">
      <c r="A13" s="279"/>
      <c r="B13" s="1"/>
      <c r="C13" s="1"/>
      <c r="D13" s="2"/>
      <c r="E13" s="2"/>
      <c r="F13" s="2"/>
      <c r="G13" s="2"/>
      <c r="H13" s="2"/>
      <c r="I13" s="2"/>
      <c r="J13" s="3"/>
      <c r="K13" s="2"/>
      <c r="L13" s="4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4">
      <c r="A14" s="279"/>
      <c r="B14" s="1"/>
      <c r="C14" s="1"/>
      <c r="D14" s="2"/>
      <c r="E14" s="2"/>
      <c r="F14" s="2"/>
      <c r="G14" s="2"/>
      <c r="H14" s="2"/>
      <c r="I14" s="2"/>
      <c r="J14" s="3"/>
      <c r="K14" s="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4">
      <c r="A15" s="1"/>
      <c r="B15" s="1"/>
      <c r="C15" s="1"/>
      <c r="D15" s="2"/>
      <c r="E15" s="2"/>
      <c r="F15" s="2"/>
      <c r="G15" s="2"/>
      <c r="H15" s="2"/>
      <c r="I15" s="2"/>
      <c r="J15" s="3"/>
      <c r="K15" s="2"/>
      <c r="L15" s="4"/>
      <c r="M15" s="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4">
      <c r="A16" s="1"/>
      <c r="B16" s="1"/>
      <c r="C16" s="1"/>
      <c r="D16" s="2"/>
      <c r="E16" s="2"/>
      <c r="F16" s="2"/>
      <c r="G16" s="2"/>
      <c r="H16" s="2"/>
      <c r="I16" s="2"/>
      <c r="J16" s="3"/>
      <c r="K16" s="2"/>
      <c r="L16" s="4"/>
      <c r="M16" s="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4">
      <c r="A17" s="1"/>
      <c r="B17" s="1"/>
      <c r="C17" s="1"/>
      <c r="D17" s="2"/>
      <c r="E17" s="2"/>
      <c r="F17" s="2"/>
      <c r="G17" s="2"/>
      <c r="H17" s="2"/>
      <c r="I17" s="2"/>
      <c r="J17" s="3"/>
      <c r="K17" s="2"/>
      <c r="L17" s="4"/>
      <c r="M17" s="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4">
      <c r="A18" s="1"/>
      <c r="B18" s="1"/>
      <c r="C18" s="1"/>
      <c r="D18" s="2"/>
      <c r="E18" s="2"/>
      <c r="F18" s="2"/>
      <c r="G18" s="2"/>
      <c r="H18" s="2"/>
      <c r="I18" s="2"/>
      <c r="J18" s="3"/>
      <c r="K18" s="2"/>
      <c r="L18" s="4"/>
      <c r="M18" s="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4">
      <c r="A19" s="1"/>
      <c r="B19" s="1"/>
      <c r="C19" s="1"/>
      <c r="D19" s="2"/>
      <c r="E19" s="2"/>
      <c r="F19" s="2"/>
      <c r="G19" s="2"/>
      <c r="H19" s="2"/>
      <c r="I19" s="2"/>
      <c r="J19" s="3"/>
      <c r="K19" s="2"/>
      <c r="L19" s="4"/>
      <c r="M19" s="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4">
      <c r="A20" s="1"/>
      <c r="B20" s="1"/>
      <c r="C20" s="1"/>
      <c r="D20" s="2"/>
      <c r="E20" s="2"/>
      <c r="F20" s="2"/>
      <c r="G20" s="2"/>
      <c r="H20" s="2"/>
      <c r="I20" s="2"/>
      <c r="J20" s="3"/>
      <c r="K20" s="2"/>
      <c r="L20" s="4"/>
      <c r="M20" s="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4">
      <c r="A21" s="1"/>
      <c r="B21" s="1"/>
      <c r="C21" s="1"/>
      <c r="D21" s="2"/>
      <c r="E21" s="2"/>
      <c r="F21" s="2"/>
      <c r="G21" s="2"/>
      <c r="H21" s="2"/>
      <c r="I21" s="2"/>
      <c r="J21" s="3"/>
      <c r="K21" s="2"/>
      <c r="L21" s="4"/>
      <c r="M21" s="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4">
      <c r="A22" s="1"/>
      <c r="B22" s="1"/>
      <c r="C22" s="1"/>
      <c r="D22" s="2"/>
      <c r="E22" s="2"/>
      <c r="F22" s="2"/>
      <c r="G22" s="2"/>
      <c r="H22" s="2"/>
      <c r="I22" s="2"/>
      <c r="J22" s="3"/>
      <c r="K22" s="2"/>
      <c r="L22" s="4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4">
      <c r="A23" s="1"/>
      <c r="B23" s="1"/>
      <c r="C23" s="1"/>
      <c r="D23" s="2"/>
      <c r="E23" s="2"/>
      <c r="F23" s="2"/>
      <c r="G23" s="2"/>
      <c r="H23" s="2"/>
      <c r="I23" s="2"/>
      <c r="J23" s="3"/>
      <c r="K23" s="2"/>
      <c r="L23" s="4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4">
      <c r="A24" s="1"/>
      <c r="B24" s="1"/>
      <c r="C24" s="1"/>
      <c r="D24" s="2"/>
      <c r="E24" s="2"/>
      <c r="F24" s="2"/>
      <c r="G24" s="2"/>
      <c r="H24" s="2"/>
      <c r="I24" s="2"/>
      <c r="J24" s="3"/>
      <c r="K24" s="2"/>
      <c r="L24" s="4"/>
      <c r="M24" s="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4">
      <c r="A25" s="1"/>
      <c r="B25" s="1"/>
      <c r="C25" s="1"/>
      <c r="D25" s="2"/>
      <c r="E25" s="2"/>
      <c r="F25" s="2"/>
      <c r="G25" s="2"/>
      <c r="H25" s="2"/>
      <c r="I25" s="2"/>
      <c r="J25" s="3"/>
      <c r="K25" s="2"/>
      <c r="L25" s="4"/>
      <c r="M25" s="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4">
      <c r="A26" s="1"/>
      <c r="B26" s="1"/>
      <c r="C26" s="1"/>
      <c r="D26" s="2"/>
      <c r="E26" s="2"/>
      <c r="F26" s="2"/>
      <c r="G26" s="2"/>
      <c r="H26" s="2"/>
      <c r="I26" s="2"/>
      <c r="J26" s="3"/>
      <c r="K26" s="2"/>
      <c r="L26" s="4"/>
      <c r="M26" s="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4">
      <c r="A27" s="1"/>
      <c r="B27" s="1"/>
      <c r="C27" s="1"/>
      <c r="D27" s="2"/>
      <c r="E27" s="2"/>
      <c r="F27" s="2"/>
      <c r="G27" s="2"/>
      <c r="H27" s="2"/>
      <c r="I27" s="2"/>
      <c r="J27" s="3"/>
      <c r="K27" s="2"/>
      <c r="L27" s="4"/>
      <c r="M27" s="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4">
      <c r="A28" s="1"/>
      <c r="B28" s="1"/>
      <c r="C28" s="1"/>
      <c r="D28" s="2"/>
      <c r="E28" s="2"/>
      <c r="F28" s="2"/>
      <c r="G28" s="2"/>
      <c r="H28" s="2"/>
      <c r="I28" s="2"/>
      <c r="J28" s="3"/>
      <c r="K28" s="2"/>
      <c r="L28" s="4"/>
      <c r="M28" s="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4">
      <c r="A29" s="1"/>
      <c r="B29" s="1"/>
      <c r="C29" s="1"/>
      <c r="D29" s="2"/>
      <c r="E29" s="2"/>
      <c r="F29" s="2"/>
      <c r="G29" s="2"/>
      <c r="H29" s="2"/>
      <c r="I29" s="2"/>
      <c r="J29" s="3"/>
      <c r="K29" s="2"/>
      <c r="L29" s="4"/>
      <c r="M29" s="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4">
      <c r="A30" s="1"/>
      <c r="B30" s="1"/>
      <c r="C30" s="1"/>
      <c r="D30" s="2"/>
      <c r="E30" s="2"/>
      <c r="F30" s="2"/>
      <c r="G30" s="2"/>
      <c r="H30" s="2"/>
      <c r="I30" s="2"/>
      <c r="J30" s="3"/>
      <c r="K30" s="2"/>
      <c r="L30" s="4"/>
      <c r="M30" s="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4">
      <c r="A31" s="1"/>
      <c r="B31" s="1"/>
      <c r="C31" s="1"/>
      <c r="D31" s="2"/>
      <c r="E31" s="2"/>
      <c r="F31" s="2"/>
      <c r="G31" s="2"/>
      <c r="H31" s="2"/>
      <c r="I31" s="2"/>
      <c r="J31" s="3"/>
      <c r="K31" s="2"/>
      <c r="L31" s="4"/>
      <c r="M31" s="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4">
      <c r="A32" s="1"/>
      <c r="B32" s="1"/>
      <c r="C32" s="1"/>
      <c r="D32" s="2"/>
      <c r="E32" s="2"/>
      <c r="F32" s="2"/>
      <c r="G32" s="2"/>
      <c r="H32" s="2"/>
      <c r="I32" s="2"/>
      <c r="J32" s="3"/>
      <c r="K32" s="2"/>
      <c r="L32" s="4"/>
      <c r="M32" s="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4">
      <c r="A33" s="1"/>
      <c r="B33" s="1"/>
      <c r="C33" s="1"/>
      <c r="D33" s="2"/>
      <c r="E33" s="2"/>
      <c r="F33" s="2"/>
      <c r="G33" s="2"/>
      <c r="H33" s="2"/>
      <c r="I33" s="2"/>
      <c r="J33" s="3"/>
      <c r="K33" s="2"/>
      <c r="L33" s="4"/>
      <c r="M33" s="4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4">
      <c r="A34" s="1"/>
      <c r="B34" s="1"/>
      <c r="C34" s="1"/>
      <c r="D34" s="2"/>
      <c r="E34" s="2"/>
      <c r="F34" s="2"/>
      <c r="G34" s="2"/>
      <c r="H34" s="2"/>
      <c r="I34" s="2"/>
      <c r="J34" s="3"/>
      <c r="K34" s="2"/>
      <c r="L34" s="4"/>
      <c r="M34" s="4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4">
      <c r="A35" s="1"/>
      <c r="B35" s="1"/>
      <c r="C35" s="1"/>
      <c r="D35" s="2"/>
      <c r="E35" s="2"/>
      <c r="F35" s="2"/>
      <c r="G35" s="2"/>
      <c r="H35" s="2"/>
      <c r="I35" s="2"/>
      <c r="J35" s="3"/>
      <c r="K35" s="2"/>
      <c r="L35" s="4"/>
      <c r="M35" s="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4">
      <c r="A36" s="1"/>
      <c r="B36" s="1"/>
      <c r="C36" s="1"/>
      <c r="D36" s="2"/>
      <c r="E36" s="2"/>
      <c r="F36" s="2"/>
      <c r="G36" s="2"/>
      <c r="H36" s="2"/>
      <c r="I36" s="2"/>
      <c r="J36" s="3"/>
      <c r="K36" s="2"/>
      <c r="L36" s="4"/>
      <c r="M36" s="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4">
      <c r="A37" s="1"/>
      <c r="B37" s="1"/>
      <c r="C37" s="1"/>
      <c r="D37" s="2"/>
      <c r="E37" s="2"/>
      <c r="F37" s="2"/>
      <c r="G37" s="2"/>
      <c r="H37" s="2"/>
      <c r="I37" s="2"/>
      <c r="J37" s="3"/>
      <c r="K37" s="2"/>
      <c r="L37" s="4"/>
      <c r="M37" s="4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4">
      <c r="A38" s="1"/>
      <c r="B38" s="1"/>
      <c r="C38" s="1"/>
      <c r="D38" s="2"/>
      <c r="E38" s="2"/>
      <c r="F38" s="2"/>
      <c r="G38" s="2"/>
      <c r="H38" s="2"/>
      <c r="I38" s="2"/>
      <c r="J38" s="3"/>
      <c r="K38" s="2"/>
      <c r="L38" s="4"/>
      <c r="M38" s="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4">
      <c r="A39" s="1"/>
      <c r="B39" s="1"/>
      <c r="C39" s="1"/>
      <c r="D39" s="2"/>
      <c r="E39" s="2"/>
      <c r="F39" s="2"/>
      <c r="G39" s="2"/>
      <c r="H39" s="2"/>
      <c r="I39" s="2"/>
      <c r="J39" s="3"/>
      <c r="K39" s="2"/>
      <c r="L39" s="4"/>
      <c r="M39" s="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4">
      <c r="A40" s="1"/>
      <c r="B40" s="1"/>
      <c r="C40" s="1"/>
      <c r="D40" s="2"/>
      <c r="E40" s="2"/>
      <c r="F40" s="2"/>
      <c r="G40" s="2"/>
      <c r="H40" s="2"/>
      <c r="I40" s="2"/>
      <c r="J40" s="3"/>
      <c r="K40" s="2"/>
      <c r="L40" s="4"/>
      <c r="M40" s="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4">
      <c r="A41" s="1"/>
      <c r="B41" s="1"/>
      <c r="C41" s="1"/>
      <c r="D41" s="2"/>
      <c r="E41" s="2"/>
      <c r="F41" s="2"/>
      <c r="G41" s="2"/>
      <c r="H41" s="2"/>
      <c r="I41" s="2"/>
      <c r="J41" s="3"/>
      <c r="K41" s="2"/>
      <c r="L41" s="4"/>
      <c r="M41" s="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4">
      <c r="A42" s="1"/>
      <c r="B42" s="1"/>
      <c r="C42" s="1"/>
      <c r="D42" s="2"/>
      <c r="E42" s="2"/>
      <c r="F42" s="2"/>
      <c r="G42" s="2"/>
      <c r="H42" s="2"/>
      <c r="I42" s="2"/>
      <c r="J42" s="3"/>
      <c r="K42" s="2"/>
      <c r="L42" s="4"/>
      <c r="M42" s="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4">
      <c r="A43" s="1"/>
      <c r="B43" s="1"/>
      <c r="C43" s="1"/>
      <c r="D43" s="2"/>
      <c r="E43" s="2"/>
      <c r="F43" s="2"/>
      <c r="G43" s="2"/>
      <c r="H43" s="2"/>
      <c r="I43" s="2"/>
      <c r="J43" s="3"/>
      <c r="K43" s="2"/>
      <c r="L43" s="4"/>
      <c r="M43" s="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4">
      <c r="A44" s="1"/>
      <c r="B44" s="1"/>
      <c r="C44" s="1"/>
      <c r="D44" s="2"/>
      <c r="E44" s="2"/>
      <c r="F44" s="2"/>
      <c r="G44" s="2"/>
      <c r="H44" s="2"/>
      <c r="I44" s="2"/>
      <c r="J44" s="3"/>
      <c r="K44" s="2"/>
      <c r="L44" s="4"/>
      <c r="M44" s="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4">
      <c r="A45" s="1"/>
      <c r="B45" s="1"/>
      <c r="C45" s="1"/>
      <c r="D45" s="2"/>
      <c r="E45" s="2"/>
      <c r="F45" s="2"/>
      <c r="G45" s="2"/>
      <c r="H45" s="2"/>
      <c r="I45" s="2"/>
      <c r="J45" s="3"/>
      <c r="K45" s="2"/>
      <c r="L45" s="4"/>
      <c r="M45" s="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4">
      <c r="A46" s="1"/>
      <c r="B46" s="1"/>
      <c r="C46" s="1"/>
      <c r="D46" s="2"/>
      <c r="E46" s="2"/>
      <c r="F46" s="2"/>
      <c r="G46" s="2"/>
      <c r="H46" s="2"/>
      <c r="I46" s="2"/>
      <c r="J46" s="3"/>
      <c r="K46" s="2"/>
      <c r="L46" s="4"/>
      <c r="M46" s="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4">
      <c r="A47" s="1"/>
      <c r="B47" s="1"/>
      <c r="C47" s="1"/>
      <c r="D47" s="2"/>
      <c r="E47" s="2"/>
      <c r="F47" s="2"/>
      <c r="G47" s="2"/>
      <c r="H47" s="2"/>
      <c r="I47" s="2"/>
      <c r="J47" s="3"/>
      <c r="K47" s="2"/>
      <c r="L47" s="4"/>
      <c r="M47" s="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4">
      <c r="A48" s="1"/>
      <c r="B48" s="1"/>
      <c r="C48" s="1"/>
      <c r="D48" s="2"/>
      <c r="E48" s="2"/>
      <c r="F48" s="2"/>
      <c r="G48" s="2"/>
      <c r="H48" s="2"/>
      <c r="I48" s="2"/>
      <c r="J48" s="3"/>
      <c r="K48" s="2"/>
      <c r="L48" s="4"/>
      <c r="M48" s="4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4">
      <c r="A49" s="1"/>
      <c r="B49" s="1"/>
      <c r="C49" s="1"/>
      <c r="D49" s="2"/>
      <c r="E49" s="2"/>
      <c r="F49" s="2"/>
      <c r="G49" s="2"/>
      <c r="H49" s="2"/>
      <c r="I49" s="2"/>
      <c r="J49" s="3"/>
      <c r="K49" s="2"/>
      <c r="L49" s="4"/>
      <c r="M49" s="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4">
      <c r="A50" s="1"/>
      <c r="B50" s="1"/>
      <c r="C50" s="1"/>
      <c r="D50" s="2"/>
      <c r="E50" s="2"/>
      <c r="F50" s="2"/>
      <c r="G50" s="2"/>
      <c r="H50" s="2"/>
      <c r="I50" s="2"/>
      <c r="J50" s="3"/>
      <c r="K50" s="2"/>
      <c r="L50" s="4"/>
      <c r="M50" s="4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4">
      <c r="A51" s="1"/>
      <c r="B51" s="1"/>
      <c r="C51" s="1"/>
      <c r="D51" s="2"/>
      <c r="E51" s="2"/>
      <c r="F51" s="2"/>
      <c r="G51" s="2"/>
      <c r="H51" s="2"/>
      <c r="I51" s="2"/>
      <c r="J51" s="3"/>
      <c r="K51" s="2"/>
      <c r="L51" s="4"/>
      <c r="M51" s="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4">
      <c r="A52" s="1"/>
      <c r="B52" s="1"/>
      <c r="C52" s="1"/>
      <c r="D52" s="2"/>
      <c r="E52" s="2"/>
      <c r="F52" s="2"/>
      <c r="G52" s="2"/>
      <c r="H52" s="2"/>
      <c r="I52" s="2"/>
      <c r="J52" s="3"/>
      <c r="K52" s="2"/>
      <c r="L52" s="4"/>
      <c r="M52" s="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4">
      <c r="A53" s="1"/>
      <c r="B53" s="1"/>
      <c r="C53" s="1"/>
      <c r="D53" s="2"/>
      <c r="E53" s="2"/>
      <c r="F53" s="2"/>
      <c r="G53" s="2"/>
      <c r="H53" s="2"/>
      <c r="I53" s="2"/>
      <c r="J53" s="3"/>
      <c r="K53" s="2"/>
      <c r="L53" s="4"/>
      <c r="M53" s="4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4">
      <c r="A54" s="1"/>
      <c r="B54" s="1"/>
      <c r="C54" s="1"/>
      <c r="D54" s="2"/>
      <c r="E54" s="2"/>
      <c r="F54" s="2"/>
      <c r="G54" s="2"/>
      <c r="H54" s="2"/>
      <c r="I54" s="2"/>
      <c r="J54" s="3"/>
      <c r="K54" s="2"/>
      <c r="L54" s="4"/>
      <c r="M54" s="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4">
      <c r="A55" s="1"/>
      <c r="B55" s="1"/>
      <c r="C55" s="1"/>
      <c r="D55" s="2"/>
      <c r="E55" s="2"/>
      <c r="F55" s="2"/>
      <c r="G55" s="2"/>
      <c r="H55" s="2"/>
      <c r="I55" s="2"/>
      <c r="J55" s="3"/>
      <c r="K55" s="2"/>
      <c r="L55" s="4"/>
      <c r="M55" s="4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4">
      <c r="A56" s="1"/>
      <c r="B56" s="1"/>
      <c r="C56" s="1"/>
      <c r="D56" s="2"/>
      <c r="E56" s="2"/>
      <c r="F56" s="2"/>
      <c r="G56" s="2"/>
      <c r="H56" s="2"/>
      <c r="I56" s="2"/>
      <c r="J56" s="3"/>
      <c r="K56" s="2"/>
      <c r="L56" s="4"/>
      <c r="M56" s="4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4">
      <c r="A57" s="1"/>
      <c r="B57" s="1"/>
      <c r="C57" s="1"/>
      <c r="D57" s="2"/>
      <c r="E57" s="2"/>
      <c r="F57" s="2"/>
      <c r="G57" s="2"/>
      <c r="H57" s="2"/>
      <c r="I57" s="2"/>
      <c r="J57" s="3"/>
      <c r="K57" s="2"/>
      <c r="L57" s="4"/>
      <c r="M57" s="4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4">
      <c r="A58" s="1"/>
      <c r="B58" s="1"/>
      <c r="C58" s="1"/>
      <c r="D58" s="2"/>
      <c r="E58" s="2"/>
      <c r="F58" s="2"/>
      <c r="G58" s="2"/>
      <c r="H58" s="2"/>
      <c r="I58" s="2"/>
      <c r="J58" s="3"/>
      <c r="K58" s="2"/>
      <c r="L58" s="4"/>
      <c r="M58" s="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4">
      <c r="A59" s="1"/>
      <c r="B59" s="1"/>
      <c r="C59" s="1"/>
      <c r="D59" s="2"/>
      <c r="E59" s="2"/>
      <c r="F59" s="2"/>
      <c r="G59" s="2"/>
      <c r="H59" s="2"/>
      <c r="I59" s="2"/>
      <c r="J59" s="3"/>
      <c r="K59" s="2"/>
      <c r="L59" s="4"/>
      <c r="M59" s="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4">
      <c r="A60" s="1"/>
      <c r="B60" s="1"/>
      <c r="C60" s="1"/>
      <c r="D60" s="2"/>
      <c r="E60" s="2"/>
      <c r="F60" s="2"/>
      <c r="G60" s="2"/>
      <c r="H60" s="2"/>
      <c r="I60" s="2"/>
      <c r="J60" s="3"/>
      <c r="K60" s="2"/>
      <c r="L60" s="4"/>
      <c r="M60" s="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4">
      <c r="A61" s="1"/>
      <c r="B61" s="1"/>
      <c r="C61" s="1"/>
      <c r="D61" s="2"/>
      <c r="E61" s="2"/>
      <c r="F61" s="2"/>
      <c r="G61" s="2"/>
      <c r="H61" s="2"/>
      <c r="I61" s="2"/>
      <c r="J61" s="3"/>
      <c r="K61" s="2"/>
      <c r="L61" s="4"/>
      <c r="M61" s="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4">
      <c r="A62" s="1"/>
      <c r="B62" s="1"/>
      <c r="C62" s="1"/>
      <c r="D62" s="2"/>
      <c r="E62" s="2"/>
      <c r="F62" s="2"/>
      <c r="G62" s="2"/>
      <c r="H62" s="2"/>
      <c r="I62" s="2"/>
      <c r="J62" s="3"/>
      <c r="K62" s="2"/>
      <c r="L62" s="4"/>
      <c r="M62" s="4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4">
      <c r="A63" s="1"/>
      <c r="B63" s="1"/>
      <c r="C63" s="1"/>
      <c r="D63" s="2"/>
      <c r="E63" s="2"/>
      <c r="F63" s="2"/>
      <c r="G63" s="2"/>
      <c r="H63" s="2"/>
      <c r="I63" s="2"/>
      <c r="J63" s="3"/>
      <c r="K63" s="2"/>
      <c r="L63" s="4"/>
      <c r="M63" s="4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4">
      <c r="A64" s="1"/>
      <c r="B64" s="1"/>
      <c r="C64" s="1"/>
      <c r="D64" s="2"/>
      <c r="E64" s="2"/>
      <c r="F64" s="2"/>
      <c r="G64" s="2"/>
      <c r="H64" s="2"/>
      <c r="I64" s="2"/>
      <c r="J64" s="3"/>
      <c r="K64" s="2"/>
      <c r="L64" s="4"/>
      <c r="M64" s="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4">
      <c r="A65" s="1"/>
      <c r="B65" s="1"/>
      <c r="C65" s="1"/>
      <c r="D65" s="2"/>
      <c r="E65" s="2"/>
      <c r="F65" s="2"/>
      <c r="G65" s="2"/>
      <c r="H65" s="2"/>
      <c r="I65" s="2"/>
      <c r="J65" s="3"/>
      <c r="K65" s="2"/>
      <c r="L65" s="4"/>
      <c r="M65" s="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4">
      <c r="A66" s="1"/>
      <c r="B66" s="1"/>
      <c r="C66" s="1"/>
      <c r="D66" s="2"/>
      <c r="E66" s="2"/>
      <c r="F66" s="2"/>
      <c r="G66" s="2"/>
      <c r="H66" s="2"/>
      <c r="I66" s="2"/>
      <c r="J66" s="3"/>
      <c r="K66" s="2"/>
      <c r="L66" s="4"/>
      <c r="M66" s="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4">
      <c r="A67" s="1"/>
      <c r="B67" s="1"/>
      <c r="C67" s="1"/>
      <c r="D67" s="2"/>
      <c r="E67" s="2"/>
      <c r="F67" s="2"/>
      <c r="G67" s="2"/>
      <c r="H67" s="2"/>
      <c r="I67" s="2"/>
      <c r="J67" s="3"/>
      <c r="K67" s="2"/>
      <c r="L67" s="4"/>
      <c r="M67" s="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4">
      <c r="A68" s="1"/>
      <c r="B68" s="1"/>
      <c r="C68" s="1"/>
      <c r="D68" s="2"/>
      <c r="E68" s="2"/>
      <c r="F68" s="2"/>
      <c r="G68" s="2"/>
      <c r="H68" s="2"/>
      <c r="I68" s="2"/>
      <c r="J68" s="3"/>
      <c r="K68" s="2"/>
      <c r="L68" s="4"/>
      <c r="M68" s="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4">
      <c r="A69" s="1"/>
      <c r="B69" s="1"/>
      <c r="C69" s="1"/>
      <c r="D69" s="2"/>
      <c r="E69" s="2"/>
      <c r="F69" s="2"/>
      <c r="G69" s="2"/>
      <c r="H69" s="2"/>
      <c r="I69" s="2"/>
      <c r="J69" s="3"/>
      <c r="K69" s="2"/>
      <c r="L69" s="4"/>
      <c r="M69" s="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4">
      <c r="A70" s="1"/>
      <c r="B70" s="1"/>
      <c r="C70" s="1"/>
      <c r="D70" s="2"/>
      <c r="E70" s="2"/>
      <c r="F70" s="2"/>
      <c r="G70" s="2"/>
      <c r="H70" s="2"/>
      <c r="I70" s="2"/>
      <c r="J70" s="3"/>
      <c r="K70" s="2"/>
      <c r="L70" s="4"/>
      <c r="M70" s="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4">
      <c r="A71" s="286"/>
      <c r="B71" s="279"/>
      <c r="C71" s="279"/>
      <c r="D71" s="2"/>
      <c r="E71" s="2"/>
      <c r="F71" s="2"/>
      <c r="G71" s="2"/>
      <c r="H71" s="2"/>
      <c r="I71" s="2"/>
      <c r="J71" s="287"/>
      <c r="K71" s="287"/>
      <c r="L71" s="288"/>
      <c r="M71" s="288"/>
      <c r="N71" s="289"/>
      <c r="O71" s="289"/>
      <c r="P71" s="289"/>
      <c r="Q71" s="289"/>
      <c r="R71" s="289"/>
      <c r="S71" s="289"/>
      <c r="T71" s="289"/>
      <c r="U71" s="289"/>
      <c r="V71" s="1"/>
      <c r="W71" s="1"/>
      <c r="X71" s="1"/>
      <c r="Y71" s="1"/>
    </row>
    <row r="72" spans="1:25" x14ac:dyDescent="0.4">
      <c r="A72" s="286"/>
      <c r="B72" s="279"/>
      <c r="C72" s="279"/>
      <c r="D72" s="2"/>
      <c r="E72" s="2"/>
      <c r="F72" s="2"/>
      <c r="G72" s="2"/>
      <c r="H72" s="2"/>
      <c r="I72" s="2"/>
      <c r="J72" s="287"/>
      <c r="K72" s="287"/>
      <c r="L72" s="288"/>
      <c r="M72" s="288"/>
      <c r="N72" s="289"/>
      <c r="O72" s="289"/>
      <c r="P72" s="289"/>
      <c r="Q72" s="289"/>
      <c r="R72" s="289"/>
      <c r="S72" s="289"/>
      <c r="T72" s="289"/>
      <c r="U72" s="289"/>
      <c r="V72" s="1"/>
      <c r="W72" s="1"/>
      <c r="X72" s="1"/>
      <c r="Y72" s="1"/>
    </row>
    <row r="73" spans="1:25" x14ac:dyDescent="0.4">
      <c r="A73" s="1"/>
      <c r="B73" s="1"/>
      <c r="C73" s="1"/>
      <c r="D73" s="2"/>
      <c r="E73" s="2"/>
      <c r="F73" s="2"/>
      <c r="G73" s="2"/>
      <c r="H73" s="2"/>
      <c r="I73" s="2"/>
      <c r="J73" s="3"/>
      <c r="K73" s="2"/>
      <c r="L73" s="4"/>
      <c r="M73" s="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4">
      <c r="A74" s="1"/>
      <c r="B74" s="1"/>
      <c r="C74" s="1"/>
      <c r="D74" s="2"/>
      <c r="E74" s="2"/>
      <c r="F74" s="2"/>
      <c r="G74" s="2"/>
      <c r="H74" s="2"/>
      <c r="I74" s="2"/>
      <c r="J74" s="3"/>
      <c r="K74" s="2"/>
      <c r="L74" s="4"/>
      <c r="M74" s="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4">
      <c r="A75" s="1"/>
      <c r="B75" s="1"/>
      <c r="C75" s="1"/>
      <c r="D75" s="2"/>
      <c r="E75" s="2"/>
      <c r="F75" s="2"/>
      <c r="G75" s="2"/>
      <c r="H75" s="2"/>
      <c r="I75" s="2"/>
      <c r="J75" s="3"/>
      <c r="K75" s="2"/>
      <c r="L75" s="4"/>
      <c r="M75" s="4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4">
      <c r="A76" s="1"/>
      <c r="B76" s="1"/>
      <c r="C76" s="1"/>
      <c r="D76" s="2"/>
      <c r="E76" s="2"/>
      <c r="F76" s="2"/>
      <c r="G76" s="2"/>
      <c r="H76" s="2"/>
      <c r="I76" s="2"/>
      <c r="J76" s="3"/>
      <c r="K76" s="2"/>
      <c r="L76" s="4"/>
      <c r="M76" s="4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4">
      <c r="A77" s="1"/>
      <c r="B77" s="1"/>
      <c r="C77" s="1"/>
      <c r="D77" s="2"/>
      <c r="E77" s="2"/>
      <c r="F77" s="2"/>
      <c r="G77" s="2"/>
      <c r="H77" s="2"/>
      <c r="I77" s="2"/>
      <c r="J77" s="3"/>
      <c r="K77" s="2"/>
      <c r="L77" s="4"/>
      <c r="M77" s="4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4">
      <c r="A78" s="1"/>
      <c r="B78" s="1"/>
      <c r="C78" s="1"/>
      <c r="D78" s="2"/>
      <c r="E78" s="2"/>
      <c r="F78" s="2"/>
      <c r="G78" s="2"/>
      <c r="H78" s="2"/>
      <c r="I78" s="2"/>
      <c r="J78" s="3"/>
      <c r="K78" s="2"/>
      <c r="L78" s="4"/>
      <c r="M78" s="4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4">
      <c r="A79" s="1"/>
      <c r="B79" s="1"/>
      <c r="C79" s="1"/>
      <c r="D79" s="2"/>
      <c r="E79" s="2"/>
      <c r="F79" s="2"/>
      <c r="G79" s="2"/>
      <c r="H79" s="2"/>
      <c r="I79" s="2"/>
      <c r="J79" s="3"/>
      <c r="K79" s="2"/>
      <c r="L79" s="4"/>
      <c r="M79" s="4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4">
      <c r="A80" s="1"/>
      <c r="B80" s="1"/>
      <c r="C80" s="1"/>
      <c r="D80" s="2"/>
      <c r="E80" s="2"/>
      <c r="F80" s="2"/>
      <c r="G80" s="2"/>
      <c r="H80" s="2"/>
      <c r="I80" s="2"/>
      <c r="J80" s="3"/>
      <c r="K80" s="2"/>
      <c r="L80" s="4"/>
      <c r="M80" s="4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4">
      <c r="A81" s="1"/>
      <c r="B81" s="1"/>
      <c r="C81" s="1"/>
      <c r="D81" s="2"/>
      <c r="E81" s="2"/>
      <c r="F81" s="2"/>
      <c r="G81" s="2"/>
      <c r="H81" s="2"/>
      <c r="I81" s="2"/>
      <c r="J81" s="3"/>
      <c r="K81" s="2"/>
      <c r="L81" s="4"/>
      <c r="M81" s="4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4">
      <c r="A82" s="1"/>
      <c r="B82" s="1"/>
      <c r="C82" s="1"/>
      <c r="D82" s="2"/>
      <c r="E82" s="2"/>
      <c r="F82" s="2"/>
      <c r="G82" s="2"/>
      <c r="H82" s="2"/>
      <c r="I82" s="2"/>
      <c r="J82" s="3"/>
      <c r="K82" s="2"/>
      <c r="L82" s="4"/>
      <c r="M82" s="4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4">
      <c r="A83" s="1"/>
      <c r="B83" s="1"/>
      <c r="C83" s="1"/>
      <c r="D83" s="2"/>
      <c r="E83" s="2"/>
      <c r="F83" s="2"/>
      <c r="G83" s="2"/>
      <c r="H83" s="2"/>
      <c r="I83" s="2"/>
      <c r="J83" s="3"/>
      <c r="K83" s="2"/>
      <c r="L83" s="4"/>
      <c r="M83" s="4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4">
      <c r="A84" s="1"/>
      <c r="B84" s="1"/>
      <c r="C84" s="1"/>
      <c r="D84" s="2"/>
      <c r="E84" s="2"/>
      <c r="F84" s="2"/>
      <c r="G84" s="2"/>
      <c r="H84" s="2"/>
      <c r="I84" s="2"/>
      <c r="J84" s="3"/>
      <c r="K84" s="2"/>
      <c r="L84" s="4"/>
      <c r="M84" s="4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4">
      <c r="A85" s="1"/>
      <c r="B85" s="1"/>
      <c r="C85" s="1"/>
      <c r="D85" s="2"/>
      <c r="E85" s="2"/>
      <c r="F85" s="2"/>
      <c r="G85" s="2"/>
      <c r="H85" s="2"/>
      <c r="I85" s="2"/>
      <c r="J85" s="3"/>
      <c r="K85" s="2"/>
      <c r="L85" s="4"/>
      <c r="M85" s="4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4">
      <c r="A86" s="1"/>
      <c r="B86" s="1"/>
      <c r="C86" s="1"/>
      <c r="D86" s="2"/>
      <c r="E86" s="2"/>
      <c r="F86" s="2"/>
      <c r="G86" s="2"/>
      <c r="H86" s="2"/>
      <c r="I86" s="2"/>
      <c r="J86" s="3"/>
      <c r="K86" s="2"/>
      <c r="L86" s="4"/>
      <c r="M86" s="4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4">
      <c r="A87" s="1"/>
      <c r="B87" s="1"/>
      <c r="C87" s="1"/>
      <c r="D87" s="2"/>
      <c r="E87" s="2"/>
      <c r="F87" s="2"/>
      <c r="G87" s="2"/>
      <c r="H87" s="2"/>
      <c r="I87" s="2"/>
      <c r="J87" s="3"/>
      <c r="K87" s="2"/>
      <c r="L87" s="4"/>
      <c r="M87" s="4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4">
      <c r="A88" s="1"/>
      <c r="B88" s="1"/>
      <c r="C88" s="1"/>
      <c r="D88" s="2"/>
      <c r="E88" s="2"/>
      <c r="F88" s="2"/>
      <c r="G88" s="2"/>
      <c r="H88" s="2"/>
      <c r="I88" s="2"/>
      <c r="J88" s="3"/>
      <c r="K88" s="2"/>
      <c r="L88" s="4"/>
      <c r="M88" s="4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4">
      <c r="A89" s="1"/>
      <c r="B89" s="1"/>
      <c r="C89" s="1"/>
      <c r="D89" s="2"/>
      <c r="E89" s="2"/>
      <c r="F89" s="2"/>
      <c r="G89" s="2"/>
      <c r="H89" s="2"/>
      <c r="I89" s="2"/>
      <c r="J89" s="3"/>
      <c r="K89" s="2"/>
      <c r="L89" s="4"/>
      <c r="M89" s="4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4">
      <c r="A90" s="1"/>
      <c r="B90" s="1"/>
      <c r="C90" s="1"/>
      <c r="D90" s="2"/>
      <c r="E90" s="2"/>
      <c r="F90" s="2"/>
      <c r="G90" s="2"/>
      <c r="H90" s="2"/>
      <c r="I90" s="2"/>
      <c r="J90" s="3"/>
      <c r="K90" s="2"/>
      <c r="L90" s="4"/>
      <c r="M90" s="4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4">
      <c r="A91" s="1"/>
      <c r="B91" s="1"/>
      <c r="C91" s="1"/>
      <c r="D91" s="2"/>
      <c r="E91" s="2"/>
      <c r="F91" s="2"/>
      <c r="G91" s="2"/>
      <c r="H91" s="2"/>
      <c r="I91" s="2"/>
      <c r="J91" s="3"/>
      <c r="K91" s="2"/>
      <c r="L91" s="4"/>
      <c r="M91" s="4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4">
      <c r="A92" s="1"/>
      <c r="B92" s="1"/>
      <c r="C92" s="1"/>
      <c r="D92" s="2"/>
      <c r="E92" s="2"/>
      <c r="F92" s="2"/>
      <c r="G92" s="2"/>
      <c r="H92" s="2"/>
      <c r="I92" s="2"/>
      <c r="J92" s="3"/>
      <c r="K92" s="2"/>
      <c r="L92" s="4"/>
      <c r="M92" s="4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4">
      <c r="A93" s="1"/>
      <c r="B93" s="1"/>
      <c r="C93" s="1"/>
      <c r="D93" s="2"/>
      <c r="E93" s="2"/>
      <c r="F93" s="2"/>
      <c r="G93" s="2"/>
      <c r="H93" s="2"/>
      <c r="I93" s="2"/>
      <c r="J93" s="3"/>
      <c r="K93" s="2"/>
      <c r="L93" s="4"/>
      <c r="M93" s="4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4">
      <c r="A94" s="1"/>
      <c r="B94" s="1"/>
      <c r="C94" s="1"/>
      <c r="D94" s="2"/>
      <c r="E94" s="2"/>
      <c r="F94" s="2"/>
      <c r="G94" s="2"/>
      <c r="H94" s="2"/>
      <c r="I94" s="2"/>
      <c r="J94" s="3"/>
      <c r="K94" s="2"/>
      <c r="L94" s="4"/>
      <c r="M94" s="4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4">
      <c r="A95" s="1"/>
      <c r="B95" s="1"/>
      <c r="C95" s="1"/>
      <c r="D95" s="2"/>
      <c r="E95" s="2"/>
      <c r="F95" s="2"/>
      <c r="G95" s="2"/>
      <c r="H95" s="2"/>
      <c r="I95" s="2"/>
      <c r="J95" s="3"/>
      <c r="K95" s="2"/>
      <c r="L95" s="4"/>
      <c r="M95" s="4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4">
      <c r="A96" s="1"/>
      <c r="B96" s="1"/>
      <c r="C96" s="1"/>
      <c r="D96" s="2"/>
      <c r="E96" s="2"/>
      <c r="F96" s="2"/>
      <c r="G96" s="2"/>
      <c r="H96" s="2"/>
      <c r="I96" s="2"/>
      <c r="J96" s="3"/>
      <c r="K96" s="2"/>
      <c r="L96" s="4"/>
      <c r="M96" s="4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4">
      <c r="A97" s="1"/>
      <c r="B97" s="1"/>
      <c r="C97" s="1"/>
      <c r="D97" s="2"/>
      <c r="E97" s="2"/>
      <c r="F97" s="2"/>
      <c r="G97" s="2"/>
      <c r="H97" s="2"/>
      <c r="I97" s="2"/>
      <c r="J97" s="3"/>
      <c r="K97" s="2"/>
      <c r="L97" s="4"/>
      <c r="M97" s="4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4">
      <c r="A98" s="1"/>
      <c r="B98" s="1"/>
      <c r="C98" s="1"/>
      <c r="D98" s="2"/>
      <c r="E98" s="2"/>
      <c r="F98" s="2"/>
      <c r="G98" s="2"/>
      <c r="H98" s="2"/>
      <c r="I98" s="2"/>
      <c r="J98" s="3"/>
      <c r="K98" s="2"/>
      <c r="L98" s="4"/>
      <c r="M98" s="4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4">
      <c r="A99" s="1"/>
      <c r="B99" s="1"/>
      <c r="C99" s="1"/>
      <c r="D99" s="2"/>
      <c r="E99" s="2"/>
      <c r="F99" s="2"/>
      <c r="G99" s="2"/>
      <c r="H99" s="2"/>
      <c r="I99" s="2"/>
      <c r="J99" s="3"/>
      <c r="K99" s="2"/>
      <c r="L99" s="4"/>
      <c r="M99" s="4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4">
      <c r="A100" s="1"/>
      <c r="B100" s="1"/>
      <c r="C100" s="1"/>
      <c r="D100" s="2"/>
      <c r="E100" s="2"/>
      <c r="F100" s="2"/>
      <c r="G100" s="2"/>
      <c r="H100" s="2"/>
      <c r="I100" s="2"/>
      <c r="J100" s="3"/>
      <c r="K100" s="2"/>
      <c r="L100" s="4"/>
      <c r="M100" s="4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4">
      <c r="A101" s="1"/>
      <c r="B101" s="1"/>
      <c r="C101" s="1"/>
      <c r="D101" s="2"/>
      <c r="E101" s="2"/>
      <c r="F101" s="2"/>
      <c r="G101" s="2"/>
      <c r="H101" s="2"/>
      <c r="I101" s="2"/>
      <c r="J101" s="3"/>
      <c r="K101" s="2"/>
      <c r="L101" s="4"/>
      <c r="M101" s="4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4">
      <c r="A102" s="1"/>
      <c r="B102" s="1"/>
      <c r="C102" s="1"/>
      <c r="D102" s="2"/>
      <c r="E102" s="2"/>
      <c r="F102" s="2"/>
      <c r="G102" s="2"/>
      <c r="H102" s="2"/>
      <c r="I102" s="2"/>
      <c r="J102" s="3"/>
      <c r="K102" s="2"/>
      <c r="L102" s="4"/>
      <c r="M102" s="4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4">
      <c r="A103" s="1"/>
      <c r="B103" s="1"/>
      <c r="C103" s="1"/>
      <c r="D103" s="2"/>
      <c r="E103" s="2"/>
      <c r="F103" s="2"/>
      <c r="G103" s="2"/>
      <c r="H103" s="2"/>
      <c r="I103" s="2"/>
      <c r="J103" s="3"/>
      <c r="K103" s="2"/>
      <c r="L103" s="4"/>
      <c r="M103" s="4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4">
      <c r="A104" s="1"/>
      <c r="B104" s="1"/>
      <c r="C104" s="1"/>
      <c r="D104" s="2"/>
      <c r="E104" s="2"/>
      <c r="F104" s="2"/>
      <c r="G104" s="2"/>
      <c r="H104" s="2"/>
      <c r="I104" s="2"/>
      <c r="J104" s="3"/>
      <c r="K104" s="2"/>
      <c r="L104" s="4"/>
      <c r="M104" s="4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4">
      <c r="A105" s="1"/>
      <c r="B105" s="1"/>
      <c r="C105" s="1"/>
      <c r="D105" s="2"/>
      <c r="E105" s="2"/>
      <c r="F105" s="2"/>
      <c r="G105" s="2"/>
      <c r="H105" s="2"/>
      <c r="I105" s="2"/>
      <c r="J105" s="3"/>
      <c r="K105" s="2"/>
      <c r="L105" s="4"/>
      <c r="M105" s="4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4">
      <c r="A106" s="1"/>
      <c r="B106" s="1"/>
      <c r="C106" s="1"/>
      <c r="D106" s="2"/>
      <c r="E106" s="2"/>
      <c r="F106" s="2"/>
      <c r="G106" s="2"/>
      <c r="H106" s="2"/>
      <c r="I106" s="2"/>
      <c r="J106" s="3"/>
      <c r="K106" s="2"/>
      <c r="L106" s="4"/>
      <c r="M106" s="4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4">
      <c r="A107" s="1"/>
      <c r="B107" s="1"/>
      <c r="C107" s="1"/>
      <c r="D107" s="2"/>
      <c r="E107" s="2"/>
      <c r="F107" s="2"/>
      <c r="G107" s="2"/>
      <c r="H107" s="2"/>
      <c r="I107" s="2"/>
      <c r="J107" s="3"/>
      <c r="K107" s="2"/>
      <c r="L107" s="4"/>
      <c r="M107" s="4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4">
      <c r="A108" s="1"/>
      <c r="B108" s="1"/>
      <c r="C108" s="1"/>
      <c r="D108" s="2"/>
      <c r="E108" s="2"/>
      <c r="F108" s="2"/>
      <c r="G108" s="2"/>
      <c r="H108" s="2"/>
      <c r="I108" s="2"/>
      <c r="J108" s="3"/>
      <c r="K108" s="2"/>
      <c r="L108" s="4"/>
      <c r="M108" s="4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4">
      <c r="A109" s="1"/>
      <c r="B109" s="1"/>
      <c r="C109" s="1"/>
      <c r="D109" s="2"/>
      <c r="E109" s="2"/>
      <c r="F109" s="2"/>
      <c r="G109" s="2"/>
      <c r="H109" s="2"/>
      <c r="I109" s="2"/>
      <c r="J109" s="3"/>
      <c r="K109" s="2"/>
      <c r="L109" s="4"/>
      <c r="M109" s="4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4">
      <c r="A110" s="1"/>
      <c r="B110" s="1"/>
      <c r="C110" s="1"/>
      <c r="D110" s="2"/>
      <c r="E110" s="2"/>
      <c r="F110" s="2"/>
      <c r="G110" s="2"/>
      <c r="H110" s="2"/>
      <c r="I110" s="2"/>
      <c r="J110" s="3"/>
      <c r="K110" s="2"/>
      <c r="L110" s="4"/>
      <c r="M110" s="4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4">
      <c r="A111" s="1"/>
      <c r="B111" s="1"/>
      <c r="C111" s="1"/>
      <c r="D111" s="2"/>
      <c r="E111" s="2"/>
      <c r="F111" s="2"/>
      <c r="G111" s="2"/>
      <c r="H111" s="2"/>
      <c r="I111" s="2"/>
      <c r="J111" s="3"/>
      <c r="K111" s="2"/>
      <c r="L111" s="4"/>
      <c r="M111" s="4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4">
      <c r="A112" s="1"/>
      <c r="B112" s="1"/>
      <c r="C112" s="1"/>
      <c r="D112" s="2"/>
      <c r="E112" s="2"/>
      <c r="F112" s="2"/>
      <c r="G112" s="2"/>
      <c r="H112" s="2"/>
      <c r="I112" s="2"/>
      <c r="J112" s="3"/>
      <c r="K112" s="2"/>
      <c r="L112" s="4"/>
      <c r="M112" s="4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4">
      <c r="A113" s="1"/>
      <c r="B113" s="1"/>
      <c r="C113" s="1"/>
      <c r="D113" s="2"/>
      <c r="E113" s="2"/>
      <c r="F113" s="2"/>
      <c r="G113" s="2"/>
      <c r="H113" s="2"/>
      <c r="I113" s="2"/>
      <c r="J113" s="3"/>
      <c r="K113" s="2"/>
      <c r="L113" s="4"/>
      <c r="M113" s="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4">
      <c r="A114" s="1"/>
      <c r="B114" s="1"/>
      <c r="C114" s="1"/>
      <c r="D114" s="2"/>
      <c r="E114" s="2"/>
      <c r="F114" s="2"/>
      <c r="G114" s="2"/>
      <c r="H114" s="2"/>
      <c r="I114" s="2"/>
      <c r="J114" s="3"/>
      <c r="K114" s="2"/>
      <c r="L114" s="4"/>
      <c r="M114" s="4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4">
      <c r="A115" s="1"/>
      <c r="B115" s="1"/>
      <c r="C115" s="1"/>
      <c r="D115" s="2"/>
      <c r="E115" s="2"/>
      <c r="F115" s="2"/>
      <c r="G115" s="2"/>
      <c r="H115" s="2"/>
      <c r="I115" s="2"/>
      <c r="J115" s="3"/>
      <c r="K115" s="2"/>
      <c r="L115" s="4"/>
      <c r="M115" s="4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4">
      <c r="A116" s="1"/>
      <c r="B116" s="1"/>
      <c r="C116" s="1"/>
      <c r="D116" s="2"/>
      <c r="E116" s="2"/>
      <c r="F116" s="2"/>
      <c r="G116" s="2"/>
      <c r="H116" s="2"/>
      <c r="I116" s="2"/>
      <c r="J116" s="3"/>
      <c r="K116" s="2"/>
      <c r="L116" s="4"/>
      <c r="M116" s="4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4">
      <c r="A117" s="1"/>
      <c r="B117" s="1"/>
      <c r="C117" s="1"/>
      <c r="D117" s="2"/>
      <c r="E117" s="2"/>
      <c r="F117" s="2"/>
      <c r="G117" s="2"/>
      <c r="H117" s="2"/>
      <c r="I117" s="2"/>
      <c r="J117" s="3"/>
      <c r="K117" s="2"/>
      <c r="L117" s="4"/>
      <c r="M117" s="4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4">
      <c r="A118" s="1"/>
      <c r="B118" s="1"/>
      <c r="C118" s="1"/>
      <c r="D118" s="2"/>
      <c r="E118" s="2"/>
      <c r="F118" s="2"/>
      <c r="G118" s="2"/>
      <c r="H118" s="2"/>
      <c r="I118" s="2"/>
      <c r="J118" s="3"/>
      <c r="K118" s="2"/>
      <c r="L118" s="4"/>
      <c r="M118" s="4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4">
      <c r="A119" s="1"/>
      <c r="B119" s="1"/>
      <c r="C119" s="1"/>
      <c r="D119" s="2"/>
      <c r="E119" s="2"/>
      <c r="F119" s="2"/>
      <c r="G119" s="2"/>
      <c r="H119" s="2"/>
      <c r="I119" s="2"/>
      <c r="J119" s="3"/>
      <c r="K119" s="2"/>
      <c r="L119" s="4"/>
      <c r="M119" s="4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4">
      <c r="A120" s="1"/>
      <c r="B120" s="1"/>
      <c r="C120" s="1"/>
      <c r="D120" s="2"/>
      <c r="E120" s="2"/>
      <c r="F120" s="2"/>
      <c r="G120" s="2"/>
      <c r="H120" s="2"/>
      <c r="I120" s="2"/>
      <c r="J120" s="3"/>
      <c r="K120" s="2"/>
      <c r="L120" s="4"/>
      <c r="M120" s="4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4">
      <c r="A121" s="1"/>
      <c r="B121" s="1"/>
      <c r="C121" s="1"/>
      <c r="D121" s="2"/>
      <c r="E121" s="2"/>
      <c r="F121" s="2"/>
      <c r="G121" s="2"/>
      <c r="H121" s="2"/>
      <c r="I121" s="2"/>
      <c r="J121" s="3"/>
      <c r="K121" s="2"/>
      <c r="L121" s="4"/>
      <c r="M121" s="4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4">
      <c r="A122" s="1"/>
      <c r="B122" s="1"/>
      <c r="C122" s="1"/>
      <c r="D122" s="2"/>
      <c r="E122" s="2"/>
      <c r="F122" s="2"/>
      <c r="G122" s="2"/>
      <c r="H122" s="2"/>
      <c r="I122" s="2"/>
      <c r="J122" s="3"/>
      <c r="K122" s="2"/>
      <c r="L122" s="4"/>
      <c r="M122" s="4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4">
      <c r="A123" s="1"/>
      <c r="B123" s="1"/>
      <c r="C123" s="1"/>
      <c r="D123" s="2"/>
      <c r="E123" s="2"/>
      <c r="F123" s="2"/>
      <c r="G123" s="2"/>
      <c r="H123" s="2"/>
      <c r="I123" s="2"/>
      <c r="J123" s="3"/>
      <c r="K123" s="2"/>
      <c r="L123" s="4"/>
      <c r="M123" s="4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4">
      <c r="A124" s="1"/>
      <c r="B124" s="1"/>
      <c r="C124" s="1"/>
      <c r="D124" s="2"/>
      <c r="E124" s="2"/>
      <c r="F124" s="2"/>
      <c r="G124" s="2"/>
      <c r="H124" s="2"/>
      <c r="I124" s="2"/>
      <c r="J124" s="3"/>
      <c r="K124" s="2"/>
      <c r="L124" s="4"/>
      <c r="M124" s="4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4">
      <c r="A125" s="1"/>
      <c r="B125" s="1"/>
      <c r="C125" s="1"/>
      <c r="D125" s="2"/>
      <c r="E125" s="2"/>
      <c r="F125" s="2"/>
      <c r="G125" s="2"/>
      <c r="H125" s="2"/>
      <c r="I125" s="2"/>
      <c r="J125" s="3"/>
      <c r="K125" s="2"/>
      <c r="L125" s="4"/>
      <c r="M125" s="4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4">
      <c r="A126" s="1"/>
      <c r="B126" s="1"/>
      <c r="C126" s="1"/>
      <c r="D126" s="2"/>
      <c r="E126" s="2"/>
      <c r="F126" s="2"/>
      <c r="G126" s="2"/>
      <c r="H126" s="2"/>
      <c r="I126" s="2"/>
      <c r="J126" s="3"/>
      <c r="K126" s="2"/>
      <c r="L126" s="4"/>
      <c r="M126" s="4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4">
      <c r="A127" s="1"/>
      <c r="B127" s="1"/>
      <c r="C127" s="1"/>
      <c r="D127" s="2"/>
      <c r="E127" s="2"/>
      <c r="F127" s="2"/>
      <c r="G127" s="2"/>
      <c r="H127" s="2"/>
      <c r="I127" s="2"/>
      <c r="J127" s="3"/>
      <c r="K127" s="2"/>
      <c r="L127" s="4"/>
      <c r="M127" s="4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4">
      <c r="A128" s="1"/>
      <c r="B128" s="1"/>
      <c r="C128" s="1"/>
      <c r="D128" s="2"/>
      <c r="E128" s="2"/>
      <c r="F128" s="2"/>
      <c r="G128" s="2"/>
      <c r="H128" s="2"/>
      <c r="I128" s="2"/>
      <c r="J128" s="3"/>
      <c r="K128" s="2"/>
      <c r="L128" s="4"/>
      <c r="M128" s="4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4">
      <c r="A129" s="1"/>
      <c r="B129" s="1"/>
      <c r="C129" s="1"/>
      <c r="D129" s="2"/>
      <c r="E129" s="2"/>
      <c r="F129" s="2"/>
      <c r="G129" s="2"/>
      <c r="H129" s="2"/>
      <c r="I129" s="2"/>
      <c r="J129" s="3"/>
      <c r="K129" s="2"/>
      <c r="L129" s="4"/>
      <c r="M129" s="4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4">
      <c r="A130" s="1"/>
      <c r="B130" s="1"/>
      <c r="C130" s="1"/>
      <c r="D130" s="2"/>
      <c r="E130" s="2"/>
      <c r="F130" s="2"/>
      <c r="G130" s="2"/>
      <c r="H130" s="2"/>
      <c r="I130" s="2"/>
      <c r="J130" s="3"/>
      <c r="K130" s="2"/>
      <c r="L130" s="4"/>
      <c r="M130" s="4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4">
      <c r="A131" s="1"/>
      <c r="B131" s="1"/>
      <c r="C131" s="1"/>
      <c r="D131" s="2"/>
      <c r="E131" s="2"/>
      <c r="F131" s="2"/>
      <c r="G131" s="2"/>
      <c r="H131" s="2"/>
      <c r="I131" s="2"/>
      <c r="J131" s="3"/>
      <c r="K131" s="2"/>
      <c r="L131" s="4"/>
      <c r="M131" s="4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4">
      <c r="A132" s="1"/>
      <c r="B132" s="1"/>
      <c r="C132" s="1"/>
      <c r="D132" s="2"/>
      <c r="E132" s="2"/>
      <c r="F132" s="2"/>
      <c r="G132" s="2"/>
      <c r="H132" s="2"/>
      <c r="I132" s="2"/>
      <c r="J132" s="3"/>
      <c r="K132" s="2"/>
      <c r="L132" s="4"/>
      <c r="M132" s="4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4">
      <c r="A133" s="1"/>
      <c r="B133" s="1"/>
      <c r="C133" s="1"/>
      <c r="D133" s="2"/>
      <c r="E133" s="2"/>
      <c r="F133" s="2"/>
      <c r="G133" s="2"/>
      <c r="H133" s="2"/>
      <c r="I133" s="2"/>
      <c r="J133" s="3"/>
      <c r="K133" s="2"/>
      <c r="L133" s="4"/>
      <c r="M133" s="4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4">
      <c r="A134" s="1"/>
      <c r="B134" s="1"/>
      <c r="C134" s="1"/>
      <c r="D134" s="2"/>
      <c r="E134" s="2"/>
      <c r="F134" s="2"/>
      <c r="G134" s="2"/>
      <c r="H134" s="2"/>
      <c r="I134" s="2"/>
      <c r="J134" s="3"/>
      <c r="K134" s="2"/>
      <c r="L134" s="4"/>
      <c r="M134" s="4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4">
      <c r="A135" s="1"/>
      <c r="B135" s="1"/>
      <c r="C135" s="1"/>
      <c r="D135" s="2"/>
      <c r="E135" s="2"/>
      <c r="F135" s="2"/>
      <c r="G135" s="2"/>
      <c r="H135" s="2"/>
      <c r="I135" s="2"/>
      <c r="J135" s="3"/>
      <c r="K135" s="2"/>
      <c r="L135" s="4"/>
      <c r="M135" s="4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4">
      <c r="A136" s="1"/>
      <c r="B136" s="1"/>
      <c r="C136" s="1"/>
      <c r="D136" s="2"/>
      <c r="E136" s="2"/>
      <c r="F136" s="2"/>
      <c r="G136" s="2"/>
      <c r="H136" s="2"/>
      <c r="I136" s="2"/>
      <c r="J136" s="3"/>
      <c r="K136" s="2"/>
      <c r="L136" s="4"/>
      <c r="M136" s="4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4">
      <c r="A137" s="1"/>
      <c r="B137" s="1"/>
      <c r="C137" s="1"/>
      <c r="D137" s="2"/>
      <c r="E137" s="2"/>
      <c r="F137" s="2"/>
      <c r="G137" s="2"/>
      <c r="H137" s="2"/>
      <c r="I137" s="2"/>
      <c r="J137" s="3"/>
      <c r="K137" s="2"/>
      <c r="L137" s="4"/>
      <c r="M137" s="4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4">
      <c r="A138" s="1"/>
      <c r="B138" s="1"/>
      <c r="C138" s="1"/>
      <c r="D138" s="2"/>
      <c r="E138" s="2"/>
      <c r="F138" s="2"/>
      <c r="G138" s="2"/>
      <c r="H138" s="2"/>
      <c r="I138" s="2"/>
      <c r="J138" s="3"/>
      <c r="K138" s="2"/>
      <c r="L138" s="4"/>
      <c r="M138" s="4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4">
      <c r="A139" s="1"/>
      <c r="B139" s="1"/>
      <c r="C139" s="1"/>
      <c r="D139" s="2"/>
      <c r="E139" s="2"/>
      <c r="F139" s="2"/>
      <c r="G139" s="2"/>
      <c r="H139" s="2"/>
      <c r="I139" s="2"/>
      <c r="J139" s="3"/>
      <c r="K139" s="2"/>
      <c r="L139" s="4"/>
      <c r="M139" s="4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s="1" customFormat="1" x14ac:dyDescent="0.4">
      <c r="D140" s="2"/>
      <c r="E140" s="2"/>
      <c r="F140" s="2"/>
      <c r="G140" s="2"/>
      <c r="H140" s="2"/>
      <c r="I140" s="2"/>
      <c r="J140" s="3"/>
      <c r="K140" s="2"/>
      <c r="L140" s="4"/>
      <c r="M140" s="4"/>
    </row>
    <row r="141" spans="1:25" x14ac:dyDescent="0.4">
      <c r="A141" s="1"/>
      <c r="B141" s="1"/>
      <c r="C141" s="1"/>
      <c r="D141" s="2"/>
      <c r="E141" s="2"/>
      <c r="F141" s="2"/>
      <c r="G141" s="2"/>
      <c r="H141" s="2"/>
      <c r="I141" s="2"/>
      <c r="J141" s="3"/>
      <c r="K141" s="2"/>
      <c r="L141" s="4"/>
      <c r="M141" s="4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4">
      <c r="A142" s="1"/>
      <c r="B142" s="1"/>
      <c r="C142" s="1"/>
      <c r="D142" s="2"/>
      <c r="E142" s="2"/>
      <c r="F142" s="2"/>
      <c r="G142" s="2"/>
      <c r="H142" s="2"/>
      <c r="I142" s="2"/>
      <c r="J142" s="3"/>
      <c r="K142" s="2"/>
      <c r="L142" s="4"/>
      <c r="M142" s="4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4">
      <c r="A143" s="1"/>
      <c r="B143" s="1"/>
      <c r="C143" s="1"/>
      <c r="D143" s="2"/>
      <c r="E143" s="2"/>
      <c r="F143" s="2"/>
      <c r="G143" s="2"/>
      <c r="H143" s="2"/>
      <c r="I143" s="2"/>
      <c r="J143" s="3"/>
      <c r="K143" s="2"/>
      <c r="L143" s="4"/>
      <c r="M143" s="4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4">
      <c r="A144" s="1"/>
      <c r="B144" s="1"/>
      <c r="C144" s="1"/>
      <c r="D144" s="2"/>
      <c r="E144" s="2"/>
      <c r="F144" s="2"/>
      <c r="G144" s="2"/>
      <c r="H144" s="2"/>
      <c r="I144" s="2"/>
      <c r="J144" s="3"/>
      <c r="K144" s="2"/>
      <c r="L144" s="4"/>
      <c r="M144" s="4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4">
      <c r="A145" s="1"/>
      <c r="B145" s="1"/>
      <c r="C145" s="1"/>
      <c r="D145" s="2"/>
      <c r="E145" s="2"/>
      <c r="F145" s="2"/>
      <c r="G145" s="2"/>
      <c r="H145" s="2"/>
      <c r="I145" s="2"/>
      <c r="J145" s="3"/>
      <c r="K145" s="2"/>
      <c r="L145" s="4"/>
      <c r="M145" s="4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4">
      <c r="A146" s="1"/>
      <c r="B146" s="1"/>
      <c r="C146" s="1"/>
      <c r="D146" s="2"/>
      <c r="E146" s="2"/>
      <c r="F146" s="2"/>
      <c r="G146" s="2"/>
      <c r="H146" s="2"/>
      <c r="I146" s="2"/>
      <c r="J146" s="3"/>
      <c r="K146" s="2"/>
      <c r="L146" s="4"/>
      <c r="M146" s="4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4">
      <c r="A147" s="1"/>
      <c r="B147" s="1"/>
      <c r="C147" s="1"/>
      <c r="D147" s="2"/>
      <c r="E147" s="2"/>
      <c r="F147" s="2"/>
      <c r="G147" s="2"/>
      <c r="H147" s="2"/>
      <c r="I147" s="2"/>
      <c r="J147" s="3"/>
      <c r="K147" s="2"/>
      <c r="L147" s="4"/>
      <c r="M147" s="4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4">
      <c r="A148" s="1"/>
      <c r="B148" s="1"/>
      <c r="C148" s="1"/>
      <c r="D148" s="2"/>
      <c r="E148" s="2"/>
      <c r="F148" s="2"/>
      <c r="G148" s="2"/>
      <c r="H148" s="2"/>
      <c r="I148" s="2"/>
      <c r="J148" s="3"/>
      <c r="K148" s="2"/>
      <c r="L148" s="4"/>
      <c r="M148" s="4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4">
      <c r="A149" s="1"/>
      <c r="B149" s="1"/>
      <c r="C149" s="1"/>
      <c r="D149" s="2"/>
      <c r="E149" s="2"/>
      <c r="F149" s="2"/>
      <c r="G149" s="2"/>
      <c r="H149" s="2"/>
      <c r="I149" s="2"/>
      <c r="J149" s="3"/>
      <c r="K149" s="2"/>
      <c r="L149" s="4"/>
      <c r="M149" s="4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4">
      <c r="A150" s="1"/>
      <c r="B150" s="1"/>
      <c r="C150" s="1"/>
      <c r="D150" s="2"/>
      <c r="E150" s="2"/>
      <c r="F150" s="2"/>
      <c r="G150" s="2"/>
      <c r="H150" s="2"/>
      <c r="I150" s="2"/>
      <c r="J150" s="3"/>
      <c r="K150" s="2"/>
      <c r="L150" s="4"/>
      <c r="M150" s="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4">
      <c r="A151" s="1"/>
      <c r="B151" s="1"/>
      <c r="C151" s="1"/>
      <c r="D151" s="2"/>
      <c r="E151" s="2"/>
      <c r="F151" s="2"/>
      <c r="G151" s="2"/>
      <c r="H151" s="2"/>
      <c r="I151" s="2"/>
      <c r="J151" s="3"/>
      <c r="K151" s="2"/>
      <c r="L151" s="4"/>
      <c r="M151" s="4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4">
      <c r="A152" s="1"/>
      <c r="B152" s="1"/>
      <c r="C152" s="1"/>
      <c r="D152" s="2"/>
      <c r="E152" s="2"/>
      <c r="F152" s="2"/>
      <c r="G152" s="2"/>
      <c r="H152" s="2"/>
      <c r="I152" s="2"/>
      <c r="J152" s="3"/>
      <c r="K152" s="2"/>
      <c r="L152" s="4"/>
      <c r="M152" s="4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4">
      <c r="A153" s="1"/>
      <c r="B153" s="1"/>
      <c r="C153" s="1"/>
      <c r="D153" s="2"/>
      <c r="E153" s="2"/>
      <c r="F153" s="2"/>
      <c r="G153" s="2"/>
      <c r="H153" s="2"/>
      <c r="I153" s="2"/>
      <c r="J153" s="3"/>
      <c r="K153" s="2"/>
      <c r="L153" s="4"/>
      <c r="M153" s="4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4">
      <c r="A154" s="1"/>
      <c r="B154" s="1"/>
      <c r="C154" s="1"/>
      <c r="D154" s="2"/>
      <c r="E154" s="2"/>
      <c r="F154" s="2"/>
      <c r="G154" s="2"/>
      <c r="H154" s="2"/>
      <c r="I154" s="2"/>
      <c r="J154" s="3"/>
      <c r="K154" s="2"/>
      <c r="L154" s="4"/>
      <c r="M154" s="4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4">
      <c r="A155" s="1"/>
      <c r="B155" s="1"/>
      <c r="C155" s="1"/>
      <c r="D155" s="2"/>
      <c r="E155" s="2"/>
      <c r="F155" s="2"/>
      <c r="G155" s="2"/>
      <c r="H155" s="2"/>
      <c r="I155" s="2"/>
      <c r="J155" s="3"/>
      <c r="K155" s="2"/>
      <c r="L155" s="4"/>
      <c r="M155" s="4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4">
      <c r="A156" s="1"/>
      <c r="B156" s="1"/>
      <c r="C156" s="1"/>
      <c r="D156" s="2"/>
      <c r="E156" s="2"/>
      <c r="F156" s="2"/>
      <c r="G156" s="2"/>
      <c r="H156" s="2"/>
      <c r="I156" s="2"/>
      <c r="J156" s="3"/>
      <c r="K156" s="2"/>
      <c r="L156" s="4"/>
      <c r="M156" s="4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4">
      <c r="A157" s="1"/>
      <c r="B157" s="1"/>
      <c r="C157" s="1"/>
      <c r="D157" s="2"/>
      <c r="E157" s="2"/>
      <c r="F157" s="2"/>
      <c r="G157" s="2"/>
      <c r="H157" s="2"/>
      <c r="I157" s="2"/>
      <c r="J157" s="3"/>
      <c r="K157" s="2"/>
      <c r="L157" s="4"/>
      <c r="M157" s="4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4">
      <c r="A158" s="1"/>
      <c r="B158" s="1"/>
      <c r="C158" s="1"/>
      <c r="D158" s="2"/>
      <c r="E158" s="2"/>
      <c r="F158" s="2"/>
      <c r="G158" s="2"/>
      <c r="H158" s="2"/>
      <c r="I158" s="2"/>
      <c r="J158" s="3"/>
      <c r="K158" s="2"/>
      <c r="L158" s="4"/>
      <c r="M158" s="4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4">
      <c r="A159" s="1"/>
      <c r="B159" s="1"/>
      <c r="C159" s="1"/>
      <c r="D159" s="2"/>
      <c r="E159" s="2"/>
      <c r="F159" s="2"/>
      <c r="G159" s="2"/>
      <c r="H159" s="2"/>
      <c r="I159" s="2"/>
      <c r="J159" s="3"/>
      <c r="K159" s="2"/>
      <c r="L159" s="4"/>
      <c r="M159" s="4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4">
      <c r="A160" s="1"/>
      <c r="B160" s="1"/>
      <c r="C160" s="1"/>
      <c r="D160" s="2"/>
      <c r="E160" s="2"/>
      <c r="F160" s="2"/>
      <c r="G160" s="2"/>
      <c r="H160" s="2"/>
      <c r="I160" s="2"/>
      <c r="J160" s="3"/>
      <c r="K160" s="2"/>
      <c r="L160" s="4"/>
      <c r="M160" s="4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4">
      <c r="A161" s="1"/>
      <c r="B161" s="1"/>
      <c r="C161" s="1"/>
      <c r="D161" s="2"/>
      <c r="E161" s="2"/>
      <c r="F161" s="2"/>
      <c r="G161" s="2"/>
      <c r="H161" s="2"/>
      <c r="I161" s="2"/>
      <c r="J161" s="3"/>
      <c r="K161" s="2"/>
      <c r="L161" s="6"/>
      <c r="M161" s="1"/>
      <c r="N161" s="1"/>
      <c r="O161" s="1"/>
      <c r="P161" s="1"/>
      <c r="Q161" s="4"/>
      <c r="R161" s="1"/>
      <c r="S161" s="1"/>
      <c r="T161" s="2"/>
      <c r="U161" s="3"/>
      <c r="V161" s="3"/>
      <c r="W161" s="2"/>
      <c r="X161" s="1"/>
      <c r="Y161" s="1"/>
    </row>
    <row r="162" spans="1:25" x14ac:dyDescent="0.4">
      <c r="A162" s="1"/>
      <c r="B162" s="1"/>
      <c r="C162" s="1"/>
      <c r="D162" s="2"/>
      <c r="E162" s="2"/>
      <c r="F162" s="2"/>
      <c r="G162" s="2"/>
      <c r="H162" s="2"/>
      <c r="I162" s="2"/>
      <c r="J162" s="3"/>
      <c r="K162" s="2"/>
      <c r="L162" s="4"/>
      <c r="M162" s="4"/>
      <c r="N162" s="1"/>
      <c r="O162" s="1"/>
      <c r="P162" s="1"/>
      <c r="Q162" s="4"/>
      <c r="R162" s="1"/>
      <c r="S162" s="1"/>
      <c r="T162" s="2"/>
      <c r="U162" s="3"/>
      <c r="V162" s="3"/>
      <c r="W162" s="2"/>
      <c r="X162" s="1"/>
      <c r="Y162" s="1"/>
    </row>
    <row r="163" spans="1:25" x14ac:dyDescent="0.4">
      <c r="A163" s="1"/>
      <c r="B163" s="1"/>
      <c r="C163" s="1"/>
      <c r="D163" s="2"/>
      <c r="E163" s="2"/>
      <c r="F163" s="2"/>
      <c r="G163" s="2"/>
      <c r="H163" s="2"/>
      <c r="I163" s="2"/>
      <c r="J163" s="3"/>
      <c r="K163" s="2"/>
      <c r="L163" s="4"/>
      <c r="M163" s="4"/>
      <c r="N163" s="1"/>
      <c r="O163" s="1"/>
      <c r="P163" s="1"/>
      <c r="Q163" s="4"/>
      <c r="R163" s="1"/>
      <c r="S163" s="1"/>
      <c r="T163" s="2"/>
      <c r="U163" s="3"/>
      <c r="V163" s="3"/>
      <c r="W163" s="2"/>
      <c r="X163" s="1"/>
      <c r="Y163" s="1"/>
    </row>
    <row r="164" spans="1:25" x14ac:dyDescent="0.4">
      <c r="A164" s="1"/>
      <c r="B164" s="1"/>
      <c r="C164" s="1"/>
      <c r="D164" s="2"/>
      <c r="E164" s="2"/>
      <c r="F164" s="2"/>
      <c r="G164" s="2"/>
      <c r="H164" s="2"/>
      <c r="I164" s="2"/>
      <c r="J164" s="3"/>
      <c r="K164" s="2"/>
      <c r="L164" s="4"/>
      <c r="M164" s="4"/>
      <c r="N164" s="1"/>
      <c r="O164" s="1"/>
      <c r="P164" s="1"/>
      <c r="Q164" s="4"/>
      <c r="R164" s="1"/>
      <c r="S164" s="1"/>
      <c r="T164" s="2"/>
      <c r="U164" s="3"/>
      <c r="V164" s="3"/>
      <c r="W164" s="2"/>
      <c r="X164" s="1"/>
      <c r="Y164" s="1"/>
    </row>
    <row r="165" spans="1:25" x14ac:dyDescent="0.4">
      <c r="A165" s="1"/>
      <c r="B165" s="1"/>
      <c r="C165" s="1"/>
      <c r="D165" s="2"/>
      <c r="E165" s="2"/>
      <c r="F165" s="2"/>
      <c r="G165" s="2"/>
      <c r="H165" s="2"/>
      <c r="I165" s="2"/>
      <c r="J165" s="3"/>
      <c r="K165" s="2"/>
      <c r="L165" s="4"/>
      <c r="M165" s="4"/>
      <c r="N165" s="1"/>
      <c r="O165" s="1"/>
      <c r="P165" s="1"/>
      <c r="Q165" s="4"/>
      <c r="R165" s="1"/>
      <c r="S165" s="1"/>
      <c r="T165" s="2"/>
      <c r="U165" s="3"/>
      <c r="V165" s="3"/>
      <c r="W165" s="2"/>
      <c r="X165" s="1"/>
      <c r="Y165" s="1"/>
    </row>
    <row r="166" spans="1:25" x14ac:dyDescent="0.4">
      <c r="A166" s="1"/>
      <c r="B166" s="1"/>
      <c r="C166" s="1"/>
      <c r="D166" s="2"/>
      <c r="E166" s="2"/>
      <c r="F166" s="2"/>
      <c r="G166" s="2"/>
      <c r="H166" s="2"/>
      <c r="I166" s="2"/>
      <c r="J166" s="3"/>
      <c r="K166" s="2"/>
      <c r="L166" s="4"/>
      <c r="M166" s="4"/>
      <c r="N166" s="1"/>
      <c r="O166" s="1"/>
      <c r="P166" s="1"/>
      <c r="Q166" s="4"/>
      <c r="R166" s="1"/>
      <c r="S166" s="1"/>
      <c r="T166" s="2"/>
      <c r="U166" s="3"/>
      <c r="V166" s="3"/>
      <c r="W166" s="2"/>
      <c r="X166" s="1"/>
      <c r="Y166" s="1"/>
    </row>
    <row r="167" spans="1:25" x14ac:dyDescent="0.4">
      <c r="A167" s="1"/>
      <c r="B167" s="1"/>
      <c r="C167" s="1"/>
      <c r="D167" s="2"/>
      <c r="E167" s="2"/>
      <c r="F167" s="2"/>
      <c r="G167" s="2"/>
      <c r="H167" s="2"/>
      <c r="I167" s="2"/>
      <c r="J167" s="3"/>
      <c r="K167" s="2"/>
      <c r="L167" s="4"/>
      <c r="M167" s="4"/>
      <c r="N167" s="1"/>
      <c r="O167" s="1"/>
      <c r="P167" s="1"/>
      <c r="Q167" s="4"/>
      <c r="R167" s="1"/>
      <c r="S167" s="1"/>
      <c r="T167" s="2"/>
      <c r="U167" s="3"/>
      <c r="V167" s="3"/>
      <c r="W167" s="2"/>
      <c r="X167" s="1"/>
      <c r="Y167" s="1"/>
    </row>
    <row r="168" spans="1:25" x14ac:dyDescent="0.4">
      <c r="A168" s="1"/>
      <c r="B168" s="1"/>
      <c r="C168" s="1"/>
      <c r="D168" s="2"/>
      <c r="E168" s="2"/>
      <c r="F168" s="2"/>
      <c r="G168" s="2"/>
      <c r="H168" s="2"/>
      <c r="I168" s="2"/>
      <c r="J168" s="3"/>
      <c r="K168" s="2"/>
      <c r="L168" s="4"/>
      <c r="M168" s="4"/>
      <c r="N168" s="1"/>
      <c r="O168" s="1"/>
      <c r="P168" s="1"/>
      <c r="Q168" s="4"/>
      <c r="R168" s="1"/>
      <c r="S168" s="1"/>
      <c r="T168" s="2"/>
      <c r="U168" s="3"/>
      <c r="V168" s="3"/>
      <c r="W168" s="2"/>
      <c r="X168" s="1"/>
      <c r="Y168" s="1"/>
    </row>
    <row r="169" spans="1:25" x14ac:dyDescent="0.4">
      <c r="A169" s="1"/>
      <c r="B169" s="1"/>
      <c r="C169" s="1"/>
      <c r="D169" s="2"/>
      <c r="E169" s="2"/>
      <c r="F169" s="2"/>
      <c r="G169" s="2"/>
      <c r="H169" s="2"/>
      <c r="I169" s="2"/>
      <c r="J169" s="3"/>
      <c r="K169" s="2"/>
      <c r="L169" s="4"/>
      <c r="M169" s="4"/>
      <c r="N169" s="1"/>
      <c r="O169" s="1"/>
      <c r="P169" s="1"/>
      <c r="Q169" s="4"/>
      <c r="R169" s="1"/>
      <c r="S169" s="1"/>
      <c r="T169" s="2"/>
      <c r="U169" s="3"/>
      <c r="V169" s="3"/>
      <c r="W169" s="2"/>
      <c r="X169" s="1"/>
      <c r="Y169" s="1"/>
    </row>
    <row r="170" spans="1:25" x14ac:dyDescent="0.4">
      <c r="A170" s="1"/>
      <c r="B170" s="1"/>
      <c r="C170" s="1"/>
      <c r="D170" s="2"/>
      <c r="E170" s="2"/>
      <c r="F170" s="2"/>
      <c r="G170" s="2"/>
      <c r="H170" s="2"/>
      <c r="I170" s="2"/>
      <c r="J170" s="3"/>
      <c r="K170" s="2"/>
      <c r="L170" s="4"/>
      <c r="M170" s="4"/>
      <c r="N170" s="1"/>
      <c r="O170" s="1"/>
      <c r="P170" s="1"/>
      <c r="Q170" s="4"/>
      <c r="R170" s="1"/>
      <c r="S170" s="1"/>
      <c r="T170" s="2"/>
      <c r="U170" s="3"/>
      <c r="V170" s="3"/>
      <c r="W170" s="2"/>
      <c r="X170" s="1"/>
      <c r="Y170" s="1"/>
    </row>
    <row r="171" spans="1:25" x14ac:dyDescent="0.4">
      <c r="A171" s="1"/>
      <c r="B171" s="1"/>
      <c r="C171" s="1"/>
      <c r="D171" s="2"/>
      <c r="E171" s="2"/>
      <c r="F171" s="2"/>
      <c r="G171" s="2"/>
      <c r="H171" s="2"/>
      <c r="I171" s="2"/>
      <c r="J171" s="3"/>
      <c r="K171" s="2"/>
      <c r="L171" s="4"/>
      <c r="M171" s="4"/>
      <c r="N171" s="1"/>
      <c r="O171" s="1"/>
      <c r="P171" s="1"/>
      <c r="Q171" s="4"/>
      <c r="R171" s="1"/>
      <c r="S171" s="1"/>
      <c r="T171" s="2"/>
      <c r="U171" s="3"/>
      <c r="V171" s="3"/>
      <c r="W171" s="2"/>
      <c r="X171" s="1"/>
      <c r="Y171" s="1"/>
    </row>
    <row r="172" spans="1:25" x14ac:dyDescent="0.4">
      <c r="A172" s="1"/>
      <c r="B172" s="1"/>
      <c r="C172" s="1"/>
      <c r="D172" s="2"/>
      <c r="E172" s="2"/>
      <c r="F172" s="2"/>
      <c r="G172" s="2"/>
      <c r="H172" s="2"/>
      <c r="I172" s="2"/>
      <c r="J172" s="3"/>
      <c r="K172" s="2"/>
      <c r="L172" s="4"/>
      <c r="M172" s="4"/>
      <c r="N172" s="1"/>
      <c r="O172" s="1"/>
      <c r="P172" s="1"/>
      <c r="Q172" s="4"/>
      <c r="R172" s="1"/>
      <c r="S172" s="1"/>
      <c r="T172" s="2"/>
      <c r="U172" s="3"/>
      <c r="V172" s="3"/>
      <c r="W172" s="2"/>
      <c r="X172" s="1"/>
      <c r="Y172" s="1"/>
    </row>
    <row r="173" spans="1:25" x14ac:dyDescent="0.4">
      <c r="A173" s="1"/>
      <c r="B173" s="1"/>
      <c r="C173" s="1"/>
      <c r="D173" s="2"/>
      <c r="E173" s="2"/>
      <c r="F173" s="2"/>
      <c r="G173" s="2"/>
      <c r="H173" s="2"/>
      <c r="I173" s="2"/>
      <c r="J173" s="3"/>
      <c r="K173" s="2"/>
      <c r="L173" s="4"/>
      <c r="M173" s="4"/>
      <c r="N173" s="1"/>
      <c r="O173" s="1"/>
      <c r="P173" s="1"/>
      <c r="Q173" s="4"/>
      <c r="R173" s="1"/>
      <c r="S173" s="1"/>
      <c r="T173" s="2"/>
      <c r="U173" s="3"/>
      <c r="V173" s="3"/>
      <c r="W173" s="2"/>
      <c r="X173" s="1"/>
      <c r="Y173" s="1"/>
    </row>
    <row r="174" spans="1:25" x14ac:dyDescent="0.4">
      <c r="A174" s="1"/>
      <c r="B174" s="1"/>
      <c r="C174" s="1"/>
      <c r="D174" s="2"/>
      <c r="E174" s="2"/>
      <c r="F174" s="2"/>
      <c r="G174" s="2"/>
      <c r="H174" s="2"/>
      <c r="I174" s="2"/>
      <c r="J174" s="3"/>
      <c r="K174" s="2"/>
      <c r="L174" s="4"/>
      <c r="M174" s="4"/>
      <c r="N174" s="1"/>
      <c r="O174" s="1"/>
      <c r="P174" s="1"/>
      <c r="Q174" s="4"/>
      <c r="R174" s="1"/>
      <c r="S174" s="1"/>
      <c r="T174" s="2"/>
      <c r="U174" s="3"/>
      <c r="V174" s="3"/>
      <c r="W174" s="2"/>
      <c r="X174" s="1"/>
      <c r="Y174" s="1"/>
    </row>
    <row r="175" spans="1:25" x14ac:dyDescent="0.4">
      <c r="A175" s="1"/>
      <c r="B175" s="1"/>
      <c r="C175" s="1"/>
      <c r="D175" s="2"/>
      <c r="E175" s="2"/>
      <c r="F175" s="2"/>
      <c r="G175" s="2"/>
      <c r="H175" s="2"/>
      <c r="I175" s="2"/>
      <c r="J175" s="3"/>
      <c r="K175" s="2"/>
      <c r="L175" s="4"/>
      <c r="M175" s="4"/>
      <c r="N175" s="1"/>
      <c r="O175" s="1"/>
      <c r="P175" s="1"/>
      <c r="Q175" s="4"/>
      <c r="R175" s="1"/>
      <c r="S175" s="1"/>
      <c r="T175" s="2"/>
      <c r="U175" s="3"/>
      <c r="V175" s="3"/>
      <c r="W175" s="2"/>
      <c r="X175" s="1"/>
      <c r="Y175" s="1"/>
    </row>
    <row r="176" spans="1:25" x14ac:dyDescent="0.4">
      <c r="A176" s="1"/>
      <c r="B176" s="1"/>
      <c r="C176" s="1"/>
      <c r="D176" s="2"/>
      <c r="E176" s="2"/>
      <c r="F176" s="2"/>
      <c r="G176" s="2"/>
      <c r="H176" s="2"/>
      <c r="I176" s="2"/>
      <c r="J176" s="3"/>
      <c r="K176" s="2"/>
      <c r="L176" s="4"/>
      <c r="M176" s="4"/>
      <c r="N176" s="1"/>
      <c r="O176" s="1"/>
      <c r="P176" s="1"/>
      <c r="Q176" s="4"/>
      <c r="R176" s="1"/>
      <c r="S176" s="1"/>
      <c r="T176" s="2"/>
      <c r="U176" s="3"/>
      <c r="V176" s="3"/>
      <c r="W176" s="2"/>
      <c r="X176" s="1"/>
      <c r="Y176" s="1"/>
    </row>
    <row r="177" spans="1:25" x14ac:dyDescent="0.4">
      <c r="A177" s="1"/>
      <c r="B177" s="1"/>
      <c r="C177" s="1"/>
      <c r="D177" s="2"/>
      <c r="E177" s="2"/>
      <c r="F177" s="2"/>
      <c r="G177" s="2"/>
      <c r="H177" s="2"/>
      <c r="I177" s="2"/>
      <c r="J177" s="3"/>
      <c r="K177" s="2"/>
      <c r="L177" s="4"/>
      <c r="M177" s="4"/>
      <c r="N177" s="1"/>
      <c r="O177" s="1"/>
      <c r="P177" s="1"/>
      <c r="Q177" s="4"/>
      <c r="R177" s="1"/>
      <c r="S177" s="1"/>
      <c r="T177" s="2"/>
      <c r="U177" s="3"/>
      <c r="V177" s="3"/>
      <c r="W177" s="2"/>
      <c r="X177" s="1"/>
      <c r="Y177" s="1"/>
    </row>
    <row r="178" spans="1:25" x14ac:dyDescent="0.4">
      <c r="A178" s="1"/>
      <c r="B178" s="1"/>
      <c r="C178" s="1"/>
      <c r="D178" s="2"/>
      <c r="E178" s="2"/>
      <c r="F178" s="2"/>
      <c r="G178" s="2"/>
      <c r="H178" s="2"/>
      <c r="I178" s="2"/>
      <c r="J178" s="3"/>
      <c r="K178" s="2"/>
      <c r="L178" s="4"/>
      <c r="M178" s="4"/>
      <c r="N178" s="1"/>
      <c r="O178" s="1"/>
      <c r="P178" s="1"/>
      <c r="Q178" s="4"/>
      <c r="R178" s="1"/>
      <c r="S178" s="1"/>
      <c r="T178" s="2"/>
      <c r="U178" s="3"/>
      <c r="V178" s="3"/>
      <c r="W178" s="2"/>
      <c r="X178" s="1"/>
      <c r="Y178" s="1"/>
    </row>
    <row r="179" spans="1:25" x14ac:dyDescent="0.4">
      <c r="A179" s="1"/>
      <c r="B179" s="1"/>
      <c r="C179" s="1"/>
      <c r="D179" s="2"/>
      <c r="E179" s="2"/>
      <c r="F179" s="2"/>
      <c r="G179" s="2"/>
      <c r="H179" s="2"/>
      <c r="I179" s="2"/>
      <c r="J179" s="3"/>
      <c r="K179" s="2"/>
      <c r="L179" s="4"/>
      <c r="M179" s="4"/>
      <c r="N179" s="1"/>
      <c r="O179" s="1"/>
      <c r="P179" s="1"/>
      <c r="Q179" s="4"/>
      <c r="R179" s="1"/>
      <c r="S179" s="1"/>
      <c r="T179" s="2"/>
      <c r="U179" s="3"/>
      <c r="V179" s="3"/>
      <c r="W179" s="2"/>
      <c r="X179" s="1"/>
      <c r="Y179" s="1"/>
    </row>
    <row r="180" spans="1:25" x14ac:dyDescent="0.4">
      <c r="A180" s="1"/>
      <c r="B180" s="1"/>
      <c r="C180" s="1"/>
      <c r="D180" s="2"/>
      <c r="E180" s="2"/>
      <c r="F180" s="2"/>
      <c r="G180" s="2"/>
      <c r="H180" s="2"/>
      <c r="I180" s="2"/>
      <c r="J180" s="3"/>
      <c r="K180" s="2"/>
      <c r="L180" s="4"/>
      <c r="M180" s="4"/>
      <c r="N180" s="1"/>
      <c r="O180" s="1"/>
      <c r="P180" s="1"/>
      <c r="Q180" s="4"/>
      <c r="R180" s="1"/>
      <c r="S180" s="1"/>
      <c r="T180" s="2"/>
      <c r="U180" s="3"/>
      <c r="V180" s="3"/>
      <c r="W180" s="2"/>
      <c r="X180" s="1"/>
      <c r="Y180" s="1"/>
    </row>
    <row r="181" spans="1:25" x14ac:dyDescent="0.4">
      <c r="A181" s="1"/>
      <c r="B181" s="1"/>
      <c r="C181" s="1"/>
      <c r="D181" s="2"/>
      <c r="E181" s="2"/>
      <c r="F181" s="2"/>
      <c r="G181" s="2"/>
      <c r="H181" s="2"/>
      <c r="I181" s="2"/>
      <c r="J181" s="3"/>
      <c r="K181" s="2"/>
      <c r="L181" s="4"/>
      <c r="M181" s="4"/>
      <c r="N181" s="1"/>
      <c r="O181" s="1"/>
      <c r="P181" s="1"/>
      <c r="Q181" s="4"/>
      <c r="R181" s="1"/>
      <c r="S181" s="1"/>
      <c r="T181" s="2"/>
      <c r="U181" s="3"/>
      <c r="V181" s="3"/>
      <c r="W181" s="2"/>
      <c r="X181" s="1"/>
      <c r="Y181" s="1"/>
    </row>
    <row r="182" spans="1:25" x14ac:dyDescent="0.4">
      <c r="A182" s="1"/>
      <c r="B182" s="1"/>
      <c r="C182" s="1"/>
      <c r="D182" s="2"/>
      <c r="E182" s="2"/>
      <c r="F182" s="2"/>
      <c r="G182" s="2"/>
      <c r="H182" s="2"/>
      <c r="I182" s="2"/>
      <c r="J182" s="3"/>
      <c r="K182" s="2"/>
      <c r="L182" s="4"/>
      <c r="M182" s="4"/>
      <c r="N182" s="1"/>
      <c r="O182" s="1"/>
      <c r="P182" s="1"/>
      <c r="Q182" s="4"/>
      <c r="R182" s="1"/>
      <c r="S182" s="1"/>
      <c r="T182" s="2"/>
      <c r="U182" s="3"/>
      <c r="V182" s="3"/>
      <c r="W182" s="2"/>
      <c r="X182" s="1"/>
      <c r="Y182" s="1"/>
    </row>
    <row r="183" spans="1:25" x14ac:dyDescent="0.4">
      <c r="A183" s="1"/>
      <c r="B183" s="1"/>
      <c r="C183" s="1"/>
      <c r="D183" s="2"/>
      <c r="E183" s="2"/>
      <c r="F183" s="2"/>
      <c r="G183" s="2"/>
      <c r="H183" s="2"/>
      <c r="I183" s="2"/>
      <c r="J183" s="3"/>
      <c r="K183" s="2"/>
      <c r="L183" s="4"/>
      <c r="M183" s="4"/>
      <c r="N183" s="1"/>
      <c r="O183" s="1"/>
      <c r="P183" s="1"/>
      <c r="Q183" s="4"/>
      <c r="R183" s="1"/>
      <c r="S183" s="1"/>
      <c r="T183" s="2"/>
      <c r="U183" s="3"/>
      <c r="V183" s="3"/>
      <c r="W183" s="2"/>
      <c r="X183" s="1"/>
      <c r="Y183" s="1"/>
    </row>
    <row r="184" spans="1:25" x14ac:dyDescent="0.4">
      <c r="A184" s="1"/>
      <c r="B184" s="1"/>
      <c r="C184" s="1"/>
      <c r="D184" s="2"/>
      <c r="E184" s="2"/>
      <c r="F184" s="2"/>
      <c r="G184" s="2"/>
      <c r="H184" s="2"/>
      <c r="I184" s="2"/>
      <c r="J184" s="3"/>
      <c r="K184" s="2"/>
      <c r="L184" s="4"/>
      <c r="M184" s="4"/>
      <c r="N184" s="1"/>
      <c r="O184" s="1"/>
      <c r="P184" s="1"/>
      <c r="Q184" s="4"/>
      <c r="R184" s="1"/>
      <c r="S184" s="1"/>
      <c r="T184" s="2"/>
      <c r="U184" s="3"/>
      <c r="V184" s="3"/>
      <c r="W184" s="2"/>
      <c r="X184" s="1"/>
      <c r="Y184" s="1"/>
    </row>
    <row r="185" spans="1:25" x14ac:dyDescent="0.4">
      <c r="A185" s="1"/>
      <c r="B185" s="1"/>
      <c r="C185" s="1"/>
      <c r="D185" s="2"/>
      <c r="E185" s="2"/>
      <c r="F185" s="2"/>
      <c r="G185" s="2"/>
      <c r="H185" s="2"/>
      <c r="I185" s="2"/>
      <c r="J185" s="3"/>
      <c r="K185" s="2"/>
      <c r="L185" s="4"/>
      <c r="M185" s="4"/>
      <c r="N185" s="1"/>
      <c r="O185" s="1"/>
      <c r="P185" s="1"/>
      <c r="Q185" s="4"/>
      <c r="R185" s="1"/>
      <c r="S185" s="1"/>
      <c r="T185" s="2"/>
      <c r="U185" s="3"/>
      <c r="V185" s="3"/>
      <c r="W185" s="2"/>
      <c r="X185" s="1"/>
      <c r="Y185" s="1"/>
    </row>
    <row r="186" spans="1:25" x14ac:dyDescent="0.4">
      <c r="A186" s="1"/>
      <c r="B186" s="1"/>
      <c r="C186" s="1"/>
      <c r="D186" s="2"/>
      <c r="E186" s="2"/>
      <c r="F186" s="2"/>
      <c r="G186" s="2"/>
      <c r="H186" s="2"/>
      <c r="I186" s="2"/>
      <c r="J186" s="3"/>
      <c r="K186" s="2"/>
      <c r="L186" s="4"/>
      <c r="M186" s="4"/>
      <c r="N186" s="1"/>
      <c r="O186" s="1"/>
      <c r="P186" s="1"/>
      <c r="Q186" s="4"/>
      <c r="R186" s="1"/>
      <c r="S186" s="1"/>
      <c r="T186" s="2"/>
      <c r="U186" s="3"/>
      <c r="V186" s="3"/>
      <c r="W186" s="2"/>
      <c r="X186" s="1"/>
      <c r="Y186" s="1"/>
    </row>
    <row r="187" spans="1:25" x14ac:dyDescent="0.4">
      <c r="A187" s="1"/>
      <c r="B187" s="1"/>
      <c r="C187" s="1"/>
      <c r="D187" s="2"/>
      <c r="E187" s="2"/>
      <c r="F187" s="2"/>
      <c r="G187" s="2"/>
      <c r="H187" s="2"/>
      <c r="I187" s="2"/>
      <c r="J187" s="3"/>
      <c r="K187" s="2"/>
      <c r="L187" s="4"/>
      <c r="M187" s="4"/>
      <c r="N187" s="1"/>
      <c r="O187" s="1"/>
      <c r="P187" s="1"/>
      <c r="Q187" s="4"/>
      <c r="R187" s="1"/>
      <c r="S187" s="1"/>
      <c r="T187" s="2"/>
      <c r="U187" s="3"/>
      <c r="V187" s="3"/>
      <c r="W187" s="2"/>
      <c r="X187" s="1"/>
      <c r="Y187" s="1"/>
    </row>
    <row r="188" spans="1:25" x14ac:dyDescent="0.4">
      <c r="A188" s="1"/>
      <c r="B188" s="1"/>
      <c r="C188" s="1"/>
      <c r="D188" s="2"/>
      <c r="E188" s="2"/>
      <c r="F188" s="2"/>
      <c r="G188" s="2"/>
      <c r="H188" s="2"/>
      <c r="I188" s="2"/>
      <c r="J188" s="3"/>
      <c r="K188" s="2"/>
      <c r="L188" s="4"/>
      <c r="M188" s="4"/>
      <c r="N188" s="1"/>
      <c r="O188" s="1"/>
      <c r="P188" s="1"/>
      <c r="Q188" s="4"/>
      <c r="R188" s="1"/>
      <c r="S188" s="1"/>
      <c r="T188" s="2"/>
      <c r="U188" s="3"/>
      <c r="V188" s="3"/>
      <c r="W188" s="2"/>
      <c r="X188" s="1"/>
      <c r="Y188" s="1"/>
    </row>
    <row r="189" spans="1:25" x14ac:dyDescent="0.4">
      <c r="A189" s="1"/>
      <c r="B189" s="1"/>
      <c r="C189" s="1"/>
      <c r="D189" s="2"/>
      <c r="E189" s="2"/>
      <c r="F189" s="2"/>
      <c r="G189" s="2"/>
      <c r="H189" s="2"/>
      <c r="I189" s="2"/>
      <c r="J189" s="3"/>
      <c r="K189" s="2"/>
      <c r="L189" s="4"/>
      <c r="M189" s="4"/>
      <c r="N189" s="1"/>
      <c r="O189" s="1"/>
      <c r="P189" s="1"/>
      <c r="Q189" s="4"/>
      <c r="R189" s="1"/>
      <c r="S189" s="1"/>
      <c r="T189" s="2"/>
      <c r="U189" s="3"/>
      <c r="V189" s="3"/>
      <c r="W189" s="2"/>
      <c r="X189" s="1"/>
      <c r="Y189" s="1"/>
    </row>
    <row r="190" spans="1:25" x14ac:dyDescent="0.4">
      <c r="A190" s="1"/>
      <c r="B190" s="1"/>
      <c r="C190" s="1"/>
      <c r="D190" s="2"/>
      <c r="E190" s="2"/>
      <c r="F190" s="2"/>
      <c r="G190" s="2"/>
      <c r="H190" s="2"/>
      <c r="I190" s="2"/>
      <c r="J190" s="3"/>
      <c r="K190" s="2"/>
      <c r="L190" s="4"/>
      <c r="M190" s="4"/>
      <c r="N190" s="1"/>
      <c r="O190" s="1"/>
      <c r="P190" s="1"/>
      <c r="Q190" s="4"/>
      <c r="R190" s="1"/>
      <c r="S190" s="1"/>
      <c r="T190" s="2"/>
      <c r="U190" s="3"/>
      <c r="V190" s="3"/>
      <c r="W190" s="2"/>
      <c r="X190" s="1"/>
      <c r="Y190" s="1"/>
    </row>
    <row r="191" spans="1:25" x14ac:dyDescent="0.4">
      <c r="A191" s="1"/>
      <c r="B191" s="1"/>
      <c r="C191" s="1"/>
      <c r="D191" s="2"/>
      <c r="E191" s="2"/>
      <c r="F191" s="2"/>
      <c r="G191" s="2"/>
      <c r="H191" s="2"/>
      <c r="I191" s="2"/>
      <c r="J191" s="3"/>
      <c r="K191" s="2"/>
      <c r="L191" s="4"/>
      <c r="M191" s="4"/>
      <c r="N191" s="1"/>
      <c r="O191" s="1"/>
      <c r="P191" s="1"/>
      <c r="Q191" s="4"/>
      <c r="R191" s="1"/>
      <c r="S191" s="1"/>
      <c r="T191" s="2"/>
      <c r="U191" s="3"/>
      <c r="V191" s="3"/>
      <c r="W191" s="2"/>
      <c r="X191" s="1"/>
      <c r="Y191" s="1"/>
    </row>
    <row r="192" spans="1:25" x14ac:dyDescent="0.4">
      <c r="A192" s="1"/>
      <c r="B192" s="1"/>
      <c r="C192" s="1"/>
      <c r="D192" s="2"/>
      <c r="E192" s="2"/>
      <c r="F192" s="2"/>
      <c r="G192" s="2"/>
      <c r="H192" s="2"/>
      <c r="I192" s="2"/>
      <c r="J192" s="3"/>
      <c r="K192" s="2"/>
      <c r="L192" s="4"/>
      <c r="M192" s="4"/>
      <c r="N192" s="1"/>
      <c r="O192" s="1"/>
      <c r="P192" s="1"/>
      <c r="Q192" s="4"/>
      <c r="R192" s="1"/>
      <c r="S192" s="1"/>
      <c r="T192" s="2"/>
      <c r="U192" s="3"/>
      <c r="V192" s="3"/>
      <c r="W192" s="2"/>
      <c r="X192" s="1"/>
      <c r="Y192" s="1"/>
    </row>
    <row r="193" spans="1:25" x14ac:dyDescent="0.4">
      <c r="A193" s="1"/>
      <c r="B193" s="1"/>
      <c r="C193" s="1"/>
      <c r="D193" s="2"/>
      <c r="E193" s="2"/>
      <c r="F193" s="2"/>
      <c r="G193" s="2"/>
      <c r="H193" s="2"/>
      <c r="I193" s="2"/>
      <c r="J193" s="3"/>
      <c r="K193" s="2"/>
      <c r="L193" s="4"/>
      <c r="M193" s="4"/>
      <c r="N193" s="1"/>
      <c r="O193" s="1"/>
      <c r="P193" s="1"/>
      <c r="Q193" s="4"/>
      <c r="R193" s="1"/>
      <c r="S193" s="1"/>
      <c r="T193" s="2"/>
      <c r="U193" s="3"/>
      <c r="V193" s="3"/>
      <c r="W193" s="2"/>
      <c r="X193" s="1"/>
      <c r="Y193" s="1"/>
    </row>
    <row r="194" spans="1:25" x14ac:dyDescent="0.4">
      <c r="A194" s="1"/>
      <c r="B194" s="1"/>
      <c r="C194" s="1"/>
      <c r="D194" s="2"/>
      <c r="E194" s="2"/>
      <c r="F194" s="2"/>
      <c r="G194" s="2"/>
      <c r="H194" s="2"/>
      <c r="I194" s="2"/>
      <c r="J194" s="3"/>
      <c r="K194" s="2"/>
      <c r="L194" s="4"/>
      <c r="M194" s="4"/>
      <c r="N194" s="1"/>
      <c r="O194" s="1"/>
      <c r="P194" s="1"/>
      <c r="Q194" s="4"/>
      <c r="R194" s="1"/>
      <c r="S194" s="1"/>
      <c r="T194" s="2"/>
      <c r="U194" s="3"/>
      <c r="V194" s="3"/>
      <c r="W194" s="2"/>
      <c r="X194" s="1"/>
      <c r="Y194" s="1"/>
    </row>
    <row r="195" spans="1:25" x14ac:dyDescent="0.4">
      <c r="A195" s="1"/>
      <c r="B195" s="1"/>
      <c r="C195" s="1"/>
      <c r="D195" s="2"/>
      <c r="E195" s="2"/>
      <c r="F195" s="2"/>
      <c r="G195" s="2"/>
      <c r="H195" s="2"/>
      <c r="I195" s="2"/>
      <c r="J195" s="3"/>
      <c r="K195" s="2"/>
      <c r="L195" s="4"/>
      <c r="M195" s="4"/>
      <c r="N195" s="1"/>
      <c r="O195" s="1"/>
      <c r="P195" s="1"/>
      <c r="Q195" s="4"/>
      <c r="R195" s="1"/>
      <c r="S195" s="1"/>
      <c r="T195" s="2"/>
      <c r="U195" s="3"/>
      <c r="V195" s="3"/>
      <c r="W195" s="2"/>
      <c r="X195" s="1"/>
      <c r="Y195" s="1"/>
    </row>
    <row r="196" spans="1:25" x14ac:dyDescent="0.4">
      <c r="A196" s="1"/>
      <c r="B196" s="1"/>
      <c r="C196" s="1"/>
      <c r="D196" s="2"/>
      <c r="E196" s="2"/>
      <c r="F196" s="2"/>
      <c r="G196" s="2"/>
      <c r="H196" s="2"/>
      <c r="I196" s="2"/>
      <c r="J196" s="3"/>
      <c r="K196" s="2"/>
      <c r="L196" s="4"/>
      <c r="M196" s="4"/>
      <c r="N196" s="1"/>
      <c r="O196" s="1"/>
      <c r="P196" s="1"/>
      <c r="Q196" s="4"/>
      <c r="R196" s="1"/>
      <c r="S196" s="1"/>
      <c r="T196" s="2"/>
      <c r="U196" s="3"/>
      <c r="V196" s="3"/>
      <c r="W196" s="2"/>
      <c r="X196" s="1"/>
      <c r="Y196" s="1"/>
    </row>
    <row r="197" spans="1:25" x14ac:dyDescent="0.4">
      <c r="A197" s="1"/>
      <c r="B197" s="1"/>
      <c r="C197" s="1"/>
      <c r="D197" s="2"/>
      <c r="E197" s="2"/>
      <c r="F197" s="2"/>
      <c r="G197" s="2"/>
      <c r="H197" s="2"/>
      <c r="I197" s="2"/>
      <c r="J197" s="3"/>
      <c r="K197" s="2"/>
      <c r="L197" s="4"/>
      <c r="M197" s="4"/>
      <c r="N197" s="1"/>
      <c r="O197" s="1"/>
      <c r="P197" s="1"/>
      <c r="Q197" s="4"/>
      <c r="R197" s="1"/>
      <c r="S197" s="1"/>
      <c r="T197" s="2"/>
      <c r="U197" s="3"/>
      <c r="V197" s="3"/>
      <c r="W197" s="2"/>
      <c r="X197" s="1"/>
      <c r="Y197" s="1"/>
    </row>
    <row r="198" spans="1:25" x14ac:dyDescent="0.4">
      <c r="A198" s="1"/>
      <c r="B198" s="1"/>
      <c r="C198" s="1"/>
      <c r="D198" s="2"/>
      <c r="E198" s="2"/>
      <c r="F198" s="2"/>
      <c r="G198" s="2"/>
      <c r="H198" s="2"/>
      <c r="I198" s="2"/>
      <c r="J198" s="3"/>
      <c r="K198" s="2"/>
      <c r="L198" s="4"/>
      <c r="M198" s="4"/>
      <c r="N198" s="1"/>
      <c r="O198" s="1"/>
      <c r="P198" s="1"/>
      <c r="Q198" s="4"/>
      <c r="R198" s="1"/>
      <c r="S198" s="1"/>
      <c r="T198" s="2"/>
      <c r="U198" s="3"/>
      <c r="V198" s="3"/>
      <c r="W198" s="2"/>
      <c r="X198" s="1"/>
      <c r="Y198" s="1"/>
    </row>
    <row r="199" spans="1:25" x14ac:dyDescent="0.4">
      <c r="A199" s="1"/>
      <c r="B199" s="1"/>
      <c r="C199" s="1"/>
      <c r="D199" s="2"/>
      <c r="E199" s="2"/>
      <c r="F199" s="2"/>
      <c r="G199" s="2"/>
      <c r="H199" s="2"/>
      <c r="I199" s="2"/>
      <c r="J199" s="3"/>
      <c r="K199" s="2"/>
      <c r="L199" s="4"/>
      <c r="M199" s="4"/>
      <c r="N199" s="1"/>
      <c r="O199" s="1"/>
      <c r="P199" s="1"/>
      <c r="Q199" s="4"/>
      <c r="R199" s="1"/>
      <c r="S199" s="1"/>
      <c r="T199" s="2"/>
      <c r="U199" s="3"/>
      <c r="V199" s="3"/>
      <c r="W199" s="2"/>
      <c r="X199" s="1"/>
      <c r="Y199" s="1"/>
    </row>
    <row r="200" spans="1:25" x14ac:dyDescent="0.4">
      <c r="A200" s="1"/>
      <c r="B200" s="1"/>
      <c r="C200" s="1"/>
      <c r="D200" s="2"/>
      <c r="E200" s="2"/>
      <c r="F200" s="2"/>
      <c r="G200" s="2"/>
      <c r="H200" s="2"/>
      <c r="I200" s="2"/>
      <c r="J200" s="3"/>
      <c r="K200" s="2"/>
      <c r="L200" s="4"/>
      <c r="M200" s="4"/>
      <c r="N200" s="1"/>
      <c r="O200" s="1"/>
      <c r="P200" s="1"/>
      <c r="Q200" s="4"/>
      <c r="R200" s="1"/>
      <c r="S200" s="1"/>
      <c r="T200" s="2"/>
      <c r="U200" s="3"/>
      <c r="V200" s="3"/>
      <c r="W200" s="2"/>
      <c r="X200" s="1"/>
      <c r="Y200" s="1"/>
    </row>
    <row r="201" spans="1:25" x14ac:dyDescent="0.4">
      <c r="A201" s="1"/>
      <c r="B201" s="1"/>
      <c r="C201" s="1"/>
      <c r="D201" s="2"/>
      <c r="E201" s="2"/>
      <c r="F201" s="2"/>
      <c r="G201" s="2"/>
      <c r="H201" s="2"/>
      <c r="I201" s="2"/>
      <c r="J201" s="3"/>
      <c r="K201" s="2"/>
      <c r="L201" s="4"/>
      <c r="M201" s="4"/>
      <c r="N201" s="1"/>
      <c r="O201" s="1"/>
      <c r="P201" s="1"/>
      <c r="Q201" s="4"/>
      <c r="R201" s="1"/>
      <c r="S201" s="1"/>
      <c r="T201" s="2"/>
      <c r="U201" s="3"/>
      <c r="V201" s="3"/>
      <c r="W201" s="2"/>
      <c r="X201" s="1"/>
      <c r="Y201" s="1"/>
    </row>
    <row r="202" spans="1:25" x14ac:dyDescent="0.4">
      <c r="A202" s="1"/>
      <c r="B202" s="1"/>
      <c r="C202" s="1"/>
      <c r="D202" s="2"/>
      <c r="E202" s="2"/>
      <c r="F202" s="2"/>
      <c r="G202" s="2"/>
      <c r="H202" s="2"/>
      <c r="I202" s="2"/>
      <c r="J202" s="3"/>
      <c r="K202" s="2"/>
      <c r="L202" s="4"/>
      <c r="M202" s="4"/>
      <c r="N202" s="1"/>
      <c r="O202" s="1"/>
      <c r="P202" s="1"/>
      <c r="Q202" s="4"/>
      <c r="R202" s="1"/>
      <c r="S202" s="1"/>
      <c r="T202" s="2"/>
      <c r="U202" s="3"/>
      <c r="V202" s="3"/>
      <c r="W202" s="2"/>
      <c r="X202" s="1"/>
      <c r="Y202" s="1"/>
    </row>
    <row r="203" spans="1:25" x14ac:dyDescent="0.4">
      <c r="A203" s="1"/>
      <c r="B203" s="1"/>
      <c r="C203" s="1"/>
      <c r="D203" s="2"/>
      <c r="E203" s="2"/>
      <c r="F203" s="2"/>
      <c r="G203" s="2"/>
      <c r="H203" s="2"/>
      <c r="I203" s="2"/>
      <c r="J203" s="3"/>
      <c r="K203" s="2"/>
      <c r="L203" s="4"/>
      <c r="M203" s="4"/>
      <c r="N203" s="1"/>
      <c r="O203" s="1"/>
      <c r="P203" s="1"/>
      <c r="Q203" s="4"/>
      <c r="R203" s="1"/>
      <c r="S203" s="1"/>
      <c r="T203" s="2"/>
      <c r="U203" s="3"/>
      <c r="V203" s="3"/>
      <c r="W203" s="2"/>
      <c r="X203" s="1"/>
      <c r="Y203" s="1"/>
    </row>
    <row r="204" spans="1:25" x14ac:dyDescent="0.4">
      <c r="A204" s="1"/>
      <c r="B204" s="1"/>
      <c r="C204" s="1"/>
      <c r="D204" s="2"/>
      <c r="E204" s="2"/>
      <c r="F204" s="2"/>
      <c r="G204" s="2"/>
      <c r="H204" s="2"/>
      <c r="I204" s="2"/>
      <c r="J204" s="3"/>
      <c r="K204" s="2"/>
      <c r="L204" s="4"/>
      <c r="M204" s="4"/>
      <c r="N204" s="1"/>
      <c r="O204" s="1"/>
      <c r="P204" s="1"/>
      <c r="Q204" s="4"/>
      <c r="R204" s="1"/>
      <c r="S204" s="1"/>
      <c r="T204" s="2"/>
      <c r="U204" s="3"/>
      <c r="V204" s="3"/>
      <c r="W204" s="2"/>
      <c r="X204" s="1"/>
      <c r="Y204" s="1"/>
    </row>
    <row r="205" spans="1:25" x14ac:dyDescent="0.4">
      <c r="A205" s="1"/>
      <c r="B205" s="1"/>
      <c r="C205" s="1"/>
      <c r="D205" s="2"/>
      <c r="E205" s="2"/>
      <c r="F205" s="2"/>
      <c r="G205" s="2"/>
      <c r="H205" s="2"/>
      <c r="I205" s="2"/>
      <c r="J205" s="3"/>
      <c r="K205" s="2"/>
      <c r="L205" s="4"/>
      <c r="M205" s="4"/>
      <c r="N205" s="1"/>
      <c r="O205" s="1"/>
      <c r="P205" s="1"/>
      <c r="Q205" s="4"/>
      <c r="R205" s="1"/>
      <c r="S205" s="1"/>
      <c r="T205" s="2"/>
      <c r="U205" s="3"/>
      <c r="V205" s="3"/>
      <c r="W205" s="2"/>
      <c r="X205" s="1"/>
      <c r="Y205" s="1"/>
    </row>
    <row r="206" spans="1:25" x14ac:dyDescent="0.4">
      <c r="A206" s="1"/>
      <c r="B206" s="1"/>
      <c r="C206" s="1"/>
      <c r="D206" s="2"/>
      <c r="E206" s="2"/>
      <c r="F206" s="2"/>
      <c r="G206" s="2"/>
      <c r="H206" s="2"/>
      <c r="I206" s="2"/>
      <c r="J206" s="3"/>
      <c r="K206" s="2"/>
      <c r="L206" s="4"/>
      <c r="M206" s="4"/>
      <c r="N206" s="1"/>
      <c r="O206" s="1"/>
      <c r="P206" s="1"/>
      <c r="Q206" s="4"/>
      <c r="R206" s="1"/>
      <c r="S206" s="1"/>
      <c r="T206" s="2"/>
      <c r="U206" s="3"/>
      <c r="V206" s="3"/>
      <c r="W206" s="2"/>
      <c r="X206" s="1"/>
      <c r="Y206" s="1"/>
    </row>
    <row r="207" spans="1:25" x14ac:dyDescent="0.4">
      <c r="A207" s="1"/>
      <c r="B207" s="1"/>
      <c r="C207" s="1"/>
      <c r="D207" s="2"/>
      <c r="E207" s="2"/>
      <c r="F207" s="2"/>
      <c r="G207" s="2"/>
      <c r="H207" s="2"/>
      <c r="I207" s="2"/>
      <c r="J207" s="3"/>
      <c r="K207" s="2"/>
      <c r="L207" s="4"/>
      <c r="M207" s="4"/>
      <c r="N207" s="1"/>
      <c r="O207" s="1"/>
      <c r="P207" s="1"/>
      <c r="Q207" s="4"/>
      <c r="R207" s="1"/>
      <c r="S207" s="1"/>
      <c r="T207" s="2"/>
      <c r="U207" s="3"/>
      <c r="V207" s="3"/>
      <c r="W207" s="2"/>
      <c r="X207" s="1"/>
      <c r="Y207" s="1"/>
    </row>
    <row r="208" spans="1:25" x14ac:dyDescent="0.4">
      <c r="A208" s="1"/>
      <c r="B208" s="1"/>
      <c r="C208" s="1"/>
      <c r="D208" s="2"/>
      <c r="E208" s="2"/>
      <c r="F208" s="2"/>
      <c r="G208" s="2"/>
      <c r="H208" s="2"/>
      <c r="I208" s="2"/>
      <c r="J208" s="3"/>
      <c r="K208" s="2"/>
      <c r="L208" s="4"/>
      <c r="M208" s="4"/>
      <c r="N208" s="1"/>
      <c r="O208" s="1"/>
      <c r="P208" s="1"/>
      <c r="Q208" s="4"/>
      <c r="R208" s="1"/>
      <c r="S208" s="1"/>
      <c r="T208" s="2"/>
      <c r="U208" s="3"/>
      <c r="V208" s="3"/>
      <c r="W208" s="2"/>
      <c r="X208" s="1"/>
      <c r="Y208" s="1"/>
    </row>
    <row r="209" spans="1:25" x14ac:dyDescent="0.4">
      <c r="A209" s="1"/>
      <c r="B209" s="1"/>
      <c r="C209" s="1"/>
      <c r="D209" s="2"/>
      <c r="E209" s="2"/>
      <c r="F209" s="2"/>
      <c r="G209" s="2"/>
      <c r="H209" s="2"/>
      <c r="I209" s="2"/>
      <c r="J209" s="3"/>
      <c r="K209" s="2"/>
      <c r="L209" s="4"/>
      <c r="M209" s="4"/>
      <c r="N209" s="1"/>
      <c r="O209" s="1"/>
      <c r="P209" s="1"/>
      <c r="Q209" s="4"/>
      <c r="R209" s="1"/>
      <c r="S209" s="1"/>
      <c r="T209" s="2"/>
      <c r="U209" s="3"/>
      <c r="V209" s="3"/>
      <c r="W209" s="2"/>
      <c r="X209" s="1"/>
      <c r="Y209" s="1"/>
    </row>
    <row r="210" spans="1:25" x14ac:dyDescent="0.4">
      <c r="A210" s="1"/>
      <c r="B210" s="1"/>
      <c r="C210" s="1"/>
      <c r="D210" s="2"/>
      <c r="E210" s="2"/>
      <c r="F210" s="2"/>
      <c r="G210" s="2"/>
      <c r="H210" s="2"/>
      <c r="I210" s="2"/>
      <c r="J210" s="3"/>
      <c r="K210" s="2"/>
      <c r="L210" s="4"/>
      <c r="M210" s="4"/>
      <c r="N210" s="1"/>
      <c r="O210" s="1"/>
      <c r="P210" s="1"/>
      <c r="Q210" s="4"/>
      <c r="R210" s="1"/>
      <c r="S210" s="1"/>
      <c r="T210" s="2"/>
      <c r="U210" s="3"/>
      <c r="V210" s="3"/>
      <c r="W210" s="2"/>
      <c r="X210" s="1"/>
      <c r="Y210" s="1"/>
    </row>
    <row r="211" spans="1:25" x14ac:dyDescent="0.4">
      <c r="A211" s="1"/>
      <c r="B211" s="1"/>
      <c r="C211" s="1"/>
      <c r="D211" s="2"/>
      <c r="E211" s="2"/>
      <c r="F211" s="2"/>
      <c r="G211" s="2"/>
      <c r="H211" s="2"/>
      <c r="I211" s="2"/>
      <c r="J211" s="3"/>
      <c r="K211" s="2"/>
      <c r="L211" s="4"/>
      <c r="M211" s="4"/>
      <c r="N211" s="1"/>
      <c r="O211" s="1"/>
      <c r="P211" s="1"/>
      <c r="Q211" s="4"/>
      <c r="R211" s="1"/>
      <c r="S211" s="1"/>
      <c r="T211" s="2"/>
      <c r="U211" s="3"/>
      <c r="V211" s="3"/>
      <c r="W211" s="2"/>
      <c r="X211" s="1"/>
      <c r="Y211" s="1"/>
    </row>
    <row r="212" spans="1:25" x14ac:dyDescent="0.4">
      <c r="A212" s="1"/>
      <c r="B212" s="1"/>
      <c r="C212" s="1"/>
      <c r="D212" s="2"/>
      <c r="E212" s="2"/>
      <c r="F212" s="2"/>
      <c r="G212" s="2"/>
      <c r="H212" s="2"/>
      <c r="I212" s="2"/>
      <c r="J212" s="3"/>
      <c r="K212" s="2"/>
      <c r="L212" s="4"/>
      <c r="M212" s="4"/>
      <c r="N212" s="1"/>
      <c r="O212" s="1"/>
      <c r="P212" s="1"/>
      <c r="Q212" s="4"/>
      <c r="R212" s="1"/>
      <c r="S212" s="1"/>
      <c r="T212" s="2"/>
      <c r="U212" s="3"/>
      <c r="V212" s="3"/>
      <c r="W212" s="2"/>
      <c r="X212" s="1"/>
      <c r="Y212" s="1"/>
    </row>
    <row r="213" spans="1:25" x14ac:dyDescent="0.4">
      <c r="A213" s="1"/>
      <c r="B213" s="1"/>
      <c r="C213" s="1"/>
      <c r="D213" s="2"/>
      <c r="E213" s="2"/>
      <c r="F213" s="2"/>
      <c r="G213" s="2"/>
      <c r="H213" s="2"/>
      <c r="I213" s="2"/>
      <c r="J213" s="3"/>
      <c r="K213" s="2"/>
      <c r="L213" s="4"/>
      <c r="M213" s="4"/>
      <c r="N213" s="1"/>
      <c r="O213" s="1"/>
      <c r="P213" s="1"/>
      <c r="Q213" s="4"/>
      <c r="R213" s="1"/>
      <c r="S213" s="1"/>
      <c r="T213" s="2"/>
      <c r="U213" s="3"/>
      <c r="V213" s="3"/>
      <c r="W213" s="2"/>
      <c r="X213" s="1"/>
      <c r="Y213" s="1"/>
    </row>
    <row r="214" spans="1:25" x14ac:dyDescent="0.4">
      <c r="A214" s="1"/>
      <c r="B214" s="1"/>
      <c r="C214" s="1"/>
      <c r="D214" s="2"/>
      <c r="E214" s="2"/>
      <c r="F214" s="2"/>
      <c r="G214" s="2"/>
      <c r="H214" s="2"/>
      <c r="I214" s="2"/>
      <c r="J214" s="3"/>
      <c r="K214" s="2"/>
      <c r="L214" s="4"/>
      <c r="M214" s="4"/>
      <c r="N214" s="1"/>
      <c r="O214" s="1"/>
      <c r="P214" s="1"/>
      <c r="Q214" s="4"/>
      <c r="R214" s="1"/>
      <c r="S214" s="1"/>
      <c r="T214" s="2"/>
      <c r="U214" s="3"/>
      <c r="V214" s="3"/>
      <c r="W214" s="2"/>
      <c r="X214" s="1"/>
      <c r="Y214" s="1"/>
    </row>
    <row r="215" spans="1:25" x14ac:dyDescent="0.4">
      <c r="A215" s="1"/>
      <c r="B215" s="1"/>
      <c r="C215" s="1"/>
      <c r="D215" s="2"/>
      <c r="E215" s="2"/>
      <c r="F215" s="2"/>
      <c r="G215" s="2"/>
      <c r="H215" s="2"/>
      <c r="I215" s="2"/>
      <c r="J215" s="3"/>
      <c r="K215" s="2"/>
      <c r="L215" s="4"/>
      <c r="M215" s="4"/>
      <c r="N215" s="1"/>
      <c r="O215" s="1"/>
      <c r="P215" s="1"/>
      <c r="Q215" s="4"/>
      <c r="R215" s="1"/>
      <c r="S215" s="1"/>
      <c r="T215" s="2"/>
      <c r="U215" s="3"/>
      <c r="V215" s="3"/>
      <c r="W215" s="2"/>
      <c r="X215" s="1"/>
      <c r="Y215" s="1"/>
    </row>
    <row r="216" spans="1:25" x14ac:dyDescent="0.4">
      <c r="A216" s="1"/>
      <c r="B216" s="1"/>
      <c r="C216" s="1"/>
      <c r="D216" s="2"/>
      <c r="E216" s="2"/>
      <c r="F216" s="2"/>
      <c r="G216" s="2"/>
      <c r="H216" s="2"/>
      <c r="I216" s="2"/>
      <c r="J216" s="3"/>
      <c r="K216" s="2"/>
      <c r="L216" s="4"/>
      <c r="M216" s="4"/>
      <c r="N216" s="1"/>
      <c r="O216" s="1"/>
      <c r="P216" s="1"/>
      <c r="Q216" s="4"/>
      <c r="R216" s="1"/>
      <c r="S216" s="1"/>
      <c r="T216" s="2"/>
      <c r="U216" s="3"/>
      <c r="V216" s="3"/>
      <c r="W216" s="2"/>
      <c r="X216" s="1"/>
      <c r="Y216" s="1"/>
    </row>
    <row r="217" spans="1:25" x14ac:dyDescent="0.4">
      <c r="A217" s="1"/>
      <c r="B217" s="1"/>
      <c r="C217" s="1"/>
      <c r="D217" s="2"/>
      <c r="E217" s="2"/>
      <c r="F217" s="2"/>
      <c r="G217" s="2"/>
      <c r="H217" s="2"/>
      <c r="I217" s="2"/>
      <c r="J217" s="3"/>
      <c r="K217" s="2"/>
      <c r="L217" s="4"/>
      <c r="M217" s="4"/>
      <c r="N217" s="1"/>
      <c r="O217" s="1"/>
      <c r="P217" s="1"/>
      <c r="Q217" s="4"/>
      <c r="R217" s="1"/>
      <c r="S217" s="1"/>
      <c r="T217" s="2"/>
      <c r="U217" s="3"/>
      <c r="V217" s="3"/>
      <c r="W217" s="2"/>
      <c r="X217" s="1"/>
      <c r="Y217" s="1"/>
    </row>
    <row r="218" spans="1:25" x14ac:dyDescent="0.4">
      <c r="A218" s="1"/>
      <c r="B218" s="1"/>
      <c r="C218" s="1"/>
      <c r="D218" s="2"/>
      <c r="E218" s="2"/>
      <c r="F218" s="2"/>
      <c r="G218" s="2"/>
      <c r="H218" s="2"/>
      <c r="I218" s="2"/>
      <c r="J218" s="3"/>
      <c r="K218" s="2"/>
      <c r="L218" s="4"/>
      <c r="M218" s="4"/>
      <c r="N218" s="1"/>
      <c r="O218" s="1"/>
      <c r="P218" s="1"/>
      <c r="Q218" s="4"/>
      <c r="R218" s="1"/>
      <c r="S218" s="1"/>
      <c r="T218" s="2"/>
      <c r="U218" s="3"/>
      <c r="V218" s="3"/>
      <c r="W218" s="2"/>
      <c r="X218" s="1"/>
      <c r="Y218" s="1"/>
    </row>
    <row r="219" spans="1:25" x14ac:dyDescent="0.4">
      <c r="A219" s="1"/>
      <c r="B219" s="1"/>
      <c r="C219" s="1"/>
      <c r="D219" s="2"/>
      <c r="E219" s="2"/>
      <c r="F219" s="2"/>
      <c r="G219" s="2"/>
      <c r="H219" s="2"/>
      <c r="I219" s="2"/>
      <c r="J219" s="3"/>
      <c r="K219" s="2"/>
      <c r="L219" s="4"/>
      <c r="M219" s="4"/>
      <c r="N219" s="1"/>
      <c r="O219" s="1"/>
      <c r="P219" s="1"/>
      <c r="Q219" s="4"/>
      <c r="R219" s="1"/>
      <c r="S219" s="1"/>
      <c r="T219" s="2"/>
      <c r="U219" s="3"/>
      <c r="V219" s="3"/>
      <c r="W219" s="2"/>
      <c r="X219" s="1"/>
      <c r="Y219" s="1"/>
    </row>
    <row r="220" spans="1:25" x14ac:dyDescent="0.4">
      <c r="A220" s="1"/>
      <c r="B220" s="1"/>
      <c r="C220" s="1"/>
      <c r="D220" s="2"/>
      <c r="E220" s="2"/>
      <c r="F220" s="2"/>
      <c r="G220" s="2"/>
      <c r="H220" s="2"/>
      <c r="I220" s="2"/>
      <c r="J220" s="3"/>
      <c r="K220" s="2"/>
      <c r="L220" s="4"/>
      <c r="M220" s="4"/>
      <c r="N220" s="1"/>
      <c r="O220" s="1"/>
      <c r="P220" s="1"/>
      <c r="Q220" s="4"/>
      <c r="R220" s="1"/>
      <c r="S220" s="1"/>
      <c r="T220" s="2"/>
      <c r="U220" s="3"/>
      <c r="V220" s="3"/>
      <c r="W220" s="2"/>
      <c r="X220" s="1"/>
      <c r="Y220" s="1"/>
    </row>
    <row r="221" spans="1:25" x14ac:dyDescent="0.4">
      <c r="A221" s="1"/>
      <c r="B221" s="1"/>
      <c r="C221" s="1"/>
      <c r="D221" s="2"/>
      <c r="E221" s="2"/>
      <c r="F221" s="2"/>
      <c r="G221" s="2"/>
      <c r="H221" s="2"/>
      <c r="I221" s="2"/>
      <c r="J221" s="3"/>
      <c r="K221" s="2"/>
      <c r="L221" s="4"/>
      <c r="M221" s="4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x14ac:dyDescent="0.4">
      <c r="A222" s="1"/>
      <c r="B222" s="1"/>
      <c r="C222" s="1"/>
      <c r="D222" s="2"/>
      <c r="E222" s="2"/>
      <c r="F222" s="2"/>
      <c r="G222" s="2"/>
      <c r="H222" s="2"/>
      <c r="I222" s="2"/>
      <c r="J222" s="3"/>
      <c r="K222" s="2"/>
      <c r="L222" s="4"/>
      <c r="M222" s="4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4">
      <c r="A223" s="1"/>
      <c r="B223" s="1"/>
      <c r="C223" s="1"/>
      <c r="D223" s="2"/>
      <c r="E223" s="2"/>
      <c r="F223" s="2"/>
      <c r="G223" s="2"/>
      <c r="H223" s="2"/>
      <c r="I223" s="2"/>
      <c r="J223" s="3"/>
      <c r="K223" s="2"/>
      <c r="L223" s="4"/>
      <c r="M223" s="4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x14ac:dyDescent="0.4">
      <c r="A224" s="1"/>
      <c r="B224" s="1"/>
      <c r="C224" s="1"/>
      <c r="D224" s="2"/>
      <c r="E224" s="2"/>
      <c r="F224" s="2"/>
      <c r="G224" s="2"/>
      <c r="H224" s="2"/>
      <c r="I224" s="2"/>
      <c r="J224" s="3"/>
      <c r="K224" s="2"/>
      <c r="L224" s="4"/>
      <c r="M224" s="4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4">
      <c r="A225" s="1"/>
      <c r="B225" s="1"/>
      <c r="C225" s="1"/>
      <c r="D225" s="2"/>
      <c r="E225" s="2"/>
      <c r="F225" s="2"/>
      <c r="G225" s="2"/>
      <c r="H225" s="2"/>
      <c r="I225" s="2"/>
      <c r="J225" s="3"/>
      <c r="K225" s="2"/>
      <c r="L225" s="4"/>
      <c r="M225" s="4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4">
      <c r="A226" s="1"/>
      <c r="B226" s="1"/>
      <c r="C226" s="1"/>
      <c r="D226" s="2"/>
      <c r="E226" s="2"/>
      <c r="F226" s="2"/>
      <c r="G226" s="2"/>
      <c r="H226" s="2"/>
      <c r="I226" s="2"/>
      <c r="J226" s="3"/>
      <c r="K226" s="2"/>
      <c r="L226" s="4"/>
      <c r="M226" s="4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4">
      <c r="A227" s="1"/>
      <c r="B227" s="1"/>
      <c r="C227" s="1"/>
      <c r="D227" s="2"/>
      <c r="E227" s="2"/>
      <c r="F227" s="2"/>
      <c r="G227" s="2"/>
      <c r="H227" s="2"/>
      <c r="I227" s="2"/>
      <c r="J227" s="3"/>
      <c r="K227" s="2"/>
      <c r="L227" s="4"/>
      <c r="M227" s="4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4">
      <c r="A228" s="1"/>
      <c r="B228" s="1"/>
      <c r="C228" s="1"/>
      <c r="D228" s="2"/>
      <c r="E228" s="2"/>
      <c r="F228" s="2"/>
      <c r="G228" s="2"/>
      <c r="H228" s="2"/>
      <c r="I228" s="2"/>
      <c r="J228" s="3"/>
      <c r="K228" s="2"/>
      <c r="L228" s="4"/>
      <c r="M228" s="4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4">
      <c r="A229" s="1"/>
      <c r="B229" s="1"/>
      <c r="C229" s="1"/>
      <c r="D229" s="2"/>
      <c r="E229" s="2"/>
      <c r="F229" s="2"/>
      <c r="G229" s="2"/>
      <c r="H229" s="2"/>
      <c r="I229" s="2"/>
      <c r="J229" s="3"/>
      <c r="K229" s="2"/>
      <c r="L229" s="4"/>
      <c r="M229" s="4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s="5" customFormat="1" x14ac:dyDescent="0.4">
      <c r="A230" s="1"/>
      <c r="B230" s="1"/>
      <c r="C230" s="1"/>
      <c r="D230" s="2"/>
      <c r="E230" s="2"/>
      <c r="F230" s="2"/>
      <c r="G230" s="2"/>
      <c r="H230" s="2"/>
      <c r="I230" s="2"/>
      <c r="J230" s="3"/>
      <c r="K230" s="2"/>
      <c r="L230" s="4"/>
      <c r="M230" s="4"/>
      <c r="N230" s="290"/>
      <c r="O230" s="291"/>
      <c r="P230" s="291"/>
      <c r="Q230" s="291"/>
      <c r="R230" s="1"/>
      <c r="S230" s="1"/>
      <c r="T230" s="1"/>
      <c r="U230" s="1"/>
      <c r="V230" s="1"/>
      <c r="W230" s="1"/>
      <c r="X230" s="1"/>
      <c r="Y230" s="1"/>
    </row>
    <row r="231" spans="1:25" x14ac:dyDescent="0.4">
      <c r="A231" s="1"/>
      <c r="B231" s="1"/>
      <c r="C231" s="1"/>
      <c r="D231" s="2"/>
      <c r="E231" s="2"/>
      <c r="F231" s="2"/>
      <c r="G231" s="2"/>
      <c r="H231" s="2"/>
      <c r="I231" s="2"/>
      <c r="J231" s="3"/>
      <c r="K231" s="2"/>
      <c r="L231" s="4"/>
      <c r="M231" s="4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4">
      <c r="A232" s="1"/>
      <c r="B232" s="1"/>
      <c r="C232" s="1"/>
      <c r="D232" s="2"/>
      <c r="E232" s="2"/>
      <c r="F232" s="2"/>
      <c r="G232" s="2"/>
      <c r="H232" s="2"/>
      <c r="I232" s="2"/>
      <c r="J232" s="3"/>
      <c r="K232" s="2"/>
      <c r="L232" s="4"/>
      <c r="M232" s="4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4">
      <c r="A233" s="1"/>
      <c r="B233" s="1"/>
      <c r="C233" s="1"/>
      <c r="D233" s="2"/>
      <c r="E233" s="2"/>
      <c r="F233" s="2"/>
      <c r="G233" s="2"/>
      <c r="H233" s="2"/>
      <c r="I233" s="2"/>
      <c r="J233" s="3"/>
      <c r="K233" s="2"/>
      <c r="L233" s="4"/>
      <c r="M233" s="4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4">
      <c r="A234" s="1"/>
      <c r="B234" s="1"/>
      <c r="C234" s="1"/>
      <c r="D234" s="2"/>
      <c r="E234" s="2"/>
      <c r="F234" s="2"/>
      <c r="G234" s="2"/>
      <c r="H234" s="2"/>
      <c r="I234" s="2"/>
      <c r="J234" s="3"/>
      <c r="K234" s="2"/>
      <c r="L234" s="4"/>
      <c r="M234" s="4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4">
      <c r="A235" s="1"/>
      <c r="B235" s="1"/>
      <c r="C235" s="1"/>
      <c r="D235" s="2"/>
      <c r="E235" s="2"/>
      <c r="F235" s="2"/>
      <c r="G235" s="2"/>
      <c r="H235" s="2"/>
      <c r="I235" s="2"/>
      <c r="J235" s="3"/>
      <c r="K235" s="2"/>
      <c r="L235" s="4"/>
      <c r="M235" s="4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x14ac:dyDescent="0.4">
      <c r="A236" s="1"/>
      <c r="B236" s="1"/>
      <c r="C236" s="1"/>
      <c r="D236" s="2"/>
      <c r="E236" s="2"/>
      <c r="F236" s="2"/>
      <c r="G236" s="2"/>
      <c r="H236" s="2"/>
      <c r="I236" s="2"/>
      <c r="J236" s="3"/>
      <c r="K236" s="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x14ac:dyDescent="0.4">
      <c r="A237" s="1"/>
      <c r="B237" s="1"/>
      <c r="C237" s="1"/>
      <c r="D237" s="2"/>
      <c r="E237" s="2"/>
      <c r="F237" s="2"/>
      <c r="G237" s="2"/>
      <c r="H237" s="2"/>
      <c r="I237" s="2"/>
      <c r="J237" s="3"/>
      <c r="K237" s="2"/>
      <c r="L237" s="4"/>
      <c r="M237" s="4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x14ac:dyDescent="0.4">
      <c r="A238" s="1"/>
      <c r="B238" s="1"/>
      <c r="C238" s="1"/>
      <c r="D238" s="2"/>
      <c r="E238" s="2"/>
      <c r="F238" s="2"/>
      <c r="G238" s="2"/>
      <c r="H238" s="2"/>
      <c r="I238" s="2"/>
      <c r="J238" s="3"/>
      <c r="K238" s="2"/>
      <c r="L238" s="4"/>
      <c r="M238" s="4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x14ac:dyDescent="0.4">
      <c r="A239" s="1"/>
      <c r="B239" s="1"/>
      <c r="C239" s="1"/>
      <c r="D239" s="2"/>
      <c r="E239" s="2"/>
      <c r="F239" s="2"/>
      <c r="G239" s="2"/>
      <c r="H239" s="2"/>
      <c r="I239" s="2"/>
      <c r="J239" s="3"/>
      <c r="K239" s="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x14ac:dyDescent="0.4">
      <c r="A240" s="1"/>
      <c r="B240" s="1"/>
      <c r="C240" s="1"/>
      <c r="D240" s="2"/>
      <c r="E240" s="2"/>
      <c r="F240" s="2"/>
      <c r="G240" s="2"/>
      <c r="H240" s="2"/>
      <c r="I240" s="2"/>
      <c r="J240" s="3"/>
      <c r="K240" s="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x14ac:dyDescent="0.4">
      <c r="A241" s="1"/>
      <c r="B241" s="1"/>
      <c r="C241" s="1"/>
      <c r="D241" s="2"/>
      <c r="E241" s="2"/>
      <c r="F241" s="2"/>
      <c r="G241" s="2"/>
      <c r="H241" s="2"/>
      <c r="I241" s="2"/>
      <c r="J241" s="3"/>
      <c r="K241" s="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x14ac:dyDescent="0.4">
      <c r="A242" s="1"/>
      <c r="B242" s="1"/>
      <c r="C242" s="1"/>
      <c r="D242" s="2"/>
      <c r="E242" s="2"/>
      <c r="F242" s="2"/>
      <c r="G242" s="2"/>
      <c r="H242" s="2"/>
      <c r="I242" s="2"/>
      <c r="J242" s="3"/>
      <c r="K242" s="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x14ac:dyDescent="0.4">
      <c r="A243" s="1"/>
      <c r="B243" s="1"/>
      <c r="C243" s="1"/>
      <c r="D243" s="2"/>
      <c r="E243" s="2"/>
      <c r="F243" s="2"/>
      <c r="G243" s="2"/>
      <c r="H243" s="2"/>
      <c r="I243" s="2"/>
      <c r="J243" s="3"/>
      <c r="K243" s="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x14ac:dyDescent="0.4">
      <c r="A244" s="1"/>
      <c r="B244" s="1"/>
      <c r="C244" s="1"/>
      <c r="D244" s="2"/>
      <c r="E244" s="2"/>
      <c r="F244" s="2"/>
      <c r="G244" s="2"/>
      <c r="H244" s="2"/>
      <c r="I244" s="2"/>
      <c r="J244" s="3"/>
      <c r="K244" s="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x14ac:dyDescent="0.4">
      <c r="A245" s="1"/>
      <c r="B245" s="1"/>
      <c r="C245" s="1"/>
      <c r="D245" s="2"/>
      <c r="E245" s="2"/>
      <c r="F245" s="2"/>
      <c r="G245" s="2"/>
      <c r="H245" s="2"/>
      <c r="I245" s="2"/>
      <c r="J245" s="3"/>
      <c r="K245" s="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x14ac:dyDescent="0.4">
      <c r="A246" s="1"/>
      <c r="B246" s="1"/>
      <c r="C246" s="1"/>
      <c r="D246" s="2"/>
      <c r="E246" s="2"/>
      <c r="F246" s="2"/>
      <c r="G246" s="2"/>
      <c r="H246" s="2"/>
      <c r="I246" s="2"/>
      <c r="J246" s="3"/>
      <c r="K246" s="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x14ac:dyDescent="0.4">
      <c r="A247" s="1"/>
      <c r="B247" s="1"/>
      <c r="C247" s="1"/>
      <c r="D247" s="2"/>
      <c r="E247" s="2"/>
      <c r="F247" s="2"/>
      <c r="G247" s="2"/>
      <c r="H247" s="2"/>
      <c r="I247" s="2"/>
      <c r="J247" s="3"/>
      <c r="K247" s="2"/>
      <c r="L247" s="4"/>
      <c r="M247" s="4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x14ac:dyDescent="0.4">
      <c r="A248" s="1"/>
      <c r="B248" s="1"/>
      <c r="C248" s="1"/>
      <c r="D248" s="2"/>
      <c r="E248" s="2"/>
      <c r="F248" s="2"/>
      <c r="G248" s="2"/>
      <c r="H248" s="2"/>
      <c r="I248" s="2"/>
      <c r="J248" s="3"/>
      <c r="K248" s="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x14ac:dyDescent="0.4">
      <c r="A249" s="1"/>
      <c r="B249" s="1"/>
      <c r="C249" s="1"/>
      <c r="D249" s="2"/>
      <c r="E249" s="2"/>
      <c r="F249" s="2"/>
      <c r="G249" s="2"/>
      <c r="H249" s="2"/>
      <c r="I249" s="2"/>
      <c r="J249" s="3"/>
      <c r="K249" s="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x14ac:dyDescent="0.4">
      <c r="A250" s="1"/>
      <c r="B250" s="1"/>
      <c r="C250" s="1"/>
      <c r="D250" s="2"/>
      <c r="E250" s="2"/>
      <c r="F250" s="2"/>
      <c r="G250" s="2"/>
      <c r="H250" s="2"/>
      <c r="I250" s="2"/>
      <c r="J250" s="3"/>
      <c r="K250" s="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1:25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</sheetData>
  <mergeCells count="16">
    <mergeCell ref="N4:S5"/>
    <mergeCell ref="L71:L72"/>
    <mergeCell ref="M71:M72"/>
    <mergeCell ref="N71:U72"/>
    <mergeCell ref="N230:Q230"/>
    <mergeCell ref="A71:A72"/>
    <mergeCell ref="B71:B72"/>
    <mergeCell ref="C71:C72"/>
    <mergeCell ref="J71:J72"/>
    <mergeCell ref="K71:K72"/>
    <mergeCell ref="A13:A14"/>
    <mergeCell ref="A4:A5"/>
    <mergeCell ref="D4:I4"/>
    <mergeCell ref="L4:L5"/>
    <mergeCell ref="M4:M5"/>
    <mergeCell ref="D5:I5"/>
  </mergeCells>
  <phoneticPr fontId="2" type="noConversion"/>
  <pageMargins left="0.7" right="0.7" top="0.75" bottom="0.75" header="0.3" footer="0.3"/>
  <ignoredErrors>
    <ignoredError sqref="J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C443E-3F5C-42D2-9C2C-A5798E6368F2}">
  <dimension ref="A1:Y464"/>
  <sheetViews>
    <sheetView workbookViewId="0">
      <selection activeCell="K20" sqref="K20"/>
    </sheetView>
  </sheetViews>
  <sheetFormatPr defaultRowHeight="17.399999999999999" x14ac:dyDescent="0.4"/>
  <cols>
    <col min="1" max="1" width="10.8984375" customWidth="1"/>
    <col min="4" max="10" width="12.09765625" customWidth="1"/>
    <col min="11" max="11" width="11.3984375" customWidth="1"/>
    <col min="12" max="12" width="14" customWidth="1"/>
    <col min="13" max="13" width="13.59765625" customWidth="1"/>
    <col min="17" max="17" width="12.19921875" customWidth="1"/>
  </cols>
  <sheetData>
    <row r="1" spans="1:25" x14ac:dyDescent="0.4">
      <c r="A1" s="15"/>
      <c r="B1" s="14"/>
      <c r="C1" s="14" t="s">
        <v>34</v>
      </c>
      <c r="D1" s="14"/>
      <c r="E1" s="14"/>
      <c r="F1" s="14"/>
      <c r="G1" s="14"/>
      <c r="H1" s="14"/>
      <c r="I1" s="14"/>
      <c r="J1" s="15"/>
      <c r="K1" s="14" t="s">
        <v>34</v>
      </c>
      <c r="L1" s="16"/>
      <c r="M1" s="16" t="s">
        <v>33</v>
      </c>
    </row>
    <row r="2" spans="1:25" x14ac:dyDescent="0.4">
      <c r="A2" s="15" t="s">
        <v>32</v>
      </c>
      <c r="B2" s="14"/>
      <c r="C2" s="14" t="s">
        <v>31</v>
      </c>
      <c r="D2" s="14" t="s">
        <v>30</v>
      </c>
      <c r="E2" s="14"/>
      <c r="F2" s="14"/>
      <c r="G2" s="14"/>
      <c r="H2" s="14"/>
      <c r="I2" s="14"/>
      <c r="J2" s="15"/>
      <c r="K2" s="14" t="s">
        <v>29</v>
      </c>
      <c r="L2" s="13"/>
      <c r="M2" s="13" t="s">
        <v>28</v>
      </c>
    </row>
    <row r="3" spans="1:25" x14ac:dyDescent="0.4">
      <c r="B3" s="12"/>
      <c r="C3" s="11">
        <f>SUM(C6:C159)</f>
        <v>1000</v>
      </c>
      <c r="D3" s="12"/>
      <c r="E3" s="12"/>
      <c r="F3" s="12"/>
      <c r="G3" s="12"/>
      <c r="H3" s="12"/>
      <c r="I3" s="12"/>
      <c r="K3" s="11">
        <f>SUM(K6:K2487)</f>
        <v>416.66666666666663</v>
      </c>
      <c r="L3" s="11"/>
      <c r="M3" s="10"/>
    </row>
    <row r="4" spans="1:25" x14ac:dyDescent="0.4">
      <c r="A4" s="280" t="s">
        <v>27</v>
      </c>
      <c r="B4" s="8" t="s">
        <v>26</v>
      </c>
      <c r="C4" s="8" t="s">
        <v>25</v>
      </c>
      <c r="D4" s="282"/>
      <c r="E4" s="283"/>
      <c r="F4" s="283"/>
      <c r="G4" s="283"/>
      <c r="H4" s="283"/>
      <c r="I4" s="284"/>
      <c r="J4" s="9" t="s">
        <v>24</v>
      </c>
      <c r="K4" s="9" t="s">
        <v>22</v>
      </c>
      <c r="L4" s="280" t="s">
        <v>21</v>
      </c>
      <c r="M4" s="280" t="s">
        <v>20</v>
      </c>
    </row>
    <row r="5" spans="1:25" x14ac:dyDescent="0.4">
      <c r="A5" s="281"/>
      <c r="B5" s="8" t="s">
        <v>19</v>
      </c>
      <c r="C5" s="8" t="s">
        <v>19</v>
      </c>
      <c r="D5" s="285" t="s">
        <v>18</v>
      </c>
      <c r="E5" s="285"/>
      <c r="F5" s="285"/>
      <c r="G5" s="285"/>
      <c r="H5" s="285"/>
      <c r="I5" s="285"/>
      <c r="J5" s="7" t="s">
        <v>17</v>
      </c>
      <c r="K5" s="7" t="s">
        <v>16</v>
      </c>
      <c r="L5" s="281"/>
      <c r="M5" s="281"/>
    </row>
    <row r="6" spans="1:25" x14ac:dyDescent="0.4">
      <c r="A6" s="1" t="s">
        <v>40</v>
      </c>
      <c r="B6" s="1">
        <v>50</v>
      </c>
      <c r="C6" s="1">
        <f t="shared" ref="C6:C11" si="0">SUM(B6*5)</f>
        <v>250</v>
      </c>
      <c r="D6" s="254">
        <v>44182</v>
      </c>
      <c r="E6" s="160">
        <v>44293</v>
      </c>
      <c r="F6" s="210">
        <v>44318</v>
      </c>
      <c r="G6" s="254">
        <v>44343</v>
      </c>
      <c r="H6" s="266">
        <v>44360</v>
      </c>
      <c r="I6" s="2">
        <v>1</v>
      </c>
      <c r="J6" s="56">
        <f>COUNTIF(D6:I6,"1")</f>
        <v>1</v>
      </c>
      <c r="K6" s="55">
        <f>J6*(C6/6)</f>
        <v>41.666666666666664</v>
      </c>
      <c r="L6" s="69">
        <v>44182</v>
      </c>
      <c r="M6" s="69">
        <f>L6+365</f>
        <v>44547</v>
      </c>
      <c r="N6" s="1"/>
      <c r="O6" s="121" t="s">
        <v>245</v>
      </c>
      <c r="P6" s="121" t="s">
        <v>245</v>
      </c>
      <c r="Q6" s="251" t="s">
        <v>245</v>
      </c>
      <c r="R6" s="263" t="s">
        <v>245</v>
      </c>
      <c r="S6" s="1"/>
      <c r="T6" s="1"/>
      <c r="U6" s="1"/>
      <c r="V6" s="1"/>
      <c r="W6" s="1"/>
      <c r="X6" s="1"/>
      <c r="Y6" s="1"/>
    </row>
    <row r="7" spans="1:25" x14ac:dyDescent="0.4">
      <c r="A7" s="1" t="s">
        <v>39</v>
      </c>
      <c r="B7" s="1">
        <v>50</v>
      </c>
      <c r="C7" s="1">
        <f t="shared" si="0"/>
        <v>250</v>
      </c>
      <c r="D7" s="254">
        <v>44195</v>
      </c>
      <c r="E7" s="155">
        <v>44291</v>
      </c>
      <c r="F7" s="2">
        <v>1</v>
      </c>
      <c r="G7" s="2">
        <v>1</v>
      </c>
      <c r="H7" s="2">
        <v>1</v>
      </c>
      <c r="I7" s="2">
        <v>1</v>
      </c>
      <c r="J7" s="56">
        <f t="shared" ref="J7:J11" si="1">COUNTIF(D7:I7,"1")</f>
        <v>4</v>
      </c>
      <c r="K7" s="55">
        <f t="shared" ref="K7:K11" si="2">J7*(C7/6)</f>
        <v>166.66666666666666</v>
      </c>
      <c r="L7" s="69">
        <v>44195</v>
      </c>
      <c r="M7" s="69">
        <f t="shared" ref="M7:M11" si="3">L7+365</f>
        <v>44560</v>
      </c>
      <c r="N7" s="1"/>
      <c r="O7" s="144" t="s">
        <v>235</v>
      </c>
      <c r="Q7" s="1"/>
      <c r="R7" s="1"/>
      <c r="S7" s="1"/>
      <c r="T7" s="1"/>
      <c r="U7" s="1"/>
      <c r="V7" s="1"/>
      <c r="W7" s="1"/>
      <c r="X7" s="1"/>
      <c r="Y7" s="1"/>
    </row>
    <row r="8" spans="1:25" x14ac:dyDescent="0.4">
      <c r="A8" s="1" t="s">
        <v>38</v>
      </c>
      <c r="B8" s="1">
        <v>50</v>
      </c>
      <c r="C8" s="1"/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56">
        <f t="shared" si="1"/>
        <v>6</v>
      </c>
      <c r="K8" s="55">
        <f t="shared" si="2"/>
        <v>0</v>
      </c>
      <c r="L8" s="69">
        <v>44179</v>
      </c>
      <c r="M8" s="69">
        <f t="shared" si="3"/>
        <v>44544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4">
      <c r="A9" s="1" t="s">
        <v>37</v>
      </c>
      <c r="B9" s="1">
        <v>50</v>
      </c>
      <c r="C9" s="1"/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56">
        <f t="shared" si="1"/>
        <v>6</v>
      </c>
      <c r="K9" s="55">
        <f t="shared" si="2"/>
        <v>0</v>
      </c>
      <c r="L9" s="69">
        <v>44180</v>
      </c>
      <c r="M9" s="69">
        <f t="shared" si="3"/>
        <v>44545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4">
      <c r="A10" s="1" t="s">
        <v>36</v>
      </c>
      <c r="B10" s="1">
        <v>50</v>
      </c>
      <c r="C10" s="1"/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56">
        <f t="shared" si="1"/>
        <v>6</v>
      </c>
      <c r="K10" s="55">
        <f t="shared" si="2"/>
        <v>0</v>
      </c>
      <c r="L10" s="69">
        <v>44181</v>
      </c>
      <c r="M10" s="69">
        <f t="shared" si="3"/>
        <v>44546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4">
      <c r="A11" s="1" t="s">
        <v>35</v>
      </c>
      <c r="B11" s="1">
        <v>50</v>
      </c>
      <c r="C11" s="1">
        <f t="shared" si="0"/>
        <v>250</v>
      </c>
      <c r="D11" s="2">
        <v>0</v>
      </c>
      <c r="E11" s="68">
        <v>44238</v>
      </c>
      <c r="F11" s="97">
        <v>44257</v>
      </c>
      <c r="G11" s="97">
        <v>44267</v>
      </c>
      <c r="H11" s="155">
        <v>44287</v>
      </c>
      <c r="I11" s="2">
        <v>1</v>
      </c>
      <c r="J11" s="56">
        <f t="shared" si="1"/>
        <v>1</v>
      </c>
      <c r="K11" s="55">
        <f t="shared" si="2"/>
        <v>41.666666666666664</v>
      </c>
      <c r="L11" s="69">
        <v>44182</v>
      </c>
      <c r="M11" s="69">
        <f t="shared" si="3"/>
        <v>44547</v>
      </c>
      <c r="N11" s="96" t="s">
        <v>150</v>
      </c>
      <c r="O11" s="106" t="s">
        <v>158</v>
      </c>
      <c r="P11" s="107" t="s">
        <v>158</v>
      </c>
      <c r="Q11" s="115" t="s">
        <v>233</v>
      </c>
      <c r="R11" s="1"/>
      <c r="S11" s="1"/>
      <c r="T11" s="1"/>
      <c r="U11" s="1"/>
      <c r="V11" s="1"/>
      <c r="W11" s="1"/>
      <c r="X11" s="1"/>
      <c r="Y11" s="1"/>
    </row>
    <row r="12" spans="1:25" s="40" customFormat="1" x14ac:dyDescent="0.4">
      <c r="A12" s="193" t="s">
        <v>40</v>
      </c>
      <c r="B12" s="193">
        <v>50</v>
      </c>
      <c r="C12" s="193">
        <f t="shared" ref="C12" si="4">SUM(B12*5)</f>
        <v>250</v>
      </c>
      <c r="D12" s="195">
        <v>0</v>
      </c>
      <c r="E12" s="194">
        <v>44303</v>
      </c>
      <c r="F12" s="195">
        <v>1</v>
      </c>
      <c r="G12" s="195">
        <v>1</v>
      </c>
      <c r="H12" s="195">
        <v>1</v>
      </c>
      <c r="I12" s="195">
        <v>1</v>
      </c>
      <c r="J12" s="196">
        <f>COUNTIF(D12:I12,"1")</f>
        <v>4</v>
      </c>
      <c r="K12" s="201">
        <f>J12*(C12/6)</f>
        <v>166.66666666666666</v>
      </c>
      <c r="L12" s="202">
        <v>44182</v>
      </c>
      <c r="M12" s="202">
        <f>L12+365</f>
        <v>44547</v>
      </c>
      <c r="N12" s="187"/>
      <c r="O12" s="121" t="s">
        <v>292</v>
      </c>
      <c r="P12" s="187"/>
      <c r="Q12" s="187"/>
      <c r="R12" s="187"/>
      <c r="S12" s="187"/>
      <c r="T12" s="187"/>
      <c r="U12" s="187"/>
      <c r="V12" s="187"/>
      <c r="W12" s="187"/>
      <c r="X12" s="187"/>
      <c r="Y12" s="187"/>
    </row>
    <row r="13" spans="1:25" x14ac:dyDescent="0.4">
      <c r="A13" s="1"/>
      <c r="B13" s="1"/>
      <c r="C13" s="1"/>
      <c r="D13" s="2"/>
      <c r="E13" s="2"/>
      <c r="F13" s="2"/>
      <c r="G13" s="2"/>
      <c r="H13" s="2"/>
      <c r="I13" s="2"/>
      <c r="J13" s="3"/>
      <c r="K13" s="2"/>
      <c r="L13" s="4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4">
      <c r="A14" s="1"/>
      <c r="B14" s="1"/>
      <c r="C14" s="1"/>
      <c r="D14" s="2"/>
      <c r="E14" s="2"/>
      <c r="F14" s="2"/>
      <c r="G14" s="2"/>
      <c r="H14" s="2"/>
      <c r="I14" s="2"/>
      <c r="J14" s="3"/>
      <c r="K14" s="2"/>
      <c r="L14" s="4"/>
      <c r="M14" s="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4">
      <c r="A15" s="1"/>
      <c r="B15" s="1"/>
      <c r="C15" s="1"/>
      <c r="D15" s="2"/>
      <c r="E15" s="2"/>
      <c r="F15" s="2"/>
      <c r="G15" s="2"/>
      <c r="H15" s="2"/>
      <c r="I15" s="2"/>
      <c r="J15" s="3"/>
      <c r="K15" s="2"/>
      <c r="L15" s="4"/>
      <c r="M15" s="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4">
      <c r="A16" s="1"/>
      <c r="B16" s="1"/>
      <c r="C16" s="1"/>
      <c r="D16" s="2"/>
      <c r="E16" s="2"/>
      <c r="F16" s="2"/>
      <c r="G16" s="2"/>
      <c r="H16" s="2"/>
      <c r="I16" s="2"/>
      <c r="J16" s="3"/>
      <c r="K16" s="2"/>
      <c r="L16" s="4"/>
      <c r="M16" s="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4">
      <c r="A17" s="1"/>
      <c r="B17" s="1"/>
      <c r="C17" s="1"/>
      <c r="D17" s="2"/>
      <c r="E17" s="2"/>
      <c r="F17" s="2"/>
      <c r="G17" s="2"/>
      <c r="H17" s="2"/>
      <c r="I17" s="2"/>
      <c r="J17" s="3"/>
      <c r="K17" s="2"/>
      <c r="L17" s="4"/>
      <c r="M17" s="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4">
      <c r="A18" s="1"/>
      <c r="B18" s="1"/>
      <c r="C18" s="1"/>
      <c r="D18" s="2"/>
      <c r="E18" s="2"/>
      <c r="F18" s="2"/>
      <c r="G18" s="2"/>
      <c r="H18" s="2"/>
      <c r="I18" s="2"/>
      <c r="J18" s="3"/>
      <c r="K18" s="2"/>
      <c r="L18" s="4"/>
      <c r="M18" s="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4">
      <c r="A19" s="1"/>
      <c r="B19" s="1"/>
      <c r="C19" s="1"/>
      <c r="D19" s="2"/>
      <c r="E19" s="2"/>
      <c r="F19" s="2"/>
      <c r="G19" s="2"/>
      <c r="H19" s="2"/>
      <c r="I19" s="2"/>
      <c r="J19" s="3"/>
      <c r="K19" s="2"/>
      <c r="L19" s="4"/>
      <c r="M19" s="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4">
      <c r="A20" s="1"/>
      <c r="B20" s="1"/>
      <c r="C20" s="1"/>
      <c r="D20" s="2"/>
      <c r="E20" s="2"/>
      <c r="F20" s="2"/>
      <c r="G20" s="2"/>
      <c r="H20" s="2"/>
      <c r="I20" s="2"/>
      <c r="J20" s="3"/>
      <c r="K20" s="2"/>
      <c r="L20" s="4"/>
      <c r="M20" s="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4">
      <c r="A21" s="1"/>
      <c r="B21" s="1"/>
      <c r="C21" s="1"/>
      <c r="D21" s="2"/>
      <c r="E21" s="2"/>
      <c r="F21" s="2"/>
      <c r="G21" s="2"/>
      <c r="H21" s="2"/>
      <c r="I21" s="2"/>
      <c r="J21" s="3"/>
      <c r="K21" s="2"/>
      <c r="L21" s="4"/>
      <c r="M21" s="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4">
      <c r="A22" s="1"/>
      <c r="B22" s="1"/>
      <c r="C22" s="1"/>
      <c r="D22" s="2"/>
      <c r="E22" s="2"/>
      <c r="F22" s="2"/>
      <c r="G22" s="2"/>
      <c r="H22" s="2"/>
      <c r="I22" s="2"/>
      <c r="J22" s="3"/>
      <c r="K22" s="2"/>
      <c r="L22" s="4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4">
      <c r="A23" s="1"/>
      <c r="B23" s="1"/>
      <c r="C23" s="1"/>
      <c r="D23" s="2"/>
      <c r="E23" s="2"/>
      <c r="F23" s="2"/>
      <c r="G23" s="2"/>
      <c r="H23" s="2"/>
      <c r="I23" s="2"/>
      <c r="J23" s="3"/>
      <c r="K23" s="2"/>
      <c r="L23" s="4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4">
      <c r="A24" s="1"/>
      <c r="B24" s="1"/>
      <c r="C24" s="1"/>
      <c r="D24" s="2"/>
      <c r="E24" s="2"/>
      <c r="F24" s="2"/>
      <c r="G24" s="2"/>
      <c r="H24" s="2"/>
      <c r="I24" s="2"/>
      <c r="J24" s="3"/>
      <c r="K24" s="2"/>
      <c r="L24" s="4"/>
      <c r="M24" s="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4">
      <c r="A25" s="1"/>
      <c r="B25" s="1"/>
      <c r="C25" s="1"/>
      <c r="D25" s="2"/>
      <c r="E25" s="2"/>
      <c r="F25" s="2"/>
      <c r="G25" s="2"/>
      <c r="H25" s="2"/>
      <c r="I25" s="2"/>
      <c r="J25" s="3"/>
      <c r="K25" s="2"/>
      <c r="L25" s="4"/>
      <c r="M25" s="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4">
      <c r="A26" s="1"/>
      <c r="B26" s="1"/>
      <c r="C26" s="1"/>
      <c r="D26" s="2"/>
      <c r="E26" s="2"/>
      <c r="F26" s="2"/>
      <c r="G26" s="2"/>
      <c r="H26" s="2"/>
      <c r="I26" s="2"/>
      <c r="J26" s="3"/>
      <c r="K26" s="2"/>
      <c r="L26" s="4"/>
      <c r="M26" s="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4">
      <c r="A27" s="1"/>
      <c r="B27" s="1"/>
      <c r="C27" s="1"/>
      <c r="D27" s="2"/>
      <c r="E27" s="2"/>
      <c r="F27" s="2"/>
      <c r="G27" s="2"/>
      <c r="H27" s="2"/>
      <c r="I27" s="2"/>
      <c r="J27" s="3"/>
      <c r="K27" s="2"/>
      <c r="L27" s="4"/>
      <c r="M27" s="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4">
      <c r="A28" s="1"/>
      <c r="B28" s="1"/>
      <c r="C28" s="1"/>
      <c r="D28" s="2"/>
      <c r="E28" s="2"/>
      <c r="F28" s="2"/>
      <c r="G28" s="2"/>
      <c r="H28" s="2"/>
      <c r="I28" s="2"/>
      <c r="J28" s="3"/>
      <c r="K28" s="2"/>
      <c r="L28" s="4"/>
      <c r="M28" s="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4">
      <c r="A29" s="1"/>
      <c r="B29" s="1"/>
      <c r="C29" s="1"/>
      <c r="D29" s="2"/>
      <c r="E29" s="2"/>
      <c r="F29" s="2"/>
      <c r="G29" s="2"/>
      <c r="H29" s="2"/>
      <c r="I29" s="2"/>
      <c r="J29" s="3"/>
      <c r="K29" s="2"/>
      <c r="L29" s="4"/>
      <c r="M29" s="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4">
      <c r="A30" s="1"/>
      <c r="B30" s="1"/>
      <c r="C30" s="1"/>
      <c r="D30" s="2"/>
      <c r="E30" s="2"/>
      <c r="F30" s="2"/>
      <c r="G30" s="2"/>
      <c r="H30" s="2"/>
      <c r="I30" s="2"/>
      <c r="J30" s="3"/>
      <c r="K30" s="2"/>
      <c r="L30" s="4"/>
      <c r="M30" s="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4">
      <c r="A31" s="1"/>
      <c r="B31" s="1"/>
      <c r="C31" s="1"/>
      <c r="D31" s="2"/>
      <c r="E31" s="2"/>
      <c r="F31" s="2"/>
      <c r="G31" s="2"/>
      <c r="H31" s="2"/>
      <c r="I31" s="2"/>
      <c r="J31" s="3"/>
      <c r="K31" s="2"/>
      <c r="L31" s="4"/>
      <c r="M31" s="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4">
      <c r="A32" s="1"/>
      <c r="B32" s="1"/>
      <c r="C32" s="1"/>
      <c r="D32" s="2"/>
      <c r="E32" s="2"/>
      <c r="F32" s="2"/>
      <c r="G32" s="2"/>
      <c r="H32" s="2"/>
      <c r="I32" s="2"/>
      <c r="J32" s="3"/>
      <c r="K32" s="2"/>
      <c r="L32" s="4"/>
      <c r="M32" s="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4">
      <c r="A33" s="1"/>
      <c r="B33" s="1"/>
      <c r="C33" s="1"/>
      <c r="D33" s="2"/>
      <c r="E33" s="2"/>
      <c r="F33" s="2"/>
      <c r="G33" s="2"/>
      <c r="H33" s="2"/>
      <c r="I33" s="2"/>
      <c r="J33" s="3"/>
      <c r="K33" s="2"/>
      <c r="L33" s="4"/>
      <c r="M33" s="4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4">
      <c r="A34" s="1"/>
      <c r="B34" s="1"/>
      <c r="C34" s="1"/>
      <c r="D34" s="2"/>
      <c r="E34" s="2"/>
      <c r="F34" s="2"/>
      <c r="G34" s="2"/>
      <c r="H34" s="2"/>
      <c r="I34" s="2"/>
      <c r="J34" s="3"/>
      <c r="K34" s="2"/>
      <c r="L34" s="4"/>
      <c r="M34" s="4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4">
      <c r="A35" s="1"/>
      <c r="B35" s="1"/>
      <c r="C35" s="1"/>
      <c r="D35" s="2"/>
      <c r="E35" s="2"/>
      <c r="F35" s="2"/>
      <c r="G35" s="2"/>
      <c r="H35" s="2"/>
      <c r="I35" s="2"/>
      <c r="J35" s="3"/>
      <c r="K35" s="2"/>
      <c r="L35" s="4"/>
      <c r="M35" s="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4">
      <c r="A36" s="1"/>
      <c r="B36" s="1"/>
      <c r="C36" s="1"/>
      <c r="D36" s="2"/>
      <c r="E36" s="2"/>
      <c r="F36" s="2"/>
      <c r="G36" s="2"/>
      <c r="H36" s="2"/>
      <c r="I36" s="2"/>
      <c r="J36" s="3"/>
      <c r="K36" s="2"/>
      <c r="L36" s="4"/>
      <c r="M36" s="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4">
      <c r="A37" s="1"/>
      <c r="B37" s="1"/>
      <c r="C37" s="1"/>
      <c r="D37" s="2"/>
      <c r="E37" s="2"/>
      <c r="F37" s="2"/>
      <c r="G37" s="2"/>
      <c r="H37" s="2"/>
      <c r="I37" s="2"/>
      <c r="J37" s="3"/>
      <c r="K37" s="2"/>
      <c r="L37" s="4"/>
      <c r="M37" s="4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4">
      <c r="A38" s="1"/>
      <c r="B38" s="1"/>
      <c r="C38" s="1"/>
      <c r="D38" s="2"/>
      <c r="E38" s="2"/>
      <c r="F38" s="2"/>
      <c r="G38" s="2"/>
      <c r="H38" s="2"/>
      <c r="I38" s="2"/>
      <c r="J38" s="3"/>
      <c r="K38" s="2"/>
      <c r="L38" s="4"/>
      <c r="M38" s="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4">
      <c r="A39" s="1"/>
      <c r="B39" s="1"/>
      <c r="C39" s="1"/>
      <c r="D39" s="2"/>
      <c r="E39" s="2"/>
      <c r="F39" s="2"/>
      <c r="G39" s="2"/>
      <c r="H39" s="2"/>
      <c r="I39" s="2"/>
      <c r="J39" s="3"/>
      <c r="K39" s="2"/>
      <c r="L39" s="4"/>
      <c r="M39" s="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4">
      <c r="A40" s="1"/>
      <c r="B40" s="1"/>
      <c r="C40" s="1"/>
      <c r="D40" s="2"/>
      <c r="E40" s="2"/>
      <c r="F40" s="2"/>
      <c r="G40" s="2"/>
      <c r="H40" s="2"/>
      <c r="I40" s="2"/>
      <c r="J40" s="3"/>
      <c r="K40" s="2"/>
      <c r="L40" s="4"/>
      <c r="M40" s="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4">
      <c r="A41" s="1"/>
      <c r="B41" s="1"/>
      <c r="C41" s="1"/>
      <c r="D41" s="2"/>
      <c r="E41" s="2"/>
      <c r="F41" s="2"/>
      <c r="G41" s="2"/>
      <c r="H41" s="2"/>
      <c r="I41" s="2"/>
      <c r="J41" s="3"/>
      <c r="K41" s="2"/>
      <c r="L41" s="4"/>
      <c r="M41" s="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4">
      <c r="A42" s="1"/>
      <c r="B42" s="1"/>
      <c r="C42" s="1"/>
      <c r="D42" s="2"/>
      <c r="E42" s="2"/>
      <c r="F42" s="2"/>
      <c r="G42" s="2"/>
      <c r="H42" s="2"/>
      <c r="I42" s="2"/>
      <c r="J42" s="3"/>
      <c r="K42" s="2"/>
      <c r="L42" s="4"/>
      <c r="M42" s="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4">
      <c r="A43" s="1"/>
      <c r="B43" s="1"/>
      <c r="C43" s="1"/>
      <c r="D43" s="2"/>
      <c r="E43" s="2"/>
      <c r="F43" s="2"/>
      <c r="G43" s="2"/>
      <c r="H43" s="2"/>
      <c r="I43" s="2"/>
      <c r="J43" s="3"/>
      <c r="K43" s="2"/>
      <c r="L43" s="4"/>
      <c r="M43" s="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4">
      <c r="A44" s="1"/>
      <c r="B44" s="1"/>
      <c r="C44" s="1"/>
      <c r="D44" s="2"/>
      <c r="E44" s="2"/>
      <c r="F44" s="2"/>
      <c r="G44" s="2"/>
      <c r="H44" s="2"/>
      <c r="I44" s="2"/>
      <c r="J44" s="3"/>
      <c r="K44" s="2"/>
      <c r="L44" s="4"/>
      <c r="M44" s="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4">
      <c r="A45" s="1"/>
      <c r="B45" s="1"/>
      <c r="C45" s="1"/>
      <c r="D45" s="2"/>
      <c r="E45" s="2"/>
      <c r="F45" s="2"/>
      <c r="G45" s="2"/>
      <c r="H45" s="2"/>
      <c r="I45" s="2"/>
      <c r="J45" s="3"/>
      <c r="K45" s="2"/>
      <c r="L45" s="4"/>
      <c r="M45" s="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4">
      <c r="A46" s="1"/>
      <c r="B46" s="1"/>
      <c r="C46" s="1"/>
      <c r="D46" s="2"/>
      <c r="E46" s="2"/>
      <c r="F46" s="2"/>
      <c r="G46" s="2"/>
      <c r="H46" s="2"/>
      <c r="I46" s="2"/>
      <c r="J46" s="3"/>
      <c r="K46" s="2"/>
      <c r="L46" s="4"/>
      <c r="M46" s="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4">
      <c r="A47" s="286"/>
      <c r="B47" s="279"/>
      <c r="C47" s="279"/>
      <c r="D47" s="2"/>
      <c r="E47" s="2"/>
      <c r="F47" s="2"/>
      <c r="G47" s="2"/>
      <c r="H47" s="2"/>
      <c r="I47" s="2"/>
      <c r="J47" s="287"/>
      <c r="K47" s="287"/>
      <c r="L47" s="288"/>
      <c r="M47" s="288"/>
      <c r="N47" s="289"/>
      <c r="O47" s="289"/>
      <c r="P47" s="289"/>
      <c r="Q47" s="289"/>
      <c r="R47" s="289"/>
      <c r="S47" s="289"/>
      <c r="T47" s="289"/>
      <c r="U47" s="289"/>
      <c r="V47" s="1"/>
      <c r="W47" s="1"/>
      <c r="X47" s="1"/>
      <c r="Y47" s="1"/>
    </row>
    <row r="48" spans="1:25" x14ac:dyDescent="0.4">
      <c r="A48" s="286"/>
      <c r="B48" s="279"/>
      <c r="C48" s="279"/>
      <c r="D48" s="2"/>
      <c r="E48" s="2"/>
      <c r="F48" s="2"/>
      <c r="G48" s="2"/>
      <c r="H48" s="2"/>
      <c r="I48" s="2"/>
      <c r="J48" s="287"/>
      <c r="K48" s="287"/>
      <c r="L48" s="288"/>
      <c r="M48" s="288"/>
      <c r="N48" s="289"/>
      <c r="O48" s="289"/>
      <c r="P48" s="289"/>
      <c r="Q48" s="289"/>
      <c r="R48" s="289"/>
      <c r="S48" s="289"/>
      <c r="T48" s="289"/>
      <c r="U48" s="289"/>
      <c r="V48" s="1"/>
      <c r="W48" s="1"/>
      <c r="X48" s="1"/>
      <c r="Y48" s="1"/>
    </row>
    <row r="49" spans="1:25" x14ac:dyDescent="0.4">
      <c r="A49" s="1"/>
      <c r="B49" s="1"/>
      <c r="C49" s="1"/>
      <c r="D49" s="2"/>
      <c r="E49" s="2"/>
      <c r="F49" s="2"/>
      <c r="G49" s="2"/>
      <c r="H49" s="2"/>
      <c r="I49" s="2"/>
      <c r="J49" s="3"/>
      <c r="K49" s="2"/>
      <c r="L49" s="4"/>
      <c r="M49" s="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4">
      <c r="A50" s="1"/>
      <c r="B50" s="1"/>
      <c r="C50" s="1"/>
      <c r="D50" s="2"/>
      <c r="E50" s="2"/>
      <c r="F50" s="2"/>
      <c r="G50" s="2"/>
      <c r="H50" s="2"/>
      <c r="I50" s="2"/>
      <c r="J50" s="3"/>
      <c r="K50" s="2"/>
      <c r="L50" s="4"/>
      <c r="M50" s="4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4">
      <c r="A51" s="1"/>
      <c r="B51" s="1"/>
      <c r="C51" s="1"/>
      <c r="D51" s="2"/>
      <c r="E51" s="2"/>
      <c r="F51" s="2"/>
      <c r="G51" s="2"/>
      <c r="H51" s="2"/>
      <c r="I51" s="2"/>
      <c r="J51" s="3"/>
      <c r="K51" s="2"/>
      <c r="L51" s="4"/>
      <c r="M51" s="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4">
      <c r="A52" s="1"/>
      <c r="B52" s="1"/>
      <c r="C52" s="1"/>
      <c r="D52" s="2"/>
      <c r="E52" s="2"/>
      <c r="F52" s="2"/>
      <c r="G52" s="2"/>
      <c r="H52" s="2"/>
      <c r="I52" s="2"/>
      <c r="J52" s="3"/>
      <c r="K52" s="2"/>
      <c r="L52" s="4"/>
      <c r="M52" s="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4">
      <c r="A53" s="1"/>
      <c r="B53" s="1"/>
      <c r="C53" s="1"/>
      <c r="D53" s="2"/>
      <c r="E53" s="2"/>
      <c r="F53" s="2"/>
      <c r="G53" s="2"/>
      <c r="H53" s="2"/>
      <c r="I53" s="2"/>
      <c r="J53" s="3"/>
      <c r="K53" s="2"/>
      <c r="L53" s="4"/>
      <c r="M53" s="4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4">
      <c r="A54" s="1"/>
      <c r="B54" s="1"/>
      <c r="C54" s="1"/>
      <c r="D54" s="2"/>
      <c r="E54" s="2"/>
      <c r="F54" s="2"/>
      <c r="G54" s="2"/>
      <c r="H54" s="2"/>
      <c r="I54" s="2"/>
      <c r="J54" s="3"/>
      <c r="K54" s="2"/>
      <c r="L54" s="4"/>
      <c r="M54" s="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4">
      <c r="A55" s="1"/>
      <c r="B55" s="1"/>
      <c r="C55" s="1"/>
      <c r="D55" s="2"/>
      <c r="E55" s="2"/>
      <c r="F55" s="2"/>
      <c r="G55" s="2"/>
      <c r="H55" s="2"/>
      <c r="I55" s="2"/>
      <c r="J55" s="3"/>
      <c r="K55" s="2"/>
      <c r="L55" s="4"/>
      <c r="M55" s="4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4">
      <c r="A56" s="1"/>
      <c r="B56" s="1"/>
      <c r="C56" s="1"/>
      <c r="D56" s="2"/>
      <c r="E56" s="2"/>
      <c r="F56" s="2"/>
      <c r="G56" s="2"/>
      <c r="H56" s="2"/>
      <c r="I56" s="2"/>
      <c r="J56" s="3"/>
      <c r="K56" s="2"/>
      <c r="L56" s="4"/>
      <c r="M56" s="4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4">
      <c r="A57" s="1"/>
      <c r="B57" s="1"/>
      <c r="C57" s="1"/>
      <c r="D57" s="2"/>
      <c r="E57" s="2"/>
      <c r="F57" s="2"/>
      <c r="G57" s="2"/>
      <c r="H57" s="2"/>
      <c r="I57" s="2"/>
      <c r="J57" s="3"/>
      <c r="K57" s="2"/>
      <c r="L57" s="4"/>
      <c r="M57" s="4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4">
      <c r="A58" s="1"/>
      <c r="B58" s="1"/>
      <c r="C58" s="1"/>
      <c r="D58" s="2"/>
      <c r="E58" s="2"/>
      <c r="F58" s="2"/>
      <c r="G58" s="2"/>
      <c r="H58" s="2"/>
      <c r="I58" s="2"/>
      <c r="J58" s="3"/>
      <c r="K58" s="2"/>
      <c r="L58" s="4"/>
      <c r="M58" s="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4">
      <c r="A59" s="1"/>
      <c r="B59" s="1"/>
      <c r="C59" s="1"/>
      <c r="D59" s="2"/>
      <c r="E59" s="2"/>
      <c r="F59" s="2"/>
      <c r="G59" s="2"/>
      <c r="H59" s="2"/>
      <c r="I59" s="2"/>
      <c r="J59" s="3"/>
      <c r="K59" s="2"/>
      <c r="L59" s="4"/>
      <c r="M59" s="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4">
      <c r="A60" s="1"/>
      <c r="B60" s="1"/>
      <c r="C60" s="1"/>
      <c r="D60" s="2"/>
      <c r="E60" s="2"/>
      <c r="F60" s="2"/>
      <c r="G60" s="2"/>
      <c r="H60" s="2"/>
      <c r="I60" s="2"/>
      <c r="J60" s="3"/>
      <c r="K60" s="2"/>
      <c r="L60" s="4"/>
      <c r="M60" s="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4">
      <c r="A61" s="1"/>
      <c r="B61" s="1"/>
      <c r="C61" s="1"/>
      <c r="D61" s="2"/>
      <c r="E61" s="2"/>
      <c r="F61" s="2"/>
      <c r="G61" s="2"/>
      <c r="H61" s="2"/>
      <c r="I61" s="2"/>
      <c r="J61" s="3"/>
      <c r="K61" s="2"/>
      <c r="L61" s="4"/>
      <c r="M61" s="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4">
      <c r="A62" s="1"/>
      <c r="B62" s="1"/>
      <c r="C62" s="1"/>
      <c r="D62" s="2"/>
      <c r="E62" s="2"/>
      <c r="F62" s="2"/>
      <c r="G62" s="2"/>
      <c r="H62" s="2"/>
      <c r="I62" s="2"/>
      <c r="J62" s="3"/>
      <c r="K62" s="2"/>
      <c r="L62" s="4"/>
      <c r="M62" s="4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4">
      <c r="A63" s="1"/>
      <c r="B63" s="1"/>
      <c r="C63" s="1"/>
      <c r="D63" s="2"/>
      <c r="E63" s="2"/>
      <c r="F63" s="2"/>
      <c r="G63" s="2"/>
      <c r="H63" s="2"/>
      <c r="I63" s="2"/>
      <c r="J63" s="3"/>
      <c r="K63" s="2"/>
      <c r="L63" s="4"/>
      <c r="M63" s="4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4">
      <c r="A64" s="1"/>
      <c r="B64" s="1"/>
      <c r="C64" s="1"/>
      <c r="D64" s="2"/>
      <c r="E64" s="2"/>
      <c r="F64" s="2"/>
      <c r="G64" s="2"/>
      <c r="H64" s="2"/>
      <c r="I64" s="2"/>
      <c r="J64" s="3"/>
      <c r="K64" s="2"/>
      <c r="L64" s="4"/>
      <c r="M64" s="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4">
      <c r="A65" s="1"/>
      <c r="B65" s="1"/>
      <c r="C65" s="1"/>
      <c r="D65" s="2"/>
      <c r="E65" s="2"/>
      <c r="F65" s="2"/>
      <c r="G65" s="2"/>
      <c r="H65" s="2"/>
      <c r="I65" s="2"/>
      <c r="J65" s="3"/>
      <c r="K65" s="2"/>
      <c r="L65" s="4"/>
      <c r="M65" s="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4">
      <c r="A66" s="1"/>
      <c r="B66" s="1"/>
      <c r="C66" s="1"/>
      <c r="D66" s="2"/>
      <c r="E66" s="2"/>
      <c r="F66" s="2"/>
      <c r="G66" s="2"/>
      <c r="H66" s="2"/>
      <c r="I66" s="2"/>
      <c r="J66" s="3"/>
      <c r="K66" s="2"/>
      <c r="L66" s="4"/>
      <c r="M66" s="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4">
      <c r="A67" s="1"/>
      <c r="B67" s="1"/>
      <c r="C67" s="1"/>
      <c r="D67" s="2"/>
      <c r="E67" s="2"/>
      <c r="F67" s="2"/>
      <c r="G67" s="2"/>
      <c r="H67" s="2"/>
      <c r="I67" s="2"/>
      <c r="J67" s="3"/>
      <c r="K67" s="2"/>
      <c r="L67" s="4"/>
      <c r="M67" s="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4">
      <c r="A68" s="1"/>
      <c r="B68" s="1"/>
      <c r="C68" s="1"/>
      <c r="D68" s="2"/>
      <c r="E68" s="2"/>
      <c r="F68" s="2"/>
      <c r="G68" s="2"/>
      <c r="H68" s="2"/>
      <c r="I68" s="2"/>
      <c r="J68" s="3"/>
      <c r="K68" s="2"/>
      <c r="L68" s="4"/>
      <c r="M68" s="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4">
      <c r="A69" s="1"/>
      <c r="B69" s="1"/>
      <c r="C69" s="1"/>
      <c r="D69" s="2"/>
      <c r="E69" s="2"/>
      <c r="F69" s="2"/>
      <c r="G69" s="2"/>
      <c r="H69" s="2"/>
      <c r="I69" s="2"/>
      <c r="J69" s="3"/>
      <c r="K69" s="2"/>
      <c r="L69" s="4"/>
      <c r="M69" s="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4">
      <c r="A70" s="1"/>
      <c r="B70" s="1"/>
      <c r="C70" s="1"/>
      <c r="D70" s="2"/>
      <c r="E70" s="2"/>
      <c r="F70" s="2"/>
      <c r="G70" s="2"/>
      <c r="H70" s="2"/>
      <c r="I70" s="2"/>
      <c r="J70" s="3"/>
      <c r="K70" s="2"/>
      <c r="L70" s="4"/>
      <c r="M70" s="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4">
      <c r="A71" s="1"/>
      <c r="B71" s="1"/>
      <c r="C71" s="1"/>
      <c r="D71" s="2"/>
      <c r="E71" s="2"/>
      <c r="F71" s="2"/>
      <c r="G71" s="2"/>
      <c r="H71" s="2"/>
      <c r="I71" s="2"/>
      <c r="J71" s="3"/>
      <c r="K71" s="2"/>
      <c r="L71" s="4"/>
      <c r="M71" s="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4">
      <c r="A72" s="1"/>
      <c r="B72" s="1"/>
      <c r="C72" s="1"/>
      <c r="D72" s="2"/>
      <c r="E72" s="2"/>
      <c r="F72" s="2"/>
      <c r="G72" s="2"/>
      <c r="H72" s="2"/>
      <c r="I72" s="2"/>
      <c r="J72" s="3"/>
      <c r="K72" s="2"/>
      <c r="L72" s="4"/>
      <c r="M72" s="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4">
      <c r="A73" s="1"/>
      <c r="B73" s="1"/>
      <c r="C73" s="1"/>
      <c r="D73" s="2"/>
      <c r="E73" s="2"/>
      <c r="F73" s="2"/>
      <c r="G73" s="2"/>
      <c r="H73" s="2"/>
      <c r="I73" s="2"/>
      <c r="J73" s="3"/>
      <c r="K73" s="2"/>
      <c r="L73" s="4"/>
      <c r="M73" s="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4">
      <c r="A74" s="1"/>
      <c r="B74" s="1"/>
      <c r="C74" s="1"/>
      <c r="D74" s="2"/>
      <c r="E74" s="2"/>
      <c r="F74" s="2"/>
      <c r="G74" s="2"/>
      <c r="H74" s="2"/>
      <c r="I74" s="2"/>
      <c r="J74" s="3"/>
      <c r="K74" s="2"/>
      <c r="L74" s="4"/>
      <c r="M74" s="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4">
      <c r="A75" s="1"/>
      <c r="B75" s="1"/>
      <c r="C75" s="1"/>
      <c r="D75" s="2"/>
      <c r="E75" s="2"/>
      <c r="F75" s="2"/>
      <c r="G75" s="2"/>
      <c r="H75" s="2"/>
      <c r="I75" s="2"/>
      <c r="J75" s="3"/>
      <c r="K75" s="2"/>
      <c r="L75" s="4"/>
      <c r="M75" s="4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4">
      <c r="A76" s="1"/>
      <c r="B76" s="1"/>
      <c r="C76" s="1"/>
      <c r="D76" s="2"/>
      <c r="E76" s="2"/>
      <c r="F76" s="2"/>
      <c r="G76" s="2"/>
      <c r="H76" s="2"/>
      <c r="I76" s="2"/>
      <c r="J76" s="3"/>
      <c r="K76" s="2"/>
      <c r="L76" s="4"/>
      <c r="M76" s="4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4">
      <c r="A77" s="1"/>
      <c r="B77" s="1"/>
      <c r="C77" s="1"/>
      <c r="D77" s="2"/>
      <c r="E77" s="2"/>
      <c r="F77" s="2"/>
      <c r="G77" s="2"/>
      <c r="H77" s="2"/>
      <c r="I77" s="2"/>
      <c r="J77" s="3"/>
      <c r="K77" s="2"/>
      <c r="L77" s="4"/>
      <c r="M77" s="4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4">
      <c r="A78" s="1"/>
      <c r="B78" s="1"/>
      <c r="C78" s="1"/>
      <c r="D78" s="2"/>
      <c r="E78" s="2"/>
      <c r="F78" s="2"/>
      <c r="G78" s="2"/>
      <c r="H78" s="2"/>
      <c r="I78" s="2"/>
      <c r="J78" s="3"/>
      <c r="K78" s="2"/>
      <c r="L78" s="4"/>
      <c r="M78" s="4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4">
      <c r="A79" s="1"/>
      <c r="B79" s="1"/>
      <c r="C79" s="1"/>
      <c r="D79" s="2"/>
      <c r="E79" s="2"/>
      <c r="F79" s="2"/>
      <c r="G79" s="2"/>
      <c r="H79" s="2"/>
      <c r="I79" s="2"/>
      <c r="J79" s="3"/>
      <c r="K79" s="2"/>
      <c r="L79" s="4"/>
      <c r="M79" s="4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4">
      <c r="A80" s="1"/>
      <c r="B80" s="1"/>
      <c r="C80" s="1"/>
      <c r="D80" s="2"/>
      <c r="E80" s="2"/>
      <c r="F80" s="2"/>
      <c r="G80" s="2"/>
      <c r="H80" s="2"/>
      <c r="I80" s="2"/>
      <c r="J80" s="3"/>
      <c r="K80" s="2"/>
      <c r="L80" s="4"/>
      <c r="M80" s="4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4">
      <c r="A81" s="1"/>
      <c r="B81" s="1"/>
      <c r="C81" s="1"/>
      <c r="D81" s="2"/>
      <c r="E81" s="2"/>
      <c r="F81" s="2"/>
      <c r="G81" s="2"/>
      <c r="H81" s="2"/>
      <c r="I81" s="2"/>
      <c r="J81" s="3"/>
      <c r="K81" s="2"/>
      <c r="L81" s="4"/>
      <c r="M81" s="4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4">
      <c r="A82" s="1"/>
      <c r="B82" s="1"/>
      <c r="C82" s="1"/>
      <c r="D82" s="2"/>
      <c r="E82" s="2"/>
      <c r="F82" s="2"/>
      <c r="G82" s="2"/>
      <c r="H82" s="2"/>
      <c r="I82" s="2"/>
      <c r="J82" s="3"/>
      <c r="K82" s="2"/>
      <c r="L82" s="4"/>
      <c r="M82" s="4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4">
      <c r="A83" s="1"/>
      <c r="B83" s="1"/>
      <c r="C83" s="1"/>
      <c r="D83" s="2"/>
      <c r="E83" s="2"/>
      <c r="F83" s="2"/>
      <c r="G83" s="2"/>
      <c r="H83" s="2"/>
      <c r="I83" s="2"/>
      <c r="J83" s="3"/>
      <c r="K83" s="2"/>
      <c r="L83" s="4"/>
      <c r="M83" s="4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4">
      <c r="A84" s="1"/>
      <c r="B84" s="1"/>
      <c r="C84" s="1"/>
      <c r="D84" s="2"/>
      <c r="E84" s="2"/>
      <c r="F84" s="2"/>
      <c r="G84" s="2"/>
      <c r="H84" s="2"/>
      <c r="I84" s="2"/>
      <c r="J84" s="3"/>
      <c r="K84" s="2"/>
      <c r="L84" s="4"/>
      <c r="M84" s="4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4">
      <c r="A85" s="1"/>
      <c r="B85" s="1"/>
      <c r="C85" s="1"/>
      <c r="D85" s="2"/>
      <c r="E85" s="2"/>
      <c r="F85" s="2"/>
      <c r="G85" s="2"/>
      <c r="H85" s="2"/>
      <c r="I85" s="2"/>
      <c r="J85" s="3"/>
      <c r="K85" s="2"/>
      <c r="L85" s="4"/>
      <c r="M85" s="4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4">
      <c r="A86" s="1"/>
      <c r="B86" s="1"/>
      <c r="C86" s="1"/>
      <c r="D86" s="2"/>
      <c r="E86" s="2"/>
      <c r="F86" s="2"/>
      <c r="G86" s="2"/>
      <c r="H86" s="2"/>
      <c r="I86" s="2"/>
      <c r="J86" s="3"/>
      <c r="K86" s="2"/>
      <c r="L86" s="4"/>
      <c r="M86" s="4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4">
      <c r="A87" s="1"/>
      <c r="B87" s="1"/>
      <c r="C87" s="1"/>
      <c r="D87" s="2"/>
      <c r="E87" s="2"/>
      <c r="F87" s="2"/>
      <c r="G87" s="2"/>
      <c r="H87" s="2"/>
      <c r="I87" s="2"/>
      <c r="J87" s="3"/>
      <c r="K87" s="2"/>
      <c r="L87" s="4"/>
      <c r="M87" s="4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4">
      <c r="A88" s="1"/>
      <c r="B88" s="1"/>
      <c r="C88" s="1"/>
      <c r="D88" s="2"/>
      <c r="E88" s="2"/>
      <c r="F88" s="2"/>
      <c r="G88" s="2"/>
      <c r="H88" s="2"/>
      <c r="I88" s="2"/>
      <c r="J88" s="3"/>
      <c r="K88" s="2"/>
      <c r="L88" s="4"/>
      <c r="M88" s="4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4">
      <c r="A89" s="1"/>
      <c r="B89" s="1"/>
      <c r="C89" s="1"/>
      <c r="D89" s="2"/>
      <c r="E89" s="2"/>
      <c r="F89" s="2"/>
      <c r="G89" s="2"/>
      <c r="H89" s="2"/>
      <c r="I89" s="2"/>
      <c r="J89" s="3"/>
      <c r="K89" s="2"/>
      <c r="L89" s="4"/>
      <c r="M89" s="4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4">
      <c r="A90" s="1"/>
      <c r="B90" s="1"/>
      <c r="C90" s="1"/>
      <c r="D90" s="2"/>
      <c r="E90" s="2"/>
      <c r="F90" s="2"/>
      <c r="G90" s="2"/>
      <c r="H90" s="2"/>
      <c r="I90" s="2"/>
      <c r="J90" s="3"/>
      <c r="K90" s="2"/>
      <c r="L90" s="4"/>
      <c r="M90" s="4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4">
      <c r="A91" s="1"/>
      <c r="B91" s="1"/>
      <c r="C91" s="1"/>
      <c r="D91" s="2"/>
      <c r="E91" s="2"/>
      <c r="F91" s="2"/>
      <c r="G91" s="2"/>
      <c r="H91" s="2"/>
      <c r="I91" s="2"/>
      <c r="J91" s="3"/>
      <c r="K91" s="2"/>
      <c r="L91" s="4"/>
      <c r="M91" s="4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4">
      <c r="A92" s="1"/>
      <c r="B92" s="1"/>
      <c r="C92" s="1"/>
      <c r="D92" s="2"/>
      <c r="E92" s="2"/>
      <c r="F92" s="2"/>
      <c r="G92" s="2"/>
      <c r="H92" s="2"/>
      <c r="I92" s="2"/>
      <c r="J92" s="3"/>
      <c r="K92" s="2"/>
      <c r="L92" s="4"/>
      <c r="M92" s="4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4">
      <c r="A93" s="1"/>
      <c r="B93" s="1"/>
      <c r="C93" s="1"/>
      <c r="D93" s="2"/>
      <c r="E93" s="2"/>
      <c r="F93" s="2"/>
      <c r="G93" s="2"/>
      <c r="H93" s="2"/>
      <c r="I93" s="2"/>
      <c r="J93" s="3"/>
      <c r="K93" s="2"/>
      <c r="L93" s="4"/>
      <c r="M93" s="4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4">
      <c r="A94" s="1"/>
      <c r="B94" s="1"/>
      <c r="C94" s="1"/>
      <c r="D94" s="2"/>
      <c r="E94" s="2"/>
      <c r="F94" s="2"/>
      <c r="G94" s="2"/>
      <c r="H94" s="2"/>
      <c r="I94" s="2"/>
      <c r="J94" s="3"/>
      <c r="K94" s="2"/>
      <c r="L94" s="4"/>
      <c r="M94" s="4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4">
      <c r="A95" s="1"/>
      <c r="B95" s="1"/>
      <c r="C95" s="1"/>
      <c r="D95" s="2"/>
      <c r="E95" s="2"/>
      <c r="F95" s="2"/>
      <c r="G95" s="2"/>
      <c r="H95" s="2"/>
      <c r="I95" s="2"/>
      <c r="J95" s="3"/>
      <c r="K95" s="2"/>
      <c r="L95" s="4"/>
      <c r="M95" s="4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4">
      <c r="A96" s="1"/>
      <c r="B96" s="1"/>
      <c r="C96" s="1"/>
      <c r="D96" s="2"/>
      <c r="E96" s="2"/>
      <c r="F96" s="2"/>
      <c r="G96" s="2"/>
      <c r="H96" s="2"/>
      <c r="I96" s="2"/>
      <c r="J96" s="3"/>
      <c r="K96" s="2"/>
      <c r="L96" s="4"/>
      <c r="M96" s="4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4">
      <c r="A97" s="1"/>
      <c r="B97" s="1"/>
      <c r="C97" s="1"/>
      <c r="D97" s="2"/>
      <c r="E97" s="2"/>
      <c r="F97" s="2"/>
      <c r="G97" s="2"/>
      <c r="H97" s="2"/>
      <c r="I97" s="2"/>
      <c r="J97" s="3"/>
      <c r="K97" s="2"/>
      <c r="L97" s="4"/>
      <c r="M97" s="4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4">
      <c r="A98" s="1"/>
      <c r="B98" s="1"/>
      <c r="C98" s="1"/>
      <c r="D98" s="2"/>
      <c r="E98" s="2"/>
      <c r="F98" s="2"/>
      <c r="G98" s="2"/>
      <c r="H98" s="2"/>
      <c r="I98" s="2"/>
      <c r="J98" s="3"/>
      <c r="K98" s="2"/>
      <c r="L98" s="4"/>
      <c r="M98" s="4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4">
      <c r="A99" s="1"/>
      <c r="B99" s="1"/>
      <c r="C99" s="1"/>
      <c r="D99" s="2"/>
      <c r="E99" s="2"/>
      <c r="F99" s="2"/>
      <c r="G99" s="2"/>
      <c r="H99" s="2"/>
      <c r="I99" s="2"/>
      <c r="J99" s="3"/>
      <c r="K99" s="2"/>
      <c r="L99" s="4"/>
      <c r="M99" s="4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4">
      <c r="A100" s="1"/>
      <c r="B100" s="1"/>
      <c r="C100" s="1"/>
      <c r="D100" s="2"/>
      <c r="E100" s="2"/>
      <c r="F100" s="2"/>
      <c r="G100" s="2"/>
      <c r="H100" s="2"/>
      <c r="I100" s="2"/>
      <c r="J100" s="3"/>
      <c r="K100" s="2"/>
      <c r="L100" s="4"/>
      <c r="M100" s="4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4">
      <c r="A101" s="1"/>
      <c r="B101" s="1"/>
      <c r="C101" s="1"/>
      <c r="D101" s="2"/>
      <c r="E101" s="2"/>
      <c r="F101" s="2"/>
      <c r="G101" s="2"/>
      <c r="H101" s="2"/>
      <c r="I101" s="2"/>
      <c r="J101" s="3"/>
      <c r="K101" s="2"/>
      <c r="L101" s="4"/>
      <c r="M101" s="4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4">
      <c r="A102" s="1"/>
      <c r="B102" s="1"/>
      <c r="C102" s="1"/>
      <c r="D102" s="2"/>
      <c r="E102" s="2"/>
      <c r="F102" s="2"/>
      <c r="G102" s="2"/>
      <c r="H102" s="2"/>
      <c r="I102" s="2"/>
      <c r="J102" s="3"/>
      <c r="K102" s="2"/>
      <c r="L102" s="4"/>
      <c r="M102" s="4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4">
      <c r="A103" s="1"/>
      <c r="B103" s="1"/>
      <c r="C103" s="1"/>
      <c r="D103" s="2"/>
      <c r="E103" s="2"/>
      <c r="F103" s="2"/>
      <c r="G103" s="2"/>
      <c r="H103" s="2"/>
      <c r="I103" s="2"/>
      <c r="J103" s="3"/>
      <c r="K103" s="2"/>
      <c r="L103" s="4"/>
      <c r="M103" s="4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4">
      <c r="A104" s="1"/>
      <c r="B104" s="1"/>
      <c r="C104" s="1"/>
      <c r="D104" s="2"/>
      <c r="E104" s="2"/>
      <c r="F104" s="2"/>
      <c r="G104" s="2"/>
      <c r="H104" s="2"/>
      <c r="I104" s="2"/>
      <c r="J104" s="3"/>
      <c r="K104" s="2"/>
      <c r="L104" s="4"/>
      <c r="M104" s="4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4">
      <c r="A105" s="1"/>
      <c r="B105" s="1"/>
      <c r="C105" s="1"/>
      <c r="D105" s="2"/>
      <c r="E105" s="2"/>
      <c r="F105" s="2"/>
      <c r="G105" s="2"/>
      <c r="H105" s="2"/>
      <c r="I105" s="2"/>
      <c r="J105" s="3"/>
      <c r="K105" s="2"/>
      <c r="L105" s="4"/>
      <c r="M105" s="4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4">
      <c r="A106" s="1"/>
      <c r="B106" s="1"/>
      <c r="C106" s="1"/>
      <c r="D106" s="2"/>
      <c r="E106" s="2"/>
      <c r="F106" s="2"/>
      <c r="G106" s="2"/>
      <c r="H106" s="2"/>
      <c r="I106" s="2"/>
      <c r="J106" s="3"/>
      <c r="K106" s="2"/>
      <c r="L106" s="4"/>
      <c r="M106" s="4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4">
      <c r="A107" s="1"/>
      <c r="B107" s="1"/>
      <c r="C107" s="1"/>
      <c r="D107" s="2"/>
      <c r="E107" s="2"/>
      <c r="F107" s="2"/>
      <c r="G107" s="2"/>
      <c r="H107" s="2"/>
      <c r="I107" s="2"/>
      <c r="J107" s="3"/>
      <c r="K107" s="2"/>
      <c r="L107" s="4"/>
      <c r="M107" s="4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4">
      <c r="A108" s="1"/>
      <c r="B108" s="1"/>
      <c r="C108" s="1"/>
      <c r="D108" s="2"/>
      <c r="E108" s="2"/>
      <c r="F108" s="2"/>
      <c r="G108" s="2"/>
      <c r="H108" s="2"/>
      <c r="I108" s="2"/>
      <c r="J108" s="3"/>
      <c r="K108" s="2"/>
      <c r="L108" s="4"/>
      <c r="M108" s="4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4">
      <c r="A109" s="1"/>
      <c r="B109" s="1"/>
      <c r="C109" s="1"/>
      <c r="D109" s="2"/>
      <c r="E109" s="2"/>
      <c r="F109" s="2"/>
      <c r="G109" s="2"/>
      <c r="H109" s="2"/>
      <c r="I109" s="2"/>
      <c r="J109" s="3"/>
      <c r="K109" s="2"/>
      <c r="L109" s="4"/>
      <c r="M109" s="4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4">
      <c r="A110" s="1"/>
      <c r="B110" s="1"/>
      <c r="C110" s="1"/>
      <c r="D110" s="2"/>
      <c r="E110" s="2"/>
      <c r="F110" s="2"/>
      <c r="G110" s="2"/>
      <c r="H110" s="2"/>
      <c r="I110" s="2"/>
      <c r="J110" s="3"/>
      <c r="K110" s="2"/>
      <c r="L110" s="4"/>
      <c r="M110" s="4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4">
      <c r="A111" s="1"/>
      <c r="B111" s="1"/>
      <c r="C111" s="1"/>
      <c r="D111" s="2"/>
      <c r="E111" s="2"/>
      <c r="F111" s="2"/>
      <c r="G111" s="2"/>
      <c r="H111" s="2"/>
      <c r="I111" s="2"/>
      <c r="J111" s="3"/>
      <c r="K111" s="2"/>
      <c r="L111" s="4"/>
      <c r="M111" s="4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4">
      <c r="A112" s="1"/>
      <c r="B112" s="1"/>
      <c r="C112" s="1"/>
      <c r="D112" s="2"/>
      <c r="E112" s="2"/>
      <c r="F112" s="2"/>
      <c r="G112" s="2"/>
      <c r="H112" s="2"/>
      <c r="I112" s="2"/>
      <c r="J112" s="3"/>
      <c r="K112" s="2"/>
      <c r="L112" s="4"/>
      <c r="M112" s="4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4">
      <c r="A113" s="1"/>
      <c r="B113" s="1"/>
      <c r="C113" s="1"/>
      <c r="D113" s="2"/>
      <c r="E113" s="2"/>
      <c r="F113" s="2"/>
      <c r="G113" s="2"/>
      <c r="H113" s="2"/>
      <c r="I113" s="2"/>
      <c r="J113" s="3"/>
      <c r="K113" s="2"/>
      <c r="L113" s="4"/>
      <c r="M113" s="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4">
      <c r="A114" s="1"/>
      <c r="B114" s="1"/>
      <c r="C114" s="1"/>
      <c r="D114" s="2"/>
      <c r="E114" s="2"/>
      <c r="F114" s="2"/>
      <c r="G114" s="2"/>
      <c r="H114" s="2"/>
      <c r="I114" s="2"/>
      <c r="J114" s="3"/>
      <c r="K114" s="2"/>
      <c r="L114" s="4"/>
      <c r="M114" s="4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4">
      <c r="A115" s="1"/>
      <c r="B115" s="1"/>
      <c r="C115" s="1"/>
      <c r="D115" s="2"/>
      <c r="E115" s="2"/>
      <c r="F115" s="2"/>
      <c r="G115" s="2"/>
      <c r="H115" s="2"/>
      <c r="I115" s="2"/>
      <c r="J115" s="3"/>
      <c r="K115" s="2"/>
      <c r="L115" s="4"/>
      <c r="M115" s="4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s="1" customFormat="1" x14ac:dyDescent="0.4">
      <c r="D116" s="2"/>
      <c r="E116" s="2"/>
      <c r="F116" s="2"/>
      <c r="G116" s="2"/>
      <c r="H116" s="2"/>
      <c r="I116" s="2"/>
      <c r="J116" s="3"/>
      <c r="K116" s="2"/>
      <c r="L116" s="4"/>
      <c r="M116" s="4"/>
    </row>
    <row r="117" spans="1:25" x14ac:dyDescent="0.4">
      <c r="A117" s="1"/>
      <c r="B117" s="1"/>
      <c r="C117" s="1"/>
      <c r="D117" s="2"/>
      <c r="E117" s="2"/>
      <c r="F117" s="2"/>
      <c r="G117" s="2"/>
      <c r="H117" s="2"/>
      <c r="I117" s="2"/>
      <c r="J117" s="3"/>
      <c r="K117" s="2"/>
      <c r="L117" s="4"/>
      <c r="M117" s="4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4">
      <c r="A118" s="1"/>
      <c r="B118" s="1"/>
      <c r="C118" s="1"/>
      <c r="D118" s="2"/>
      <c r="E118" s="2"/>
      <c r="F118" s="2"/>
      <c r="G118" s="2"/>
      <c r="H118" s="2"/>
      <c r="I118" s="2"/>
      <c r="J118" s="3"/>
      <c r="K118" s="2"/>
      <c r="L118" s="4"/>
      <c r="M118" s="4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4">
      <c r="A119" s="1"/>
      <c r="B119" s="1"/>
      <c r="C119" s="1"/>
      <c r="D119" s="2"/>
      <c r="E119" s="2"/>
      <c r="F119" s="2"/>
      <c r="G119" s="2"/>
      <c r="H119" s="2"/>
      <c r="I119" s="2"/>
      <c r="J119" s="3"/>
      <c r="K119" s="2"/>
      <c r="L119" s="4"/>
      <c r="M119" s="4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4">
      <c r="A120" s="1"/>
      <c r="B120" s="1"/>
      <c r="C120" s="1"/>
      <c r="D120" s="2"/>
      <c r="E120" s="2"/>
      <c r="F120" s="2"/>
      <c r="G120" s="2"/>
      <c r="H120" s="2"/>
      <c r="I120" s="2"/>
      <c r="J120" s="3"/>
      <c r="K120" s="2"/>
      <c r="L120" s="4"/>
      <c r="M120" s="4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4">
      <c r="A121" s="1"/>
      <c r="B121" s="1"/>
      <c r="C121" s="1"/>
      <c r="D121" s="2"/>
      <c r="E121" s="2"/>
      <c r="F121" s="2"/>
      <c r="G121" s="2"/>
      <c r="H121" s="2"/>
      <c r="I121" s="2"/>
      <c r="J121" s="3"/>
      <c r="K121" s="2"/>
      <c r="L121" s="4"/>
      <c r="M121" s="4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4">
      <c r="A122" s="1"/>
      <c r="B122" s="1"/>
      <c r="C122" s="1"/>
      <c r="D122" s="2"/>
      <c r="E122" s="2"/>
      <c r="F122" s="2"/>
      <c r="G122" s="2"/>
      <c r="H122" s="2"/>
      <c r="I122" s="2"/>
      <c r="J122" s="3"/>
      <c r="K122" s="2"/>
      <c r="L122" s="4"/>
      <c r="M122" s="4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4">
      <c r="A123" s="1"/>
      <c r="B123" s="1"/>
      <c r="C123" s="1"/>
      <c r="D123" s="2"/>
      <c r="E123" s="2"/>
      <c r="F123" s="2"/>
      <c r="G123" s="2"/>
      <c r="H123" s="2"/>
      <c r="I123" s="2"/>
      <c r="J123" s="3"/>
      <c r="K123" s="2"/>
      <c r="L123" s="4"/>
      <c r="M123" s="4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4">
      <c r="A124" s="1"/>
      <c r="B124" s="1"/>
      <c r="C124" s="1"/>
      <c r="D124" s="2"/>
      <c r="E124" s="2"/>
      <c r="F124" s="2"/>
      <c r="G124" s="2"/>
      <c r="H124" s="2"/>
      <c r="I124" s="2"/>
      <c r="J124" s="3"/>
      <c r="K124" s="2"/>
      <c r="L124" s="4"/>
      <c r="M124" s="4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4">
      <c r="A125" s="1"/>
      <c r="B125" s="1"/>
      <c r="C125" s="1"/>
      <c r="D125" s="2"/>
      <c r="E125" s="2"/>
      <c r="F125" s="2"/>
      <c r="G125" s="2"/>
      <c r="H125" s="2"/>
      <c r="I125" s="2"/>
      <c r="J125" s="3"/>
      <c r="K125" s="2"/>
      <c r="L125" s="4"/>
      <c r="M125" s="4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4">
      <c r="A126" s="1"/>
      <c r="B126" s="1"/>
      <c r="C126" s="1"/>
      <c r="D126" s="2"/>
      <c r="E126" s="2"/>
      <c r="F126" s="2"/>
      <c r="G126" s="2"/>
      <c r="H126" s="2"/>
      <c r="I126" s="2"/>
      <c r="J126" s="3"/>
      <c r="K126" s="2"/>
      <c r="L126" s="4"/>
      <c r="M126" s="4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4">
      <c r="A127" s="1"/>
      <c r="B127" s="1"/>
      <c r="C127" s="1"/>
      <c r="D127" s="2"/>
      <c r="E127" s="2"/>
      <c r="F127" s="2"/>
      <c r="G127" s="2"/>
      <c r="H127" s="2"/>
      <c r="I127" s="2"/>
      <c r="J127" s="3"/>
      <c r="K127" s="2"/>
      <c r="L127" s="4"/>
      <c r="M127" s="4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4">
      <c r="A128" s="1"/>
      <c r="B128" s="1"/>
      <c r="C128" s="1"/>
      <c r="D128" s="2"/>
      <c r="E128" s="2"/>
      <c r="F128" s="2"/>
      <c r="G128" s="2"/>
      <c r="H128" s="2"/>
      <c r="I128" s="2"/>
      <c r="J128" s="3"/>
      <c r="K128" s="2"/>
      <c r="L128" s="4"/>
      <c r="M128" s="4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4">
      <c r="A129" s="1"/>
      <c r="B129" s="1"/>
      <c r="C129" s="1"/>
      <c r="D129" s="2"/>
      <c r="E129" s="2"/>
      <c r="F129" s="2"/>
      <c r="G129" s="2"/>
      <c r="H129" s="2"/>
      <c r="I129" s="2"/>
      <c r="J129" s="3"/>
      <c r="K129" s="2"/>
      <c r="L129" s="4"/>
      <c r="M129" s="4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4">
      <c r="A130" s="1"/>
      <c r="B130" s="1"/>
      <c r="C130" s="1"/>
      <c r="D130" s="2"/>
      <c r="E130" s="2"/>
      <c r="F130" s="2"/>
      <c r="G130" s="2"/>
      <c r="H130" s="2"/>
      <c r="I130" s="2"/>
      <c r="J130" s="3"/>
      <c r="K130" s="2"/>
      <c r="L130" s="4"/>
      <c r="M130" s="4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4">
      <c r="A131" s="1"/>
      <c r="B131" s="1"/>
      <c r="C131" s="1"/>
      <c r="D131" s="2"/>
      <c r="E131" s="2"/>
      <c r="F131" s="2"/>
      <c r="G131" s="2"/>
      <c r="H131" s="2"/>
      <c r="I131" s="2"/>
      <c r="J131" s="3"/>
      <c r="K131" s="2"/>
      <c r="L131" s="4"/>
      <c r="M131" s="4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4">
      <c r="A132" s="1"/>
      <c r="B132" s="1"/>
      <c r="C132" s="1"/>
      <c r="D132" s="2"/>
      <c r="E132" s="2"/>
      <c r="F132" s="2"/>
      <c r="G132" s="2"/>
      <c r="H132" s="2"/>
      <c r="I132" s="2"/>
      <c r="J132" s="3"/>
      <c r="K132" s="2"/>
      <c r="L132" s="4"/>
      <c r="M132" s="4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4">
      <c r="A133" s="1"/>
      <c r="B133" s="1"/>
      <c r="C133" s="1"/>
      <c r="D133" s="2"/>
      <c r="E133" s="2"/>
      <c r="F133" s="2"/>
      <c r="G133" s="2"/>
      <c r="H133" s="2"/>
      <c r="I133" s="2"/>
      <c r="J133" s="3"/>
      <c r="K133" s="2"/>
      <c r="L133" s="4"/>
      <c r="M133" s="4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4">
      <c r="A134" s="1"/>
      <c r="B134" s="1"/>
      <c r="C134" s="1"/>
      <c r="D134" s="2"/>
      <c r="E134" s="2"/>
      <c r="F134" s="2"/>
      <c r="G134" s="2"/>
      <c r="H134" s="2"/>
      <c r="I134" s="2"/>
      <c r="J134" s="3"/>
      <c r="K134" s="2"/>
      <c r="L134" s="4"/>
      <c r="M134" s="4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4">
      <c r="A135" s="1"/>
      <c r="B135" s="1"/>
      <c r="C135" s="1"/>
      <c r="D135" s="2"/>
      <c r="E135" s="2"/>
      <c r="F135" s="2"/>
      <c r="G135" s="2"/>
      <c r="H135" s="2"/>
      <c r="I135" s="2"/>
      <c r="J135" s="3"/>
      <c r="K135" s="2"/>
      <c r="L135" s="4"/>
      <c r="M135" s="4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4">
      <c r="A136" s="1"/>
      <c r="B136" s="1"/>
      <c r="C136" s="1"/>
      <c r="D136" s="2"/>
      <c r="E136" s="2"/>
      <c r="F136" s="2"/>
      <c r="G136" s="2"/>
      <c r="H136" s="2"/>
      <c r="I136" s="2"/>
      <c r="J136" s="3"/>
      <c r="K136" s="2"/>
      <c r="L136" s="4"/>
      <c r="M136" s="4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4">
      <c r="A137" s="1"/>
      <c r="B137" s="1"/>
      <c r="C137" s="1"/>
      <c r="D137" s="2"/>
      <c r="E137" s="2"/>
      <c r="F137" s="2"/>
      <c r="G137" s="2"/>
      <c r="H137" s="2"/>
      <c r="I137" s="2"/>
      <c r="J137" s="3"/>
      <c r="K137" s="2"/>
      <c r="L137" s="6"/>
      <c r="M137" s="1"/>
      <c r="N137" s="1"/>
      <c r="O137" s="1"/>
      <c r="P137" s="1"/>
      <c r="Q137" s="4"/>
      <c r="R137" s="1"/>
      <c r="S137" s="1"/>
      <c r="T137" s="2"/>
      <c r="U137" s="3"/>
      <c r="V137" s="3"/>
      <c r="W137" s="2"/>
      <c r="X137" s="1"/>
      <c r="Y137" s="1"/>
    </row>
    <row r="138" spans="1:25" x14ac:dyDescent="0.4">
      <c r="A138" s="1"/>
      <c r="B138" s="1"/>
      <c r="C138" s="1"/>
      <c r="D138" s="2"/>
      <c r="E138" s="2"/>
      <c r="F138" s="2"/>
      <c r="G138" s="2"/>
      <c r="H138" s="2"/>
      <c r="I138" s="2"/>
      <c r="J138" s="3"/>
      <c r="K138" s="2"/>
      <c r="L138" s="4"/>
      <c r="M138" s="4"/>
      <c r="N138" s="1"/>
      <c r="O138" s="1"/>
      <c r="P138" s="1"/>
      <c r="Q138" s="4"/>
      <c r="R138" s="1"/>
      <c r="S138" s="1"/>
      <c r="T138" s="2"/>
      <c r="U138" s="3"/>
      <c r="V138" s="3"/>
      <c r="W138" s="2"/>
      <c r="X138" s="1"/>
      <c r="Y138" s="1"/>
    </row>
    <row r="139" spans="1:25" x14ac:dyDescent="0.4">
      <c r="A139" s="1"/>
      <c r="B139" s="1"/>
      <c r="C139" s="1"/>
      <c r="D139" s="2"/>
      <c r="E139" s="2"/>
      <c r="F139" s="2"/>
      <c r="G139" s="2"/>
      <c r="H139" s="2"/>
      <c r="I139" s="2"/>
      <c r="J139" s="3"/>
      <c r="K139" s="2"/>
      <c r="L139" s="4"/>
      <c r="M139" s="4"/>
      <c r="N139" s="1"/>
      <c r="O139" s="1"/>
      <c r="P139" s="1"/>
      <c r="Q139" s="4"/>
      <c r="R139" s="1"/>
      <c r="S139" s="1"/>
      <c r="T139" s="2"/>
      <c r="U139" s="3"/>
      <c r="V139" s="3"/>
      <c r="W139" s="2"/>
      <c r="X139" s="1"/>
      <c r="Y139" s="1"/>
    </row>
    <row r="140" spans="1:25" x14ac:dyDescent="0.4">
      <c r="A140" s="1"/>
      <c r="B140" s="1"/>
      <c r="C140" s="1"/>
      <c r="D140" s="2"/>
      <c r="E140" s="2"/>
      <c r="F140" s="2"/>
      <c r="G140" s="2"/>
      <c r="H140" s="2"/>
      <c r="I140" s="2"/>
      <c r="J140" s="3"/>
      <c r="K140" s="2"/>
      <c r="L140" s="4"/>
      <c r="M140" s="4"/>
      <c r="N140" s="1"/>
      <c r="O140" s="1"/>
      <c r="P140" s="1"/>
      <c r="Q140" s="4"/>
      <c r="R140" s="1"/>
      <c r="S140" s="1"/>
      <c r="T140" s="2"/>
      <c r="U140" s="3"/>
      <c r="V140" s="3"/>
      <c r="W140" s="2"/>
      <c r="X140" s="1"/>
      <c r="Y140" s="1"/>
    </row>
    <row r="141" spans="1:25" x14ac:dyDescent="0.4">
      <c r="A141" s="1"/>
      <c r="B141" s="1"/>
      <c r="C141" s="1"/>
      <c r="D141" s="2"/>
      <c r="E141" s="2"/>
      <c r="F141" s="2"/>
      <c r="G141" s="2"/>
      <c r="H141" s="2"/>
      <c r="I141" s="2"/>
      <c r="J141" s="3"/>
      <c r="K141" s="2"/>
      <c r="L141" s="4"/>
      <c r="M141" s="4"/>
      <c r="N141" s="1"/>
      <c r="O141" s="1"/>
      <c r="P141" s="1"/>
      <c r="Q141" s="4"/>
      <c r="R141" s="1"/>
      <c r="S141" s="1"/>
      <c r="T141" s="2"/>
      <c r="U141" s="3"/>
      <c r="V141" s="3"/>
      <c r="W141" s="2"/>
      <c r="X141" s="1"/>
      <c r="Y141" s="1"/>
    </row>
    <row r="142" spans="1:25" x14ac:dyDescent="0.4">
      <c r="A142" s="1"/>
      <c r="B142" s="1"/>
      <c r="C142" s="1"/>
      <c r="D142" s="2"/>
      <c r="E142" s="2"/>
      <c r="F142" s="2"/>
      <c r="G142" s="2"/>
      <c r="H142" s="2"/>
      <c r="I142" s="2"/>
      <c r="J142" s="3"/>
      <c r="K142" s="2"/>
      <c r="L142" s="4"/>
      <c r="M142" s="4"/>
      <c r="N142" s="1"/>
      <c r="O142" s="1"/>
      <c r="P142" s="1"/>
      <c r="Q142" s="4"/>
      <c r="R142" s="1"/>
      <c r="S142" s="1"/>
      <c r="T142" s="2"/>
      <c r="U142" s="3"/>
      <c r="V142" s="3"/>
      <c r="W142" s="2"/>
      <c r="X142" s="1"/>
      <c r="Y142" s="1"/>
    </row>
    <row r="143" spans="1:25" x14ac:dyDescent="0.4">
      <c r="A143" s="1"/>
      <c r="B143" s="1"/>
      <c r="C143" s="1"/>
      <c r="D143" s="2"/>
      <c r="E143" s="2"/>
      <c r="F143" s="2"/>
      <c r="G143" s="2"/>
      <c r="H143" s="2"/>
      <c r="I143" s="2"/>
      <c r="J143" s="3"/>
      <c r="K143" s="2"/>
      <c r="L143" s="4"/>
      <c r="M143" s="4"/>
      <c r="N143" s="1"/>
      <c r="O143" s="1"/>
      <c r="P143" s="1"/>
      <c r="Q143" s="4"/>
      <c r="R143" s="1"/>
      <c r="S143" s="1"/>
      <c r="T143" s="2"/>
      <c r="U143" s="3"/>
      <c r="V143" s="3"/>
      <c r="W143" s="2"/>
      <c r="X143" s="1"/>
      <c r="Y143" s="1"/>
    </row>
    <row r="144" spans="1:25" x14ac:dyDescent="0.4">
      <c r="A144" s="1"/>
      <c r="B144" s="1"/>
      <c r="C144" s="1"/>
      <c r="D144" s="2"/>
      <c r="E144" s="2"/>
      <c r="F144" s="2"/>
      <c r="G144" s="2"/>
      <c r="H144" s="2"/>
      <c r="I144" s="2"/>
      <c r="J144" s="3"/>
      <c r="K144" s="2"/>
      <c r="L144" s="4"/>
      <c r="M144" s="4"/>
      <c r="N144" s="1"/>
      <c r="O144" s="1"/>
      <c r="P144" s="1"/>
      <c r="Q144" s="4"/>
      <c r="R144" s="1"/>
      <c r="S144" s="1"/>
      <c r="T144" s="2"/>
      <c r="U144" s="3"/>
      <c r="V144" s="3"/>
      <c r="W144" s="2"/>
      <c r="X144" s="1"/>
      <c r="Y144" s="1"/>
    </row>
    <row r="145" spans="1:25" x14ac:dyDescent="0.4">
      <c r="A145" s="1"/>
      <c r="B145" s="1"/>
      <c r="C145" s="1"/>
      <c r="D145" s="2"/>
      <c r="E145" s="2"/>
      <c r="F145" s="2"/>
      <c r="G145" s="2"/>
      <c r="H145" s="2"/>
      <c r="I145" s="2"/>
      <c r="J145" s="3"/>
      <c r="K145" s="2"/>
      <c r="L145" s="4"/>
      <c r="M145" s="4"/>
      <c r="N145" s="1"/>
      <c r="O145" s="1"/>
      <c r="P145" s="1"/>
      <c r="Q145" s="4"/>
      <c r="R145" s="1"/>
      <c r="S145" s="1"/>
      <c r="T145" s="2"/>
      <c r="U145" s="3"/>
      <c r="V145" s="3"/>
      <c r="W145" s="2"/>
      <c r="X145" s="1"/>
      <c r="Y145" s="1"/>
    </row>
    <row r="146" spans="1:25" x14ac:dyDescent="0.4">
      <c r="A146" s="1"/>
      <c r="B146" s="1"/>
      <c r="C146" s="1"/>
      <c r="D146" s="2"/>
      <c r="E146" s="2"/>
      <c r="F146" s="2"/>
      <c r="G146" s="2"/>
      <c r="H146" s="2"/>
      <c r="I146" s="2"/>
      <c r="J146" s="3"/>
      <c r="K146" s="2"/>
      <c r="L146" s="4"/>
      <c r="M146" s="4"/>
      <c r="N146" s="1"/>
      <c r="O146" s="1"/>
      <c r="P146" s="1"/>
      <c r="Q146" s="4"/>
      <c r="R146" s="1"/>
      <c r="S146" s="1"/>
      <c r="T146" s="2"/>
      <c r="U146" s="3"/>
      <c r="V146" s="3"/>
      <c r="W146" s="2"/>
      <c r="X146" s="1"/>
      <c r="Y146" s="1"/>
    </row>
    <row r="147" spans="1:25" x14ac:dyDescent="0.4">
      <c r="A147" s="1"/>
      <c r="B147" s="1"/>
      <c r="C147" s="1"/>
      <c r="D147" s="2"/>
      <c r="E147" s="2"/>
      <c r="F147" s="2"/>
      <c r="G147" s="2"/>
      <c r="H147" s="2"/>
      <c r="I147" s="2"/>
      <c r="J147" s="3"/>
      <c r="K147" s="2"/>
      <c r="L147" s="4"/>
      <c r="M147" s="4"/>
      <c r="N147" s="1"/>
      <c r="O147" s="1"/>
      <c r="P147" s="1"/>
      <c r="Q147" s="4"/>
      <c r="R147" s="1"/>
      <c r="S147" s="1"/>
      <c r="T147" s="2"/>
      <c r="U147" s="3"/>
      <c r="V147" s="3"/>
      <c r="W147" s="2"/>
      <c r="X147" s="1"/>
      <c r="Y147" s="1"/>
    </row>
    <row r="148" spans="1:25" x14ac:dyDescent="0.4">
      <c r="A148" s="1"/>
      <c r="B148" s="1"/>
      <c r="C148" s="1"/>
      <c r="D148" s="2"/>
      <c r="E148" s="2"/>
      <c r="F148" s="2"/>
      <c r="G148" s="2"/>
      <c r="H148" s="2"/>
      <c r="I148" s="2"/>
      <c r="J148" s="3"/>
      <c r="K148" s="2"/>
      <c r="L148" s="4"/>
      <c r="M148" s="4"/>
      <c r="N148" s="1"/>
      <c r="O148" s="1"/>
      <c r="P148" s="1"/>
      <c r="Q148" s="4"/>
      <c r="R148" s="1"/>
      <c r="S148" s="1"/>
      <c r="T148" s="2"/>
      <c r="U148" s="3"/>
      <c r="V148" s="3"/>
      <c r="W148" s="2"/>
      <c r="X148" s="1"/>
      <c r="Y148" s="1"/>
    </row>
    <row r="149" spans="1:25" x14ac:dyDescent="0.4">
      <c r="A149" s="1"/>
      <c r="B149" s="1"/>
      <c r="C149" s="1"/>
      <c r="D149" s="2"/>
      <c r="E149" s="2"/>
      <c r="F149" s="2"/>
      <c r="G149" s="2"/>
      <c r="H149" s="2"/>
      <c r="I149" s="2"/>
      <c r="J149" s="3"/>
      <c r="K149" s="2"/>
      <c r="L149" s="4"/>
      <c r="M149" s="4"/>
      <c r="N149" s="1"/>
      <c r="O149" s="1"/>
      <c r="P149" s="1"/>
      <c r="Q149" s="4"/>
      <c r="R149" s="1"/>
      <c r="S149" s="1"/>
      <c r="T149" s="2"/>
      <c r="U149" s="3"/>
      <c r="V149" s="3"/>
      <c r="W149" s="2"/>
      <c r="X149" s="1"/>
      <c r="Y149" s="1"/>
    </row>
    <row r="150" spans="1:25" x14ac:dyDescent="0.4">
      <c r="A150" s="1"/>
      <c r="B150" s="1"/>
      <c r="C150" s="1"/>
      <c r="D150" s="2"/>
      <c r="E150" s="2"/>
      <c r="F150" s="2"/>
      <c r="G150" s="2"/>
      <c r="H150" s="2"/>
      <c r="I150" s="2"/>
      <c r="J150" s="3"/>
      <c r="K150" s="2"/>
      <c r="L150" s="4"/>
      <c r="M150" s="4"/>
      <c r="N150" s="1"/>
      <c r="O150" s="1"/>
      <c r="P150" s="1"/>
      <c r="Q150" s="4"/>
      <c r="R150" s="1"/>
      <c r="S150" s="1"/>
      <c r="T150" s="2"/>
      <c r="U150" s="3"/>
      <c r="V150" s="3"/>
      <c r="W150" s="2"/>
      <c r="X150" s="1"/>
      <c r="Y150" s="1"/>
    </row>
    <row r="151" spans="1:25" x14ac:dyDescent="0.4">
      <c r="A151" s="1"/>
      <c r="B151" s="1"/>
      <c r="C151" s="1"/>
      <c r="D151" s="2"/>
      <c r="E151" s="2"/>
      <c r="F151" s="2"/>
      <c r="G151" s="2"/>
      <c r="H151" s="2"/>
      <c r="I151" s="2"/>
      <c r="J151" s="3"/>
      <c r="K151" s="2"/>
      <c r="L151" s="4"/>
      <c r="M151" s="4"/>
      <c r="N151" s="1"/>
      <c r="O151" s="1"/>
      <c r="P151" s="1"/>
      <c r="Q151" s="4"/>
      <c r="R151" s="1"/>
      <c r="S151" s="1"/>
      <c r="T151" s="2"/>
      <c r="U151" s="3"/>
      <c r="V151" s="3"/>
      <c r="W151" s="2"/>
      <c r="X151" s="1"/>
      <c r="Y151" s="1"/>
    </row>
    <row r="152" spans="1:25" x14ac:dyDescent="0.4">
      <c r="A152" s="1"/>
      <c r="B152" s="1"/>
      <c r="C152" s="1"/>
      <c r="D152" s="2"/>
      <c r="E152" s="2"/>
      <c r="F152" s="2"/>
      <c r="G152" s="2"/>
      <c r="H152" s="2"/>
      <c r="I152" s="2"/>
      <c r="J152" s="3"/>
      <c r="K152" s="2"/>
      <c r="L152" s="4"/>
      <c r="M152" s="4"/>
      <c r="N152" s="1"/>
      <c r="O152" s="1"/>
      <c r="P152" s="1"/>
      <c r="Q152" s="4"/>
      <c r="R152" s="1"/>
      <c r="S152" s="1"/>
      <c r="T152" s="2"/>
      <c r="U152" s="3"/>
      <c r="V152" s="3"/>
      <c r="W152" s="2"/>
      <c r="X152" s="1"/>
      <c r="Y152" s="1"/>
    </row>
    <row r="153" spans="1:25" x14ac:dyDescent="0.4">
      <c r="A153" s="1"/>
      <c r="B153" s="1"/>
      <c r="C153" s="1"/>
      <c r="D153" s="2"/>
      <c r="E153" s="2"/>
      <c r="F153" s="2"/>
      <c r="G153" s="2"/>
      <c r="H153" s="2"/>
      <c r="I153" s="2"/>
      <c r="J153" s="3"/>
      <c r="K153" s="2"/>
      <c r="L153" s="4"/>
      <c r="M153" s="4"/>
      <c r="N153" s="1"/>
      <c r="O153" s="1"/>
      <c r="P153" s="1"/>
      <c r="Q153" s="4"/>
      <c r="R153" s="1"/>
      <c r="S153" s="1"/>
      <c r="T153" s="2"/>
      <c r="U153" s="3"/>
      <c r="V153" s="3"/>
      <c r="W153" s="2"/>
      <c r="X153" s="1"/>
      <c r="Y153" s="1"/>
    </row>
    <row r="154" spans="1:25" x14ac:dyDescent="0.4">
      <c r="A154" s="1"/>
      <c r="B154" s="1"/>
      <c r="C154" s="1"/>
      <c r="D154" s="2"/>
      <c r="E154" s="2"/>
      <c r="F154" s="2"/>
      <c r="G154" s="2"/>
      <c r="H154" s="2"/>
      <c r="I154" s="2"/>
      <c r="J154" s="3"/>
      <c r="K154" s="2"/>
      <c r="L154" s="4"/>
      <c r="M154" s="4"/>
      <c r="N154" s="1"/>
      <c r="O154" s="1"/>
      <c r="P154" s="1"/>
      <c r="Q154" s="4"/>
      <c r="R154" s="1"/>
      <c r="S154" s="1"/>
      <c r="T154" s="2"/>
      <c r="U154" s="3"/>
      <c r="V154" s="3"/>
      <c r="W154" s="2"/>
      <c r="X154" s="1"/>
      <c r="Y154" s="1"/>
    </row>
    <row r="155" spans="1:25" x14ac:dyDescent="0.4">
      <c r="A155" s="1"/>
      <c r="B155" s="1"/>
      <c r="C155" s="1"/>
      <c r="D155" s="2"/>
      <c r="E155" s="2"/>
      <c r="F155" s="2"/>
      <c r="G155" s="2"/>
      <c r="H155" s="2"/>
      <c r="I155" s="2"/>
      <c r="J155" s="3"/>
      <c r="K155" s="2"/>
      <c r="L155" s="4"/>
      <c r="M155" s="4"/>
      <c r="N155" s="1"/>
      <c r="O155" s="1"/>
      <c r="P155" s="1"/>
      <c r="Q155" s="4"/>
      <c r="R155" s="1"/>
      <c r="S155" s="1"/>
      <c r="T155" s="2"/>
      <c r="U155" s="3"/>
      <c r="V155" s="3"/>
      <c r="W155" s="2"/>
      <c r="X155" s="1"/>
      <c r="Y155" s="1"/>
    </row>
    <row r="156" spans="1:25" x14ac:dyDescent="0.4">
      <c r="A156" s="1"/>
      <c r="B156" s="1"/>
      <c r="C156" s="1"/>
      <c r="D156" s="2"/>
      <c r="E156" s="2"/>
      <c r="F156" s="2"/>
      <c r="G156" s="2"/>
      <c r="H156" s="2"/>
      <c r="I156" s="2"/>
      <c r="J156" s="3"/>
      <c r="K156" s="2"/>
      <c r="L156" s="4"/>
      <c r="M156" s="4"/>
      <c r="N156" s="1"/>
      <c r="O156" s="1"/>
      <c r="P156" s="1"/>
      <c r="Q156" s="4"/>
      <c r="R156" s="1"/>
      <c r="S156" s="1"/>
      <c r="T156" s="2"/>
      <c r="U156" s="3"/>
      <c r="V156" s="3"/>
      <c r="W156" s="2"/>
      <c r="X156" s="1"/>
      <c r="Y156" s="1"/>
    </row>
    <row r="157" spans="1:25" x14ac:dyDescent="0.4">
      <c r="A157" s="1"/>
      <c r="B157" s="1"/>
      <c r="C157" s="1"/>
      <c r="D157" s="2"/>
      <c r="E157" s="2"/>
      <c r="F157" s="2"/>
      <c r="G157" s="2"/>
      <c r="H157" s="2"/>
      <c r="I157" s="2"/>
      <c r="J157" s="3"/>
      <c r="K157" s="2"/>
      <c r="L157" s="4"/>
      <c r="M157" s="4"/>
      <c r="N157" s="1"/>
      <c r="O157" s="1"/>
      <c r="P157" s="1"/>
      <c r="Q157" s="4"/>
      <c r="R157" s="1"/>
      <c r="S157" s="1"/>
      <c r="T157" s="2"/>
      <c r="U157" s="3"/>
      <c r="V157" s="3"/>
      <c r="W157" s="2"/>
      <c r="X157" s="1"/>
      <c r="Y157" s="1"/>
    </row>
    <row r="158" spans="1:25" x14ac:dyDescent="0.4">
      <c r="A158" s="1"/>
      <c r="B158" s="1"/>
      <c r="C158" s="1"/>
      <c r="D158" s="2"/>
      <c r="E158" s="2"/>
      <c r="F158" s="2"/>
      <c r="G158" s="2"/>
      <c r="H158" s="2"/>
      <c r="I158" s="2"/>
      <c r="J158" s="3"/>
      <c r="K158" s="2"/>
      <c r="L158" s="4"/>
      <c r="M158" s="4"/>
      <c r="N158" s="1"/>
      <c r="O158" s="1"/>
      <c r="P158" s="1"/>
      <c r="Q158" s="4"/>
      <c r="R158" s="1"/>
      <c r="S158" s="1"/>
      <c r="T158" s="2"/>
      <c r="U158" s="3"/>
      <c r="V158" s="3"/>
      <c r="W158" s="2"/>
      <c r="X158" s="1"/>
      <c r="Y158" s="1"/>
    </row>
    <row r="159" spans="1:25" x14ac:dyDescent="0.4">
      <c r="A159" s="1"/>
      <c r="B159" s="1"/>
      <c r="C159" s="1"/>
      <c r="D159" s="2"/>
      <c r="E159" s="2"/>
      <c r="F159" s="2"/>
      <c r="G159" s="2"/>
      <c r="H159" s="2"/>
      <c r="I159" s="2"/>
      <c r="J159" s="3"/>
      <c r="K159" s="2"/>
      <c r="L159" s="4"/>
      <c r="M159" s="4"/>
      <c r="N159" s="1"/>
      <c r="O159" s="1"/>
      <c r="P159" s="1"/>
      <c r="Q159" s="4"/>
      <c r="R159" s="1"/>
      <c r="S159" s="1"/>
      <c r="T159" s="2"/>
      <c r="U159" s="3"/>
      <c r="V159" s="3"/>
      <c r="W159" s="2"/>
      <c r="X159" s="1"/>
      <c r="Y159" s="1"/>
    </row>
    <row r="160" spans="1:25" x14ac:dyDescent="0.4">
      <c r="A160" s="1"/>
      <c r="B160" s="1"/>
      <c r="C160" s="1"/>
      <c r="D160" s="2"/>
      <c r="E160" s="2"/>
      <c r="F160" s="2"/>
      <c r="G160" s="2"/>
      <c r="H160" s="2"/>
      <c r="I160" s="2"/>
      <c r="J160" s="3"/>
      <c r="K160" s="2"/>
      <c r="L160" s="4"/>
      <c r="M160" s="4"/>
      <c r="N160" s="1"/>
      <c r="O160" s="1"/>
      <c r="P160" s="1"/>
      <c r="Q160" s="4"/>
      <c r="R160" s="1"/>
      <c r="S160" s="1"/>
      <c r="T160" s="2"/>
      <c r="U160" s="3"/>
      <c r="V160" s="3"/>
      <c r="W160" s="2"/>
      <c r="X160" s="1"/>
      <c r="Y160" s="1"/>
    </row>
    <row r="161" spans="1:25" x14ac:dyDescent="0.4">
      <c r="A161" s="1"/>
      <c r="B161" s="1"/>
      <c r="C161" s="1"/>
      <c r="D161" s="2"/>
      <c r="E161" s="2"/>
      <c r="F161" s="2"/>
      <c r="G161" s="2"/>
      <c r="H161" s="2"/>
      <c r="I161" s="2"/>
      <c r="J161" s="3"/>
      <c r="K161" s="2"/>
      <c r="L161" s="4"/>
      <c r="M161" s="4"/>
      <c r="N161" s="1"/>
      <c r="O161" s="1"/>
      <c r="P161" s="1"/>
      <c r="Q161" s="4"/>
      <c r="R161" s="1"/>
      <c r="S161" s="1"/>
      <c r="T161" s="2"/>
      <c r="U161" s="3"/>
      <c r="V161" s="3"/>
      <c r="W161" s="2"/>
      <c r="X161" s="1"/>
      <c r="Y161" s="1"/>
    </row>
    <row r="162" spans="1:25" x14ac:dyDescent="0.4">
      <c r="A162" s="1"/>
      <c r="B162" s="1"/>
      <c r="C162" s="1"/>
      <c r="D162" s="2"/>
      <c r="E162" s="2"/>
      <c r="F162" s="2"/>
      <c r="G162" s="2"/>
      <c r="H162" s="2"/>
      <c r="I162" s="2"/>
      <c r="J162" s="3"/>
      <c r="K162" s="2"/>
      <c r="L162" s="4"/>
      <c r="M162" s="4"/>
      <c r="N162" s="1"/>
      <c r="O162" s="1"/>
      <c r="P162" s="1"/>
      <c r="Q162" s="4"/>
      <c r="R162" s="1"/>
      <c r="S162" s="1"/>
      <c r="T162" s="2"/>
      <c r="U162" s="3"/>
      <c r="V162" s="3"/>
      <c r="W162" s="2"/>
      <c r="X162" s="1"/>
      <c r="Y162" s="1"/>
    </row>
    <row r="163" spans="1:25" x14ac:dyDescent="0.4">
      <c r="A163" s="1"/>
      <c r="B163" s="1"/>
      <c r="C163" s="1"/>
      <c r="D163" s="2"/>
      <c r="E163" s="2"/>
      <c r="F163" s="2"/>
      <c r="G163" s="2"/>
      <c r="H163" s="2"/>
      <c r="I163" s="2"/>
      <c r="J163" s="3"/>
      <c r="K163" s="2"/>
      <c r="L163" s="4"/>
      <c r="M163" s="4"/>
      <c r="N163" s="1"/>
      <c r="O163" s="1"/>
      <c r="P163" s="1"/>
      <c r="Q163" s="4"/>
      <c r="R163" s="1"/>
      <c r="S163" s="1"/>
      <c r="T163" s="2"/>
      <c r="U163" s="3"/>
      <c r="V163" s="3"/>
      <c r="W163" s="2"/>
      <c r="X163" s="1"/>
      <c r="Y163" s="1"/>
    </row>
    <row r="164" spans="1:25" x14ac:dyDescent="0.4">
      <c r="A164" s="1"/>
      <c r="B164" s="1"/>
      <c r="C164" s="1"/>
      <c r="D164" s="2"/>
      <c r="E164" s="2"/>
      <c r="F164" s="2"/>
      <c r="G164" s="2"/>
      <c r="H164" s="2"/>
      <c r="I164" s="2"/>
      <c r="J164" s="3"/>
      <c r="K164" s="2"/>
      <c r="L164" s="4"/>
      <c r="M164" s="4"/>
      <c r="N164" s="1"/>
      <c r="O164" s="1"/>
      <c r="P164" s="1"/>
      <c r="Q164" s="4"/>
      <c r="R164" s="1"/>
      <c r="S164" s="1"/>
      <c r="T164" s="2"/>
      <c r="U164" s="3"/>
      <c r="V164" s="3"/>
      <c r="W164" s="2"/>
      <c r="X164" s="1"/>
      <c r="Y164" s="1"/>
    </row>
    <row r="165" spans="1:25" x14ac:dyDescent="0.4">
      <c r="A165" s="1"/>
      <c r="B165" s="1"/>
      <c r="C165" s="1"/>
      <c r="D165" s="2"/>
      <c r="E165" s="2"/>
      <c r="F165" s="2"/>
      <c r="G165" s="2"/>
      <c r="H165" s="2"/>
      <c r="I165" s="2"/>
      <c r="J165" s="3"/>
      <c r="K165" s="2"/>
      <c r="L165" s="4"/>
      <c r="M165" s="4"/>
      <c r="N165" s="1"/>
      <c r="O165" s="1"/>
      <c r="P165" s="1"/>
      <c r="Q165" s="4"/>
      <c r="R165" s="1"/>
      <c r="S165" s="1"/>
      <c r="T165" s="2"/>
      <c r="U165" s="3"/>
      <c r="V165" s="3"/>
      <c r="W165" s="2"/>
      <c r="X165" s="1"/>
      <c r="Y165" s="1"/>
    </row>
    <row r="166" spans="1:25" x14ac:dyDescent="0.4">
      <c r="A166" s="1"/>
      <c r="B166" s="1"/>
      <c r="C166" s="1"/>
      <c r="D166" s="2"/>
      <c r="E166" s="2"/>
      <c r="F166" s="2"/>
      <c r="G166" s="2"/>
      <c r="H166" s="2"/>
      <c r="I166" s="2"/>
      <c r="J166" s="3"/>
      <c r="K166" s="2"/>
      <c r="L166" s="4"/>
      <c r="M166" s="4"/>
      <c r="N166" s="1"/>
      <c r="O166" s="1"/>
      <c r="P166" s="1"/>
      <c r="Q166" s="4"/>
      <c r="R166" s="1"/>
      <c r="S166" s="1"/>
      <c r="T166" s="2"/>
      <c r="U166" s="3"/>
      <c r="V166" s="3"/>
      <c r="W166" s="2"/>
      <c r="X166" s="1"/>
      <c r="Y166" s="1"/>
    </row>
    <row r="167" spans="1:25" x14ac:dyDescent="0.4">
      <c r="A167" s="1"/>
      <c r="B167" s="1"/>
      <c r="C167" s="1"/>
      <c r="D167" s="2"/>
      <c r="E167" s="2"/>
      <c r="F167" s="2"/>
      <c r="G167" s="2"/>
      <c r="H167" s="2"/>
      <c r="I167" s="2"/>
      <c r="J167" s="3"/>
      <c r="K167" s="2"/>
      <c r="L167" s="4"/>
      <c r="M167" s="4"/>
      <c r="N167" s="1"/>
      <c r="O167" s="1"/>
      <c r="P167" s="1"/>
      <c r="Q167" s="4"/>
      <c r="R167" s="1"/>
      <c r="S167" s="1"/>
      <c r="T167" s="2"/>
      <c r="U167" s="3"/>
      <c r="V167" s="3"/>
      <c r="W167" s="2"/>
      <c r="X167" s="1"/>
      <c r="Y167" s="1"/>
    </row>
    <row r="168" spans="1:25" x14ac:dyDescent="0.4">
      <c r="A168" s="1"/>
      <c r="B168" s="1"/>
      <c r="C168" s="1"/>
      <c r="D168" s="2"/>
      <c r="E168" s="2"/>
      <c r="F168" s="2"/>
      <c r="G168" s="2"/>
      <c r="H168" s="2"/>
      <c r="I168" s="2"/>
      <c r="J168" s="3"/>
      <c r="K168" s="2"/>
      <c r="L168" s="4"/>
      <c r="M168" s="4"/>
      <c r="N168" s="1"/>
      <c r="O168" s="1"/>
      <c r="P168" s="1"/>
      <c r="Q168" s="4"/>
      <c r="R168" s="1"/>
      <c r="S168" s="1"/>
      <c r="T168" s="2"/>
      <c r="U168" s="3"/>
      <c r="V168" s="3"/>
      <c r="W168" s="2"/>
      <c r="X168" s="1"/>
      <c r="Y168" s="1"/>
    </row>
    <row r="169" spans="1:25" x14ac:dyDescent="0.4">
      <c r="A169" s="1"/>
      <c r="B169" s="1"/>
      <c r="C169" s="1"/>
      <c r="D169" s="2"/>
      <c r="E169" s="2"/>
      <c r="F169" s="2"/>
      <c r="G169" s="2"/>
      <c r="H169" s="2"/>
      <c r="I169" s="2"/>
      <c r="J169" s="3"/>
      <c r="K169" s="2"/>
      <c r="L169" s="4"/>
      <c r="M169" s="4"/>
      <c r="N169" s="1"/>
      <c r="O169" s="1"/>
      <c r="P169" s="1"/>
      <c r="Q169" s="4"/>
      <c r="R169" s="1"/>
      <c r="S169" s="1"/>
      <c r="T169" s="2"/>
      <c r="U169" s="3"/>
      <c r="V169" s="3"/>
      <c r="W169" s="2"/>
      <c r="X169" s="1"/>
      <c r="Y169" s="1"/>
    </row>
    <row r="170" spans="1:25" x14ac:dyDescent="0.4">
      <c r="A170" s="1"/>
      <c r="B170" s="1"/>
      <c r="C170" s="1"/>
      <c r="D170" s="2"/>
      <c r="E170" s="2"/>
      <c r="F170" s="2"/>
      <c r="G170" s="2"/>
      <c r="H170" s="2"/>
      <c r="I170" s="2"/>
      <c r="J170" s="3"/>
      <c r="K170" s="2"/>
      <c r="L170" s="4"/>
      <c r="M170" s="4"/>
      <c r="N170" s="1"/>
      <c r="O170" s="1"/>
      <c r="P170" s="1"/>
      <c r="Q170" s="4"/>
      <c r="R170" s="1"/>
      <c r="S170" s="1"/>
      <c r="T170" s="2"/>
      <c r="U170" s="3"/>
      <c r="V170" s="3"/>
      <c r="W170" s="2"/>
      <c r="X170" s="1"/>
      <c r="Y170" s="1"/>
    </row>
    <row r="171" spans="1:25" x14ac:dyDescent="0.4">
      <c r="A171" s="1"/>
      <c r="B171" s="1"/>
      <c r="C171" s="1"/>
      <c r="D171" s="2"/>
      <c r="E171" s="2"/>
      <c r="F171" s="2"/>
      <c r="G171" s="2"/>
      <c r="H171" s="2"/>
      <c r="I171" s="2"/>
      <c r="J171" s="3"/>
      <c r="K171" s="2"/>
      <c r="L171" s="4"/>
      <c r="M171" s="4"/>
      <c r="N171" s="1"/>
      <c r="O171" s="1"/>
      <c r="P171" s="1"/>
      <c r="Q171" s="4"/>
      <c r="R171" s="1"/>
      <c r="S171" s="1"/>
      <c r="T171" s="2"/>
      <c r="U171" s="3"/>
      <c r="V171" s="3"/>
      <c r="W171" s="2"/>
      <c r="X171" s="1"/>
      <c r="Y171" s="1"/>
    </row>
    <row r="172" spans="1:25" x14ac:dyDescent="0.4">
      <c r="A172" s="1"/>
      <c r="B172" s="1"/>
      <c r="C172" s="1"/>
      <c r="D172" s="2"/>
      <c r="E172" s="2"/>
      <c r="F172" s="2"/>
      <c r="G172" s="2"/>
      <c r="H172" s="2"/>
      <c r="I172" s="2"/>
      <c r="J172" s="3"/>
      <c r="K172" s="2"/>
      <c r="L172" s="4"/>
      <c r="M172" s="4"/>
      <c r="N172" s="1"/>
      <c r="O172" s="1"/>
      <c r="P172" s="1"/>
      <c r="Q172" s="4"/>
      <c r="R172" s="1"/>
      <c r="S172" s="1"/>
      <c r="T172" s="2"/>
      <c r="U172" s="3"/>
      <c r="V172" s="3"/>
      <c r="W172" s="2"/>
      <c r="X172" s="1"/>
      <c r="Y172" s="1"/>
    </row>
    <row r="173" spans="1:25" x14ac:dyDescent="0.4">
      <c r="A173" s="1"/>
      <c r="B173" s="1"/>
      <c r="C173" s="1"/>
      <c r="D173" s="2"/>
      <c r="E173" s="2"/>
      <c r="F173" s="2"/>
      <c r="G173" s="2"/>
      <c r="H173" s="2"/>
      <c r="I173" s="2"/>
      <c r="J173" s="3"/>
      <c r="K173" s="2"/>
      <c r="L173" s="4"/>
      <c r="M173" s="4"/>
      <c r="N173" s="1"/>
      <c r="O173" s="1"/>
      <c r="P173" s="1"/>
      <c r="Q173" s="4"/>
      <c r="R173" s="1"/>
      <c r="S173" s="1"/>
      <c r="T173" s="2"/>
      <c r="U173" s="3"/>
      <c r="V173" s="3"/>
      <c r="W173" s="2"/>
      <c r="X173" s="1"/>
      <c r="Y173" s="1"/>
    </row>
    <row r="174" spans="1:25" x14ac:dyDescent="0.4">
      <c r="A174" s="1"/>
      <c r="B174" s="1"/>
      <c r="C174" s="1"/>
      <c r="D174" s="2"/>
      <c r="E174" s="2"/>
      <c r="F174" s="2"/>
      <c r="G174" s="2"/>
      <c r="H174" s="2"/>
      <c r="I174" s="2"/>
      <c r="J174" s="3"/>
      <c r="K174" s="2"/>
      <c r="L174" s="4"/>
      <c r="M174" s="4"/>
      <c r="N174" s="1"/>
      <c r="O174" s="1"/>
      <c r="P174" s="1"/>
      <c r="Q174" s="4"/>
      <c r="R174" s="1"/>
      <c r="S174" s="1"/>
      <c r="T174" s="2"/>
      <c r="U174" s="3"/>
      <c r="V174" s="3"/>
      <c r="W174" s="2"/>
      <c r="X174" s="1"/>
      <c r="Y174" s="1"/>
    </row>
    <row r="175" spans="1:25" x14ac:dyDescent="0.4">
      <c r="A175" s="1"/>
      <c r="B175" s="1"/>
      <c r="C175" s="1"/>
      <c r="D175" s="2"/>
      <c r="E175" s="2"/>
      <c r="F175" s="2"/>
      <c r="G175" s="2"/>
      <c r="H175" s="2"/>
      <c r="I175" s="2"/>
      <c r="J175" s="3"/>
      <c r="K175" s="2"/>
      <c r="L175" s="4"/>
      <c r="M175" s="4"/>
      <c r="N175" s="1"/>
      <c r="O175" s="1"/>
      <c r="P175" s="1"/>
      <c r="Q175" s="4"/>
      <c r="R175" s="1"/>
      <c r="S175" s="1"/>
      <c r="T175" s="2"/>
      <c r="U175" s="3"/>
      <c r="V175" s="3"/>
      <c r="W175" s="2"/>
      <c r="X175" s="1"/>
      <c r="Y175" s="1"/>
    </row>
    <row r="176" spans="1:25" x14ac:dyDescent="0.4">
      <c r="A176" s="1"/>
      <c r="B176" s="1"/>
      <c r="C176" s="1"/>
      <c r="D176" s="2"/>
      <c r="E176" s="2"/>
      <c r="F176" s="2"/>
      <c r="G176" s="2"/>
      <c r="H176" s="2"/>
      <c r="I176" s="2"/>
      <c r="J176" s="3"/>
      <c r="K176" s="2"/>
      <c r="L176" s="4"/>
      <c r="M176" s="4"/>
      <c r="N176" s="1"/>
      <c r="O176" s="1"/>
      <c r="P176" s="1"/>
      <c r="Q176" s="4"/>
      <c r="R176" s="1"/>
      <c r="S176" s="1"/>
      <c r="T176" s="2"/>
      <c r="U176" s="3"/>
      <c r="V176" s="3"/>
      <c r="W176" s="2"/>
      <c r="X176" s="1"/>
      <c r="Y176" s="1"/>
    </row>
    <row r="177" spans="1:25" x14ac:dyDescent="0.4">
      <c r="A177" s="1"/>
      <c r="B177" s="1"/>
      <c r="C177" s="1"/>
      <c r="D177" s="2"/>
      <c r="E177" s="2"/>
      <c r="F177" s="2"/>
      <c r="G177" s="2"/>
      <c r="H177" s="2"/>
      <c r="I177" s="2"/>
      <c r="J177" s="3"/>
      <c r="K177" s="2"/>
      <c r="L177" s="4"/>
      <c r="M177" s="4"/>
      <c r="N177" s="1"/>
      <c r="O177" s="1"/>
      <c r="P177" s="1"/>
      <c r="Q177" s="4"/>
      <c r="R177" s="1"/>
      <c r="S177" s="1"/>
      <c r="T177" s="2"/>
      <c r="U177" s="3"/>
      <c r="V177" s="3"/>
      <c r="W177" s="2"/>
      <c r="X177" s="1"/>
      <c r="Y177" s="1"/>
    </row>
    <row r="178" spans="1:25" x14ac:dyDescent="0.4">
      <c r="A178" s="1"/>
      <c r="B178" s="1"/>
      <c r="C178" s="1"/>
      <c r="D178" s="2"/>
      <c r="E178" s="2"/>
      <c r="F178" s="2"/>
      <c r="G178" s="2"/>
      <c r="H178" s="2"/>
      <c r="I178" s="2"/>
      <c r="J178" s="3"/>
      <c r="K178" s="2"/>
      <c r="L178" s="4"/>
      <c r="M178" s="4"/>
      <c r="N178" s="1"/>
      <c r="O178" s="1"/>
      <c r="P178" s="1"/>
      <c r="Q178" s="4"/>
      <c r="R178" s="1"/>
      <c r="S178" s="1"/>
      <c r="T178" s="2"/>
      <c r="U178" s="3"/>
      <c r="V178" s="3"/>
      <c r="W178" s="2"/>
      <c r="X178" s="1"/>
      <c r="Y178" s="1"/>
    </row>
    <row r="179" spans="1:25" x14ac:dyDescent="0.4">
      <c r="A179" s="1"/>
      <c r="B179" s="1"/>
      <c r="C179" s="1"/>
      <c r="D179" s="2"/>
      <c r="E179" s="2"/>
      <c r="F179" s="2"/>
      <c r="G179" s="2"/>
      <c r="H179" s="2"/>
      <c r="I179" s="2"/>
      <c r="J179" s="3"/>
      <c r="K179" s="2"/>
      <c r="L179" s="4"/>
      <c r="M179" s="4"/>
      <c r="N179" s="1"/>
      <c r="O179" s="1"/>
      <c r="P179" s="1"/>
      <c r="Q179" s="4"/>
      <c r="R179" s="1"/>
      <c r="S179" s="1"/>
      <c r="T179" s="2"/>
      <c r="U179" s="3"/>
      <c r="V179" s="3"/>
      <c r="W179" s="2"/>
      <c r="X179" s="1"/>
      <c r="Y179" s="1"/>
    </row>
    <row r="180" spans="1:25" x14ac:dyDescent="0.4">
      <c r="A180" s="1"/>
      <c r="B180" s="1"/>
      <c r="C180" s="1"/>
      <c r="D180" s="2"/>
      <c r="E180" s="2"/>
      <c r="F180" s="2"/>
      <c r="G180" s="2"/>
      <c r="H180" s="2"/>
      <c r="I180" s="2"/>
      <c r="J180" s="3"/>
      <c r="K180" s="2"/>
      <c r="L180" s="4"/>
      <c r="M180" s="4"/>
      <c r="N180" s="1"/>
      <c r="O180" s="1"/>
      <c r="P180" s="1"/>
      <c r="Q180" s="4"/>
      <c r="R180" s="1"/>
      <c r="S180" s="1"/>
      <c r="T180" s="2"/>
      <c r="U180" s="3"/>
      <c r="V180" s="3"/>
      <c r="W180" s="2"/>
      <c r="X180" s="1"/>
      <c r="Y180" s="1"/>
    </row>
    <row r="181" spans="1:25" x14ac:dyDescent="0.4">
      <c r="A181" s="1"/>
      <c r="B181" s="1"/>
      <c r="C181" s="1"/>
      <c r="D181" s="2"/>
      <c r="E181" s="2"/>
      <c r="F181" s="2"/>
      <c r="G181" s="2"/>
      <c r="H181" s="2"/>
      <c r="I181" s="2"/>
      <c r="J181" s="3"/>
      <c r="K181" s="2"/>
      <c r="L181" s="4"/>
      <c r="M181" s="4"/>
      <c r="N181" s="1"/>
      <c r="O181" s="1"/>
      <c r="P181" s="1"/>
      <c r="Q181" s="4"/>
      <c r="R181" s="1"/>
      <c r="S181" s="1"/>
      <c r="T181" s="2"/>
      <c r="U181" s="3"/>
      <c r="V181" s="3"/>
      <c r="W181" s="2"/>
      <c r="X181" s="1"/>
      <c r="Y181" s="1"/>
    </row>
    <row r="182" spans="1:25" x14ac:dyDescent="0.4">
      <c r="A182" s="1"/>
      <c r="B182" s="1"/>
      <c r="C182" s="1"/>
      <c r="D182" s="2"/>
      <c r="E182" s="2"/>
      <c r="F182" s="2"/>
      <c r="G182" s="2"/>
      <c r="H182" s="2"/>
      <c r="I182" s="2"/>
      <c r="J182" s="3"/>
      <c r="K182" s="2"/>
      <c r="L182" s="4"/>
      <c r="M182" s="4"/>
      <c r="N182" s="1"/>
      <c r="O182" s="1"/>
      <c r="P182" s="1"/>
      <c r="Q182" s="4"/>
      <c r="R182" s="1"/>
      <c r="S182" s="1"/>
      <c r="T182" s="2"/>
      <c r="U182" s="3"/>
      <c r="V182" s="3"/>
      <c r="W182" s="2"/>
      <c r="X182" s="1"/>
      <c r="Y182" s="1"/>
    </row>
    <row r="183" spans="1:25" x14ac:dyDescent="0.4">
      <c r="A183" s="1"/>
      <c r="B183" s="1"/>
      <c r="C183" s="1"/>
      <c r="D183" s="2"/>
      <c r="E183" s="2"/>
      <c r="F183" s="2"/>
      <c r="G183" s="2"/>
      <c r="H183" s="2"/>
      <c r="I183" s="2"/>
      <c r="J183" s="3"/>
      <c r="K183" s="2"/>
      <c r="L183" s="4"/>
      <c r="M183" s="4"/>
      <c r="N183" s="1"/>
      <c r="O183" s="1"/>
      <c r="P183" s="1"/>
      <c r="Q183" s="4"/>
      <c r="R183" s="1"/>
      <c r="S183" s="1"/>
      <c r="T183" s="2"/>
      <c r="U183" s="3"/>
      <c r="V183" s="3"/>
      <c r="W183" s="2"/>
      <c r="X183" s="1"/>
      <c r="Y183" s="1"/>
    </row>
    <row r="184" spans="1:25" x14ac:dyDescent="0.4">
      <c r="A184" s="1"/>
      <c r="B184" s="1"/>
      <c r="C184" s="1"/>
      <c r="D184" s="2"/>
      <c r="E184" s="2"/>
      <c r="F184" s="2"/>
      <c r="G184" s="2"/>
      <c r="H184" s="2"/>
      <c r="I184" s="2"/>
      <c r="J184" s="3"/>
      <c r="K184" s="2"/>
      <c r="L184" s="4"/>
      <c r="M184" s="4"/>
      <c r="N184" s="1"/>
      <c r="O184" s="1"/>
      <c r="P184" s="1"/>
      <c r="Q184" s="4"/>
      <c r="R184" s="1"/>
      <c r="S184" s="1"/>
      <c r="T184" s="2"/>
      <c r="U184" s="3"/>
      <c r="V184" s="3"/>
      <c r="W184" s="2"/>
      <c r="X184" s="1"/>
      <c r="Y184" s="1"/>
    </row>
    <row r="185" spans="1:25" x14ac:dyDescent="0.4">
      <c r="A185" s="1"/>
      <c r="B185" s="1"/>
      <c r="C185" s="1"/>
      <c r="D185" s="2"/>
      <c r="E185" s="2"/>
      <c r="F185" s="2"/>
      <c r="G185" s="2"/>
      <c r="H185" s="2"/>
      <c r="I185" s="2"/>
      <c r="J185" s="3"/>
      <c r="K185" s="2"/>
      <c r="L185" s="4"/>
      <c r="M185" s="4"/>
      <c r="N185" s="1"/>
      <c r="O185" s="1"/>
      <c r="P185" s="1"/>
      <c r="Q185" s="4"/>
      <c r="R185" s="1"/>
      <c r="S185" s="1"/>
      <c r="T185" s="2"/>
      <c r="U185" s="3"/>
      <c r="V185" s="3"/>
      <c r="W185" s="2"/>
      <c r="X185" s="1"/>
      <c r="Y185" s="1"/>
    </row>
    <row r="186" spans="1:25" x14ac:dyDescent="0.4">
      <c r="A186" s="1"/>
      <c r="B186" s="1"/>
      <c r="C186" s="1"/>
      <c r="D186" s="2"/>
      <c r="E186" s="2"/>
      <c r="F186" s="2"/>
      <c r="G186" s="2"/>
      <c r="H186" s="2"/>
      <c r="I186" s="2"/>
      <c r="J186" s="3"/>
      <c r="K186" s="2"/>
      <c r="L186" s="4"/>
      <c r="M186" s="4"/>
      <c r="N186" s="1"/>
      <c r="O186" s="1"/>
      <c r="P186" s="1"/>
      <c r="Q186" s="4"/>
      <c r="R186" s="1"/>
      <c r="S186" s="1"/>
      <c r="T186" s="2"/>
      <c r="U186" s="3"/>
      <c r="V186" s="3"/>
      <c r="W186" s="2"/>
      <c r="X186" s="1"/>
      <c r="Y186" s="1"/>
    </row>
    <row r="187" spans="1:25" x14ac:dyDescent="0.4">
      <c r="A187" s="1"/>
      <c r="B187" s="1"/>
      <c r="C187" s="1"/>
      <c r="D187" s="2"/>
      <c r="E187" s="2"/>
      <c r="F187" s="2"/>
      <c r="G187" s="2"/>
      <c r="H187" s="2"/>
      <c r="I187" s="2"/>
      <c r="J187" s="3"/>
      <c r="K187" s="2"/>
      <c r="L187" s="4"/>
      <c r="M187" s="4"/>
      <c r="N187" s="1"/>
      <c r="O187" s="1"/>
      <c r="P187" s="1"/>
      <c r="Q187" s="4"/>
      <c r="R187" s="1"/>
      <c r="S187" s="1"/>
      <c r="T187" s="2"/>
      <c r="U187" s="3"/>
      <c r="V187" s="3"/>
      <c r="W187" s="2"/>
      <c r="X187" s="1"/>
      <c r="Y187" s="1"/>
    </row>
    <row r="188" spans="1:25" x14ac:dyDescent="0.4">
      <c r="A188" s="1"/>
      <c r="B188" s="1"/>
      <c r="C188" s="1"/>
      <c r="D188" s="2"/>
      <c r="E188" s="2"/>
      <c r="F188" s="2"/>
      <c r="G188" s="2"/>
      <c r="H188" s="2"/>
      <c r="I188" s="2"/>
      <c r="J188" s="3"/>
      <c r="K188" s="2"/>
      <c r="L188" s="4"/>
      <c r="M188" s="4"/>
      <c r="N188" s="1"/>
      <c r="O188" s="1"/>
      <c r="P188" s="1"/>
      <c r="Q188" s="4"/>
      <c r="R188" s="1"/>
      <c r="S188" s="1"/>
      <c r="T188" s="2"/>
      <c r="U188" s="3"/>
      <c r="V188" s="3"/>
      <c r="W188" s="2"/>
      <c r="X188" s="1"/>
      <c r="Y188" s="1"/>
    </row>
    <row r="189" spans="1:25" x14ac:dyDescent="0.4">
      <c r="A189" s="1"/>
      <c r="B189" s="1"/>
      <c r="C189" s="1"/>
      <c r="D189" s="2"/>
      <c r="E189" s="2"/>
      <c r="F189" s="2"/>
      <c r="G189" s="2"/>
      <c r="H189" s="2"/>
      <c r="I189" s="2"/>
      <c r="J189" s="3"/>
      <c r="K189" s="2"/>
      <c r="L189" s="4"/>
      <c r="M189" s="4"/>
      <c r="N189" s="1"/>
      <c r="O189" s="1"/>
      <c r="P189" s="1"/>
      <c r="Q189" s="4"/>
      <c r="R189" s="1"/>
      <c r="S189" s="1"/>
      <c r="T189" s="2"/>
      <c r="U189" s="3"/>
      <c r="V189" s="3"/>
      <c r="W189" s="2"/>
      <c r="X189" s="1"/>
      <c r="Y189" s="1"/>
    </row>
    <row r="190" spans="1:25" x14ac:dyDescent="0.4">
      <c r="A190" s="1"/>
      <c r="B190" s="1"/>
      <c r="C190" s="1"/>
      <c r="D190" s="2"/>
      <c r="E190" s="2"/>
      <c r="F190" s="2"/>
      <c r="G190" s="2"/>
      <c r="H190" s="2"/>
      <c r="I190" s="2"/>
      <c r="J190" s="3"/>
      <c r="K190" s="2"/>
      <c r="L190" s="4"/>
      <c r="M190" s="4"/>
      <c r="N190" s="1"/>
      <c r="O190" s="1"/>
      <c r="P190" s="1"/>
      <c r="Q190" s="4"/>
      <c r="R190" s="1"/>
      <c r="S190" s="1"/>
      <c r="T190" s="2"/>
      <c r="U190" s="3"/>
      <c r="V190" s="3"/>
      <c r="W190" s="2"/>
      <c r="X190" s="1"/>
      <c r="Y190" s="1"/>
    </row>
    <row r="191" spans="1:25" x14ac:dyDescent="0.4">
      <c r="A191" s="1"/>
      <c r="B191" s="1"/>
      <c r="C191" s="1"/>
      <c r="D191" s="2"/>
      <c r="E191" s="2"/>
      <c r="F191" s="2"/>
      <c r="G191" s="2"/>
      <c r="H191" s="2"/>
      <c r="I191" s="2"/>
      <c r="J191" s="3"/>
      <c r="K191" s="2"/>
      <c r="L191" s="4"/>
      <c r="M191" s="4"/>
      <c r="N191" s="1"/>
      <c r="O191" s="1"/>
      <c r="P191" s="1"/>
      <c r="Q191" s="4"/>
      <c r="R191" s="1"/>
      <c r="S191" s="1"/>
      <c r="T191" s="2"/>
      <c r="U191" s="3"/>
      <c r="V191" s="3"/>
      <c r="W191" s="2"/>
      <c r="X191" s="1"/>
      <c r="Y191" s="1"/>
    </row>
    <row r="192" spans="1:25" x14ac:dyDescent="0.4">
      <c r="A192" s="1"/>
      <c r="B192" s="1"/>
      <c r="C192" s="1"/>
      <c r="D192" s="2"/>
      <c r="E192" s="2"/>
      <c r="F192" s="2"/>
      <c r="G192" s="2"/>
      <c r="H192" s="2"/>
      <c r="I192" s="2"/>
      <c r="J192" s="3"/>
      <c r="K192" s="2"/>
      <c r="L192" s="4"/>
      <c r="M192" s="4"/>
      <c r="N192" s="1"/>
      <c r="O192" s="1"/>
      <c r="P192" s="1"/>
      <c r="Q192" s="4"/>
      <c r="R192" s="1"/>
      <c r="S192" s="1"/>
      <c r="T192" s="2"/>
      <c r="U192" s="3"/>
      <c r="V192" s="3"/>
      <c r="W192" s="2"/>
      <c r="X192" s="1"/>
      <c r="Y192" s="1"/>
    </row>
    <row r="193" spans="1:25" x14ac:dyDescent="0.4">
      <c r="A193" s="1"/>
      <c r="B193" s="1"/>
      <c r="C193" s="1"/>
      <c r="D193" s="2"/>
      <c r="E193" s="2"/>
      <c r="F193" s="2"/>
      <c r="G193" s="2"/>
      <c r="H193" s="2"/>
      <c r="I193" s="2"/>
      <c r="J193" s="3"/>
      <c r="K193" s="2"/>
      <c r="L193" s="4"/>
      <c r="M193" s="4"/>
      <c r="N193" s="1"/>
      <c r="O193" s="1"/>
      <c r="P193" s="1"/>
      <c r="Q193" s="4"/>
      <c r="R193" s="1"/>
      <c r="S193" s="1"/>
      <c r="T193" s="2"/>
      <c r="U193" s="3"/>
      <c r="V193" s="3"/>
      <c r="W193" s="2"/>
      <c r="X193" s="1"/>
      <c r="Y193" s="1"/>
    </row>
    <row r="194" spans="1:25" x14ac:dyDescent="0.4">
      <c r="A194" s="1"/>
      <c r="B194" s="1"/>
      <c r="C194" s="1"/>
      <c r="D194" s="2"/>
      <c r="E194" s="2"/>
      <c r="F194" s="2"/>
      <c r="G194" s="2"/>
      <c r="H194" s="2"/>
      <c r="I194" s="2"/>
      <c r="J194" s="3"/>
      <c r="K194" s="2"/>
      <c r="L194" s="4"/>
      <c r="M194" s="4"/>
      <c r="N194" s="1"/>
      <c r="O194" s="1"/>
      <c r="P194" s="1"/>
      <c r="Q194" s="4"/>
      <c r="R194" s="1"/>
      <c r="S194" s="1"/>
      <c r="T194" s="2"/>
      <c r="U194" s="3"/>
      <c r="V194" s="3"/>
      <c r="W194" s="2"/>
      <c r="X194" s="1"/>
      <c r="Y194" s="1"/>
    </row>
    <row r="195" spans="1:25" x14ac:dyDescent="0.4">
      <c r="A195" s="1"/>
      <c r="B195" s="1"/>
      <c r="C195" s="1"/>
      <c r="D195" s="2"/>
      <c r="E195" s="2"/>
      <c r="F195" s="2"/>
      <c r="G195" s="2"/>
      <c r="H195" s="2"/>
      <c r="I195" s="2"/>
      <c r="J195" s="3"/>
      <c r="K195" s="2"/>
      <c r="L195" s="4"/>
      <c r="M195" s="4"/>
      <c r="N195" s="1"/>
      <c r="O195" s="1"/>
      <c r="P195" s="1"/>
      <c r="Q195" s="4"/>
      <c r="R195" s="1"/>
      <c r="S195" s="1"/>
      <c r="T195" s="2"/>
      <c r="U195" s="3"/>
      <c r="V195" s="3"/>
      <c r="W195" s="2"/>
      <c r="X195" s="1"/>
      <c r="Y195" s="1"/>
    </row>
    <row r="196" spans="1:25" x14ac:dyDescent="0.4">
      <c r="A196" s="1"/>
      <c r="B196" s="1"/>
      <c r="C196" s="1"/>
      <c r="D196" s="2"/>
      <c r="E196" s="2"/>
      <c r="F196" s="2"/>
      <c r="G196" s="2"/>
      <c r="H196" s="2"/>
      <c r="I196" s="2"/>
      <c r="J196" s="3"/>
      <c r="K196" s="2"/>
      <c r="L196" s="4"/>
      <c r="M196" s="4"/>
      <c r="N196" s="1"/>
      <c r="O196" s="1"/>
      <c r="P196" s="1"/>
      <c r="Q196" s="4"/>
      <c r="R196" s="1"/>
      <c r="S196" s="1"/>
      <c r="T196" s="2"/>
      <c r="U196" s="3"/>
      <c r="V196" s="3"/>
      <c r="W196" s="2"/>
      <c r="X196" s="1"/>
      <c r="Y196" s="1"/>
    </row>
    <row r="197" spans="1:25" x14ac:dyDescent="0.4">
      <c r="A197" s="1"/>
      <c r="B197" s="1"/>
      <c r="C197" s="1"/>
      <c r="D197" s="2"/>
      <c r="E197" s="2"/>
      <c r="F197" s="2"/>
      <c r="G197" s="2"/>
      <c r="H197" s="2"/>
      <c r="I197" s="2"/>
      <c r="J197" s="3"/>
      <c r="K197" s="2"/>
      <c r="L197" s="4"/>
      <c r="M197" s="4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4">
      <c r="A198" s="1"/>
      <c r="B198" s="1"/>
      <c r="C198" s="1"/>
      <c r="D198" s="2"/>
      <c r="E198" s="2"/>
      <c r="F198" s="2"/>
      <c r="G198" s="2"/>
      <c r="H198" s="2"/>
      <c r="I198" s="2"/>
      <c r="J198" s="3"/>
      <c r="K198" s="2"/>
      <c r="L198" s="4"/>
      <c r="M198" s="4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4">
      <c r="A199" s="1"/>
      <c r="B199" s="1"/>
      <c r="C199" s="1"/>
      <c r="D199" s="2"/>
      <c r="E199" s="2"/>
      <c r="F199" s="2"/>
      <c r="G199" s="2"/>
      <c r="H199" s="2"/>
      <c r="I199" s="2"/>
      <c r="J199" s="3"/>
      <c r="K199" s="2"/>
      <c r="L199" s="4"/>
      <c r="M199" s="4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4">
      <c r="A200" s="1"/>
      <c r="B200" s="1"/>
      <c r="C200" s="1"/>
      <c r="D200" s="2"/>
      <c r="E200" s="2"/>
      <c r="F200" s="2"/>
      <c r="G200" s="2"/>
      <c r="H200" s="2"/>
      <c r="I200" s="2"/>
      <c r="J200" s="3"/>
      <c r="K200" s="2"/>
      <c r="L200" s="4"/>
      <c r="M200" s="4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4">
      <c r="A201" s="1"/>
      <c r="B201" s="1"/>
      <c r="C201" s="1"/>
      <c r="D201" s="2"/>
      <c r="E201" s="2"/>
      <c r="F201" s="2"/>
      <c r="G201" s="2"/>
      <c r="H201" s="2"/>
      <c r="I201" s="2"/>
      <c r="J201" s="3"/>
      <c r="K201" s="2"/>
      <c r="L201" s="4"/>
      <c r="M201" s="4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4">
      <c r="A202" s="1"/>
      <c r="B202" s="1"/>
      <c r="C202" s="1"/>
      <c r="D202" s="2"/>
      <c r="E202" s="2"/>
      <c r="F202" s="2"/>
      <c r="G202" s="2"/>
      <c r="H202" s="2"/>
      <c r="I202" s="2"/>
      <c r="J202" s="3"/>
      <c r="K202" s="2"/>
      <c r="L202" s="4"/>
      <c r="M202" s="4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4">
      <c r="A203" s="1"/>
      <c r="B203" s="1"/>
      <c r="C203" s="1"/>
      <c r="D203" s="2"/>
      <c r="E203" s="2"/>
      <c r="F203" s="2"/>
      <c r="G203" s="2"/>
      <c r="H203" s="2"/>
      <c r="I203" s="2"/>
      <c r="J203" s="3"/>
      <c r="K203" s="2"/>
      <c r="L203" s="4"/>
      <c r="M203" s="4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4">
      <c r="A204" s="1"/>
      <c r="B204" s="1"/>
      <c r="C204" s="1"/>
      <c r="D204" s="2"/>
      <c r="E204" s="2"/>
      <c r="F204" s="2"/>
      <c r="G204" s="2"/>
      <c r="H204" s="2"/>
      <c r="I204" s="2"/>
      <c r="J204" s="3"/>
      <c r="K204" s="2"/>
      <c r="L204" s="4"/>
      <c r="M204" s="4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4">
      <c r="A205" s="1"/>
      <c r="B205" s="1"/>
      <c r="C205" s="1"/>
      <c r="D205" s="2"/>
      <c r="E205" s="2"/>
      <c r="F205" s="2"/>
      <c r="G205" s="2"/>
      <c r="H205" s="2"/>
      <c r="I205" s="2"/>
      <c r="J205" s="3"/>
      <c r="K205" s="2"/>
      <c r="L205" s="4"/>
      <c r="M205" s="4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s="5" customFormat="1" x14ac:dyDescent="0.4">
      <c r="A206" s="1"/>
      <c r="B206" s="1"/>
      <c r="C206" s="1"/>
      <c r="D206" s="2"/>
      <c r="E206" s="2"/>
      <c r="F206" s="2"/>
      <c r="G206" s="2"/>
      <c r="H206" s="2"/>
      <c r="I206" s="2"/>
      <c r="J206" s="3"/>
      <c r="K206" s="2"/>
      <c r="L206" s="4"/>
      <c r="M206" s="4"/>
      <c r="N206" s="290"/>
      <c r="O206" s="291"/>
      <c r="P206" s="291"/>
      <c r="Q206" s="291"/>
      <c r="R206" s="1"/>
      <c r="S206" s="1"/>
      <c r="T206" s="1"/>
      <c r="U206" s="1"/>
      <c r="V206" s="1"/>
      <c r="W206" s="1"/>
      <c r="X206" s="1"/>
      <c r="Y206" s="1"/>
    </row>
    <row r="207" spans="1:25" x14ac:dyDescent="0.4">
      <c r="A207" s="1"/>
      <c r="B207" s="1"/>
      <c r="C207" s="1"/>
      <c r="D207" s="2"/>
      <c r="E207" s="2"/>
      <c r="F207" s="2"/>
      <c r="G207" s="2"/>
      <c r="H207" s="2"/>
      <c r="I207" s="2"/>
      <c r="J207" s="3"/>
      <c r="K207" s="2"/>
      <c r="L207" s="4"/>
      <c r="M207" s="4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4">
      <c r="A208" s="1"/>
      <c r="B208" s="1"/>
      <c r="C208" s="1"/>
      <c r="D208" s="2"/>
      <c r="E208" s="2"/>
      <c r="F208" s="2"/>
      <c r="G208" s="2"/>
      <c r="H208" s="2"/>
      <c r="I208" s="2"/>
      <c r="J208" s="3"/>
      <c r="K208" s="2"/>
      <c r="L208" s="4"/>
      <c r="M208" s="4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4">
      <c r="A209" s="1"/>
      <c r="B209" s="1"/>
      <c r="C209" s="1"/>
      <c r="D209" s="2"/>
      <c r="E209" s="2"/>
      <c r="F209" s="2"/>
      <c r="G209" s="2"/>
      <c r="H209" s="2"/>
      <c r="I209" s="2"/>
      <c r="J209" s="3"/>
      <c r="K209" s="2"/>
      <c r="L209" s="4"/>
      <c r="M209" s="4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4">
      <c r="A210" s="1"/>
      <c r="B210" s="1"/>
      <c r="C210" s="1"/>
      <c r="D210" s="2"/>
      <c r="E210" s="2"/>
      <c r="F210" s="2"/>
      <c r="G210" s="2"/>
      <c r="H210" s="2"/>
      <c r="I210" s="2"/>
      <c r="J210" s="3"/>
      <c r="K210" s="2"/>
      <c r="L210" s="4"/>
      <c r="M210" s="4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x14ac:dyDescent="0.4">
      <c r="A211" s="1"/>
      <c r="B211" s="1"/>
      <c r="C211" s="1"/>
      <c r="D211" s="2"/>
      <c r="E211" s="2"/>
      <c r="F211" s="2"/>
      <c r="G211" s="2"/>
      <c r="H211" s="2"/>
      <c r="I211" s="2"/>
      <c r="J211" s="3"/>
      <c r="K211" s="2"/>
      <c r="L211" s="4"/>
      <c r="M211" s="4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x14ac:dyDescent="0.4">
      <c r="A212" s="1"/>
      <c r="B212" s="1"/>
      <c r="C212" s="1"/>
      <c r="D212" s="2"/>
      <c r="E212" s="2"/>
      <c r="F212" s="2"/>
      <c r="G212" s="2"/>
      <c r="H212" s="2"/>
      <c r="I212" s="2"/>
      <c r="J212" s="3"/>
      <c r="K212" s="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x14ac:dyDescent="0.4">
      <c r="A213" s="1"/>
      <c r="B213" s="1"/>
      <c r="C213" s="1"/>
      <c r="D213" s="2"/>
      <c r="E213" s="2"/>
      <c r="F213" s="2"/>
      <c r="G213" s="2"/>
      <c r="H213" s="2"/>
      <c r="I213" s="2"/>
      <c r="J213" s="3"/>
      <c r="K213" s="2"/>
      <c r="L213" s="4"/>
      <c r="M213" s="4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x14ac:dyDescent="0.4">
      <c r="A214" s="1"/>
      <c r="B214" s="1"/>
      <c r="C214" s="1"/>
      <c r="D214" s="2"/>
      <c r="E214" s="2"/>
      <c r="F214" s="2"/>
      <c r="G214" s="2"/>
      <c r="H214" s="2"/>
      <c r="I214" s="2"/>
      <c r="J214" s="3"/>
      <c r="K214" s="2"/>
      <c r="L214" s="4"/>
      <c r="M214" s="4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x14ac:dyDescent="0.4">
      <c r="A215" s="1"/>
      <c r="B215" s="1"/>
      <c r="C215" s="1"/>
      <c r="D215" s="2"/>
      <c r="E215" s="2"/>
      <c r="F215" s="2"/>
      <c r="G215" s="2"/>
      <c r="H215" s="2"/>
      <c r="I215" s="2"/>
      <c r="J215" s="3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x14ac:dyDescent="0.4">
      <c r="A216" s="1"/>
      <c r="B216" s="1"/>
      <c r="C216" s="1"/>
      <c r="D216" s="2"/>
      <c r="E216" s="2"/>
      <c r="F216" s="2"/>
      <c r="G216" s="2"/>
      <c r="H216" s="2"/>
      <c r="I216" s="2"/>
      <c r="J216" s="3"/>
      <c r="K216" s="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x14ac:dyDescent="0.4">
      <c r="A217" s="1"/>
      <c r="B217" s="1"/>
      <c r="C217" s="1"/>
      <c r="D217" s="2"/>
      <c r="E217" s="2"/>
      <c r="F217" s="2"/>
      <c r="G217" s="2"/>
      <c r="H217" s="2"/>
      <c r="I217" s="2"/>
      <c r="J217" s="3"/>
      <c r="K217" s="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x14ac:dyDescent="0.4">
      <c r="A218" s="1"/>
      <c r="B218" s="1"/>
      <c r="C218" s="1"/>
      <c r="D218" s="2"/>
      <c r="E218" s="2"/>
      <c r="F218" s="2"/>
      <c r="G218" s="2"/>
      <c r="H218" s="2"/>
      <c r="I218" s="2"/>
      <c r="J218" s="3"/>
      <c r="K218" s="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x14ac:dyDescent="0.4">
      <c r="A219" s="1"/>
      <c r="B219" s="1"/>
      <c r="C219" s="1"/>
      <c r="D219" s="2"/>
      <c r="E219" s="2"/>
      <c r="F219" s="2"/>
      <c r="G219" s="2"/>
      <c r="H219" s="2"/>
      <c r="I219" s="2"/>
      <c r="J219" s="3"/>
      <c r="K219" s="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x14ac:dyDescent="0.4">
      <c r="A220" s="1"/>
      <c r="B220" s="1"/>
      <c r="C220" s="1"/>
      <c r="D220" s="2"/>
      <c r="E220" s="2"/>
      <c r="F220" s="2"/>
      <c r="G220" s="2"/>
      <c r="H220" s="2"/>
      <c r="I220" s="2"/>
      <c r="J220" s="3"/>
      <c r="K220" s="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x14ac:dyDescent="0.4">
      <c r="A221" s="1"/>
      <c r="B221" s="1"/>
      <c r="C221" s="1"/>
      <c r="D221" s="2"/>
      <c r="E221" s="2"/>
      <c r="F221" s="2"/>
      <c r="G221" s="2"/>
      <c r="H221" s="2"/>
      <c r="I221" s="2"/>
      <c r="J221" s="3"/>
      <c r="K221" s="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x14ac:dyDescent="0.4">
      <c r="A222" s="1"/>
      <c r="B222" s="1"/>
      <c r="C222" s="1"/>
      <c r="D222" s="2"/>
      <c r="E222" s="2"/>
      <c r="F222" s="2"/>
      <c r="G222" s="2"/>
      <c r="H222" s="2"/>
      <c r="I222" s="2"/>
      <c r="J222" s="3"/>
      <c r="K222" s="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4">
      <c r="A223" s="1"/>
      <c r="B223" s="1"/>
      <c r="C223" s="1"/>
      <c r="D223" s="2"/>
      <c r="E223" s="2"/>
      <c r="F223" s="2"/>
      <c r="G223" s="2"/>
      <c r="H223" s="2"/>
      <c r="I223" s="2"/>
      <c r="J223" s="3"/>
      <c r="K223" s="2"/>
      <c r="L223" s="4"/>
      <c r="M223" s="4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x14ac:dyDescent="0.4">
      <c r="A224" s="1"/>
      <c r="B224" s="1"/>
      <c r="C224" s="1"/>
      <c r="D224" s="2"/>
      <c r="E224" s="2"/>
      <c r="F224" s="2"/>
      <c r="G224" s="2"/>
      <c r="H224" s="2"/>
      <c r="I224" s="2"/>
      <c r="J224" s="3"/>
      <c r="K224" s="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4">
      <c r="A225" s="1"/>
      <c r="B225" s="1"/>
      <c r="C225" s="1"/>
      <c r="D225" s="2"/>
      <c r="E225" s="2"/>
      <c r="F225" s="2"/>
      <c r="G225" s="2"/>
      <c r="H225" s="2"/>
      <c r="I225" s="2"/>
      <c r="J225" s="3"/>
      <c r="K225" s="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4">
      <c r="A226" s="1"/>
      <c r="B226" s="1"/>
      <c r="C226" s="1"/>
      <c r="D226" s="2"/>
      <c r="E226" s="2"/>
      <c r="F226" s="2"/>
      <c r="G226" s="2"/>
      <c r="H226" s="2"/>
      <c r="I226" s="2"/>
      <c r="J226" s="3"/>
      <c r="K226" s="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1:25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</sheetData>
  <mergeCells count="14">
    <mergeCell ref="L47:L48"/>
    <mergeCell ref="M47:M48"/>
    <mergeCell ref="N47:U48"/>
    <mergeCell ref="N206:Q206"/>
    <mergeCell ref="A47:A48"/>
    <mergeCell ref="B47:B48"/>
    <mergeCell ref="C47:C48"/>
    <mergeCell ref="J47:J48"/>
    <mergeCell ref="K47:K48"/>
    <mergeCell ref="A4:A5"/>
    <mergeCell ref="D4:I4"/>
    <mergeCell ref="L4:L5"/>
    <mergeCell ref="M4:M5"/>
    <mergeCell ref="D5:I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B35B4-982B-4010-B58F-1821274AD874}">
  <dimension ref="A1:Y454"/>
  <sheetViews>
    <sheetView workbookViewId="0">
      <selection activeCell="Q14" sqref="Q14"/>
    </sheetView>
  </sheetViews>
  <sheetFormatPr defaultRowHeight="17.399999999999999" x14ac:dyDescent="0.4"/>
  <cols>
    <col min="1" max="1" width="10.8984375" customWidth="1"/>
    <col min="4" max="9" width="12.09765625" customWidth="1"/>
    <col min="10" max="10" width="5.59765625" customWidth="1"/>
    <col min="11" max="11" width="12.69921875" customWidth="1"/>
    <col min="12" max="12" width="14" customWidth="1"/>
    <col min="13" max="13" width="13.59765625" customWidth="1"/>
    <col min="17" max="17" width="12.19921875" customWidth="1"/>
  </cols>
  <sheetData>
    <row r="1" spans="1:25" x14ac:dyDescent="0.4">
      <c r="A1" s="15"/>
      <c r="B1" s="14"/>
      <c r="C1" s="14" t="s">
        <v>34</v>
      </c>
      <c r="D1" s="14"/>
      <c r="E1" s="14"/>
      <c r="F1" s="14"/>
      <c r="G1" s="14"/>
      <c r="H1" s="14"/>
      <c r="I1" s="14"/>
      <c r="J1" s="15"/>
      <c r="K1" s="14" t="s">
        <v>34</v>
      </c>
      <c r="L1" s="16"/>
      <c r="M1" s="16" t="s">
        <v>33</v>
      </c>
    </row>
    <row r="2" spans="1:25" x14ac:dyDescent="0.4">
      <c r="A2" s="15" t="s">
        <v>32</v>
      </c>
      <c r="B2" s="14"/>
      <c r="C2" s="14" t="s">
        <v>31</v>
      </c>
      <c r="D2" s="14" t="s">
        <v>30</v>
      </c>
      <c r="E2" s="14"/>
      <c r="F2" s="14"/>
      <c r="G2" s="14"/>
      <c r="H2" s="14"/>
      <c r="I2" s="14"/>
      <c r="J2" s="15"/>
      <c r="K2" s="14" t="s">
        <v>29</v>
      </c>
      <c r="L2" s="13"/>
      <c r="M2" s="13" t="s">
        <v>28</v>
      </c>
    </row>
    <row r="3" spans="1:25" x14ac:dyDescent="0.4">
      <c r="B3" s="12"/>
      <c r="C3" s="11">
        <f>SUM(C6:C149)</f>
        <v>2600</v>
      </c>
      <c r="D3" s="12"/>
      <c r="E3" s="12"/>
      <c r="F3" s="12"/>
      <c r="G3" s="12"/>
      <c r="H3" s="12"/>
      <c r="I3" s="12"/>
      <c r="K3" s="11">
        <f>SUM(K6:K2477)</f>
        <v>816.66666666666674</v>
      </c>
      <c r="L3" s="11"/>
      <c r="M3" s="10"/>
    </row>
    <row r="4" spans="1:25" x14ac:dyDescent="0.4">
      <c r="A4" s="280" t="s">
        <v>27</v>
      </c>
      <c r="B4" s="8" t="s">
        <v>26</v>
      </c>
      <c r="C4" s="8" t="s">
        <v>25</v>
      </c>
      <c r="D4" s="282"/>
      <c r="E4" s="283"/>
      <c r="F4" s="283"/>
      <c r="G4" s="283"/>
      <c r="H4" s="283"/>
      <c r="I4" s="284"/>
      <c r="J4" s="9" t="s">
        <v>24</v>
      </c>
      <c r="K4" s="9" t="s">
        <v>22</v>
      </c>
      <c r="L4" s="280" t="s">
        <v>21</v>
      </c>
      <c r="M4" s="280" t="s">
        <v>20</v>
      </c>
      <c r="N4" s="285" t="s">
        <v>175</v>
      </c>
      <c r="O4" s="285"/>
      <c r="P4" s="285"/>
      <c r="Q4" s="285"/>
      <c r="R4" s="285"/>
      <c r="S4" s="285"/>
    </row>
    <row r="5" spans="1:25" x14ac:dyDescent="0.4">
      <c r="A5" s="281"/>
      <c r="B5" s="8" t="s">
        <v>19</v>
      </c>
      <c r="C5" s="8" t="s">
        <v>19</v>
      </c>
      <c r="D5" s="285" t="s">
        <v>18</v>
      </c>
      <c r="E5" s="285"/>
      <c r="F5" s="285"/>
      <c r="G5" s="285"/>
      <c r="H5" s="285"/>
      <c r="I5" s="285"/>
      <c r="J5" s="7" t="s">
        <v>17</v>
      </c>
      <c r="K5" s="7" t="s">
        <v>16</v>
      </c>
      <c r="L5" s="281"/>
      <c r="M5" s="281"/>
      <c r="N5" s="285"/>
      <c r="O5" s="285"/>
      <c r="P5" s="285"/>
      <c r="Q5" s="285"/>
      <c r="R5" s="285"/>
      <c r="S5" s="285"/>
    </row>
    <row r="6" spans="1:25" x14ac:dyDescent="0.4">
      <c r="A6" s="244" t="s">
        <v>51</v>
      </c>
      <c r="B6" s="245">
        <f>C6/6</f>
        <v>66.666666666666671</v>
      </c>
      <c r="C6" s="244">
        <v>400</v>
      </c>
      <c r="D6" s="246">
        <v>44179</v>
      </c>
      <c r="E6" s="246">
        <v>44201</v>
      </c>
      <c r="F6" s="246">
        <v>44233</v>
      </c>
      <c r="G6" s="246">
        <v>44263</v>
      </c>
      <c r="H6" s="246">
        <v>44333</v>
      </c>
      <c r="I6" s="246">
        <v>44333</v>
      </c>
      <c r="J6" s="46">
        <f>COUNTIF(D6:I6,"1")</f>
        <v>0</v>
      </c>
      <c r="K6" s="47">
        <f>J6*(C6/6)</f>
        <v>0</v>
      </c>
      <c r="L6" s="19" t="s">
        <v>50</v>
      </c>
      <c r="M6" s="19" t="s">
        <v>49</v>
      </c>
      <c r="N6" s="1"/>
      <c r="O6" s="93" t="s">
        <v>142</v>
      </c>
      <c r="P6" s="150" t="s">
        <v>359</v>
      </c>
      <c r="Q6" s="1"/>
      <c r="R6" s="1"/>
      <c r="S6" s="150" t="s">
        <v>359</v>
      </c>
      <c r="T6" s="1"/>
      <c r="U6" s="1"/>
      <c r="V6" s="1"/>
      <c r="W6" s="1"/>
      <c r="X6" s="1"/>
      <c r="Y6" s="1"/>
    </row>
    <row r="7" spans="1:25" x14ac:dyDescent="0.4">
      <c r="A7" s="244" t="s">
        <v>48</v>
      </c>
      <c r="B7" s="244">
        <v>60</v>
      </c>
      <c r="C7" s="244">
        <f t="shared" ref="C7:C11" si="0">SUM(B7*5)</f>
        <v>300</v>
      </c>
      <c r="D7" s="246">
        <v>44181</v>
      </c>
      <c r="E7" s="246">
        <v>44208</v>
      </c>
      <c r="F7" s="246">
        <v>44263</v>
      </c>
      <c r="G7" s="246">
        <v>44283</v>
      </c>
      <c r="H7" s="246">
        <v>44286</v>
      </c>
      <c r="I7" s="246">
        <v>44333</v>
      </c>
      <c r="J7" s="46">
        <f t="shared" ref="J7:J11" si="1">COUNTIF(D7:I7,"1")</f>
        <v>0</v>
      </c>
      <c r="K7" s="20">
        <f t="shared" ref="K7:K11" si="2">J7*(C7/6)</f>
        <v>0</v>
      </c>
      <c r="L7" s="19" t="s">
        <v>47</v>
      </c>
      <c r="M7" s="19" t="s">
        <v>46</v>
      </c>
      <c r="N7" s="1"/>
      <c r="O7" s="103" t="s">
        <v>155</v>
      </c>
      <c r="P7" s="110" t="s">
        <v>155</v>
      </c>
      <c r="Q7" s="1"/>
      <c r="R7" s="142" t="s">
        <v>193</v>
      </c>
      <c r="S7" s="150" t="s">
        <v>237</v>
      </c>
      <c r="T7" s="150" t="s">
        <v>360</v>
      </c>
      <c r="U7" s="1"/>
      <c r="V7" s="1"/>
      <c r="W7" s="1"/>
      <c r="X7" s="1"/>
      <c r="Y7" s="1"/>
    </row>
    <row r="8" spans="1:25" x14ac:dyDescent="0.4">
      <c r="A8" s="1" t="s">
        <v>45</v>
      </c>
      <c r="B8" s="1">
        <v>60</v>
      </c>
      <c r="C8" s="1">
        <f t="shared" si="0"/>
        <v>300</v>
      </c>
      <c r="D8" s="70">
        <v>44188</v>
      </c>
      <c r="E8" s="57">
        <v>44231</v>
      </c>
      <c r="F8" s="97">
        <v>44261</v>
      </c>
      <c r="G8" s="212">
        <v>44320</v>
      </c>
      <c r="H8" s="2">
        <v>1</v>
      </c>
      <c r="I8" s="2">
        <v>1</v>
      </c>
      <c r="J8" s="56">
        <f t="shared" si="1"/>
        <v>2</v>
      </c>
      <c r="K8" s="58">
        <f t="shared" si="2"/>
        <v>100</v>
      </c>
      <c r="L8" s="72">
        <v>44209</v>
      </c>
      <c r="M8" s="72">
        <f>L8+365</f>
        <v>44574</v>
      </c>
      <c r="N8" s="1"/>
      <c r="O8" s="86" t="s">
        <v>141</v>
      </c>
      <c r="P8" s="108" t="s">
        <v>141</v>
      </c>
      <c r="Q8" s="121" t="s">
        <v>321</v>
      </c>
      <c r="R8" s="1"/>
      <c r="S8" s="1"/>
      <c r="T8" s="1"/>
      <c r="U8" s="1"/>
      <c r="V8" s="1"/>
      <c r="W8" s="1"/>
      <c r="X8" s="1"/>
      <c r="Y8" s="1"/>
    </row>
    <row r="9" spans="1:25" x14ac:dyDescent="0.4">
      <c r="A9" s="145" t="s">
        <v>44</v>
      </c>
      <c r="B9" s="145">
        <v>60</v>
      </c>
      <c r="C9" s="145">
        <f t="shared" si="0"/>
        <v>300</v>
      </c>
      <c r="D9" s="147">
        <v>44203</v>
      </c>
      <c r="E9" s="147">
        <v>44268</v>
      </c>
      <c r="F9" s="147">
        <v>44306</v>
      </c>
      <c r="G9" s="147">
        <v>44309</v>
      </c>
      <c r="H9" s="147">
        <v>44333</v>
      </c>
      <c r="I9" s="147">
        <v>44365</v>
      </c>
      <c r="J9" s="17">
        <f t="shared" si="1"/>
        <v>0</v>
      </c>
      <c r="K9" s="275">
        <f t="shared" si="2"/>
        <v>0</v>
      </c>
      <c r="L9" s="276">
        <v>44203</v>
      </c>
      <c r="M9" s="276">
        <f>L9+365</f>
        <v>44568</v>
      </c>
      <c r="N9" s="1"/>
      <c r="O9" s="1" t="s">
        <v>151</v>
      </c>
      <c r="P9" s="102" t="s">
        <v>279</v>
      </c>
      <c r="Q9" s="121" t="s">
        <v>296</v>
      </c>
      <c r="R9" s="150" t="s">
        <v>279</v>
      </c>
      <c r="S9" s="150" t="s">
        <v>279</v>
      </c>
      <c r="T9" s="1"/>
      <c r="U9" s="1"/>
      <c r="V9" s="1"/>
      <c r="W9" s="1"/>
      <c r="X9" s="1"/>
      <c r="Y9" s="1"/>
    </row>
    <row r="10" spans="1:25" x14ac:dyDescent="0.4">
      <c r="A10" s="1" t="s">
        <v>43</v>
      </c>
      <c r="B10" s="1">
        <v>60</v>
      </c>
      <c r="C10" s="1">
        <v>350</v>
      </c>
      <c r="D10" s="154">
        <v>44286</v>
      </c>
      <c r="E10" s="212">
        <v>44319</v>
      </c>
      <c r="F10" s="278">
        <v>44371</v>
      </c>
      <c r="G10" s="2">
        <v>1</v>
      </c>
      <c r="H10" s="2">
        <v>1</v>
      </c>
      <c r="I10" s="2">
        <v>1</v>
      </c>
      <c r="J10" s="56">
        <f t="shared" si="1"/>
        <v>3</v>
      </c>
      <c r="K10" s="55">
        <f t="shared" si="2"/>
        <v>175</v>
      </c>
      <c r="L10" s="154">
        <v>44286</v>
      </c>
      <c r="M10" s="72">
        <f>L10+365</f>
        <v>44651</v>
      </c>
      <c r="N10" s="1"/>
      <c r="O10" s="158" t="s">
        <v>204</v>
      </c>
      <c r="P10" s="143" t="s">
        <v>204</v>
      </c>
      <c r="Q10" s="139" t="s">
        <v>428</v>
      </c>
      <c r="R10" s="1"/>
      <c r="S10" s="1"/>
      <c r="T10" s="1"/>
      <c r="U10" s="1"/>
      <c r="V10" s="1"/>
      <c r="W10" s="1"/>
      <c r="X10" s="1"/>
      <c r="Y10" s="1"/>
    </row>
    <row r="11" spans="1:25" x14ac:dyDescent="0.4">
      <c r="A11" s="88" t="s">
        <v>42</v>
      </c>
      <c r="B11" s="88">
        <v>60</v>
      </c>
      <c r="C11" s="88">
        <f t="shared" si="0"/>
        <v>300</v>
      </c>
      <c r="D11" s="89">
        <v>44183</v>
      </c>
      <c r="E11" s="89">
        <v>44186</v>
      </c>
      <c r="F11" s="89"/>
      <c r="G11" s="90">
        <v>0</v>
      </c>
      <c r="H11" s="89">
        <v>44206</v>
      </c>
      <c r="I11" s="89">
        <v>44232</v>
      </c>
      <c r="J11" s="91">
        <f t="shared" si="1"/>
        <v>0</v>
      </c>
      <c r="K11" s="90">
        <f t="shared" si="2"/>
        <v>0</v>
      </c>
      <c r="L11" s="89">
        <v>44183</v>
      </c>
      <c r="M11" s="92" t="s">
        <v>41</v>
      </c>
      <c r="N11" s="1"/>
      <c r="O11" s="87">
        <v>9595</v>
      </c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4">
      <c r="A12" s="152" t="s">
        <v>42</v>
      </c>
      <c r="B12" s="152">
        <v>60</v>
      </c>
      <c r="C12" s="152">
        <v>350</v>
      </c>
      <c r="D12" s="253">
        <v>44342</v>
      </c>
      <c r="E12" s="153">
        <v>1</v>
      </c>
      <c r="F12" s="153">
        <v>1</v>
      </c>
      <c r="G12" s="153">
        <v>1</v>
      </c>
      <c r="H12" s="153">
        <v>1</v>
      </c>
      <c r="I12" s="153">
        <v>1</v>
      </c>
      <c r="J12" s="151">
        <f t="shared" ref="J12:J13" si="3">COUNTIF(D12:I12,"1")</f>
        <v>5</v>
      </c>
      <c r="K12" s="55">
        <f t="shared" ref="K12:K13" si="4">J12*(C12/6)</f>
        <v>291.66666666666669</v>
      </c>
      <c r="L12" s="154">
        <v>44286</v>
      </c>
      <c r="M12" s="4" t="s">
        <v>41</v>
      </c>
      <c r="N12" s="150" t="s">
        <v>205</v>
      </c>
      <c r="O12" s="142" t="s">
        <v>205</v>
      </c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s="40" customFormat="1" x14ac:dyDescent="0.4">
      <c r="A13" s="193" t="s">
        <v>45</v>
      </c>
      <c r="B13" s="193">
        <v>60</v>
      </c>
      <c r="C13" s="193">
        <f t="shared" ref="C13" si="5">SUM(B13*5)</f>
        <v>300</v>
      </c>
      <c r="D13" s="194">
        <v>44307</v>
      </c>
      <c r="E13" s="195">
        <v>1</v>
      </c>
      <c r="F13" s="195">
        <v>1</v>
      </c>
      <c r="G13" s="195">
        <v>1</v>
      </c>
      <c r="H13" s="195">
        <v>1</v>
      </c>
      <c r="I13" s="195">
        <v>1</v>
      </c>
      <c r="J13" s="196">
        <f t="shared" si="3"/>
        <v>5</v>
      </c>
      <c r="K13" s="195">
        <f t="shared" si="4"/>
        <v>250</v>
      </c>
      <c r="L13" s="197"/>
      <c r="M13" s="197">
        <f>L13+365</f>
        <v>365</v>
      </c>
      <c r="N13" s="187"/>
      <c r="O13" s="115" t="s">
        <v>282</v>
      </c>
      <c r="P13" s="187"/>
      <c r="Q13" s="187"/>
      <c r="R13" s="187"/>
      <c r="S13" s="187"/>
      <c r="T13" s="187"/>
      <c r="U13" s="187"/>
      <c r="V13" s="187"/>
      <c r="W13" s="187"/>
      <c r="X13" s="187"/>
      <c r="Y13" s="187"/>
    </row>
    <row r="14" spans="1:25" x14ac:dyDescent="0.4">
      <c r="A14" s="1"/>
      <c r="B14" s="1"/>
      <c r="C14" s="1"/>
      <c r="D14" s="2"/>
      <c r="E14" s="2"/>
      <c r="F14" s="2"/>
      <c r="G14" s="2"/>
      <c r="H14" s="2"/>
      <c r="I14" s="2"/>
      <c r="J14" s="3"/>
      <c r="K14" s="2"/>
      <c r="L14" s="4"/>
      <c r="M14" s="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4">
      <c r="A15" s="1"/>
      <c r="B15" s="1"/>
      <c r="C15" s="1"/>
      <c r="D15" s="2"/>
      <c r="E15" s="2"/>
      <c r="F15" s="2"/>
      <c r="G15" s="2"/>
      <c r="H15" s="2"/>
      <c r="I15" s="2"/>
      <c r="J15" s="3"/>
      <c r="K15" s="2"/>
      <c r="L15" s="4"/>
      <c r="M15" s="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4">
      <c r="A16" s="1"/>
      <c r="B16" s="1"/>
      <c r="C16" s="1"/>
      <c r="D16" s="2"/>
      <c r="E16" s="2"/>
      <c r="F16" s="2"/>
      <c r="G16" s="2"/>
      <c r="H16" s="2"/>
      <c r="I16" s="2"/>
      <c r="J16" s="3"/>
      <c r="K16" s="2"/>
      <c r="L16" s="4"/>
      <c r="M16" s="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4">
      <c r="A17" s="1"/>
      <c r="B17" s="1"/>
      <c r="C17" s="1"/>
      <c r="D17" s="2"/>
      <c r="E17" s="2"/>
      <c r="F17" s="2"/>
      <c r="G17" s="2"/>
      <c r="H17" s="2"/>
      <c r="I17" s="2"/>
      <c r="J17" s="3"/>
      <c r="K17" s="2"/>
      <c r="L17" s="4"/>
      <c r="M17" s="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4">
      <c r="A18" s="1"/>
      <c r="B18" s="1"/>
      <c r="C18" s="1"/>
      <c r="D18" s="2"/>
      <c r="E18" s="2"/>
      <c r="F18" s="2"/>
      <c r="G18" s="2"/>
      <c r="H18" s="2"/>
      <c r="I18" s="2"/>
      <c r="J18" s="3"/>
      <c r="K18" s="2"/>
      <c r="L18" s="4"/>
      <c r="M18" s="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4">
      <c r="A19" s="1"/>
      <c r="B19" s="1"/>
      <c r="C19" s="1"/>
      <c r="D19" s="2"/>
      <c r="E19" s="2"/>
      <c r="F19" s="2"/>
      <c r="G19" s="2"/>
      <c r="H19" s="2"/>
      <c r="I19" s="2"/>
      <c r="J19" s="3"/>
      <c r="K19" s="2"/>
      <c r="L19" s="4"/>
      <c r="M19" s="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4">
      <c r="A20" s="1"/>
      <c r="B20" s="1"/>
      <c r="C20" s="1"/>
      <c r="D20" s="2"/>
      <c r="E20" s="2"/>
      <c r="F20" s="2"/>
      <c r="G20" s="2"/>
      <c r="H20" s="2"/>
      <c r="I20" s="2"/>
      <c r="J20" s="3"/>
      <c r="K20" s="2"/>
      <c r="L20" s="4"/>
      <c r="M20" s="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4">
      <c r="A21" s="1"/>
      <c r="B21" s="1"/>
      <c r="C21" s="1"/>
      <c r="D21" s="2"/>
      <c r="E21" s="2"/>
      <c r="F21" s="2"/>
      <c r="G21" s="2"/>
      <c r="H21" s="2"/>
      <c r="I21" s="2"/>
      <c r="J21" s="3"/>
      <c r="K21" s="2"/>
      <c r="L21" s="4"/>
      <c r="M21" s="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4">
      <c r="A22" s="1"/>
      <c r="B22" s="1"/>
      <c r="C22" s="1"/>
      <c r="D22" s="2"/>
      <c r="E22" s="2"/>
      <c r="F22" s="2"/>
      <c r="G22" s="2"/>
      <c r="H22" s="2"/>
      <c r="I22" s="2"/>
      <c r="J22" s="3"/>
      <c r="K22" s="2"/>
      <c r="L22" s="4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4">
      <c r="A23" s="1"/>
      <c r="B23" s="1"/>
      <c r="C23" s="1"/>
      <c r="D23" s="2"/>
      <c r="E23" s="2"/>
      <c r="F23" s="2"/>
      <c r="G23" s="2"/>
      <c r="H23" s="2"/>
      <c r="I23" s="2"/>
      <c r="J23" s="3"/>
      <c r="K23" s="2"/>
      <c r="L23" s="4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4">
      <c r="A24" s="1"/>
      <c r="B24" s="1"/>
      <c r="C24" s="1"/>
      <c r="D24" s="2"/>
      <c r="E24" s="2"/>
      <c r="F24" s="2"/>
      <c r="G24" s="2"/>
      <c r="H24" s="2"/>
      <c r="I24" s="2"/>
      <c r="J24" s="3"/>
      <c r="K24" s="2"/>
      <c r="L24" s="4"/>
      <c r="M24" s="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4">
      <c r="A25" s="1"/>
      <c r="B25" s="1"/>
      <c r="C25" s="1"/>
      <c r="D25" s="2"/>
      <c r="E25" s="2"/>
      <c r="F25" s="2"/>
      <c r="G25" s="2"/>
      <c r="H25" s="2"/>
      <c r="I25" s="2"/>
      <c r="J25" s="3"/>
      <c r="K25" s="2"/>
      <c r="L25" s="4"/>
      <c r="M25" s="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4">
      <c r="A26" s="1"/>
      <c r="B26" s="1"/>
      <c r="C26" s="1"/>
      <c r="D26" s="2"/>
      <c r="E26" s="2"/>
      <c r="F26" s="2"/>
      <c r="G26" s="2"/>
      <c r="H26" s="2"/>
      <c r="I26" s="2"/>
      <c r="J26" s="3"/>
      <c r="K26" s="2"/>
      <c r="L26" s="4"/>
      <c r="M26" s="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4">
      <c r="A27" s="1"/>
      <c r="B27" s="1"/>
      <c r="C27" s="1"/>
      <c r="D27" s="2"/>
      <c r="E27" s="2"/>
      <c r="F27" s="2"/>
      <c r="G27" s="2"/>
      <c r="H27" s="2"/>
      <c r="I27" s="2"/>
      <c r="J27" s="3"/>
      <c r="K27" s="2"/>
      <c r="L27" s="4"/>
      <c r="M27" s="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4">
      <c r="A28" s="1"/>
      <c r="B28" s="1"/>
      <c r="C28" s="1"/>
      <c r="D28" s="2"/>
      <c r="E28" s="2"/>
      <c r="F28" s="2"/>
      <c r="G28" s="2"/>
      <c r="H28" s="2"/>
      <c r="I28" s="2"/>
      <c r="J28" s="3"/>
      <c r="K28" s="2"/>
      <c r="L28" s="4"/>
      <c r="M28" s="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4">
      <c r="A29" s="1"/>
      <c r="B29" s="1"/>
      <c r="C29" s="1"/>
      <c r="D29" s="2"/>
      <c r="E29" s="2"/>
      <c r="F29" s="2"/>
      <c r="G29" s="2"/>
      <c r="H29" s="2"/>
      <c r="I29" s="2"/>
      <c r="J29" s="3"/>
      <c r="K29" s="2"/>
      <c r="L29" s="4"/>
      <c r="M29" s="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4">
      <c r="A30" s="1"/>
      <c r="B30" s="1"/>
      <c r="C30" s="1"/>
      <c r="D30" s="2"/>
      <c r="E30" s="2"/>
      <c r="F30" s="2"/>
      <c r="G30" s="2"/>
      <c r="H30" s="2"/>
      <c r="I30" s="2"/>
      <c r="J30" s="3"/>
      <c r="K30" s="2"/>
      <c r="L30" s="4"/>
      <c r="M30" s="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4">
      <c r="A31" s="1"/>
      <c r="B31" s="1"/>
      <c r="C31" s="1"/>
      <c r="D31" s="2"/>
      <c r="E31" s="2"/>
      <c r="F31" s="2"/>
      <c r="G31" s="2"/>
      <c r="H31" s="2"/>
      <c r="I31" s="2"/>
      <c r="J31" s="3"/>
      <c r="K31" s="2"/>
      <c r="L31" s="4"/>
      <c r="M31" s="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4">
      <c r="A32" s="1"/>
      <c r="B32" s="1"/>
      <c r="C32" s="1"/>
      <c r="D32" s="2"/>
      <c r="E32" s="2"/>
      <c r="F32" s="2"/>
      <c r="G32" s="2"/>
      <c r="H32" s="2"/>
      <c r="I32" s="2"/>
      <c r="J32" s="3"/>
      <c r="K32" s="2"/>
      <c r="L32" s="4"/>
      <c r="M32" s="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4">
      <c r="A33" s="1"/>
      <c r="B33" s="1"/>
      <c r="C33" s="1"/>
      <c r="D33" s="2"/>
      <c r="E33" s="2"/>
      <c r="F33" s="2"/>
      <c r="G33" s="2"/>
      <c r="H33" s="2"/>
      <c r="I33" s="2"/>
      <c r="J33" s="3"/>
      <c r="K33" s="2"/>
      <c r="L33" s="4"/>
      <c r="M33" s="4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4">
      <c r="A34" s="1"/>
      <c r="B34" s="1"/>
      <c r="C34" s="1"/>
      <c r="D34" s="2"/>
      <c r="E34" s="2"/>
      <c r="F34" s="2"/>
      <c r="G34" s="2"/>
      <c r="H34" s="2"/>
      <c r="I34" s="2"/>
      <c r="J34" s="3"/>
      <c r="K34" s="2"/>
      <c r="L34" s="4"/>
      <c r="M34" s="4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4">
      <c r="A35" s="1"/>
      <c r="B35" s="1"/>
      <c r="C35" s="1"/>
      <c r="D35" s="2"/>
      <c r="E35" s="2"/>
      <c r="F35" s="2"/>
      <c r="G35" s="2"/>
      <c r="H35" s="2"/>
      <c r="I35" s="2"/>
      <c r="J35" s="3"/>
      <c r="K35" s="2"/>
      <c r="L35" s="4"/>
      <c r="M35" s="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4">
      <c r="A36" s="1"/>
      <c r="B36" s="1"/>
      <c r="C36" s="1"/>
      <c r="D36" s="2"/>
      <c r="E36" s="2"/>
      <c r="F36" s="2"/>
      <c r="G36" s="2"/>
      <c r="H36" s="2"/>
      <c r="I36" s="2"/>
      <c r="J36" s="3"/>
      <c r="K36" s="2"/>
      <c r="L36" s="4"/>
      <c r="M36" s="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4">
      <c r="A37" s="286"/>
      <c r="B37" s="279"/>
      <c r="C37" s="279"/>
      <c r="D37" s="2"/>
      <c r="E37" s="2"/>
      <c r="F37" s="2"/>
      <c r="G37" s="2"/>
      <c r="H37" s="2"/>
      <c r="I37" s="2"/>
      <c r="J37" s="287"/>
      <c r="K37" s="287"/>
      <c r="L37" s="288"/>
      <c r="M37" s="288"/>
      <c r="N37" s="289"/>
      <c r="O37" s="289"/>
      <c r="P37" s="289"/>
      <c r="Q37" s="289"/>
      <c r="R37" s="289"/>
      <c r="S37" s="289"/>
      <c r="T37" s="289"/>
      <c r="U37" s="289"/>
      <c r="V37" s="1"/>
      <c r="W37" s="1"/>
      <c r="X37" s="1"/>
      <c r="Y37" s="1"/>
    </row>
    <row r="38" spans="1:25" x14ac:dyDescent="0.4">
      <c r="A38" s="286"/>
      <c r="B38" s="279"/>
      <c r="C38" s="279"/>
      <c r="D38" s="2"/>
      <c r="E38" s="2"/>
      <c r="F38" s="2"/>
      <c r="G38" s="2"/>
      <c r="H38" s="2"/>
      <c r="I38" s="2"/>
      <c r="J38" s="287"/>
      <c r="K38" s="287"/>
      <c r="L38" s="288"/>
      <c r="M38" s="288"/>
      <c r="N38" s="289"/>
      <c r="O38" s="289"/>
      <c r="P38" s="289"/>
      <c r="Q38" s="289"/>
      <c r="R38" s="289"/>
      <c r="S38" s="289"/>
      <c r="T38" s="289"/>
      <c r="U38" s="289"/>
      <c r="V38" s="1"/>
      <c r="W38" s="1"/>
      <c r="X38" s="1"/>
      <c r="Y38" s="1"/>
    </row>
    <row r="39" spans="1:25" x14ac:dyDescent="0.4">
      <c r="A39" s="1"/>
      <c r="B39" s="1"/>
      <c r="C39" s="1"/>
      <c r="D39" s="2"/>
      <c r="E39" s="2"/>
      <c r="F39" s="2"/>
      <c r="G39" s="2"/>
      <c r="H39" s="2"/>
      <c r="I39" s="2"/>
      <c r="J39" s="3"/>
      <c r="K39" s="2"/>
      <c r="L39" s="4"/>
      <c r="M39" s="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4">
      <c r="A40" s="1"/>
      <c r="B40" s="1"/>
      <c r="C40" s="1"/>
      <c r="D40" s="2"/>
      <c r="E40" s="2"/>
      <c r="F40" s="2"/>
      <c r="G40" s="2"/>
      <c r="H40" s="2"/>
      <c r="I40" s="2"/>
      <c r="J40" s="3"/>
      <c r="K40" s="2"/>
      <c r="L40" s="4"/>
      <c r="M40" s="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4">
      <c r="A41" s="1"/>
      <c r="B41" s="1"/>
      <c r="C41" s="1"/>
      <c r="D41" s="2"/>
      <c r="E41" s="2"/>
      <c r="F41" s="2"/>
      <c r="G41" s="2"/>
      <c r="H41" s="2"/>
      <c r="I41" s="2"/>
      <c r="J41" s="3"/>
      <c r="K41" s="2"/>
      <c r="L41" s="4"/>
      <c r="M41" s="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4">
      <c r="A42" s="1"/>
      <c r="B42" s="1"/>
      <c r="C42" s="1"/>
      <c r="D42" s="2"/>
      <c r="E42" s="2"/>
      <c r="F42" s="2"/>
      <c r="G42" s="2"/>
      <c r="H42" s="2"/>
      <c r="I42" s="2"/>
      <c r="J42" s="3"/>
      <c r="K42" s="2"/>
      <c r="L42" s="4"/>
      <c r="M42" s="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4">
      <c r="A43" s="1"/>
      <c r="B43" s="1"/>
      <c r="C43" s="1"/>
      <c r="D43" s="2"/>
      <c r="E43" s="2"/>
      <c r="F43" s="2"/>
      <c r="G43" s="2"/>
      <c r="H43" s="2"/>
      <c r="I43" s="2"/>
      <c r="J43" s="3"/>
      <c r="K43" s="2"/>
      <c r="L43" s="4"/>
      <c r="M43" s="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4">
      <c r="A44" s="1"/>
      <c r="B44" s="1"/>
      <c r="C44" s="1"/>
      <c r="D44" s="2"/>
      <c r="E44" s="2"/>
      <c r="F44" s="2"/>
      <c r="G44" s="2"/>
      <c r="H44" s="2"/>
      <c r="I44" s="2"/>
      <c r="J44" s="3"/>
      <c r="K44" s="2"/>
      <c r="L44" s="4"/>
      <c r="M44" s="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4">
      <c r="A45" s="1"/>
      <c r="B45" s="1"/>
      <c r="C45" s="1"/>
      <c r="D45" s="2"/>
      <c r="E45" s="2"/>
      <c r="F45" s="2"/>
      <c r="G45" s="2"/>
      <c r="H45" s="2"/>
      <c r="I45" s="2"/>
      <c r="J45" s="3"/>
      <c r="K45" s="2"/>
      <c r="L45" s="4"/>
      <c r="M45" s="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4">
      <c r="A46" s="1"/>
      <c r="B46" s="1"/>
      <c r="C46" s="1"/>
      <c r="D46" s="2"/>
      <c r="E46" s="2"/>
      <c r="F46" s="2"/>
      <c r="G46" s="2"/>
      <c r="H46" s="2"/>
      <c r="I46" s="2"/>
      <c r="J46" s="3"/>
      <c r="K46" s="2"/>
      <c r="L46" s="4"/>
      <c r="M46" s="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4">
      <c r="A47" s="1"/>
      <c r="B47" s="1"/>
      <c r="C47" s="1"/>
      <c r="D47" s="2"/>
      <c r="E47" s="2"/>
      <c r="F47" s="2"/>
      <c r="G47" s="2"/>
      <c r="H47" s="2"/>
      <c r="I47" s="2"/>
      <c r="J47" s="3"/>
      <c r="K47" s="2"/>
      <c r="L47" s="4"/>
      <c r="M47" s="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4">
      <c r="A48" s="1"/>
      <c r="B48" s="1"/>
      <c r="C48" s="1"/>
      <c r="D48" s="2"/>
      <c r="E48" s="2"/>
      <c r="F48" s="2"/>
      <c r="G48" s="2"/>
      <c r="H48" s="2"/>
      <c r="I48" s="2"/>
      <c r="J48" s="3"/>
      <c r="K48" s="2"/>
      <c r="L48" s="4"/>
      <c r="M48" s="4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4">
      <c r="A49" s="1"/>
      <c r="B49" s="1"/>
      <c r="C49" s="1"/>
      <c r="D49" s="2"/>
      <c r="E49" s="2"/>
      <c r="F49" s="2"/>
      <c r="G49" s="2"/>
      <c r="H49" s="2"/>
      <c r="I49" s="2"/>
      <c r="J49" s="3"/>
      <c r="K49" s="2"/>
      <c r="L49" s="4"/>
      <c r="M49" s="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4">
      <c r="A50" s="1"/>
      <c r="B50" s="1"/>
      <c r="C50" s="1"/>
      <c r="D50" s="2"/>
      <c r="E50" s="2"/>
      <c r="F50" s="2"/>
      <c r="G50" s="2"/>
      <c r="H50" s="2"/>
      <c r="I50" s="2"/>
      <c r="J50" s="3"/>
      <c r="K50" s="2"/>
      <c r="L50" s="4"/>
      <c r="M50" s="4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4">
      <c r="A51" s="1"/>
      <c r="B51" s="1"/>
      <c r="C51" s="1"/>
      <c r="D51" s="2"/>
      <c r="E51" s="2"/>
      <c r="F51" s="2"/>
      <c r="G51" s="2"/>
      <c r="H51" s="2"/>
      <c r="I51" s="2"/>
      <c r="J51" s="3"/>
      <c r="K51" s="2"/>
      <c r="L51" s="4"/>
      <c r="M51" s="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4">
      <c r="A52" s="1"/>
      <c r="B52" s="1"/>
      <c r="C52" s="1"/>
      <c r="D52" s="2"/>
      <c r="E52" s="2"/>
      <c r="F52" s="2"/>
      <c r="G52" s="2"/>
      <c r="H52" s="2"/>
      <c r="I52" s="2"/>
      <c r="J52" s="3"/>
      <c r="K52" s="2"/>
      <c r="L52" s="4"/>
      <c r="M52" s="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4">
      <c r="A53" s="1"/>
      <c r="B53" s="1"/>
      <c r="C53" s="1"/>
      <c r="D53" s="2"/>
      <c r="E53" s="2"/>
      <c r="F53" s="2"/>
      <c r="G53" s="2"/>
      <c r="H53" s="2"/>
      <c r="I53" s="2"/>
      <c r="J53" s="3"/>
      <c r="K53" s="2"/>
      <c r="L53" s="4"/>
      <c r="M53" s="4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4">
      <c r="A54" s="1"/>
      <c r="B54" s="1"/>
      <c r="C54" s="1"/>
      <c r="D54" s="2"/>
      <c r="E54" s="2"/>
      <c r="F54" s="2"/>
      <c r="G54" s="2"/>
      <c r="H54" s="2"/>
      <c r="I54" s="2"/>
      <c r="J54" s="3"/>
      <c r="K54" s="2"/>
      <c r="L54" s="4"/>
      <c r="M54" s="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4">
      <c r="A55" s="1"/>
      <c r="B55" s="1"/>
      <c r="C55" s="1"/>
      <c r="D55" s="2"/>
      <c r="E55" s="2"/>
      <c r="F55" s="2"/>
      <c r="G55" s="2"/>
      <c r="H55" s="2"/>
      <c r="I55" s="2"/>
      <c r="J55" s="3"/>
      <c r="K55" s="2"/>
      <c r="L55" s="4"/>
      <c r="M55" s="4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4">
      <c r="A56" s="1"/>
      <c r="B56" s="1"/>
      <c r="C56" s="1"/>
      <c r="D56" s="2"/>
      <c r="E56" s="2"/>
      <c r="F56" s="2"/>
      <c r="G56" s="2"/>
      <c r="H56" s="2"/>
      <c r="I56" s="2"/>
      <c r="J56" s="3"/>
      <c r="K56" s="2"/>
      <c r="L56" s="4"/>
      <c r="M56" s="4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4">
      <c r="A57" s="1"/>
      <c r="B57" s="1"/>
      <c r="C57" s="1"/>
      <c r="D57" s="2"/>
      <c r="E57" s="2"/>
      <c r="F57" s="2"/>
      <c r="G57" s="2"/>
      <c r="H57" s="2"/>
      <c r="I57" s="2"/>
      <c r="J57" s="3"/>
      <c r="K57" s="2"/>
      <c r="L57" s="4"/>
      <c r="M57" s="4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4">
      <c r="A58" s="1"/>
      <c r="B58" s="1"/>
      <c r="C58" s="1"/>
      <c r="D58" s="2"/>
      <c r="E58" s="2"/>
      <c r="F58" s="2"/>
      <c r="G58" s="2"/>
      <c r="H58" s="2"/>
      <c r="I58" s="2"/>
      <c r="J58" s="3"/>
      <c r="K58" s="2"/>
      <c r="L58" s="4"/>
      <c r="M58" s="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4">
      <c r="A59" s="1"/>
      <c r="B59" s="1"/>
      <c r="C59" s="1"/>
      <c r="D59" s="2"/>
      <c r="E59" s="2"/>
      <c r="F59" s="2"/>
      <c r="G59" s="2"/>
      <c r="H59" s="2"/>
      <c r="I59" s="2"/>
      <c r="J59" s="3"/>
      <c r="K59" s="2"/>
      <c r="L59" s="4"/>
      <c r="M59" s="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4">
      <c r="A60" s="1"/>
      <c r="B60" s="1"/>
      <c r="C60" s="1"/>
      <c r="D60" s="2"/>
      <c r="E60" s="2"/>
      <c r="F60" s="2"/>
      <c r="G60" s="2"/>
      <c r="H60" s="2"/>
      <c r="I60" s="2"/>
      <c r="J60" s="3"/>
      <c r="K60" s="2"/>
      <c r="L60" s="4"/>
      <c r="M60" s="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4">
      <c r="A61" s="1"/>
      <c r="B61" s="1"/>
      <c r="C61" s="1"/>
      <c r="D61" s="2"/>
      <c r="E61" s="2"/>
      <c r="F61" s="2"/>
      <c r="G61" s="2"/>
      <c r="H61" s="2"/>
      <c r="I61" s="2"/>
      <c r="J61" s="3"/>
      <c r="K61" s="2"/>
      <c r="L61" s="4"/>
      <c r="M61" s="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4">
      <c r="A62" s="1"/>
      <c r="B62" s="1"/>
      <c r="C62" s="1"/>
      <c r="D62" s="2"/>
      <c r="E62" s="2"/>
      <c r="F62" s="2"/>
      <c r="G62" s="2"/>
      <c r="H62" s="2"/>
      <c r="I62" s="2"/>
      <c r="J62" s="3"/>
      <c r="K62" s="2"/>
      <c r="L62" s="4"/>
      <c r="M62" s="4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4">
      <c r="A63" s="1"/>
      <c r="B63" s="1"/>
      <c r="C63" s="1"/>
      <c r="D63" s="2"/>
      <c r="E63" s="2"/>
      <c r="F63" s="2"/>
      <c r="G63" s="2"/>
      <c r="H63" s="2"/>
      <c r="I63" s="2"/>
      <c r="J63" s="3"/>
      <c r="K63" s="2"/>
      <c r="L63" s="4"/>
      <c r="M63" s="4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4">
      <c r="A64" s="1"/>
      <c r="B64" s="1"/>
      <c r="C64" s="1"/>
      <c r="D64" s="2"/>
      <c r="E64" s="2"/>
      <c r="F64" s="2"/>
      <c r="G64" s="2"/>
      <c r="H64" s="2"/>
      <c r="I64" s="2"/>
      <c r="J64" s="3"/>
      <c r="K64" s="2"/>
      <c r="L64" s="4"/>
      <c r="M64" s="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4">
      <c r="A65" s="1"/>
      <c r="B65" s="1"/>
      <c r="C65" s="1"/>
      <c r="D65" s="2"/>
      <c r="E65" s="2"/>
      <c r="F65" s="2"/>
      <c r="G65" s="2"/>
      <c r="H65" s="2"/>
      <c r="I65" s="2"/>
      <c r="J65" s="3"/>
      <c r="K65" s="2"/>
      <c r="L65" s="4"/>
      <c r="M65" s="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4">
      <c r="A66" s="1"/>
      <c r="B66" s="1"/>
      <c r="C66" s="1"/>
      <c r="D66" s="2"/>
      <c r="E66" s="2"/>
      <c r="F66" s="2"/>
      <c r="G66" s="2"/>
      <c r="H66" s="2"/>
      <c r="I66" s="2"/>
      <c r="J66" s="3"/>
      <c r="K66" s="2"/>
      <c r="L66" s="4"/>
      <c r="M66" s="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4">
      <c r="A67" s="1"/>
      <c r="B67" s="1"/>
      <c r="C67" s="1"/>
      <c r="D67" s="2"/>
      <c r="E67" s="2"/>
      <c r="F67" s="2"/>
      <c r="G67" s="2"/>
      <c r="H67" s="2"/>
      <c r="I67" s="2"/>
      <c r="J67" s="3"/>
      <c r="K67" s="2"/>
      <c r="L67" s="4"/>
      <c r="M67" s="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4">
      <c r="A68" s="1"/>
      <c r="B68" s="1"/>
      <c r="C68" s="1"/>
      <c r="D68" s="2"/>
      <c r="E68" s="2"/>
      <c r="F68" s="2"/>
      <c r="G68" s="2"/>
      <c r="H68" s="2"/>
      <c r="I68" s="2"/>
      <c r="J68" s="3"/>
      <c r="K68" s="2"/>
      <c r="L68" s="4"/>
      <c r="M68" s="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4">
      <c r="A69" s="1"/>
      <c r="B69" s="1"/>
      <c r="C69" s="1"/>
      <c r="D69" s="2"/>
      <c r="E69" s="2"/>
      <c r="F69" s="2"/>
      <c r="G69" s="2"/>
      <c r="H69" s="2"/>
      <c r="I69" s="2"/>
      <c r="J69" s="3"/>
      <c r="K69" s="2"/>
      <c r="L69" s="4"/>
      <c r="M69" s="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4">
      <c r="A70" s="1"/>
      <c r="B70" s="1"/>
      <c r="C70" s="1"/>
      <c r="D70" s="2"/>
      <c r="E70" s="2"/>
      <c r="F70" s="2"/>
      <c r="G70" s="2"/>
      <c r="H70" s="2"/>
      <c r="I70" s="2"/>
      <c r="J70" s="3"/>
      <c r="K70" s="2"/>
      <c r="L70" s="4"/>
      <c r="M70" s="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4">
      <c r="A71" s="1"/>
      <c r="B71" s="1"/>
      <c r="C71" s="1"/>
      <c r="D71" s="2"/>
      <c r="E71" s="2"/>
      <c r="F71" s="2"/>
      <c r="G71" s="2"/>
      <c r="H71" s="2"/>
      <c r="I71" s="2"/>
      <c r="J71" s="3"/>
      <c r="K71" s="2"/>
      <c r="L71" s="4"/>
      <c r="M71" s="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4">
      <c r="A72" s="1"/>
      <c r="B72" s="1"/>
      <c r="C72" s="1"/>
      <c r="D72" s="2"/>
      <c r="E72" s="2"/>
      <c r="F72" s="2"/>
      <c r="G72" s="2"/>
      <c r="H72" s="2"/>
      <c r="I72" s="2"/>
      <c r="J72" s="3"/>
      <c r="K72" s="2"/>
      <c r="L72" s="4"/>
      <c r="M72" s="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4">
      <c r="A73" s="1"/>
      <c r="B73" s="1"/>
      <c r="C73" s="1"/>
      <c r="D73" s="2"/>
      <c r="E73" s="2"/>
      <c r="F73" s="2"/>
      <c r="G73" s="2"/>
      <c r="H73" s="2"/>
      <c r="I73" s="2"/>
      <c r="J73" s="3"/>
      <c r="K73" s="2"/>
      <c r="L73" s="4"/>
      <c r="M73" s="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4">
      <c r="A74" s="1"/>
      <c r="B74" s="1"/>
      <c r="C74" s="1"/>
      <c r="D74" s="2"/>
      <c r="E74" s="2"/>
      <c r="F74" s="2"/>
      <c r="G74" s="2"/>
      <c r="H74" s="2"/>
      <c r="I74" s="2"/>
      <c r="J74" s="3"/>
      <c r="K74" s="2"/>
      <c r="L74" s="4"/>
      <c r="M74" s="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4">
      <c r="A75" s="1"/>
      <c r="B75" s="1"/>
      <c r="C75" s="1"/>
      <c r="D75" s="2"/>
      <c r="E75" s="2"/>
      <c r="F75" s="2"/>
      <c r="G75" s="2"/>
      <c r="H75" s="2"/>
      <c r="I75" s="2"/>
      <c r="J75" s="3"/>
      <c r="K75" s="2"/>
      <c r="L75" s="4"/>
      <c r="M75" s="4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4">
      <c r="A76" s="1"/>
      <c r="B76" s="1"/>
      <c r="C76" s="1"/>
      <c r="D76" s="2"/>
      <c r="E76" s="2"/>
      <c r="F76" s="2"/>
      <c r="G76" s="2"/>
      <c r="H76" s="2"/>
      <c r="I76" s="2"/>
      <c r="J76" s="3"/>
      <c r="K76" s="2"/>
      <c r="L76" s="4"/>
      <c r="M76" s="4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4">
      <c r="A77" s="1"/>
      <c r="B77" s="1"/>
      <c r="C77" s="1"/>
      <c r="D77" s="2"/>
      <c r="E77" s="2"/>
      <c r="F77" s="2"/>
      <c r="G77" s="2"/>
      <c r="H77" s="2"/>
      <c r="I77" s="2"/>
      <c r="J77" s="3"/>
      <c r="K77" s="2"/>
      <c r="L77" s="4"/>
      <c r="M77" s="4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4">
      <c r="A78" s="1"/>
      <c r="B78" s="1"/>
      <c r="C78" s="1"/>
      <c r="D78" s="2"/>
      <c r="E78" s="2"/>
      <c r="F78" s="2"/>
      <c r="G78" s="2"/>
      <c r="H78" s="2"/>
      <c r="I78" s="2"/>
      <c r="J78" s="3"/>
      <c r="K78" s="2"/>
      <c r="L78" s="4"/>
      <c r="M78" s="4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4">
      <c r="A79" s="1"/>
      <c r="B79" s="1"/>
      <c r="C79" s="1"/>
      <c r="D79" s="2"/>
      <c r="E79" s="2"/>
      <c r="F79" s="2"/>
      <c r="G79" s="2"/>
      <c r="H79" s="2"/>
      <c r="I79" s="2"/>
      <c r="J79" s="3"/>
      <c r="K79" s="2"/>
      <c r="L79" s="4"/>
      <c r="M79" s="4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4">
      <c r="A80" s="1"/>
      <c r="B80" s="1"/>
      <c r="C80" s="1"/>
      <c r="D80" s="2"/>
      <c r="E80" s="2"/>
      <c r="F80" s="2"/>
      <c r="G80" s="2"/>
      <c r="H80" s="2"/>
      <c r="I80" s="2"/>
      <c r="J80" s="3"/>
      <c r="K80" s="2"/>
      <c r="L80" s="4"/>
      <c r="M80" s="4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4">
      <c r="A81" s="1"/>
      <c r="B81" s="1"/>
      <c r="C81" s="1"/>
      <c r="D81" s="2"/>
      <c r="E81" s="2"/>
      <c r="F81" s="2"/>
      <c r="G81" s="2"/>
      <c r="H81" s="2"/>
      <c r="I81" s="2"/>
      <c r="J81" s="3"/>
      <c r="K81" s="2"/>
      <c r="L81" s="4"/>
      <c r="M81" s="4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4">
      <c r="A82" s="1"/>
      <c r="B82" s="1"/>
      <c r="C82" s="1"/>
      <c r="D82" s="2"/>
      <c r="E82" s="2"/>
      <c r="F82" s="2"/>
      <c r="G82" s="2"/>
      <c r="H82" s="2"/>
      <c r="I82" s="2"/>
      <c r="J82" s="3"/>
      <c r="K82" s="2"/>
      <c r="L82" s="4"/>
      <c r="M82" s="4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4">
      <c r="A83" s="1"/>
      <c r="B83" s="1"/>
      <c r="C83" s="1"/>
      <c r="D83" s="2"/>
      <c r="E83" s="2"/>
      <c r="F83" s="2"/>
      <c r="G83" s="2"/>
      <c r="H83" s="2"/>
      <c r="I83" s="2"/>
      <c r="J83" s="3"/>
      <c r="K83" s="2"/>
      <c r="L83" s="4"/>
      <c r="M83" s="4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4">
      <c r="A84" s="1"/>
      <c r="B84" s="1"/>
      <c r="C84" s="1"/>
      <c r="D84" s="2"/>
      <c r="E84" s="2"/>
      <c r="F84" s="2"/>
      <c r="G84" s="2"/>
      <c r="H84" s="2"/>
      <c r="I84" s="2"/>
      <c r="J84" s="3"/>
      <c r="K84" s="2"/>
      <c r="L84" s="4"/>
      <c r="M84" s="4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4">
      <c r="A85" s="1"/>
      <c r="B85" s="1"/>
      <c r="C85" s="1"/>
      <c r="D85" s="2"/>
      <c r="E85" s="2"/>
      <c r="F85" s="2"/>
      <c r="G85" s="2"/>
      <c r="H85" s="2"/>
      <c r="I85" s="2"/>
      <c r="J85" s="3"/>
      <c r="K85" s="2"/>
      <c r="L85" s="4"/>
      <c r="M85" s="4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4">
      <c r="A86" s="1"/>
      <c r="B86" s="1"/>
      <c r="C86" s="1"/>
      <c r="D86" s="2"/>
      <c r="E86" s="2"/>
      <c r="F86" s="2"/>
      <c r="G86" s="2"/>
      <c r="H86" s="2"/>
      <c r="I86" s="2"/>
      <c r="J86" s="3"/>
      <c r="K86" s="2"/>
      <c r="L86" s="4"/>
      <c r="M86" s="4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4">
      <c r="A87" s="1"/>
      <c r="B87" s="1"/>
      <c r="C87" s="1"/>
      <c r="D87" s="2"/>
      <c r="E87" s="2"/>
      <c r="F87" s="2"/>
      <c r="G87" s="2"/>
      <c r="H87" s="2"/>
      <c r="I87" s="2"/>
      <c r="J87" s="3"/>
      <c r="K87" s="2"/>
      <c r="L87" s="4"/>
      <c r="M87" s="4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4">
      <c r="A88" s="1"/>
      <c r="B88" s="1"/>
      <c r="C88" s="1"/>
      <c r="D88" s="2"/>
      <c r="E88" s="2"/>
      <c r="F88" s="2"/>
      <c r="G88" s="2"/>
      <c r="H88" s="2"/>
      <c r="I88" s="2"/>
      <c r="J88" s="3"/>
      <c r="K88" s="2"/>
      <c r="L88" s="4"/>
      <c r="M88" s="4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4">
      <c r="A89" s="1"/>
      <c r="B89" s="1"/>
      <c r="C89" s="1"/>
      <c r="D89" s="2"/>
      <c r="E89" s="2"/>
      <c r="F89" s="2"/>
      <c r="G89" s="2"/>
      <c r="H89" s="2"/>
      <c r="I89" s="2"/>
      <c r="J89" s="3"/>
      <c r="K89" s="2"/>
      <c r="L89" s="4"/>
      <c r="M89" s="4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4">
      <c r="A90" s="1"/>
      <c r="B90" s="1"/>
      <c r="C90" s="1"/>
      <c r="D90" s="2"/>
      <c r="E90" s="2"/>
      <c r="F90" s="2"/>
      <c r="G90" s="2"/>
      <c r="H90" s="2"/>
      <c r="I90" s="2"/>
      <c r="J90" s="3"/>
      <c r="K90" s="2"/>
      <c r="L90" s="4"/>
      <c r="M90" s="4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4">
      <c r="A91" s="1"/>
      <c r="B91" s="1"/>
      <c r="C91" s="1"/>
      <c r="D91" s="2"/>
      <c r="E91" s="2"/>
      <c r="F91" s="2"/>
      <c r="G91" s="2"/>
      <c r="H91" s="2"/>
      <c r="I91" s="2"/>
      <c r="J91" s="3"/>
      <c r="K91" s="2"/>
      <c r="L91" s="4"/>
      <c r="M91" s="4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4">
      <c r="A92" s="1"/>
      <c r="B92" s="1"/>
      <c r="C92" s="1"/>
      <c r="D92" s="2"/>
      <c r="E92" s="2"/>
      <c r="F92" s="2"/>
      <c r="G92" s="2"/>
      <c r="H92" s="2"/>
      <c r="I92" s="2"/>
      <c r="J92" s="3"/>
      <c r="K92" s="2"/>
      <c r="L92" s="4"/>
      <c r="M92" s="4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4">
      <c r="A93" s="1"/>
      <c r="B93" s="1"/>
      <c r="C93" s="1"/>
      <c r="D93" s="2"/>
      <c r="E93" s="2"/>
      <c r="F93" s="2"/>
      <c r="G93" s="2"/>
      <c r="H93" s="2"/>
      <c r="I93" s="2"/>
      <c r="J93" s="3"/>
      <c r="K93" s="2"/>
      <c r="L93" s="4"/>
      <c r="M93" s="4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4">
      <c r="A94" s="1"/>
      <c r="B94" s="1"/>
      <c r="C94" s="1"/>
      <c r="D94" s="2"/>
      <c r="E94" s="2"/>
      <c r="F94" s="2"/>
      <c r="G94" s="2"/>
      <c r="H94" s="2"/>
      <c r="I94" s="2"/>
      <c r="J94" s="3"/>
      <c r="K94" s="2"/>
      <c r="L94" s="4"/>
      <c r="M94" s="4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4">
      <c r="A95" s="1"/>
      <c r="B95" s="1"/>
      <c r="C95" s="1"/>
      <c r="D95" s="2"/>
      <c r="E95" s="2"/>
      <c r="F95" s="2"/>
      <c r="G95" s="2"/>
      <c r="H95" s="2"/>
      <c r="I95" s="2"/>
      <c r="J95" s="3"/>
      <c r="K95" s="2"/>
      <c r="L95" s="4"/>
      <c r="M95" s="4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4">
      <c r="A96" s="1"/>
      <c r="B96" s="1"/>
      <c r="C96" s="1"/>
      <c r="D96" s="2"/>
      <c r="E96" s="2"/>
      <c r="F96" s="2"/>
      <c r="G96" s="2"/>
      <c r="H96" s="2"/>
      <c r="I96" s="2"/>
      <c r="J96" s="3"/>
      <c r="K96" s="2"/>
      <c r="L96" s="4"/>
      <c r="M96" s="4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4">
      <c r="A97" s="1"/>
      <c r="B97" s="1"/>
      <c r="C97" s="1"/>
      <c r="D97" s="2"/>
      <c r="E97" s="2"/>
      <c r="F97" s="2"/>
      <c r="G97" s="2"/>
      <c r="H97" s="2"/>
      <c r="I97" s="2"/>
      <c r="J97" s="3"/>
      <c r="K97" s="2"/>
      <c r="L97" s="4"/>
      <c r="M97" s="4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4">
      <c r="A98" s="1"/>
      <c r="B98" s="1"/>
      <c r="C98" s="1"/>
      <c r="D98" s="2"/>
      <c r="E98" s="2"/>
      <c r="F98" s="2"/>
      <c r="G98" s="2"/>
      <c r="H98" s="2"/>
      <c r="I98" s="2"/>
      <c r="J98" s="3"/>
      <c r="K98" s="2"/>
      <c r="L98" s="4"/>
      <c r="M98" s="4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4">
      <c r="A99" s="1"/>
      <c r="B99" s="1"/>
      <c r="C99" s="1"/>
      <c r="D99" s="2"/>
      <c r="E99" s="2"/>
      <c r="F99" s="2"/>
      <c r="G99" s="2"/>
      <c r="H99" s="2"/>
      <c r="I99" s="2"/>
      <c r="J99" s="3"/>
      <c r="K99" s="2"/>
      <c r="L99" s="4"/>
      <c r="M99" s="4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4">
      <c r="A100" s="1"/>
      <c r="B100" s="1"/>
      <c r="C100" s="1"/>
      <c r="D100" s="2"/>
      <c r="E100" s="2"/>
      <c r="F100" s="2"/>
      <c r="G100" s="2"/>
      <c r="H100" s="2"/>
      <c r="I100" s="2"/>
      <c r="J100" s="3"/>
      <c r="K100" s="2"/>
      <c r="L100" s="4"/>
      <c r="M100" s="4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4">
      <c r="A101" s="1"/>
      <c r="B101" s="1"/>
      <c r="C101" s="1"/>
      <c r="D101" s="2"/>
      <c r="E101" s="2"/>
      <c r="F101" s="2"/>
      <c r="G101" s="2"/>
      <c r="H101" s="2"/>
      <c r="I101" s="2"/>
      <c r="J101" s="3"/>
      <c r="K101" s="2"/>
      <c r="L101" s="4"/>
      <c r="M101" s="4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4">
      <c r="A102" s="1"/>
      <c r="B102" s="1"/>
      <c r="C102" s="1"/>
      <c r="D102" s="2"/>
      <c r="E102" s="2"/>
      <c r="F102" s="2"/>
      <c r="G102" s="2"/>
      <c r="H102" s="2"/>
      <c r="I102" s="2"/>
      <c r="J102" s="3"/>
      <c r="K102" s="2"/>
      <c r="L102" s="4"/>
      <c r="M102" s="4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4">
      <c r="A103" s="1"/>
      <c r="B103" s="1"/>
      <c r="C103" s="1"/>
      <c r="D103" s="2"/>
      <c r="E103" s="2"/>
      <c r="F103" s="2"/>
      <c r="G103" s="2"/>
      <c r="H103" s="2"/>
      <c r="I103" s="2"/>
      <c r="J103" s="3"/>
      <c r="K103" s="2"/>
      <c r="L103" s="4"/>
      <c r="M103" s="4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4">
      <c r="A104" s="1"/>
      <c r="B104" s="1"/>
      <c r="C104" s="1"/>
      <c r="D104" s="2"/>
      <c r="E104" s="2"/>
      <c r="F104" s="2"/>
      <c r="G104" s="2"/>
      <c r="H104" s="2"/>
      <c r="I104" s="2"/>
      <c r="J104" s="3"/>
      <c r="K104" s="2"/>
      <c r="L104" s="4"/>
      <c r="M104" s="4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4">
      <c r="A105" s="1"/>
      <c r="B105" s="1"/>
      <c r="C105" s="1"/>
      <c r="D105" s="2"/>
      <c r="E105" s="2"/>
      <c r="F105" s="2"/>
      <c r="G105" s="2"/>
      <c r="H105" s="2"/>
      <c r="I105" s="2"/>
      <c r="J105" s="3"/>
      <c r="K105" s="2"/>
      <c r="L105" s="4"/>
      <c r="M105" s="4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s="1" customFormat="1" x14ac:dyDescent="0.4">
      <c r="D106" s="2"/>
      <c r="E106" s="2"/>
      <c r="F106" s="2"/>
      <c r="G106" s="2"/>
      <c r="H106" s="2"/>
      <c r="I106" s="2"/>
      <c r="J106" s="3"/>
      <c r="K106" s="2"/>
      <c r="L106" s="4"/>
      <c r="M106" s="4"/>
    </row>
    <row r="107" spans="1:25" x14ac:dyDescent="0.4">
      <c r="A107" s="1"/>
      <c r="B107" s="1"/>
      <c r="C107" s="1"/>
      <c r="D107" s="2"/>
      <c r="E107" s="2"/>
      <c r="F107" s="2"/>
      <c r="G107" s="2"/>
      <c r="H107" s="2"/>
      <c r="I107" s="2"/>
      <c r="J107" s="3"/>
      <c r="K107" s="2"/>
      <c r="L107" s="4"/>
      <c r="M107" s="4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4">
      <c r="A108" s="1"/>
      <c r="B108" s="1"/>
      <c r="C108" s="1"/>
      <c r="D108" s="2"/>
      <c r="E108" s="2"/>
      <c r="F108" s="2"/>
      <c r="G108" s="2"/>
      <c r="H108" s="2"/>
      <c r="I108" s="2"/>
      <c r="J108" s="3"/>
      <c r="K108" s="2"/>
      <c r="L108" s="4"/>
      <c r="M108" s="4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4">
      <c r="A109" s="1"/>
      <c r="B109" s="1"/>
      <c r="C109" s="1"/>
      <c r="D109" s="2"/>
      <c r="E109" s="2"/>
      <c r="F109" s="2"/>
      <c r="G109" s="2"/>
      <c r="H109" s="2"/>
      <c r="I109" s="2"/>
      <c r="J109" s="3"/>
      <c r="K109" s="2"/>
      <c r="L109" s="4"/>
      <c r="M109" s="4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4">
      <c r="A110" s="1"/>
      <c r="B110" s="1"/>
      <c r="C110" s="1"/>
      <c r="D110" s="2"/>
      <c r="E110" s="2"/>
      <c r="F110" s="2"/>
      <c r="G110" s="2"/>
      <c r="H110" s="2"/>
      <c r="I110" s="2"/>
      <c r="J110" s="3"/>
      <c r="K110" s="2"/>
      <c r="L110" s="4"/>
      <c r="M110" s="4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4">
      <c r="A111" s="1"/>
      <c r="B111" s="1"/>
      <c r="C111" s="1"/>
      <c r="D111" s="2"/>
      <c r="E111" s="2"/>
      <c r="F111" s="2"/>
      <c r="G111" s="2"/>
      <c r="H111" s="2"/>
      <c r="I111" s="2"/>
      <c r="J111" s="3"/>
      <c r="K111" s="2"/>
      <c r="L111" s="4"/>
      <c r="M111" s="4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4">
      <c r="A112" s="1"/>
      <c r="B112" s="1"/>
      <c r="C112" s="1"/>
      <c r="D112" s="2"/>
      <c r="E112" s="2"/>
      <c r="F112" s="2"/>
      <c r="G112" s="2"/>
      <c r="H112" s="2"/>
      <c r="I112" s="2"/>
      <c r="J112" s="3"/>
      <c r="K112" s="2"/>
      <c r="L112" s="4"/>
      <c r="M112" s="4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4">
      <c r="A113" s="1"/>
      <c r="B113" s="1"/>
      <c r="C113" s="1"/>
      <c r="D113" s="2"/>
      <c r="E113" s="2"/>
      <c r="F113" s="2"/>
      <c r="G113" s="2"/>
      <c r="H113" s="2"/>
      <c r="I113" s="2"/>
      <c r="J113" s="3"/>
      <c r="K113" s="2"/>
      <c r="L113" s="4"/>
      <c r="M113" s="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4">
      <c r="A114" s="1"/>
      <c r="B114" s="1"/>
      <c r="C114" s="1"/>
      <c r="D114" s="2"/>
      <c r="E114" s="2"/>
      <c r="F114" s="2"/>
      <c r="G114" s="2"/>
      <c r="H114" s="2"/>
      <c r="I114" s="2"/>
      <c r="J114" s="3"/>
      <c r="K114" s="2"/>
      <c r="L114" s="4"/>
      <c r="M114" s="4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4">
      <c r="A115" s="1"/>
      <c r="B115" s="1"/>
      <c r="C115" s="1"/>
      <c r="D115" s="2"/>
      <c r="E115" s="2"/>
      <c r="F115" s="2"/>
      <c r="G115" s="2"/>
      <c r="H115" s="2"/>
      <c r="I115" s="2"/>
      <c r="J115" s="3"/>
      <c r="K115" s="2"/>
      <c r="L115" s="4"/>
      <c r="M115" s="4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4">
      <c r="A116" s="1"/>
      <c r="B116" s="1"/>
      <c r="C116" s="1"/>
      <c r="D116" s="2"/>
      <c r="E116" s="2"/>
      <c r="F116" s="2"/>
      <c r="G116" s="2"/>
      <c r="H116" s="2"/>
      <c r="I116" s="2"/>
      <c r="J116" s="3"/>
      <c r="K116" s="2"/>
      <c r="L116" s="4"/>
      <c r="M116" s="4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4">
      <c r="A117" s="1"/>
      <c r="B117" s="1"/>
      <c r="C117" s="1"/>
      <c r="D117" s="2"/>
      <c r="E117" s="2"/>
      <c r="F117" s="2"/>
      <c r="G117" s="2"/>
      <c r="H117" s="2"/>
      <c r="I117" s="2"/>
      <c r="J117" s="3"/>
      <c r="K117" s="2"/>
      <c r="L117" s="4"/>
      <c r="M117" s="4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4">
      <c r="A118" s="1"/>
      <c r="B118" s="1"/>
      <c r="C118" s="1"/>
      <c r="D118" s="2"/>
      <c r="E118" s="2"/>
      <c r="F118" s="2"/>
      <c r="G118" s="2"/>
      <c r="H118" s="2"/>
      <c r="I118" s="2"/>
      <c r="J118" s="3"/>
      <c r="K118" s="2"/>
      <c r="L118" s="4"/>
      <c r="M118" s="4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4">
      <c r="A119" s="1"/>
      <c r="B119" s="1"/>
      <c r="C119" s="1"/>
      <c r="D119" s="2"/>
      <c r="E119" s="2"/>
      <c r="F119" s="2"/>
      <c r="G119" s="2"/>
      <c r="H119" s="2"/>
      <c r="I119" s="2"/>
      <c r="J119" s="3"/>
      <c r="K119" s="2"/>
      <c r="L119" s="4"/>
      <c r="M119" s="4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4">
      <c r="A120" s="1"/>
      <c r="B120" s="1"/>
      <c r="C120" s="1"/>
      <c r="D120" s="2"/>
      <c r="E120" s="2"/>
      <c r="F120" s="2"/>
      <c r="G120" s="2"/>
      <c r="H120" s="2"/>
      <c r="I120" s="2"/>
      <c r="J120" s="3"/>
      <c r="K120" s="2"/>
      <c r="L120" s="4"/>
      <c r="M120" s="4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4">
      <c r="A121" s="1"/>
      <c r="B121" s="1"/>
      <c r="C121" s="1"/>
      <c r="D121" s="2"/>
      <c r="E121" s="2"/>
      <c r="F121" s="2"/>
      <c r="G121" s="2"/>
      <c r="H121" s="2"/>
      <c r="I121" s="2"/>
      <c r="J121" s="3"/>
      <c r="K121" s="2"/>
      <c r="L121" s="4"/>
      <c r="M121" s="4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4">
      <c r="A122" s="1"/>
      <c r="B122" s="1"/>
      <c r="C122" s="1"/>
      <c r="D122" s="2"/>
      <c r="E122" s="2"/>
      <c r="F122" s="2"/>
      <c r="G122" s="2"/>
      <c r="H122" s="2"/>
      <c r="I122" s="2"/>
      <c r="J122" s="3"/>
      <c r="K122" s="2"/>
      <c r="L122" s="4"/>
      <c r="M122" s="4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4">
      <c r="A123" s="1"/>
      <c r="B123" s="1"/>
      <c r="C123" s="1"/>
      <c r="D123" s="2"/>
      <c r="E123" s="2"/>
      <c r="F123" s="2"/>
      <c r="G123" s="2"/>
      <c r="H123" s="2"/>
      <c r="I123" s="2"/>
      <c r="J123" s="3"/>
      <c r="K123" s="2"/>
      <c r="L123" s="4"/>
      <c r="M123" s="4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4">
      <c r="A124" s="1"/>
      <c r="B124" s="1"/>
      <c r="C124" s="1"/>
      <c r="D124" s="2"/>
      <c r="E124" s="2"/>
      <c r="F124" s="2"/>
      <c r="G124" s="2"/>
      <c r="H124" s="2"/>
      <c r="I124" s="2"/>
      <c r="J124" s="3"/>
      <c r="K124" s="2"/>
      <c r="L124" s="4"/>
      <c r="M124" s="4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4">
      <c r="A125" s="1"/>
      <c r="B125" s="1"/>
      <c r="C125" s="1"/>
      <c r="D125" s="2"/>
      <c r="E125" s="2"/>
      <c r="F125" s="2"/>
      <c r="G125" s="2"/>
      <c r="H125" s="2"/>
      <c r="I125" s="2"/>
      <c r="J125" s="3"/>
      <c r="K125" s="2"/>
      <c r="L125" s="4"/>
      <c r="M125" s="4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4">
      <c r="A126" s="1"/>
      <c r="B126" s="1"/>
      <c r="C126" s="1"/>
      <c r="D126" s="2"/>
      <c r="E126" s="2"/>
      <c r="F126" s="2"/>
      <c r="G126" s="2"/>
      <c r="H126" s="2"/>
      <c r="I126" s="2"/>
      <c r="J126" s="3"/>
      <c r="K126" s="2"/>
      <c r="L126" s="4"/>
      <c r="M126" s="4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4">
      <c r="A127" s="1"/>
      <c r="B127" s="1"/>
      <c r="C127" s="1"/>
      <c r="D127" s="2"/>
      <c r="E127" s="2"/>
      <c r="F127" s="2"/>
      <c r="G127" s="2"/>
      <c r="H127" s="2"/>
      <c r="I127" s="2"/>
      <c r="J127" s="3"/>
      <c r="K127" s="2"/>
      <c r="L127" s="6"/>
      <c r="M127" s="1"/>
      <c r="N127" s="1"/>
      <c r="O127" s="1"/>
      <c r="P127" s="1"/>
      <c r="Q127" s="4"/>
      <c r="R127" s="1"/>
      <c r="S127" s="1"/>
      <c r="T127" s="2"/>
      <c r="U127" s="3"/>
      <c r="V127" s="3"/>
      <c r="W127" s="2"/>
      <c r="X127" s="1"/>
      <c r="Y127" s="1"/>
    </row>
    <row r="128" spans="1:25" x14ac:dyDescent="0.4">
      <c r="A128" s="1"/>
      <c r="B128" s="1"/>
      <c r="C128" s="1"/>
      <c r="D128" s="2"/>
      <c r="E128" s="2"/>
      <c r="F128" s="2"/>
      <c r="G128" s="2"/>
      <c r="H128" s="2"/>
      <c r="I128" s="2"/>
      <c r="J128" s="3"/>
      <c r="K128" s="2"/>
      <c r="L128" s="4"/>
      <c r="M128" s="4"/>
      <c r="N128" s="1"/>
      <c r="O128" s="1"/>
      <c r="P128" s="1"/>
      <c r="Q128" s="4"/>
      <c r="R128" s="1"/>
      <c r="S128" s="1"/>
      <c r="T128" s="2"/>
      <c r="U128" s="3"/>
      <c r="V128" s="3"/>
      <c r="W128" s="2"/>
      <c r="X128" s="1"/>
      <c r="Y128" s="1"/>
    </row>
    <row r="129" spans="1:25" x14ac:dyDescent="0.4">
      <c r="A129" s="1"/>
      <c r="B129" s="1"/>
      <c r="C129" s="1"/>
      <c r="D129" s="2"/>
      <c r="E129" s="2"/>
      <c r="F129" s="2"/>
      <c r="G129" s="2"/>
      <c r="H129" s="2"/>
      <c r="I129" s="2"/>
      <c r="J129" s="3"/>
      <c r="K129" s="2"/>
      <c r="L129" s="4"/>
      <c r="M129" s="4"/>
      <c r="N129" s="1"/>
      <c r="O129" s="1"/>
      <c r="P129" s="1"/>
      <c r="Q129" s="4"/>
      <c r="R129" s="1"/>
      <c r="S129" s="1"/>
      <c r="T129" s="2"/>
      <c r="U129" s="3"/>
      <c r="V129" s="3"/>
      <c r="W129" s="2"/>
      <c r="X129" s="1"/>
      <c r="Y129" s="1"/>
    </row>
    <row r="130" spans="1:25" x14ac:dyDescent="0.4">
      <c r="A130" s="1"/>
      <c r="B130" s="1"/>
      <c r="C130" s="1"/>
      <c r="D130" s="2"/>
      <c r="E130" s="2"/>
      <c r="F130" s="2"/>
      <c r="G130" s="2"/>
      <c r="H130" s="2"/>
      <c r="I130" s="2"/>
      <c r="J130" s="3"/>
      <c r="K130" s="2"/>
      <c r="L130" s="4"/>
      <c r="M130" s="4"/>
      <c r="N130" s="1"/>
      <c r="O130" s="1"/>
      <c r="P130" s="1"/>
      <c r="Q130" s="4"/>
      <c r="R130" s="1"/>
      <c r="S130" s="1"/>
      <c r="T130" s="2"/>
      <c r="U130" s="3"/>
      <c r="V130" s="3"/>
      <c r="W130" s="2"/>
      <c r="X130" s="1"/>
      <c r="Y130" s="1"/>
    </row>
    <row r="131" spans="1:25" x14ac:dyDescent="0.4">
      <c r="A131" s="1"/>
      <c r="B131" s="1"/>
      <c r="C131" s="1"/>
      <c r="D131" s="2"/>
      <c r="E131" s="2"/>
      <c r="F131" s="2"/>
      <c r="G131" s="2"/>
      <c r="H131" s="2"/>
      <c r="I131" s="2"/>
      <c r="J131" s="3"/>
      <c r="K131" s="2"/>
      <c r="L131" s="4"/>
      <c r="M131" s="4"/>
      <c r="N131" s="1"/>
      <c r="O131" s="1"/>
      <c r="P131" s="1"/>
      <c r="Q131" s="4"/>
      <c r="R131" s="1"/>
      <c r="S131" s="1"/>
      <c r="T131" s="2"/>
      <c r="U131" s="3"/>
      <c r="V131" s="3"/>
      <c r="W131" s="2"/>
      <c r="X131" s="1"/>
      <c r="Y131" s="1"/>
    </row>
    <row r="132" spans="1:25" x14ac:dyDescent="0.4">
      <c r="A132" s="1"/>
      <c r="B132" s="1"/>
      <c r="C132" s="1"/>
      <c r="D132" s="2"/>
      <c r="E132" s="2"/>
      <c r="F132" s="2"/>
      <c r="G132" s="2"/>
      <c r="H132" s="2"/>
      <c r="I132" s="2"/>
      <c r="J132" s="3"/>
      <c r="K132" s="2"/>
      <c r="L132" s="4"/>
      <c r="M132" s="4"/>
      <c r="N132" s="1"/>
      <c r="O132" s="1"/>
      <c r="P132" s="1"/>
      <c r="Q132" s="4"/>
      <c r="R132" s="1"/>
      <c r="S132" s="1"/>
      <c r="T132" s="2"/>
      <c r="U132" s="3"/>
      <c r="V132" s="3"/>
      <c r="W132" s="2"/>
      <c r="X132" s="1"/>
      <c r="Y132" s="1"/>
    </row>
    <row r="133" spans="1:25" x14ac:dyDescent="0.4">
      <c r="A133" s="1"/>
      <c r="B133" s="1"/>
      <c r="C133" s="1"/>
      <c r="D133" s="2"/>
      <c r="E133" s="2"/>
      <c r="F133" s="2"/>
      <c r="G133" s="2"/>
      <c r="H133" s="2"/>
      <c r="I133" s="2"/>
      <c r="J133" s="3"/>
      <c r="K133" s="2"/>
      <c r="L133" s="4"/>
      <c r="M133" s="4"/>
      <c r="N133" s="1"/>
      <c r="O133" s="1"/>
      <c r="P133" s="1"/>
      <c r="Q133" s="4"/>
      <c r="R133" s="1"/>
      <c r="S133" s="1"/>
      <c r="T133" s="2"/>
      <c r="U133" s="3"/>
      <c r="V133" s="3"/>
      <c r="W133" s="2"/>
      <c r="X133" s="1"/>
      <c r="Y133" s="1"/>
    </row>
    <row r="134" spans="1:25" x14ac:dyDescent="0.4">
      <c r="A134" s="1"/>
      <c r="B134" s="1"/>
      <c r="C134" s="1"/>
      <c r="D134" s="2"/>
      <c r="E134" s="2"/>
      <c r="F134" s="2"/>
      <c r="G134" s="2"/>
      <c r="H134" s="2"/>
      <c r="I134" s="2"/>
      <c r="J134" s="3"/>
      <c r="K134" s="2"/>
      <c r="L134" s="4"/>
      <c r="M134" s="4"/>
      <c r="N134" s="1"/>
      <c r="O134" s="1"/>
      <c r="P134" s="1"/>
      <c r="Q134" s="4"/>
      <c r="R134" s="1"/>
      <c r="S134" s="1"/>
      <c r="T134" s="2"/>
      <c r="U134" s="3"/>
      <c r="V134" s="3"/>
      <c r="W134" s="2"/>
      <c r="X134" s="1"/>
      <c r="Y134" s="1"/>
    </row>
    <row r="135" spans="1:25" x14ac:dyDescent="0.4">
      <c r="A135" s="1"/>
      <c r="B135" s="1"/>
      <c r="C135" s="1"/>
      <c r="D135" s="2"/>
      <c r="E135" s="2"/>
      <c r="F135" s="2"/>
      <c r="G135" s="2"/>
      <c r="H135" s="2"/>
      <c r="I135" s="2"/>
      <c r="J135" s="3"/>
      <c r="K135" s="2"/>
      <c r="L135" s="4"/>
      <c r="M135" s="4"/>
      <c r="N135" s="1"/>
      <c r="O135" s="1"/>
      <c r="P135" s="1"/>
      <c r="Q135" s="4"/>
      <c r="R135" s="1"/>
      <c r="S135" s="1"/>
      <c r="T135" s="2"/>
      <c r="U135" s="3"/>
      <c r="V135" s="3"/>
      <c r="W135" s="2"/>
      <c r="X135" s="1"/>
      <c r="Y135" s="1"/>
    </row>
    <row r="136" spans="1:25" x14ac:dyDescent="0.4">
      <c r="A136" s="1"/>
      <c r="B136" s="1"/>
      <c r="C136" s="1"/>
      <c r="D136" s="2"/>
      <c r="E136" s="2"/>
      <c r="F136" s="2"/>
      <c r="G136" s="2"/>
      <c r="H136" s="2"/>
      <c r="I136" s="2"/>
      <c r="J136" s="3"/>
      <c r="K136" s="2"/>
      <c r="L136" s="4"/>
      <c r="M136" s="4"/>
      <c r="N136" s="1"/>
      <c r="O136" s="1"/>
      <c r="P136" s="1"/>
      <c r="Q136" s="4"/>
      <c r="R136" s="1"/>
      <c r="S136" s="1"/>
      <c r="T136" s="2"/>
      <c r="U136" s="3"/>
      <c r="V136" s="3"/>
      <c r="W136" s="2"/>
      <c r="X136" s="1"/>
      <c r="Y136" s="1"/>
    </row>
    <row r="137" spans="1:25" x14ac:dyDescent="0.4">
      <c r="A137" s="1"/>
      <c r="B137" s="1"/>
      <c r="C137" s="1"/>
      <c r="D137" s="2"/>
      <c r="E137" s="2"/>
      <c r="F137" s="2"/>
      <c r="G137" s="2"/>
      <c r="H137" s="2"/>
      <c r="I137" s="2"/>
      <c r="J137" s="3"/>
      <c r="K137" s="2"/>
      <c r="L137" s="4"/>
      <c r="M137" s="4"/>
      <c r="N137" s="1"/>
      <c r="O137" s="1"/>
      <c r="P137" s="1"/>
      <c r="Q137" s="4"/>
      <c r="R137" s="1"/>
      <c r="S137" s="1"/>
      <c r="T137" s="2"/>
      <c r="U137" s="3"/>
      <c r="V137" s="3"/>
      <c r="W137" s="2"/>
      <c r="X137" s="1"/>
      <c r="Y137" s="1"/>
    </row>
    <row r="138" spans="1:25" x14ac:dyDescent="0.4">
      <c r="A138" s="1"/>
      <c r="B138" s="1"/>
      <c r="C138" s="1"/>
      <c r="D138" s="2"/>
      <c r="E138" s="2"/>
      <c r="F138" s="2"/>
      <c r="G138" s="2"/>
      <c r="H138" s="2"/>
      <c r="I138" s="2"/>
      <c r="J138" s="3"/>
      <c r="K138" s="2"/>
      <c r="L138" s="4"/>
      <c r="M138" s="4"/>
      <c r="N138" s="1"/>
      <c r="O138" s="1"/>
      <c r="P138" s="1"/>
      <c r="Q138" s="4"/>
      <c r="R138" s="1"/>
      <c r="S138" s="1"/>
      <c r="T138" s="2"/>
      <c r="U138" s="3"/>
      <c r="V138" s="3"/>
      <c r="W138" s="2"/>
      <c r="X138" s="1"/>
      <c r="Y138" s="1"/>
    </row>
    <row r="139" spans="1:25" x14ac:dyDescent="0.4">
      <c r="A139" s="1"/>
      <c r="B139" s="1"/>
      <c r="C139" s="1"/>
      <c r="D139" s="2"/>
      <c r="E139" s="2"/>
      <c r="F139" s="2"/>
      <c r="G139" s="2"/>
      <c r="H139" s="2"/>
      <c r="I139" s="2"/>
      <c r="J139" s="3"/>
      <c r="K139" s="2"/>
      <c r="L139" s="4"/>
      <c r="M139" s="4"/>
      <c r="N139" s="1"/>
      <c r="O139" s="1"/>
      <c r="P139" s="1"/>
      <c r="Q139" s="4"/>
      <c r="R139" s="1"/>
      <c r="S139" s="1"/>
      <c r="T139" s="2"/>
      <c r="U139" s="3"/>
      <c r="V139" s="3"/>
      <c r="W139" s="2"/>
      <c r="X139" s="1"/>
      <c r="Y139" s="1"/>
    </row>
    <row r="140" spans="1:25" x14ac:dyDescent="0.4">
      <c r="A140" s="1"/>
      <c r="B140" s="1"/>
      <c r="C140" s="1"/>
      <c r="D140" s="2"/>
      <c r="E140" s="2"/>
      <c r="F140" s="2"/>
      <c r="G140" s="2"/>
      <c r="H140" s="2"/>
      <c r="I140" s="2"/>
      <c r="J140" s="3"/>
      <c r="K140" s="2"/>
      <c r="L140" s="4"/>
      <c r="M140" s="4"/>
      <c r="N140" s="1"/>
      <c r="O140" s="1"/>
      <c r="P140" s="1"/>
      <c r="Q140" s="4"/>
      <c r="R140" s="1"/>
      <c r="S140" s="1"/>
      <c r="T140" s="2"/>
      <c r="U140" s="3"/>
      <c r="V140" s="3"/>
      <c r="W140" s="2"/>
      <c r="X140" s="1"/>
      <c r="Y140" s="1"/>
    </row>
    <row r="141" spans="1:25" x14ac:dyDescent="0.4">
      <c r="A141" s="1"/>
      <c r="B141" s="1"/>
      <c r="C141" s="1"/>
      <c r="D141" s="2"/>
      <c r="E141" s="2"/>
      <c r="F141" s="2"/>
      <c r="G141" s="2"/>
      <c r="H141" s="2"/>
      <c r="I141" s="2"/>
      <c r="J141" s="3"/>
      <c r="K141" s="2"/>
      <c r="L141" s="4"/>
      <c r="M141" s="4"/>
      <c r="N141" s="1"/>
      <c r="O141" s="1"/>
      <c r="P141" s="1"/>
      <c r="Q141" s="4"/>
      <c r="R141" s="1"/>
      <c r="S141" s="1"/>
      <c r="T141" s="2"/>
      <c r="U141" s="3"/>
      <c r="V141" s="3"/>
      <c r="W141" s="2"/>
      <c r="X141" s="1"/>
      <c r="Y141" s="1"/>
    </row>
    <row r="142" spans="1:25" x14ac:dyDescent="0.4">
      <c r="A142" s="1"/>
      <c r="B142" s="1"/>
      <c r="C142" s="1"/>
      <c r="D142" s="2"/>
      <c r="E142" s="2"/>
      <c r="F142" s="2"/>
      <c r="G142" s="2"/>
      <c r="H142" s="2"/>
      <c r="I142" s="2"/>
      <c r="J142" s="3"/>
      <c r="K142" s="2"/>
      <c r="L142" s="4"/>
      <c r="M142" s="4"/>
      <c r="N142" s="1"/>
      <c r="O142" s="1"/>
      <c r="P142" s="1"/>
      <c r="Q142" s="4"/>
      <c r="R142" s="1"/>
      <c r="S142" s="1"/>
      <c r="T142" s="2"/>
      <c r="U142" s="3"/>
      <c r="V142" s="3"/>
      <c r="W142" s="2"/>
      <c r="X142" s="1"/>
      <c r="Y142" s="1"/>
    </row>
    <row r="143" spans="1:25" x14ac:dyDescent="0.4">
      <c r="A143" s="1"/>
      <c r="B143" s="1"/>
      <c r="C143" s="1"/>
      <c r="D143" s="2"/>
      <c r="E143" s="2"/>
      <c r="F143" s="2"/>
      <c r="G143" s="2"/>
      <c r="H143" s="2"/>
      <c r="I143" s="2"/>
      <c r="J143" s="3"/>
      <c r="K143" s="2"/>
      <c r="L143" s="4"/>
      <c r="M143" s="4"/>
      <c r="N143" s="1"/>
      <c r="O143" s="1"/>
      <c r="P143" s="1"/>
      <c r="Q143" s="4"/>
      <c r="R143" s="1"/>
      <c r="S143" s="1"/>
      <c r="T143" s="2"/>
      <c r="U143" s="3"/>
      <c r="V143" s="3"/>
      <c r="W143" s="2"/>
      <c r="X143" s="1"/>
      <c r="Y143" s="1"/>
    </row>
    <row r="144" spans="1:25" x14ac:dyDescent="0.4">
      <c r="A144" s="1"/>
      <c r="B144" s="1"/>
      <c r="C144" s="1"/>
      <c r="D144" s="2"/>
      <c r="E144" s="2"/>
      <c r="F144" s="2"/>
      <c r="G144" s="2"/>
      <c r="H144" s="2"/>
      <c r="I144" s="2"/>
      <c r="J144" s="3"/>
      <c r="K144" s="2"/>
      <c r="L144" s="4"/>
      <c r="M144" s="4"/>
      <c r="N144" s="1"/>
      <c r="O144" s="1"/>
      <c r="P144" s="1"/>
      <c r="Q144" s="4"/>
      <c r="R144" s="1"/>
      <c r="S144" s="1"/>
      <c r="T144" s="2"/>
      <c r="U144" s="3"/>
      <c r="V144" s="3"/>
      <c r="W144" s="2"/>
      <c r="X144" s="1"/>
      <c r="Y144" s="1"/>
    </row>
    <row r="145" spans="1:25" x14ac:dyDescent="0.4">
      <c r="A145" s="1"/>
      <c r="B145" s="1"/>
      <c r="C145" s="1"/>
      <c r="D145" s="2"/>
      <c r="E145" s="2"/>
      <c r="F145" s="2"/>
      <c r="G145" s="2"/>
      <c r="H145" s="2"/>
      <c r="I145" s="2"/>
      <c r="J145" s="3"/>
      <c r="K145" s="2"/>
      <c r="L145" s="4"/>
      <c r="M145" s="4"/>
      <c r="N145" s="1"/>
      <c r="O145" s="1"/>
      <c r="P145" s="1"/>
      <c r="Q145" s="4"/>
      <c r="R145" s="1"/>
      <c r="S145" s="1"/>
      <c r="T145" s="2"/>
      <c r="U145" s="3"/>
      <c r="V145" s="3"/>
      <c r="W145" s="2"/>
      <c r="X145" s="1"/>
      <c r="Y145" s="1"/>
    </row>
    <row r="146" spans="1:25" x14ac:dyDescent="0.4">
      <c r="A146" s="1"/>
      <c r="B146" s="1"/>
      <c r="C146" s="1"/>
      <c r="D146" s="2"/>
      <c r="E146" s="2"/>
      <c r="F146" s="2"/>
      <c r="G146" s="2"/>
      <c r="H146" s="2"/>
      <c r="I146" s="2"/>
      <c r="J146" s="3"/>
      <c r="K146" s="2"/>
      <c r="L146" s="4"/>
      <c r="M146" s="4"/>
      <c r="N146" s="1"/>
      <c r="O146" s="1"/>
      <c r="P146" s="1"/>
      <c r="Q146" s="4"/>
      <c r="R146" s="1"/>
      <c r="S146" s="1"/>
      <c r="T146" s="2"/>
      <c r="U146" s="3"/>
      <c r="V146" s="3"/>
      <c r="W146" s="2"/>
      <c r="X146" s="1"/>
      <c r="Y146" s="1"/>
    </row>
    <row r="147" spans="1:25" x14ac:dyDescent="0.4">
      <c r="A147" s="1"/>
      <c r="B147" s="1"/>
      <c r="C147" s="1"/>
      <c r="D147" s="2"/>
      <c r="E147" s="2"/>
      <c r="F147" s="2"/>
      <c r="G147" s="2"/>
      <c r="H147" s="2"/>
      <c r="I147" s="2"/>
      <c r="J147" s="3"/>
      <c r="K147" s="2"/>
      <c r="L147" s="4"/>
      <c r="M147" s="4"/>
      <c r="N147" s="1"/>
      <c r="O147" s="1"/>
      <c r="P147" s="1"/>
      <c r="Q147" s="4"/>
      <c r="R147" s="1"/>
      <c r="S147" s="1"/>
      <c r="T147" s="2"/>
      <c r="U147" s="3"/>
      <c r="V147" s="3"/>
      <c r="W147" s="2"/>
      <c r="X147" s="1"/>
      <c r="Y147" s="1"/>
    </row>
    <row r="148" spans="1:25" x14ac:dyDescent="0.4">
      <c r="A148" s="1"/>
      <c r="B148" s="1"/>
      <c r="C148" s="1"/>
      <c r="D148" s="2"/>
      <c r="E148" s="2"/>
      <c r="F148" s="2"/>
      <c r="G148" s="2"/>
      <c r="H148" s="2"/>
      <c r="I148" s="2"/>
      <c r="J148" s="3"/>
      <c r="K148" s="2"/>
      <c r="L148" s="4"/>
      <c r="M148" s="4"/>
      <c r="N148" s="1"/>
      <c r="O148" s="1"/>
      <c r="P148" s="1"/>
      <c r="Q148" s="4"/>
      <c r="R148" s="1"/>
      <c r="S148" s="1"/>
      <c r="T148" s="2"/>
      <c r="U148" s="3"/>
      <c r="V148" s="3"/>
      <c r="W148" s="2"/>
      <c r="X148" s="1"/>
      <c r="Y148" s="1"/>
    </row>
    <row r="149" spans="1:25" x14ac:dyDescent="0.4">
      <c r="A149" s="1"/>
      <c r="B149" s="1"/>
      <c r="C149" s="1"/>
      <c r="D149" s="2"/>
      <c r="E149" s="2"/>
      <c r="F149" s="2"/>
      <c r="G149" s="2"/>
      <c r="H149" s="2"/>
      <c r="I149" s="2"/>
      <c r="J149" s="3"/>
      <c r="K149" s="2"/>
      <c r="L149" s="4"/>
      <c r="M149" s="4"/>
      <c r="N149" s="1"/>
      <c r="O149" s="1"/>
      <c r="P149" s="1"/>
      <c r="Q149" s="4"/>
      <c r="R149" s="1"/>
      <c r="S149" s="1"/>
      <c r="T149" s="2"/>
      <c r="U149" s="3"/>
      <c r="V149" s="3"/>
      <c r="W149" s="2"/>
      <c r="X149" s="1"/>
      <c r="Y149" s="1"/>
    </row>
    <row r="150" spans="1:25" x14ac:dyDescent="0.4">
      <c r="A150" s="1"/>
      <c r="B150" s="1"/>
      <c r="C150" s="1"/>
      <c r="D150" s="2"/>
      <c r="E150" s="2"/>
      <c r="F150" s="2"/>
      <c r="G150" s="2"/>
      <c r="H150" s="2"/>
      <c r="I150" s="2"/>
      <c r="J150" s="3"/>
      <c r="K150" s="2"/>
      <c r="L150" s="4"/>
      <c r="M150" s="4"/>
      <c r="N150" s="1"/>
      <c r="O150" s="1"/>
      <c r="P150" s="1"/>
      <c r="Q150" s="4"/>
      <c r="R150" s="1"/>
      <c r="S150" s="1"/>
      <c r="T150" s="2"/>
      <c r="U150" s="3"/>
      <c r="V150" s="3"/>
      <c r="W150" s="2"/>
      <c r="X150" s="1"/>
      <c r="Y150" s="1"/>
    </row>
    <row r="151" spans="1:25" x14ac:dyDescent="0.4">
      <c r="A151" s="1"/>
      <c r="B151" s="1"/>
      <c r="C151" s="1"/>
      <c r="D151" s="2"/>
      <c r="E151" s="2"/>
      <c r="F151" s="2"/>
      <c r="G151" s="2"/>
      <c r="H151" s="2"/>
      <c r="I151" s="2"/>
      <c r="J151" s="3"/>
      <c r="K151" s="2"/>
      <c r="L151" s="4"/>
      <c r="M151" s="4"/>
      <c r="N151" s="1"/>
      <c r="O151" s="1"/>
      <c r="P151" s="1"/>
      <c r="Q151" s="4"/>
      <c r="R151" s="1"/>
      <c r="S151" s="1"/>
      <c r="T151" s="2"/>
      <c r="U151" s="3"/>
      <c r="V151" s="3"/>
      <c r="W151" s="2"/>
      <c r="X151" s="1"/>
      <c r="Y151" s="1"/>
    </row>
    <row r="152" spans="1:25" x14ac:dyDescent="0.4">
      <c r="A152" s="1"/>
      <c r="B152" s="1"/>
      <c r="C152" s="1"/>
      <c r="D152" s="2"/>
      <c r="E152" s="2"/>
      <c r="F152" s="2"/>
      <c r="G152" s="2"/>
      <c r="H152" s="2"/>
      <c r="I152" s="2"/>
      <c r="J152" s="3"/>
      <c r="K152" s="2"/>
      <c r="L152" s="4"/>
      <c r="M152" s="4"/>
      <c r="N152" s="1"/>
      <c r="O152" s="1"/>
      <c r="P152" s="1"/>
      <c r="Q152" s="4"/>
      <c r="R152" s="1"/>
      <c r="S152" s="1"/>
      <c r="T152" s="2"/>
      <c r="U152" s="3"/>
      <c r="V152" s="3"/>
      <c r="W152" s="2"/>
      <c r="X152" s="1"/>
      <c r="Y152" s="1"/>
    </row>
    <row r="153" spans="1:25" x14ac:dyDescent="0.4">
      <c r="A153" s="1"/>
      <c r="B153" s="1"/>
      <c r="C153" s="1"/>
      <c r="D153" s="2"/>
      <c r="E153" s="2"/>
      <c r="F153" s="2"/>
      <c r="G153" s="2"/>
      <c r="H153" s="2"/>
      <c r="I153" s="2"/>
      <c r="J153" s="3"/>
      <c r="K153" s="2"/>
      <c r="L153" s="4"/>
      <c r="M153" s="4"/>
      <c r="N153" s="1"/>
      <c r="O153" s="1"/>
      <c r="P153" s="1"/>
      <c r="Q153" s="4"/>
      <c r="R153" s="1"/>
      <c r="S153" s="1"/>
      <c r="T153" s="2"/>
      <c r="U153" s="3"/>
      <c r="V153" s="3"/>
      <c r="W153" s="2"/>
      <c r="X153" s="1"/>
      <c r="Y153" s="1"/>
    </row>
    <row r="154" spans="1:25" x14ac:dyDescent="0.4">
      <c r="A154" s="1"/>
      <c r="B154" s="1"/>
      <c r="C154" s="1"/>
      <c r="D154" s="2"/>
      <c r="E154" s="2"/>
      <c r="F154" s="2"/>
      <c r="G154" s="2"/>
      <c r="H154" s="2"/>
      <c r="I154" s="2"/>
      <c r="J154" s="3"/>
      <c r="K154" s="2"/>
      <c r="L154" s="4"/>
      <c r="M154" s="4"/>
      <c r="N154" s="1"/>
      <c r="O154" s="1"/>
      <c r="P154" s="1"/>
      <c r="Q154" s="4"/>
      <c r="R154" s="1"/>
      <c r="S154" s="1"/>
      <c r="T154" s="2"/>
      <c r="U154" s="3"/>
      <c r="V154" s="3"/>
      <c r="W154" s="2"/>
      <c r="X154" s="1"/>
      <c r="Y154" s="1"/>
    </row>
    <row r="155" spans="1:25" x14ac:dyDescent="0.4">
      <c r="A155" s="1"/>
      <c r="B155" s="1"/>
      <c r="C155" s="1"/>
      <c r="D155" s="2"/>
      <c r="E155" s="2"/>
      <c r="F155" s="2"/>
      <c r="G155" s="2"/>
      <c r="H155" s="2"/>
      <c r="I155" s="2"/>
      <c r="J155" s="3"/>
      <c r="K155" s="2"/>
      <c r="L155" s="4"/>
      <c r="M155" s="4"/>
      <c r="N155" s="1"/>
      <c r="O155" s="1"/>
      <c r="P155" s="1"/>
      <c r="Q155" s="4"/>
      <c r="R155" s="1"/>
      <c r="S155" s="1"/>
      <c r="T155" s="2"/>
      <c r="U155" s="3"/>
      <c r="V155" s="3"/>
      <c r="W155" s="2"/>
      <c r="X155" s="1"/>
      <c r="Y155" s="1"/>
    </row>
    <row r="156" spans="1:25" x14ac:dyDescent="0.4">
      <c r="A156" s="1"/>
      <c r="B156" s="1"/>
      <c r="C156" s="1"/>
      <c r="D156" s="2"/>
      <c r="E156" s="2"/>
      <c r="F156" s="2"/>
      <c r="G156" s="2"/>
      <c r="H156" s="2"/>
      <c r="I156" s="2"/>
      <c r="J156" s="3"/>
      <c r="K156" s="2"/>
      <c r="L156" s="4"/>
      <c r="M156" s="4"/>
      <c r="N156" s="1"/>
      <c r="O156" s="1"/>
      <c r="P156" s="1"/>
      <c r="Q156" s="4"/>
      <c r="R156" s="1"/>
      <c r="S156" s="1"/>
      <c r="T156" s="2"/>
      <c r="U156" s="3"/>
      <c r="V156" s="3"/>
      <c r="W156" s="2"/>
      <c r="X156" s="1"/>
      <c r="Y156" s="1"/>
    </row>
    <row r="157" spans="1:25" x14ac:dyDescent="0.4">
      <c r="A157" s="1"/>
      <c r="B157" s="1"/>
      <c r="C157" s="1"/>
      <c r="D157" s="2"/>
      <c r="E157" s="2"/>
      <c r="F157" s="2"/>
      <c r="G157" s="2"/>
      <c r="H157" s="2"/>
      <c r="I157" s="2"/>
      <c r="J157" s="3"/>
      <c r="K157" s="2"/>
      <c r="L157" s="4"/>
      <c r="M157" s="4"/>
      <c r="N157" s="1"/>
      <c r="O157" s="1"/>
      <c r="P157" s="1"/>
      <c r="Q157" s="4"/>
      <c r="R157" s="1"/>
      <c r="S157" s="1"/>
      <c r="T157" s="2"/>
      <c r="U157" s="3"/>
      <c r="V157" s="3"/>
      <c r="W157" s="2"/>
      <c r="X157" s="1"/>
      <c r="Y157" s="1"/>
    </row>
    <row r="158" spans="1:25" x14ac:dyDescent="0.4">
      <c r="A158" s="1"/>
      <c r="B158" s="1"/>
      <c r="C158" s="1"/>
      <c r="D158" s="2"/>
      <c r="E158" s="2"/>
      <c r="F158" s="2"/>
      <c r="G158" s="2"/>
      <c r="H158" s="2"/>
      <c r="I158" s="2"/>
      <c r="J158" s="3"/>
      <c r="K158" s="2"/>
      <c r="L158" s="4"/>
      <c r="M158" s="4"/>
      <c r="N158" s="1"/>
      <c r="O158" s="1"/>
      <c r="P158" s="1"/>
      <c r="Q158" s="4"/>
      <c r="R158" s="1"/>
      <c r="S158" s="1"/>
      <c r="T158" s="2"/>
      <c r="U158" s="3"/>
      <c r="V158" s="3"/>
      <c r="W158" s="2"/>
      <c r="X158" s="1"/>
      <c r="Y158" s="1"/>
    </row>
    <row r="159" spans="1:25" x14ac:dyDescent="0.4">
      <c r="A159" s="1"/>
      <c r="B159" s="1"/>
      <c r="C159" s="1"/>
      <c r="D159" s="2"/>
      <c r="E159" s="2"/>
      <c r="F159" s="2"/>
      <c r="G159" s="2"/>
      <c r="H159" s="2"/>
      <c r="I159" s="2"/>
      <c r="J159" s="3"/>
      <c r="K159" s="2"/>
      <c r="L159" s="4"/>
      <c r="M159" s="4"/>
      <c r="N159" s="1"/>
      <c r="O159" s="1"/>
      <c r="P159" s="1"/>
      <c r="Q159" s="4"/>
      <c r="R159" s="1"/>
      <c r="S159" s="1"/>
      <c r="T159" s="2"/>
      <c r="U159" s="3"/>
      <c r="V159" s="3"/>
      <c r="W159" s="2"/>
      <c r="X159" s="1"/>
      <c r="Y159" s="1"/>
    </row>
    <row r="160" spans="1:25" x14ac:dyDescent="0.4">
      <c r="A160" s="1"/>
      <c r="B160" s="1"/>
      <c r="C160" s="1"/>
      <c r="D160" s="2"/>
      <c r="E160" s="2"/>
      <c r="F160" s="2"/>
      <c r="G160" s="2"/>
      <c r="H160" s="2"/>
      <c r="I160" s="2"/>
      <c r="J160" s="3"/>
      <c r="K160" s="2"/>
      <c r="L160" s="4"/>
      <c r="M160" s="4"/>
      <c r="N160" s="1"/>
      <c r="O160" s="1"/>
      <c r="P160" s="1"/>
      <c r="Q160" s="4"/>
      <c r="R160" s="1"/>
      <c r="S160" s="1"/>
      <c r="T160" s="2"/>
      <c r="U160" s="3"/>
      <c r="V160" s="3"/>
      <c r="W160" s="2"/>
      <c r="X160" s="1"/>
      <c r="Y160" s="1"/>
    </row>
    <row r="161" spans="1:25" x14ac:dyDescent="0.4">
      <c r="A161" s="1"/>
      <c r="B161" s="1"/>
      <c r="C161" s="1"/>
      <c r="D161" s="2"/>
      <c r="E161" s="2"/>
      <c r="F161" s="2"/>
      <c r="G161" s="2"/>
      <c r="H161" s="2"/>
      <c r="I161" s="2"/>
      <c r="J161" s="3"/>
      <c r="K161" s="2"/>
      <c r="L161" s="4"/>
      <c r="M161" s="4"/>
      <c r="N161" s="1"/>
      <c r="O161" s="1"/>
      <c r="P161" s="1"/>
      <c r="Q161" s="4"/>
      <c r="R161" s="1"/>
      <c r="S161" s="1"/>
      <c r="T161" s="2"/>
      <c r="U161" s="3"/>
      <c r="V161" s="3"/>
      <c r="W161" s="2"/>
      <c r="X161" s="1"/>
      <c r="Y161" s="1"/>
    </row>
    <row r="162" spans="1:25" x14ac:dyDescent="0.4">
      <c r="A162" s="1"/>
      <c r="B162" s="1"/>
      <c r="C162" s="1"/>
      <c r="D162" s="2"/>
      <c r="E162" s="2"/>
      <c r="F162" s="2"/>
      <c r="G162" s="2"/>
      <c r="H162" s="2"/>
      <c r="I162" s="2"/>
      <c r="J162" s="3"/>
      <c r="K162" s="2"/>
      <c r="L162" s="4"/>
      <c r="M162" s="4"/>
      <c r="N162" s="1"/>
      <c r="O162" s="1"/>
      <c r="P162" s="1"/>
      <c r="Q162" s="4"/>
      <c r="R162" s="1"/>
      <c r="S162" s="1"/>
      <c r="T162" s="2"/>
      <c r="U162" s="3"/>
      <c r="V162" s="3"/>
      <c r="W162" s="2"/>
      <c r="X162" s="1"/>
      <c r="Y162" s="1"/>
    </row>
    <row r="163" spans="1:25" x14ac:dyDescent="0.4">
      <c r="A163" s="1"/>
      <c r="B163" s="1"/>
      <c r="C163" s="1"/>
      <c r="D163" s="2"/>
      <c r="E163" s="2"/>
      <c r="F163" s="2"/>
      <c r="G163" s="2"/>
      <c r="H163" s="2"/>
      <c r="I163" s="2"/>
      <c r="J163" s="3"/>
      <c r="K163" s="2"/>
      <c r="L163" s="4"/>
      <c r="M163" s="4"/>
      <c r="N163" s="1"/>
      <c r="O163" s="1"/>
      <c r="P163" s="1"/>
      <c r="Q163" s="4"/>
      <c r="R163" s="1"/>
      <c r="S163" s="1"/>
      <c r="T163" s="2"/>
      <c r="U163" s="3"/>
      <c r="V163" s="3"/>
      <c r="W163" s="2"/>
      <c r="X163" s="1"/>
      <c r="Y163" s="1"/>
    </row>
    <row r="164" spans="1:25" x14ac:dyDescent="0.4">
      <c r="A164" s="1"/>
      <c r="B164" s="1"/>
      <c r="C164" s="1"/>
      <c r="D164" s="2"/>
      <c r="E164" s="2"/>
      <c r="F164" s="2"/>
      <c r="G164" s="2"/>
      <c r="H164" s="2"/>
      <c r="I164" s="2"/>
      <c r="J164" s="3"/>
      <c r="K164" s="2"/>
      <c r="L164" s="4"/>
      <c r="M164" s="4"/>
      <c r="N164" s="1"/>
      <c r="O164" s="1"/>
      <c r="P164" s="1"/>
      <c r="Q164" s="4"/>
      <c r="R164" s="1"/>
      <c r="S164" s="1"/>
      <c r="T164" s="2"/>
      <c r="U164" s="3"/>
      <c r="V164" s="3"/>
      <c r="W164" s="2"/>
      <c r="X164" s="1"/>
      <c r="Y164" s="1"/>
    </row>
    <row r="165" spans="1:25" x14ac:dyDescent="0.4">
      <c r="A165" s="1"/>
      <c r="B165" s="1"/>
      <c r="C165" s="1"/>
      <c r="D165" s="2"/>
      <c r="E165" s="2"/>
      <c r="F165" s="2"/>
      <c r="G165" s="2"/>
      <c r="H165" s="2"/>
      <c r="I165" s="2"/>
      <c r="J165" s="3"/>
      <c r="K165" s="2"/>
      <c r="L165" s="4"/>
      <c r="M165" s="4"/>
      <c r="N165" s="1"/>
      <c r="O165" s="1"/>
      <c r="P165" s="1"/>
      <c r="Q165" s="4"/>
      <c r="R165" s="1"/>
      <c r="S165" s="1"/>
      <c r="T165" s="2"/>
      <c r="U165" s="3"/>
      <c r="V165" s="3"/>
      <c r="W165" s="2"/>
      <c r="X165" s="1"/>
      <c r="Y165" s="1"/>
    </row>
    <row r="166" spans="1:25" x14ac:dyDescent="0.4">
      <c r="A166" s="1"/>
      <c r="B166" s="1"/>
      <c r="C166" s="1"/>
      <c r="D166" s="2"/>
      <c r="E166" s="2"/>
      <c r="F166" s="2"/>
      <c r="G166" s="2"/>
      <c r="H166" s="2"/>
      <c r="I166" s="2"/>
      <c r="J166" s="3"/>
      <c r="K166" s="2"/>
      <c r="L166" s="4"/>
      <c r="M166" s="4"/>
      <c r="N166" s="1"/>
      <c r="O166" s="1"/>
      <c r="P166" s="1"/>
      <c r="Q166" s="4"/>
      <c r="R166" s="1"/>
      <c r="S166" s="1"/>
      <c r="T166" s="2"/>
      <c r="U166" s="3"/>
      <c r="V166" s="3"/>
      <c r="W166" s="2"/>
      <c r="X166" s="1"/>
      <c r="Y166" s="1"/>
    </row>
    <row r="167" spans="1:25" x14ac:dyDescent="0.4">
      <c r="A167" s="1"/>
      <c r="B167" s="1"/>
      <c r="C167" s="1"/>
      <c r="D167" s="2"/>
      <c r="E167" s="2"/>
      <c r="F167" s="2"/>
      <c r="G167" s="2"/>
      <c r="H167" s="2"/>
      <c r="I167" s="2"/>
      <c r="J167" s="3"/>
      <c r="K167" s="2"/>
      <c r="L167" s="4"/>
      <c r="M167" s="4"/>
      <c r="N167" s="1"/>
      <c r="O167" s="1"/>
      <c r="P167" s="1"/>
      <c r="Q167" s="4"/>
      <c r="R167" s="1"/>
      <c r="S167" s="1"/>
      <c r="T167" s="2"/>
      <c r="U167" s="3"/>
      <c r="V167" s="3"/>
      <c r="W167" s="2"/>
      <c r="X167" s="1"/>
      <c r="Y167" s="1"/>
    </row>
    <row r="168" spans="1:25" x14ac:dyDescent="0.4">
      <c r="A168" s="1"/>
      <c r="B168" s="1"/>
      <c r="C168" s="1"/>
      <c r="D168" s="2"/>
      <c r="E168" s="2"/>
      <c r="F168" s="2"/>
      <c r="G168" s="2"/>
      <c r="H168" s="2"/>
      <c r="I168" s="2"/>
      <c r="J168" s="3"/>
      <c r="K168" s="2"/>
      <c r="L168" s="4"/>
      <c r="M168" s="4"/>
      <c r="N168" s="1"/>
      <c r="O168" s="1"/>
      <c r="P168" s="1"/>
      <c r="Q168" s="4"/>
      <c r="R168" s="1"/>
      <c r="S168" s="1"/>
      <c r="T168" s="2"/>
      <c r="U168" s="3"/>
      <c r="V168" s="3"/>
      <c r="W168" s="2"/>
      <c r="X168" s="1"/>
      <c r="Y168" s="1"/>
    </row>
    <row r="169" spans="1:25" x14ac:dyDescent="0.4">
      <c r="A169" s="1"/>
      <c r="B169" s="1"/>
      <c r="C169" s="1"/>
      <c r="D169" s="2"/>
      <c r="E169" s="2"/>
      <c r="F169" s="2"/>
      <c r="G169" s="2"/>
      <c r="H169" s="2"/>
      <c r="I169" s="2"/>
      <c r="J169" s="3"/>
      <c r="K169" s="2"/>
      <c r="L169" s="4"/>
      <c r="M169" s="4"/>
      <c r="N169" s="1"/>
      <c r="O169" s="1"/>
      <c r="P169" s="1"/>
      <c r="Q169" s="4"/>
      <c r="R169" s="1"/>
      <c r="S169" s="1"/>
      <c r="T169" s="2"/>
      <c r="U169" s="3"/>
      <c r="V169" s="3"/>
      <c r="W169" s="2"/>
      <c r="X169" s="1"/>
      <c r="Y169" s="1"/>
    </row>
    <row r="170" spans="1:25" x14ac:dyDescent="0.4">
      <c r="A170" s="1"/>
      <c r="B170" s="1"/>
      <c r="C170" s="1"/>
      <c r="D170" s="2"/>
      <c r="E170" s="2"/>
      <c r="F170" s="2"/>
      <c r="G170" s="2"/>
      <c r="H170" s="2"/>
      <c r="I170" s="2"/>
      <c r="J170" s="3"/>
      <c r="K170" s="2"/>
      <c r="L170" s="4"/>
      <c r="M170" s="4"/>
      <c r="N170" s="1"/>
      <c r="O170" s="1"/>
      <c r="P170" s="1"/>
      <c r="Q170" s="4"/>
      <c r="R170" s="1"/>
      <c r="S170" s="1"/>
      <c r="T170" s="2"/>
      <c r="U170" s="3"/>
      <c r="V170" s="3"/>
      <c r="W170" s="2"/>
      <c r="X170" s="1"/>
      <c r="Y170" s="1"/>
    </row>
    <row r="171" spans="1:25" x14ac:dyDescent="0.4">
      <c r="A171" s="1"/>
      <c r="B171" s="1"/>
      <c r="C171" s="1"/>
      <c r="D171" s="2"/>
      <c r="E171" s="2"/>
      <c r="F171" s="2"/>
      <c r="G171" s="2"/>
      <c r="H171" s="2"/>
      <c r="I171" s="2"/>
      <c r="J171" s="3"/>
      <c r="K171" s="2"/>
      <c r="L171" s="4"/>
      <c r="M171" s="4"/>
      <c r="N171" s="1"/>
      <c r="O171" s="1"/>
      <c r="P171" s="1"/>
      <c r="Q171" s="4"/>
      <c r="R171" s="1"/>
      <c r="S171" s="1"/>
      <c r="T171" s="2"/>
      <c r="U171" s="3"/>
      <c r="V171" s="3"/>
      <c r="W171" s="2"/>
      <c r="X171" s="1"/>
      <c r="Y171" s="1"/>
    </row>
    <row r="172" spans="1:25" x14ac:dyDescent="0.4">
      <c r="A172" s="1"/>
      <c r="B172" s="1"/>
      <c r="C172" s="1"/>
      <c r="D172" s="2"/>
      <c r="E172" s="2"/>
      <c r="F172" s="2"/>
      <c r="G172" s="2"/>
      <c r="H172" s="2"/>
      <c r="I172" s="2"/>
      <c r="J172" s="3"/>
      <c r="K172" s="2"/>
      <c r="L172" s="4"/>
      <c r="M172" s="4"/>
      <c r="N172" s="1"/>
      <c r="O172" s="1"/>
      <c r="P172" s="1"/>
      <c r="Q172" s="4"/>
      <c r="R172" s="1"/>
      <c r="S172" s="1"/>
      <c r="T172" s="2"/>
      <c r="U172" s="3"/>
      <c r="V172" s="3"/>
      <c r="W172" s="2"/>
      <c r="X172" s="1"/>
      <c r="Y172" s="1"/>
    </row>
    <row r="173" spans="1:25" x14ac:dyDescent="0.4">
      <c r="A173" s="1"/>
      <c r="B173" s="1"/>
      <c r="C173" s="1"/>
      <c r="D173" s="2"/>
      <c r="E173" s="2"/>
      <c r="F173" s="2"/>
      <c r="G173" s="2"/>
      <c r="H173" s="2"/>
      <c r="I173" s="2"/>
      <c r="J173" s="3"/>
      <c r="K173" s="2"/>
      <c r="L173" s="4"/>
      <c r="M173" s="4"/>
      <c r="N173" s="1"/>
      <c r="O173" s="1"/>
      <c r="P173" s="1"/>
      <c r="Q173" s="4"/>
      <c r="R173" s="1"/>
      <c r="S173" s="1"/>
      <c r="T173" s="2"/>
      <c r="U173" s="3"/>
      <c r="V173" s="3"/>
      <c r="W173" s="2"/>
      <c r="X173" s="1"/>
      <c r="Y173" s="1"/>
    </row>
    <row r="174" spans="1:25" x14ac:dyDescent="0.4">
      <c r="A174" s="1"/>
      <c r="B174" s="1"/>
      <c r="C174" s="1"/>
      <c r="D174" s="2"/>
      <c r="E174" s="2"/>
      <c r="F174" s="2"/>
      <c r="G174" s="2"/>
      <c r="H174" s="2"/>
      <c r="I174" s="2"/>
      <c r="J174" s="3"/>
      <c r="K174" s="2"/>
      <c r="L174" s="4"/>
      <c r="M174" s="4"/>
      <c r="N174" s="1"/>
      <c r="O174" s="1"/>
      <c r="P174" s="1"/>
      <c r="Q174" s="4"/>
      <c r="R174" s="1"/>
      <c r="S174" s="1"/>
      <c r="T174" s="2"/>
      <c r="U174" s="3"/>
      <c r="V174" s="3"/>
      <c r="W174" s="2"/>
      <c r="X174" s="1"/>
      <c r="Y174" s="1"/>
    </row>
    <row r="175" spans="1:25" x14ac:dyDescent="0.4">
      <c r="A175" s="1"/>
      <c r="B175" s="1"/>
      <c r="C175" s="1"/>
      <c r="D175" s="2"/>
      <c r="E175" s="2"/>
      <c r="F175" s="2"/>
      <c r="G175" s="2"/>
      <c r="H175" s="2"/>
      <c r="I175" s="2"/>
      <c r="J175" s="3"/>
      <c r="K175" s="2"/>
      <c r="L175" s="4"/>
      <c r="M175" s="4"/>
      <c r="N175" s="1"/>
      <c r="O175" s="1"/>
      <c r="P175" s="1"/>
      <c r="Q175" s="4"/>
      <c r="R175" s="1"/>
      <c r="S175" s="1"/>
      <c r="T175" s="2"/>
      <c r="U175" s="3"/>
      <c r="V175" s="3"/>
      <c r="W175" s="2"/>
      <c r="X175" s="1"/>
      <c r="Y175" s="1"/>
    </row>
    <row r="176" spans="1:25" x14ac:dyDescent="0.4">
      <c r="A176" s="1"/>
      <c r="B176" s="1"/>
      <c r="C176" s="1"/>
      <c r="D176" s="2"/>
      <c r="E176" s="2"/>
      <c r="F176" s="2"/>
      <c r="G176" s="2"/>
      <c r="H176" s="2"/>
      <c r="I176" s="2"/>
      <c r="J176" s="3"/>
      <c r="K176" s="2"/>
      <c r="L176" s="4"/>
      <c r="M176" s="4"/>
      <c r="N176" s="1"/>
      <c r="O176" s="1"/>
      <c r="P176" s="1"/>
      <c r="Q176" s="4"/>
      <c r="R176" s="1"/>
      <c r="S176" s="1"/>
      <c r="T176" s="2"/>
      <c r="U176" s="3"/>
      <c r="V176" s="3"/>
      <c r="W176" s="2"/>
      <c r="X176" s="1"/>
      <c r="Y176" s="1"/>
    </row>
    <row r="177" spans="1:25" x14ac:dyDescent="0.4">
      <c r="A177" s="1"/>
      <c r="B177" s="1"/>
      <c r="C177" s="1"/>
      <c r="D177" s="2"/>
      <c r="E177" s="2"/>
      <c r="F177" s="2"/>
      <c r="G177" s="2"/>
      <c r="H177" s="2"/>
      <c r="I177" s="2"/>
      <c r="J177" s="3"/>
      <c r="K177" s="2"/>
      <c r="L177" s="4"/>
      <c r="M177" s="4"/>
      <c r="N177" s="1"/>
      <c r="O177" s="1"/>
      <c r="P177" s="1"/>
      <c r="Q177" s="4"/>
      <c r="R177" s="1"/>
      <c r="S177" s="1"/>
      <c r="T177" s="2"/>
      <c r="U177" s="3"/>
      <c r="V177" s="3"/>
      <c r="W177" s="2"/>
      <c r="X177" s="1"/>
      <c r="Y177" s="1"/>
    </row>
    <row r="178" spans="1:25" x14ac:dyDescent="0.4">
      <c r="A178" s="1"/>
      <c r="B178" s="1"/>
      <c r="C178" s="1"/>
      <c r="D178" s="2"/>
      <c r="E178" s="2"/>
      <c r="F178" s="2"/>
      <c r="G178" s="2"/>
      <c r="H178" s="2"/>
      <c r="I178" s="2"/>
      <c r="J178" s="3"/>
      <c r="K178" s="2"/>
      <c r="L178" s="4"/>
      <c r="M178" s="4"/>
      <c r="N178" s="1"/>
      <c r="O178" s="1"/>
      <c r="P178" s="1"/>
      <c r="Q178" s="4"/>
      <c r="R178" s="1"/>
      <c r="S178" s="1"/>
      <c r="T178" s="2"/>
      <c r="U178" s="3"/>
      <c r="V178" s="3"/>
      <c r="W178" s="2"/>
      <c r="X178" s="1"/>
      <c r="Y178" s="1"/>
    </row>
    <row r="179" spans="1:25" x14ac:dyDescent="0.4">
      <c r="A179" s="1"/>
      <c r="B179" s="1"/>
      <c r="C179" s="1"/>
      <c r="D179" s="2"/>
      <c r="E179" s="2"/>
      <c r="F179" s="2"/>
      <c r="G179" s="2"/>
      <c r="H179" s="2"/>
      <c r="I179" s="2"/>
      <c r="J179" s="3"/>
      <c r="K179" s="2"/>
      <c r="L179" s="4"/>
      <c r="M179" s="4"/>
      <c r="N179" s="1"/>
      <c r="O179" s="1"/>
      <c r="P179" s="1"/>
      <c r="Q179" s="4"/>
      <c r="R179" s="1"/>
      <c r="S179" s="1"/>
      <c r="T179" s="2"/>
      <c r="U179" s="3"/>
      <c r="V179" s="3"/>
      <c r="W179" s="2"/>
      <c r="X179" s="1"/>
      <c r="Y179" s="1"/>
    </row>
    <row r="180" spans="1:25" x14ac:dyDescent="0.4">
      <c r="A180" s="1"/>
      <c r="B180" s="1"/>
      <c r="C180" s="1"/>
      <c r="D180" s="2"/>
      <c r="E180" s="2"/>
      <c r="F180" s="2"/>
      <c r="G180" s="2"/>
      <c r="H180" s="2"/>
      <c r="I180" s="2"/>
      <c r="J180" s="3"/>
      <c r="K180" s="2"/>
      <c r="L180" s="4"/>
      <c r="M180" s="4"/>
      <c r="N180" s="1"/>
      <c r="O180" s="1"/>
      <c r="P180" s="1"/>
      <c r="Q180" s="4"/>
      <c r="R180" s="1"/>
      <c r="S180" s="1"/>
      <c r="T180" s="2"/>
      <c r="U180" s="3"/>
      <c r="V180" s="3"/>
      <c r="W180" s="2"/>
      <c r="X180" s="1"/>
      <c r="Y180" s="1"/>
    </row>
    <row r="181" spans="1:25" x14ac:dyDescent="0.4">
      <c r="A181" s="1"/>
      <c r="B181" s="1"/>
      <c r="C181" s="1"/>
      <c r="D181" s="2"/>
      <c r="E181" s="2"/>
      <c r="F181" s="2"/>
      <c r="G181" s="2"/>
      <c r="H181" s="2"/>
      <c r="I181" s="2"/>
      <c r="J181" s="3"/>
      <c r="K181" s="2"/>
      <c r="L181" s="4"/>
      <c r="M181" s="4"/>
      <c r="N181" s="1"/>
      <c r="O181" s="1"/>
      <c r="P181" s="1"/>
      <c r="Q181" s="4"/>
      <c r="R181" s="1"/>
      <c r="S181" s="1"/>
      <c r="T181" s="2"/>
      <c r="U181" s="3"/>
      <c r="V181" s="3"/>
      <c r="W181" s="2"/>
      <c r="X181" s="1"/>
      <c r="Y181" s="1"/>
    </row>
    <row r="182" spans="1:25" x14ac:dyDescent="0.4">
      <c r="A182" s="1"/>
      <c r="B182" s="1"/>
      <c r="C182" s="1"/>
      <c r="D182" s="2"/>
      <c r="E182" s="2"/>
      <c r="F182" s="2"/>
      <c r="G182" s="2"/>
      <c r="H182" s="2"/>
      <c r="I182" s="2"/>
      <c r="J182" s="3"/>
      <c r="K182" s="2"/>
      <c r="L182" s="4"/>
      <c r="M182" s="4"/>
      <c r="N182" s="1"/>
      <c r="O182" s="1"/>
      <c r="P182" s="1"/>
      <c r="Q182" s="4"/>
      <c r="R182" s="1"/>
      <c r="S182" s="1"/>
      <c r="T182" s="2"/>
      <c r="U182" s="3"/>
      <c r="V182" s="3"/>
      <c r="W182" s="2"/>
      <c r="X182" s="1"/>
      <c r="Y182" s="1"/>
    </row>
    <row r="183" spans="1:25" x14ac:dyDescent="0.4">
      <c r="A183" s="1"/>
      <c r="B183" s="1"/>
      <c r="C183" s="1"/>
      <c r="D183" s="2"/>
      <c r="E183" s="2"/>
      <c r="F183" s="2"/>
      <c r="G183" s="2"/>
      <c r="H183" s="2"/>
      <c r="I183" s="2"/>
      <c r="J183" s="3"/>
      <c r="K183" s="2"/>
      <c r="L183" s="4"/>
      <c r="M183" s="4"/>
      <c r="N183" s="1"/>
      <c r="O183" s="1"/>
      <c r="P183" s="1"/>
      <c r="Q183" s="4"/>
      <c r="R183" s="1"/>
      <c r="S183" s="1"/>
      <c r="T183" s="2"/>
      <c r="U183" s="3"/>
      <c r="V183" s="3"/>
      <c r="W183" s="2"/>
      <c r="X183" s="1"/>
      <c r="Y183" s="1"/>
    </row>
    <row r="184" spans="1:25" x14ac:dyDescent="0.4">
      <c r="A184" s="1"/>
      <c r="B184" s="1"/>
      <c r="C184" s="1"/>
      <c r="D184" s="2"/>
      <c r="E184" s="2"/>
      <c r="F184" s="2"/>
      <c r="G184" s="2"/>
      <c r="H184" s="2"/>
      <c r="I184" s="2"/>
      <c r="J184" s="3"/>
      <c r="K184" s="2"/>
      <c r="L184" s="4"/>
      <c r="M184" s="4"/>
      <c r="N184" s="1"/>
      <c r="O184" s="1"/>
      <c r="P184" s="1"/>
      <c r="Q184" s="4"/>
      <c r="R184" s="1"/>
      <c r="S184" s="1"/>
      <c r="T184" s="2"/>
      <c r="U184" s="3"/>
      <c r="V184" s="3"/>
      <c r="W184" s="2"/>
      <c r="X184" s="1"/>
      <c r="Y184" s="1"/>
    </row>
    <row r="185" spans="1:25" x14ac:dyDescent="0.4">
      <c r="A185" s="1"/>
      <c r="B185" s="1"/>
      <c r="C185" s="1"/>
      <c r="D185" s="2"/>
      <c r="E185" s="2"/>
      <c r="F185" s="2"/>
      <c r="G185" s="2"/>
      <c r="H185" s="2"/>
      <c r="I185" s="2"/>
      <c r="J185" s="3"/>
      <c r="K185" s="2"/>
      <c r="L185" s="4"/>
      <c r="M185" s="4"/>
      <c r="N185" s="1"/>
      <c r="O185" s="1"/>
      <c r="P185" s="1"/>
      <c r="Q185" s="4"/>
      <c r="R185" s="1"/>
      <c r="S185" s="1"/>
      <c r="T185" s="2"/>
      <c r="U185" s="3"/>
      <c r="V185" s="3"/>
      <c r="W185" s="2"/>
      <c r="X185" s="1"/>
      <c r="Y185" s="1"/>
    </row>
    <row r="186" spans="1:25" x14ac:dyDescent="0.4">
      <c r="A186" s="1"/>
      <c r="B186" s="1"/>
      <c r="C186" s="1"/>
      <c r="D186" s="2"/>
      <c r="E186" s="2"/>
      <c r="F186" s="2"/>
      <c r="G186" s="2"/>
      <c r="H186" s="2"/>
      <c r="I186" s="2"/>
      <c r="J186" s="3"/>
      <c r="K186" s="2"/>
      <c r="L186" s="4"/>
      <c r="M186" s="4"/>
      <c r="N186" s="1"/>
      <c r="O186" s="1"/>
      <c r="P186" s="1"/>
      <c r="Q186" s="4"/>
      <c r="R186" s="1"/>
      <c r="S186" s="1"/>
      <c r="T186" s="2"/>
      <c r="U186" s="3"/>
      <c r="V186" s="3"/>
      <c r="W186" s="2"/>
      <c r="X186" s="1"/>
      <c r="Y186" s="1"/>
    </row>
    <row r="187" spans="1:25" x14ac:dyDescent="0.4">
      <c r="A187" s="1"/>
      <c r="B187" s="1"/>
      <c r="C187" s="1"/>
      <c r="D187" s="2"/>
      <c r="E187" s="2"/>
      <c r="F187" s="2"/>
      <c r="G187" s="2"/>
      <c r="H187" s="2"/>
      <c r="I187" s="2"/>
      <c r="J187" s="3"/>
      <c r="K187" s="2"/>
      <c r="L187" s="4"/>
      <c r="M187" s="4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x14ac:dyDescent="0.4">
      <c r="A188" s="1"/>
      <c r="B188" s="1"/>
      <c r="C188" s="1"/>
      <c r="D188" s="2"/>
      <c r="E188" s="2"/>
      <c r="F188" s="2"/>
      <c r="G188" s="2"/>
      <c r="H188" s="2"/>
      <c r="I188" s="2"/>
      <c r="J188" s="3"/>
      <c r="K188" s="2"/>
      <c r="L188" s="4"/>
      <c r="M188" s="4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x14ac:dyDescent="0.4">
      <c r="A189" s="1"/>
      <c r="B189" s="1"/>
      <c r="C189" s="1"/>
      <c r="D189" s="2"/>
      <c r="E189" s="2"/>
      <c r="F189" s="2"/>
      <c r="G189" s="2"/>
      <c r="H189" s="2"/>
      <c r="I189" s="2"/>
      <c r="J189" s="3"/>
      <c r="K189" s="2"/>
      <c r="L189" s="4"/>
      <c r="M189" s="4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4">
      <c r="A190" s="1"/>
      <c r="B190" s="1"/>
      <c r="C190" s="1"/>
      <c r="D190" s="2"/>
      <c r="E190" s="2"/>
      <c r="F190" s="2"/>
      <c r="G190" s="2"/>
      <c r="H190" s="2"/>
      <c r="I190" s="2"/>
      <c r="J190" s="3"/>
      <c r="K190" s="2"/>
      <c r="L190" s="4"/>
      <c r="M190" s="4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4">
      <c r="A191" s="1"/>
      <c r="B191" s="1"/>
      <c r="C191" s="1"/>
      <c r="D191" s="2"/>
      <c r="E191" s="2"/>
      <c r="F191" s="2"/>
      <c r="G191" s="2"/>
      <c r="H191" s="2"/>
      <c r="I191" s="2"/>
      <c r="J191" s="3"/>
      <c r="K191" s="2"/>
      <c r="L191" s="4"/>
      <c r="M191" s="4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4">
      <c r="A192" s="1"/>
      <c r="B192" s="1"/>
      <c r="C192" s="1"/>
      <c r="D192" s="2"/>
      <c r="E192" s="2"/>
      <c r="F192" s="2"/>
      <c r="G192" s="2"/>
      <c r="H192" s="2"/>
      <c r="I192" s="2"/>
      <c r="J192" s="3"/>
      <c r="K192" s="2"/>
      <c r="L192" s="4"/>
      <c r="M192" s="4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x14ac:dyDescent="0.4">
      <c r="A193" s="1"/>
      <c r="B193" s="1"/>
      <c r="C193" s="1"/>
      <c r="D193" s="2"/>
      <c r="E193" s="2"/>
      <c r="F193" s="2"/>
      <c r="G193" s="2"/>
      <c r="H193" s="2"/>
      <c r="I193" s="2"/>
      <c r="J193" s="3"/>
      <c r="K193" s="2"/>
      <c r="L193" s="4"/>
      <c r="M193" s="4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x14ac:dyDescent="0.4">
      <c r="A194" s="1"/>
      <c r="B194" s="1"/>
      <c r="C194" s="1"/>
      <c r="D194" s="2"/>
      <c r="E194" s="2"/>
      <c r="F194" s="2"/>
      <c r="G194" s="2"/>
      <c r="H194" s="2"/>
      <c r="I194" s="2"/>
      <c r="J194" s="3"/>
      <c r="K194" s="2"/>
      <c r="L194" s="4"/>
      <c r="M194" s="4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x14ac:dyDescent="0.4">
      <c r="A195" s="1"/>
      <c r="B195" s="1"/>
      <c r="C195" s="1"/>
      <c r="D195" s="2"/>
      <c r="E195" s="2"/>
      <c r="F195" s="2"/>
      <c r="G195" s="2"/>
      <c r="H195" s="2"/>
      <c r="I195" s="2"/>
      <c r="J195" s="3"/>
      <c r="K195" s="2"/>
      <c r="L195" s="4"/>
      <c r="M195" s="4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s="5" customFormat="1" x14ac:dyDescent="0.4">
      <c r="A196" s="1"/>
      <c r="B196" s="1"/>
      <c r="C196" s="1"/>
      <c r="D196" s="2"/>
      <c r="E196" s="2"/>
      <c r="F196" s="2"/>
      <c r="G196" s="2"/>
      <c r="H196" s="2"/>
      <c r="I196" s="2"/>
      <c r="J196" s="3"/>
      <c r="K196" s="2"/>
      <c r="L196" s="4"/>
      <c r="M196" s="4"/>
      <c r="N196" s="290"/>
      <c r="O196" s="291"/>
      <c r="P196" s="291"/>
      <c r="Q196" s="291"/>
      <c r="R196" s="1"/>
      <c r="S196" s="1"/>
      <c r="T196" s="1"/>
      <c r="U196" s="1"/>
      <c r="V196" s="1"/>
      <c r="W196" s="1"/>
      <c r="X196" s="1"/>
      <c r="Y196" s="1"/>
    </row>
    <row r="197" spans="1:25" x14ac:dyDescent="0.4">
      <c r="A197" s="1"/>
      <c r="B197" s="1"/>
      <c r="C197" s="1"/>
      <c r="D197" s="2"/>
      <c r="E197" s="2"/>
      <c r="F197" s="2"/>
      <c r="G197" s="2"/>
      <c r="H197" s="2"/>
      <c r="I197" s="2"/>
      <c r="J197" s="3"/>
      <c r="K197" s="2"/>
      <c r="L197" s="4"/>
      <c r="M197" s="4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4">
      <c r="A198" s="1"/>
      <c r="B198" s="1"/>
      <c r="C198" s="1"/>
      <c r="D198" s="2"/>
      <c r="E198" s="2"/>
      <c r="F198" s="2"/>
      <c r="G198" s="2"/>
      <c r="H198" s="2"/>
      <c r="I198" s="2"/>
      <c r="J198" s="3"/>
      <c r="K198" s="2"/>
      <c r="L198" s="4"/>
      <c r="M198" s="4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4">
      <c r="A199" s="1"/>
      <c r="B199" s="1"/>
      <c r="C199" s="1"/>
      <c r="D199" s="2"/>
      <c r="E199" s="2"/>
      <c r="F199" s="2"/>
      <c r="G199" s="2"/>
      <c r="H199" s="2"/>
      <c r="I199" s="2"/>
      <c r="J199" s="3"/>
      <c r="K199" s="2"/>
      <c r="L199" s="4"/>
      <c r="M199" s="4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4">
      <c r="A200" s="1"/>
      <c r="B200" s="1"/>
      <c r="C200" s="1"/>
      <c r="D200" s="2"/>
      <c r="E200" s="2"/>
      <c r="F200" s="2"/>
      <c r="G200" s="2"/>
      <c r="H200" s="2"/>
      <c r="I200" s="2"/>
      <c r="J200" s="3"/>
      <c r="K200" s="2"/>
      <c r="L200" s="4"/>
      <c r="M200" s="4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4">
      <c r="A201" s="1"/>
      <c r="B201" s="1"/>
      <c r="C201" s="1"/>
      <c r="D201" s="2"/>
      <c r="E201" s="2"/>
      <c r="F201" s="2"/>
      <c r="G201" s="2"/>
      <c r="H201" s="2"/>
      <c r="I201" s="2"/>
      <c r="J201" s="3"/>
      <c r="K201" s="2"/>
      <c r="L201" s="4"/>
      <c r="M201" s="4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4">
      <c r="A202" s="1"/>
      <c r="B202" s="1"/>
      <c r="C202" s="1"/>
      <c r="D202" s="2"/>
      <c r="E202" s="2"/>
      <c r="F202" s="2"/>
      <c r="G202" s="2"/>
      <c r="H202" s="2"/>
      <c r="I202" s="2"/>
      <c r="J202" s="3"/>
      <c r="K202" s="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4">
      <c r="A203" s="1"/>
      <c r="B203" s="1"/>
      <c r="C203" s="1"/>
      <c r="D203" s="2"/>
      <c r="E203" s="2"/>
      <c r="F203" s="2"/>
      <c r="G203" s="2"/>
      <c r="H203" s="2"/>
      <c r="I203" s="2"/>
      <c r="J203" s="3"/>
      <c r="K203" s="2"/>
      <c r="L203" s="4"/>
      <c r="M203" s="4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4">
      <c r="A204" s="1"/>
      <c r="B204" s="1"/>
      <c r="C204" s="1"/>
      <c r="D204" s="2"/>
      <c r="E204" s="2"/>
      <c r="F204" s="2"/>
      <c r="G204" s="2"/>
      <c r="H204" s="2"/>
      <c r="I204" s="2"/>
      <c r="J204" s="3"/>
      <c r="K204" s="2"/>
      <c r="L204" s="4"/>
      <c r="M204" s="4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4">
      <c r="A205" s="1"/>
      <c r="B205" s="1"/>
      <c r="C205" s="1"/>
      <c r="D205" s="2"/>
      <c r="E205" s="2"/>
      <c r="F205" s="2"/>
      <c r="G205" s="2"/>
      <c r="H205" s="2"/>
      <c r="I205" s="2"/>
      <c r="J205" s="3"/>
      <c r="K205" s="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4">
      <c r="A206" s="1"/>
      <c r="B206" s="1"/>
      <c r="C206" s="1"/>
      <c r="D206" s="2"/>
      <c r="E206" s="2"/>
      <c r="F206" s="2"/>
      <c r="G206" s="2"/>
      <c r="H206" s="2"/>
      <c r="I206" s="2"/>
      <c r="J206" s="3"/>
      <c r="K206" s="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4">
      <c r="A207" s="1"/>
      <c r="B207" s="1"/>
      <c r="C207" s="1"/>
      <c r="D207" s="2"/>
      <c r="E207" s="2"/>
      <c r="F207" s="2"/>
      <c r="G207" s="2"/>
      <c r="H207" s="2"/>
      <c r="I207" s="2"/>
      <c r="J207" s="3"/>
      <c r="K207" s="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4">
      <c r="A208" s="1"/>
      <c r="B208" s="1"/>
      <c r="C208" s="1"/>
      <c r="D208" s="2"/>
      <c r="E208" s="2"/>
      <c r="F208" s="2"/>
      <c r="G208" s="2"/>
      <c r="H208" s="2"/>
      <c r="I208" s="2"/>
      <c r="J208" s="3"/>
      <c r="K208" s="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4">
      <c r="A209" s="1"/>
      <c r="B209" s="1"/>
      <c r="C209" s="1"/>
      <c r="D209" s="2"/>
      <c r="E209" s="2"/>
      <c r="F209" s="2"/>
      <c r="G209" s="2"/>
      <c r="H209" s="2"/>
      <c r="I209" s="2"/>
      <c r="J209" s="3"/>
      <c r="K209" s="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4">
      <c r="A210" s="1"/>
      <c r="B210" s="1"/>
      <c r="C210" s="1"/>
      <c r="D210" s="2"/>
      <c r="E210" s="2"/>
      <c r="F210" s="2"/>
      <c r="G210" s="2"/>
      <c r="H210" s="2"/>
      <c r="I210" s="2"/>
      <c r="J210" s="3"/>
      <c r="K210" s="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x14ac:dyDescent="0.4">
      <c r="A211" s="1"/>
      <c r="B211" s="1"/>
      <c r="C211" s="1"/>
      <c r="D211" s="2"/>
      <c r="E211" s="2"/>
      <c r="F211" s="2"/>
      <c r="G211" s="2"/>
      <c r="H211" s="2"/>
      <c r="I211" s="2"/>
      <c r="J211" s="3"/>
      <c r="K211" s="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x14ac:dyDescent="0.4">
      <c r="A212" s="1"/>
      <c r="B212" s="1"/>
      <c r="C212" s="1"/>
      <c r="D212" s="2"/>
      <c r="E212" s="2"/>
      <c r="F212" s="2"/>
      <c r="G212" s="2"/>
      <c r="H212" s="2"/>
      <c r="I212" s="2"/>
      <c r="J212" s="3"/>
      <c r="K212" s="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x14ac:dyDescent="0.4">
      <c r="A213" s="1"/>
      <c r="B213" s="1"/>
      <c r="C213" s="1"/>
      <c r="D213" s="2"/>
      <c r="E213" s="2"/>
      <c r="F213" s="2"/>
      <c r="G213" s="2"/>
      <c r="H213" s="2"/>
      <c r="I213" s="2"/>
      <c r="J213" s="3"/>
      <c r="K213" s="2"/>
      <c r="L213" s="4"/>
      <c r="M213" s="4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x14ac:dyDescent="0.4">
      <c r="A214" s="1"/>
      <c r="B214" s="1"/>
      <c r="C214" s="1"/>
      <c r="D214" s="2"/>
      <c r="E214" s="2"/>
      <c r="F214" s="2"/>
      <c r="G214" s="2"/>
      <c r="H214" s="2"/>
      <c r="I214" s="2"/>
      <c r="J214" s="3"/>
      <c r="K214" s="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x14ac:dyDescent="0.4">
      <c r="A215" s="1"/>
      <c r="B215" s="1"/>
      <c r="C215" s="1"/>
      <c r="D215" s="2"/>
      <c r="E215" s="2"/>
      <c r="F215" s="2"/>
      <c r="G215" s="2"/>
      <c r="H215" s="2"/>
      <c r="I215" s="2"/>
      <c r="J215" s="3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x14ac:dyDescent="0.4">
      <c r="A216" s="1"/>
      <c r="B216" s="1"/>
      <c r="C216" s="1"/>
      <c r="D216" s="2"/>
      <c r="E216" s="2"/>
      <c r="F216" s="2"/>
      <c r="G216" s="2"/>
      <c r="H216" s="2"/>
      <c r="I216" s="2"/>
      <c r="J216" s="3"/>
      <c r="K216" s="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1:25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</sheetData>
  <mergeCells count="15">
    <mergeCell ref="N4:S5"/>
    <mergeCell ref="L37:L38"/>
    <mergeCell ref="M37:M38"/>
    <mergeCell ref="N37:U38"/>
    <mergeCell ref="N196:Q196"/>
    <mergeCell ref="A37:A38"/>
    <mergeCell ref="B37:B38"/>
    <mergeCell ref="C37:C38"/>
    <mergeCell ref="J37:J38"/>
    <mergeCell ref="K37:K38"/>
    <mergeCell ref="A4:A5"/>
    <mergeCell ref="D4:I4"/>
    <mergeCell ref="L4:L5"/>
    <mergeCell ref="M4:M5"/>
    <mergeCell ref="D5:I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D9F60-E749-4780-8A30-F40EA560385A}">
  <sheetPr>
    <tabColor rgb="FFC00000"/>
  </sheetPr>
  <dimension ref="A1:S491"/>
  <sheetViews>
    <sheetView workbookViewId="0">
      <selection activeCell="H27" sqref="H27"/>
    </sheetView>
  </sheetViews>
  <sheetFormatPr defaultColWidth="9" defaultRowHeight="17.399999999999999" x14ac:dyDescent="0.4"/>
  <cols>
    <col min="1" max="1" width="10.8984375" style="40" customWidth="1"/>
    <col min="2" max="2" width="9" style="40"/>
    <col min="3" max="3" width="11" style="40" customWidth="1"/>
    <col min="4" max="4" width="10.69921875" style="40" customWidth="1"/>
    <col min="5" max="5" width="9.19921875" style="40" customWidth="1"/>
    <col min="6" max="6" width="14" style="40" customWidth="1"/>
    <col min="7" max="7" width="13.59765625" style="40" customWidth="1"/>
    <col min="8" max="10" width="9" style="40"/>
    <col min="11" max="11" width="12.19921875" style="40" customWidth="1"/>
    <col min="12" max="16384" width="9" style="40"/>
  </cols>
  <sheetData>
    <row r="1" spans="1:19" x14ac:dyDescent="0.4">
      <c r="A1" s="15"/>
      <c r="B1" s="14" t="s">
        <v>34</v>
      </c>
      <c r="C1" s="14"/>
      <c r="D1" s="42"/>
      <c r="E1" s="43" t="s">
        <v>99</v>
      </c>
      <c r="F1" s="16"/>
      <c r="G1" s="16" t="s">
        <v>33</v>
      </c>
    </row>
    <row r="2" spans="1:19" ht="18" thickBot="1" x14ac:dyDescent="0.45">
      <c r="A2" s="15" t="s">
        <v>32</v>
      </c>
      <c r="B2" s="14" t="s">
        <v>31</v>
      </c>
      <c r="C2" s="14" t="s">
        <v>30</v>
      </c>
      <c r="D2" s="44"/>
      <c r="E2" s="45"/>
      <c r="F2" s="13"/>
      <c r="G2" s="13" t="s">
        <v>28</v>
      </c>
    </row>
    <row r="3" spans="1:19" x14ac:dyDescent="0.4">
      <c r="B3" s="11">
        <f>SUM(B6:B183)</f>
        <v>480</v>
      </c>
      <c r="C3" s="12"/>
      <c r="F3" s="11"/>
      <c r="G3" s="10"/>
    </row>
    <row r="4" spans="1:19" x14ac:dyDescent="0.4">
      <c r="A4" s="280" t="s">
        <v>27</v>
      </c>
      <c r="B4" s="67" t="s">
        <v>25</v>
      </c>
      <c r="C4" s="66"/>
      <c r="D4" s="9" t="s">
        <v>24</v>
      </c>
      <c r="E4" s="9" t="s">
        <v>23</v>
      </c>
      <c r="F4" s="280" t="s">
        <v>113</v>
      </c>
      <c r="G4" s="280" t="s">
        <v>98</v>
      </c>
    </row>
    <row r="5" spans="1:19" x14ac:dyDescent="0.4">
      <c r="A5" s="281"/>
      <c r="B5" s="67" t="s">
        <v>19</v>
      </c>
      <c r="C5" s="67" t="s">
        <v>18</v>
      </c>
      <c r="D5" s="7" t="s">
        <v>17</v>
      </c>
      <c r="E5" s="7" t="s">
        <v>17</v>
      </c>
      <c r="F5" s="281"/>
      <c r="G5" s="281"/>
    </row>
    <row r="6" spans="1:19" x14ac:dyDescent="0.4">
      <c r="A6" s="63" t="s">
        <v>104</v>
      </c>
      <c r="B6" s="63">
        <v>300</v>
      </c>
      <c r="C6" s="65">
        <v>1</v>
      </c>
      <c r="D6" s="49">
        <f t="shared" ref="D6:D14" si="0">SUM(C6:C6)</f>
        <v>1</v>
      </c>
      <c r="E6" s="49">
        <f t="shared" ref="E6:E14" si="1">SUM(C6:C6)</f>
        <v>1</v>
      </c>
      <c r="F6" s="69">
        <v>44187</v>
      </c>
      <c r="G6" s="69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</row>
    <row r="7" spans="1:19" x14ac:dyDescent="0.4">
      <c r="A7" s="63" t="s">
        <v>105</v>
      </c>
      <c r="B7" s="63">
        <v>80</v>
      </c>
      <c r="C7" s="69" t="s">
        <v>114</v>
      </c>
      <c r="D7" s="49">
        <f t="shared" si="0"/>
        <v>0</v>
      </c>
      <c r="E7" s="49">
        <f t="shared" si="1"/>
        <v>0</v>
      </c>
      <c r="F7" s="69">
        <v>44188</v>
      </c>
      <c r="G7" s="69">
        <v>44237</v>
      </c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</row>
    <row r="8" spans="1:19" x14ac:dyDescent="0.4">
      <c r="A8" s="63" t="s">
        <v>106</v>
      </c>
      <c r="B8" s="63">
        <v>100</v>
      </c>
      <c r="C8" s="65">
        <v>1</v>
      </c>
      <c r="D8" s="49">
        <f t="shared" si="0"/>
        <v>1</v>
      </c>
      <c r="E8" s="49">
        <f t="shared" si="1"/>
        <v>1</v>
      </c>
      <c r="F8" s="69">
        <v>44204</v>
      </c>
      <c r="G8" s="4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</row>
    <row r="9" spans="1:19" x14ac:dyDescent="0.4">
      <c r="A9" s="63" t="s">
        <v>107</v>
      </c>
      <c r="B9" s="63"/>
      <c r="C9" s="65">
        <v>1</v>
      </c>
      <c r="D9" s="49">
        <f t="shared" si="0"/>
        <v>1</v>
      </c>
      <c r="E9" s="49">
        <f t="shared" si="1"/>
        <v>1</v>
      </c>
      <c r="F9" s="4"/>
      <c r="G9" s="4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</row>
    <row r="10" spans="1:19" x14ac:dyDescent="0.4">
      <c r="A10" s="63" t="s">
        <v>108</v>
      </c>
      <c r="B10" s="63"/>
      <c r="C10" s="65">
        <v>1</v>
      </c>
      <c r="D10" s="49">
        <f t="shared" si="0"/>
        <v>1</v>
      </c>
      <c r="E10" s="49">
        <f t="shared" si="1"/>
        <v>1</v>
      </c>
      <c r="F10" s="4"/>
      <c r="G10" s="4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</row>
    <row r="11" spans="1:19" x14ac:dyDescent="0.4">
      <c r="A11" s="63" t="s">
        <v>109</v>
      </c>
      <c r="B11" s="63"/>
      <c r="C11" s="65">
        <v>1</v>
      </c>
      <c r="D11" s="49">
        <f t="shared" si="0"/>
        <v>1</v>
      </c>
      <c r="E11" s="49">
        <f t="shared" si="1"/>
        <v>1</v>
      </c>
      <c r="F11" s="4"/>
      <c r="G11" s="4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</row>
    <row r="12" spans="1:19" x14ac:dyDescent="0.4">
      <c r="A12" s="63" t="s">
        <v>110</v>
      </c>
      <c r="B12" s="63"/>
      <c r="C12" s="65">
        <v>1</v>
      </c>
      <c r="D12" s="49">
        <f t="shared" si="0"/>
        <v>1</v>
      </c>
      <c r="E12" s="49">
        <f t="shared" si="1"/>
        <v>1</v>
      </c>
      <c r="F12" s="4"/>
      <c r="G12" s="4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</row>
    <row r="13" spans="1:19" x14ac:dyDescent="0.4">
      <c r="A13" s="63" t="s">
        <v>111</v>
      </c>
      <c r="B13" s="63"/>
      <c r="C13" s="65">
        <v>1</v>
      </c>
      <c r="D13" s="49">
        <f t="shared" si="0"/>
        <v>1</v>
      </c>
      <c r="E13" s="49">
        <f t="shared" si="1"/>
        <v>1</v>
      </c>
      <c r="F13" s="4"/>
      <c r="G13" s="4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</row>
    <row r="14" spans="1:19" x14ac:dyDescent="0.4">
      <c r="A14" s="63" t="s">
        <v>112</v>
      </c>
      <c r="B14" s="63"/>
      <c r="C14" s="65">
        <v>1</v>
      </c>
      <c r="D14" s="49">
        <f t="shared" si="0"/>
        <v>1</v>
      </c>
      <c r="E14" s="49">
        <f t="shared" si="1"/>
        <v>1</v>
      </c>
      <c r="F14" s="4"/>
      <c r="G14" s="4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</row>
    <row r="15" spans="1:19" x14ac:dyDescent="0.4">
      <c r="A15" s="63"/>
      <c r="B15" s="63"/>
      <c r="C15" s="65"/>
      <c r="D15" s="64"/>
      <c r="E15" s="64"/>
      <c r="F15" s="4"/>
      <c r="G15" s="4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</row>
    <row r="16" spans="1:19" x14ac:dyDescent="0.4">
      <c r="A16" s="279"/>
      <c r="B16" s="63"/>
      <c r="C16" s="65"/>
      <c r="D16" s="64"/>
      <c r="E16" s="64"/>
      <c r="F16" s="4"/>
      <c r="G16" s="4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</row>
    <row r="17" spans="1:19" x14ac:dyDescent="0.4">
      <c r="A17" s="279"/>
      <c r="B17" s="63"/>
      <c r="C17" s="65"/>
      <c r="D17" s="64"/>
      <c r="E17" s="64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</row>
    <row r="18" spans="1:19" x14ac:dyDescent="0.4">
      <c r="A18" s="63"/>
      <c r="B18" s="63"/>
      <c r="C18" s="65"/>
      <c r="D18" s="64"/>
      <c r="E18" s="64"/>
      <c r="F18" s="4"/>
      <c r="G18" s="4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</row>
    <row r="19" spans="1:19" x14ac:dyDescent="0.4">
      <c r="A19" s="63"/>
      <c r="B19" s="63"/>
      <c r="C19" s="65"/>
      <c r="D19" s="64"/>
      <c r="E19" s="64"/>
      <c r="F19" s="4"/>
      <c r="G19" s="4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</row>
    <row r="20" spans="1:19" x14ac:dyDescent="0.4">
      <c r="A20" s="63"/>
      <c r="B20" s="63"/>
      <c r="C20" s="65"/>
      <c r="D20" s="64"/>
      <c r="E20" s="64"/>
      <c r="F20" s="4"/>
      <c r="G20" s="4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</row>
    <row r="21" spans="1:19" x14ac:dyDescent="0.4">
      <c r="A21" s="63"/>
      <c r="B21" s="63"/>
      <c r="C21" s="65"/>
      <c r="D21" s="64"/>
      <c r="E21" s="64"/>
      <c r="F21" s="4"/>
      <c r="G21" s="4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</row>
    <row r="22" spans="1:19" x14ac:dyDescent="0.4">
      <c r="A22" s="63"/>
      <c r="B22" s="63"/>
      <c r="C22" s="65"/>
      <c r="D22" s="64"/>
      <c r="E22" s="64"/>
      <c r="F22" s="4"/>
      <c r="G22" s="4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</row>
    <row r="23" spans="1:19" x14ac:dyDescent="0.4">
      <c r="A23" s="63"/>
      <c r="B23" s="63"/>
      <c r="C23" s="65"/>
      <c r="D23" s="64"/>
      <c r="E23" s="64"/>
      <c r="F23" s="4"/>
      <c r="G23" s="4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4" spans="1:19" x14ac:dyDescent="0.4">
      <c r="A24" s="63"/>
      <c r="B24" s="63"/>
      <c r="C24" s="65"/>
      <c r="D24" s="64"/>
      <c r="E24" s="64"/>
      <c r="F24" s="4"/>
      <c r="G24" s="4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</row>
    <row r="25" spans="1:19" x14ac:dyDescent="0.4">
      <c r="A25" s="63"/>
      <c r="B25" s="63"/>
      <c r="C25" s="65"/>
      <c r="D25" s="64"/>
      <c r="E25" s="64"/>
      <c r="F25" s="4"/>
      <c r="G25" s="4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</row>
    <row r="26" spans="1:19" x14ac:dyDescent="0.4">
      <c r="A26" s="63"/>
      <c r="B26" s="63"/>
      <c r="C26" s="65"/>
      <c r="D26" s="64"/>
      <c r="E26" s="64"/>
      <c r="F26" s="4"/>
      <c r="G26" s="4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</row>
    <row r="27" spans="1:19" x14ac:dyDescent="0.4">
      <c r="A27" s="63"/>
      <c r="B27" s="63"/>
      <c r="C27" s="65"/>
      <c r="D27" s="64"/>
      <c r="E27" s="64"/>
      <c r="F27" s="4"/>
      <c r="G27" s="4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</row>
    <row r="28" spans="1:19" x14ac:dyDescent="0.4">
      <c r="A28" s="63"/>
      <c r="B28" s="63"/>
      <c r="C28" s="65"/>
      <c r="D28" s="64"/>
      <c r="E28" s="64"/>
      <c r="F28" s="4"/>
      <c r="G28" s="4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</row>
    <row r="29" spans="1:19" x14ac:dyDescent="0.4">
      <c r="A29" s="63"/>
      <c r="B29" s="63"/>
      <c r="C29" s="65"/>
      <c r="D29" s="64"/>
      <c r="E29" s="64"/>
      <c r="F29" s="4"/>
      <c r="G29" s="4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</row>
    <row r="30" spans="1:19" x14ac:dyDescent="0.4">
      <c r="A30" s="63"/>
      <c r="B30" s="63"/>
      <c r="C30" s="65"/>
      <c r="D30" s="64"/>
      <c r="E30" s="64"/>
      <c r="F30" s="4"/>
      <c r="G30" s="4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</row>
    <row r="31" spans="1:19" x14ac:dyDescent="0.4">
      <c r="A31" s="63"/>
      <c r="B31" s="63"/>
      <c r="C31" s="65"/>
      <c r="D31" s="64"/>
      <c r="E31" s="64"/>
      <c r="F31" s="4"/>
      <c r="G31" s="4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</row>
    <row r="32" spans="1:19" x14ac:dyDescent="0.4">
      <c r="A32" s="63"/>
      <c r="B32" s="63"/>
      <c r="C32" s="65"/>
      <c r="D32" s="64"/>
      <c r="E32" s="64"/>
      <c r="F32" s="4"/>
      <c r="G32" s="4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</row>
    <row r="33" spans="1:19" x14ac:dyDescent="0.4">
      <c r="A33" s="63"/>
      <c r="B33" s="63"/>
      <c r="C33" s="65"/>
      <c r="D33" s="64"/>
      <c r="E33" s="64"/>
      <c r="F33" s="4"/>
      <c r="G33" s="4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</row>
    <row r="34" spans="1:19" x14ac:dyDescent="0.4">
      <c r="A34" s="63"/>
      <c r="B34" s="63"/>
      <c r="C34" s="65"/>
      <c r="D34" s="64"/>
      <c r="E34" s="64"/>
      <c r="F34" s="4"/>
      <c r="G34" s="4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</row>
    <row r="35" spans="1:19" x14ac:dyDescent="0.4">
      <c r="A35" s="63"/>
      <c r="B35" s="63"/>
      <c r="C35" s="65"/>
      <c r="D35" s="64"/>
      <c r="E35" s="64"/>
      <c r="F35" s="4"/>
      <c r="G35" s="4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</row>
    <row r="36" spans="1:19" x14ac:dyDescent="0.4">
      <c r="A36" s="63"/>
      <c r="B36" s="63"/>
      <c r="C36" s="65"/>
      <c r="D36" s="64"/>
      <c r="E36" s="64"/>
      <c r="F36" s="4"/>
      <c r="G36" s="4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</row>
    <row r="37" spans="1:19" x14ac:dyDescent="0.4">
      <c r="A37" s="63"/>
      <c r="B37" s="63"/>
      <c r="C37" s="65"/>
      <c r="D37" s="64"/>
      <c r="E37" s="64"/>
      <c r="F37" s="4"/>
      <c r="G37" s="4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</row>
    <row r="38" spans="1:19" x14ac:dyDescent="0.4">
      <c r="A38" s="63"/>
      <c r="B38" s="63"/>
      <c r="C38" s="65"/>
      <c r="D38" s="64"/>
      <c r="E38" s="64"/>
      <c r="F38" s="4"/>
      <c r="G38" s="4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</row>
    <row r="39" spans="1:19" x14ac:dyDescent="0.4">
      <c r="A39" s="63"/>
      <c r="B39" s="63"/>
      <c r="C39" s="65"/>
      <c r="D39" s="64"/>
      <c r="E39" s="64"/>
      <c r="F39" s="4"/>
      <c r="G39" s="4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</row>
    <row r="40" spans="1:19" x14ac:dyDescent="0.4">
      <c r="A40" s="63"/>
      <c r="B40" s="63"/>
      <c r="C40" s="65"/>
      <c r="D40" s="64"/>
      <c r="E40" s="64"/>
      <c r="F40" s="4"/>
      <c r="G40" s="4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</row>
    <row r="41" spans="1:19" x14ac:dyDescent="0.4">
      <c r="A41" s="63"/>
      <c r="B41" s="63"/>
      <c r="C41" s="65"/>
      <c r="D41" s="64"/>
      <c r="E41" s="64"/>
      <c r="F41" s="4"/>
      <c r="G41" s="4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</row>
    <row r="42" spans="1:19" x14ac:dyDescent="0.4">
      <c r="A42" s="63"/>
      <c r="B42" s="63"/>
      <c r="C42" s="65"/>
      <c r="D42" s="64"/>
      <c r="E42" s="64"/>
      <c r="F42" s="4"/>
      <c r="G42" s="4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</row>
    <row r="43" spans="1:19" x14ac:dyDescent="0.4">
      <c r="A43" s="63"/>
      <c r="B43" s="63"/>
      <c r="C43" s="65"/>
      <c r="D43" s="64"/>
      <c r="E43" s="64"/>
      <c r="F43" s="4"/>
      <c r="G43" s="4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</row>
    <row r="44" spans="1:19" x14ac:dyDescent="0.4">
      <c r="A44" s="63"/>
      <c r="B44" s="63"/>
      <c r="C44" s="65"/>
      <c r="D44" s="64"/>
      <c r="E44" s="64"/>
      <c r="F44" s="4"/>
      <c r="G44" s="4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</row>
    <row r="45" spans="1:19" x14ac:dyDescent="0.4">
      <c r="A45" s="63"/>
      <c r="B45" s="63"/>
      <c r="C45" s="65"/>
      <c r="D45" s="64"/>
      <c r="E45" s="64"/>
      <c r="F45" s="4"/>
      <c r="G45" s="4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</row>
    <row r="46" spans="1:19" x14ac:dyDescent="0.4">
      <c r="A46" s="63"/>
      <c r="B46" s="63"/>
      <c r="C46" s="65"/>
      <c r="D46" s="64"/>
      <c r="E46" s="64"/>
      <c r="F46" s="4"/>
      <c r="G46" s="4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</row>
    <row r="47" spans="1:19" x14ac:dyDescent="0.4">
      <c r="A47" s="63"/>
      <c r="B47" s="63"/>
      <c r="C47" s="65"/>
      <c r="D47" s="64"/>
      <c r="E47" s="64"/>
      <c r="F47" s="4"/>
      <c r="G47" s="4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</row>
    <row r="48" spans="1:19" x14ac:dyDescent="0.4">
      <c r="A48" s="63"/>
      <c r="B48" s="63"/>
      <c r="C48" s="65"/>
      <c r="D48" s="64"/>
      <c r="E48" s="64"/>
      <c r="F48" s="4"/>
      <c r="G48" s="4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</row>
    <row r="49" spans="1:19" x14ac:dyDescent="0.4">
      <c r="A49" s="63"/>
      <c r="B49" s="63"/>
      <c r="C49" s="65"/>
      <c r="D49" s="64"/>
      <c r="E49" s="64"/>
      <c r="F49" s="4"/>
      <c r="G49" s="4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</row>
    <row r="50" spans="1:19" x14ac:dyDescent="0.4">
      <c r="A50" s="63"/>
      <c r="B50" s="63"/>
      <c r="C50" s="65"/>
      <c r="D50" s="64"/>
      <c r="E50" s="64"/>
      <c r="F50" s="4"/>
      <c r="G50" s="4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</row>
    <row r="51" spans="1:19" x14ac:dyDescent="0.4">
      <c r="A51" s="63"/>
      <c r="B51" s="63"/>
      <c r="C51" s="65"/>
      <c r="D51" s="64"/>
      <c r="E51" s="64"/>
      <c r="F51" s="4"/>
      <c r="G51" s="4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</row>
    <row r="52" spans="1:19" x14ac:dyDescent="0.4">
      <c r="A52" s="63"/>
      <c r="B52" s="63"/>
      <c r="C52" s="65"/>
      <c r="D52" s="64"/>
      <c r="E52" s="64"/>
      <c r="F52" s="4"/>
      <c r="G52" s="4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</row>
    <row r="53" spans="1:19" x14ac:dyDescent="0.4">
      <c r="A53" s="63"/>
      <c r="B53" s="63"/>
      <c r="C53" s="65"/>
      <c r="D53" s="64"/>
      <c r="E53" s="64"/>
      <c r="F53" s="4"/>
      <c r="G53" s="4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</row>
    <row r="54" spans="1:19" x14ac:dyDescent="0.4">
      <c r="A54" s="63"/>
      <c r="B54" s="63"/>
      <c r="C54" s="65"/>
      <c r="D54" s="64"/>
      <c r="E54" s="64"/>
      <c r="F54" s="4"/>
      <c r="G54" s="4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</row>
    <row r="55" spans="1:19" x14ac:dyDescent="0.4">
      <c r="A55" s="63"/>
      <c r="B55" s="63"/>
      <c r="C55" s="65"/>
      <c r="D55" s="64"/>
      <c r="E55" s="64"/>
      <c r="F55" s="4"/>
      <c r="G55" s="4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</row>
    <row r="56" spans="1:19" x14ac:dyDescent="0.4">
      <c r="A56" s="63"/>
      <c r="B56" s="63"/>
      <c r="C56" s="65"/>
      <c r="D56" s="64"/>
      <c r="E56" s="64"/>
      <c r="F56" s="4"/>
      <c r="G56" s="4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</row>
    <row r="57" spans="1:19" x14ac:dyDescent="0.4">
      <c r="A57" s="63"/>
      <c r="B57" s="63"/>
      <c r="C57" s="65"/>
      <c r="D57" s="64"/>
      <c r="E57" s="64"/>
      <c r="F57" s="4"/>
      <c r="G57" s="4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</row>
    <row r="58" spans="1:19" x14ac:dyDescent="0.4">
      <c r="A58" s="63"/>
      <c r="B58" s="63"/>
      <c r="C58" s="65"/>
      <c r="D58" s="64"/>
      <c r="E58" s="64"/>
      <c r="F58" s="4"/>
      <c r="G58" s="4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</row>
    <row r="59" spans="1:19" x14ac:dyDescent="0.4">
      <c r="A59" s="63"/>
      <c r="B59" s="63"/>
      <c r="C59" s="65"/>
      <c r="D59" s="64"/>
      <c r="E59" s="64"/>
      <c r="F59" s="4"/>
      <c r="G59" s="4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</row>
    <row r="60" spans="1:19" x14ac:dyDescent="0.4">
      <c r="A60" s="63"/>
      <c r="B60" s="63"/>
      <c r="C60" s="65"/>
      <c r="D60" s="64"/>
      <c r="E60" s="64"/>
      <c r="F60" s="4"/>
      <c r="G60" s="4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</row>
    <row r="61" spans="1:19" x14ac:dyDescent="0.4">
      <c r="A61" s="63"/>
      <c r="B61" s="63"/>
      <c r="C61" s="65"/>
      <c r="D61" s="64"/>
      <c r="E61" s="64"/>
      <c r="F61" s="4"/>
      <c r="G61" s="4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</row>
    <row r="62" spans="1:19" x14ac:dyDescent="0.4">
      <c r="A62" s="63"/>
      <c r="B62" s="63"/>
      <c r="C62" s="65"/>
      <c r="D62" s="64"/>
      <c r="E62" s="64"/>
      <c r="F62" s="4"/>
      <c r="G62" s="4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</row>
    <row r="63" spans="1:19" x14ac:dyDescent="0.4">
      <c r="A63" s="63"/>
      <c r="B63" s="63"/>
      <c r="C63" s="65"/>
      <c r="D63" s="64"/>
      <c r="E63" s="64"/>
      <c r="F63" s="4"/>
      <c r="G63" s="4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</row>
    <row r="64" spans="1:19" x14ac:dyDescent="0.4">
      <c r="A64" s="63"/>
      <c r="B64" s="63"/>
      <c r="C64" s="65"/>
      <c r="D64" s="64"/>
      <c r="E64" s="64"/>
      <c r="F64" s="4"/>
      <c r="G64" s="4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</row>
    <row r="65" spans="1:19" x14ac:dyDescent="0.4">
      <c r="A65" s="63"/>
      <c r="B65" s="63"/>
      <c r="C65" s="65"/>
      <c r="D65" s="64"/>
      <c r="E65" s="64"/>
      <c r="F65" s="4"/>
      <c r="G65" s="4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</row>
    <row r="66" spans="1:19" x14ac:dyDescent="0.4">
      <c r="A66" s="63"/>
      <c r="B66" s="63"/>
      <c r="C66" s="65"/>
      <c r="D66" s="64"/>
      <c r="E66" s="64"/>
      <c r="F66" s="4"/>
      <c r="G66" s="4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</row>
    <row r="67" spans="1:19" x14ac:dyDescent="0.4">
      <c r="A67" s="63"/>
      <c r="B67" s="63"/>
      <c r="C67" s="65"/>
      <c r="D67" s="64"/>
      <c r="E67" s="64"/>
      <c r="F67" s="4"/>
      <c r="G67" s="4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</row>
    <row r="68" spans="1:19" x14ac:dyDescent="0.4">
      <c r="A68" s="63"/>
      <c r="B68" s="63"/>
      <c r="C68" s="65"/>
      <c r="D68" s="64"/>
      <c r="E68" s="64"/>
      <c r="F68" s="4"/>
      <c r="G68" s="4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</row>
    <row r="69" spans="1:19" x14ac:dyDescent="0.4">
      <c r="A69" s="63"/>
      <c r="B69" s="63"/>
      <c r="C69" s="65"/>
      <c r="D69" s="64"/>
      <c r="E69" s="64"/>
      <c r="F69" s="4"/>
      <c r="G69" s="4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</row>
    <row r="70" spans="1:19" x14ac:dyDescent="0.4">
      <c r="A70" s="63"/>
      <c r="B70" s="63"/>
      <c r="C70" s="65"/>
      <c r="D70" s="64"/>
      <c r="E70" s="64"/>
      <c r="F70" s="4"/>
      <c r="G70" s="4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</row>
    <row r="71" spans="1:19" x14ac:dyDescent="0.4">
      <c r="A71" s="63"/>
      <c r="B71" s="63"/>
      <c r="C71" s="65"/>
      <c r="D71" s="64"/>
      <c r="E71" s="64"/>
      <c r="F71" s="4"/>
      <c r="G71" s="4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</row>
    <row r="72" spans="1:19" x14ac:dyDescent="0.4">
      <c r="A72" s="63"/>
      <c r="B72" s="63"/>
      <c r="C72" s="65"/>
      <c r="D72" s="64"/>
      <c r="E72" s="64"/>
      <c r="F72" s="4"/>
      <c r="G72" s="4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</row>
    <row r="73" spans="1:19" x14ac:dyDescent="0.4">
      <c r="A73" s="63"/>
      <c r="B73" s="63"/>
      <c r="C73" s="65"/>
      <c r="D73" s="64"/>
      <c r="E73" s="64"/>
      <c r="F73" s="4"/>
      <c r="G73" s="4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</row>
    <row r="74" spans="1:19" x14ac:dyDescent="0.4">
      <c r="A74" s="286"/>
      <c r="B74" s="279"/>
      <c r="C74" s="65"/>
      <c r="D74" s="287"/>
      <c r="E74" s="287"/>
      <c r="F74" s="288"/>
      <c r="G74" s="288"/>
      <c r="H74" s="289"/>
      <c r="I74" s="289"/>
      <c r="J74" s="289"/>
      <c r="K74" s="289"/>
      <c r="L74" s="289"/>
      <c r="M74" s="289"/>
      <c r="N74" s="289"/>
      <c r="O74" s="289"/>
      <c r="P74" s="63"/>
      <c r="Q74" s="63"/>
      <c r="R74" s="63"/>
      <c r="S74" s="63"/>
    </row>
    <row r="75" spans="1:19" x14ac:dyDescent="0.4">
      <c r="A75" s="286"/>
      <c r="B75" s="279"/>
      <c r="C75" s="65"/>
      <c r="D75" s="287"/>
      <c r="E75" s="287"/>
      <c r="F75" s="288"/>
      <c r="G75" s="288"/>
      <c r="H75" s="289"/>
      <c r="I75" s="289"/>
      <c r="J75" s="289"/>
      <c r="K75" s="289"/>
      <c r="L75" s="289"/>
      <c r="M75" s="289"/>
      <c r="N75" s="289"/>
      <c r="O75" s="289"/>
      <c r="P75" s="63"/>
      <c r="Q75" s="63"/>
      <c r="R75" s="63"/>
      <c r="S75" s="63"/>
    </row>
    <row r="76" spans="1:19" x14ac:dyDescent="0.4">
      <c r="A76" s="63"/>
      <c r="B76" s="63"/>
      <c r="C76" s="65"/>
      <c r="D76" s="64"/>
      <c r="E76" s="64"/>
      <c r="F76" s="4"/>
      <c r="G76" s="4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</row>
    <row r="77" spans="1:19" x14ac:dyDescent="0.4">
      <c r="A77" s="63"/>
      <c r="B77" s="63"/>
      <c r="C77" s="65"/>
      <c r="D77" s="64"/>
      <c r="E77" s="64"/>
      <c r="F77" s="4"/>
      <c r="G77" s="4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</row>
    <row r="78" spans="1:19" x14ac:dyDescent="0.4">
      <c r="A78" s="63"/>
      <c r="B78" s="63"/>
      <c r="C78" s="65"/>
      <c r="D78" s="64"/>
      <c r="E78" s="64"/>
      <c r="F78" s="4"/>
      <c r="G78" s="4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</row>
    <row r="79" spans="1:19" x14ac:dyDescent="0.4">
      <c r="A79" s="63"/>
      <c r="B79" s="63"/>
      <c r="C79" s="65"/>
      <c r="D79" s="64"/>
      <c r="E79" s="64"/>
      <c r="F79" s="4"/>
      <c r="G79" s="4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</row>
    <row r="80" spans="1:19" x14ac:dyDescent="0.4">
      <c r="A80" s="63"/>
      <c r="B80" s="63"/>
      <c r="C80" s="65"/>
      <c r="D80" s="64"/>
      <c r="E80" s="64"/>
      <c r="F80" s="4"/>
      <c r="G80" s="4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</row>
    <row r="81" spans="1:19" x14ac:dyDescent="0.4">
      <c r="A81" s="63"/>
      <c r="B81" s="63"/>
      <c r="C81" s="65"/>
      <c r="D81" s="64"/>
      <c r="E81" s="64"/>
      <c r="F81" s="4"/>
      <c r="G81" s="4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</row>
    <row r="82" spans="1:19" x14ac:dyDescent="0.4">
      <c r="A82" s="63"/>
      <c r="B82" s="63"/>
      <c r="C82" s="65"/>
      <c r="D82" s="64"/>
      <c r="E82" s="64"/>
      <c r="F82" s="4"/>
      <c r="G82" s="4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</row>
    <row r="83" spans="1:19" x14ac:dyDescent="0.4">
      <c r="A83" s="63"/>
      <c r="B83" s="63"/>
      <c r="C83" s="65"/>
      <c r="D83" s="64"/>
      <c r="E83" s="64"/>
      <c r="F83" s="4"/>
      <c r="G83" s="4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</row>
    <row r="84" spans="1:19" x14ac:dyDescent="0.4">
      <c r="A84" s="63"/>
      <c r="B84" s="63"/>
      <c r="C84" s="65"/>
      <c r="D84" s="64"/>
      <c r="E84" s="64"/>
      <c r="F84" s="4"/>
      <c r="G84" s="4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</row>
    <row r="85" spans="1:19" x14ac:dyDescent="0.4">
      <c r="A85" s="63"/>
      <c r="B85" s="63"/>
      <c r="C85" s="65"/>
      <c r="D85" s="64"/>
      <c r="E85" s="64"/>
      <c r="F85" s="4"/>
      <c r="G85" s="4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</row>
    <row r="86" spans="1:19" x14ac:dyDescent="0.4">
      <c r="A86" s="63"/>
      <c r="B86" s="63"/>
      <c r="C86" s="65"/>
      <c r="D86" s="64"/>
      <c r="E86" s="64"/>
      <c r="F86" s="4"/>
      <c r="G86" s="4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</row>
    <row r="87" spans="1:19" x14ac:dyDescent="0.4">
      <c r="A87" s="63"/>
      <c r="B87" s="63"/>
      <c r="C87" s="65"/>
      <c r="D87" s="64"/>
      <c r="E87" s="64"/>
      <c r="F87" s="4"/>
      <c r="G87" s="4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</row>
    <row r="88" spans="1:19" x14ac:dyDescent="0.4">
      <c r="A88" s="63"/>
      <c r="B88" s="63"/>
      <c r="C88" s="65"/>
      <c r="D88" s="64"/>
      <c r="E88" s="64"/>
      <c r="F88" s="4"/>
      <c r="G88" s="4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</row>
    <row r="89" spans="1:19" x14ac:dyDescent="0.4">
      <c r="A89" s="63"/>
      <c r="B89" s="63"/>
      <c r="C89" s="65"/>
      <c r="D89" s="64"/>
      <c r="E89" s="64"/>
      <c r="F89" s="4"/>
      <c r="G89" s="4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</row>
    <row r="90" spans="1:19" x14ac:dyDescent="0.4">
      <c r="A90" s="63"/>
      <c r="B90" s="63"/>
      <c r="C90" s="65"/>
      <c r="D90" s="64"/>
      <c r="E90" s="64"/>
      <c r="F90" s="4"/>
      <c r="G90" s="4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</row>
    <row r="91" spans="1:19" x14ac:dyDescent="0.4">
      <c r="A91" s="63"/>
      <c r="B91" s="63"/>
      <c r="C91" s="65"/>
      <c r="D91" s="64"/>
      <c r="E91" s="64"/>
      <c r="F91" s="4"/>
      <c r="G91" s="4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</row>
    <row r="92" spans="1:19" x14ac:dyDescent="0.4">
      <c r="A92" s="63"/>
      <c r="B92" s="63"/>
      <c r="C92" s="65"/>
      <c r="D92" s="64"/>
      <c r="E92" s="64"/>
      <c r="F92" s="4"/>
      <c r="G92" s="4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</row>
    <row r="93" spans="1:19" x14ac:dyDescent="0.4">
      <c r="A93" s="63"/>
      <c r="B93" s="63"/>
      <c r="C93" s="65"/>
      <c r="D93" s="64"/>
      <c r="E93" s="64"/>
      <c r="F93" s="4"/>
      <c r="G93" s="4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</row>
    <row r="94" spans="1:19" x14ac:dyDescent="0.4">
      <c r="A94" s="63"/>
      <c r="B94" s="63"/>
      <c r="C94" s="65"/>
      <c r="D94" s="64"/>
      <c r="E94" s="64"/>
      <c r="F94" s="4"/>
      <c r="G94" s="4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</row>
    <row r="95" spans="1:19" x14ac:dyDescent="0.4">
      <c r="A95" s="63"/>
      <c r="B95" s="63"/>
      <c r="C95" s="65"/>
      <c r="D95" s="64"/>
      <c r="E95" s="64"/>
      <c r="F95" s="4"/>
      <c r="G95" s="4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</row>
    <row r="96" spans="1:19" x14ac:dyDescent="0.4">
      <c r="A96" s="63"/>
      <c r="B96" s="63"/>
      <c r="C96" s="65"/>
      <c r="D96" s="64"/>
      <c r="E96" s="64"/>
      <c r="F96" s="4"/>
      <c r="G96" s="4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</row>
    <row r="97" spans="1:19" x14ac:dyDescent="0.4">
      <c r="A97" s="63"/>
      <c r="B97" s="63"/>
      <c r="C97" s="65"/>
      <c r="D97" s="64"/>
      <c r="E97" s="64"/>
      <c r="F97" s="4"/>
      <c r="G97" s="4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</row>
    <row r="98" spans="1:19" x14ac:dyDescent="0.4">
      <c r="A98" s="63"/>
      <c r="B98" s="63"/>
      <c r="C98" s="65"/>
      <c r="D98" s="64"/>
      <c r="E98" s="64"/>
      <c r="F98" s="4"/>
      <c r="G98" s="4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</row>
    <row r="99" spans="1:19" x14ac:dyDescent="0.4">
      <c r="A99" s="63"/>
      <c r="B99" s="63"/>
      <c r="C99" s="65"/>
      <c r="D99" s="64"/>
      <c r="E99" s="64"/>
      <c r="F99" s="4"/>
      <c r="G99" s="4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</row>
    <row r="100" spans="1:19" x14ac:dyDescent="0.4">
      <c r="A100" s="63"/>
      <c r="B100" s="63"/>
      <c r="C100" s="65"/>
      <c r="D100" s="64"/>
      <c r="E100" s="64"/>
      <c r="F100" s="4"/>
      <c r="G100" s="4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</row>
    <row r="101" spans="1:19" x14ac:dyDescent="0.4">
      <c r="A101" s="63"/>
      <c r="B101" s="63"/>
      <c r="C101" s="65"/>
      <c r="D101" s="64"/>
      <c r="E101" s="64"/>
      <c r="F101" s="4"/>
      <c r="G101" s="4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</row>
    <row r="102" spans="1:19" x14ac:dyDescent="0.4">
      <c r="A102" s="63"/>
      <c r="B102" s="63"/>
      <c r="C102" s="65"/>
      <c r="D102" s="64"/>
      <c r="E102" s="64"/>
      <c r="F102" s="4"/>
      <c r="G102" s="4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</row>
    <row r="103" spans="1:19" x14ac:dyDescent="0.4">
      <c r="A103" s="63"/>
      <c r="B103" s="63"/>
      <c r="C103" s="65"/>
      <c r="D103" s="64"/>
      <c r="E103" s="64"/>
      <c r="F103" s="4"/>
      <c r="G103" s="4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</row>
    <row r="104" spans="1:19" x14ac:dyDescent="0.4">
      <c r="A104" s="63"/>
      <c r="B104" s="63"/>
      <c r="C104" s="65"/>
      <c r="D104" s="64"/>
      <c r="E104" s="64"/>
      <c r="F104" s="4"/>
      <c r="G104" s="4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</row>
    <row r="105" spans="1:19" x14ac:dyDescent="0.4">
      <c r="A105" s="63"/>
      <c r="B105" s="63"/>
      <c r="C105" s="65"/>
      <c r="D105" s="64"/>
      <c r="E105" s="64"/>
      <c r="F105" s="4"/>
      <c r="G105" s="4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</row>
    <row r="106" spans="1:19" x14ac:dyDescent="0.4">
      <c r="A106" s="63"/>
      <c r="B106" s="63"/>
      <c r="C106" s="65"/>
      <c r="D106" s="64"/>
      <c r="E106" s="64"/>
      <c r="F106" s="4"/>
      <c r="G106" s="4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</row>
    <row r="107" spans="1:19" x14ac:dyDescent="0.4">
      <c r="A107" s="63"/>
      <c r="B107" s="63"/>
      <c r="C107" s="65"/>
      <c r="D107" s="64"/>
      <c r="E107" s="64"/>
      <c r="F107" s="4"/>
      <c r="G107" s="4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</row>
    <row r="108" spans="1:19" x14ac:dyDescent="0.4">
      <c r="A108" s="63"/>
      <c r="B108" s="63"/>
      <c r="C108" s="65"/>
      <c r="D108" s="64"/>
      <c r="E108" s="64"/>
      <c r="F108" s="4"/>
      <c r="G108" s="4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</row>
    <row r="109" spans="1:19" x14ac:dyDescent="0.4">
      <c r="A109" s="63"/>
      <c r="B109" s="63"/>
      <c r="C109" s="65"/>
      <c r="D109" s="64"/>
      <c r="E109" s="64"/>
      <c r="F109" s="4"/>
      <c r="G109" s="4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</row>
    <row r="110" spans="1:19" x14ac:dyDescent="0.4">
      <c r="A110" s="63"/>
      <c r="B110" s="63"/>
      <c r="C110" s="65"/>
      <c r="D110" s="64"/>
      <c r="E110" s="64"/>
      <c r="F110" s="4"/>
      <c r="G110" s="4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</row>
    <row r="111" spans="1:19" x14ac:dyDescent="0.4">
      <c r="A111" s="63"/>
      <c r="B111" s="63"/>
      <c r="C111" s="65"/>
      <c r="D111" s="64"/>
      <c r="E111" s="64"/>
      <c r="F111" s="4"/>
      <c r="G111" s="4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</row>
    <row r="112" spans="1:19" x14ac:dyDescent="0.4">
      <c r="A112" s="63"/>
      <c r="B112" s="63"/>
      <c r="C112" s="65"/>
      <c r="D112" s="64"/>
      <c r="E112" s="64"/>
      <c r="F112" s="4"/>
      <c r="G112" s="4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</row>
    <row r="113" spans="1:19" x14ac:dyDescent="0.4">
      <c r="A113" s="63"/>
      <c r="B113" s="63"/>
      <c r="C113" s="65"/>
      <c r="D113" s="64"/>
      <c r="E113" s="64"/>
      <c r="F113" s="4"/>
      <c r="G113" s="4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</row>
    <row r="114" spans="1:19" x14ac:dyDescent="0.4">
      <c r="A114" s="63"/>
      <c r="B114" s="63"/>
      <c r="C114" s="65"/>
      <c r="D114" s="64"/>
      <c r="E114" s="64"/>
      <c r="F114" s="4"/>
      <c r="G114" s="4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</row>
    <row r="115" spans="1:19" x14ac:dyDescent="0.4">
      <c r="A115" s="63"/>
      <c r="B115" s="63"/>
      <c r="C115" s="65"/>
      <c r="D115" s="64"/>
      <c r="E115" s="64"/>
      <c r="F115" s="4"/>
      <c r="G115" s="4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</row>
    <row r="116" spans="1:19" x14ac:dyDescent="0.4">
      <c r="A116" s="63"/>
      <c r="B116" s="63"/>
      <c r="C116" s="65"/>
      <c r="D116" s="64"/>
      <c r="E116" s="64"/>
      <c r="F116" s="4"/>
      <c r="G116" s="4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</row>
    <row r="117" spans="1:19" x14ac:dyDescent="0.4">
      <c r="A117" s="63"/>
      <c r="B117" s="63"/>
      <c r="C117" s="65"/>
      <c r="D117" s="64"/>
      <c r="E117" s="64"/>
      <c r="F117" s="4"/>
      <c r="G117" s="4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</row>
    <row r="118" spans="1:19" x14ac:dyDescent="0.4">
      <c r="A118" s="63"/>
      <c r="B118" s="63"/>
      <c r="C118" s="65"/>
      <c r="D118" s="64"/>
      <c r="E118" s="64"/>
      <c r="F118" s="4"/>
      <c r="G118" s="4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</row>
    <row r="119" spans="1:19" x14ac:dyDescent="0.4">
      <c r="A119" s="63"/>
      <c r="B119" s="63"/>
      <c r="C119" s="65"/>
      <c r="D119" s="64"/>
      <c r="E119" s="64"/>
      <c r="F119" s="4"/>
      <c r="G119" s="4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</row>
    <row r="120" spans="1:19" x14ac:dyDescent="0.4">
      <c r="A120" s="63"/>
      <c r="B120" s="63"/>
      <c r="C120" s="65"/>
      <c r="D120" s="64"/>
      <c r="E120" s="64"/>
      <c r="F120" s="4"/>
      <c r="G120" s="4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</row>
    <row r="121" spans="1:19" x14ac:dyDescent="0.4">
      <c r="A121" s="63"/>
      <c r="B121" s="63"/>
      <c r="C121" s="65"/>
      <c r="D121" s="64"/>
      <c r="E121" s="64"/>
      <c r="F121" s="4"/>
      <c r="G121" s="4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</row>
    <row r="122" spans="1:19" x14ac:dyDescent="0.4">
      <c r="A122" s="63"/>
      <c r="B122" s="63"/>
      <c r="C122" s="65"/>
      <c r="D122" s="64"/>
      <c r="E122" s="64"/>
      <c r="F122" s="4"/>
      <c r="G122" s="4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</row>
    <row r="123" spans="1:19" x14ac:dyDescent="0.4">
      <c r="A123" s="63"/>
      <c r="B123" s="63"/>
      <c r="C123" s="65"/>
      <c r="D123" s="64"/>
      <c r="E123" s="64"/>
      <c r="F123" s="4"/>
      <c r="G123" s="4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</row>
    <row r="124" spans="1:19" x14ac:dyDescent="0.4">
      <c r="A124" s="63"/>
      <c r="B124" s="63"/>
      <c r="C124" s="65"/>
      <c r="D124" s="64"/>
      <c r="E124" s="64"/>
      <c r="F124" s="4"/>
      <c r="G124" s="4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</row>
    <row r="125" spans="1:19" x14ac:dyDescent="0.4">
      <c r="A125" s="63"/>
      <c r="B125" s="63"/>
      <c r="C125" s="65"/>
      <c r="D125" s="64"/>
      <c r="E125" s="64"/>
      <c r="F125" s="4"/>
      <c r="G125" s="4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</row>
    <row r="126" spans="1:19" x14ac:dyDescent="0.4">
      <c r="A126" s="63"/>
      <c r="B126" s="63"/>
      <c r="C126" s="65"/>
      <c r="D126" s="64"/>
      <c r="E126" s="64"/>
      <c r="F126" s="4"/>
      <c r="G126" s="4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</row>
    <row r="127" spans="1:19" x14ac:dyDescent="0.4">
      <c r="A127" s="63"/>
      <c r="B127" s="63"/>
      <c r="C127" s="65"/>
      <c r="D127" s="64"/>
      <c r="E127" s="64"/>
      <c r="F127" s="4"/>
      <c r="G127" s="4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</row>
    <row r="128" spans="1:19" x14ac:dyDescent="0.4">
      <c r="A128" s="63"/>
      <c r="B128" s="63"/>
      <c r="C128" s="65"/>
      <c r="D128" s="64"/>
      <c r="E128" s="64"/>
      <c r="F128" s="4"/>
      <c r="G128" s="4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</row>
    <row r="129" spans="1:19" x14ac:dyDescent="0.4">
      <c r="A129" s="63"/>
      <c r="B129" s="63"/>
      <c r="C129" s="65"/>
      <c r="D129" s="64"/>
      <c r="E129" s="64"/>
      <c r="F129" s="4"/>
      <c r="G129" s="4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</row>
    <row r="130" spans="1:19" x14ac:dyDescent="0.4">
      <c r="A130" s="63"/>
      <c r="B130" s="63"/>
      <c r="C130" s="65"/>
      <c r="D130" s="64"/>
      <c r="E130" s="64"/>
      <c r="F130" s="4"/>
      <c r="G130" s="4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</row>
    <row r="131" spans="1:19" x14ac:dyDescent="0.4">
      <c r="A131" s="63"/>
      <c r="B131" s="63"/>
      <c r="C131" s="65"/>
      <c r="D131" s="64"/>
      <c r="E131" s="64"/>
      <c r="F131" s="4"/>
      <c r="G131" s="4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</row>
    <row r="132" spans="1:19" x14ac:dyDescent="0.4">
      <c r="A132" s="63"/>
      <c r="B132" s="63"/>
      <c r="C132" s="65"/>
      <c r="D132" s="64"/>
      <c r="E132" s="64"/>
      <c r="F132" s="4"/>
      <c r="G132" s="4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</row>
    <row r="133" spans="1:19" x14ac:dyDescent="0.4">
      <c r="A133" s="63"/>
      <c r="B133" s="63"/>
      <c r="C133" s="65"/>
      <c r="D133" s="64"/>
      <c r="E133" s="64"/>
      <c r="F133" s="4"/>
      <c r="G133" s="4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</row>
    <row r="134" spans="1:19" x14ac:dyDescent="0.4">
      <c r="A134" s="63"/>
      <c r="B134" s="63"/>
      <c r="C134" s="65"/>
      <c r="D134" s="64"/>
      <c r="E134" s="64"/>
      <c r="F134" s="4"/>
      <c r="G134" s="4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</row>
    <row r="135" spans="1:19" x14ac:dyDescent="0.4">
      <c r="A135" s="63"/>
      <c r="B135" s="63"/>
      <c r="C135" s="65"/>
      <c r="D135" s="64"/>
      <c r="E135" s="64"/>
      <c r="F135" s="4"/>
      <c r="G135" s="4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</row>
    <row r="136" spans="1:19" x14ac:dyDescent="0.4">
      <c r="A136" s="63"/>
      <c r="B136" s="63"/>
      <c r="C136" s="65"/>
      <c r="D136" s="64"/>
      <c r="E136" s="64"/>
      <c r="F136" s="4"/>
      <c r="G136" s="4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</row>
    <row r="137" spans="1:19" x14ac:dyDescent="0.4">
      <c r="A137" s="63"/>
      <c r="B137" s="63"/>
      <c r="C137" s="65"/>
      <c r="D137" s="64"/>
      <c r="E137" s="64"/>
      <c r="F137" s="4"/>
      <c r="G137" s="4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</row>
    <row r="138" spans="1:19" x14ac:dyDescent="0.4">
      <c r="A138" s="63"/>
      <c r="B138" s="63"/>
      <c r="C138" s="65"/>
      <c r="D138" s="64"/>
      <c r="E138" s="64"/>
      <c r="F138" s="4"/>
      <c r="G138" s="4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</row>
    <row r="139" spans="1:19" x14ac:dyDescent="0.4">
      <c r="A139" s="63"/>
      <c r="B139" s="63"/>
      <c r="C139" s="65"/>
      <c r="D139" s="64"/>
      <c r="E139" s="64"/>
      <c r="F139" s="4"/>
      <c r="G139" s="4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</row>
    <row r="140" spans="1:19" x14ac:dyDescent="0.4">
      <c r="A140" s="63"/>
      <c r="B140" s="63"/>
      <c r="C140" s="65"/>
      <c r="D140" s="64"/>
      <c r="E140" s="64"/>
      <c r="F140" s="4"/>
      <c r="G140" s="4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</row>
    <row r="141" spans="1:19" x14ac:dyDescent="0.4">
      <c r="A141" s="63"/>
      <c r="B141" s="63"/>
      <c r="C141" s="65"/>
      <c r="D141" s="64"/>
      <c r="E141" s="64"/>
      <c r="F141" s="4"/>
      <c r="G141" s="4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</row>
    <row r="142" spans="1:19" x14ac:dyDescent="0.4">
      <c r="A142" s="63"/>
      <c r="B142" s="63"/>
      <c r="C142" s="65"/>
      <c r="D142" s="64"/>
      <c r="E142" s="64"/>
      <c r="F142" s="4"/>
      <c r="G142" s="4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</row>
    <row r="143" spans="1:19" s="63" customFormat="1" x14ac:dyDescent="0.4">
      <c r="C143" s="65"/>
      <c r="D143" s="64"/>
      <c r="E143" s="64"/>
      <c r="F143" s="4"/>
      <c r="G143" s="4"/>
    </row>
    <row r="144" spans="1:19" x14ac:dyDescent="0.4">
      <c r="A144" s="63"/>
      <c r="B144" s="63"/>
      <c r="C144" s="65"/>
      <c r="D144" s="64"/>
      <c r="E144" s="64"/>
      <c r="F144" s="4"/>
      <c r="G144" s="4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</row>
    <row r="145" spans="1:19" x14ac:dyDescent="0.4">
      <c r="A145" s="63"/>
      <c r="B145" s="63"/>
      <c r="C145" s="65"/>
      <c r="D145" s="64"/>
      <c r="E145" s="64"/>
      <c r="F145" s="4"/>
      <c r="G145" s="4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</row>
    <row r="146" spans="1:19" x14ac:dyDescent="0.4">
      <c r="A146" s="63"/>
      <c r="B146" s="63"/>
      <c r="C146" s="65"/>
      <c r="D146" s="64"/>
      <c r="E146" s="64"/>
      <c r="F146" s="4"/>
      <c r="G146" s="4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</row>
    <row r="147" spans="1:19" x14ac:dyDescent="0.4">
      <c r="A147" s="63"/>
      <c r="B147" s="63"/>
      <c r="C147" s="65"/>
      <c r="D147" s="64"/>
      <c r="E147" s="64"/>
      <c r="F147" s="4"/>
      <c r="G147" s="4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</row>
    <row r="148" spans="1:19" x14ac:dyDescent="0.4">
      <c r="A148" s="63"/>
      <c r="B148" s="63"/>
      <c r="C148" s="65"/>
      <c r="D148" s="64"/>
      <c r="E148" s="64"/>
      <c r="F148" s="4"/>
      <c r="G148" s="4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</row>
    <row r="149" spans="1:19" x14ac:dyDescent="0.4">
      <c r="A149" s="63"/>
      <c r="B149" s="63"/>
      <c r="C149" s="65"/>
      <c r="D149" s="64"/>
      <c r="E149" s="64"/>
      <c r="F149" s="4"/>
      <c r="G149" s="4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</row>
    <row r="150" spans="1:19" x14ac:dyDescent="0.4">
      <c r="A150" s="63"/>
      <c r="B150" s="63"/>
      <c r="C150" s="65"/>
      <c r="D150" s="64"/>
      <c r="E150" s="64"/>
      <c r="F150" s="4"/>
      <c r="G150" s="4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</row>
    <row r="151" spans="1:19" x14ac:dyDescent="0.4">
      <c r="A151" s="63"/>
      <c r="B151" s="63"/>
      <c r="C151" s="65"/>
      <c r="D151" s="64"/>
      <c r="E151" s="64"/>
      <c r="F151" s="4"/>
      <c r="G151" s="4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</row>
    <row r="152" spans="1:19" x14ac:dyDescent="0.4">
      <c r="A152" s="63"/>
      <c r="B152" s="63"/>
      <c r="C152" s="65"/>
      <c r="D152" s="64"/>
      <c r="E152" s="64"/>
      <c r="F152" s="4"/>
      <c r="G152" s="4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</row>
    <row r="153" spans="1:19" x14ac:dyDescent="0.4">
      <c r="A153" s="63"/>
      <c r="B153" s="63"/>
      <c r="C153" s="65"/>
      <c r="D153" s="64"/>
      <c r="E153" s="64"/>
      <c r="F153" s="4"/>
      <c r="G153" s="4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</row>
    <row r="154" spans="1:19" x14ac:dyDescent="0.4">
      <c r="A154" s="63"/>
      <c r="B154" s="63"/>
      <c r="C154" s="65"/>
      <c r="D154" s="64"/>
      <c r="E154" s="64"/>
      <c r="F154" s="4"/>
      <c r="G154" s="4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</row>
    <row r="155" spans="1:19" x14ac:dyDescent="0.4">
      <c r="A155" s="63"/>
      <c r="B155" s="63"/>
      <c r="C155" s="65"/>
      <c r="D155" s="64"/>
      <c r="E155" s="64"/>
      <c r="F155" s="4"/>
      <c r="G155" s="4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</row>
    <row r="156" spans="1:19" x14ac:dyDescent="0.4">
      <c r="A156" s="63"/>
      <c r="B156" s="63"/>
      <c r="C156" s="65"/>
      <c r="D156" s="64"/>
      <c r="E156" s="64"/>
      <c r="F156" s="4"/>
      <c r="G156" s="4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</row>
    <row r="157" spans="1:19" x14ac:dyDescent="0.4">
      <c r="A157" s="63"/>
      <c r="B157" s="63"/>
      <c r="C157" s="65"/>
      <c r="D157" s="64"/>
      <c r="E157" s="64"/>
      <c r="F157" s="4"/>
      <c r="G157" s="4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</row>
    <row r="158" spans="1:19" x14ac:dyDescent="0.4">
      <c r="A158" s="63"/>
      <c r="B158" s="63"/>
      <c r="C158" s="65"/>
      <c r="D158" s="64"/>
      <c r="E158" s="64"/>
      <c r="F158" s="4"/>
      <c r="G158" s="4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</row>
    <row r="159" spans="1:19" x14ac:dyDescent="0.4">
      <c r="A159" s="63"/>
      <c r="B159" s="63"/>
      <c r="C159" s="65"/>
      <c r="D159" s="64"/>
      <c r="E159" s="64"/>
      <c r="F159" s="4"/>
      <c r="G159" s="4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</row>
    <row r="160" spans="1:19" x14ac:dyDescent="0.4">
      <c r="A160" s="63"/>
      <c r="B160" s="63"/>
      <c r="C160" s="65"/>
      <c r="D160" s="64"/>
      <c r="E160" s="64"/>
      <c r="F160" s="4"/>
      <c r="G160" s="4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</row>
    <row r="161" spans="1:19" x14ac:dyDescent="0.4">
      <c r="A161" s="63"/>
      <c r="B161" s="63"/>
      <c r="C161" s="65"/>
      <c r="D161" s="64"/>
      <c r="E161" s="64"/>
      <c r="F161" s="4"/>
      <c r="G161" s="4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</row>
    <row r="162" spans="1:19" x14ac:dyDescent="0.4">
      <c r="A162" s="63"/>
      <c r="B162" s="63"/>
      <c r="C162" s="65"/>
      <c r="D162" s="64"/>
      <c r="E162" s="64"/>
      <c r="F162" s="4"/>
      <c r="G162" s="4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</row>
    <row r="163" spans="1:19" x14ac:dyDescent="0.4">
      <c r="A163" s="63"/>
      <c r="B163" s="63"/>
      <c r="C163" s="65"/>
      <c r="D163" s="64"/>
      <c r="E163" s="64"/>
      <c r="F163" s="4"/>
      <c r="G163" s="4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</row>
    <row r="164" spans="1:19" x14ac:dyDescent="0.4">
      <c r="A164" s="63"/>
      <c r="B164" s="63"/>
      <c r="C164" s="65"/>
      <c r="D164" s="64"/>
      <c r="E164" s="64"/>
      <c r="F164" s="6"/>
      <c r="G164" s="63"/>
      <c r="H164" s="63"/>
      <c r="I164" s="63"/>
      <c r="J164" s="63"/>
      <c r="K164" s="4"/>
      <c r="L164" s="63"/>
      <c r="M164" s="63"/>
      <c r="N164" s="65"/>
      <c r="O164" s="64"/>
      <c r="P164" s="64"/>
      <c r="Q164" s="65"/>
      <c r="R164" s="63"/>
      <c r="S164" s="63"/>
    </row>
    <row r="165" spans="1:19" x14ac:dyDescent="0.4">
      <c r="A165" s="63"/>
      <c r="B165" s="63"/>
      <c r="C165" s="65"/>
      <c r="D165" s="64"/>
      <c r="E165" s="64"/>
      <c r="F165" s="4"/>
      <c r="G165" s="4"/>
      <c r="H165" s="63"/>
      <c r="I165" s="63"/>
      <c r="J165" s="63"/>
      <c r="K165" s="4"/>
      <c r="L165" s="63"/>
      <c r="M165" s="63"/>
      <c r="N165" s="65"/>
      <c r="O165" s="64"/>
      <c r="P165" s="64"/>
      <c r="Q165" s="65"/>
      <c r="R165" s="63"/>
      <c r="S165" s="63"/>
    </row>
    <row r="166" spans="1:19" x14ac:dyDescent="0.4">
      <c r="A166" s="63"/>
      <c r="B166" s="63"/>
      <c r="C166" s="65"/>
      <c r="D166" s="64"/>
      <c r="E166" s="64"/>
      <c r="F166" s="4"/>
      <c r="G166" s="4"/>
      <c r="H166" s="63"/>
      <c r="I166" s="63"/>
      <c r="J166" s="63"/>
      <c r="K166" s="4"/>
      <c r="L166" s="63"/>
      <c r="M166" s="63"/>
      <c r="N166" s="65"/>
      <c r="O166" s="64"/>
      <c r="P166" s="64"/>
      <c r="Q166" s="65"/>
      <c r="R166" s="63"/>
      <c r="S166" s="63"/>
    </row>
    <row r="167" spans="1:19" x14ac:dyDescent="0.4">
      <c r="A167" s="63"/>
      <c r="B167" s="63"/>
      <c r="C167" s="65"/>
      <c r="D167" s="64"/>
      <c r="E167" s="64"/>
      <c r="F167" s="4"/>
      <c r="G167" s="4"/>
      <c r="H167" s="63"/>
      <c r="I167" s="63"/>
      <c r="J167" s="63"/>
      <c r="K167" s="4"/>
      <c r="L167" s="63"/>
      <c r="M167" s="63"/>
      <c r="N167" s="65"/>
      <c r="O167" s="64"/>
      <c r="P167" s="64"/>
      <c r="Q167" s="65"/>
      <c r="R167" s="63"/>
      <c r="S167" s="63"/>
    </row>
    <row r="168" spans="1:19" x14ac:dyDescent="0.4">
      <c r="A168" s="63"/>
      <c r="B168" s="63"/>
      <c r="C168" s="65"/>
      <c r="D168" s="64"/>
      <c r="E168" s="64"/>
      <c r="F168" s="4"/>
      <c r="G168" s="4"/>
      <c r="H168" s="63"/>
      <c r="I168" s="63"/>
      <c r="J168" s="63"/>
      <c r="K168" s="4"/>
      <c r="L168" s="63"/>
      <c r="M168" s="63"/>
      <c r="N168" s="65"/>
      <c r="O168" s="64"/>
      <c r="P168" s="64"/>
      <c r="Q168" s="65"/>
      <c r="R168" s="63"/>
      <c r="S168" s="63"/>
    </row>
    <row r="169" spans="1:19" x14ac:dyDescent="0.4">
      <c r="A169" s="63"/>
      <c r="B169" s="63"/>
      <c r="C169" s="65"/>
      <c r="D169" s="64"/>
      <c r="E169" s="64"/>
      <c r="F169" s="4"/>
      <c r="G169" s="4"/>
      <c r="H169" s="63"/>
      <c r="I169" s="63"/>
      <c r="J169" s="63"/>
      <c r="K169" s="4"/>
      <c r="L169" s="63"/>
      <c r="M169" s="63"/>
      <c r="N169" s="65"/>
      <c r="O169" s="64"/>
      <c r="P169" s="64"/>
      <c r="Q169" s="65"/>
      <c r="R169" s="63"/>
      <c r="S169" s="63"/>
    </row>
    <row r="170" spans="1:19" x14ac:dyDescent="0.4">
      <c r="A170" s="63"/>
      <c r="B170" s="63"/>
      <c r="C170" s="65"/>
      <c r="D170" s="64"/>
      <c r="E170" s="64"/>
      <c r="F170" s="4"/>
      <c r="G170" s="4"/>
      <c r="H170" s="63"/>
      <c r="I170" s="63"/>
      <c r="J170" s="63"/>
      <c r="K170" s="4"/>
      <c r="L170" s="63"/>
      <c r="M170" s="63"/>
      <c r="N170" s="65"/>
      <c r="O170" s="64"/>
      <c r="P170" s="64"/>
      <c r="Q170" s="65"/>
      <c r="R170" s="63"/>
      <c r="S170" s="63"/>
    </row>
    <row r="171" spans="1:19" x14ac:dyDescent="0.4">
      <c r="A171" s="63"/>
      <c r="B171" s="63"/>
      <c r="C171" s="65"/>
      <c r="D171" s="64"/>
      <c r="E171" s="64"/>
      <c r="F171" s="4"/>
      <c r="G171" s="4"/>
      <c r="H171" s="63"/>
      <c r="I171" s="63"/>
      <c r="J171" s="63"/>
      <c r="K171" s="4"/>
      <c r="L171" s="63"/>
      <c r="M171" s="63"/>
      <c r="N171" s="65"/>
      <c r="O171" s="64"/>
      <c r="P171" s="64"/>
      <c r="Q171" s="65"/>
      <c r="R171" s="63"/>
      <c r="S171" s="63"/>
    </row>
    <row r="172" spans="1:19" x14ac:dyDescent="0.4">
      <c r="A172" s="63"/>
      <c r="B172" s="63"/>
      <c r="C172" s="65"/>
      <c r="D172" s="64"/>
      <c r="E172" s="64"/>
      <c r="F172" s="4"/>
      <c r="G172" s="4"/>
      <c r="H172" s="63"/>
      <c r="I172" s="63"/>
      <c r="J172" s="63"/>
      <c r="K172" s="4"/>
      <c r="L172" s="63"/>
      <c r="M172" s="63"/>
      <c r="N172" s="65"/>
      <c r="O172" s="64"/>
      <c r="P172" s="64"/>
      <c r="Q172" s="65"/>
      <c r="R172" s="63"/>
      <c r="S172" s="63"/>
    </row>
    <row r="173" spans="1:19" x14ac:dyDescent="0.4">
      <c r="A173" s="63"/>
      <c r="B173" s="63"/>
      <c r="C173" s="65"/>
      <c r="D173" s="64"/>
      <c r="E173" s="64"/>
      <c r="F173" s="4"/>
      <c r="G173" s="4"/>
      <c r="H173" s="63"/>
      <c r="I173" s="63"/>
      <c r="J173" s="63"/>
      <c r="K173" s="4"/>
      <c r="L173" s="63"/>
      <c r="M173" s="63"/>
      <c r="N173" s="65"/>
      <c r="O173" s="64"/>
      <c r="P173" s="64"/>
      <c r="Q173" s="65"/>
      <c r="R173" s="63"/>
      <c r="S173" s="63"/>
    </row>
    <row r="174" spans="1:19" x14ac:dyDescent="0.4">
      <c r="A174" s="63"/>
      <c r="B174" s="63"/>
      <c r="C174" s="65"/>
      <c r="D174" s="64"/>
      <c r="E174" s="64"/>
      <c r="F174" s="4"/>
      <c r="G174" s="4"/>
      <c r="H174" s="63"/>
      <c r="I174" s="63"/>
      <c r="J174" s="63"/>
      <c r="K174" s="4"/>
      <c r="L174" s="63"/>
      <c r="M174" s="63"/>
      <c r="N174" s="65"/>
      <c r="O174" s="64"/>
      <c r="P174" s="64"/>
      <c r="Q174" s="65"/>
      <c r="R174" s="63"/>
      <c r="S174" s="63"/>
    </row>
    <row r="175" spans="1:19" x14ac:dyDescent="0.4">
      <c r="A175" s="63"/>
      <c r="B175" s="63"/>
      <c r="C175" s="65"/>
      <c r="D175" s="64"/>
      <c r="E175" s="64"/>
      <c r="F175" s="4"/>
      <c r="G175" s="4"/>
      <c r="H175" s="63"/>
      <c r="I175" s="63"/>
      <c r="J175" s="63"/>
      <c r="K175" s="4"/>
      <c r="L175" s="63"/>
      <c r="M175" s="63"/>
      <c r="N175" s="65"/>
      <c r="O175" s="64"/>
      <c r="P175" s="64"/>
      <c r="Q175" s="65"/>
      <c r="R175" s="63"/>
      <c r="S175" s="63"/>
    </row>
    <row r="176" spans="1:19" x14ac:dyDescent="0.4">
      <c r="A176" s="63"/>
      <c r="B176" s="63"/>
      <c r="C176" s="65"/>
      <c r="D176" s="64"/>
      <c r="E176" s="64"/>
      <c r="F176" s="4"/>
      <c r="G176" s="4"/>
      <c r="H176" s="63"/>
      <c r="I176" s="63"/>
      <c r="J176" s="63"/>
      <c r="K176" s="4"/>
      <c r="L176" s="63"/>
      <c r="M176" s="63"/>
      <c r="N176" s="65"/>
      <c r="O176" s="64"/>
      <c r="P176" s="64"/>
      <c r="Q176" s="65"/>
      <c r="R176" s="63"/>
      <c r="S176" s="63"/>
    </row>
    <row r="177" spans="1:19" x14ac:dyDescent="0.4">
      <c r="A177" s="63"/>
      <c r="B177" s="63"/>
      <c r="C177" s="65"/>
      <c r="D177" s="64"/>
      <c r="E177" s="64"/>
      <c r="F177" s="4"/>
      <c r="G177" s="4"/>
      <c r="H177" s="63"/>
      <c r="I177" s="63"/>
      <c r="J177" s="63"/>
      <c r="K177" s="4"/>
      <c r="L177" s="63"/>
      <c r="M177" s="63"/>
      <c r="N177" s="65"/>
      <c r="O177" s="64"/>
      <c r="P177" s="64"/>
      <c r="Q177" s="65"/>
      <c r="R177" s="63"/>
      <c r="S177" s="63"/>
    </row>
    <row r="178" spans="1:19" x14ac:dyDescent="0.4">
      <c r="A178" s="63"/>
      <c r="B178" s="63"/>
      <c r="C178" s="65"/>
      <c r="D178" s="64"/>
      <c r="E178" s="64"/>
      <c r="F178" s="4"/>
      <c r="G178" s="4"/>
      <c r="H178" s="63"/>
      <c r="I178" s="63"/>
      <c r="J178" s="63"/>
      <c r="K178" s="4"/>
      <c r="L178" s="63"/>
      <c r="M178" s="63"/>
      <c r="N178" s="65"/>
      <c r="O178" s="64"/>
      <c r="P178" s="64"/>
      <c r="Q178" s="65"/>
      <c r="R178" s="63"/>
      <c r="S178" s="63"/>
    </row>
    <row r="179" spans="1:19" x14ac:dyDescent="0.4">
      <c r="A179" s="63"/>
      <c r="B179" s="63"/>
      <c r="C179" s="65"/>
      <c r="D179" s="64"/>
      <c r="E179" s="64"/>
      <c r="F179" s="4"/>
      <c r="G179" s="4"/>
      <c r="H179" s="63"/>
      <c r="I179" s="63"/>
      <c r="J179" s="63"/>
      <c r="K179" s="4"/>
      <c r="L179" s="63"/>
      <c r="M179" s="63"/>
      <c r="N179" s="65"/>
      <c r="O179" s="64"/>
      <c r="P179" s="64"/>
      <c r="Q179" s="65"/>
      <c r="R179" s="63"/>
      <c r="S179" s="63"/>
    </row>
    <row r="180" spans="1:19" x14ac:dyDescent="0.4">
      <c r="A180" s="63"/>
      <c r="B180" s="63"/>
      <c r="C180" s="65"/>
      <c r="D180" s="64"/>
      <c r="E180" s="64"/>
      <c r="F180" s="4"/>
      <c r="G180" s="4"/>
      <c r="H180" s="63"/>
      <c r="I180" s="63"/>
      <c r="J180" s="63"/>
      <c r="K180" s="4"/>
      <c r="L180" s="63"/>
      <c r="M180" s="63"/>
      <c r="N180" s="65"/>
      <c r="O180" s="64"/>
      <c r="P180" s="64"/>
      <c r="Q180" s="65"/>
      <c r="R180" s="63"/>
      <c r="S180" s="63"/>
    </row>
    <row r="181" spans="1:19" x14ac:dyDescent="0.4">
      <c r="A181" s="63"/>
      <c r="B181" s="63"/>
      <c r="C181" s="65"/>
      <c r="D181" s="64"/>
      <c r="E181" s="64"/>
      <c r="F181" s="4"/>
      <c r="G181" s="4"/>
      <c r="H181" s="63"/>
      <c r="I181" s="63"/>
      <c r="J181" s="63"/>
      <c r="K181" s="4"/>
      <c r="L181" s="63"/>
      <c r="M181" s="63"/>
      <c r="N181" s="65"/>
      <c r="O181" s="64"/>
      <c r="P181" s="64"/>
      <c r="Q181" s="65"/>
      <c r="R181" s="63"/>
      <c r="S181" s="63"/>
    </row>
    <row r="182" spans="1:19" x14ac:dyDescent="0.4">
      <c r="A182" s="63"/>
      <c r="B182" s="63"/>
      <c r="C182" s="65"/>
      <c r="D182" s="64"/>
      <c r="E182" s="64"/>
      <c r="F182" s="4"/>
      <c r="G182" s="4"/>
      <c r="H182" s="63"/>
      <c r="I182" s="63"/>
      <c r="J182" s="63"/>
      <c r="K182" s="4"/>
      <c r="L182" s="63"/>
      <c r="M182" s="63"/>
      <c r="N182" s="65"/>
      <c r="O182" s="64"/>
      <c r="P182" s="64"/>
      <c r="Q182" s="65"/>
      <c r="R182" s="63"/>
      <c r="S182" s="63"/>
    </row>
    <row r="183" spans="1:19" x14ac:dyDescent="0.4">
      <c r="A183" s="63"/>
      <c r="B183" s="63"/>
      <c r="C183" s="65"/>
      <c r="D183" s="64"/>
      <c r="E183" s="64"/>
      <c r="F183" s="4"/>
      <c r="G183" s="4"/>
      <c r="H183" s="63"/>
      <c r="I183" s="63"/>
      <c r="J183" s="63"/>
      <c r="K183" s="4"/>
      <c r="L183" s="63"/>
      <c r="M183" s="63"/>
      <c r="N183" s="65"/>
      <c r="O183" s="64"/>
      <c r="P183" s="64"/>
      <c r="Q183" s="65"/>
      <c r="R183" s="63"/>
      <c r="S183" s="63"/>
    </row>
    <row r="184" spans="1:19" x14ac:dyDescent="0.4">
      <c r="A184" s="63"/>
      <c r="B184" s="63"/>
      <c r="C184" s="65"/>
      <c r="D184" s="64"/>
      <c r="E184" s="64"/>
      <c r="F184" s="4"/>
      <c r="G184" s="4"/>
      <c r="H184" s="63"/>
      <c r="I184" s="63"/>
      <c r="J184" s="63"/>
      <c r="K184" s="4"/>
      <c r="L184" s="63"/>
      <c r="M184" s="63"/>
      <c r="N184" s="65"/>
      <c r="O184" s="64"/>
      <c r="P184" s="64"/>
      <c r="Q184" s="65"/>
      <c r="R184" s="63"/>
      <c r="S184" s="63"/>
    </row>
    <row r="185" spans="1:19" x14ac:dyDescent="0.4">
      <c r="A185" s="63"/>
      <c r="B185" s="63"/>
      <c r="C185" s="65"/>
      <c r="D185" s="64"/>
      <c r="E185" s="64"/>
      <c r="F185" s="4"/>
      <c r="G185" s="4"/>
      <c r="H185" s="63"/>
      <c r="I185" s="63"/>
      <c r="J185" s="63"/>
      <c r="K185" s="4"/>
      <c r="L185" s="63"/>
      <c r="M185" s="63"/>
      <c r="N185" s="65"/>
      <c r="O185" s="64"/>
      <c r="P185" s="64"/>
      <c r="Q185" s="65"/>
      <c r="R185" s="63"/>
      <c r="S185" s="63"/>
    </row>
    <row r="186" spans="1:19" x14ac:dyDescent="0.4">
      <c r="A186" s="63"/>
      <c r="B186" s="63"/>
      <c r="C186" s="65"/>
      <c r="D186" s="64"/>
      <c r="E186" s="64"/>
      <c r="F186" s="4"/>
      <c r="G186" s="4"/>
      <c r="H186" s="63"/>
      <c r="I186" s="63"/>
      <c r="J186" s="63"/>
      <c r="K186" s="4"/>
      <c r="L186" s="63"/>
      <c r="M186" s="63"/>
      <c r="N186" s="65"/>
      <c r="O186" s="64"/>
      <c r="P186" s="64"/>
      <c r="Q186" s="65"/>
      <c r="R186" s="63"/>
      <c r="S186" s="63"/>
    </row>
    <row r="187" spans="1:19" x14ac:dyDescent="0.4">
      <c r="A187" s="63"/>
      <c r="B187" s="63"/>
      <c r="C187" s="65"/>
      <c r="D187" s="64"/>
      <c r="E187" s="64"/>
      <c r="F187" s="4"/>
      <c r="G187" s="4"/>
      <c r="H187" s="63"/>
      <c r="I187" s="63"/>
      <c r="J187" s="63"/>
      <c r="K187" s="4"/>
      <c r="L187" s="63"/>
      <c r="M187" s="63"/>
      <c r="N187" s="65"/>
      <c r="O187" s="64"/>
      <c r="P187" s="64"/>
      <c r="Q187" s="65"/>
      <c r="R187" s="63"/>
      <c r="S187" s="63"/>
    </row>
    <row r="188" spans="1:19" x14ac:dyDescent="0.4">
      <c r="A188" s="63"/>
      <c r="B188" s="63"/>
      <c r="C188" s="65"/>
      <c r="D188" s="64"/>
      <c r="E188" s="64"/>
      <c r="F188" s="4"/>
      <c r="G188" s="4"/>
      <c r="H188" s="63"/>
      <c r="I188" s="63"/>
      <c r="J188" s="63"/>
      <c r="K188" s="4"/>
      <c r="L188" s="63"/>
      <c r="M188" s="63"/>
      <c r="N188" s="65"/>
      <c r="O188" s="64"/>
      <c r="P188" s="64"/>
      <c r="Q188" s="65"/>
      <c r="R188" s="63"/>
      <c r="S188" s="63"/>
    </row>
    <row r="189" spans="1:19" x14ac:dyDescent="0.4">
      <c r="A189" s="63"/>
      <c r="B189" s="63"/>
      <c r="C189" s="65"/>
      <c r="D189" s="64"/>
      <c r="E189" s="64"/>
      <c r="F189" s="4"/>
      <c r="G189" s="4"/>
      <c r="H189" s="63"/>
      <c r="I189" s="63"/>
      <c r="J189" s="63"/>
      <c r="K189" s="4"/>
      <c r="L189" s="63"/>
      <c r="M189" s="63"/>
      <c r="N189" s="65"/>
      <c r="O189" s="64"/>
      <c r="P189" s="64"/>
      <c r="Q189" s="65"/>
      <c r="R189" s="63"/>
      <c r="S189" s="63"/>
    </row>
    <row r="190" spans="1:19" x14ac:dyDescent="0.4">
      <c r="A190" s="63"/>
      <c r="B190" s="63"/>
      <c r="C190" s="65"/>
      <c r="D190" s="64"/>
      <c r="E190" s="64"/>
      <c r="F190" s="4"/>
      <c r="G190" s="4"/>
      <c r="H190" s="63"/>
      <c r="I190" s="63"/>
      <c r="J190" s="63"/>
      <c r="K190" s="4"/>
      <c r="L190" s="63"/>
      <c r="M190" s="63"/>
      <c r="N190" s="65"/>
      <c r="O190" s="64"/>
      <c r="P190" s="64"/>
      <c r="Q190" s="65"/>
      <c r="R190" s="63"/>
      <c r="S190" s="63"/>
    </row>
    <row r="191" spans="1:19" x14ac:dyDescent="0.4">
      <c r="A191" s="63"/>
      <c r="B191" s="63"/>
      <c r="C191" s="65"/>
      <c r="D191" s="64"/>
      <c r="E191" s="64"/>
      <c r="F191" s="4"/>
      <c r="G191" s="4"/>
      <c r="H191" s="63"/>
      <c r="I191" s="63"/>
      <c r="J191" s="63"/>
      <c r="K191" s="4"/>
      <c r="L191" s="63"/>
      <c r="M191" s="63"/>
      <c r="N191" s="65"/>
      <c r="O191" s="64"/>
      <c r="P191" s="64"/>
      <c r="Q191" s="65"/>
      <c r="R191" s="63"/>
      <c r="S191" s="63"/>
    </row>
    <row r="192" spans="1:19" x14ac:dyDescent="0.4">
      <c r="A192" s="63"/>
      <c r="B192" s="63"/>
      <c r="C192" s="65"/>
      <c r="D192" s="64"/>
      <c r="E192" s="64"/>
      <c r="F192" s="4"/>
      <c r="G192" s="4"/>
      <c r="H192" s="63"/>
      <c r="I192" s="63"/>
      <c r="J192" s="63"/>
      <c r="K192" s="4"/>
      <c r="L192" s="63"/>
      <c r="M192" s="63"/>
      <c r="N192" s="65"/>
      <c r="O192" s="64"/>
      <c r="P192" s="64"/>
      <c r="Q192" s="65"/>
      <c r="R192" s="63"/>
      <c r="S192" s="63"/>
    </row>
    <row r="193" spans="1:19" x14ac:dyDescent="0.4">
      <c r="A193" s="63"/>
      <c r="B193" s="63"/>
      <c r="C193" s="65"/>
      <c r="D193" s="64"/>
      <c r="E193" s="64"/>
      <c r="F193" s="4"/>
      <c r="G193" s="4"/>
      <c r="H193" s="63"/>
      <c r="I193" s="63"/>
      <c r="J193" s="63"/>
      <c r="K193" s="4"/>
      <c r="L193" s="63"/>
      <c r="M193" s="63"/>
      <c r="N193" s="65"/>
      <c r="O193" s="64"/>
      <c r="P193" s="64"/>
      <c r="Q193" s="65"/>
      <c r="R193" s="63"/>
      <c r="S193" s="63"/>
    </row>
    <row r="194" spans="1:19" x14ac:dyDescent="0.4">
      <c r="A194" s="63"/>
      <c r="B194" s="63"/>
      <c r="C194" s="65"/>
      <c r="D194" s="64"/>
      <c r="E194" s="64"/>
      <c r="F194" s="4"/>
      <c r="G194" s="4"/>
      <c r="H194" s="63"/>
      <c r="I194" s="63"/>
      <c r="J194" s="63"/>
      <c r="K194" s="4"/>
      <c r="L194" s="63"/>
      <c r="M194" s="63"/>
      <c r="N194" s="65"/>
      <c r="O194" s="64"/>
      <c r="P194" s="64"/>
      <c r="Q194" s="65"/>
      <c r="R194" s="63"/>
      <c r="S194" s="63"/>
    </row>
    <row r="195" spans="1:19" x14ac:dyDescent="0.4">
      <c r="A195" s="63"/>
      <c r="B195" s="63"/>
      <c r="C195" s="65"/>
      <c r="D195" s="64"/>
      <c r="E195" s="64"/>
      <c r="F195" s="4"/>
      <c r="G195" s="4"/>
      <c r="H195" s="63"/>
      <c r="I195" s="63"/>
      <c r="J195" s="63"/>
      <c r="K195" s="4"/>
      <c r="L195" s="63"/>
      <c r="M195" s="63"/>
      <c r="N195" s="65"/>
      <c r="O195" s="64"/>
      <c r="P195" s="64"/>
      <c r="Q195" s="65"/>
      <c r="R195" s="63"/>
      <c r="S195" s="63"/>
    </row>
    <row r="196" spans="1:19" x14ac:dyDescent="0.4">
      <c r="A196" s="63"/>
      <c r="B196" s="63"/>
      <c r="C196" s="65"/>
      <c r="D196" s="64"/>
      <c r="E196" s="64"/>
      <c r="F196" s="4"/>
      <c r="G196" s="4"/>
      <c r="H196" s="63"/>
      <c r="I196" s="63"/>
      <c r="J196" s="63"/>
      <c r="K196" s="4"/>
      <c r="L196" s="63"/>
      <c r="M196" s="63"/>
      <c r="N196" s="65"/>
      <c r="O196" s="64"/>
      <c r="P196" s="64"/>
      <c r="Q196" s="65"/>
      <c r="R196" s="63"/>
      <c r="S196" s="63"/>
    </row>
    <row r="197" spans="1:19" x14ac:dyDescent="0.4">
      <c r="A197" s="63"/>
      <c r="B197" s="63"/>
      <c r="C197" s="65"/>
      <c r="D197" s="64"/>
      <c r="E197" s="64"/>
      <c r="F197" s="4"/>
      <c r="G197" s="4"/>
      <c r="H197" s="63"/>
      <c r="I197" s="63"/>
      <c r="J197" s="63"/>
      <c r="K197" s="4"/>
      <c r="L197" s="63"/>
      <c r="M197" s="63"/>
      <c r="N197" s="65"/>
      <c r="O197" s="64"/>
      <c r="P197" s="64"/>
      <c r="Q197" s="65"/>
      <c r="R197" s="63"/>
      <c r="S197" s="63"/>
    </row>
    <row r="198" spans="1:19" x14ac:dyDescent="0.4">
      <c r="A198" s="63"/>
      <c r="B198" s="63"/>
      <c r="C198" s="65"/>
      <c r="D198" s="64"/>
      <c r="E198" s="64"/>
      <c r="F198" s="4"/>
      <c r="G198" s="4"/>
      <c r="H198" s="63"/>
      <c r="I198" s="63"/>
      <c r="J198" s="63"/>
      <c r="K198" s="4"/>
      <c r="L198" s="63"/>
      <c r="M198" s="63"/>
      <c r="N198" s="65"/>
      <c r="O198" s="64"/>
      <c r="P198" s="64"/>
      <c r="Q198" s="65"/>
      <c r="R198" s="63"/>
      <c r="S198" s="63"/>
    </row>
    <row r="199" spans="1:19" x14ac:dyDescent="0.4">
      <c r="A199" s="63"/>
      <c r="B199" s="63"/>
      <c r="C199" s="65"/>
      <c r="D199" s="64"/>
      <c r="E199" s="64"/>
      <c r="F199" s="4"/>
      <c r="G199" s="4"/>
      <c r="H199" s="63"/>
      <c r="I199" s="63"/>
      <c r="J199" s="63"/>
      <c r="K199" s="4"/>
      <c r="L199" s="63"/>
      <c r="M199" s="63"/>
      <c r="N199" s="65"/>
      <c r="O199" s="64"/>
      <c r="P199" s="64"/>
      <c r="Q199" s="65"/>
      <c r="R199" s="63"/>
      <c r="S199" s="63"/>
    </row>
    <row r="200" spans="1:19" x14ac:dyDescent="0.4">
      <c r="A200" s="63"/>
      <c r="B200" s="63"/>
      <c r="C200" s="65"/>
      <c r="D200" s="64"/>
      <c r="E200" s="64"/>
      <c r="F200" s="4"/>
      <c r="G200" s="4"/>
      <c r="H200" s="63"/>
      <c r="I200" s="63"/>
      <c r="J200" s="63"/>
      <c r="K200" s="4"/>
      <c r="L200" s="63"/>
      <c r="M200" s="63"/>
      <c r="N200" s="65"/>
      <c r="O200" s="64"/>
      <c r="P200" s="64"/>
      <c r="Q200" s="65"/>
      <c r="R200" s="63"/>
      <c r="S200" s="63"/>
    </row>
    <row r="201" spans="1:19" x14ac:dyDescent="0.4">
      <c r="A201" s="63"/>
      <c r="B201" s="63"/>
      <c r="C201" s="65"/>
      <c r="D201" s="64"/>
      <c r="E201" s="64"/>
      <c r="F201" s="4"/>
      <c r="G201" s="4"/>
      <c r="H201" s="63"/>
      <c r="I201" s="63"/>
      <c r="J201" s="63"/>
      <c r="K201" s="4"/>
      <c r="L201" s="63"/>
      <c r="M201" s="63"/>
      <c r="N201" s="65"/>
      <c r="O201" s="64"/>
      <c r="P201" s="64"/>
      <c r="Q201" s="65"/>
      <c r="R201" s="63"/>
      <c r="S201" s="63"/>
    </row>
    <row r="202" spans="1:19" x14ac:dyDescent="0.4">
      <c r="A202" s="63"/>
      <c r="B202" s="63"/>
      <c r="C202" s="65"/>
      <c r="D202" s="64"/>
      <c r="E202" s="64"/>
      <c r="F202" s="4"/>
      <c r="G202" s="4"/>
      <c r="H202" s="63"/>
      <c r="I202" s="63"/>
      <c r="J202" s="63"/>
      <c r="K202" s="4"/>
      <c r="L202" s="63"/>
      <c r="M202" s="63"/>
      <c r="N202" s="65"/>
      <c r="O202" s="64"/>
      <c r="P202" s="64"/>
      <c r="Q202" s="65"/>
      <c r="R202" s="63"/>
      <c r="S202" s="63"/>
    </row>
    <row r="203" spans="1:19" x14ac:dyDescent="0.4">
      <c r="A203" s="63"/>
      <c r="B203" s="63"/>
      <c r="C203" s="65"/>
      <c r="D203" s="64"/>
      <c r="E203" s="64"/>
      <c r="F203" s="4"/>
      <c r="G203" s="4"/>
      <c r="H203" s="63"/>
      <c r="I203" s="63"/>
      <c r="J203" s="63"/>
      <c r="K203" s="4"/>
      <c r="L203" s="63"/>
      <c r="M203" s="63"/>
      <c r="N203" s="65"/>
      <c r="O203" s="64"/>
      <c r="P203" s="64"/>
      <c r="Q203" s="65"/>
      <c r="R203" s="63"/>
      <c r="S203" s="63"/>
    </row>
    <row r="204" spans="1:19" x14ac:dyDescent="0.4">
      <c r="A204" s="63"/>
      <c r="B204" s="63"/>
      <c r="C204" s="65"/>
      <c r="D204" s="64"/>
      <c r="E204" s="64"/>
      <c r="F204" s="4"/>
      <c r="G204" s="4"/>
      <c r="H204" s="63"/>
      <c r="I204" s="63"/>
      <c r="J204" s="63"/>
      <c r="K204" s="4"/>
      <c r="L204" s="63"/>
      <c r="M204" s="63"/>
      <c r="N204" s="65"/>
      <c r="O204" s="64"/>
      <c r="P204" s="64"/>
      <c r="Q204" s="65"/>
      <c r="R204" s="63"/>
      <c r="S204" s="63"/>
    </row>
    <row r="205" spans="1:19" x14ac:dyDescent="0.4">
      <c r="A205" s="63"/>
      <c r="B205" s="63"/>
      <c r="C205" s="65"/>
      <c r="D205" s="64"/>
      <c r="E205" s="64"/>
      <c r="F205" s="4"/>
      <c r="G205" s="4"/>
      <c r="H205" s="63"/>
      <c r="I205" s="63"/>
      <c r="J205" s="63"/>
      <c r="K205" s="4"/>
      <c r="L205" s="63"/>
      <c r="M205" s="63"/>
      <c r="N205" s="65"/>
      <c r="O205" s="64"/>
      <c r="P205" s="64"/>
      <c r="Q205" s="65"/>
      <c r="R205" s="63"/>
      <c r="S205" s="63"/>
    </row>
    <row r="206" spans="1:19" x14ac:dyDescent="0.4">
      <c r="A206" s="63"/>
      <c r="B206" s="63"/>
      <c r="C206" s="65"/>
      <c r="D206" s="64"/>
      <c r="E206" s="64"/>
      <c r="F206" s="4"/>
      <c r="G206" s="4"/>
      <c r="H206" s="63"/>
      <c r="I206" s="63"/>
      <c r="J206" s="63"/>
      <c r="K206" s="4"/>
      <c r="L206" s="63"/>
      <c r="M206" s="63"/>
      <c r="N206" s="65"/>
      <c r="O206" s="64"/>
      <c r="P206" s="64"/>
      <c r="Q206" s="65"/>
      <c r="R206" s="63"/>
      <c r="S206" s="63"/>
    </row>
    <row r="207" spans="1:19" x14ac:dyDescent="0.4">
      <c r="A207" s="63"/>
      <c r="B207" s="63"/>
      <c r="C207" s="65"/>
      <c r="D207" s="64"/>
      <c r="E207" s="64"/>
      <c r="F207" s="4"/>
      <c r="G207" s="4"/>
      <c r="H207" s="63"/>
      <c r="I207" s="63"/>
      <c r="J207" s="63"/>
      <c r="K207" s="4"/>
      <c r="L207" s="63"/>
      <c r="M207" s="63"/>
      <c r="N207" s="65"/>
      <c r="O207" s="64"/>
      <c r="P207" s="64"/>
      <c r="Q207" s="65"/>
      <c r="R207" s="63"/>
      <c r="S207" s="63"/>
    </row>
    <row r="208" spans="1:19" x14ac:dyDescent="0.4">
      <c r="A208" s="63"/>
      <c r="B208" s="63"/>
      <c r="C208" s="65"/>
      <c r="D208" s="64"/>
      <c r="E208" s="64"/>
      <c r="F208" s="4"/>
      <c r="G208" s="4"/>
      <c r="H208" s="63"/>
      <c r="I208" s="63"/>
      <c r="J208" s="63"/>
      <c r="K208" s="4"/>
      <c r="L208" s="63"/>
      <c r="M208" s="63"/>
      <c r="N208" s="65"/>
      <c r="O208" s="64"/>
      <c r="P208" s="64"/>
      <c r="Q208" s="65"/>
      <c r="R208" s="63"/>
      <c r="S208" s="63"/>
    </row>
    <row r="209" spans="1:19" x14ac:dyDescent="0.4">
      <c r="A209" s="63"/>
      <c r="B209" s="63"/>
      <c r="C209" s="65"/>
      <c r="D209" s="64"/>
      <c r="E209" s="64"/>
      <c r="F209" s="4"/>
      <c r="G209" s="4"/>
      <c r="H209" s="63"/>
      <c r="I209" s="63"/>
      <c r="J209" s="63"/>
      <c r="K209" s="4"/>
      <c r="L209" s="63"/>
      <c r="M209" s="63"/>
      <c r="N209" s="65"/>
      <c r="O209" s="64"/>
      <c r="P209" s="64"/>
      <c r="Q209" s="65"/>
      <c r="R209" s="63"/>
      <c r="S209" s="63"/>
    </row>
    <row r="210" spans="1:19" x14ac:dyDescent="0.4">
      <c r="A210" s="63"/>
      <c r="B210" s="63"/>
      <c r="C210" s="65"/>
      <c r="D210" s="64"/>
      <c r="E210" s="64"/>
      <c r="F210" s="4"/>
      <c r="G210" s="4"/>
      <c r="H210" s="63"/>
      <c r="I210" s="63"/>
      <c r="J210" s="63"/>
      <c r="K210" s="4"/>
      <c r="L210" s="63"/>
      <c r="M210" s="63"/>
      <c r="N210" s="65"/>
      <c r="O210" s="64"/>
      <c r="P210" s="64"/>
      <c r="Q210" s="65"/>
      <c r="R210" s="63"/>
      <c r="S210" s="63"/>
    </row>
    <row r="211" spans="1:19" x14ac:dyDescent="0.4">
      <c r="A211" s="63"/>
      <c r="B211" s="63"/>
      <c r="C211" s="65"/>
      <c r="D211" s="64"/>
      <c r="E211" s="64"/>
      <c r="F211" s="4"/>
      <c r="G211" s="4"/>
      <c r="H211" s="63"/>
      <c r="I211" s="63"/>
      <c r="J211" s="63"/>
      <c r="K211" s="4"/>
      <c r="L211" s="63"/>
      <c r="M211" s="63"/>
      <c r="N211" s="65"/>
      <c r="O211" s="64"/>
      <c r="P211" s="64"/>
      <c r="Q211" s="65"/>
      <c r="R211" s="63"/>
      <c r="S211" s="63"/>
    </row>
    <row r="212" spans="1:19" x14ac:dyDescent="0.4">
      <c r="A212" s="63"/>
      <c r="B212" s="63"/>
      <c r="C212" s="65"/>
      <c r="D212" s="64"/>
      <c r="E212" s="64"/>
      <c r="F212" s="4"/>
      <c r="G212" s="4"/>
      <c r="H212" s="63"/>
      <c r="I212" s="63"/>
      <c r="J212" s="63"/>
      <c r="K212" s="4"/>
      <c r="L212" s="63"/>
      <c r="M212" s="63"/>
      <c r="N212" s="65"/>
      <c r="O212" s="64"/>
      <c r="P212" s="64"/>
      <c r="Q212" s="65"/>
      <c r="R212" s="63"/>
      <c r="S212" s="63"/>
    </row>
    <row r="213" spans="1:19" x14ac:dyDescent="0.4">
      <c r="A213" s="63"/>
      <c r="B213" s="63"/>
      <c r="C213" s="65"/>
      <c r="D213" s="64"/>
      <c r="E213" s="64"/>
      <c r="F213" s="4"/>
      <c r="G213" s="4"/>
      <c r="H213" s="63"/>
      <c r="I213" s="63"/>
      <c r="J213" s="63"/>
      <c r="K213" s="4"/>
      <c r="L213" s="63"/>
      <c r="M213" s="63"/>
      <c r="N213" s="65"/>
      <c r="O213" s="64"/>
      <c r="P213" s="64"/>
      <c r="Q213" s="65"/>
      <c r="R213" s="63"/>
      <c r="S213" s="63"/>
    </row>
    <row r="214" spans="1:19" x14ac:dyDescent="0.4">
      <c r="A214" s="63"/>
      <c r="B214" s="63"/>
      <c r="C214" s="65"/>
      <c r="D214" s="64"/>
      <c r="E214" s="64"/>
      <c r="F214" s="4"/>
      <c r="G214" s="4"/>
      <c r="H214" s="63"/>
      <c r="I214" s="63"/>
      <c r="J214" s="63"/>
      <c r="K214" s="4"/>
      <c r="L214" s="63"/>
      <c r="M214" s="63"/>
      <c r="N214" s="65"/>
      <c r="O214" s="64"/>
      <c r="P214" s="64"/>
      <c r="Q214" s="65"/>
      <c r="R214" s="63"/>
      <c r="S214" s="63"/>
    </row>
    <row r="215" spans="1:19" x14ac:dyDescent="0.4">
      <c r="A215" s="63"/>
      <c r="B215" s="63"/>
      <c r="C215" s="65"/>
      <c r="D215" s="64"/>
      <c r="E215" s="64"/>
      <c r="F215" s="4"/>
      <c r="G215" s="4"/>
      <c r="H215" s="63"/>
      <c r="I215" s="63"/>
      <c r="J215" s="63"/>
      <c r="K215" s="4"/>
      <c r="L215" s="63"/>
      <c r="M215" s="63"/>
      <c r="N215" s="65"/>
      <c r="O215" s="64"/>
      <c r="P215" s="64"/>
      <c r="Q215" s="65"/>
      <c r="R215" s="63"/>
      <c r="S215" s="63"/>
    </row>
    <row r="216" spans="1:19" x14ac:dyDescent="0.4">
      <c r="A216" s="63"/>
      <c r="B216" s="63"/>
      <c r="C216" s="65"/>
      <c r="D216" s="64"/>
      <c r="E216" s="64"/>
      <c r="F216" s="4"/>
      <c r="G216" s="4"/>
      <c r="H216" s="63"/>
      <c r="I216" s="63"/>
      <c r="J216" s="63"/>
      <c r="K216" s="4"/>
      <c r="L216" s="63"/>
      <c r="M216" s="63"/>
      <c r="N216" s="65"/>
      <c r="O216" s="64"/>
      <c r="P216" s="64"/>
      <c r="Q216" s="65"/>
      <c r="R216" s="63"/>
      <c r="S216" s="63"/>
    </row>
    <row r="217" spans="1:19" x14ac:dyDescent="0.4">
      <c r="A217" s="63"/>
      <c r="B217" s="63"/>
      <c r="C217" s="65"/>
      <c r="D217" s="64"/>
      <c r="E217" s="64"/>
      <c r="F217" s="4"/>
      <c r="G217" s="4"/>
      <c r="H217" s="63"/>
      <c r="I217" s="63"/>
      <c r="J217" s="63"/>
      <c r="K217" s="4"/>
      <c r="L217" s="63"/>
      <c r="M217" s="63"/>
      <c r="N217" s="65"/>
      <c r="O217" s="64"/>
      <c r="P217" s="64"/>
      <c r="Q217" s="65"/>
      <c r="R217" s="63"/>
      <c r="S217" s="63"/>
    </row>
    <row r="218" spans="1:19" x14ac:dyDescent="0.4">
      <c r="A218" s="63"/>
      <c r="B218" s="63"/>
      <c r="C218" s="65"/>
      <c r="D218" s="64"/>
      <c r="E218" s="64"/>
      <c r="F218" s="4"/>
      <c r="G218" s="4"/>
      <c r="H218" s="63"/>
      <c r="I218" s="63"/>
      <c r="J218" s="63"/>
      <c r="K218" s="4"/>
      <c r="L218" s="63"/>
      <c r="M218" s="63"/>
      <c r="N218" s="65"/>
      <c r="O218" s="64"/>
      <c r="P218" s="64"/>
      <c r="Q218" s="65"/>
      <c r="R218" s="63"/>
      <c r="S218" s="63"/>
    </row>
    <row r="219" spans="1:19" x14ac:dyDescent="0.4">
      <c r="A219" s="63"/>
      <c r="B219" s="63"/>
      <c r="C219" s="65"/>
      <c r="D219" s="64"/>
      <c r="E219" s="64"/>
      <c r="F219" s="4"/>
      <c r="G219" s="4"/>
      <c r="H219" s="63"/>
      <c r="I219" s="63"/>
      <c r="J219" s="63"/>
      <c r="K219" s="4"/>
      <c r="L219" s="63"/>
      <c r="M219" s="63"/>
      <c r="N219" s="65"/>
      <c r="O219" s="64"/>
      <c r="P219" s="64"/>
      <c r="Q219" s="65"/>
      <c r="R219" s="63"/>
      <c r="S219" s="63"/>
    </row>
    <row r="220" spans="1:19" x14ac:dyDescent="0.4">
      <c r="A220" s="63"/>
      <c r="B220" s="63"/>
      <c r="C220" s="65"/>
      <c r="D220" s="64"/>
      <c r="E220" s="64"/>
      <c r="F220" s="4"/>
      <c r="G220" s="4"/>
      <c r="H220" s="63"/>
      <c r="I220" s="63"/>
      <c r="J220" s="63"/>
      <c r="K220" s="4"/>
      <c r="L220" s="63"/>
      <c r="M220" s="63"/>
      <c r="N220" s="65"/>
      <c r="O220" s="64"/>
      <c r="P220" s="64"/>
      <c r="Q220" s="65"/>
      <c r="R220" s="63"/>
      <c r="S220" s="63"/>
    </row>
    <row r="221" spans="1:19" x14ac:dyDescent="0.4">
      <c r="A221" s="63"/>
      <c r="B221" s="63"/>
      <c r="C221" s="65"/>
      <c r="D221" s="64"/>
      <c r="E221" s="64"/>
      <c r="F221" s="4"/>
      <c r="G221" s="4"/>
      <c r="H221" s="63"/>
      <c r="I221" s="63"/>
      <c r="J221" s="63"/>
      <c r="K221" s="4"/>
      <c r="L221" s="63"/>
      <c r="M221" s="63"/>
      <c r="N221" s="65"/>
      <c r="O221" s="64"/>
      <c r="P221" s="64"/>
      <c r="Q221" s="65"/>
      <c r="R221" s="63"/>
      <c r="S221" s="63"/>
    </row>
    <row r="222" spans="1:19" x14ac:dyDescent="0.4">
      <c r="A222" s="63"/>
      <c r="B222" s="63"/>
      <c r="C222" s="65"/>
      <c r="D222" s="64"/>
      <c r="E222" s="64"/>
      <c r="F222" s="4"/>
      <c r="G222" s="4"/>
      <c r="H222" s="63"/>
      <c r="I222" s="63"/>
      <c r="J222" s="63"/>
      <c r="K222" s="4"/>
      <c r="L222" s="63"/>
      <c r="M222" s="63"/>
      <c r="N222" s="65"/>
      <c r="O222" s="64"/>
      <c r="P222" s="64"/>
      <c r="Q222" s="65"/>
      <c r="R222" s="63"/>
      <c r="S222" s="63"/>
    </row>
    <row r="223" spans="1:19" x14ac:dyDescent="0.4">
      <c r="A223" s="63"/>
      <c r="B223" s="63"/>
      <c r="C223" s="65"/>
      <c r="D223" s="64"/>
      <c r="E223" s="64"/>
      <c r="F223" s="4"/>
      <c r="G223" s="4"/>
      <c r="H223" s="63"/>
      <c r="I223" s="63"/>
      <c r="J223" s="63"/>
      <c r="K223" s="4"/>
      <c r="L223" s="63"/>
      <c r="M223" s="63"/>
      <c r="N223" s="65"/>
      <c r="O223" s="64"/>
      <c r="P223" s="64"/>
      <c r="Q223" s="65"/>
      <c r="R223" s="63"/>
      <c r="S223" s="63"/>
    </row>
    <row r="224" spans="1:19" x14ac:dyDescent="0.4">
      <c r="A224" s="63"/>
      <c r="B224" s="63"/>
      <c r="C224" s="65"/>
      <c r="D224" s="64"/>
      <c r="E224" s="64"/>
      <c r="F224" s="4"/>
      <c r="G224" s="4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</row>
    <row r="225" spans="1:19" x14ac:dyDescent="0.4">
      <c r="A225" s="63"/>
      <c r="B225" s="63"/>
      <c r="C225" s="65"/>
      <c r="D225" s="64"/>
      <c r="E225" s="64"/>
      <c r="F225" s="4"/>
      <c r="G225" s="4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</row>
    <row r="226" spans="1:19" x14ac:dyDescent="0.4">
      <c r="A226" s="63"/>
      <c r="B226" s="63"/>
      <c r="C226" s="65"/>
      <c r="D226" s="64"/>
      <c r="E226" s="64"/>
      <c r="F226" s="4"/>
      <c r="G226" s="4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</row>
    <row r="227" spans="1:19" x14ac:dyDescent="0.4">
      <c r="A227" s="63"/>
      <c r="B227" s="63"/>
      <c r="C227" s="65"/>
      <c r="D227" s="64"/>
      <c r="E227" s="64"/>
      <c r="F227" s="4"/>
      <c r="G227" s="4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</row>
    <row r="228" spans="1:19" x14ac:dyDescent="0.4">
      <c r="A228" s="63"/>
      <c r="B228" s="63"/>
      <c r="C228" s="65"/>
      <c r="D228" s="64"/>
      <c r="E228" s="64"/>
      <c r="F228" s="4"/>
      <c r="G228" s="4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</row>
    <row r="229" spans="1:19" x14ac:dyDescent="0.4">
      <c r="A229" s="63"/>
      <c r="B229" s="63"/>
      <c r="C229" s="65"/>
      <c r="D229" s="64"/>
      <c r="E229" s="64"/>
      <c r="F229" s="4"/>
      <c r="G229" s="4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</row>
    <row r="230" spans="1:19" x14ac:dyDescent="0.4">
      <c r="A230" s="63"/>
      <c r="B230" s="63"/>
      <c r="C230" s="65"/>
      <c r="D230" s="64"/>
      <c r="E230" s="64"/>
      <c r="F230" s="4"/>
      <c r="G230" s="4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</row>
    <row r="231" spans="1:19" x14ac:dyDescent="0.4">
      <c r="A231" s="63"/>
      <c r="B231" s="63"/>
      <c r="C231" s="65"/>
      <c r="D231" s="64"/>
      <c r="E231" s="64"/>
      <c r="F231" s="4"/>
      <c r="G231" s="4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</row>
    <row r="232" spans="1:19" x14ac:dyDescent="0.4">
      <c r="A232" s="63"/>
      <c r="B232" s="63"/>
      <c r="C232" s="65"/>
      <c r="D232" s="64"/>
      <c r="E232" s="64"/>
      <c r="F232" s="4"/>
      <c r="G232" s="4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</row>
    <row r="233" spans="1:19" s="5" customFormat="1" x14ac:dyDescent="0.4">
      <c r="A233" s="63"/>
      <c r="B233" s="63"/>
      <c r="C233" s="65"/>
      <c r="D233" s="64"/>
      <c r="E233" s="64"/>
      <c r="F233" s="4"/>
      <c r="G233" s="4"/>
      <c r="H233" s="290"/>
      <c r="I233" s="291"/>
      <c r="J233" s="291"/>
      <c r="K233" s="291"/>
      <c r="L233" s="63"/>
      <c r="M233" s="63"/>
      <c r="N233" s="63"/>
      <c r="O233" s="63"/>
      <c r="P233" s="63"/>
      <c r="Q233" s="63"/>
      <c r="R233" s="63"/>
      <c r="S233" s="63"/>
    </row>
    <row r="234" spans="1:19" x14ac:dyDescent="0.4">
      <c r="A234" s="63"/>
      <c r="B234" s="63"/>
      <c r="C234" s="65"/>
      <c r="D234" s="64"/>
      <c r="E234" s="64"/>
      <c r="F234" s="4"/>
      <c r="G234" s="4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</row>
    <row r="235" spans="1:19" x14ac:dyDescent="0.4">
      <c r="A235" s="63"/>
      <c r="B235" s="63"/>
      <c r="C235" s="65"/>
      <c r="D235" s="64"/>
      <c r="E235" s="64"/>
      <c r="F235" s="4"/>
      <c r="G235" s="4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</row>
    <row r="236" spans="1:19" x14ac:dyDescent="0.4">
      <c r="A236" s="63"/>
      <c r="B236" s="63"/>
      <c r="C236" s="65"/>
      <c r="D236" s="64"/>
      <c r="E236" s="64"/>
      <c r="F236" s="4"/>
      <c r="G236" s="4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</row>
    <row r="237" spans="1:19" x14ac:dyDescent="0.4">
      <c r="A237" s="63"/>
      <c r="B237" s="63"/>
      <c r="C237" s="65"/>
      <c r="D237" s="64"/>
      <c r="E237" s="64"/>
      <c r="F237" s="4"/>
      <c r="G237" s="4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</row>
    <row r="238" spans="1:19" x14ac:dyDescent="0.4">
      <c r="A238" s="63"/>
      <c r="B238" s="63"/>
      <c r="C238" s="65"/>
      <c r="D238" s="64"/>
      <c r="E238" s="64"/>
      <c r="F238" s="4"/>
      <c r="G238" s="4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</row>
    <row r="239" spans="1:19" x14ac:dyDescent="0.4">
      <c r="A239" s="63"/>
      <c r="B239" s="63"/>
      <c r="C239" s="65"/>
      <c r="D239" s="64"/>
      <c r="E239" s="64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</row>
    <row r="240" spans="1:19" x14ac:dyDescent="0.4">
      <c r="A240" s="63"/>
      <c r="B240" s="63"/>
      <c r="C240" s="65"/>
      <c r="D240" s="64"/>
      <c r="E240" s="64"/>
      <c r="F240" s="4"/>
      <c r="G240" s="4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</row>
    <row r="241" spans="1:19" x14ac:dyDescent="0.4">
      <c r="A241" s="63"/>
      <c r="B241" s="63"/>
      <c r="C241" s="65"/>
      <c r="D241" s="64"/>
      <c r="E241" s="64"/>
      <c r="F241" s="4"/>
      <c r="G241" s="4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</row>
    <row r="242" spans="1:19" x14ac:dyDescent="0.4">
      <c r="A242" s="63"/>
      <c r="B242" s="63"/>
      <c r="C242" s="65"/>
      <c r="D242" s="64"/>
      <c r="E242" s="64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</row>
    <row r="243" spans="1:19" x14ac:dyDescent="0.4">
      <c r="A243" s="63"/>
      <c r="B243" s="63"/>
      <c r="C243" s="65"/>
      <c r="D243" s="64"/>
      <c r="E243" s="64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</row>
    <row r="244" spans="1:19" x14ac:dyDescent="0.4">
      <c r="A244" s="63"/>
      <c r="B244" s="63"/>
      <c r="C244" s="65"/>
      <c r="D244" s="64"/>
      <c r="E244" s="64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</row>
    <row r="245" spans="1:19" x14ac:dyDescent="0.4">
      <c r="A245" s="63"/>
      <c r="B245" s="63"/>
      <c r="C245" s="65"/>
      <c r="D245" s="64"/>
      <c r="E245" s="64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</row>
    <row r="246" spans="1:19" x14ac:dyDescent="0.4">
      <c r="A246" s="63"/>
      <c r="B246" s="63"/>
      <c r="C246" s="65"/>
      <c r="D246" s="64"/>
      <c r="E246" s="64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</row>
    <row r="247" spans="1:19" x14ac:dyDescent="0.4">
      <c r="A247" s="63"/>
      <c r="B247" s="63"/>
      <c r="C247" s="65"/>
      <c r="D247" s="64"/>
      <c r="E247" s="64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</row>
    <row r="248" spans="1:19" x14ac:dyDescent="0.4">
      <c r="A248" s="63"/>
      <c r="B248" s="63"/>
      <c r="C248" s="65"/>
      <c r="D248" s="64"/>
      <c r="E248" s="64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</row>
    <row r="249" spans="1:19" x14ac:dyDescent="0.4">
      <c r="A249" s="63"/>
      <c r="B249" s="63"/>
      <c r="C249" s="65"/>
      <c r="D249" s="64"/>
      <c r="E249" s="64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</row>
    <row r="250" spans="1:19" x14ac:dyDescent="0.4">
      <c r="A250" s="63"/>
      <c r="B250" s="63"/>
      <c r="C250" s="65"/>
      <c r="D250" s="64"/>
      <c r="E250" s="64"/>
      <c r="F250" s="4"/>
      <c r="G250" s="4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</row>
    <row r="251" spans="1:19" x14ac:dyDescent="0.4">
      <c r="A251" s="63"/>
      <c r="B251" s="63"/>
      <c r="C251" s="65"/>
      <c r="D251" s="64"/>
      <c r="E251" s="64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</row>
    <row r="252" spans="1:19" x14ac:dyDescent="0.4">
      <c r="A252" s="63"/>
      <c r="B252" s="63"/>
      <c r="C252" s="65"/>
      <c r="D252" s="64"/>
      <c r="E252" s="64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</row>
    <row r="253" spans="1:19" x14ac:dyDescent="0.4">
      <c r="A253" s="63"/>
      <c r="B253" s="63"/>
      <c r="C253" s="65"/>
      <c r="D253" s="64"/>
      <c r="E253" s="64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</row>
    <row r="254" spans="1:19" x14ac:dyDescent="0.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</row>
    <row r="255" spans="1:19" x14ac:dyDescent="0.4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</row>
    <row r="256" spans="1:19" x14ac:dyDescent="0.4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</row>
    <row r="257" spans="1:19" x14ac:dyDescent="0.4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</row>
    <row r="258" spans="1:19" x14ac:dyDescent="0.4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</row>
    <row r="259" spans="1:19" x14ac:dyDescent="0.4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</row>
    <row r="260" spans="1:19" x14ac:dyDescent="0.4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</row>
    <row r="261" spans="1:19" x14ac:dyDescent="0.4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</row>
    <row r="262" spans="1:19" x14ac:dyDescent="0.4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</row>
    <row r="263" spans="1:19" x14ac:dyDescent="0.4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</row>
    <row r="264" spans="1:19" x14ac:dyDescent="0.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</row>
    <row r="265" spans="1:19" x14ac:dyDescent="0.4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</row>
    <row r="266" spans="1:19" x14ac:dyDescent="0.4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</row>
    <row r="267" spans="1:19" x14ac:dyDescent="0.4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</row>
    <row r="268" spans="1:19" x14ac:dyDescent="0.4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</row>
    <row r="269" spans="1:19" x14ac:dyDescent="0.4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</row>
    <row r="270" spans="1:19" x14ac:dyDescent="0.4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</row>
    <row r="271" spans="1:19" x14ac:dyDescent="0.4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</row>
    <row r="272" spans="1:19" x14ac:dyDescent="0.4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</row>
    <row r="273" spans="1:19" x14ac:dyDescent="0.4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</row>
    <row r="274" spans="1:19" x14ac:dyDescent="0.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</row>
    <row r="275" spans="1:19" x14ac:dyDescent="0.4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</row>
    <row r="276" spans="1:19" x14ac:dyDescent="0.4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</row>
    <row r="277" spans="1:19" x14ac:dyDescent="0.4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</row>
    <row r="278" spans="1:19" x14ac:dyDescent="0.4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</row>
    <row r="279" spans="1:19" x14ac:dyDescent="0.4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</row>
    <row r="280" spans="1:19" x14ac:dyDescent="0.4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</row>
    <row r="281" spans="1:19" x14ac:dyDescent="0.4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</row>
    <row r="282" spans="1:19" x14ac:dyDescent="0.4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</row>
    <row r="283" spans="1:19" x14ac:dyDescent="0.4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</row>
    <row r="284" spans="1:19" x14ac:dyDescent="0.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</row>
    <row r="285" spans="1:19" x14ac:dyDescent="0.4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</row>
    <row r="286" spans="1:19" x14ac:dyDescent="0.4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</row>
    <row r="287" spans="1:19" x14ac:dyDescent="0.4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</row>
    <row r="288" spans="1:19" x14ac:dyDescent="0.4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</row>
    <row r="289" spans="1:19" x14ac:dyDescent="0.4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</row>
    <row r="290" spans="1:19" x14ac:dyDescent="0.4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</row>
    <row r="291" spans="1:19" x14ac:dyDescent="0.4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</row>
    <row r="292" spans="1:19" x14ac:dyDescent="0.4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</row>
    <row r="293" spans="1:19" x14ac:dyDescent="0.4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</row>
    <row r="294" spans="1:19" x14ac:dyDescent="0.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</row>
    <row r="295" spans="1:19" x14ac:dyDescent="0.4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</row>
    <row r="296" spans="1:19" x14ac:dyDescent="0.4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</row>
    <row r="297" spans="1:19" x14ac:dyDescent="0.4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</row>
    <row r="298" spans="1:19" x14ac:dyDescent="0.4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</row>
    <row r="299" spans="1:19" x14ac:dyDescent="0.4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</row>
    <row r="300" spans="1:19" x14ac:dyDescent="0.4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</row>
    <row r="301" spans="1:19" x14ac:dyDescent="0.4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</row>
    <row r="302" spans="1:19" x14ac:dyDescent="0.4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</row>
    <row r="303" spans="1:19" x14ac:dyDescent="0.4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</row>
    <row r="304" spans="1:19" x14ac:dyDescent="0.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</row>
    <row r="305" spans="1:19" x14ac:dyDescent="0.4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</row>
    <row r="306" spans="1:19" x14ac:dyDescent="0.4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</row>
    <row r="307" spans="1:19" x14ac:dyDescent="0.4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</row>
    <row r="308" spans="1:19" x14ac:dyDescent="0.4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</row>
    <row r="309" spans="1:19" x14ac:dyDescent="0.4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</row>
    <row r="310" spans="1:19" x14ac:dyDescent="0.4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</row>
    <row r="311" spans="1:19" x14ac:dyDescent="0.4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</row>
    <row r="312" spans="1:19" x14ac:dyDescent="0.4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</row>
    <row r="313" spans="1:19" x14ac:dyDescent="0.4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</row>
    <row r="314" spans="1:19" x14ac:dyDescent="0.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</row>
    <row r="315" spans="1:19" x14ac:dyDescent="0.4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</row>
    <row r="316" spans="1:19" x14ac:dyDescent="0.4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</row>
    <row r="317" spans="1:19" x14ac:dyDescent="0.4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</row>
    <row r="318" spans="1:19" x14ac:dyDescent="0.4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</row>
    <row r="319" spans="1:19" x14ac:dyDescent="0.4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</row>
    <row r="320" spans="1:19" x14ac:dyDescent="0.4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</row>
    <row r="321" spans="1:19" x14ac:dyDescent="0.4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</row>
    <row r="322" spans="1:19" x14ac:dyDescent="0.4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</row>
    <row r="323" spans="1:19" x14ac:dyDescent="0.4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</row>
    <row r="324" spans="1:19" x14ac:dyDescent="0.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</row>
    <row r="325" spans="1:19" x14ac:dyDescent="0.4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</row>
    <row r="326" spans="1:19" x14ac:dyDescent="0.4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</row>
    <row r="327" spans="1:19" x14ac:dyDescent="0.4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</row>
    <row r="328" spans="1:19" x14ac:dyDescent="0.4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</row>
    <row r="329" spans="1:19" x14ac:dyDescent="0.4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</row>
    <row r="330" spans="1:19" x14ac:dyDescent="0.4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</row>
    <row r="331" spans="1:19" x14ac:dyDescent="0.4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</row>
    <row r="332" spans="1:19" x14ac:dyDescent="0.4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</row>
    <row r="333" spans="1:19" x14ac:dyDescent="0.4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</row>
    <row r="334" spans="1:19" x14ac:dyDescent="0.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</row>
    <row r="335" spans="1:19" x14ac:dyDescent="0.4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</row>
    <row r="336" spans="1:19" x14ac:dyDescent="0.4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</row>
    <row r="337" spans="1:19" x14ac:dyDescent="0.4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</row>
    <row r="338" spans="1:19" x14ac:dyDescent="0.4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</row>
    <row r="339" spans="1:19" x14ac:dyDescent="0.4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</row>
    <row r="340" spans="1:19" x14ac:dyDescent="0.4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</row>
    <row r="341" spans="1:19" x14ac:dyDescent="0.4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</row>
    <row r="342" spans="1:19" x14ac:dyDescent="0.4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</row>
    <row r="343" spans="1:19" x14ac:dyDescent="0.4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</row>
    <row r="344" spans="1:19" x14ac:dyDescent="0.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</row>
    <row r="345" spans="1:19" x14ac:dyDescent="0.4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</row>
    <row r="346" spans="1:19" x14ac:dyDescent="0.4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</row>
    <row r="347" spans="1:19" x14ac:dyDescent="0.4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</row>
    <row r="348" spans="1:19" x14ac:dyDescent="0.4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</row>
    <row r="349" spans="1:19" x14ac:dyDescent="0.4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</row>
    <row r="350" spans="1:19" x14ac:dyDescent="0.4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</row>
    <row r="351" spans="1:19" x14ac:dyDescent="0.4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</row>
    <row r="352" spans="1:19" x14ac:dyDescent="0.4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</row>
    <row r="353" spans="1:19" x14ac:dyDescent="0.4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</row>
    <row r="354" spans="1:19" x14ac:dyDescent="0.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</row>
    <row r="355" spans="1:19" x14ac:dyDescent="0.4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</row>
    <row r="356" spans="1:19" x14ac:dyDescent="0.4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</row>
    <row r="357" spans="1:19" x14ac:dyDescent="0.4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</row>
    <row r="358" spans="1:19" x14ac:dyDescent="0.4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</row>
    <row r="359" spans="1:19" x14ac:dyDescent="0.4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</row>
    <row r="360" spans="1:19" x14ac:dyDescent="0.4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</row>
    <row r="361" spans="1:19" x14ac:dyDescent="0.4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</row>
    <row r="362" spans="1:19" x14ac:dyDescent="0.4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</row>
    <row r="363" spans="1:19" x14ac:dyDescent="0.4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</row>
    <row r="364" spans="1:19" x14ac:dyDescent="0.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</row>
    <row r="365" spans="1:19" x14ac:dyDescent="0.4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</row>
    <row r="366" spans="1:19" x14ac:dyDescent="0.4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</row>
    <row r="367" spans="1:19" x14ac:dyDescent="0.4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</row>
    <row r="368" spans="1:19" x14ac:dyDescent="0.4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</row>
    <row r="369" spans="1:19" x14ac:dyDescent="0.4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</row>
    <row r="370" spans="1:19" x14ac:dyDescent="0.4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</row>
    <row r="371" spans="1:19" x14ac:dyDescent="0.4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</row>
    <row r="372" spans="1:19" x14ac:dyDescent="0.4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</row>
    <row r="373" spans="1:19" x14ac:dyDescent="0.4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</row>
    <row r="374" spans="1:19" x14ac:dyDescent="0.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</row>
    <row r="375" spans="1:19" x14ac:dyDescent="0.4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</row>
    <row r="376" spans="1:19" x14ac:dyDescent="0.4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</row>
    <row r="377" spans="1:19" x14ac:dyDescent="0.4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</row>
    <row r="378" spans="1:19" x14ac:dyDescent="0.4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</row>
    <row r="379" spans="1:19" x14ac:dyDescent="0.4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</row>
    <row r="380" spans="1:19" x14ac:dyDescent="0.4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</row>
    <row r="381" spans="1:19" x14ac:dyDescent="0.4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</row>
    <row r="382" spans="1:19" x14ac:dyDescent="0.4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</row>
    <row r="383" spans="1:19" x14ac:dyDescent="0.4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</row>
    <row r="384" spans="1:19" x14ac:dyDescent="0.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</row>
    <row r="385" spans="1:19" x14ac:dyDescent="0.4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</row>
    <row r="386" spans="1:19" x14ac:dyDescent="0.4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</row>
    <row r="387" spans="1:19" x14ac:dyDescent="0.4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</row>
    <row r="388" spans="1:19" x14ac:dyDescent="0.4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</row>
    <row r="389" spans="1:19" x14ac:dyDescent="0.4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</row>
    <row r="390" spans="1:19" x14ac:dyDescent="0.4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</row>
    <row r="391" spans="1:19" x14ac:dyDescent="0.4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</row>
    <row r="392" spans="1:19" x14ac:dyDescent="0.4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</row>
    <row r="393" spans="1:19" x14ac:dyDescent="0.4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</row>
    <row r="394" spans="1:19" x14ac:dyDescent="0.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</row>
    <row r="395" spans="1:19" x14ac:dyDescent="0.4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</row>
    <row r="396" spans="1:19" x14ac:dyDescent="0.4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</row>
    <row r="397" spans="1:19" x14ac:dyDescent="0.4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</row>
    <row r="398" spans="1:19" x14ac:dyDescent="0.4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</row>
    <row r="399" spans="1:19" x14ac:dyDescent="0.4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</row>
    <row r="400" spans="1:19" x14ac:dyDescent="0.4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</row>
    <row r="401" spans="1:19" x14ac:dyDescent="0.4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</row>
    <row r="402" spans="1:19" x14ac:dyDescent="0.4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</row>
    <row r="403" spans="1:19" x14ac:dyDescent="0.4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</row>
    <row r="404" spans="1:19" x14ac:dyDescent="0.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</row>
    <row r="405" spans="1:19" x14ac:dyDescent="0.4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</row>
    <row r="406" spans="1:19" x14ac:dyDescent="0.4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</row>
    <row r="407" spans="1:19" x14ac:dyDescent="0.4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</row>
    <row r="408" spans="1:19" x14ac:dyDescent="0.4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</row>
    <row r="409" spans="1:19" x14ac:dyDescent="0.4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</row>
    <row r="410" spans="1:19" x14ac:dyDescent="0.4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</row>
    <row r="411" spans="1:19" x14ac:dyDescent="0.4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</row>
    <row r="412" spans="1:19" x14ac:dyDescent="0.4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</row>
    <row r="413" spans="1:19" x14ac:dyDescent="0.4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</row>
    <row r="414" spans="1:19" x14ac:dyDescent="0.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</row>
    <row r="415" spans="1:19" x14ac:dyDescent="0.4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</row>
    <row r="416" spans="1:19" x14ac:dyDescent="0.4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</row>
    <row r="417" spans="1:19" x14ac:dyDescent="0.4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</row>
    <row r="418" spans="1:19" x14ac:dyDescent="0.4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</row>
    <row r="419" spans="1:19" x14ac:dyDescent="0.4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</row>
    <row r="420" spans="1:19" x14ac:dyDescent="0.4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</row>
    <row r="421" spans="1:19" x14ac:dyDescent="0.4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</row>
    <row r="422" spans="1:19" x14ac:dyDescent="0.4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</row>
    <row r="423" spans="1:19" x14ac:dyDescent="0.4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</row>
    <row r="424" spans="1:19" x14ac:dyDescent="0.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</row>
    <row r="425" spans="1:19" x14ac:dyDescent="0.4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</row>
    <row r="426" spans="1:19" x14ac:dyDescent="0.4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</row>
    <row r="427" spans="1:19" x14ac:dyDescent="0.4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</row>
    <row r="428" spans="1:19" x14ac:dyDescent="0.4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</row>
    <row r="429" spans="1:19" x14ac:dyDescent="0.4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</row>
    <row r="430" spans="1:19" x14ac:dyDescent="0.4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</row>
    <row r="431" spans="1:19" x14ac:dyDescent="0.4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</row>
    <row r="432" spans="1:19" x14ac:dyDescent="0.4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</row>
    <row r="433" spans="1:19" x14ac:dyDescent="0.4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</row>
    <row r="434" spans="1:19" x14ac:dyDescent="0.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</row>
    <row r="435" spans="1:19" x14ac:dyDescent="0.4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</row>
    <row r="436" spans="1:19" x14ac:dyDescent="0.4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</row>
    <row r="437" spans="1:19" x14ac:dyDescent="0.4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</row>
    <row r="438" spans="1:19" x14ac:dyDescent="0.4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</row>
    <row r="439" spans="1:19" x14ac:dyDescent="0.4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</row>
    <row r="440" spans="1:19" x14ac:dyDescent="0.4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</row>
    <row r="441" spans="1:19" x14ac:dyDescent="0.4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</row>
    <row r="442" spans="1:19" x14ac:dyDescent="0.4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</row>
    <row r="443" spans="1:19" x14ac:dyDescent="0.4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</row>
    <row r="444" spans="1:19" x14ac:dyDescent="0.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</row>
    <row r="445" spans="1:19" x14ac:dyDescent="0.4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</row>
    <row r="446" spans="1:19" x14ac:dyDescent="0.4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</row>
    <row r="447" spans="1:19" x14ac:dyDescent="0.4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</row>
    <row r="448" spans="1:19" x14ac:dyDescent="0.4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</row>
    <row r="449" spans="1:19" x14ac:dyDescent="0.4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</row>
    <row r="450" spans="1:19" x14ac:dyDescent="0.4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</row>
    <row r="451" spans="1:19" x14ac:dyDescent="0.4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</row>
    <row r="452" spans="1:19" x14ac:dyDescent="0.4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</row>
    <row r="453" spans="1:19" x14ac:dyDescent="0.4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</row>
    <row r="454" spans="1:19" x14ac:dyDescent="0.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</row>
    <row r="455" spans="1:19" x14ac:dyDescent="0.4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</row>
    <row r="456" spans="1:19" x14ac:dyDescent="0.4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</row>
    <row r="457" spans="1:19" x14ac:dyDescent="0.4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</row>
    <row r="458" spans="1:19" x14ac:dyDescent="0.4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</row>
    <row r="459" spans="1:19" x14ac:dyDescent="0.4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</row>
    <row r="460" spans="1:19" x14ac:dyDescent="0.4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</row>
    <row r="461" spans="1:19" x14ac:dyDescent="0.4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</row>
    <row r="462" spans="1:19" x14ac:dyDescent="0.4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</row>
    <row r="463" spans="1:19" x14ac:dyDescent="0.4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</row>
    <row r="464" spans="1:19" x14ac:dyDescent="0.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</row>
    <row r="465" spans="1:19" x14ac:dyDescent="0.4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</row>
    <row r="466" spans="1:19" x14ac:dyDescent="0.4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</row>
    <row r="467" spans="1:19" x14ac:dyDescent="0.4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</row>
    <row r="468" spans="1:19" x14ac:dyDescent="0.4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</row>
    <row r="469" spans="1:19" x14ac:dyDescent="0.4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</row>
    <row r="470" spans="1:19" x14ac:dyDescent="0.4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</row>
    <row r="471" spans="1:19" x14ac:dyDescent="0.4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</row>
    <row r="472" spans="1:19" x14ac:dyDescent="0.4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</row>
    <row r="473" spans="1:19" x14ac:dyDescent="0.4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</row>
    <row r="474" spans="1:19" x14ac:dyDescent="0.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</row>
    <row r="475" spans="1:19" x14ac:dyDescent="0.4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</row>
    <row r="476" spans="1:19" x14ac:dyDescent="0.4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</row>
    <row r="477" spans="1:19" x14ac:dyDescent="0.4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</row>
    <row r="478" spans="1:19" x14ac:dyDescent="0.4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</row>
    <row r="479" spans="1:19" x14ac:dyDescent="0.4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</row>
    <row r="480" spans="1:19" x14ac:dyDescent="0.4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</row>
    <row r="481" spans="1:19" x14ac:dyDescent="0.4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</row>
    <row r="482" spans="1:19" x14ac:dyDescent="0.4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</row>
    <row r="483" spans="1:19" x14ac:dyDescent="0.4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</row>
    <row r="484" spans="1:19" x14ac:dyDescent="0.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</row>
    <row r="485" spans="1:19" x14ac:dyDescent="0.4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</row>
    <row r="486" spans="1:19" x14ac:dyDescent="0.4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</row>
    <row r="487" spans="1:19" x14ac:dyDescent="0.4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</row>
    <row r="488" spans="1:19" x14ac:dyDescent="0.4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</row>
    <row r="489" spans="1:19" x14ac:dyDescent="0.4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</row>
    <row r="490" spans="1:19" x14ac:dyDescent="0.4">
      <c r="A490" s="63"/>
      <c r="B490" s="63"/>
      <c r="C490" s="63"/>
      <c r="D490" s="63"/>
      <c r="E490" s="63"/>
      <c r="F490" s="63"/>
      <c r="G490" s="63"/>
    </row>
    <row r="491" spans="1:19" x14ac:dyDescent="0.4">
      <c r="A491" s="63"/>
      <c r="B491" s="63"/>
      <c r="C491" s="63"/>
      <c r="D491" s="63"/>
      <c r="E491" s="63"/>
      <c r="F491" s="63"/>
      <c r="G491" s="63"/>
    </row>
  </sheetData>
  <mergeCells count="12">
    <mergeCell ref="H74:O75"/>
    <mergeCell ref="H233:K233"/>
    <mergeCell ref="A4:A5"/>
    <mergeCell ref="F4:F5"/>
    <mergeCell ref="G4:G5"/>
    <mergeCell ref="A16:A17"/>
    <mergeCell ref="A74:A75"/>
    <mergeCell ref="B74:B75"/>
    <mergeCell ref="D74:D75"/>
    <mergeCell ref="E74:E75"/>
    <mergeCell ref="F74:F75"/>
    <mergeCell ref="G74:G75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D8F28-13D1-43EC-9D3F-1E24F2A00678}">
  <sheetPr>
    <tabColor rgb="FFC00000"/>
  </sheetPr>
  <dimension ref="A1:Z494"/>
  <sheetViews>
    <sheetView tabSelected="1" topLeftCell="A34" workbookViewId="0">
      <selection activeCell="V26" sqref="V26"/>
    </sheetView>
  </sheetViews>
  <sheetFormatPr defaultRowHeight="17.399999999999999" x14ac:dyDescent="0.4"/>
  <cols>
    <col min="1" max="1" width="10.8984375" customWidth="1"/>
    <col min="4" max="9" width="12.69921875" customWidth="1"/>
    <col min="10" max="10" width="6.3984375" customWidth="1"/>
    <col min="11" max="11" width="5.59765625" customWidth="1"/>
    <col min="13" max="13" width="14" customWidth="1"/>
    <col min="14" max="14" width="13.59765625" customWidth="1"/>
    <col min="18" max="18" width="12.19921875" customWidth="1"/>
  </cols>
  <sheetData>
    <row r="1" spans="1:26" x14ac:dyDescent="0.4">
      <c r="A1" s="15"/>
      <c r="B1" s="14"/>
      <c r="C1" s="14" t="s">
        <v>34</v>
      </c>
      <c r="D1" s="14"/>
      <c r="E1" s="14"/>
      <c r="F1" s="42"/>
      <c r="G1" s="43" t="s">
        <v>99</v>
      </c>
      <c r="H1" s="14"/>
      <c r="I1" s="14"/>
      <c r="J1" s="15"/>
      <c r="K1" s="15"/>
      <c r="L1" s="14" t="s">
        <v>34</v>
      </c>
      <c r="M1" s="16"/>
      <c r="N1" s="16" t="s">
        <v>33</v>
      </c>
    </row>
    <row r="2" spans="1:26" ht="18" thickBot="1" x14ac:dyDescent="0.45">
      <c r="A2" s="15" t="s">
        <v>32</v>
      </c>
      <c r="B2" s="14"/>
      <c r="C2" s="14" t="s">
        <v>31</v>
      </c>
      <c r="D2" s="14" t="s">
        <v>30</v>
      </c>
      <c r="E2" s="14"/>
      <c r="F2" s="44"/>
      <c r="G2" s="45"/>
      <c r="H2" s="14"/>
      <c r="I2" s="14"/>
      <c r="J2" s="15"/>
      <c r="K2" s="15"/>
      <c r="L2" s="14" t="s">
        <v>29</v>
      </c>
      <c r="M2" s="13"/>
      <c r="N2" s="13" t="s">
        <v>28</v>
      </c>
    </row>
    <row r="3" spans="1:26" x14ac:dyDescent="0.4">
      <c r="A3" s="40"/>
      <c r="B3" s="12"/>
      <c r="C3" s="11">
        <f>SUM(C6:C181)</f>
        <v>13925</v>
      </c>
      <c r="D3" s="12"/>
      <c r="E3" s="12"/>
      <c r="F3" s="12"/>
      <c r="G3" s="12"/>
      <c r="H3" s="12"/>
      <c r="I3" s="12"/>
      <c r="J3" s="40"/>
      <c r="K3" s="40"/>
      <c r="L3" s="11">
        <f>SUM(L6:L2509)</f>
        <v>10108.333333333334</v>
      </c>
      <c r="M3" s="11"/>
      <c r="N3" s="10"/>
    </row>
    <row r="4" spans="1:26" x14ac:dyDescent="0.4">
      <c r="A4" s="280" t="s">
        <v>27</v>
      </c>
      <c r="B4" s="39" t="s">
        <v>26</v>
      </c>
      <c r="C4" s="39" t="s">
        <v>25</v>
      </c>
      <c r="D4" s="282" t="s">
        <v>100</v>
      </c>
      <c r="E4" s="283"/>
      <c r="F4" s="283"/>
      <c r="G4" s="283"/>
      <c r="H4" s="283"/>
      <c r="I4" s="284"/>
      <c r="J4" s="9" t="s">
        <v>101</v>
      </c>
      <c r="K4" s="9" t="s">
        <v>23</v>
      </c>
      <c r="L4" s="9" t="s">
        <v>22</v>
      </c>
      <c r="M4" s="280" t="s">
        <v>21</v>
      </c>
      <c r="N4" s="280" t="s">
        <v>20</v>
      </c>
      <c r="O4" s="285" t="s">
        <v>175</v>
      </c>
      <c r="P4" s="285"/>
      <c r="Q4" s="285"/>
      <c r="R4" s="285"/>
      <c r="S4" s="285"/>
      <c r="T4" s="285"/>
    </row>
    <row r="5" spans="1:26" x14ac:dyDescent="0.4">
      <c r="A5" s="281"/>
      <c r="B5" s="39" t="s">
        <v>19</v>
      </c>
      <c r="C5" s="39" t="s">
        <v>19</v>
      </c>
      <c r="D5" s="285" t="s">
        <v>102</v>
      </c>
      <c r="E5" s="285"/>
      <c r="F5" s="285"/>
      <c r="G5" s="285"/>
      <c r="H5" s="285"/>
      <c r="I5" s="285"/>
      <c r="J5" s="7" t="s">
        <v>17</v>
      </c>
      <c r="K5" s="7" t="s">
        <v>17</v>
      </c>
      <c r="L5" s="7" t="s">
        <v>16</v>
      </c>
      <c r="M5" s="281"/>
      <c r="N5" s="281"/>
      <c r="O5" s="285"/>
      <c r="P5" s="285"/>
      <c r="Q5" s="285"/>
      <c r="R5" s="285"/>
      <c r="S5" s="285"/>
      <c r="T5" s="285"/>
    </row>
    <row r="6" spans="1:26" x14ac:dyDescent="0.4">
      <c r="A6" s="36" t="s">
        <v>56</v>
      </c>
      <c r="B6" s="134">
        <f>C6/6</f>
        <v>45.833333333333336</v>
      </c>
      <c r="C6" s="36">
        <v>275</v>
      </c>
      <c r="D6" s="52">
        <v>44219</v>
      </c>
      <c r="E6" s="60">
        <v>44220</v>
      </c>
      <c r="F6" s="83">
        <v>44269</v>
      </c>
      <c r="G6" s="186">
        <v>44306</v>
      </c>
      <c r="H6" s="257">
        <v>44348</v>
      </c>
      <c r="I6" s="37"/>
      <c r="J6" s="54">
        <f>COUNTIF(D6:I6,"1")</f>
        <v>0</v>
      </c>
      <c r="K6" s="54">
        <f>J6*(C6/6)</f>
        <v>0</v>
      </c>
      <c r="L6" s="47">
        <f>J6*(C6/6)</f>
        <v>0</v>
      </c>
      <c r="M6" s="52">
        <v>44211</v>
      </c>
      <c r="N6" s="19">
        <f>M6+180</f>
        <v>44391</v>
      </c>
      <c r="O6" s="173" t="s">
        <v>137</v>
      </c>
      <c r="P6" s="174" t="s">
        <v>138</v>
      </c>
      <c r="Q6" s="175" t="s">
        <v>137</v>
      </c>
      <c r="R6" s="121" t="s">
        <v>274</v>
      </c>
      <c r="S6" s="139" t="s">
        <v>388</v>
      </c>
      <c r="T6" s="123"/>
      <c r="U6" s="1"/>
      <c r="V6" s="1"/>
      <c r="W6" s="1"/>
      <c r="X6" s="1"/>
      <c r="Y6" s="1"/>
      <c r="Z6" s="1"/>
    </row>
    <row r="7" spans="1:26" x14ac:dyDescent="0.4">
      <c r="A7" s="268" t="s">
        <v>57</v>
      </c>
      <c r="B7" s="269">
        <f t="shared" ref="B7:B23" si="0">C7/6</f>
        <v>45.833333333333336</v>
      </c>
      <c r="C7" s="268">
        <v>275</v>
      </c>
      <c r="D7" s="270">
        <v>44213</v>
      </c>
      <c r="E7" s="270">
        <v>44218</v>
      </c>
      <c r="F7" s="270">
        <v>44309</v>
      </c>
      <c r="G7" s="270">
        <v>44352</v>
      </c>
      <c r="H7" s="270">
        <v>44355</v>
      </c>
      <c r="I7" s="270">
        <v>44361</v>
      </c>
      <c r="J7" s="271">
        <f t="shared" ref="J7:J11" si="1">COUNTIF(D7:I7,"1")</f>
        <v>0</v>
      </c>
      <c r="K7" s="271">
        <f t="shared" ref="K7:K11" si="2">J7*(C7/6)</f>
        <v>0</v>
      </c>
      <c r="L7" s="272">
        <f t="shared" ref="L7:L11" si="3">J7*(C7/6)</f>
        <v>0</v>
      </c>
      <c r="M7" s="270">
        <v>44213</v>
      </c>
      <c r="N7" s="273">
        <f t="shared" ref="N7:N11" si="4">M7+180</f>
        <v>44393</v>
      </c>
      <c r="O7" s="176" t="s">
        <v>135</v>
      </c>
      <c r="P7" s="177" t="s">
        <v>135</v>
      </c>
      <c r="Q7" s="143" t="s">
        <v>295</v>
      </c>
      <c r="R7" s="101" t="s">
        <v>295</v>
      </c>
      <c r="S7" s="139" t="s">
        <v>398</v>
      </c>
      <c r="T7" s="144" t="s">
        <v>411</v>
      </c>
      <c r="U7" s="1"/>
      <c r="V7" s="1"/>
      <c r="W7" s="1"/>
      <c r="X7" s="1"/>
      <c r="Y7" s="1"/>
      <c r="Z7" s="1"/>
    </row>
    <row r="8" spans="1:26" x14ac:dyDescent="0.4">
      <c r="A8" s="5" t="s">
        <v>58</v>
      </c>
      <c r="B8" s="205">
        <f t="shared" si="0"/>
        <v>45.833333333333336</v>
      </c>
      <c r="C8" s="5">
        <v>275</v>
      </c>
      <c r="D8" s="117">
        <v>44218</v>
      </c>
      <c r="E8" s="117">
        <v>44236</v>
      </c>
      <c r="F8" s="117">
        <v>44257</v>
      </c>
      <c r="G8" s="117">
        <v>44281</v>
      </c>
      <c r="H8" s="117">
        <v>44295</v>
      </c>
      <c r="I8" s="117">
        <v>44310</v>
      </c>
      <c r="J8" s="118">
        <f t="shared" si="1"/>
        <v>0</v>
      </c>
      <c r="K8" s="118">
        <f t="shared" si="2"/>
        <v>0</v>
      </c>
      <c r="L8" s="119">
        <f t="shared" si="3"/>
        <v>0</v>
      </c>
      <c r="M8" s="117">
        <v>44218</v>
      </c>
      <c r="N8" s="120">
        <f t="shared" si="4"/>
        <v>44398</v>
      </c>
      <c r="O8" s="84" t="s">
        <v>136</v>
      </c>
      <c r="P8" s="84" t="s">
        <v>136</v>
      </c>
      <c r="Q8" s="105" t="s">
        <v>136</v>
      </c>
      <c r="R8" s="125" t="s">
        <v>188</v>
      </c>
      <c r="S8" s="125" t="s">
        <v>188</v>
      </c>
      <c r="T8" s="144" t="s">
        <v>188</v>
      </c>
      <c r="U8" s="1"/>
      <c r="V8" s="1"/>
      <c r="W8" s="1"/>
      <c r="X8" s="1"/>
      <c r="Y8" s="1"/>
      <c r="Z8" s="1"/>
    </row>
    <row r="9" spans="1:26" x14ac:dyDescent="0.4">
      <c r="A9" s="36" t="s">
        <v>59</v>
      </c>
      <c r="B9" s="134">
        <f t="shared" si="0"/>
        <v>45.833333333333336</v>
      </c>
      <c r="C9" s="36">
        <v>275</v>
      </c>
      <c r="D9" s="59">
        <v>44235</v>
      </c>
      <c r="E9" s="75">
        <v>44259</v>
      </c>
      <c r="F9" s="155">
        <v>44287</v>
      </c>
      <c r="G9" s="37">
        <v>0</v>
      </c>
      <c r="H9" s="262">
        <v>44349</v>
      </c>
      <c r="I9" s="37">
        <v>1</v>
      </c>
      <c r="J9" s="54">
        <f t="shared" si="1"/>
        <v>1</v>
      </c>
      <c r="K9" s="54">
        <f t="shared" si="2"/>
        <v>45.833333333333336</v>
      </c>
      <c r="L9" s="47">
        <f t="shared" si="3"/>
        <v>45.833333333333336</v>
      </c>
      <c r="M9" s="59">
        <v>44235</v>
      </c>
      <c r="N9" s="19">
        <f t="shared" si="4"/>
        <v>44415</v>
      </c>
      <c r="O9" s="94" t="s">
        <v>145</v>
      </c>
      <c r="P9" s="178" t="s">
        <v>159</v>
      </c>
      <c r="Q9" s="125" t="s">
        <v>232</v>
      </c>
      <c r="R9" s="123"/>
      <c r="S9" s="144" t="s">
        <v>232</v>
      </c>
      <c r="T9" s="123"/>
      <c r="U9" s="1"/>
      <c r="V9" s="1"/>
      <c r="W9" s="1"/>
      <c r="X9" s="1"/>
      <c r="Y9" s="1"/>
      <c r="Z9" s="1"/>
    </row>
    <row r="10" spans="1:26" x14ac:dyDescent="0.4">
      <c r="A10" s="36" t="s">
        <v>60</v>
      </c>
      <c r="B10" s="134">
        <f t="shared" si="0"/>
        <v>45.833333333333336</v>
      </c>
      <c r="C10" s="36">
        <v>275</v>
      </c>
      <c r="D10" s="60">
        <v>44236</v>
      </c>
      <c r="E10" s="155">
        <v>44287</v>
      </c>
      <c r="F10" s="278">
        <v>44371</v>
      </c>
      <c r="G10" s="37">
        <v>1</v>
      </c>
      <c r="H10" s="37">
        <v>1</v>
      </c>
      <c r="I10" s="37">
        <v>1</v>
      </c>
      <c r="J10" s="54">
        <f t="shared" si="1"/>
        <v>3</v>
      </c>
      <c r="K10" s="54">
        <f t="shared" si="2"/>
        <v>137.5</v>
      </c>
      <c r="L10" s="47">
        <f t="shared" si="3"/>
        <v>137.5</v>
      </c>
      <c r="M10" s="60">
        <v>44236</v>
      </c>
      <c r="N10" s="19">
        <f t="shared" si="4"/>
        <v>44416</v>
      </c>
      <c r="O10" s="121" t="s">
        <v>148</v>
      </c>
      <c r="P10" s="102" t="s">
        <v>234</v>
      </c>
      <c r="Q10" s="150" t="s">
        <v>431</v>
      </c>
      <c r="R10" s="123"/>
      <c r="S10" s="123"/>
      <c r="T10" s="123"/>
      <c r="U10" s="1"/>
      <c r="V10" s="1"/>
      <c r="W10" s="1"/>
      <c r="X10" s="1"/>
      <c r="Y10" s="1"/>
      <c r="Z10" s="1"/>
    </row>
    <row r="11" spans="1:26" x14ac:dyDescent="0.4">
      <c r="A11" s="36" t="s">
        <v>61</v>
      </c>
      <c r="B11" s="134">
        <f t="shared" si="0"/>
        <v>45.833333333333336</v>
      </c>
      <c r="C11" s="36">
        <v>275</v>
      </c>
      <c r="D11" s="141">
        <v>44285</v>
      </c>
      <c r="E11" s="207">
        <v>44315</v>
      </c>
      <c r="F11" s="278">
        <v>44371</v>
      </c>
      <c r="G11" s="37">
        <v>1</v>
      </c>
      <c r="H11" s="37">
        <v>1</v>
      </c>
      <c r="I11" s="37">
        <v>1</v>
      </c>
      <c r="J11" s="54">
        <f t="shared" si="1"/>
        <v>3</v>
      </c>
      <c r="K11" s="54">
        <f t="shared" si="2"/>
        <v>137.5</v>
      </c>
      <c r="L11" s="47">
        <f t="shared" si="3"/>
        <v>137.5</v>
      </c>
      <c r="M11" s="62">
        <v>44237</v>
      </c>
      <c r="N11" s="19">
        <f t="shared" si="4"/>
        <v>44417</v>
      </c>
      <c r="O11" s="95" t="s">
        <v>149</v>
      </c>
      <c r="P11" s="150" t="s">
        <v>314</v>
      </c>
      <c r="Q11" s="263" t="s">
        <v>314</v>
      </c>
      <c r="R11" s="123"/>
      <c r="S11" s="123"/>
      <c r="T11" s="123"/>
      <c r="U11" s="1"/>
      <c r="V11" s="1"/>
      <c r="W11" s="1"/>
      <c r="X11" s="1"/>
      <c r="Y11" s="1"/>
      <c r="Z11" s="1"/>
    </row>
    <row r="12" spans="1:26" x14ac:dyDescent="0.4">
      <c r="A12" s="36" t="s">
        <v>62</v>
      </c>
      <c r="B12" s="134">
        <f t="shared" si="0"/>
        <v>45.833333333333336</v>
      </c>
      <c r="C12" s="36">
        <v>275</v>
      </c>
      <c r="D12" s="75">
        <v>44248</v>
      </c>
      <c r="E12" s="75">
        <v>44255</v>
      </c>
      <c r="F12" s="207">
        <v>44315</v>
      </c>
      <c r="G12" s="266">
        <v>44360</v>
      </c>
      <c r="H12" s="37">
        <v>1</v>
      </c>
      <c r="I12" s="37">
        <v>1</v>
      </c>
      <c r="J12" s="54">
        <f t="shared" ref="J12:J17" si="5">COUNTIF(D12:I12,"1")</f>
        <v>2</v>
      </c>
      <c r="K12" s="54">
        <f t="shared" ref="K12:K17" si="6">J12*(C12/6)</f>
        <v>91.666666666666671</v>
      </c>
      <c r="L12" s="47">
        <f t="shared" ref="L12:L17" si="7">J12*(C12/6)</f>
        <v>91.666666666666671</v>
      </c>
      <c r="M12" s="75">
        <v>44248</v>
      </c>
      <c r="N12" s="19">
        <f t="shared" ref="N12:N17" si="8">M12+180</f>
        <v>44428</v>
      </c>
      <c r="O12" s="102" t="s">
        <v>164</v>
      </c>
      <c r="P12" s="116" t="s">
        <v>167</v>
      </c>
      <c r="Q12" s="144" t="s">
        <v>167</v>
      </c>
      <c r="R12" s="102" t="s">
        <v>167</v>
      </c>
      <c r="S12" s="123"/>
      <c r="T12" s="123"/>
      <c r="U12" s="1"/>
      <c r="V12" s="1"/>
      <c r="W12" s="1"/>
      <c r="X12" s="1"/>
      <c r="Y12" s="1"/>
      <c r="Z12" s="1"/>
    </row>
    <row r="13" spans="1:26" x14ac:dyDescent="0.4">
      <c r="A13" s="224" t="s">
        <v>63</v>
      </c>
      <c r="B13" s="224">
        <f t="shared" si="0"/>
        <v>50</v>
      </c>
      <c r="C13" s="224">
        <v>300</v>
      </c>
      <c r="D13" s="225">
        <v>44255</v>
      </c>
      <c r="E13" s="226">
        <v>1</v>
      </c>
      <c r="F13" s="226">
        <v>1</v>
      </c>
      <c r="G13" s="226">
        <v>1</v>
      </c>
      <c r="H13" s="226">
        <v>1</v>
      </c>
      <c r="I13" s="226">
        <v>1</v>
      </c>
      <c r="J13" s="227">
        <f t="shared" si="5"/>
        <v>5</v>
      </c>
      <c r="K13" s="227">
        <f t="shared" si="6"/>
        <v>250</v>
      </c>
      <c r="L13" s="228">
        <f t="shared" si="7"/>
        <v>250</v>
      </c>
      <c r="M13" s="225">
        <v>44255</v>
      </c>
      <c r="N13" s="229">
        <f t="shared" si="8"/>
        <v>44435</v>
      </c>
      <c r="O13" s="230" t="s">
        <v>171</v>
      </c>
      <c r="P13" s="231" t="s">
        <v>172</v>
      </c>
      <c r="Q13" s="123"/>
      <c r="R13" s="123"/>
      <c r="S13" s="123"/>
      <c r="T13" s="123"/>
      <c r="U13" s="1"/>
      <c r="V13" s="1"/>
      <c r="W13" s="1"/>
      <c r="X13" s="1"/>
      <c r="Y13" s="1"/>
      <c r="Z13" s="1"/>
    </row>
    <row r="14" spans="1:26" x14ac:dyDescent="0.4">
      <c r="A14" s="36" t="s">
        <v>64</v>
      </c>
      <c r="B14" s="134">
        <f t="shared" si="0"/>
        <v>45.833333333333336</v>
      </c>
      <c r="C14" s="36">
        <v>275</v>
      </c>
      <c r="D14" s="159">
        <v>44292</v>
      </c>
      <c r="E14" s="249">
        <v>44338</v>
      </c>
      <c r="F14" s="37">
        <v>1</v>
      </c>
      <c r="G14" s="37">
        <v>1</v>
      </c>
      <c r="H14" s="37">
        <v>1</v>
      </c>
      <c r="I14" s="37">
        <v>1</v>
      </c>
      <c r="J14" s="54">
        <f t="shared" si="5"/>
        <v>4</v>
      </c>
      <c r="K14" s="54">
        <f t="shared" si="6"/>
        <v>183.33333333333334</v>
      </c>
      <c r="L14" s="47">
        <f t="shared" si="7"/>
        <v>183.33333333333334</v>
      </c>
      <c r="M14" s="97">
        <v>44271</v>
      </c>
      <c r="N14" s="19">
        <f t="shared" si="8"/>
        <v>44451</v>
      </c>
      <c r="O14" s="125" t="s">
        <v>242</v>
      </c>
      <c r="P14" s="101" t="s">
        <v>242</v>
      </c>
      <c r="Q14" s="123"/>
      <c r="R14" s="123"/>
      <c r="S14" s="123"/>
      <c r="T14" s="123"/>
      <c r="U14" s="1"/>
      <c r="V14" s="1"/>
      <c r="W14" s="1"/>
      <c r="X14" s="1"/>
      <c r="Y14" s="1"/>
      <c r="Z14" s="1"/>
    </row>
    <row r="15" spans="1:26" x14ac:dyDescent="0.4">
      <c r="A15" s="5" t="s">
        <v>65</v>
      </c>
      <c r="B15" s="205">
        <f t="shared" si="0"/>
        <v>58.333333333333336</v>
      </c>
      <c r="C15" s="5">
        <v>350</v>
      </c>
      <c r="D15" s="117">
        <v>44289</v>
      </c>
      <c r="E15" s="117">
        <v>44294</v>
      </c>
      <c r="F15" s="117">
        <v>44301</v>
      </c>
      <c r="G15" s="117">
        <v>44304</v>
      </c>
      <c r="H15" s="117">
        <v>44312</v>
      </c>
      <c r="I15" s="117">
        <v>44314</v>
      </c>
      <c r="J15" s="118">
        <f t="shared" si="5"/>
        <v>0</v>
      </c>
      <c r="K15" s="118">
        <f t="shared" si="6"/>
        <v>0</v>
      </c>
      <c r="L15" s="119">
        <f t="shared" si="7"/>
        <v>0</v>
      </c>
      <c r="M15" s="117">
        <v>44283</v>
      </c>
      <c r="N15" s="120">
        <f t="shared" si="8"/>
        <v>44463</v>
      </c>
      <c r="O15" s="125">
        <v>959</v>
      </c>
      <c r="P15" s="142">
        <v>4466</v>
      </c>
      <c r="Q15" s="211" t="s">
        <v>162</v>
      </c>
      <c r="R15" s="121" t="s">
        <v>293</v>
      </c>
      <c r="S15" s="142">
        <v>4466</v>
      </c>
      <c r="T15" s="102" t="s">
        <v>312</v>
      </c>
      <c r="U15" s="1"/>
      <c r="V15" s="1"/>
      <c r="W15" s="1"/>
      <c r="X15" s="1"/>
      <c r="Y15" s="1"/>
      <c r="Z15" s="1"/>
    </row>
    <row r="16" spans="1:26" x14ac:dyDescent="0.4">
      <c r="A16" s="36" t="s">
        <v>66</v>
      </c>
      <c r="B16" s="134">
        <f t="shared" si="0"/>
        <v>45.833333333333336</v>
      </c>
      <c r="C16" s="36">
        <v>275</v>
      </c>
      <c r="D16" s="192">
        <v>44309</v>
      </c>
      <c r="E16" s="256">
        <v>44346</v>
      </c>
      <c r="F16" s="266">
        <v>44359</v>
      </c>
      <c r="G16" s="37">
        <v>1</v>
      </c>
      <c r="H16" s="37">
        <v>1</v>
      </c>
      <c r="I16" s="37">
        <v>1</v>
      </c>
      <c r="J16" s="54">
        <f t="shared" si="5"/>
        <v>3</v>
      </c>
      <c r="K16" s="54">
        <f t="shared" si="6"/>
        <v>137.5</v>
      </c>
      <c r="L16" s="47">
        <f t="shared" si="7"/>
        <v>137.5</v>
      </c>
      <c r="M16" s="138">
        <v>44283</v>
      </c>
      <c r="N16" s="19">
        <f t="shared" si="8"/>
        <v>44463</v>
      </c>
      <c r="O16" s="125">
        <v>2088</v>
      </c>
      <c r="P16" s="115" t="s">
        <v>384</v>
      </c>
      <c r="Q16" s="101">
        <v>2088</v>
      </c>
      <c r="R16" s="123"/>
      <c r="S16" s="123"/>
      <c r="T16" s="123"/>
      <c r="U16" s="1"/>
      <c r="V16" s="1"/>
      <c r="W16" s="1"/>
      <c r="X16" s="1"/>
      <c r="Y16" s="1"/>
      <c r="Z16" s="1"/>
    </row>
    <row r="17" spans="1:26" x14ac:dyDescent="0.4">
      <c r="A17" s="36" t="s">
        <v>67</v>
      </c>
      <c r="B17" s="134">
        <f t="shared" si="0"/>
        <v>45.833333333333336</v>
      </c>
      <c r="C17" s="36">
        <v>275</v>
      </c>
      <c r="D17" s="37">
        <v>1</v>
      </c>
      <c r="E17" s="37">
        <v>1</v>
      </c>
      <c r="F17" s="37">
        <v>1</v>
      </c>
      <c r="G17" s="37">
        <v>1</v>
      </c>
      <c r="H17" s="37">
        <v>1</v>
      </c>
      <c r="I17" s="37">
        <v>1</v>
      </c>
      <c r="J17" s="54">
        <f t="shared" si="5"/>
        <v>6</v>
      </c>
      <c r="K17" s="54">
        <f t="shared" si="6"/>
        <v>275</v>
      </c>
      <c r="L17" s="47">
        <f t="shared" si="7"/>
        <v>275</v>
      </c>
      <c r="M17" s="138">
        <v>44284</v>
      </c>
      <c r="N17" s="19">
        <f t="shared" si="8"/>
        <v>44464</v>
      </c>
      <c r="O17" s="142" t="s">
        <v>194</v>
      </c>
      <c r="P17" s="123"/>
      <c r="Q17" s="123"/>
      <c r="R17" s="123"/>
      <c r="S17" s="123"/>
      <c r="T17" s="123"/>
      <c r="U17" s="1"/>
      <c r="V17" s="1"/>
      <c r="W17" s="1"/>
      <c r="X17" s="1"/>
      <c r="Y17" s="1"/>
      <c r="Z17" s="1"/>
    </row>
    <row r="18" spans="1:26" x14ac:dyDescent="0.4">
      <c r="A18" s="136" t="s">
        <v>196</v>
      </c>
      <c r="B18" s="134">
        <f t="shared" si="0"/>
        <v>58.333333333333336</v>
      </c>
      <c r="C18" s="136">
        <v>350</v>
      </c>
      <c r="D18" s="137">
        <v>0</v>
      </c>
      <c r="E18" s="220">
        <v>44323</v>
      </c>
      <c r="F18" s="137">
        <v>1</v>
      </c>
      <c r="G18" s="137">
        <v>1</v>
      </c>
      <c r="H18" s="137">
        <v>1</v>
      </c>
      <c r="I18" s="137">
        <v>1</v>
      </c>
      <c r="J18" s="54">
        <f t="shared" ref="J18" si="9">COUNTIF(D18:I18,"1")</f>
        <v>4</v>
      </c>
      <c r="K18" s="54">
        <f t="shared" ref="K18" si="10">J18*(C18/6)</f>
        <v>233.33333333333334</v>
      </c>
      <c r="L18" s="47">
        <f t="shared" ref="L18" si="11">J18*(C18/6)</f>
        <v>233.33333333333334</v>
      </c>
      <c r="M18" s="138">
        <v>44284</v>
      </c>
      <c r="N18" s="19">
        <f t="shared" ref="N18" si="12">M18+180</f>
        <v>44464</v>
      </c>
      <c r="O18" s="179" t="s">
        <v>197</v>
      </c>
      <c r="P18" s="102" t="s">
        <v>328</v>
      </c>
      <c r="Q18" s="123"/>
      <c r="R18" s="123"/>
      <c r="S18" s="123"/>
      <c r="T18" s="123"/>
      <c r="U18" s="1"/>
      <c r="V18" s="1"/>
      <c r="W18" s="1"/>
      <c r="X18" s="1"/>
      <c r="Y18" s="1"/>
      <c r="Z18" s="1"/>
    </row>
    <row r="19" spans="1:26" x14ac:dyDescent="0.4">
      <c r="A19" s="136" t="s">
        <v>198</v>
      </c>
      <c r="B19" s="134">
        <f t="shared" si="0"/>
        <v>58.333333333333336</v>
      </c>
      <c r="C19" s="136">
        <v>350</v>
      </c>
      <c r="D19" s="154">
        <v>44286</v>
      </c>
      <c r="E19" s="155">
        <v>44287</v>
      </c>
      <c r="F19" s="247">
        <v>44335</v>
      </c>
      <c r="G19" s="137">
        <v>1</v>
      </c>
      <c r="H19" s="137">
        <v>1</v>
      </c>
      <c r="I19" s="137">
        <v>1</v>
      </c>
      <c r="J19" s="54">
        <f t="shared" ref="J19:J23" si="13">COUNTIF(D19:I19,"1")</f>
        <v>3</v>
      </c>
      <c r="K19" s="54">
        <f t="shared" ref="K19:K23" si="14">J19*(C19/6)</f>
        <v>175</v>
      </c>
      <c r="L19" s="47">
        <f t="shared" ref="L19:L23" si="15">J19*(C19/6)</f>
        <v>175</v>
      </c>
      <c r="M19" s="154">
        <v>44286</v>
      </c>
      <c r="N19" s="19">
        <f t="shared" ref="N19:N23" si="16">M19+180</f>
        <v>44466</v>
      </c>
      <c r="O19" s="125" t="s">
        <v>202</v>
      </c>
      <c r="P19" s="142" t="s">
        <v>231</v>
      </c>
      <c r="Q19" s="121" t="s">
        <v>365</v>
      </c>
      <c r="R19" s="123"/>
      <c r="S19" s="123"/>
      <c r="T19" s="123"/>
      <c r="U19" s="1"/>
      <c r="V19" s="1"/>
      <c r="W19" s="1"/>
      <c r="X19" s="1"/>
      <c r="Y19" s="1"/>
      <c r="Z19" s="1"/>
    </row>
    <row r="20" spans="1:26" x14ac:dyDescent="0.4">
      <c r="A20" s="136" t="s">
        <v>199</v>
      </c>
      <c r="B20" s="134">
        <f t="shared" si="0"/>
        <v>58.333333333333336</v>
      </c>
      <c r="C20" s="152">
        <v>350</v>
      </c>
      <c r="D20" s="154">
        <v>44286</v>
      </c>
      <c r="E20" s="137">
        <v>0</v>
      </c>
      <c r="F20" s="262">
        <v>44352</v>
      </c>
      <c r="G20" s="137">
        <v>1</v>
      </c>
      <c r="H20" s="137">
        <v>1</v>
      </c>
      <c r="I20" s="137">
        <v>1</v>
      </c>
      <c r="J20" s="54">
        <f t="shared" si="13"/>
        <v>3</v>
      </c>
      <c r="K20" s="54">
        <f t="shared" si="14"/>
        <v>175</v>
      </c>
      <c r="L20" s="47">
        <f t="shared" si="15"/>
        <v>175</v>
      </c>
      <c r="M20" s="154">
        <v>44286</v>
      </c>
      <c r="N20" s="19">
        <f t="shared" si="16"/>
        <v>44466</v>
      </c>
      <c r="O20" s="101" t="s">
        <v>203</v>
      </c>
      <c r="P20" s="123"/>
      <c r="Q20" s="139" t="s">
        <v>391</v>
      </c>
      <c r="R20" s="123"/>
      <c r="S20" s="123"/>
      <c r="T20" s="123"/>
      <c r="U20" s="1"/>
      <c r="V20" s="1"/>
      <c r="W20" s="1"/>
      <c r="X20" s="1"/>
      <c r="Y20" s="1"/>
      <c r="Z20" s="1"/>
    </row>
    <row r="21" spans="1:26" x14ac:dyDescent="0.4">
      <c r="A21" s="145" t="s">
        <v>392</v>
      </c>
      <c r="B21" s="134">
        <f t="shared" si="0"/>
        <v>0</v>
      </c>
      <c r="C21" s="136"/>
      <c r="D21" s="262">
        <v>44309</v>
      </c>
      <c r="E21" s="262">
        <v>44324</v>
      </c>
      <c r="F21" s="137">
        <v>1</v>
      </c>
      <c r="G21" s="137">
        <v>1</v>
      </c>
      <c r="H21" s="137">
        <v>1</v>
      </c>
      <c r="I21" s="137">
        <v>1</v>
      </c>
      <c r="J21" s="54">
        <f t="shared" si="13"/>
        <v>4</v>
      </c>
      <c r="K21" s="54">
        <f t="shared" si="14"/>
        <v>0</v>
      </c>
      <c r="L21" s="47">
        <f t="shared" si="15"/>
        <v>0</v>
      </c>
      <c r="M21" s="138"/>
      <c r="N21" s="19">
        <f t="shared" si="16"/>
        <v>180</v>
      </c>
      <c r="O21" s="263" t="s">
        <v>393</v>
      </c>
      <c r="P21" s="263" t="s">
        <v>393</v>
      </c>
      <c r="Q21" s="123"/>
      <c r="R21" s="123"/>
      <c r="S21" s="123"/>
      <c r="T21" s="123"/>
      <c r="U21" s="1"/>
      <c r="V21" s="1"/>
      <c r="W21" s="1"/>
      <c r="X21" s="1"/>
      <c r="Y21" s="1"/>
      <c r="Z21" s="1"/>
    </row>
    <row r="22" spans="1:26" x14ac:dyDescent="0.4">
      <c r="A22" s="136" t="s">
        <v>200</v>
      </c>
      <c r="B22" s="134">
        <f t="shared" si="0"/>
        <v>45.833333333333336</v>
      </c>
      <c r="C22" s="136">
        <v>275</v>
      </c>
      <c r="D22" s="160">
        <v>44293</v>
      </c>
      <c r="E22" s="262">
        <v>44352</v>
      </c>
      <c r="F22" s="137">
        <v>1</v>
      </c>
      <c r="G22" s="137">
        <v>1</v>
      </c>
      <c r="H22" s="137">
        <v>1</v>
      </c>
      <c r="I22" s="137">
        <v>1</v>
      </c>
      <c r="J22" s="54">
        <f t="shared" si="13"/>
        <v>4</v>
      </c>
      <c r="K22" s="54">
        <f t="shared" si="14"/>
        <v>183.33333333333334</v>
      </c>
      <c r="L22" s="47">
        <f t="shared" si="15"/>
        <v>183.33333333333334</v>
      </c>
      <c r="M22" s="160">
        <v>44293</v>
      </c>
      <c r="N22" s="19">
        <f t="shared" si="16"/>
        <v>44473</v>
      </c>
      <c r="O22" s="125" t="s">
        <v>244</v>
      </c>
      <c r="P22" s="142" t="s">
        <v>244</v>
      </c>
      <c r="Q22" s="123"/>
      <c r="R22" s="123"/>
      <c r="S22" s="123"/>
      <c r="T22" s="123"/>
      <c r="U22" s="1"/>
      <c r="V22" s="1"/>
      <c r="W22" s="1"/>
      <c r="X22" s="1"/>
      <c r="Y22" s="1"/>
      <c r="Z22" s="1"/>
    </row>
    <row r="23" spans="1:26" x14ac:dyDescent="0.4">
      <c r="A23" s="136" t="s">
        <v>201</v>
      </c>
      <c r="B23" s="134">
        <f t="shared" si="0"/>
        <v>50</v>
      </c>
      <c r="C23" s="136">
        <v>300</v>
      </c>
      <c r="D23" s="160">
        <v>44293</v>
      </c>
      <c r="E23" s="137">
        <v>0</v>
      </c>
      <c r="F23" s="212">
        <v>44319</v>
      </c>
      <c r="G23" s="257">
        <v>44348</v>
      </c>
      <c r="H23" s="137">
        <v>1</v>
      </c>
      <c r="I23" s="137">
        <v>1</v>
      </c>
      <c r="J23" s="54">
        <f t="shared" si="13"/>
        <v>2</v>
      </c>
      <c r="K23" s="54">
        <f t="shared" si="14"/>
        <v>100</v>
      </c>
      <c r="L23" s="47">
        <f t="shared" si="15"/>
        <v>100</v>
      </c>
      <c r="M23" s="160">
        <v>44293</v>
      </c>
      <c r="N23" s="19">
        <f t="shared" si="16"/>
        <v>44473</v>
      </c>
      <c r="O23" s="101" t="s">
        <v>246</v>
      </c>
      <c r="P23" s="123"/>
      <c r="Q23" s="142" t="s">
        <v>322</v>
      </c>
      <c r="R23" s="102" t="s">
        <v>246</v>
      </c>
      <c r="S23" s="123"/>
      <c r="T23" s="123"/>
      <c r="U23" s="1"/>
      <c r="V23" s="1"/>
      <c r="W23" s="1"/>
      <c r="X23" s="1"/>
      <c r="Y23" s="1"/>
      <c r="Z23" s="1"/>
    </row>
    <row r="24" spans="1:26" x14ac:dyDescent="0.4">
      <c r="A24" s="156" t="s">
        <v>206</v>
      </c>
      <c r="B24" s="134">
        <f t="shared" ref="B24:B29" si="17">C24/6</f>
        <v>58.333333333333336</v>
      </c>
      <c r="C24" s="156">
        <v>350</v>
      </c>
      <c r="D24" s="243">
        <v>44333</v>
      </c>
      <c r="E24" s="157">
        <v>1</v>
      </c>
      <c r="F24" s="157">
        <v>1</v>
      </c>
      <c r="G24" s="157">
        <v>1</v>
      </c>
      <c r="H24" s="157">
        <v>1</v>
      </c>
      <c r="I24" s="157">
        <v>1</v>
      </c>
      <c r="J24" s="54">
        <f t="shared" ref="J24:J29" si="18">COUNTIF(D24:I24,"1")</f>
        <v>5</v>
      </c>
      <c r="K24" s="54">
        <f t="shared" ref="K24:K29" si="19">J24*(C24/6)</f>
        <v>291.66666666666669</v>
      </c>
      <c r="L24" s="47">
        <f t="shared" ref="L24:L29" si="20">J24*(C24/6)</f>
        <v>291.66666666666669</v>
      </c>
      <c r="M24" s="161">
        <v>44294</v>
      </c>
      <c r="N24" s="19">
        <f t="shared" ref="N24:N29" si="21">M24+180</f>
        <v>44474</v>
      </c>
      <c r="O24" s="101" t="s">
        <v>247</v>
      </c>
      <c r="P24" s="144" t="s">
        <v>247</v>
      </c>
      <c r="Q24" s="123"/>
      <c r="R24" s="123"/>
      <c r="S24" s="123"/>
      <c r="T24" s="123"/>
      <c r="U24" s="1"/>
      <c r="V24" s="1"/>
      <c r="W24" s="1"/>
      <c r="X24" s="1"/>
      <c r="Y24" s="1"/>
      <c r="Z24" s="1"/>
    </row>
    <row r="25" spans="1:26" x14ac:dyDescent="0.4">
      <c r="A25" s="156" t="s">
        <v>207</v>
      </c>
      <c r="B25" s="134">
        <f t="shared" si="17"/>
        <v>45.833333333333336</v>
      </c>
      <c r="C25" s="156">
        <v>275</v>
      </c>
      <c r="D25" s="220">
        <v>44324</v>
      </c>
      <c r="E25" s="247">
        <v>44334</v>
      </c>
      <c r="F25" s="157">
        <v>1</v>
      </c>
      <c r="G25" s="157">
        <v>1</v>
      </c>
      <c r="H25" s="157">
        <v>1</v>
      </c>
      <c r="I25" s="157">
        <v>1</v>
      </c>
      <c r="J25" s="54">
        <f t="shared" si="18"/>
        <v>4</v>
      </c>
      <c r="K25" s="54">
        <f t="shared" si="19"/>
        <v>183.33333333333334</v>
      </c>
      <c r="L25" s="47">
        <f t="shared" si="20"/>
        <v>183.33333333333334</v>
      </c>
      <c r="M25" s="162">
        <v>44295</v>
      </c>
      <c r="N25" s="19">
        <f t="shared" si="21"/>
        <v>44475</v>
      </c>
      <c r="O25" s="125" t="s">
        <v>188</v>
      </c>
      <c r="P25" s="144" t="s">
        <v>188</v>
      </c>
      <c r="Q25" s="123"/>
      <c r="R25" s="123"/>
      <c r="S25" s="123"/>
      <c r="T25" s="123"/>
      <c r="U25" s="1"/>
      <c r="V25" s="1"/>
      <c r="W25" s="1"/>
      <c r="X25" s="1"/>
      <c r="Y25" s="1"/>
      <c r="Z25" s="1"/>
    </row>
    <row r="26" spans="1:26" x14ac:dyDescent="0.4">
      <c r="A26" s="156" t="s">
        <v>208</v>
      </c>
      <c r="B26" s="134">
        <f t="shared" si="17"/>
        <v>58.333333333333336</v>
      </c>
      <c r="C26" s="156">
        <v>350</v>
      </c>
      <c r="D26" s="157">
        <v>1</v>
      </c>
      <c r="E26" s="157">
        <v>1</v>
      </c>
      <c r="F26" s="157">
        <v>1</v>
      </c>
      <c r="G26" s="157">
        <v>1</v>
      </c>
      <c r="H26" s="157">
        <v>1</v>
      </c>
      <c r="I26" s="157">
        <v>1</v>
      </c>
      <c r="J26" s="54">
        <f t="shared" si="18"/>
        <v>6</v>
      </c>
      <c r="K26" s="54">
        <f t="shared" si="19"/>
        <v>350</v>
      </c>
      <c r="L26" s="47">
        <f t="shared" si="20"/>
        <v>350</v>
      </c>
      <c r="M26" s="164">
        <v>44298</v>
      </c>
      <c r="N26" s="19">
        <f t="shared" si="21"/>
        <v>44478</v>
      </c>
      <c r="O26" s="183" t="s">
        <v>264</v>
      </c>
      <c r="P26" s="123"/>
      <c r="Q26" s="123"/>
      <c r="R26" s="123"/>
      <c r="S26" s="123"/>
      <c r="T26" s="123"/>
      <c r="U26" s="1"/>
      <c r="V26" s="1"/>
      <c r="W26" s="1"/>
      <c r="X26" s="1"/>
      <c r="Y26" s="1"/>
      <c r="Z26" s="1"/>
    </row>
    <row r="27" spans="1:26" x14ac:dyDescent="0.4">
      <c r="A27" s="156" t="s">
        <v>209</v>
      </c>
      <c r="B27" s="134">
        <f t="shared" si="17"/>
        <v>45.833333333333336</v>
      </c>
      <c r="C27" s="156">
        <v>275</v>
      </c>
      <c r="D27" s="157">
        <v>1</v>
      </c>
      <c r="E27" s="157">
        <v>1</v>
      </c>
      <c r="F27" s="157">
        <v>1</v>
      </c>
      <c r="G27" s="157">
        <v>1</v>
      </c>
      <c r="H27" s="157">
        <v>1</v>
      </c>
      <c r="I27" s="157">
        <v>1</v>
      </c>
      <c r="J27" s="54">
        <f t="shared" si="18"/>
        <v>6</v>
      </c>
      <c r="K27" s="54">
        <f t="shared" si="19"/>
        <v>275</v>
      </c>
      <c r="L27" s="47">
        <f t="shared" si="20"/>
        <v>275</v>
      </c>
      <c r="M27" s="185">
        <v>44300</v>
      </c>
      <c r="N27" s="19">
        <f t="shared" si="21"/>
        <v>44480</v>
      </c>
      <c r="O27" s="142">
        <v>5005</v>
      </c>
      <c r="P27" s="123"/>
      <c r="Q27" s="123"/>
      <c r="R27" s="123"/>
      <c r="S27" s="123"/>
      <c r="T27" s="123"/>
      <c r="U27" s="1"/>
      <c r="V27" s="1"/>
      <c r="W27" s="1"/>
      <c r="X27" s="1"/>
      <c r="Y27" s="1"/>
      <c r="Z27" s="1"/>
    </row>
    <row r="28" spans="1:26" x14ac:dyDescent="0.4">
      <c r="A28" s="156" t="s">
        <v>210</v>
      </c>
      <c r="B28" s="134">
        <f t="shared" si="17"/>
        <v>45.833333333333336</v>
      </c>
      <c r="C28" s="184">
        <v>275</v>
      </c>
      <c r="D28" s="157">
        <v>1</v>
      </c>
      <c r="E28" s="157">
        <v>1</v>
      </c>
      <c r="F28" s="157">
        <v>1</v>
      </c>
      <c r="G28" s="157">
        <v>1</v>
      </c>
      <c r="H28" s="157">
        <v>1</v>
      </c>
      <c r="I28" s="157">
        <v>1</v>
      </c>
      <c r="J28" s="54">
        <f t="shared" si="18"/>
        <v>6</v>
      </c>
      <c r="K28" s="54">
        <f t="shared" si="19"/>
        <v>275</v>
      </c>
      <c r="L28" s="47">
        <f t="shared" si="20"/>
        <v>275</v>
      </c>
      <c r="M28" s="185">
        <v>44300</v>
      </c>
      <c r="N28" s="19">
        <f t="shared" si="21"/>
        <v>44480</v>
      </c>
      <c r="O28" s="121" t="s">
        <v>266</v>
      </c>
      <c r="P28" s="123"/>
      <c r="Q28" s="123"/>
      <c r="R28" s="123"/>
      <c r="S28" s="123"/>
      <c r="T28" s="123"/>
      <c r="U28" s="1"/>
      <c r="V28" s="1"/>
      <c r="W28" s="1"/>
      <c r="X28" s="1"/>
      <c r="Y28" s="1"/>
      <c r="Z28" s="1"/>
    </row>
    <row r="29" spans="1:26" x14ac:dyDescent="0.4">
      <c r="A29" s="156" t="s">
        <v>211</v>
      </c>
      <c r="B29" s="134">
        <f t="shared" si="17"/>
        <v>45.833333333333336</v>
      </c>
      <c r="C29" s="184">
        <v>275</v>
      </c>
      <c r="D29" s="157">
        <v>1</v>
      </c>
      <c r="E29" s="157">
        <v>1</v>
      </c>
      <c r="F29" s="157">
        <v>1</v>
      </c>
      <c r="G29" s="157">
        <v>1</v>
      </c>
      <c r="H29" s="157">
        <v>1</v>
      </c>
      <c r="I29" s="157">
        <v>1</v>
      </c>
      <c r="J29" s="54">
        <f t="shared" si="18"/>
        <v>6</v>
      </c>
      <c r="K29" s="54">
        <f t="shared" si="19"/>
        <v>275</v>
      </c>
      <c r="L29" s="47">
        <f t="shared" si="20"/>
        <v>275</v>
      </c>
      <c r="M29" s="185">
        <v>44300</v>
      </c>
      <c r="N29" s="19">
        <f t="shared" si="21"/>
        <v>44480</v>
      </c>
      <c r="O29" s="115" t="s">
        <v>267</v>
      </c>
      <c r="P29" s="123"/>
      <c r="Q29" s="123"/>
      <c r="R29" s="123"/>
      <c r="S29" s="123"/>
      <c r="T29" s="123"/>
      <c r="U29" s="1"/>
      <c r="V29" s="1"/>
      <c r="W29" s="1"/>
      <c r="X29" s="1"/>
      <c r="Y29" s="1"/>
      <c r="Z29" s="1"/>
    </row>
    <row r="30" spans="1:26" x14ac:dyDescent="0.4">
      <c r="A30" s="156" t="s">
        <v>212</v>
      </c>
      <c r="B30" s="134">
        <f t="shared" ref="B30:B33" si="22">C30/6</f>
        <v>45.833333333333336</v>
      </c>
      <c r="C30" s="187">
        <v>275</v>
      </c>
      <c r="D30" s="157">
        <v>1</v>
      </c>
      <c r="E30" s="157">
        <v>1</v>
      </c>
      <c r="F30" s="157">
        <v>1</v>
      </c>
      <c r="G30" s="157">
        <v>1</v>
      </c>
      <c r="H30" s="157">
        <v>1</v>
      </c>
      <c r="I30" s="157">
        <v>1</v>
      </c>
      <c r="J30" s="54">
        <f t="shared" ref="J30:J33" si="23">COUNTIF(D30:I30,"1")</f>
        <v>6</v>
      </c>
      <c r="K30" s="54">
        <f t="shared" ref="K30:K33" si="24">J30*(C30/6)</f>
        <v>275</v>
      </c>
      <c r="L30" s="47">
        <f t="shared" ref="L30:L33" si="25">J30*(C30/6)</f>
        <v>275</v>
      </c>
      <c r="M30" s="186">
        <v>44302</v>
      </c>
      <c r="N30" s="19">
        <f t="shared" ref="N30:N33" si="26">M30+180</f>
        <v>44482</v>
      </c>
      <c r="O30" s="142" t="s">
        <v>289</v>
      </c>
      <c r="P30" s="123"/>
      <c r="Q30" s="123"/>
      <c r="R30" s="123"/>
      <c r="S30" s="123"/>
      <c r="T30" s="123"/>
      <c r="U30" s="1"/>
      <c r="V30" s="1"/>
      <c r="W30" s="1"/>
      <c r="X30" s="1"/>
      <c r="Y30" s="1"/>
      <c r="Z30" s="1"/>
    </row>
    <row r="31" spans="1:26" x14ac:dyDescent="0.4">
      <c r="A31" s="156" t="s">
        <v>213</v>
      </c>
      <c r="B31" s="134">
        <f t="shared" si="22"/>
        <v>45.833333333333336</v>
      </c>
      <c r="C31" s="221">
        <v>275</v>
      </c>
      <c r="D31" s="220">
        <v>44325</v>
      </c>
      <c r="E31" s="266">
        <v>44358</v>
      </c>
      <c r="F31" s="157">
        <v>1</v>
      </c>
      <c r="G31" s="157">
        <v>1</v>
      </c>
      <c r="H31" s="157">
        <v>1</v>
      </c>
      <c r="I31" s="157">
        <v>1</v>
      </c>
      <c r="J31" s="54">
        <f t="shared" si="23"/>
        <v>4</v>
      </c>
      <c r="K31" s="54">
        <f t="shared" si="24"/>
        <v>183.33333333333334</v>
      </c>
      <c r="L31" s="47">
        <f t="shared" si="25"/>
        <v>183.33333333333334</v>
      </c>
      <c r="M31" s="249">
        <v>44308</v>
      </c>
      <c r="N31" s="19">
        <f t="shared" si="26"/>
        <v>44488</v>
      </c>
      <c r="O31" s="101" t="s">
        <v>325</v>
      </c>
      <c r="P31" s="139" t="s">
        <v>412</v>
      </c>
      <c r="Q31" s="123"/>
      <c r="R31" s="123"/>
      <c r="S31" s="123"/>
      <c r="T31" s="123"/>
      <c r="U31" s="1"/>
      <c r="V31" s="1"/>
      <c r="W31" s="1"/>
      <c r="X31" s="1"/>
      <c r="Y31" s="1"/>
      <c r="Z31" s="1"/>
    </row>
    <row r="32" spans="1:26" x14ac:dyDescent="0.4">
      <c r="A32" s="156" t="s">
        <v>214</v>
      </c>
      <c r="B32" s="134">
        <f t="shared" si="22"/>
        <v>45.833333333333336</v>
      </c>
      <c r="C32" s="250">
        <v>275</v>
      </c>
      <c r="D32" s="157">
        <v>1</v>
      </c>
      <c r="E32" s="157">
        <v>1</v>
      </c>
      <c r="F32" s="157">
        <v>1</v>
      </c>
      <c r="G32" s="157">
        <v>1</v>
      </c>
      <c r="H32" s="157">
        <v>1</v>
      </c>
      <c r="I32" s="157">
        <v>1</v>
      </c>
      <c r="J32" s="54">
        <f t="shared" si="23"/>
        <v>6</v>
      </c>
      <c r="K32" s="54">
        <f t="shared" si="24"/>
        <v>275</v>
      </c>
      <c r="L32" s="47">
        <f t="shared" si="25"/>
        <v>275</v>
      </c>
      <c r="M32" s="249">
        <v>44308</v>
      </c>
      <c r="N32" s="19">
        <f t="shared" si="26"/>
        <v>44488</v>
      </c>
      <c r="O32" s="189" t="s">
        <v>375</v>
      </c>
      <c r="P32" s="123"/>
      <c r="Q32" s="123"/>
      <c r="R32" s="123"/>
      <c r="S32" s="123"/>
      <c r="T32" s="123"/>
      <c r="U32" s="1"/>
      <c r="V32" s="1"/>
      <c r="W32" s="1"/>
      <c r="X32" s="1"/>
      <c r="Y32" s="1"/>
      <c r="Z32" s="1"/>
    </row>
    <row r="33" spans="1:26" x14ac:dyDescent="0.4">
      <c r="A33" s="156" t="s">
        <v>215</v>
      </c>
      <c r="B33" s="134">
        <f t="shared" si="22"/>
        <v>45.833333333333336</v>
      </c>
      <c r="C33" s="156">
        <v>275</v>
      </c>
      <c r="D33" s="157">
        <v>1</v>
      </c>
      <c r="E33" s="157">
        <v>1</v>
      </c>
      <c r="F33" s="157">
        <v>1</v>
      </c>
      <c r="G33" s="157">
        <v>1</v>
      </c>
      <c r="H33" s="157">
        <v>1</v>
      </c>
      <c r="I33" s="157">
        <v>1</v>
      </c>
      <c r="J33" s="54">
        <f t="shared" si="23"/>
        <v>6</v>
      </c>
      <c r="K33" s="54">
        <f t="shared" si="24"/>
        <v>275</v>
      </c>
      <c r="L33" s="47">
        <f t="shared" si="25"/>
        <v>275</v>
      </c>
      <c r="M33" s="159">
        <v>44292</v>
      </c>
      <c r="N33" s="19">
        <f t="shared" si="26"/>
        <v>44472</v>
      </c>
      <c r="O33" s="180" t="s">
        <v>239</v>
      </c>
      <c r="P33" s="123"/>
      <c r="Q33" s="123"/>
      <c r="R33" s="123"/>
      <c r="S33" s="123"/>
      <c r="T33" s="123"/>
      <c r="U33" s="1"/>
      <c r="V33" s="1"/>
      <c r="W33" s="1"/>
      <c r="X33" s="1"/>
      <c r="Y33" s="1"/>
      <c r="Z33" s="1"/>
    </row>
    <row r="34" spans="1:26" x14ac:dyDescent="0.4">
      <c r="A34" s="156" t="s">
        <v>216</v>
      </c>
      <c r="B34" s="134">
        <f t="shared" ref="B34:B37" si="27">C34/6</f>
        <v>0</v>
      </c>
      <c r="C34" s="156"/>
      <c r="D34" s="157">
        <v>1</v>
      </c>
      <c r="E34" s="262">
        <v>44355</v>
      </c>
      <c r="F34" s="157">
        <v>1</v>
      </c>
      <c r="G34" s="157">
        <v>1</v>
      </c>
      <c r="H34" s="157">
        <v>1</v>
      </c>
      <c r="I34" s="157">
        <v>1</v>
      </c>
      <c r="J34" s="54">
        <f t="shared" ref="J34:J37" si="28">COUNTIF(D34:I34,"1")</f>
        <v>5</v>
      </c>
      <c r="K34" s="54">
        <f t="shared" ref="K34:K37" si="29">J34*(C34/6)</f>
        <v>0</v>
      </c>
      <c r="L34" s="47">
        <f t="shared" ref="L34:L37" si="30">J34*(C34/6)</f>
        <v>0</v>
      </c>
      <c r="M34" s="155"/>
      <c r="N34" s="19">
        <f t="shared" ref="N34:N37" si="31">M34+180</f>
        <v>180</v>
      </c>
      <c r="O34" s="123"/>
      <c r="P34" s="150" t="s">
        <v>394</v>
      </c>
      <c r="Q34" s="123"/>
      <c r="R34" s="123"/>
      <c r="S34" s="123"/>
      <c r="T34" s="123"/>
      <c r="U34" s="1"/>
      <c r="V34" s="1"/>
      <c r="W34" s="1"/>
      <c r="X34" s="1"/>
      <c r="Y34" s="1"/>
      <c r="Z34" s="1"/>
    </row>
    <row r="35" spans="1:26" x14ac:dyDescent="0.4">
      <c r="A35" s="156" t="s">
        <v>217</v>
      </c>
      <c r="B35" s="134">
        <f t="shared" si="27"/>
        <v>0</v>
      </c>
      <c r="C35" s="156"/>
      <c r="D35" s="157">
        <v>1</v>
      </c>
      <c r="E35" s="157">
        <v>1</v>
      </c>
      <c r="F35" s="157">
        <v>1</v>
      </c>
      <c r="G35" s="157">
        <v>1</v>
      </c>
      <c r="H35" s="157">
        <v>1</v>
      </c>
      <c r="I35" s="157">
        <v>1</v>
      </c>
      <c r="J35" s="54">
        <f t="shared" si="28"/>
        <v>6</v>
      </c>
      <c r="K35" s="54">
        <f t="shared" si="29"/>
        <v>0</v>
      </c>
      <c r="L35" s="47">
        <f t="shared" si="30"/>
        <v>0</v>
      </c>
      <c r="M35" s="155"/>
      <c r="N35" s="19">
        <f t="shared" si="31"/>
        <v>180</v>
      </c>
      <c r="O35" s="123"/>
      <c r="P35" s="123"/>
      <c r="Q35" s="123"/>
      <c r="R35" s="123"/>
      <c r="S35" s="123"/>
      <c r="T35" s="123"/>
      <c r="U35" s="1"/>
      <c r="V35" s="1"/>
      <c r="W35" s="1"/>
      <c r="X35" s="1"/>
      <c r="Y35" s="1"/>
      <c r="Z35" s="1"/>
    </row>
    <row r="36" spans="1:26" x14ac:dyDescent="0.4">
      <c r="A36" s="156" t="s">
        <v>218</v>
      </c>
      <c r="B36" s="134">
        <f t="shared" si="27"/>
        <v>45.833333333333336</v>
      </c>
      <c r="C36" s="156">
        <v>275</v>
      </c>
      <c r="D36" s="157">
        <v>1</v>
      </c>
      <c r="E36" s="157">
        <v>1</v>
      </c>
      <c r="F36" s="157">
        <v>1</v>
      </c>
      <c r="G36" s="157">
        <v>1</v>
      </c>
      <c r="H36" s="157">
        <v>1</v>
      </c>
      <c r="I36" s="157">
        <v>1</v>
      </c>
      <c r="J36" s="54">
        <f t="shared" si="28"/>
        <v>6</v>
      </c>
      <c r="K36" s="54">
        <f t="shared" si="29"/>
        <v>275</v>
      </c>
      <c r="L36" s="47">
        <f t="shared" si="30"/>
        <v>275</v>
      </c>
      <c r="M36" s="192">
        <v>44309</v>
      </c>
      <c r="N36" s="19">
        <f t="shared" si="31"/>
        <v>44489</v>
      </c>
      <c r="O36" s="142" t="s">
        <v>297</v>
      </c>
      <c r="P36" s="123"/>
      <c r="Q36" s="123"/>
      <c r="R36" s="123"/>
      <c r="S36" s="123"/>
      <c r="T36" s="123"/>
      <c r="U36" s="1"/>
      <c r="V36" s="1"/>
      <c r="W36" s="1"/>
      <c r="X36" s="1"/>
      <c r="Y36" s="1"/>
      <c r="Z36" s="1"/>
    </row>
    <row r="37" spans="1:26" x14ac:dyDescent="0.4">
      <c r="A37" s="156" t="s">
        <v>219</v>
      </c>
      <c r="B37" s="134">
        <f t="shared" si="27"/>
        <v>45.833333333333336</v>
      </c>
      <c r="C37" s="190">
        <v>275</v>
      </c>
      <c r="D37" s="157">
        <v>1</v>
      </c>
      <c r="E37" s="157">
        <v>1</v>
      </c>
      <c r="F37" s="157">
        <v>1</v>
      </c>
      <c r="G37" s="157">
        <v>1</v>
      </c>
      <c r="H37" s="157">
        <v>1</v>
      </c>
      <c r="I37" s="157">
        <v>1</v>
      </c>
      <c r="J37" s="54">
        <f t="shared" si="28"/>
        <v>6</v>
      </c>
      <c r="K37" s="54">
        <f t="shared" si="29"/>
        <v>275</v>
      </c>
      <c r="L37" s="47">
        <f t="shared" si="30"/>
        <v>275</v>
      </c>
      <c r="M37" s="192">
        <v>44310</v>
      </c>
      <c r="N37" s="19">
        <f t="shared" si="31"/>
        <v>44490</v>
      </c>
      <c r="O37" s="204" t="s">
        <v>300</v>
      </c>
      <c r="P37" s="123"/>
      <c r="Q37" s="123"/>
      <c r="R37" s="123"/>
      <c r="S37" s="123"/>
      <c r="T37" s="123"/>
      <c r="U37" s="1"/>
      <c r="V37" s="1"/>
      <c r="W37" s="1"/>
      <c r="X37" s="1"/>
      <c r="Y37" s="1"/>
      <c r="Z37" s="1"/>
    </row>
    <row r="38" spans="1:26" x14ac:dyDescent="0.4">
      <c r="A38" s="190" t="s">
        <v>301</v>
      </c>
      <c r="B38" s="134">
        <f t="shared" ref="B38:B47" si="32">C38/6</f>
        <v>45.833333333333336</v>
      </c>
      <c r="C38" s="190">
        <v>275</v>
      </c>
      <c r="D38" s="192">
        <v>44311</v>
      </c>
      <c r="E38" s="243">
        <v>44331</v>
      </c>
      <c r="F38" s="191">
        <v>1</v>
      </c>
      <c r="G38" s="191">
        <v>1</v>
      </c>
      <c r="H38" s="191">
        <v>1</v>
      </c>
      <c r="I38" s="191">
        <v>1</v>
      </c>
      <c r="J38" s="54">
        <f t="shared" ref="J38:J47" si="33">COUNTIF(D38:I38,"1")</f>
        <v>4</v>
      </c>
      <c r="K38" s="54">
        <f t="shared" ref="K38:K47" si="34">J38*(C38/6)</f>
        <v>183.33333333333334</v>
      </c>
      <c r="L38" s="47">
        <f t="shared" ref="L38:L47" si="35">J38*(C38/6)</f>
        <v>183.33333333333334</v>
      </c>
      <c r="M38" s="192">
        <v>44311</v>
      </c>
      <c r="N38" s="19">
        <f t="shared" ref="N38:N47" si="36">M38+180</f>
        <v>44491</v>
      </c>
      <c r="O38" s="150" t="s">
        <v>311</v>
      </c>
      <c r="P38" s="121" t="s">
        <v>311</v>
      </c>
      <c r="Q38" s="123"/>
      <c r="R38" s="123"/>
      <c r="S38" s="123"/>
      <c r="T38" s="123"/>
      <c r="U38" s="1"/>
      <c r="V38" s="1"/>
      <c r="W38" s="1"/>
      <c r="X38" s="1"/>
      <c r="Y38" s="1"/>
      <c r="Z38" s="1"/>
    </row>
    <row r="39" spans="1:26" x14ac:dyDescent="0.4">
      <c r="A39" s="190" t="s">
        <v>302</v>
      </c>
      <c r="B39" s="134">
        <f t="shared" si="32"/>
        <v>58.333333333333336</v>
      </c>
      <c r="C39" s="190">
        <v>350</v>
      </c>
      <c r="D39" s="257">
        <v>44347</v>
      </c>
      <c r="E39" s="191">
        <v>0</v>
      </c>
      <c r="F39" s="266">
        <v>44360</v>
      </c>
      <c r="G39" s="191">
        <v>1</v>
      </c>
      <c r="H39" s="191">
        <v>1</v>
      </c>
      <c r="I39" s="191">
        <v>1</v>
      </c>
      <c r="J39" s="54">
        <f t="shared" si="33"/>
        <v>3</v>
      </c>
      <c r="K39" s="54">
        <f t="shared" si="34"/>
        <v>175</v>
      </c>
      <c r="L39" s="47">
        <f t="shared" si="35"/>
        <v>175</v>
      </c>
      <c r="M39" s="207">
        <v>44314</v>
      </c>
      <c r="N39" s="19">
        <f t="shared" si="36"/>
        <v>44494</v>
      </c>
      <c r="O39" s="102" t="s">
        <v>312</v>
      </c>
      <c r="P39" s="142" t="s">
        <v>386</v>
      </c>
      <c r="Q39" s="115" t="s">
        <v>424</v>
      </c>
      <c r="R39" s="123"/>
      <c r="S39" s="123"/>
      <c r="T39" s="123"/>
      <c r="U39" s="1"/>
      <c r="V39" s="1"/>
      <c r="W39" s="1"/>
      <c r="X39" s="1"/>
      <c r="Y39" s="1"/>
      <c r="Z39" s="1"/>
    </row>
    <row r="40" spans="1:26" x14ac:dyDescent="0.4">
      <c r="A40" s="190" t="s">
        <v>303</v>
      </c>
      <c r="B40" s="134">
        <f t="shared" si="32"/>
        <v>58.333333333333336</v>
      </c>
      <c r="C40" s="206">
        <v>350</v>
      </c>
      <c r="D40" s="191">
        <v>1</v>
      </c>
      <c r="E40" s="191">
        <v>1</v>
      </c>
      <c r="F40" s="191">
        <v>1</v>
      </c>
      <c r="G40" s="191">
        <v>1</v>
      </c>
      <c r="H40" s="191">
        <v>1</v>
      </c>
      <c r="I40" s="191">
        <v>1</v>
      </c>
      <c r="J40" s="54">
        <f t="shared" si="33"/>
        <v>6</v>
      </c>
      <c r="K40" s="54">
        <f t="shared" si="34"/>
        <v>350</v>
      </c>
      <c r="L40" s="47">
        <f t="shared" si="35"/>
        <v>350</v>
      </c>
      <c r="M40" s="207">
        <v>44315</v>
      </c>
      <c r="N40" s="19">
        <f t="shared" si="36"/>
        <v>44495</v>
      </c>
      <c r="O40" s="102" t="s">
        <v>313</v>
      </c>
      <c r="P40" s="123"/>
      <c r="Q40" s="123"/>
      <c r="R40" s="123"/>
      <c r="S40" s="123"/>
      <c r="T40" s="123"/>
      <c r="U40" s="1"/>
      <c r="V40" s="1"/>
      <c r="W40" s="1"/>
      <c r="X40" s="1"/>
      <c r="Y40" s="1"/>
      <c r="Z40" s="1"/>
    </row>
    <row r="41" spans="1:26" x14ac:dyDescent="0.4">
      <c r="A41" s="190" t="s">
        <v>304</v>
      </c>
      <c r="B41" s="134">
        <f t="shared" si="32"/>
        <v>58.333333333333336</v>
      </c>
      <c r="C41" s="206">
        <v>350</v>
      </c>
      <c r="D41" s="267">
        <v>44362</v>
      </c>
      <c r="E41" s="191">
        <v>1</v>
      </c>
      <c r="F41" s="191">
        <v>1</v>
      </c>
      <c r="G41" s="191">
        <v>1</v>
      </c>
      <c r="H41" s="191">
        <v>1</v>
      </c>
      <c r="I41" s="191">
        <v>1</v>
      </c>
      <c r="J41" s="54">
        <f t="shared" si="33"/>
        <v>5</v>
      </c>
      <c r="K41" s="54">
        <f t="shared" si="34"/>
        <v>291.66666666666669</v>
      </c>
      <c r="L41" s="47">
        <f t="shared" si="35"/>
        <v>291.66666666666669</v>
      </c>
      <c r="M41" s="207">
        <v>44315</v>
      </c>
      <c r="N41" s="19">
        <f t="shared" si="36"/>
        <v>44495</v>
      </c>
      <c r="O41" s="150" t="s">
        <v>315</v>
      </c>
      <c r="P41" s="123"/>
      <c r="Q41" s="123"/>
      <c r="R41" s="123"/>
      <c r="S41" s="123"/>
      <c r="T41" s="123"/>
      <c r="U41" s="1"/>
      <c r="V41" s="1"/>
      <c r="W41" s="1"/>
      <c r="X41" s="1"/>
      <c r="Y41" s="1"/>
      <c r="Z41" s="1"/>
    </row>
    <row r="42" spans="1:26" x14ac:dyDescent="0.4">
      <c r="A42" s="190" t="s">
        <v>305</v>
      </c>
      <c r="B42" s="134">
        <f t="shared" si="32"/>
        <v>45.833333333333336</v>
      </c>
      <c r="C42" s="190">
        <v>275</v>
      </c>
      <c r="D42" s="212">
        <v>44319</v>
      </c>
      <c r="E42" s="191">
        <v>1</v>
      </c>
      <c r="F42" s="191">
        <v>1</v>
      </c>
      <c r="G42" s="191">
        <v>1</v>
      </c>
      <c r="H42" s="191">
        <v>1</v>
      </c>
      <c r="I42" s="191">
        <v>1</v>
      </c>
      <c r="J42" s="54">
        <f t="shared" si="33"/>
        <v>5</v>
      </c>
      <c r="K42" s="54">
        <f t="shared" si="34"/>
        <v>229.16666666666669</v>
      </c>
      <c r="L42" s="47">
        <f t="shared" si="35"/>
        <v>229.16666666666669</v>
      </c>
      <c r="M42" s="212">
        <v>44319</v>
      </c>
      <c r="N42" s="19">
        <f t="shared" si="36"/>
        <v>44499</v>
      </c>
      <c r="O42" s="142" t="s">
        <v>324</v>
      </c>
      <c r="P42" s="123"/>
      <c r="Q42" s="123"/>
      <c r="R42" s="123"/>
      <c r="S42" s="123"/>
      <c r="T42" s="123"/>
      <c r="U42" s="1"/>
      <c r="V42" s="1"/>
      <c r="W42" s="1"/>
      <c r="X42" s="1"/>
      <c r="Y42" s="1"/>
      <c r="Z42" s="1"/>
    </row>
    <row r="43" spans="1:26" x14ac:dyDescent="0.4">
      <c r="A43" s="190" t="s">
        <v>306</v>
      </c>
      <c r="B43" s="134">
        <f t="shared" si="32"/>
        <v>83.333333333333329</v>
      </c>
      <c r="C43" s="190">
        <v>500</v>
      </c>
      <c r="D43" s="220">
        <v>44323</v>
      </c>
      <c r="E43" s="191">
        <v>1</v>
      </c>
      <c r="F43" s="191">
        <v>1</v>
      </c>
      <c r="G43" s="191">
        <v>1</v>
      </c>
      <c r="H43" s="191">
        <v>1</v>
      </c>
      <c r="I43" s="191">
        <v>1</v>
      </c>
      <c r="J43" s="54">
        <f t="shared" si="33"/>
        <v>5</v>
      </c>
      <c r="K43" s="54">
        <f t="shared" si="34"/>
        <v>416.66666666666663</v>
      </c>
      <c r="L43" s="47">
        <f t="shared" si="35"/>
        <v>416.66666666666663</v>
      </c>
      <c r="M43" s="220">
        <v>44323</v>
      </c>
      <c r="N43" s="19">
        <f t="shared" si="36"/>
        <v>44503</v>
      </c>
      <c r="O43" s="142" t="s">
        <v>329</v>
      </c>
      <c r="P43" s="123"/>
      <c r="Q43" s="123"/>
      <c r="R43" s="123"/>
      <c r="S43" s="123"/>
      <c r="T43" s="123"/>
      <c r="U43" s="1"/>
      <c r="V43" s="1"/>
      <c r="W43" s="1"/>
      <c r="X43" s="1"/>
      <c r="Y43" s="1"/>
      <c r="Z43" s="1"/>
    </row>
    <row r="44" spans="1:26" x14ac:dyDescent="0.4">
      <c r="A44" s="190" t="s">
        <v>307</v>
      </c>
      <c r="B44" s="134">
        <f t="shared" si="32"/>
        <v>45.833333333333336</v>
      </c>
      <c r="C44" s="221">
        <v>275</v>
      </c>
      <c r="D44" s="191">
        <v>1</v>
      </c>
      <c r="E44" s="191">
        <v>1</v>
      </c>
      <c r="F44" s="191">
        <v>1</v>
      </c>
      <c r="G44" s="191">
        <v>1</v>
      </c>
      <c r="H44" s="191">
        <v>1</v>
      </c>
      <c r="I44" s="191">
        <v>1</v>
      </c>
      <c r="J44" s="54">
        <f t="shared" si="33"/>
        <v>6</v>
      </c>
      <c r="K44" s="54">
        <f t="shared" si="34"/>
        <v>275</v>
      </c>
      <c r="L44" s="47">
        <f t="shared" si="35"/>
        <v>275</v>
      </c>
      <c r="M44" s="220">
        <v>44325</v>
      </c>
      <c r="N44" s="19">
        <f t="shared" si="36"/>
        <v>44505</v>
      </c>
      <c r="O44" s="102" t="s">
        <v>326</v>
      </c>
      <c r="P44" s="123"/>
      <c r="Q44" s="123"/>
      <c r="R44" s="123"/>
      <c r="S44" s="123"/>
      <c r="T44" s="123"/>
      <c r="U44" s="1"/>
      <c r="V44" s="1"/>
      <c r="W44" s="1"/>
      <c r="X44" s="1"/>
      <c r="Y44" s="1"/>
      <c r="Z44" s="1"/>
    </row>
    <row r="45" spans="1:26" x14ac:dyDescent="0.4">
      <c r="A45" s="190" t="s">
        <v>308</v>
      </c>
      <c r="B45" s="134">
        <f t="shared" si="32"/>
        <v>58.333333333333336</v>
      </c>
      <c r="C45" s="190">
        <v>350</v>
      </c>
      <c r="D45" s="191">
        <v>1</v>
      </c>
      <c r="E45" s="191">
        <v>1</v>
      </c>
      <c r="F45" s="191">
        <v>1</v>
      </c>
      <c r="G45" s="191">
        <v>1</v>
      </c>
      <c r="H45" s="191">
        <v>1</v>
      </c>
      <c r="I45" s="191">
        <v>1</v>
      </c>
      <c r="J45" s="54">
        <f t="shared" si="33"/>
        <v>6</v>
      </c>
      <c r="K45" s="54">
        <f t="shared" si="34"/>
        <v>350</v>
      </c>
      <c r="L45" s="47">
        <f t="shared" si="35"/>
        <v>350</v>
      </c>
      <c r="M45" s="243">
        <v>44330</v>
      </c>
      <c r="N45" s="19">
        <f t="shared" si="36"/>
        <v>44510</v>
      </c>
      <c r="O45" s="144" t="s">
        <v>361</v>
      </c>
      <c r="P45" s="123"/>
      <c r="Q45" s="123"/>
      <c r="R45" s="123"/>
      <c r="S45" s="123"/>
      <c r="T45" s="123"/>
      <c r="U45" s="1"/>
      <c r="V45" s="1"/>
      <c r="W45" s="1"/>
      <c r="X45" s="1"/>
      <c r="Y45" s="1"/>
      <c r="Z45" s="1"/>
    </row>
    <row r="46" spans="1:26" x14ac:dyDescent="0.4">
      <c r="A46" s="190" t="s">
        <v>309</v>
      </c>
      <c r="B46" s="134">
        <f t="shared" si="32"/>
        <v>58.333333333333336</v>
      </c>
      <c r="C46" s="242">
        <v>350</v>
      </c>
      <c r="D46" s="266">
        <v>44359</v>
      </c>
      <c r="E46" s="191">
        <v>1</v>
      </c>
      <c r="F46" s="191">
        <v>1</v>
      </c>
      <c r="G46" s="191">
        <v>1</v>
      </c>
      <c r="H46" s="191">
        <v>1</v>
      </c>
      <c r="I46" s="191">
        <v>1</v>
      </c>
      <c r="J46" s="54">
        <f t="shared" si="33"/>
        <v>5</v>
      </c>
      <c r="K46" s="54">
        <f t="shared" si="34"/>
        <v>291.66666666666669</v>
      </c>
      <c r="L46" s="47">
        <f t="shared" si="35"/>
        <v>291.66666666666669</v>
      </c>
      <c r="M46" s="243">
        <v>44331</v>
      </c>
      <c r="N46" s="19">
        <f t="shared" si="36"/>
        <v>44511</v>
      </c>
      <c r="O46" s="142" t="s">
        <v>363</v>
      </c>
      <c r="P46" s="139" t="s">
        <v>422</v>
      </c>
      <c r="Q46" s="123"/>
      <c r="R46" s="123"/>
      <c r="S46" s="123"/>
      <c r="T46" s="123"/>
      <c r="U46" s="1"/>
      <c r="V46" s="1"/>
      <c r="W46" s="1"/>
      <c r="X46" s="1"/>
      <c r="Y46" s="1"/>
      <c r="Z46" s="1"/>
    </row>
    <row r="47" spans="1:26" x14ac:dyDescent="0.4">
      <c r="A47" s="190" t="s">
        <v>310</v>
      </c>
      <c r="B47" s="134">
        <f t="shared" si="32"/>
        <v>58.333333333333336</v>
      </c>
      <c r="C47" s="190">
        <v>350</v>
      </c>
      <c r="D47" s="243">
        <v>44333</v>
      </c>
      <c r="E47" s="191">
        <v>1</v>
      </c>
      <c r="F47" s="191">
        <v>1</v>
      </c>
      <c r="G47" s="191">
        <v>1</v>
      </c>
      <c r="H47" s="191">
        <v>1</v>
      </c>
      <c r="I47" s="191">
        <v>1</v>
      </c>
      <c r="J47" s="54">
        <f t="shared" si="33"/>
        <v>5</v>
      </c>
      <c r="K47" s="54">
        <f t="shared" si="34"/>
        <v>291.66666666666669</v>
      </c>
      <c r="L47" s="47">
        <f t="shared" si="35"/>
        <v>291.66666666666669</v>
      </c>
      <c r="M47" s="243">
        <v>44333</v>
      </c>
      <c r="N47" s="19">
        <f t="shared" si="36"/>
        <v>44513</v>
      </c>
      <c r="O47" s="139" t="s">
        <v>357</v>
      </c>
      <c r="P47" s="123"/>
      <c r="Q47" s="123"/>
      <c r="R47" s="123"/>
      <c r="S47" s="123"/>
      <c r="T47" s="123"/>
      <c r="U47" s="1"/>
      <c r="V47" s="1"/>
      <c r="W47" s="1"/>
      <c r="X47" s="1"/>
      <c r="Y47" s="1"/>
      <c r="Z47" s="1"/>
    </row>
    <row r="48" spans="1:26" x14ac:dyDescent="0.4">
      <c r="A48" s="5" t="s">
        <v>331</v>
      </c>
      <c r="B48" s="134">
        <f t="shared" ref="B48:B49" si="37">C48/6</f>
        <v>58.333333333333336</v>
      </c>
      <c r="C48" s="222">
        <v>350</v>
      </c>
      <c r="D48" s="232">
        <v>44328</v>
      </c>
      <c r="E48" s="223">
        <v>1</v>
      </c>
      <c r="F48" s="223">
        <v>1</v>
      </c>
      <c r="G48" s="223">
        <v>1</v>
      </c>
      <c r="H48" s="223">
        <v>1</v>
      </c>
      <c r="I48" s="223">
        <v>1</v>
      </c>
      <c r="J48" s="54">
        <f t="shared" ref="J48:J49" si="38">COUNTIF(D48:I48,"1")</f>
        <v>5</v>
      </c>
      <c r="K48" s="54">
        <f t="shared" ref="K48:K49" si="39">J48*(C48/6)</f>
        <v>291.66666666666669</v>
      </c>
      <c r="L48" s="47">
        <f t="shared" ref="L48:L49" si="40">J48*(C48/6)</f>
        <v>291.66666666666669</v>
      </c>
      <c r="M48" s="232">
        <v>44328</v>
      </c>
      <c r="N48" s="19">
        <f t="shared" ref="N48:N49" si="41">M48+180</f>
        <v>44508</v>
      </c>
      <c r="O48" s="144" t="s">
        <v>339</v>
      </c>
      <c r="P48" s="123"/>
      <c r="Q48" s="123"/>
      <c r="R48" s="123"/>
      <c r="S48" s="123"/>
      <c r="T48" s="123"/>
      <c r="U48" s="5" t="s">
        <v>332</v>
      </c>
      <c r="V48" s="5"/>
      <c r="W48" s="1"/>
      <c r="X48" s="1"/>
      <c r="Y48" s="1"/>
      <c r="Z48" s="1"/>
    </row>
    <row r="49" spans="1:26" x14ac:dyDescent="0.4">
      <c r="A49" s="233" t="s">
        <v>333</v>
      </c>
      <c r="B49" s="134">
        <f t="shared" si="37"/>
        <v>58.333333333333336</v>
      </c>
      <c r="C49" s="233">
        <v>350</v>
      </c>
      <c r="D49" s="234">
        <v>1</v>
      </c>
      <c r="E49" s="234">
        <v>1</v>
      </c>
      <c r="F49" s="234">
        <v>1</v>
      </c>
      <c r="G49" s="234">
        <v>1</v>
      </c>
      <c r="H49" s="234">
        <v>1</v>
      </c>
      <c r="I49" s="234">
        <v>1</v>
      </c>
      <c r="J49" s="54">
        <f t="shared" si="38"/>
        <v>6</v>
      </c>
      <c r="K49" s="54">
        <f t="shared" si="39"/>
        <v>350</v>
      </c>
      <c r="L49" s="47">
        <f t="shared" si="40"/>
        <v>350</v>
      </c>
      <c r="M49" s="243">
        <v>44333</v>
      </c>
      <c r="N49" s="19">
        <f t="shared" si="41"/>
        <v>44513</v>
      </c>
      <c r="O49" s="121" t="s">
        <v>356</v>
      </c>
      <c r="P49" s="123"/>
      <c r="Q49" s="123"/>
      <c r="R49" s="123"/>
      <c r="S49" s="123"/>
      <c r="T49" s="123"/>
      <c r="U49" s="1"/>
      <c r="V49" s="1"/>
      <c r="W49" s="1"/>
      <c r="X49" s="1"/>
      <c r="Y49" s="1"/>
      <c r="Z49" s="1"/>
    </row>
    <row r="50" spans="1:26" x14ac:dyDescent="0.4">
      <c r="A50" s="233" t="s">
        <v>334</v>
      </c>
      <c r="B50" s="134">
        <f t="shared" ref="B50:B52" si="42">C50/6</f>
        <v>45.833333333333336</v>
      </c>
      <c r="C50" s="233">
        <v>275</v>
      </c>
      <c r="D50" s="266">
        <v>44358</v>
      </c>
      <c r="E50" s="234">
        <v>1</v>
      </c>
      <c r="F50" s="234">
        <v>1</v>
      </c>
      <c r="G50" s="234">
        <v>1</v>
      </c>
      <c r="H50" s="234">
        <v>1</v>
      </c>
      <c r="I50" s="234">
        <v>1</v>
      </c>
      <c r="J50" s="54">
        <f t="shared" ref="J50:J52" si="43">COUNTIF(D50:I50,"1")</f>
        <v>5</v>
      </c>
      <c r="K50" s="54">
        <f t="shared" ref="K50:K52" si="44">J50*(C50/6)</f>
        <v>229.16666666666669</v>
      </c>
      <c r="L50" s="47">
        <f t="shared" ref="L50:L52" si="45">J50*(C50/6)</f>
        <v>229.16666666666669</v>
      </c>
      <c r="M50" s="256">
        <v>44344</v>
      </c>
      <c r="N50" s="19">
        <f t="shared" ref="N50:N52" si="46">M50+180</f>
        <v>44524</v>
      </c>
      <c r="O50" s="144" t="s">
        <v>380</v>
      </c>
      <c r="P50" s="158" t="s">
        <v>421</v>
      </c>
      <c r="Q50" s="123"/>
      <c r="R50" s="123"/>
      <c r="S50" s="123"/>
      <c r="T50" s="123"/>
      <c r="U50" s="1"/>
      <c r="V50" s="1"/>
      <c r="W50" s="1"/>
      <c r="X50" s="1"/>
      <c r="Y50" s="1"/>
      <c r="Z50" s="1"/>
    </row>
    <row r="51" spans="1:26" x14ac:dyDescent="0.4">
      <c r="A51" s="233" t="s">
        <v>335</v>
      </c>
      <c r="B51" s="134">
        <f t="shared" si="42"/>
        <v>58.333333333333336</v>
      </c>
      <c r="C51" s="233">
        <v>350</v>
      </c>
      <c r="D51" s="234">
        <v>1</v>
      </c>
      <c r="E51" s="234">
        <v>1</v>
      </c>
      <c r="F51" s="234">
        <v>1</v>
      </c>
      <c r="G51" s="234">
        <v>1</v>
      </c>
      <c r="H51" s="234">
        <v>1</v>
      </c>
      <c r="I51" s="234">
        <v>1</v>
      </c>
      <c r="J51" s="54">
        <f t="shared" si="43"/>
        <v>6</v>
      </c>
      <c r="K51" s="54">
        <f t="shared" si="44"/>
        <v>350</v>
      </c>
      <c r="L51" s="47">
        <f t="shared" si="45"/>
        <v>350</v>
      </c>
      <c r="M51" s="256">
        <v>44346</v>
      </c>
      <c r="N51" s="19">
        <f t="shared" si="46"/>
        <v>44526</v>
      </c>
      <c r="O51" s="260" t="s">
        <v>385</v>
      </c>
      <c r="P51" s="123"/>
      <c r="Q51" s="123"/>
      <c r="R51" s="123"/>
      <c r="S51" s="123"/>
      <c r="T51" s="123"/>
      <c r="U51" s="1"/>
      <c r="V51" s="1"/>
      <c r="W51" s="1"/>
      <c r="X51" s="1"/>
      <c r="Y51" s="1"/>
      <c r="Z51" s="1"/>
    </row>
    <row r="52" spans="1:26" x14ac:dyDescent="0.4">
      <c r="A52" s="233" t="s">
        <v>336</v>
      </c>
      <c r="B52" s="134">
        <f t="shared" si="42"/>
        <v>58.333333333333336</v>
      </c>
      <c r="C52" s="258">
        <v>350</v>
      </c>
      <c r="D52" s="234">
        <v>1</v>
      </c>
      <c r="E52" s="234">
        <v>1</v>
      </c>
      <c r="F52" s="234">
        <v>1</v>
      </c>
      <c r="G52" s="234">
        <v>1</v>
      </c>
      <c r="H52" s="234">
        <v>1</v>
      </c>
      <c r="I52" s="234">
        <v>1</v>
      </c>
      <c r="J52" s="54">
        <f t="shared" si="43"/>
        <v>6</v>
      </c>
      <c r="K52" s="54">
        <f t="shared" si="44"/>
        <v>350</v>
      </c>
      <c r="L52" s="47">
        <f t="shared" si="45"/>
        <v>350</v>
      </c>
      <c r="M52" s="257">
        <v>44347</v>
      </c>
      <c r="N52" s="19">
        <f t="shared" si="46"/>
        <v>44527</v>
      </c>
      <c r="O52" s="150" t="s">
        <v>387</v>
      </c>
      <c r="P52" s="123"/>
      <c r="Q52" s="123"/>
      <c r="R52" s="123"/>
      <c r="S52" s="123"/>
      <c r="T52" s="123"/>
      <c r="U52" s="1"/>
      <c r="V52" s="1"/>
      <c r="W52" s="1"/>
      <c r="X52" s="1"/>
      <c r="Y52" s="1"/>
      <c r="Z52" s="1"/>
    </row>
    <row r="53" spans="1:26" x14ac:dyDescent="0.4">
      <c r="A53" s="233" t="s">
        <v>337</v>
      </c>
      <c r="B53" s="134">
        <f t="shared" ref="B53:B54" si="47">C53/6</f>
        <v>58.333333333333336</v>
      </c>
      <c r="C53" s="264">
        <v>350</v>
      </c>
      <c r="D53" s="234">
        <v>1</v>
      </c>
      <c r="E53" s="234">
        <v>1</v>
      </c>
      <c r="F53" s="234">
        <v>1</v>
      </c>
      <c r="G53" s="234">
        <v>1</v>
      </c>
      <c r="H53" s="234">
        <v>1</v>
      </c>
      <c r="I53" s="234">
        <v>1</v>
      </c>
      <c r="J53" s="54">
        <f t="shared" ref="J53:J54" si="48">COUNTIF(D53:I53,"1")</f>
        <v>6</v>
      </c>
      <c r="K53" s="54">
        <f t="shared" ref="K53:K54" si="49">J53*(C53/6)</f>
        <v>350</v>
      </c>
      <c r="L53" s="47">
        <f t="shared" ref="L53:L54" si="50">J53*(C53/6)</f>
        <v>350</v>
      </c>
      <c r="M53" s="266">
        <v>44360</v>
      </c>
      <c r="N53" s="19">
        <f t="shared" ref="N53:N54" si="51">M53+180</f>
        <v>44540</v>
      </c>
      <c r="O53" s="263" t="s">
        <v>425</v>
      </c>
      <c r="P53" s="123"/>
      <c r="Q53" s="123"/>
      <c r="R53" s="123"/>
      <c r="S53" s="123"/>
      <c r="T53" s="123"/>
      <c r="U53" s="1"/>
      <c r="V53" s="1"/>
      <c r="W53" s="1"/>
      <c r="X53" s="1"/>
      <c r="Y53" s="1"/>
      <c r="Z53" s="1"/>
    </row>
    <row r="54" spans="1:26" x14ac:dyDescent="0.4">
      <c r="A54" s="233" t="s">
        <v>338</v>
      </c>
      <c r="B54" s="134">
        <f t="shared" si="47"/>
        <v>0</v>
      </c>
      <c r="C54" s="233"/>
      <c r="D54" s="234">
        <v>1</v>
      </c>
      <c r="E54" s="234">
        <v>1</v>
      </c>
      <c r="F54" s="234">
        <v>1</v>
      </c>
      <c r="G54" s="234">
        <v>1</v>
      </c>
      <c r="H54" s="234">
        <v>1</v>
      </c>
      <c r="I54" s="234">
        <v>1</v>
      </c>
      <c r="J54" s="54">
        <f t="shared" si="48"/>
        <v>6</v>
      </c>
      <c r="K54" s="54">
        <f t="shared" si="49"/>
        <v>0</v>
      </c>
      <c r="L54" s="47">
        <f t="shared" si="50"/>
        <v>0</v>
      </c>
      <c r="M54" s="232"/>
      <c r="N54" s="19">
        <f t="shared" si="51"/>
        <v>180</v>
      </c>
      <c r="O54" s="204"/>
      <c r="P54" s="123"/>
      <c r="Q54" s="123"/>
      <c r="R54" s="123"/>
      <c r="S54" s="123"/>
      <c r="T54" s="123"/>
      <c r="U54" s="1"/>
      <c r="V54" s="1"/>
      <c r="W54" s="1"/>
      <c r="X54" s="1"/>
      <c r="Y54" s="1"/>
      <c r="Z54" s="1"/>
    </row>
    <row r="55" spans="1:26" x14ac:dyDescent="0.4">
      <c r="A55" s="1"/>
      <c r="B55" s="1"/>
      <c r="C55" s="1"/>
      <c r="D55" s="2"/>
      <c r="E55" s="2"/>
      <c r="F55" s="2"/>
      <c r="G55" s="2"/>
      <c r="H55" s="2"/>
      <c r="I55" s="2"/>
      <c r="J55" s="3"/>
      <c r="K55" s="3"/>
      <c r="L55" s="2"/>
      <c r="M55" s="4"/>
      <c r="N55" s="4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4">
      <c r="A56" s="1"/>
      <c r="B56" s="1"/>
      <c r="C56" s="1"/>
      <c r="D56" s="2"/>
      <c r="E56" s="2"/>
      <c r="F56" s="2"/>
      <c r="G56" s="2"/>
      <c r="H56" s="2"/>
      <c r="I56" s="2"/>
      <c r="J56" s="3"/>
      <c r="K56" s="3"/>
      <c r="L56" s="2"/>
      <c r="M56" s="4"/>
      <c r="N56" s="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4">
      <c r="A57" s="1"/>
      <c r="B57" s="1"/>
      <c r="C57" s="1"/>
      <c r="D57" s="2"/>
      <c r="E57" s="2"/>
      <c r="F57" s="2"/>
      <c r="G57" s="2"/>
      <c r="H57" s="2"/>
      <c r="I57" s="2"/>
      <c r="J57" s="3"/>
      <c r="K57" s="3"/>
      <c r="L57" s="2"/>
      <c r="M57" s="4"/>
      <c r="N57" s="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4">
      <c r="A58" s="1"/>
      <c r="B58" s="1"/>
      <c r="C58" s="1"/>
      <c r="D58" s="2"/>
      <c r="E58" s="2"/>
      <c r="F58" s="2"/>
      <c r="G58" s="2"/>
      <c r="H58" s="2"/>
      <c r="I58" s="2"/>
      <c r="J58" s="3"/>
      <c r="K58" s="3"/>
      <c r="L58" s="2"/>
      <c r="M58" s="4"/>
      <c r="N58" s="4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4">
      <c r="A59" s="1"/>
      <c r="B59" s="1"/>
      <c r="C59" s="1"/>
      <c r="D59" s="2"/>
      <c r="E59" s="2"/>
      <c r="F59" s="2"/>
      <c r="G59" s="2"/>
      <c r="H59" s="2"/>
      <c r="I59" s="2"/>
      <c r="J59" s="3"/>
      <c r="K59" s="3"/>
      <c r="L59" s="2"/>
      <c r="M59" s="4"/>
      <c r="N59" s="4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4">
      <c r="A60" s="1"/>
      <c r="B60" s="1"/>
      <c r="C60" s="1"/>
      <c r="D60" s="2"/>
      <c r="E60" s="2"/>
      <c r="F60" s="2"/>
      <c r="G60" s="2"/>
      <c r="H60" s="2"/>
      <c r="I60" s="2"/>
      <c r="J60" s="3"/>
      <c r="K60" s="3"/>
      <c r="L60" s="2"/>
      <c r="M60" s="4"/>
      <c r="N60" s="4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4">
      <c r="A61" s="1"/>
      <c r="B61" s="1"/>
      <c r="C61" s="1"/>
      <c r="D61" s="2"/>
      <c r="E61" s="2"/>
      <c r="F61" s="2"/>
      <c r="G61" s="2"/>
      <c r="H61" s="2"/>
      <c r="I61" s="2"/>
      <c r="J61" s="3"/>
      <c r="K61" s="3"/>
      <c r="L61" s="2"/>
      <c r="M61" s="4"/>
      <c r="N61" s="4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4">
      <c r="A62" s="1"/>
      <c r="B62" s="1"/>
      <c r="C62" s="1"/>
      <c r="D62" s="2"/>
      <c r="E62" s="2"/>
      <c r="F62" s="2"/>
      <c r="G62" s="2"/>
      <c r="H62" s="2"/>
      <c r="I62" s="2"/>
      <c r="J62" s="3"/>
      <c r="K62" s="3"/>
      <c r="L62" s="2"/>
      <c r="M62" s="4"/>
      <c r="N62" s="4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4">
      <c r="A63" s="1"/>
      <c r="B63" s="1"/>
      <c r="C63" s="1"/>
      <c r="D63" s="2"/>
      <c r="E63" s="2"/>
      <c r="F63" s="2"/>
      <c r="G63" s="2"/>
      <c r="H63" s="2"/>
      <c r="I63" s="2"/>
      <c r="J63" s="3"/>
      <c r="K63" s="3"/>
      <c r="L63" s="2"/>
      <c r="M63" s="4"/>
      <c r="N63" s="4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4">
      <c r="A64" s="1"/>
      <c r="B64" s="1"/>
      <c r="C64" s="1"/>
      <c r="D64" s="2"/>
      <c r="E64" s="2"/>
      <c r="F64" s="2"/>
      <c r="G64" s="2"/>
      <c r="H64" s="2"/>
      <c r="I64" s="2"/>
      <c r="J64" s="3"/>
      <c r="K64" s="3"/>
      <c r="L64" s="2"/>
      <c r="M64" s="4"/>
      <c r="N64" s="4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4">
      <c r="A65" s="1"/>
      <c r="B65" s="1"/>
      <c r="C65" s="1"/>
      <c r="D65" s="2"/>
      <c r="E65" s="2"/>
      <c r="F65" s="2"/>
      <c r="G65" s="2"/>
      <c r="H65" s="2"/>
      <c r="I65" s="2"/>
      <c r="J65" s="3"/>
      <c r="K65" s="3"/>
      <c r="L65" s="2"/>
      <c r="M65" s="4"/>
      <c r="N65" s="4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4">
      <c r="A66" s="1"/>
      <c r="B66" s="1"/>
      <c r="C66" s="1"/>
      <c r="D66" s="2"/>
      <c r="E66" s="2"/>
      <c r="F66" s="2"/>
      <c r="G66" s="2"/>
      <c r="H66" s="2"/>
      <c r="I66" s="2"/>
      <c r="J66" s="3"/>
      <c r="K66" s="3"/>
      <c r="L66" s="2"/>
      <c r="M66" s="4"/>
      <c r="N66" s="4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4">
      <c r="A67" s="1"/>
      <c r="B67" s="1"/>
      <c r="C67" s="1"/>
      <c r="D67" s="2"/>
      <c r="E67" s="2"/>
      <c r="F67" s="2"/>
      <c r="G67" s="2"/>
      <c r="H67" s="2"/>
      <c r="I67" s="2"/>
      <c r="J67" s="3"/>
      <c r="K67" s="3"/>
      <c r="L67" s="2"/>
      <c r="M67" s="4"/>
      <c r="N67" s="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4">
      <c r="A68" s="1"/>
      <c r="B68" s="1"/>
      <c r="C68" s="1"/>
      <c r="D68" s="2"/>
      <c r="E68" s="2"/>
      <c r="F68" s="2"/>
      <c r="G68" s="2"/>
      <c r="H68" s="2"/>
      <c r="I68" s="2"/>
      <c r="J68" s="3"/>
      <c r="K68" s="3"/>
      <c r="L68" s="2"/>
      <c r="M68" s="4"/>
      <c r="N68" s="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4">
      <c r="A69" s="1"/>
      <c r="B69" s="1"/>
      <c r="C69" s="1"/>
      <c r="D69" s="2"/>
      <c r="E69" s="2"/>
      <c r="F69" s="2"/>
      <c r="G69" s="2"/>
      <c r="H69" s="2"/>
      <c r="I69" s="2"/>
      <c r="J69" s="3"/>
      <c r="K69" s="3"/>
      <c r="L69" s="2"/>
      <c r="M69" s="4"/>
      <c r="N69" s="4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4">
      <c r="A70" s="1"/>
      <c r="B70" s="1"/>
      <c r="C70" s="1"/>
      <c r="D70" s="2"/>
      <c r="E70" s="2"/>
      <c r="F70" s="2"/>
      <c r="G70" s="2"/>
      <c r="H70" s="2"/>
      <c r="I70" s="2"/>
      <c r="J70" s="3"/>
      <c r="K70" s="3"/>
      <c r="L70" s="2"/>
      <c r="M70" s="4"/>
      <c r="N70" s="4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4">
      <c r="A71" s="1"/>
      <c r="B71" s="1"/>
      <c r="C71" s="1"/>
      <c r="D71" s="2"/>
      <c r="E71" s="2"/>
      <c r="F71" s="2"/>
      <c r="G71" s="2"/>
      <c r="H71" s="2"/>
      <c r="I71" s="2"/>
      <c r="J71" s="3"/>
      <c r="K71" s="3"/>
      <c r="L71" s="2"/>
      <c r="M71" s="4"/>
      <c r="N71" s="4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4">
      <c r="A72" s="1"/>
      <c r="B72" s="1"/>
      <c r="C72" s="1"/>
      <c r="D72" s="2"/>
      <c r="E72" s="2"/>
      <c r="F72" s="2"/>
      <c r="G72" s="2"/>
      <c r="H72" s="2"/>
      <c r="I72" s="2"/>
      <c r="J72" s="3"/>
      <c r="K72" s="3"/>
      <c r="L72" s="2"/>
      <c r="M72" s="4"/>
      <c r="N72" s="4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4">
      <c r="A73" s="1"/>
      <c r="B73" s="1"/>
      <c r="C73" s="1"/>
      <c r="D73" s="2"/>
      <c r="E73" s="2"/>
      <c r="F73" s="2"/>
      <c r="G73" s="2"/>
      <c r="H73" s="2"/>
      <c r="I73" s="2"/>
      <c r="J73" s="3"/>
      <c r="K73" s="3"/>
      <c r="L73" s="2"/>
      <c r="M73" s="4"/>
      <c r="N73" s="4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4">
      <c r="A74" s="1"/>
      <c r="B74" s="1"/>
      <c r="C74" s="1"/>
      <c r="D74" s="2"/>
      <c r="E74" s="2"/>
      <c r="F74" s="2"/>
      <c r="G74" s="2"/>
      <c r="H74" s="2"/>
      <c r="I74" s="2"/>
      <c r="J74" s="3"/>
      <c r="K74" s="3"/>
      <c r="L74" s="2"/>
      <c r="M74" s="4"/>
      <c r="N74" s="4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4">
      <c r="A75" s="1"/>
      <c r="B75" s="1"/>
      <c r="C75" s="1"/>
      <c r="D75" s="2"/>
      <c r="E75" s="2"/>
      <c r="F75" s="2"/>
      <c r="G75" s="2"/>
      <c r="H75" s="2"/>
      <c r="I75" s="2"/>
      <c r="J75" s="3"/>
      <c r="K75" s="3"/>
      <c r="L75" s="2"/>
      <c r="M75" s="4"/>
      <c r="N75" s="4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4">
      <c r="A76" s="1"/>
      <c r="B76" s="1"/>
      <c r="C76" s="1"/>
      <c r="D76" s="2"/>
      <c r="E76" s="2"/>
      <c r="F76" s="2"/>
      <c r="G76" s="2"/>
      <c r="H76" s="2"/>
      <c r="I76" s="2"/>
      <c r="J76" s="3"/>
      <c r="K76" s="3"/>
      <c r="L76" s="2"/>
      <c r="M76" s="4"/>
      <c r="N76" s="4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4">
      <c r="A77" s="286"/>
      <c r="B77" s="279"/>
      <c r="C77" s="279"/>
      <c r="D77" s="2"/>
      <c r="E77" s="2"/>
      <c r="F77" s="2"/>
      <c r="G77" s="2"/>
      <c r="H77" s="2"/>
      <c r="I77" s="2"/>
      <c r="J77" s="287"/>
      <c r="K77" s="287"/>
      <c r="L77" s="287"/>
      <c r="M77" s="288"/>
      <c r="N77" s="288"/>
      <c r="O77" s="289"/>
      <c r="P77" s="289"/>
      <c r="Q77" s="289"/>
      <c r="R77" s="289"/>
      <c r="S77" s="289"/>
      <c r="T77" s="289"/>
      <c r="U77" s="289"/>
      <c r="V77" s="289"/>
      <c r="W77" s="1"/>
      <c r="X77" s="1"/>
      <c r="Y77" s="1"/>
      <c r="Z77" s="1"/>
    </row>
    <row r="78" spans="1:26" x14ac:dyDescent="0.4">
      <c r="A78" s="286"/>
      <c r="B78" s="279"/>
      <c r="C78" s="279"/>
      <c r="D78" s="2"/>
      <c r="E78" s="2"/>
      <c r="F78" s="2"/>
      <c r="G78" s="2"/>
      <c r="H78" s="2"/>
      <c r="I78" s="2"/>
      <c r="J78" s="287"/>
      <c r="K78" s="287"/>
      <c r="L78" s="287"/>
      <c r="M78" s="288"/>
      <c r="N78" s="288"/>
      <c r="O78" s="289"/>
      <c r="P78" s="289"/>
      <c r="Q78" s="289"/>
      <c r="R78" s="289"/>
      <c r="S78" s="289"/>
      <c r="T78" s="289"/>
      <c r="U78" s="289"/>
      <c r="V78" s="289"/>
      <c r="W78" s="1"/>
      <c r="X78" s="1"/>
      <c r="Y78" s="1"/>
      <c r="Z78" s="1"/>
    </row>
    <row r="79" spans="1:26" x14ac:dyDescent="0.4">
      <c r="A79" s="1"/>
      <c r="B79" s="1"/>
      <c r="C79" s="1"/>
      <c r="D79" s="2"/>
      <c r="E79" s="2"/>
      <c r="F79" s="2"/>
      <c r="G79" s="2"/>
      <c r="H79" s="2"/>
      <c r="I79" s="2"/>
      <c r="J79" s="3"/>
      <c r="K79" s="3"/>
      <c r="L79" s="2"/>
      <c r="M79" s="4"/>
      <c r="N79" s="4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4">
      <c r="A80" s="1"/>
      <c r="B80" s="1"/>
      <c r="C80" s="1"/>
      <c r="D80" s="2"/>
      <c r="E80" s="2"/>
      <c r="F80" s="2"/>
      <c r="G80" s="2"/>
      <c r="H80" s="2"/>
      <c r="I80" s="2"/>
      <c r="J80" s="3"/>
      <c r="K80" s="3"/>
      <c r="L80" s="2"/>
      <c r="M80" s="4"/>
      <c r="N80" s="4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4">
      <c r="A81" s="1"/>
      <c r="B81" s="1"/>
      <c r="C81" s="1"/>
      <c r="D81" s="2"/>
      <c r="E81" s="2"/>
      <c r="F81" s="2"/>
      <c r="G81" s="2"/>
      <c r="H81" s="2"/>
      <c r="I81" s="2"/>
      <c r="J81" s="3"/>
      <c r="K81" s="3"/>
      <c r="L81" s="2"/>
      <c r="M81" s="4"/>
      <c r="N81" s="4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4">
      <c r="A82" s="1"/>
      <c r="B82" s="1"/>
      <c r="C82" s="1"/>
      <c r="D82" s="2"/>
      <c r="E82" s="2"/>
      <c r="F82" s="2"/>
      <c r="G82" s="2"/>
      <c r="H82" s="2"/>
      <c r="I82" s="2"/>
      <c r="J82" s="3"/>
      <c r="K82" s="3"/>
      <c r="L82" s="2"/>
      <c r="M82" s="4"/>
      <c r="N82" s="4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4">
      <c r="A83" s="1"/>
      <c r="B83" s="1"/>
      <c r="C83" s="1"/>
      <c r="D83" s="2"/>
      <c r="E83" s="2"/>
      <c r="F83" s="2"/>
      <c r="G83" s="2"/>
      <c r="H83" s="2"/>
      <c r="I83" s="2"/>
      <c r="J83" s="3"/>
      <c r="K83" s="3"/>
      <c r="L83" s="2"/>
      <c r="M83" s="4"/>
      <c r="N83" s="4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4">
      <c r="A84" s="1"/>
      <c r="B84" s="1"/>
      <c r="C84" s="1"/>
      <c r="D84" s="2"/>
      <c r="E84" s="2"/>
      <c r="F84" s="2"/>
      <c r="G84" s="2"/>
      <c r="H84" s="2"/>
      <c r="I84" s="2"/>
      <c r="J84" s="3"/>
      <c r="K84" s="3"/>
      <c r="L84" s="2"/>
      <c r="M84" s="4"/>
      <c r="N84" s="4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4">
      <c r="A85" s="1"/>
      <c r="B85" s="1"/>
      <c r="C85" s="1"/>
      <c r="D85" s="2"/>
      <c r="E85" s="2"/>
      <c r="F85" s="2"/>
      <c r="G85" s="2"/>
      <c r="H85" s="2"/>
      <c r="I85" s="2"/>
      <c r="J85" s="3"/>
      <c r="K85" s="3"/>
      <c r="L85" s="2"/>
      <c r="M85" s="4"/>
      <c r="N85" s="4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4">
      <c r="A86" s="1"/>
      <c r="B86" s="1"/>
      <c r="C86" s="1"/>
      <c r="D86" s="2"/>
      <c r="E86" s="2"/>
      <c r="F86" s="2"/>
      <c r="G86" s="2"/>
      <c r="H86" s="2"/>
      <c r="I86" s="2"/>
      <c r="J86" s="3"/>
      <c r="K86" s="3"/>
      <c r="L86" s="2"/>
      <c r="M86" s="4"/>
      <c r="N86" s="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4">
      <c r="A87" s="1"/>
      <c r="B87" s="1"/>
      <c r="C87" s="1"/>
      <c r="D87" s="2"/>
      <c r="E87" s="2"/>
      <c r="F87" s="2"/>
      <c r="G87" s="2"/>
      <c r="H87" s="2"/>
      <c r="I87" s="2"/>
      <c r="J87" s="3"/>
      <c r="K87" s="3"/>
      <c r="L87" s="2"/>
      <c r="M87" s="4"/>
      <c r="N87" s="4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4">
      <c r="A88" s="1"/>
      <c r="B88" s="1"/>
      <c r="C88" s="1"/>
      <c r="D88" s="2"/>
      <c r="E88" s="2"/>
      <c r="F88" s="2"/>
      <c r="G88" s="2"/>
      <c r="H88" s="2"/>
      <c r="I88" s="2"/>
      <c r="J88" s="3"/>
      <c r="K88" s="3"/>
      <c r="L88" s="2"/>
      <c r="M88" s="4"/>
      <c r="N88" s="4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4">
      <c r="A89" s="1"/>
      <c r="B89" s="1"/>
      <c r="C89" s="1"/>
      <c r="D89" s="2"/>
      <c r="E89" s="2"/>
      <c r="F89" s="2"/>
      <c r="G89" s="2"/>
      <c r="H89" s="2"/>
      <c r="I89" s="2"/>
      <c r="J89" s="3"/>
      <c r="K89" s="3"/>
      <c r="L89" s="2"/>
      <c r="M89" s="4"/>
      <c r="N89" s="4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4">
      <c r="A90" s="1"/>
      <c r="B90" s="1"/>
      <c r="C90" s="1"/>
      <c r="D90" s="2"/>
      <c r="E90" s="2"/>
      <c r="F90" s="2"/>
      <c r="G90" s="2"/>
      <c r="H90" s="2"/>
      <c r="I90" s="2"/>
      <c r="J90" s="3"/>
      <c r="K90" s="3"/>
      <c r="L90" s="2"/>
      <c r="M90" s="4"/>
      <c r="N90" s="4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4">
      <c r="A91" s="1"/>
      <c r="B91" s="1"/>
      <c r="C91" s="1"/>
      <c r="D91" s="2"/>
      <c r="E91" s="2"/>
      <c r="F91" s="2"/>
      <c r="G91" s="2"/>
      <c r="H91" s="2"/>
      <c r="I91" s="2"/>
      <c r="J91" s="3"/>
      <c r="K91" s="3"/>
      <c r="L91" s="2"/>
      <c r="M91" s="4"/>
      <c r="N91" s="4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4">
      <c r="A92" s="1"/>
      <c r="B92" s="1"/>
      <c r="C92" s="1"/>
      <c r="D92" s="2"/>
      <c r="E92" s="2"/>
      <c r="F92" s="2"/>
      <c r="G92" s="2"/>
      <c r="H92" s="2"/>
      <c r="I92" s="2"/>
      <c r="J92" s="3"/>
      <c r="K92" s="3"/>
      <c r="L92" s="2"/>
      <c r="M92" s="4"/>
      <c r="N92" s="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4">
      <c r="A93" s="1"/>
      <c r="B93" s="1"/>
      <c r="C93" s="1"/>
      <c r="D93" s="2"/>
      <c r="E93" s="2"/>
      <c r="F93" s="2"/>
      <c r="G93" s="2"/>
      <c r="H93" s="2"/>
      <c r="I93" s="2"/>
      <c r="J93" s="3"/>
      <c r="K93" s="3"/>
      <c r="L93" s="2"/>
      <c r="M93" s="4"/>
      <c r="N93" s="4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4">
      <c r="A94" s="1"/>
      <c r="B94" s="1"/>
      <c r="C94" s="1"/>
      <c r="D94" s="2"/>
      <c r="E94" s="2"/>
      <c r="F94" s="2"/>
      <c r="G94" s="2"/>
      <c r="H94" s="2"/>
      <c r="I94" s="2"/>
      <c r="J94" s="3"/>
      <c r="K94" s="3"/>
      <c r="L94" s="2"/>
      <c r="M94" s="4"/>
      <c r="N94" s="4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4">
      <c r="A95" s="1"/>
      <c r="B95" s="1"/>
      <c r="C95" s="1"/>
      <c r="D95" s="2"/>
      <c r="E95" s="2"/>
      <c r="F95" s="2"/>
      <c r="G95" s="2"/>
      <c r="H95" s="2"/>
      <c r="I95" s="2"/>
      <c r="J95" s="3"/>
      <c r="K95" s="3"/>
      <c r="L95" s="2"/>
      <c r="M95" s="4"/>
      <c r="N95" s="4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4">
      <c r="A96" s="1"/>
      <c r="B96" s="1"/>
      <c r="C96" s="1"/>
      <c r="D96" s="2"/>
      <c r="E96" s="2"/>
      <c r="F96" s="2"/>
      <c r="G96" s="2"/>
      <c r="H96" s="2"/>
      <c r="I96" s="2"/>
      <c r="J96" s="3"/>
      <c r="K96" s="3"/>
      <c r="L96" s="2"/>
      <c r="M96" s="4"/>
      <c r="N96" s="4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4">
      <c r="A97" s="1"/>
      <c r="B97" s="1"/>
      <c r="C97" s="1"/>
      <c r="D97" s="2"/>
      <c r="E97" s="2"/>
      <c r="F97" s="2"/>
      <c r="G97" s="2"/>
      <c r="H97" s="2"/>
      <c r="I97" s="2"/>
      <c r="J97" s="3"/>
      <c r="K97" s="3"/>
      <c r="L97" s="2"/>
      <c r="M97" s="4"/>
      <c r="N97" s="4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4">
      <c r="A98" s="1"/>
      <c r="B98" s="1"/>
      <c r="C98" s="1"/>
      <c r="D98" s="2"/>
      <c r="E98" s="2"/>
      <c r="F98" s="2"/>
      <c r="G98" s="2"/>
      <c r="H98" s="2"/>
      <c r="I98" s="2"/>
      <c r="J98" s="3"/>
      <c r="K98" s="3"/>
      <c r="L98" s="2"/>
      <c r="M98" s="4"/>
      <c r="N98" s="4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4">
      <c r="A99" s="1"/>
      <c r="B99" s="1"/>
      <c r="C99" s="1"/>
      <c r="D99" s="2"/>
      <c r="E99" s="2"/>
      <c r="F99" s="2"/>
      <c r="G99" s="2"/>
      <c r="H99" s="2"/>
      <c r="I99" s="2"/>
      <c r="J99" s="3"/>
      <c r="K99" s="3"/>
      <c r="L99" s="2"/>
      <c r="M99" s="4"/>
      <c r="N99" s="4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4">
      <c r="A100" s="1"/>
      <c r="B100" s="1"/>
      <c r="C100" s="1"/>
      <c r="D100" s="2"/>
      <c r="E100" s="2"/>
      <c r="F100" s="2"/>
      <c r="G100" s="2"/>
      <c r="H100" s="2"/>
      <c r="I100" s="2"/>
      <c r="J100" s="3"/>
      <c r="K100" s="3"/>
      <c r="L100" s="2"/>
      <c r="M100" s="4"/>
      <c r="N100" s="4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4">
      <c r="A101" s="1"/>
      <c r="B101" s="1"/>
      <c r="C101" s="1"/>
      <c r="D101" s="2"/>
      <c r="E101" s="2"/>
      <c r="F101" s="2"/>
      <c r="G101" s="2"/>
      <c r="H101" s="2"/>
      <c r="I101" s="2"/>
      <c r="J101" s="3"/>
      <c r="K101" s="3"/>
      <c r="L101" s="2"/>
      <c r="M101" s="4"/>
      <c r="N101" s="4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4">
      <c r="A102" s="1"/>
      <c r="B102" s="1"/>
      <c r="C102" s="1"/>
      <c r="D102" s="2"/>
      <c r="E102" s="2"/>
      <c r="F102" s="2"/>
      <c r="G102" s="2"/>
      <c r="H102" s="2"/>
      <c r="I102" s="2"/>
      <c r="J102" s="3"/>
      <c r="K102" s="3"/>
      <c r="L102" s="2"/>
      <c r="M102" s="4"/>
      <c r="N102" s="4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4">
      <c r="A103" s="1"/>
      <c r="B103" s="1"/>
      <c r="C103" s="1"/>
      <c r="D103" s="2"/>
      <c r="E103" s="2"/>
      <c r="F103" s="2"/>
      <c r="G103" s="2"/>
      <c r="H103" s="2"/>
      <c r="I103" s="2"/>
      <c r="J103" s="3"/>
      <c r="K103" s="3"/>
      <c r="L103" s="2"/>
      <c r="M103" s="4"/>
      <c r="N103" s="4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4">
      <c r="A104" s="1"/>
      <c r="B104" s="1"/>
      <c r="C104" s="1"/>
      <c r="D104" s="2"/>
      <c r="E104" s="2"/>
      <c r="F104" s="2"/>
      <c r="G104" s="2"/>
      <c r="H104" s="2"/>
      <c r="I104" s="2"/>
      <c r="J104" s="3"/>
      <c r="K104" s="3"/>
      <c r="L104" s="2"/>
      <c r="M104" s="4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4">
      <c r="A105" s="1"/>
      <c r="B105" s="1"/>
      <c r="C105" s="1"/>
      <c r="D105" s="2"/>
      <c r="E105" s="2"/>
      <c r="F105" s="2"/>
      <c r="G105" s="2"/>
      <c r="H105" s="2"/>
      <c r="I105" s="2"/>
      <c r="J105" s="3"/>
      <c r="K105" s="3"/>
      <c r="L105" s="2"/>
      <c r="M105" s="4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4">
      <c r="A106" s="1"/>
      <c r="B106" s="1"/>
      <c r="C106" s="1"/>
      <c r="D106" s="2"/>
      <c r="E106" s="2"/>
      <c r="F106" s="2"/>
      <c r="G106" s="2"/>
      <c r="H106" s="2"/>
      <c r="I106" s="2"/>
      <c r="J106" s="3"/>
      <c r="K106" s="3"/>
      <c r="L106" s="2"/>
      <c r="M106" s="4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4">
      <c r="A107" s="1"/>
      <c r="B107" s="1"/>
      <c r="C107" s="1"/>
      <c r="D107" s="2"/>
      <c r="E107" s="2"/>
      <c r="F107" s="2"/>
      <c r="G107" s="2"/>
      <c r="H107" s="2"/>
      <c r="I107" s="2"/>
      <c r="J107" s="3"/>
      <c r="K107" s="3"/>
      <c r="L107" s="2"/>
      <c r="M107" s="4"/>
      <c r="N107" s="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4">
      <c r="A108" s="1"/>
      <c r="B108" s="1"/>
      <c r="C108" s="1"/>
      <c r="D108" s="2"/>
      <c r="E108" s="2"/>
      <c r="F108" s="2"/>
      <c r="G108" s="2"/>
      <c r="H108" s="2"/>
      <c r="I108" s="2"/>
      <c r="J108" s="3"/>
      <c r="K108" s="3"/>
      <c r="L108" s="2"/>
      <c r="M108" s="4"/>
      <c r="N108" s="4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4">
      <c r="A109" s="1"/>
      <c r="B109" s="1"/>
      <c r="C109" s="1"/>
      <c r="D109" s="2"/>
      <c r="E109" s="2"/>
      <c r="F109" s="2"/>
      <c r="G109" s="2"/>
      <c r="H109" s="2"/>
      <c r="I109" s="2"/>
      <c r="J109" s="3"/>
      <c r="K109" s="3"/>
      <c r="L109" s="2"/>
      <c r="M109" s="4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4">
      <c r="A110" s="1"/>
      <c r="B110" s="1"/>
      <c r="C110" s="1"/>
      <c r="D110" s="2"/>
      <c r="E110" s="2"/>
      <c r="F110" s="2"/>
      <c r="G110" s="2"/>
      <c r="H110" s="2"/>
      <c r="I110" s="2"/>
      <c r="J110" s="3"/>
      <c r="K110" s="3"/>
      <c r="L110" s="2"/>
      <c r="M110" s="4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4">
      <c r="A111" s="1"/>
      <c r="B111" s="1"/>
      <c r="C111" s="1"/>
      <c r="D111" s="2"/>
      <c r="E111" s="2"/>
      <c r="F111" s="2"/>
      <c r="G111" s="2"/>
      <c r="H111" s="2"/>
      <c r="I111" s="2"/>
      <c r="J111" s="3"/>
      <c r="K111" s="3"/>
      <c r="L111" s="2"/>
      <c r="M111" s="4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4">
      <c r="A112" s="1"/>
      <c r="B112" s="1"/>
      <c r="C112" s="1"/>
      <c r="D112" s="2"/>
      <c r="E112" s="2"/>
      <c r="F112" s="2"/>
      <c r="G112" s="2"/>
      <c r="H112" s="2"/>
      <c r="I112" s="2"/>
      <c r="J112" s="3"/>
      <c r="K112" s="3"/>
      <c r="L112" s="2"/>
      <c r="M112" s="4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4">
      <c r="A113" s="1"/>
      <c r="B113" s="1"/>
      <c r="C113" s="1"/>
      <c r="D113" s="2"/>
      <c r="E113" s="2"/>
      <c r="F113" s="2"/>
      <c r="G113" s="2"/>
      <c r="H113" s="2"/>
      <c r="I113" s="2"/>
      <c r="J113" s="3"/>
      <c r="K113" s="3"/>
      <c r="L113" s="2"/>
      <c r="M113" s="4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4">
      <c r="A114" s="1"/>
      <c r="B114" s="1"/>
      <c r="C114" s="1"/>
      <c r="D114" s="2"/>
      <c r="E114" s="2"/>
      <c r="F114" s="2"/>
      <c r="G114" s="2"/>
      <c r="H114" s="2"/>
      <c r="I114" s="2"/>
      <c r="J114" s="3"/>
      <c r="K114" s="3"/>
      <c r="L114" s="2"/>
      <c r="M114" s="4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4">
      <c r="A115" s="1"/>
      <c r="B115" s="1"/>
      <c r="C115" s="1"/>
      <c r="D115" s="2"/>
      <c r="E115" s="2"/>
      <c r="F115" s="2"/>
      <c r="G115" s="2"/>
      <c r="H115" s="2"/>
      <c r="I115" s="2"/>
      <c r="J115" s="3"/>
      <c r="K115" s="3"/>
      <c r="L115" s="2"/>
      <c r="M115" s="4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4">
      <c r="A116" s="1"/>
      <c r="B116" s="1"/>
      <c r="C116" s="1"/>
      <c r="D116" s="2"/>
      <c r="E116" s="2"/>
      <c r="F116" s="2"/>
      <c r="G116" s="2"/>
      <c r="H116" s="2"/>
      <c r="I116" s="2"/>
      <c r="J116" s="3"/>
      <c r="K116" s="3"/>
      <c r="L116" s="2"/>
      <c r="M116" s="4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4">
      <c r="A117" s="1"/>
      <c r="B117" s="1"/>
      <c r="C117" s="1"/>
      <c r="D117" s="2"/>
      <c r="E117" s="2"/>
      <c r="F117" s="2"/>
      <c r="G117" s="2"/>
      <c r="H117" s="2"/>
      <c r="I117" s="2"/>
      <c r="J117" s="3"/>
      <c r="K117" s="3"/>
      <c r="L117" s="2"/>
      <c r="M117" s="4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4">
      <c r="A118" s="1"/>
      <c r="B118" s="1"/>
      <c r="C118" s="1"/>
      <c r="D118" s="2"/>
      <c r="E118" s="2"/>
      <c r="F118" s="2"/>
      <c r="G118" s="2"/>
      <c r="H118" s="2"/>
      <c r="I118" s="2"/>
      <c r="J118" s="3"/>
      <c r="K118" s="3"/>
      <c r="L118" s="2"/>
      <c r="M118" s="4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4">
      <c r="A119" s="1"/>
      <c r="B119" s="1"/>
      <c r="C119" s="1"/>
      <c r="D119" s="2"/>
      <c r="E119" s="2"/>
      <c r="F119" s="2"/>
      <c r="G119" s="2"/>
      <c r="H119" s="2"/>
      <c r="I119" s="2"/>
      <c r="J119" s="3"/>
      <c r="K119" s="3"/>
      <c r="L119" s="2"/>
      <c r="M119" s="4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4">
      <c r="A120" s="1"/>
      <c r="B120" s="1"/>
      <c r="C120" s="1"/>
      <c r="D120" s="2"/>
      <c r="E120" s="2"/>
      <c r="F120" s="2"/>
      <c r="G120" s="2"/>
      <c r="H120" s="2"/>
      <c r="I120" s="2"/>
      <c r="J120" s="3"/>
      <c r="K120" s="3"/>
      <c r="L120" s="2"/>
      <c r="M120" s="4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4">
      <c r="A121" s="1"/>
      <c r="B121" s="1"/>
      <c r="C121" s="1"/>
      <c r="D121" s="2"/>
      <c r="E121" s="2"/>
      <c r="F121" s="2"/>
      <c r="G121" s="2"/>
      <c r="H121" s="2"/>
      <c r="I121" s="2"/>
      <c r="J121" s="3"/>
      <c r="K121" s="3"/>
      <c r="L121" s="2"/>
      <c r="M121" s="4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4">
      <c r="A122" s="1"/>
      <c r="B122" s="1"/>
      <c r="C122" s="1"/>
      <c r="D122" s="2"/>
      <c r="E122" s="2"/>
      <c r="F122" s="2"/>
      <c r="G122" s="2"/>
      <c r="H122" s="2"/>
      <c r="I122" s="2"/>
      <c r="J122" s="3"/>
      <c r="K122" s="3"/>
      <c r="L122" s="2"/>
      <c r="M122" s="4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4">
      <c r="A123" s="1"/>
      <c r="B123" s="1"/>
      <c r="C123" s="1"/>
      <c r="D123" s="2"/>
      <c r="E123" s="2"/>
      <c r="F123" s="2"/>
      <c r="G123" s="2"/>
      <c r="H123" s="2"/>
      <c r="I123" s="2"/>
      <c r="J123" s="3"/>
      <c r="K123" s="3"/>
      <c r="L123" s="2"/>
      <c r="M123" s="4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4">
      <c r="A124" s="1"/>
      <c r="B124" s="1"/>
      <c r="C124" s="1"/>
      <c r="D124" s="2"/>
      <c r="E124" s="2"/>
      <c r="F124" s="2"/>
      <c r="G124" s="2"/>
      <c r="H124" s="2"/>
      <c r="I124" s="2"/>
      <c r="J124" s="3"/>
      <c r="K124" s="3"/>
      <c r="L124" s="2"/>
      <c r="M124" s="4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4">
      <c r="A125" s="1"/>
      <c r="B125" s="1"/>
      <c r="C125" s="1"/>
      <c r="D125" s="2"/>
      <c r="E125" s="2"/>
      <c r="F125" s="2"/>
      <c r="G125" s="2"/>
      <c r="H125" s="2"/>
      <c r="I125" s="2"/>
      <c r="J125" s="3"/>
      <c r="K125" s="3"/>
      <c r="L125" s="2"/>
      <c r="M125" s="4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4">
      <c r="A126" s="1"/>
      <c r="B126" s="1"/>
      <c r="C126" s="1"/>
      <c r="D126" s="2"/>
      <c r="E126" s="2"/>
      <c r="F126" s="2"/>
      <c r="G126" s="2"/>
      <c r="H126" s="2"/>
      <c r="I126" s="2"/>
      <c r="J126" s="3"/>
      <c r="K126" s="3"/>
      <c r="L126" s="2"/>
      <c r="M126" s="4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4">
      <c r="A127" s="1"/>
      <c r="B127" s="1"/>
      <c r="C127" s="1"/>
      <c r="D127" s="2"/>
      <c r="E127" s="2"/>
      <c r="F127" s="2"/>
      <c r="G127" s="2"/>
      <c r="H127" s="2"/>
      <c r="I127" s="2"/>
      <c r="J127" s="3"/>
      <c r="K127" s="3"/>
      <c r="L127" s="2"/>
      <c r="M127" s="4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4">
      <c r="A128" s="1"/>
      <c r="B128" s="1"/>
      <c r="C128" s="1"/>
      <c r="D128" s="2"/>
      <c r="E128" s="2"/>
      <c r="F128" s="2"/>
      <c r="G128" s="2"/>
      <c r="H128" s="2"/>
      <c r="I128" s="2"/>
      <c r="J128" s="3"/>
      <c r="K128" s="3"/>
      <c r="L128" s="2"/>
      <c r="M128" s="4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4">
      <c r="A129" s="1"/>
      <c r="B129" s="1"/>
      <c r="C129" s="1"/>
      <c r="D129" s="2"/>
      <c r="E129" s="2"/>
      <c r="F129" s="2"/>
      <c r="G129" s="2"/>
      <c r="H129" s="2"/>
      <c r="I129" s="2"/>
      <c r="J129" s="3"/>
      <c r="K129" s="3"/>
      <c r="L129" s="2"/>
      <c r="M129" s="4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4">
      <c r="A130" s="1"/>
      <c r="B130" s="1"/>
      <c r="C130" s="1"/>
      <c r="D130" s="2"/>
      <c r="E130" s="2"/>
      <c r="F130" s="2"/>
      <c r="G130" s="2"/>
      <c r="H130" s="2"/>
      <c r="I130" s="2"/>
      <c r="J130" s="3"/>
      <c r="K130" s="3"/>
      <c r="L130" s="2"/>
      <c r="M130" s="4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4">
      <c r="A131" s="1"/>
      <c r="B131" s="1"/>
      <c r="C131" s="1"/>
      <c r="D131" s="2"/>
      <c r="E131" s="2"/>
      <c r="F131" s="2"/>
      <c r="G131" s="2"/>
      <c r="H131" s="2"/>
      <c r="I131" s="2"/>
      <c r="J131" s="3"/>
      <c r="K131" s="3"/>
      <c r="L131" s="2"/>
      <c r="M131" s="4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4">
      <c r="A132" s="1"/>
      <c r="B132" s="1"/>
      <c r="C132" s="1"/>
      <c r="D132" s="2"/>
      <c r="E132" s="2"/>
      <c r="F132" s="2"/>
      <c r="G132" s="2"/>
      <c r="H132" s="2"/>
      <c r="I132" s="2"/>
      <c r="J132" s="3"/>
      <c r="K132" s="3"/>
      <c r="L132" s="2"/>
      <c r="M132" s="4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4">
      <c r="A133" s="1"/>
      <c r="B133" s="1"/>
      <c r="C133" s="1"/>
      <c r="D133" s="2"/>
      <c r="E133" s="2"/>
      <c r="F133" s="2"/>
      <c r="G133" s="2"/>
      <c r="H133" s="2"/>
      <c r="I133" s="2"/>
      <c r="J133" s="3"/>
      <c r="K133" s="3"/>
      <c r="L133" s="2"/>
      <c r="M133" s="4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4">
      <c r="A134" s="1"/>
      <c r="B134" s="1"/>
      <c r="C134" s="1"/>
      <c r="D134" s="2"/>
      <c r="E134" s="2"/>
      <c r="F134" s="2"/>
      <c r="G134" s="2"/>
      <c r="H134" s="2"/>
      <c r="I134" s="2"/>
      <c r="J134" s="3"/>
      <c r="K134" s="3"/>
      <c r="L134" s="2"/>
      <c r="M134" s="4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4">
      <c r="A135" s="1"/>
      <c r="B135" s="1"/>
      <c r="C135" s="1"/>
      <c r="D135" s="2"/>
      <c r="E135" s="2"/>
      <c r="F135" s="2"/>
      <c r="G135" s="2"/>
      <c r="H135" s="2"/>
      <c r="I135" s="2"/>
      <c r="J135" s="3"/>
      <c r="K135" s="3"/>
      <c r="L135" s="2"/>
      <c r="M135" s="4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4">
      <c r="A136" s="1"/>
      <c r="B136" s="1"/>
      <c r="C136" s="1"/>
      <c r="D136" s="2"/>
      <c r="E136" s="2"/>
      <c r="F136" s="2"/>
      <c r="G136" s="2"/>
      <c r="H136" s="2"/>
      <c r="I136" s="2"/>
      <c r="J136" s="3"/>
      <c r="K136" s="3"/>
      <c r="L136" s="2"/>
      <c r="M136" s="4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4">
      <c r="A137" s="1"/>
      <c r="B137" s="1"/>
      <c r="C137" s="1"/>
      <c r="D137" s="2"/>
      <c r="E137" s="2"/>
      <c r="F137" s="2"/>
      <c r="G137" s="2"/>
      <c r="H137" s="2"/>
      <c r="I137" s="2"/>
      <c r="J137" s="3"/>
      <c r="K137" s="3"/>
      <c r="L137" s="2"/>
      <c r="M137" s="4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4">
      <c r="A138" s="1"/>
      <c r="B138" s="1"/>
      <c r="C138" s="1"/>
      <c r="D138" s="2"/>
      <c r="E138" s="2"/>
      <c r="F138" s="2"/>
      <c r="G138" s="2"/>
      <c r="H138" s="2"/>
      <c r="I138" s="2"/>
      <c r="J138" s="3"/>
      <c r="K138" s="3"/>
      <c r="L138" s="2"/>
      <c r="M138" s="4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4">
      <c r="A139" s="1"/>
      <c r="B139" s="1"/>
      <c r="C139" s="1"/>
      <c r="D139" s="2"/>
      <c r="E139" s="2"/>
      <c r="F139" s="2"/>
      <c r="G139" s="2"/>
      <c r="H139" s="2"/>
      <c r="I139" s="2"/>
      <c r="J139" s="3"/>
      <c r="K139" s="3"/>
      <c r="L139" s="2"/>
      <c r="M139" s="4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4">
      <c r="A140" s="1"/>
      <c r="B140" s="1"/>
      <c r="C140" s="1"/>
      <c r="D140" s="2"/>
      <c r="E140" s="2"/>
      <c r="F140" s="2"/>
      <c r="G140" s="2"/>
      <c r="H140" s="2"/>
      <c r="I140" s="2"/>
      <c r="J140" s="3"/>
      <c r="K140" s="3"/>
      <c r="L140" s="2"/>
      <c r="M140" s="4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4">
      <c r="A141" s="1"/>
      <c r="B141" s="1"/>
      <c r="C141" s="1"/>
      <c r="D141" s="2"/>
      <c r="E141" s="2"/>
      <c r="F141" s="2"/>
      <c r="G141" s="2"/>
      <c r="H141" s="2"/>
      <c r="I141" s="2"/>
      <c r="J141" s="3"/>
      <c r="K141" s="3"/>
      <c r="L141" s="2"/>
      <c r="M141" s="4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4">
      <c r="A142" s="1"/>
      <c r="B142" s="1"/>
      <c r="C142" s="1"/>
      <c r="D142" s="2"/>
      <c r="E142" s="2"/>
      <c r="F142" s="2"/>
      <c r="G142" s="2"/>
      <c r="H142" s="2"/>
      <c r="I142" s="2"/>
      <c r="J142" s="3"/>
      <c r="K142" s="3"/>
      <c r="L142" s="2"/>
      <c r="M142" s="4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4">
      <c r="A143" s="1"/>
      <c r="B143" s="1"/>
      <c r="C143" s="1"/>
      <c r="D143" s="2"/>
      <c r="E143" s="2"/>
      <c r="F143" s="2"/>
      <c r="G143" s="2"/>
      <c r="H143" s="2"/>
      <c r="I143" s="2"/>
      <c r="J143" s="3"/>
      <c r="K143" s="3"/>
      <c r="L143" s="2"/>
      <c r="M143" s="4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4">
      <c r="A144" s="1"/>
      <c r="B144" s="1"/>
      <c r="C144" s="1"/>
      <c r="D144" s="2"/>
      <c r="E144" s="2"/>
      <c r="F144" s="2"/>
      <c r="G144" s="2"/>
      <c r="H144" s="2"/>
      <c r="I144" s="2"/>
      <c r="J144" s="3"/>
      <c r="K144" s="3"/>
      <c r="L144" s="2"/>
      <c r="M144" s="4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4">
      <c r="A145" s="1"/>
      <c r="B145" s="1"/>
      <c r="C145" s="1"/>
      <c r="D145" s="2"/>
      <c r="E145" s="2"/>
      <c r="F145" s="2"/>
      <c r="G145" s="2"/>
      <c r="H145" s="2"/>
      <c r="I145" s="2"/>
      <c r="J145" s="3"/>
      <c r="K145" s="3"/>
      <c r="L145" s="2"/>
      <c r="M145" s="4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s="1" customFormat="1" x14ac:dyDescent="0.4">
      <c r="D146" s="2"/>
      <c r="E146" s="2"/>
      <c r="F146" s="2"/>
      <c r="G146" s="2"/>
      <c r="H146" s="2"/>
      <c r="I146" s="2"/>
      <c r="J146" s="3"/>
      <c r="K146" s="3"/>
      <c r="L146" s="2"/>
      <c r="M146" s="4"/>
      <c r="N146" s="4"/>
    </row>
    <row r="147" spans="1:26" x14ac:dyDescent="0.4">
      <c r="A147" s="1"/>
      <c r="B147" s="1"/>
      <c r="C147" s="1"/>
      <c r="D147" s="2"/>
      <c r="E147" s="2"/>
      <c r="F147" s="2"/>
      <c r="G147" s="2"/>
      <c r="H147" s="2"/>
      <c r="I147" s="2"/>
      <c r="J147" s="3"/>
      <c r="K147" s="3"/>
      <c r="L147" s="2"/>
      <c r="M147" s="4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4">
      <c r="A148" s="1"/>
      <c r="B148" s="1"/>
      <c r="C148" s="1"/>
      <c r="D148" s="2"/>
      <c r="E148" s="2"/>
      <c r="F148" s="2"/>
      <c r="G148" s="2"/>
      <c r="H148" s="2"/>
      <c r="I148" s="2"/>
      <c r="J148" s="3"/>
      <c r="K148" s="3"/>
      <c r="L148" s="2"/>
      <c r="M148" s="4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4">
      <c r="A149" s="1"/>
      <c r="B149" s="1"/>
      <c r="C149" s="1"/>
      <c r="D149" s="2"/>
      <c r="E149" s="2"/>
      <c r="F149" s="2"/>
      <c r="G149" s="2"/>
      <c r="H149" s="2"/>
      <c r="I149" s="2"/>
      <c r="J149" s="3"/>
      <c r="K149" s="3"/>
      <c r="L149" s="2"/>
      <c r="M149" s="4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4">
      <c r="A150" s="1"/>
      <c r="B150" s="1"/>
      <c r="C150" s="1"/>
      <c r="D150" s="2"/>
      <c r="E150" s="2"/>
      <c r="F150" s="2"/>
      <c r="G150" s="2"/>
      <c r="H150" s="2"/>
      <c r="I150" s="2"/>
      <c r="J150" s="3"/>
      <c r="K150" s="3"/>
      <c r="L150" s="2"/>
      <c r="M150" s="4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4">
      <c r="A151" s="1"/>
      <c r="B151" s="1"/>
      <c r="C151" s="1"/>
      <c r="D151" s="2"/>
      <c r="E151" s="2"/>
      <c r="F151" s="2"/>
      <c r="G151" s="2"/>
      <c r="H151" s="2"/>
      <c r="I151" s="2"/>
      <c r="J151" s="3"/>
      <c r="K151" s="3"/>
      <c r="L151" s="2"/>
      <c r="M151" s="4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4">
      <c r="A152" s="1"/>
      <c r="B152" s="1"/>
      <c r="C152" s="1"/>
      <c r="D152" s="2"/>
      <c r="E152" s="2"/>
      <c r="F152" s="2"/>
      <c r="G152" s="2"/>
      <c r="H152" s="2"/>
      <c r="I152" s="2"/>
      <c r="J152" s="3"/>
      <c r="K152" s="3"/>
      <c r="L152" s="2"/>
      <c r="M152" s="4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4">
      <c r="A153" s="1"/>
      <c r="B153" s="1"/>
      <c r="C153" s="1"/>
      <c r="D153" s="2"/>
      <c r="E153" s="2"/>
      <c r="F153" s="2"/>
      <c r="G153" s="2"/>
      <c r="H153" s="2"/>
      <c r="I153" s="2"/>
      <c r="J153" s="3"/>
      <c r="K153" s="3"/>
      <c r="L153" s="2"/>
      <c r="M153" s="4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4">
      <c r="A154" s="1"/>
      <c r="B154" s="1"/>
      <c r="C154" s="1"/>
      <c r="D154" s="2"/>
      <c r="E154" s="2"/>
      <c r="F154" s="2"/>
      <c r="G154" s="2"/>
      <c r="H154" s="2"/>
      <c r="I154" s="2"/>
      <c r="J154" s="3"/>
      <c r="K154" s="3"/>
      <c r="L154" s="2"/>
      <c r="M154" s="4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4">
      <c r="A155" s="1"/>
      <c r="B155" s="1"/>
      <c r="C155" s="1"/>
      <c r="D155" s="2"/>
      <c r="E155" s="2"/>
      <c r="F155" s="2"/>
      <c r="G155" s="2"/>
      <c r="H155" s="2"/>
      <c r="I155" s="2"/>
      <c r="J155" s="3"/>
      <c r="K155" s="3"/>
      <c r="L155" s="2"/>
      <c r="M155" s="4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4">
      <c r="A156" s="1"/>
      <c r="B156" s="1"/>
      <c r="C156" s="1"/>
      <c r="D156" s="2"/>
      <c r="E156" s="2"/>
      <c r="F156" s="2"/>
      <c r="G156" s="2"/>
      <c r="H156" s="2"/>
      <c r="I156" s="2"/>
      <c r="J156" s="3"/>
      <c r="K156" s="3"/>
      <c r="L156" s="2"/>
      <c r="M156" s="4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4">
      <c r="A157" s="1"/>
      <c r="B157" s="1"/>
      <c r="C157" s="1"/>
      <c r="D157" s="2"/>
      <c r="E157" s="2"/>
      <c r="F157" s="2"/>
      <c r="G157" s="2"/>
      <c r="H157" s="2"/>
      <c r="I157" s="2"/>
      <c r="J157" s="3"/>
      <c r="K157" s="3"/>
      <c r="L157" s="2"/>
      <c r="M157" s="4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4">
      <c r="A158" s="1"/>
      <c r="B158" s="1"/>
      <c r="C158" s="1"/>
      <c r="D158" s="2"/>
      <c r="E158" s="2"/>
      <c r="F158" s="2"/>
      <c r="G158" s="2"/>
      <c r="H158" s="2"/>
      <c r="I158" s="2"/>
      <c r="J158" s="3"/>
      <c r="K158" s="3"/>
      <c r="L158" s="2"/>
      <c r="M158" s="4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4">
      <c r="A159" s="1"/>
      <c r="B159" s="1"/>
      <c r="C159" s="1"/>
      <c r="D159" s="2"/>
      <c r="E159" s="2"/>
      <c r="F159" s="2"/>
      <c r="G159" s="2"/>
      <c r="H159" s="2"/>
      <c r="I159" s="2"/>
      <c r="J159" s="3"/>
      <c r="K159" s="3"/>
      <c r="L159" s="2"/>
      <c r="M159" s="4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4">
      <c r="A160" s="1"/>
      <c r="B160" s="1"/>
      <c r="C160" s="1"/>
      <c r="D160" s="2"/>
      <c r="E160" s="2"/>
      <c r="F160" s="2"/>
      <c r="G160" s="2"/>
      <c r="H160" s="2"/>
      <c r="I160" s="2"/>
      <c r="J160" s="3"/>
      <c r="K160" s="3"/>
      <c r="L160" s="2"/>
      <c r="M160" s="4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4">
      <c r="A161" s="1"/>
      <c r="B161" s="1"/>
      <c r="C161" s="1"/>
      <c r="D161" s="2"/>
      <c r="E161" s="2"/>
      <c r="F161" s="2"/>
      <c r="G161" s="2"/>
      <c r="H161" s="2"/>
      <c r="I161" s="2"/>
      <c r="J161" s="3"/>
      <c r="K161" s="3"/>
      <c r="L161" s="2"/>
      <c r="M161" s="4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4">
      <c r="A162" s="1"/>
      <c r="B162" s="1"/>
      <c r="C162" s="1"/>
      <c r="D162" s="2"/>
      <c r="E162" s="2"/>
      <c r="F162" s="2"/>
      <c r="G162" s="2"/>
      <c r="H162" s="2"/>
      <c r="I162" s="2"/>
      <c r="J162" s="3"/>
      <c r="K162" s="3"/>
      <c r="L162" s="2"/>
      <c r="M162" s="4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4">
      <c r="A163" s="1"/>
      <c r="B163" s="1"/>
      <c r="C163" s="1"/>
      <c r="D163" s="2"/>
      <c r="E163" s="2"/>
      <c r="F163" s="2"/>
      <c r="G163" s="2"/>
      <c r="H163" s="2"/>
      <c r="I163" s="2"/>
      <c r="J163" s="3"/>
      <c r="K163" s="3"/>
      <c r="L163" s="2"/>
      <c r="M163" s="4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4">
      <c r="A164" s="1"/>
      <c r="B164" s="1"/>
      <c r="C164" s="1"/>
      <c r="D164" s="2"/>
      <c r="E164" s="2"/>
      <c r="F164" s="2"/>
      <c r="G164" s="2"/>
      <c r="H164" s="2"/>
      <c r="I164" s="2"/>
      <c r="J164" s="3"/>
      <c r="K164" s="3"/>
      <c r="L164" s="2"/>
      <c r="M164" s="4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4">
      <c r="A165" s="1"/>
      <c r="B165" s="1"/>
      <c r="C165" s="1"/>
      <c r="D165" s="2"/>
      <c r="E165" s="2"/>
      <c r="F165" s="2"/>
      <c r="G165" s="2"/>
      <c r="H165" s="2"/>
      <c r="I165" s="2"/>
      <c r="J165" s="3"/>
      <c r="K165" s="3"/>
      <c r="L165" s="2"/>
      <c r="M165" s="4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4">
      <c r="A166" s="1"/>
      <c r="B166" s="1"/>
      <c r="C166" s="1"/>
      <c r="D166" s="2"/>
      <c r="E166" s="2"/>
      <c r="F166" s="2"/>
      <c r="G166" s="2"/>
      <c r="H166" s="2"/>
      <c r="I166" s="2"/>
      <c r="J166" s="3"/>
      <c r="K166" s="3"/>
      <c r="L166" s="2"/>
      <c r="M166" s="4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4">
      <c r="A167" s="1"/>
      <c r="B167" s="1"/>
      <c r="C167" s="1"/>
      <c r="D167" s="2"/>
      <c r="E167" s="2"/>
      <c r="F167" s="2"/>
      <c r="G167" s="2"/>
      <c r="H167" s="2"/>
      <c r="I167" s="2"/>
      <c r="J167" s="3"/>
      <c r="K167" s="3"/>
      <c r="L167" s="2"/>
      <c r="M167" s="6"/>
      <c r="N167" s="1"/>
      <c r="O167" s="1"/>
      <c r="P167" s="1"/>
      <c r="Q167" s="1"/>
      <c r="R167" s="4"/>
      <c r="S167" s="1"/>
      <c r="T167" s="1"/>
      <c r="U167" s="2"/>
      <c r="V167" s="3"/>
      <c r="W167" s="3"/>
      <c r="X167" s="2"/>
      <c r="Y167" s="1"/>
      <c r="Z167" s="1"/>
    </row>
    <row r="168" spans="1:26" x14ac:dyDescent="0.4">
      <c r="A168" s="1"/>
      <c r="B168" s="1"/>
      <c r="C168" s="1"/>
      <c r="D168" s="2"/>
      <c r="E168" s="2"/>
      <c r="F168" s="2"/>
      <c r="G168" s="2"/>
      <c r="H168" s="2"/>
      <c r="I168" s="2"/>
      <c r="J168" s="3"/>
      <c r="K168" s="3"/>
      <c r="L168" s="2"/>
      <c r="M168" s="4"/>
      <c r="N168" s="4"/>
      <c r="O168" s="1"/>
      <c r="P168" s="1"/>
      <c r="Q168" s="1"/>
      <c r="R168" s="4"/>
      <c r="S168" s="1"/>
      <c r="T168" s="1"/>
      <c r="U168" s="2"/>
      <c r="V168" s="3"/>
      <c r="W168" s="3"/>
      <c r="X168" s="2"/>
      <c r="Y168" s="1"/>
      <c r="Z168" s="1"/>
    </row>
    <row r="169" spans="1:26" x14ac:dyDescent="0.4">
      <c r="A169" s="1"/>
      <c r="B169" s="1"/>
      <c r="C169" s="1"/>
      <c r="D169" s="2"/>
      <c r="E169" s="2"/>
      <c r="F169" s="2"/>
      <c r="G169" s="2"/>
      <c r="H169" s="2"/>
      <c r="I169" s="2"/>
      <c r="J169" s="3"/>
      <c r="K169" s="3"/>
      <c r="L169" s="2"/>
      <c r="M169" s="4"/>
      <c r="N169" s="4"/>
      <c r="O169" s="1"/>
      <c r="P169" s="1"/>
      <c r="Q169" s="1"/>
      <c r="R169" s="4"/>
      <c r="S169" s="1"/>
      <c r="T169" s="1"/>
      <c r="U169" s="2"/>
      <c r="V169" s="3"/>
      <c r="W169" s="3"/>
      <c r="X169" s="2"/>
      <c r="Y169" s="1"/>
      <c r="Z169" s="1"/>
    </row>
    <row r="170" spans="1:26" x14ac:dyDescent="0.4">
      <c r="A170" s="1"/>
      <c r="B170" s="1"/>
      <c r="C170" s="1"/>
      <c r="D170" s="2"/>
      <c r="E170" s="2"/>
      <c r="F170" s="2"/>
      <c r="G170" s="2"/>
      <c r="H170" s="2"/>
      <c r="I170" s="2"/>
      <c r="J170" s="3"/>
      <c r="K170" s="3"/>
      <c r="L170" s="2"/>
      <c r="M170" s="4"/>
      <c r="N170" s="4"/>
      <c r="O170" s="1"/>
      <c r="P170" s="1"/>
      <c r="Q170" s="1"/>
      <c r="R170" s="4"/>
      <c r="S170" s="1"/>
      <c r="T170" s="1"/>
      <c r="U170" s="2"/>
      <c r="V170" s="3"/>
      <c r="W170" s="3"/>
      <c r="X170" s="2"/>
      <c r="Y170" s="1"/>
      <c r="Z170" s="1"/>
    </row>
    <row r="171" spans="1:26" x14ac:dyDescent="0.4">
      <c r="A171" s="1"/>
      <c r="B171" s="1"/>
      <c r="C171" s="1"/>
      <c r="D171" s="2"/>
      <c r="E171" s="2"/>
      <c r="F171" s="2"/>
      <c r="G171" s="2"/>
      <c r="H171" s="2"/>
      <c r="I171" s="2"/>
      <c r="J171" s="3"/>
      <c r="K171" s="3"/>
      <c r="L171" s="2"/>
      <c r="M171" s="4"/>
      <c r="N171" s="4"/>
      <c r="O171" s="1"/>
      <c r="P171" s="1"/>
      <c r="Q171" s="1"/>
      <c r="R171" s="4"/>
      <c r="S171" s="1"/>
      <c r="T171" s="1"/>
      <c r="U171" s="2"/>
      <c r="V171" s="3"/>
      <c r="W171" s="3"/>
      <c r="X171" s="2"/>
      <c r="Y171" s="1"/>
      <c r="Z171" s="1"/>
    </row>
    <row r="172" spans="1:26" x14ac:dyDescent="0.4">
      <c r="A172" s="1"/>
      <c r="B172" s="1"/>
      <c r="C172" s="1"/>
      <c r="D172" s="2"/>
      <c r="E172" s="2"/>
      <c r="F172" s="2"/>
      <c r="G172" s="2"/>
      <c r="H172" s="2"/>
      <c r="I172" s="2"/>
      <c r="J172" s="3"/>
      <c r="K172" s="3"/>
      <c r="L172" s="2"/>
      <c r="M172" s="4"/>
      <c r="N172" s="4"/>
      <c r="O172" s="1"/>
      <c r="P172" s="1"/>
      <c r="Q172" s="1"/>
      <c r="R172" s="4"/>
      <c r="S172" s="1"/>
      <c r="T172" s="1"/>
      <c r="U172" s="2"/>
      <c r="V172" s="3"/>
      <c r="W172" s="3"/>
      <c r="X172" s="2"/>
      <c r="Y172" s="1"/>
      <c r="Z172" s="1"/>
    </row>
    <row r="173" spans="1:26" x14ac:dyDescent="0.4">
      <c r="A173" s="1"/>
      <c r="B173" s="1"/>
      <c r="C173" s="1"/>
      <c r="D173" s="2"/>
      <c r="E173" s="2"/>
      <c r="F173" s="2"/>
      <c r="G173" s="2"/>
      <c r="H173" s="2"/>
      <c r="I173" s="2"/>
      <c r="J173" s="3"/>
      <c r="K173" s="3"/>
      <c r="L173" s="2"/>
      <c r="M173" s="4"/>
      <c r="N173" s="4"/>
      <c r="O173" s="1"/>
      <c r="P173" s="1"/>
      <c r="Q173" s="1"/>
      <c r="R173" s="4"/>
      <c r="S173" s="1"/>
      <c r="T173" s="1"/>
      <c r="U173" s="2"/>
      <c r="V173" s="3"/>
      <c r="W173" s="3"/>
      <c r="X173" s="2"/>
      <c r="Y173" s="1"/>
      <c r="Z173" s="1"/>
    </row>
    <row r="174" spans="1:26" x14ac:dyDescent="0.4">
      <c r="A174" s="1"/>
      <c r="B174" s="1"/>
      <c r="C174" s="1"/>
      <c r="D174" s="2"/>
      <c r="E174" s="2"/>
      <c r="F174" s="2"/>
      <c r="G174" s="2"/>
      <c r="H174" s="2"/>
      <c r="I174" s="2"/>
      <c r="J174" s="3"/>
      <c r="K174" s="3"/>
      <c r="L174" s="2"/>
      <c r="M174" s="4"/>
      <c r="N174" s="4"/>
      <c r="O174" s="1"/>
      <c r="P174" s="1"/>
      <c r="Q174" s="1"/>
      <c r="R174" s="4"/>
      <c r="S174" s="1"/>
      <c r="T174" s="1"/>
      <c r="U174" s="2"/>
      <c r="V174" s="3"/>
      <c r="W174" s="3"/>
      <c r="X174" s="2"/>
      <c r="Y174" s="1"/>
      <c r="Z174" s="1"/>
    </row>
    <row r="175" spans="1:26" x14ac:dyDescent="0.4">
      <c r="A175" s="1"/>
      <c r="B175" s="1"/>
      <c r="C175" s="1"/>
      <c r="D175" s="2"/>
      <c r="E175" s="2"/>
      <c r="F175" s="2"/>
      <c r="G175" s="2"/>
      <c r="H175" s="2"/>
      <c r="I175" s="2"/>
      <c r="J175" s="3"/>
      <c r="K175" s="3"/>
      <c r="L175" s="2"/>
      <c r="M175" s="4"/>
      <c r="N175" s="4"/>
      <c r="O175" s="1"/>
      <c r="P175" s="1"/>
      <c r="Q175" s="1"/>
      <c r="R175" s="4"/>
      <c r="S175" s="1"/>
      <c r="T175" s="1"/>
      <c r="U175" s="2"/>
      <c r="V175" s="3"/>
      <c r="W175" s="3"/>
      <c r="X175" s="2"/>
      <c r="Y175" s="1"/>
      <c r="Z175" s="1"/>
    </row>
    <row r="176" spans="1:26" x14ac:dyDescent="0.4">
      <c r="A176" s="1"/>
      <c r="B176" s="1"/>
      <c r="C176" s="1"/>
      <c r="D176" s="2"/>
      <c r="E176" s="2"/>
      <c r="F176" s="2"/>
      <c r="G176" s="2"/>
      <c r="H176" s="2"/>
      <c r="I176" s="2"/>
      <c r="J176" s="3"/>
      <c r="K176" s="3"/>
      <c r="L176" s="2"/>
      <c r="M176" s="4"/>
      <c r="N176" s="4"/>
      <c r="O176" s="1"/>
      <c r="P176" s="1"/>
      <c r="Q176" s="1"/>
      <c r="R176" s="4"/>
      <c r="S176" s="1"/>
      <c r="T176" s="1"/>
      <c r="U176" s="2"/>
      <c r="V176" s="3"/>
      <c r="W176" s="3"/>
      <c r="X176" s="2"/>
      <c r="Y176" s="1"/>
      <c r="Z176" s="1"/>
    </row>
    <row r="177" spans="1:26" x14ac:dyDescent="0.4">
      <c r="A177" s="1"/>
      <c r="B177" s="1"/>
      <c r="C177" s="1"/>
      <c r="D177" s="2"/>
      <c r="E177" s="2"/>
      <c r="F177" s="2"/>
      <c r="G177" s="2"/>
      <c r="H177" s="2"/>
      <c r="I177" s="2"/>
      <c r="J177" s="3"/>
      <c r="K177" s="3"/>
      <c r="L177" s="2"/>
      <c r="M177" s="4"/>
      <c r="N177" s="4"/>
      <c r="O177" s="1"/>
      <c r="P177" s="1"/>
      <c r="Q177" s="1"/>
      <c r="R177" s="4"/>
      <c r="S177" s="1"/>
      <c r="T177" s="1"/>
      <c r="U177" s="2"/>
      <c r="V177" s="3"/>
      <c r="W177" s="3"/>
      <c r="X177" s="2"/>
      <c r="Y177" s="1"/>
      <c r="Z177" s="1"/>
    </row>
    <row r="178" spans="1:26" x14ac:dyDescent="0.4">
      <c r="A178" s="1"/>
      <c r="B178" s="1"/>
      <c r="C178" s="1"/>
      <c r="D178" s="2"/>
      <c r="E178" s="2"/>
      <c r="F178" s="2"/>
      <c r="G178" s="2"/>
      <c r="H178" s="2"/>
      <c r="I178" s="2"/>
      <c r="J178" s="3"/>
      <c r="K178" s="3"/>
      <c r="L178" s="2"/>
      <c r="M178" s="4"/>
      <c r="N178" s="4"/>
      <c r="O178" s="1"/>
      <c r="P178" s="1"/>
      <c r="Q178" s="1"/>
      <c r="R178" s="4"/>
      <c r="S178" s="1"/>
      <c r="T178" s="1"/>
      <c r="U178" s="2"/>
      <c r="V178" s="3"/>
      <c r="W178" s="3"/>
      <c r="X178" s="2"/>
      <c r="Y178" s="1"/>
      <c r="Z178" s="1"/>
    </row>
    <row r="179" spans="1:26" x14ac:dyDescent="0.4">
      <c r="A179" s="1"/>
      <c r="B179" s="1"/>
      <c r="C179" s="1"/>
      <c r="D179" s="2"/>
      <c r="E179" s="2"/>
      <c r="F179" s="2"/>
      <c r="G179" s="2"/>
      <c r="H179" s="2"/>
      <c r="I179" s="2"/>
      <c r="J179" s="3"/>
      <c r="K179" s="3"/>
      <c r="L179" s="2"/>
      <c r="M179" s="4"/>
      <c r="N179" s="4"/>
      <c r="O179" s="1"/>
      <c r="P179" s="1"/>
      <c r="Q179" s="1"/>
      <c r="R179" s="4"/>
      <c r="S179" s="1"/>
      <c r="T179" s="1"/>
      <c r="U179" s="2"/>
      <c r="V179" s="3"/>
      <c r="W179" s="3"/>
      <c r="X179" s="2"/>
      <c r="Y179" s="1"/>
      <c r="Z179" s="1"/>
    </row>
    <row r="180" spans="1:26" x14ac:dyDescent="0.4">
      <c r="A180" s="1"/>
      <c r="B180" s="1"/>
      <c r="C180" s="1"/>
      <c r="D180" s="2"/>
      <c r="E180" s="2"/>
      <c r="F180" s="2"/>
      <c r="G180" s="2"/>
      <c r="H180" s="2"/>
      <c r="I180" s="2"/>
      <c r="J180" s="3"/>
      <c r="K180" s="3"/>
      <c r="L180" s="2"/>
      <c r="M180" s="4"/>
      <c r="N180" s="4"/>
      <c r="O180" s="1"/>
      <c r="P180" s="1"/>
      <c r="Q180" s="1"/>
      <c r="R180" s="4"/>
      <c r="S180" s="1"/>
      <c r="T180" s="1"/>
      <c r="U180" s="2"/>
      <c r="V180" s="3"/>
      <c r="W180" s="3"/>
      <c r="X180" s="2"/>
      <c r="Y180" s="1"/>
      <c r="Z180" s="1"/>
    </row>
    <row r="181" spans="1:26" x14ac:dyDescent="0.4">
      <c r="A181" s="1"/>
      <c r="B181" s="1"/>
      <c r="C181" s="1"/>
      <c r="D181" s="2"/>
      <c r="E181" s="2"/>
      <c r="F181" s="2"/>
      <c r="G181" s="2"/>
      <c r="H181" s="2"/>
      <c r="I181" s="2"/>
      <c r="J181" s="3"/>
      <c r="K181" s="3"/>
      <c r="L181" s="2"/>
      <c r="M181" s="4"/>
      <c r="N181" s="4"/>
      <c r="O181" s="1"/>
      <c r="P181" s="1"/>
      <c r="Q181" s="1"/>
      <c r="R181" s="4"/>
      <c r="S181" s="1"/>
      <c r="T181" s="1"/>
      <c r="U181" s="2"/>
      <c r="V181" s="3"/>
      <c r="W181" s="3"/>
      <c r="X181" s="2"/>
      <c r="Y181" s="1"/>
      <c r="Z181" s="1"/>
    </row>
    <row r="182" spans="1:26" x14ac:dyDescent="0.4">
      <c r="A182" s="1"/>
      <c r="B182" s="1"/>
      <c r="C182" s="1"/>
      <c r="D182" s="2"/>
      <c r="E182" s="2"/>
      <c r="F182" s="2"/>
      <c r="G182" s="2"/>
      <c r="H182" s="2"/>
      <c r="I182" s="2"/>
      <c r="J182" s="3"/>
      <c r="K182" s="3"/>
      <c r="L182" s="2"/>
      <c r="M182" s="4"/>
      <c r="N182" s="4"/>
      <c r="O182" s="1"/>
      <c r="P182" s="1"/>
      <c r="Q182" s="1"/>
      <c r="R182" s="4"/>
      <c r="S182" s="1"/>
      <c r="T182" s="1"/>
      <c r="U182" s="2"/>
      <c r="V182" s="3"/>
      <c r="W182" s="3"/>
      <c r="X182" s="2"/>
      <c r="Y182" s="1"/>
      <c r="Z182" s="1"/>
    </row>
    <row r="183" spans="1:26" x14ac:dyDescent="0.4">
      <c r="A183" s="1"/>
      <c r="B183" s="1"/>
      <c r="C183" s="1"/>
      <c r="D183" s="2"/>
      <c r="E183" s="2"/>
      <c r="F183" s="2"/>
      <c r="G183" s="2"/>
      <c r="H183" s="2"/>
      <c r="I183" s="2"/>
      <c r="J183" s="3"/>
      <c r="K183" s="3"/>
      <c r="L183" s="2"/>
      <c r="M183" s="4"/>
      <c r="N183" s="4"/>
      <c r="O183" s="1"/>
      <c r="P183" s="1"/>
      <c r="Q183" s="1"/>
      <c r="R183" s="4"/>
      <c r="S183" s="1"/>
      <c r="T183" s="1"/>
      <c r="U183" s="2"/>
      <c r="V183" s="3"/>
      <c r="W183" s="3"/>
      <c r="X183" s="2"/>
      <c r="Y183" s="1"/>
      <c r="Z183" s="1"/>
    </row>
    <row r="184" spans="1:26" x14ac:dyDescent="0.4">
      <c r="A184" s="1"/>
      <c r="B184" s="1"/>
      <c r="C184" s="1"/>
      <c r="D184" s="2"/>
      <c r="E184" s="2"/>
      <c r="F184" s="2"/>
      <c r="G184" s="2"/>
      <c r="H184" s="2"/>
      <c r="I184" s="2"/>
      <c r="J184" s="3"/>
      <c r="K184" s="3"/>
      <c r="L184" s="2"/>
      <c r="M184" s="4"/>
      <c r="N184" s="4"/>
      <c r="O184" s="1"/>
      <c r="P184" s="1"/>
      <c r="Q184" s="1"/>
      <c r="R184" s="4"/>
      <c r="S184" s="1"/>
      <c r="T184" s="1"/>
      <c r="U184" s="2"/>
      <c r="V184" s="3"/>
      <c r="W184" s="3"/>
      <c r="X184" s="2"/>
      <c r="Y184" s="1"/>
      <c r="Z184" s="1"/>
    </row>
    <row r="185" spans="1:26" x14ac:dyDescent="0.4">
      <c r="A185" s="1"/>
      <c r="B185" s="1"/>
      <c r="C185" s="1"/>
      <c r="D185" s="2"/>
      <c r="E185" s="2"/>
      <c r="F185" s="2"/>
      <c r="G185" s="2"/>
      <c r="H185" s="2"/>
      <c r="I185" s="2"/>
      <c r="J185" s="3"/>
      <c r="K185" s="3"/>
      <c r="L185" s="2"/>
      <c r="M185" s="4"/>
      <c r="N185" s="4"/>
      <c r="O185" s="1"/>
      <c r="P185" s="1"/>
      <c r="Q185" s="1"/>
      <c r="R185" s="4"/>
      <c r="S185" s="1"/>
      <c r="T185" s="1"/>
      <c r="U185" s="2"/>
      <c r="V185" s="3"/>
      <c r="W185" s="3"/>
      <c r="X185" s="2"/>
      <c r="Y185" s="1"/>
      <c r="Z185" s="1"/>
    </row>
    <row r="186" spans="1:26" x14ac:dyDescent="0.4">
      <c r="A186" s="1"/>
      <c r="B186" s="1"/>
      <c r="C186" s="1"/>
      <c r="D186" s="2"/>
      <c r="E186" s="2"/>
      <c r="F186" s="2"/>
      <c r="G186" s="2"/>
      <c r="H186" s="2"/>
      <c r="I186" s="2"/>
      <c r="J186" s="3"/>
      <c r="K186" s="3"/>
      <c r="L186" s="2"/>
      <c r="M186" s="4"/>
      <c r="N186" s="4"/>
      <c r="O186" s="1"/>
      <c r="P186" s="1"/>
      <c r="Q186" s="1"/>
      <c r="R186" s="4"/>
      <c r="S186" s="1"/>
      <c r="T186" s="1"/>
      <c r="U186" s="2"/>
      <c r="V186" s="3"/>
      <c r="W186" s="3"/>
      <c r="X186" s="2"/>
      <c r="Y186" s="1"/>
      <c r="Z186" s="1"/>
    </row>
    <row r="187" spans="1:26" x14ac:dyDescent="0.4">
      <c r="A187" s="1"/>
      <c r="B187" s="1"/>
      <c r="C187" s="1"/>
      <c r="D187" s="2"/>
      <c r="E187" s="2"/>
      <c r="F187" s="2"/>
      <c r="G187" s="2"/>
      <c r="H187" s="2"/>
      <c r="I187" s="2"/>
      <c r="J187" s="3"/>
      <c r="K187" s="3"/>
      <c r="L187" s="2"/>
      <c r="M187" s="4"/>
      <c r="N187" s="4"/>
      <c r="O187" s="1"/>
      <c r="P187" s="1"/>
      <c r="Q187" s="1"/>
      <c r="R187" s="4"/>
      <c r="S187" s="1"/>
      <c r="T187" s="1"/>
      <c r="U187" s="2"/>
      <c r="V187" s="3"/>
      <c r="W187" s="3"/>
      <c r="X187" s="2"/>
      <c r="Y187" s="1"/>
      <c r="Z187" s="1"/>
    </row>
    <row r="188" spans="1:26" x14ac:dyDescent="0.4">
      <c r="A188" s="1"/>
      <c r="B188" s="1"/>
      <c r="C188" s="1"/>
      <c r="D188" s="2"/>
      <c r="E188" s="2"/>
      <c r="F188" s="2"/>
      <c r="G188" s="2"/>
      <c r="H188" s="2"/>
      <c r="I188" s="2"/>
      <c r="J188" s="3"/>
      <c r="K188" s="3"/>
      <c r="L188" s="2"/>
      <c r="M188" s="4"/>
      <c r="N188" s="4"/>
      <c r="O188" s="1"/>
      <c r="P188" s="1"/>
      <c r="Q188" s="1"/>
      <c r="R188" s="4"/>
      <c r="S188" s="1"/>
      <c r="T188" s="1"/>
      <c r="U188" s="2"/>
      <c r="V188" s="3"/>
      <c r="W188" s="3"/>
      <c r="X188" s="2"/>
      <c r="Y188" s="1"/>
      <c r="Z188" s="1"/>
    </row>
    <row r="189" spans="1:26" x14ac:dyDescent="0.4">
      <c r="A189" s="1"/>
      <c r="B189" s="1"/>
      <c r="C189" s="1"/>
      <c r="D189" s="2"/>
      <c r="E189" s="2"/>
      <c r="F189" s="2"/>
      <c r="G189" s="2"/>
      <c r="H189" s="2"/>
      <c r="I189" s="2"/>
      <c r="J189" s="3"/>
      <c r="K189" s="3"/>
      <c r="L189" s="2"/>
      <c r="M189" s="4"/>
      <c r="N189" s="4"/>
      <c r="O189" s="1"/>
      <c r="P189" s="1"/>
      <c r="Q189" s="1"/>
      <c r="R189" s="4"/>
      <c r="S189" s="1"/>
      <c r="T189" s="1"/>
      <c r="U189" s="2"/>
      <c r="V189" s="3"/>
      <c r="W189" s="3"/>
      <c r="X189" s="2"/>
      <c r="Y189" s="1"/>
      <c r="Z189" s="1"/>
    </row>
    <row r="190" spans="1:26" x14ac:dyDescent="0.4">
      <c r="A190" s="1"/>
      <c r="B190" s="1"/>
      <c r="C190" s="1"/>
      <c r="D190" s="2"/>
      <c r="E190" s="2"/>
      <c r="F190" s="2"/>
      <c r="G190" s="2"/>
      <c r="H190" s="2"/>
      <c r="I190" s="2"/>
      <c r="J190" s="3"/>
      <c r="K190" s="3"/>
      <c r="L190" s="2"/>
      <c r="M190" s="4"/>
      <c r="N190" s="4"/>
      <c r="O190" s="1"/>
      <c r="P190" s="1"/>
      <c r="Q190" s="1"/>
      <c r="R190" s="4"/>
      <c r="S190" s="1"/>
      <c r="T190" s="1"/>
      <c r="U190" s="2"/>
      <c r="V190" s="3"/>
      <c r="W190" s="3"/>
      <c r="X190" s="2"/>
      <c r="Y190" s="1"/>
      <c r="Z190" s="1"/>
    </row>
    <row r="191" spans="1:26" x14ac:dyDescent="0.4">
      <c r="A191" s="1"/>
      <c r="B191" s="1"/>
      <c r="C191" s="1"/>
      <c r="D191" s="2"/>
      <c r="E191" s="2"/>
      <c r="F191" s="2"/>
      <c r="G191" s="2"/>
      <c r="H191" s="2"/>
      <c r="I191" s="2"/>
      <c r="J191" s="3"/>
      <c r="K191" s="3"/>
      <c r="L191" s="2"/>
      <c r="M191" s="4"/>
      <c r="N191" s="4"/>
      <c r="O191" s="1"/>
      <c r="P191" s="1"/>
      <c r="Q191" s="1"/>
      <c r="R191" s="4"/>
      <c r="S191" s="1"/>
      <c r="T191" s="1"/>
      <c r="U191" s="2"/>
      <c r="V191" s="3"/>
      <c r="W191" s="3"/>
      <c r="X191" s="2"/>
      <c r="Y191" s="1"/>
      <c r="Z191" s="1"/>
    </row>
    <row r="192" spans="1:26" x14ac:dyDescent="0.4">
      <c r="A192" s="1"/>
      <c r="B192" s="1"/>
      <c r="C192" s="1"/>
      <c r="D192" s="2"/>
      <c r="E192" s="2"/>
      <c r="F192" s="2"/>
      <c r="G192" s="2"/>
      <c r="H192" s="2"/>
      <c r="I192" s="2"/>
      <c r="J192" s="3"/>
      <c r="K192" s="3"/>
      <c r="L192" s="2"/>
      <c r="M192" s="4"/>
      <c r="N192" s="4"/>
      <c r="O192" s="1"/>
      <c r="P192" s="1"/>
      <c r="Q192" s="1"/>
      <c r="R192" s="4"/>
      <c r="S192" s="1"/>
      <c r="T192" s="1"/>
      <c r="U192" s="2"/>
      <c r="V192" s="3"/>
      <c r="W192" s="3"/>
      <c r="X192" s="2"/>
      <c r="Y192" s="1"/>
      <c r="Z192" s="1"/>
    </row>
    <row r="193" spans="1:26" x14ac:dyDescent="0.4">
      <c r="A193" s="1"/>
      <c r="B193" s="1"/>
      <c r="C193" s="1"/>
      <c r="D193" s="2"/>
      <c r="E193" s="2"/>
      <c r="F193" s="2"/>
      <c r="G193" s="2"/>
      <c r="H193" s="2"/>
      <c r="I193" s="2"/>
      <c r="J193" s="3"/>
      <c r="K193" s="3"/>
      <c r="L193" s="2"/>
      <c r="M193" s="4"/>
      <c r="N193" s="4"/>
      <c r="O193" s="1"/>
      <c r="P193" s="1"/>
      <c r="Q193" s="1"/>
      <c r="R193" s="4"/>
      <c r="S193" s="1"/>
      <c r="T193" s="1"/>
      <c r="U193" s="2"/>
      <c r="V193" s="3"/>
      <c r="W193" s="3"/>
      <c r="X193" s="2"/>
      <c r="Y193" s="1"/>
      <c r="Z193" s="1"/>
    </row>
    <row r="194" spans="1:26" x14ac:dyDescent="0.4">
      <c r="A194" s="1"/>
      <c r="B194" s="1"/>
      <c r="C194" s="1"/>
      <c r="D194" s="2"/>
      <c r="E194" s="2"/>
      <c r="F194" s="2"/>
      <c r="G194" s="2"/>
      <c r="H194" s="2"/>
      <c r="I194" s="2"/>
      <c r="J194" s="3"/>
      <c r="K194" s="3"/>
      <c r="L194" s="2"/>
      <c r="M194" s="4"/>
      <c r="N194" s="4"/>
      <c r="O194" s="1"/>
      <c r="P194" s="1"/>
      <c r="Q194" s="1"/>
      <c r="R194" s="4"/>
      <c r="S194" s="1"/>
      <c r="T194" s="1"/>
      <c r="U194" s="2"/>
      <c r="V194" s="3"/>
      <c r="W194" s="3"/>
      <c r="X194" s="2"/>
      <c r="Y194" s="1"/>
      <c r="Z194" s="1"/>
    </row>
    <row r="195" spans="1:26" x14ac:dyDescent="0.4">
      <c r="A195" s="1"/>
      <c r="B195" s="1"/>
      <c r="C195" s="1"/>
      <c r="D195" s="2"/>
      <c r="E195" s="2"/>
      <c r="F195" s="2"/>
      <c r="G195" s="2"/>
      <c r="H195" s="2"/>
      <c r="I195" s="2"/>
      <c r="J195" s="3"/>
      <c r="K195" s="3"/>
      <c r="L195" s="2"/>
      <c r="M195" s="4"/>
      <c r="N195" s="4"/>
      <c r="O195" s="1"/>
      <c r="P195" s="1"/>
      <c r="Q195" s="1"/>
      <c r="R195" s="4"/>
      <c r="S195" s="1"/>
      <c r="T195" s="1"/>
      <c r="U195" s="2"/>
      <c r="V195" s="3"/>
      <c r="W195" s="3"/>
      <c r="X195" s="2"/>
      <c r="Y195" s="1"/>
      <c r="Z195" s="1"/>
    </row>
    <row r="196" spans="1:26" x14ac:dyDescent="0.4">
      <c r="A196" s="1"/>
      <c r="B196" s="1"/>
      <c r="C196" s="1"/>
      <c r="D196" s="2"/>
      <c r="E196" s="2"/>
      <c r="F196" s="2"/>
      <c r="G196" s="2"/>
      <c r="H196" s="2"/>
      <c r="I196" s="2"/>
      <c r="J196" s="3"/>
      <c r="K196" s="3"/>
      <c r="L196" s="2"/>
      <c r="M196" s="4"/>
      <c r="N196" s="4"/>
      <c r="O196" s="1"/>
      <c r="P196" s="1"/>
      <c r="Q196" s="1"/>
      <c r="R196" s="4"/>
      <c r="S196" s="1"/>
      <c r="T196" s="1"/>
      <c r="U196" s="2"/>
      <c r="V196" s="3"/>
      <c r="W196" s="3"/>
      <c r="X196" s="2"/>
      <c r="Y196" s="1"/>
      <c r="Z196" s="1"/>
    </row>
    <row r="197" spans="1:26" x14ac:dyDescent="0.4">
      <c r="A197" s="1"/>
      <c r="B197" s="1"/>
      <c r="C197" s="1"/>
      <c r="D197" s="2"/>
      <c r="E197" s="2"/>
      <c r="F197" s="2"/>
      <c r="G197" s="2"/>
      <c r="H197" s="2"/>
      <c r="I197" s="2"/>
      <c r="J197" s="3"/>
      <c r="K197" s="3"/>
      <c r="L197" s="2"/>
      <c r="M197" s="4"/>
      <c r="N197" s="4"/>
      <c r="O197" s="1"/>
      <c r="P197" s="1"/>
      <c r="Q197" s="1"/>
      <c r="R197" s="4"/>
      <c r="S197" s="1"/>
      <c r="T197" s="1"/>
      <c r="U197" s="2"/>
      <c r="V197" s="3"/>
      <c r="W197" s="3"/>
      <c r="X197" s="2"/>
      <c r="Y197" s="1"/>
      <c r="Z197" s="1"/>
    </row>
    <row r="198" spans="1:26" x14ac:dyDescent="0.4">
      <c r="A198" s="1"/>
      <c r="B198" s="1"/>
      <c r="C198" s="1"/>
      <c r="D198" s="2"/>
      <c r="E198" s="2"/>
      <c r="F198" s="2"/>
      <c r="G198" s="2"/>
      <c r="H198" s="2"/>
      <c r="I198" s="2"/>
      <c r="J198" s="3"/>
      <c r="K198" s="3"/>
      <c r="L198" s="2"/>
      <c r="M198" s="4"/>
      <c r="N198" s="4"/>
      <c r="O198" s="1"/>
      <c r="P198" s="1"/>
      <c r="Q198" s="1"/>
      <c r="R198" s="4"/>
      <c r="S198" s="1"/>
      <c r="T198" s="1"/>
      <c r="U198" s="2"/>
      <c r="V198" s="3"/>
      <c r="W198" s="3"/>
      <c r="X198" s="2"/>
      <c r="Y198" s="1"/>
      <c r="Z198" s="1"/>
    </row>
    <row r="199" spans="1:26" x14ac:dyDescent="0.4">
      <c r="A199" s="1"/>
      <c r="B199" s="1"/>
      <c r="C199" s="1"/>
      <c r="D199" s="2"/>
      <c r="E199" s="2"/>
      <c r="F199" s="2"/>
      <c r="G199" s="2"/>
      <c r="H199" s="2"/>
      <c r="I199" s="2"/>
      <c r="J199" s="3"/>
      <c r="K199" s="3"/>
      <c r="L199" s="2"/>
      <c r="M199" s="4"/>
      <c r="N199" s="4"/>
      <c r="O199" s="1"/>
      <c r="P199" s="1"/>
      <c r="Q199" s="1"/>
      <c r="R199" s="4"/>
      <c r="S199" s="1"/>
      <c r="T199" s="1"/>
      <c r="U199" s="2"/>
      <c r="V199" s="3"/>
      <c r="W199" s="3"/>
      <c r="X199" s="2"/>
      <c r="Y199" s="1"/>
      <c r="Z199" s="1"/>
    </row>
    <row r="200" spans="1:26" x14ac:dyDescent="0.4">
      <c r="A200" s="1"/>
      <c r="B200" s="1"/>
      <c r="C200" s="1"/>
      <c r="D200" s="2"/>
      <c r="E200" s="2"/>
      <c r="F200" s="2"/>
      <c r="G200" s="2"/>
      <c r="H200" s="2"/>
      <c r="I200" s="2"/>
      <c r="J200" s="3"/>
      <c r="K200" s="3"/>
      <c r="L200" s="2"/>
      <c r="M200" s="4"/>
      <c r="N200" s="4"/>
      <c r="O200" s="1"/>
      <c r="P200" s="1"/>
      <c r="Q200" s="1"/>
      <c r="R200" s="4"/>
      <c r="S200" s="1"/>
      <c r="T200" s="1"/>
      <c r="U200" s="2"/>
      <c r="V200" s="3"/>
      <c r="W200" s="3"/>
      <c r="X200" s="2"/>
      <c r="Y200" s="1"/>
      <c r="Z200" s="1"/>
    </row>
    <row r="201" spans="1:26" x14ac:dyDescent="0.4">
      <c r="A201" s="1"/>
      <c r="B201" s="1"/>
      <c r="C201" s="1"/>
      <c r="D201" s="2"/>
      <c r="E201" s="2"/>
      <c r="F201" s="2"/>
      <c r="G201" s="2"/>
      <c r="H201" s="2"/>
      <c r="I201" s="2"/>
      <c r="J201" s="3"/>
      <c r="K201" s="3"/>
      <c r="L201" s="2"/>
      <c r="M201" s="4"/>
      <c r="N201" s="4"/>
      <c r="O201" s="1"/>
      <c r="P201" s="1"/>
      <c r="Q201" s="1"/>
      <c r="R201" s="4"/>
      <c r="S201" s="1"/>
      <c r="T201" s="1"/>
      <c r="U201" s="2"/>
      <c r="V201" s="3"/>
      <c r="W201" s="3"/>
      <c r="X201" s="2"/>
      <c r="Y201" s="1"/>
      <c r="Z201" s="1"/>
    </row>
    <row r="202" spans="1:26" x14ac:dyDescent="0.4">
      <c r="A202" s="1"/>
      <c r="B202" s="1"/>
      <c r="C202" s="1"/>
      <c r="D202" s="2"/>
      <c r="E202" s="2"/>
      <c r="F202" s="2"/>
      <c r="G202" s="2"/>
      <c r="H202" s="2"/>
      <c r="I202" s="2"/>
      <c r="J202" s="3"/>
      <c r="K202" s="3"/>
      <c r="L202" s="2"/>
      <c r="M202" s="4"/>
      <c r="N202" s="4"/>
      <c r="O202" s="1"/>
      <c r="P202" s="1"/>
      <c r="Q202" s="1"/>
      <c r="R202" s="4"/>
      <c r="S202" s="1"/>
      <c r="T202" s="1"/>
      <c r="U202" s="2"/>
      <c r="V202" s="3"/>
      <c r="W202" s="3"/>
      <c r="X202" s="2"/>
      <c r="Y202" s="1"/>
      <c r="Z202" s="1"/>
    </row>
    <row r="203" spans="1:26" x14ac:dyDescent="0.4">
      <c r="A203" s="1"/>
      <c r="B203" s="1"/>
      <c r="C203" s="1"/>
      <c r="D203" s="2"/>
      <c r="E203" s="2"/>
      <c r="F203" s="2"/>
      <c r="G203" s="2"/>
      <c r="H203" s="2"/>
      <c r="I203" s="2"/>
      <c r="J203" s="3"/>
      <c r="K203" s="3"/>
      <c r="L203" s="2"/>
      <c r="M203" s="4"/>
      <c r="N203" s="4"/>
      <c r="O203" s="1"/>
      <c r="P203" s="1"/>
      <c r="Q203" s="1"/>
      <c r="R203" s="4"/>
      <c r="S203" s="1"/>
      <c r="T203" s="1"/>
      <c r="U203" s="2"/>
      <c r="V203" s="3"/>
      <c r="W203" s="3"/>
      <c r="X203" s="2"/>
      <c r="Y203" s="1"/>
      <c r="Z203" s="1"/>
    </row>
    <row r="204" spans="1:26" x14ac:dyDescent="0.4">
      <c r="A204" s="1"/>
      <c r="B204" s="1"/>
      <c r="C204" s="1"/>
      <c r="D204" s="2"/>
      <c r="E204" s="2"/>
      <c r="F204" s="2"/>
      <c r="G204" s="2"/>
      <c r="H204" s="2"/>
      <c r="I204" s="2"/>
      <c r="J204" s="3"/>
      <c r="K204" s="3"/>
      <c r="L204" s="2"/>
      <c r="M204" s="4"/>
      <c r="N204" s="4"/>
      <c r="O204" s="1"/>
      <c r="P204" s="1"/>
      <c r="Q204" s="1"/>
      <c r="R204" s="4"/>
      <c r="S204" s="1"/>
      <c r="T204" s="1"/>
      <c r="U204" s="2"/>
      <c r="V204" s="3"/>
      <c r="W204" s="3"/>
      <c r="X204" s="2"/>
      <c r="Y204" s="1"/>
      <c r="Z204" s="1"/>
    </row>
    <row r="205" spans="1:26" x14ac:dyDescent="0.4">
      <c r="A205" s="1"/>
      <c r="B205" s="1"/>
      <c r="C205" s="1"/>
      <c r="D205" s="2"/>
      <c r="E205" s="2"/>
      <c r="F205" s="2"/>
      <c r="G205" s="2"/>
      <c r="H205" s="2"/>
      <c r="I205" s="2"/>
      <c r="J205" s="3"/>
      <c r="K205" s="3"/>
      <c r="L205" s="2"/>
      <c r="M205" s="4"/>
      <c r="N205" s="4"/>
      <c r="O205" s="1"/>
      <c r="P205" s="1"/>
      <c r="Q205" s="1"/>
      <c r="R205" s="4"/>
      <c r="S205" s="1"/>
      <c r="T205" s="1"/>
      <c r="U205" s="2"/>
      <c r="V205" s="3"/>
      <c r="W205" s="3"/>
      <c r="X205" s="2"/>
      <c r="Y205" s="1"/>
      <c r="Z205" s="1"/>
    </row>
    <row r="206" spans="1:26" x14ac:dyDescent="0.4">
      <c r="A206" s="1"/>
      <c r="B206" s="1"/>
      <c r="C206" s="1"/>
      <c r="D206" s="2"/>
      <c r="E206" s="2"/>
      <c r="F206" s="2"/>
      <c r="G206" s="2"/>
      <c r="H206" s="2"/>
      <c r="I206" s="2"/>
      <c r="J206" s="3"/>
      <c r="K206" s="3"/>
      <c r="L206" s="2"/>
      <c r="M206" s="4"/>
      <c r="N206" s="4"/>
      <c r="O206" s="1"/>
      <c r="P206" s="1"/>
      <c r="Q206" s="1"/>
      <c r="R206" s="4"/>
      <c r="S206" s="1"/>
      <c r="T206" s="1"/>
      <c r="U206" s="2"/>
      <c r="V206" s="3"/>
      <c r="W206" s="3"/>
      <c r="X206" s="2"/>
      <c r="Y206" s="1"/>
      <c r="Z206" s="1"/>
    </row>
    <row r="207" spans="1:26" x14ac:dyDescent="0.4">
      <c r="A207" s="1"/>
      <c r="B207" s="1"/>
      <c r="C207" s="1"/>
      <c r="D207" s="2"/>
      <c r="E207" s="2"/>
      <c r="F207" s="2"/>
      <c r="G207" s="2"/>
      <c r="H207" s="2"/>
      <c r="I207" s="2"/>
      <c r="J207" s="3"/>
      <c r="K207" s="3"/>
      <c r="L207" s="2"/>
      <c r="M207" s="4"/>
      <c r="N207" s="4"/>
      <c r="O207" s="1"/>
      <c r="P207" s="1"/>
      <c r="Q207" s="1"/>
      <c r="R207" s="4"/>
      <c r="S207" s="1"/>
      <c r="T207" s="1"/>
      <c r="U207" s="2"/>
      <c r="V207" s="3"/>
      <c r="W207" s="3"/>
      <c r="X207" s="2"/>
      <c r="Y207" s="1"/>
      <c r="Z207" s="1"/>
    </row>
    <row r="208" spans="1:26" x14ac:dyDescent="0.4">
      <c r="A208" s="1"/>
      <c r="B208" s="1"/>
      <c r="C208" s="1"/>
      <c r="D208" s="2"/>
      <c r="E208" s="2"/>
      <c r="F208" s="2"/>
      <c r="G208" s="2"/>
      <c r="H208" s="2"/>
      <c r="I208" s="2"/>
      <c r="J208" s="3"/>
      <c r="K208" s="3"/>
      <c r="L208" s="2"/>
      <c r="M208" s="4"/>
      <c r="N208" s="4"/>
      <c r="O208" s="1"/>
      <c r="P208" s="1"/>
      <c r="Q208" s="1"/>
      <c r="R208" s="4"/>
      <c r="S208" s="1"/>
      <c r="T208" s="1"/>
      <c r="U208" s="2"/>
      <c r="V208" s="3"/>
      <c r="W208" s="3"/>
      <c r="X208" s="2"/>
      <c r="Y208" s="1"/>
      <c r="Z208" s="1"/>
    </row>
    <row r="209" spans="1:26" x14ac:dyDescent="0.4">
      <c r="A209" s="1"/>
      <c r="B209" s="1"/>
      <c r="C209" s="1"/>
      <c r="D209" s="2"/>
      <c r="E209" s="2"/>
      <c r="F209" s="2"/>
      <c r="G209" s="2"/>
      <c r="H209" s="2"/>
      <c r="I209" s="2"/>
      <c r="J209" s="3"/>
      <c r="K209" s="3"/>
      <c r="L209" s="2"/>
      <c r="M209" s="4"/>
      <c r="N209" s="4"/>
      <c r="O209" s="1"/>
      <c r="P209" s="1"/>
      <c r="Q209" s="1"/>
      <c r="R209" s="4"/>
      <c r="S209" s="1"/>
      <c r="T209" s="1"/>
      <c r="U209" s="2"/>
      <c r="V209" s="3"/>
      <c r="W209" s="3"/>
      <c r="X209" s="2"/>
      <c r="Y209" s="1"/>
      <c r="Z209" s="1"/>
    </row>
    <row r="210" spans="1:26" x14ac:dyDescent="0.4">
      <c r="A210" s="1"/>
      <c r="B210" s="1"/>
      <c r="C210" s="1"/>
      <c r="D210" s="2"/>
      <c r="E210" s="2"/>
      <c r="F210" s="2"/>
      <c r="G210" s="2"/>
      <c r="H210" s="2"/>
      <c r="I210" s="2"/>
      <c r="J210" s="3"/>
      <c r="K210" s="3"/>
      <c r="L210" s="2"/>
      <c r="M210" s="4"/>
      <c r="N210" s="4"/>
      <c r="O210" s="1"/>
      <c r="P210" s="1"/>
      <c r="Q210" s="1"/>
      <c r="R210" s="4"/>
      <c r="S210" s="1"/>
      <c r="T210" s="1"/>
      <c r="U210" s="2"/>
      <c r="V210" s="3"/>
      <c r="W210" s="3"/>
      <c r="X210" s="2"/>
      <c r="Y210" s="1"/>
      <c r="Z210" s="1"/>
    </row>
    <row r="211" spans="1:26" x14ac:dyDescent="0.4">
      <c r="A211" s="1"/>
      <c r="B211" s="1"/>
      <c r="C211" s="1"/>
      <c r="D211" s="2"/>
      <c r="E211" s="2"/>
      <c r="F211" s="2"/>
      <c r="G211" s="2"/>
      <c r="H211" s="2"/>
      <c r="I211" s="2"/>
      <c r="J211" s="3"/>
      <c r="K211" s="3"/>
      <c r="L211" s="2"/>
      <c r="M211" s="4"/>
      <c r="N211" s="4"/>
      <c r="O211" s="1"/>
      <c r="P211" s="1"/>
      <c r="Q211" s="1"/>
      <c r="R211" s="4"/>
      <c r="S211" s="1"/>
      <c r="T211" s="1"/>
      <c r="U211" s="2"/>
      <c r="V211" s="3"/>
      <c r="W211" s="3"/>
      <c r="X211" s="2"/>
      <c r="Y211" s="1"/>
      <c r="Z211" s="1"/>
    </row>
    <row r="212" spans="1:26" x14ac:dyDescent="0.4">
      <c r="A212" s="1"/>
      <c r="B212" s="1"/>
      <c r="C212" s="1"/>
      <c r="D212" s="2"/>
      <c r="E212" s="2"/>
      <c r="F212" s="2"/>
      <c r="G212" s="2"/>
      <c r="H212" s="2"/>
      <c r="I212" s="2"/>
      <c r="J212" s="3"/>
      <c r="K212" s="3"/>
      <c r="L212" s="2"/>
      <c r="M212" s="4"/>
      <c r="N212" s="4"/>
      <c r="O212" s="1"/>
      <c r="P212" s="1"/>
      <c r="Q212" s="1"/>
      <c r="R212" s="4"/>
      <c r="S212" s="1"/>
      <c r="T212" s="1"/>
      <c r="U212" s="2"/>
      <c r="V212" s="3"/>
      <c r="W212" s="3"/>
      <c r="X212" s="2"/>
      <c r="Y212" s="1"/>
      <c r="Z212" s="1"/>
    </row>
    <row r="213" spans="1:26" x14ac:dyDescent="0.4">
      <c r="A213" s="1"/>
      <c r="B213" s="1"/>
      <c r="C213" s="1"/>
      <c r="D213" s="2"/>
      <c r="E213" s="2"/>
      <c r="F213" s="2"/>
      <c r="G213" s="2"/>
      <c r="H213" s="2"/>
      <c r="I213" s="2"/>
      <c r="J213" s="3"/>
      <c r="K213" s="3"/>
      <c r="L213" s="2"/>
      <c r="M213" s="4"/>
      <c r="N213" s="4"/>
      <c r="O213" s="1"/>
      <c r="P213" s="1"/>
      <c r="Q213" s="1"/>
      <c r="R213" s="4"/>
      <c r="S213" s="1"/>
      <c r="T213" s="1"/>
      <c r="U213" s="2"/>
      <c r="V213" s="3"/>
      <c r="W213" s="3"/>
      <c r="X213" s="2"/>
      <c r="Y213" s="1"/>
      <c r="Z213" s="1"/>
    </row>
    <row r="214" spans="1:26" x14ac:dyDescent="0.4">
      <c r="A214" s="1"/>
      <c r="B214" s="1"/>
      <c r="C214" s="1"/>
      <c r="D214" s="2"/>
      <c r="E214" s="2"/>
      <c r="F214" s="2"/>
      <c r="G214" s="2"/>
      <c r="H214" s="2"/>
      <c r="I214" s="2"/>
      <c r="J214" s="3"/>
      <c r="K214" s="3"/>
      <c r="L214" s="2"/>
      <c r="M214" s="4"/>
      <c r="N214" s="4"/>
      <c r="O214" s="1"/>
      <c r="P214" s="1"/>
      <c r="Q214" s="1"/>
      <c r="R214" s="4"/>
      <c r="S214" s="1"/>
      <c r="T214" s="1"/>
      <c r="U214" s="2"/>
      <c r="V214" s="3"/>
      <c r="W214" s="3"/>
      <c r="X214" s="2"/>
      <c r="Y214" s="1"/>
      <c r="Z214" s="1"/>
    </row>
    <row r="215" spans="1:26" x14ac:dyDescent="0.4">
      <c r="A215" s="1"/>
      <c r="B215" s="1"/>
      <c r="C215" s="1"/>
      <c r="D215" s="2"/>
      <c r="E215" s="2"/>
      <c r="F215" s="2"/>
      <c r="G215" s="2"/>
      <c r="H215" s="2"/>
      <c r="I215" s="2"/>
      <c r="J215" s="3"/>
      <c r="K215" s="3"/>
      <c r="L215" s="2"/>
      <c r="M215" s="4"/>
      <c r="N215" s="4"/>
      <c r="O215" s="1"/>
      <c r="P215" s="1"/>
      <c r="Q215" s="1"/>
      <c r="R215" s="4"/>
      <c r="S215" s="1"/>
      <c r="T215" s="1"/>
      <c r="U215" s="2"/>
      <c r="V215" s="3"/>
      <c r="W215" s="3"/>
      <c r="X215" s="2"/>
      <c r="Y215" s="1"/>
      <c r="Z215" s="1"/>
    </row>
    <row r="216" spans="1:26" x14ac:dyDescent="0.4">
      <c r="A216" s="1"/>
      <c r="B216" s="1"/>
      <c r="C216" s="1"/>
      <c r="D216" s="2"/>
      <c r="E216" s="2"/>
      <c r="F216" s="2"/>
      <c r="G216" s="2"/>
      <c r="H216" s="2"/>
      <c r="I216" s="2"/>
      <c r="J216" s="3"/>
      <c r="K216" s="3"/>
      <c r="L216" s="2"/>
      <c r="M216" s="4"/>
      <c r="N216" s="4"/>
      <c r="O216" s="1"/>
      <c r="P216" s="1"/>
      <c r="Q216" s="1"/>
      <c r="R216" s="4"/>
      <c r="S216" s="1"/>
      <c r="T216" s="1"/>
      <c r="U216" s="2"/>
      <c r="V216" s="3"/>
      <c r="W216" s="3"/>
      <c r="X216" s="2"/>
      <c r="Y216" s="1"/>
      <c r="Z216" s="1"/>
    </row>
    <row r="217" spans="1:26" x14ac:dyDescent="0.4">
      <c r="A217" s="1"/>
      <c r="B217" s="1"/>
      <c r="C217" s="1"/>
      <c r="D217" s="2"/>
      <c r="E217" s="2"/>
      <c r="F217" s="2"/>
      <c r="G217" s="2"/>
      <c r="H217" s="2"/>
      <c r="I217" s="2"/>
      <c r="J217" s="3"/>
      <c r="K217" s="3"/>
      <c r="L217" s="2"/>
      <c r="M217" s="4"/>
      <c r="N217" s="4"/>
      <c r="O217" s="1"/>
      <c r="P217" s="1"/>
      <c r="Q217" s="1"/>
      <c r="R217" s="4"/>
      <c r="S217" s="1"/>
      <c r="T217" s="1"/>
      <c r="U217" s="2"/>
      <c r="V217" s="3"/>
      <c r="W217" s="3"/>
      <c r="X217" s="2"/>
      <c r="Y217" s="1"/>
      <c r="Z217" s="1"/>
    </row>
    <row r="218" spans="1:26" x14ac:dyDescent="0.4">
      <c r="A218" s="1"/>
      <c r="B218" s="1"/>
      <c r="C218" s="1"/>
      <c r="D218" s="2"/>
      <c r="E218" s="2"/>
      <c r="F218" s="2"/>
      <c r="G218" s="2"/>
      <c r="H218" s="2"/>
      <c r="I218" s="2"/>
      <c r="J218" s="3"/>
      <c r="K218" s="3"/>
      <c r="L218" s="2"/>
      <c r="M218" s="4"/>
      <c r="N218" s="4"/>
      <c r="O218" s="1"/>
      <c r="P218" s="1"/>
      <c r="Q218" s="1"/>
      <c r="R218" s="4"/>
      <c r="S218" s="1"/>
      <c r="T218" s="1"/>
      <c r="U218" s="2"/>
      <c r="V218" s="3"/>
      <c r="W218" s="3"/>
      <c r="X218" s="2"/>
      <c r="Y218" s="1"/>
      <c r="Z218" s="1"/>
    </row>
    <row r="219" spans="1:26" x14ac:dyDescent="0.4">
      <c r="A219" s="1"/>
      <c r="B219" s="1"/>
      <c r="C219" s="1"/>
      <c r="D219" s="2"/>
      <c r="E219" s="2"/>
      <c r="F219" s="2"/>
      <c r="G219" s="2"/>
      <c r="H219" s="2"/>
      <c r="I219" s="2"/>
      <c r="J219" s="3"/>
      <c r="K219" s="3"/>
      <c r="L219" s="2"/>
      <c r="M219" s="4"/>
      <c r="N219" s="4"/>
      <c r="O219" s="1"/>
      <c r="P219" s="1"/>
      <c r="Q219" s="1"/>
      <c r="R219" s="4"/>
      <c r="S219" s="1"/>
      <c r="T219" s="1"/>
      <c r="U219" s="2"/>
      <c r="V219" s="3"/>
      <c r="W219" s="3"/>
      <c r="X219" s="2"/>
      <c r="Y219" s="1"/>
      <c r="Z219" s="1"/>
    </row>
    <row r="220" spans="1:26" x14ac:dyDescent="0.4">
      <c r="A220" s="1"/>
      <c r="B220" s="1"/>
      <c r="C220" s="1"/>
      <c r="D220" s="2"/>
      <c r="E220" s="2"/>
      <c r="F220" s="2"/>
      <c r="G220" s="2"/>
      <c r="H220" s="2"/>
      <c r="I220" s="2"/>
      <c r="J220" s="3"/>
      <c r="K220" s="3"/>
      <c r="L220" s="2"/>
      <c r="M220" s="4"/>
      <c r="N220" s="4"/>
      <c r="O220" s="1"/>
      <c r="P220" s="1"/>
      <c r="Q220" s="1"/>
      <c r="R220" s="4"/>
      <c r="S220" s="1"/>
      <c r="T220" s="1"/>
      <c r="U220" s="2"/>
      <c r="V220" s="3"/>
      <c r="W220" s="3"/>
      <c r="X220" s="2"/>
      <c r="Y220" s="1"/>
      <c r="Z220" s="1"/>
    </row>
    <row r="221" spans="1:26" x14ac:dyDescent="0.4">
      <c r="A221" s="1"/>
      <c r="B221" s="1"/>
      <c r="C221" s="1"/>
      <c r="D221" s="2"/>
      <c r="E221" s="2"/>
      <c r="F221" s="2"/>
      <c r="G221" s="2"/>
      <c r="H221" s="2"/>
      <c r="I221" s="2"/>
      <c r="J221" s="3"/>
      <c r="K221" s="3"/>
      <c r="L221" s="2"/>
      <c r="M221" s="4"/>
      <c r="N221" s="4"/>
      <c r="O221" s="1"/>
      <c r="P221" s="1"/>
      <c r="Q221" s="1"/>
      <c r="R221" s="4"/>
      <c r="S221" s="1"/>
      <c r="T221" s="1"/>
      <c r="U221" s="2"/>
      <c r="V221" s="3"/>
      <c r="W221" s="3"/>
      <c r="X221" s="2"/>
      <c r="Y221" s="1"/>
      <c r="Z221" s="1"/>
    </row>
    <row r="222" spans="1:26" x14ac:dyDescent="0.4">
      <c r="A222" s="1"/>
      <c r="B222" s="1"/>
      <c r="C222" s="1"/>
      <c r="D222" s="2"/>
      <c r="E222" s="2"/>
      <c r="F222" s="2"/>
      <c r="G222" s="2"/>
      <c r="H222" s="2"/>
      <c r="I222" s="2"/>
      <c r="J222" s="3"/>
      <c r="K222" s="3"/>
      <c r="L222" s="2"/>
      <c r="M222" s="4"/>
      <c r="N222" s="4"/>
      <c r="O222" s="1"/>
      <c r="P222" s="1"/>
      <c r="Q222" s="1"/>
      <c r="R222" s="4"/>
      <c r="S222" s="1"/>
      <c r="T222" s="1"/>
      <c r="U222" s="2"/>
      <c r="V222" s="3"/>
      <c r="W222" s="3"/>
      <c r="X222" s="2"/>
      <c r="Y222" s="1"/>
      <c r="Z222" s="1"/>
    </row>
    <row r="223" spans="1:26" x14ac:dyDescent="0.4">
      <c r="A223" s="1"/>
      <c r="B223" s="1"/>
      <c r="C223" s="1"/>
      <c r="D223" s="2"/>
      <c r="E223" s="2"/>
      <c r="F223" s="2"/>
      <c r="G223" s="2"/>
      <c r="H223" s="2"/>
      <c r="I223" s="2"/>
      <c r="J223" s="3"/>
      <c r="K223" s="3"/>
      <c r="L223" s="2"/>
      <c r="M223" s="4"/>
      <c r="N223" s="4"/>
      <c r="O223" s="1"/>
      <c r="P223" s="1"/>
      <c r="Q223" s="1"/>
      <c r="R223" s="4"/>
      <c r="S223" s="1"/>
      <c r="T223" s="1"/>
      <c r="U223" s="2"/>
      <c r="V223" s="3"/>
      <c r="W223" s="3"/>
      <c r="X223" s="2"/>
      <c r="Y223" s="1"/>
      <c r="Z223" s="1"/>
    </row>
    <row r="224" spans="1:26" x14ac:dyDescent="0.4">
      <c r="A224" s="1"/>
      <c r="B224" s="1"/>
      <c r="C224" s="1"/>
      <c r="D224" s="2"/>
      <c r="E224" s="2"/>
      <c r="F224" s="2"/>
      <c r="G224" s="2"/>
      <c r="H224" s="2"/>
      <c r="I224" s="2"/>
      <c r="J224" s="3"/>
      <c r="K224" s="3"/>
      <c r="L224" s="2"/>
      <c r="M224" s="4"/>
      <c r="N224" s="4"/>
      <c r="O224" s="1"/>
      <c r="P224" s="1"/>
      <c r="Q224" s="1"/>
      <c r="R224" s="4"/>
      <c r="S224" s="1"/>
      <c r="T224" s="1"/>
      <c r="U224" s="2"/>
      <c r="V224" s="3"/>
      <c r="W224" s="3"/>
      <c r="X224" s="2"/>
      <c r="Y224" s="1"/>
      <c r="Z224" s="1"/>
    </row>
    <row r="225" spans="1:26" x14ac:dyDescent="0.4">
      <c r="A225" s="1"/>
      <c r="B225" s="1"/>
      <c r="C225" s="1"/>
      <c r="D225" s="2"/>
      <c r="E225" s="2"/>
      <c r="F225" s="2"/>
      <c r="G225" s="2"/>
      <c r="H225" s="2"/>
      <c r="I225" s="2"/>
      <c r="J225" s="3"/>
      <c r="K225" s="3"/>
      <c r="L225" s="2"/>
      <c r="M225" s="4"/>
      <c r="N225" s="4"/>
      <c r="O225" s="1"/>
      <c r="P225" s="1"/>
      <c r="Q225" s="1"/>
      <c r="R225" s="4"/>
      <c r="S225" s="1"/>
      <c r="T225" s="1"/>
      <c r="U225" s="2"/>
      <c r="V225" s="3"/>
      <c r="W225" s="3"/>
      <c r="X225" s="2"/>
      <c r="Y225" s="1"/>
      <c r="Z225" s="1"/>
    </row>
    <row r="226" spans="1:26" x14ac:dyDescent="0.4">
      <c r="A226" s="1"/>
      <c r="B226" s="1"/>
      <c r="C226" s="1"/>
      <c r="D226" s="2"/>
      <c r="E226" s="2"/>
      <c r="F226" s="2"/>
      <c r="G226" s="2"/>
      <c r="H226" s="2"/>
      <c r="I226" s="2"/>
      <c r="J226" s="3"/>
      <c r="K226" s="3"/>
      <c r="L226" s="2"/>
      <c r="M226" s="4"/>
      <c r="N226" s="4"/>
      <c r="O226" s="1"/>
      <c r="P226" s="1"/>
      <c r="Q226" s="1"/>
      <c r="R226" s="4"/>
      <c r="S226" s="1"/>
      <c r="T226" s="1"/>
      <c r="U226" s="2"/>
      <c r="V226" s="3"/>
      <c r="W226" s="3"/>
      <c r="X226" s="2"/>
      <c r="Y226" s="1"/>
      <c r="Z226" s="1"/>
    </row>
    <row r="227" spans="1:26" x14ac:dyDescent="0.4">
      <c r="A227" s="1"/>
      <c r="B227" s="1"/>
      <c r="C227" s="1"/>
      <c r="D227" s="2"/>
      <c r="E227" s="2"/>
      <c r="F227" s="2"/>
      <c r="G227" s="2"/>
      <c r="H227" s="2"/>
      <c r="I227" s="2"/>
      <c r="J227" s="3"/>
      <c r="K227" s="3"/>
      <c r="L227" s="2"/>
      <c r="M227" s="4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4">
      <c r="A228" s="1"/>
      <c r="B228" s="1"/>
      <c r="C228" s="1"/>
      <c r="D228" s="2"/>
      <c r="E228" s="2"/>
      <c r="F228" s="2"/>
      <c r="G228" s="2"/>
      <c r="H228" s="2"/>
      <c r="I228" s="2"/>
      <c r="J228" s="3"/>
      <c r="K228" s="3"/>
      <c r="L228" s="2"/>
      <c r="M228" s="4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4">
      <c r="A229" s="1"/>
      <c r="B229" s="1"/>
      <c r="C229" s="1"/>
      <c r="D229" s="2"/>
      <c r="E229" s="2"/>
      <c r="F229" s="2"/>
      <c r="G229" s="2"/>
      <c r="H229" s="2"/>
      <c r="I229" s="2"/>
      <c r="J229" s="3"/>
      <c r="K229" s="3"/>
      <c r="L229" s="2"/>
      <c r="M229" s="4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4">
      <c r="A230" s="1"/>
      <c r="B230" s="1"/>
      <c r="C230" s="1"/>
      <c r="D230" s="2"/>
      <c r="E230" s="2"/>
      <c r="F230" s="2"/>
      <c r="G230" s="2"/>
      <c r="H230" s="2"/>
      <c r="I230" s="2"/>
      <c r="J230" s="3"/>
      <c r="K230" s="3"/>
      <c r="L230" s="2"/>
      <c r="M230" s="4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4">
      <c r="A231" s="1"/>
      <c r="B231" s="1"/>
      <c r="C231" s="1"/>
      <c r="D231" s="2"/>
      <c r="E231" s="2"/>
      <c r="F231" s="2"/>
      <c r="G231" s="2"/>
      <c r="H231" s="2"/>
      <c r="I231" s="2"/>
      <c r="J231" s="3"/>
      <c r="K231" s="3"/>
      <c r="L231" s="2"/>
      <c r="M231" s="4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4">
      <c r="A232" s="1"/>
      <c r="B232" s="1"/>
      <c r="C232" s="1"/>
      <c r="D232" s="2"/>
      <c r="E232" s="2"/>
      <c r="F232" s="2"/>
      <c r="G232" s="2"/>
      <c r="H232" s="2"/>
      <c r="I232" s="2"/>
      <c r="J232" s="3"/>
      <c r="K232" s="3"/>
      <c r="L232" s="2"/>
      <c r="M232" s="4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4">
      <c r="A233" s="1"/>
      <c r="B233" s="1"/>
      <c r="C233" s="1"/>
      <c r="D233" s="2"/>
      <c r="E233" s="2"/>
      <c r="F233" s="2"/>
      <c r="G233" s="2"/>
      <c r="H233" s="2"/>
      <c r="I233" s="2"/>
      <c r="J233" s="3"/>
      <c r="K233" s="3"/>
      <c r="L233" s="2"/>
      <c r="M233" s="4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4">
      <c r="A234" s="1"/>
      <c r="B234" s="1"/>
      <c r="C234" s="1"/>
      <c r="D234" s="2"/>
      <c r="E234" s="2"/>
      <c r="F234" s="2"/>
      <c r="G234" s="2"/>
      <c r="H234" s="2"/>
      <c r="I234" s="2"/>
      <c r="J234" s="3"/>
      <c r="K234" s="3"/>
      <c r="L234" s="2"/>
      <c r="M234" s="4"/>
      <c r="N234" s="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4">
      <c r="A235" s="1"/>
      <c r="B235" s="1"/>
      <c r="C235" s="1"/>
      <c r="D235" s="2"/>
      <c r="E235" s="2"/>
      <c r="F235" s="2"/>
      <c r="G235" s="2"/>
      <c r="H235" s="2"/>
      <c r="I235" s="2"/>
      <c r="J235" s="3"/>
      <c r="K235" s="3"/>
      <c r="L235" s="2"/>
      <c r="M235" s="4"/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s="5" customFormat="1" x14ac:dyDescent="0.4">
      <c r="A236" s="1"/>
      <c r="B236" s="1"/>
      <c r="C236" s="1"/>
      <c r="D236" s="2"/>
      <c r="E236" s="2"/>
      <c r="F236" s="2"/>
      <c r="G236" s="2"/>
      <c r="H236" s="2"/>
      <c r="I236" s="2"/>
      <c r="J236" s="3"/>
      <c r="K236" s="3"/>
      <c r="L236" s="2"/>
      <c r="M236" s="4"/>
      <c r="N236" s="4"/>
      <c r="O236" s="290"/>
      <c r="P236" s="291"/>
      <c r="Q236" s="291"/>
      <c r="R236" s="291"/>
      <c r="S236" s="1"/>
      <c r="T236" s="1"/>
      <c r="U236" s="1"/>
      <c r="V236" s="1"/>
      <c r="W236" s="1"/>
      <c r="X236" s="1"/>
      <c r="Y236" s="1"/>
      <c r="Z236" s="1"/>
    </row>
    <row r="237" spans="1:26" x14ac:dyDescent="0.4">
      <c r="A237" s="1"/>
      <c r="B237" s="1"/>
      <c r="C237" s="1"/>
      <c r="D237" s="2"/>
      <c r="E237" s="2"/>
      <c r="F237" s="2"/>
      <c r="G237" s="2"/>
      <c r="H237" s="2"/>
      <c r="I237" s="2"/>
      <c r="J237" s="3"/>
      <c r="K237" s="3"/>
      <c r="L237" s="2"/>
      <c r="M237" s="4"/>
      <c r="N237" s="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4">
      <c r="A238" s="1"/>
      <c r="B238" s="1"/>
      <c r="C238" s="1"/>
      <c r="D238" s="2"/>
      <c r="E238" s="2"/>
      <c r="F238" s="2"/>
      <c r="G238" s="2"/>
      <c r="H238" s="2"/>
      <c r="I238" s="2"/>
      <c r="J238" s="3"/>
      <c r="K238" s="3"/>
      <c r="L238" s="2"/>
      <c r="M238" s="4"/>
      <c r="N238" s="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4">
      <c r="A239" s="1"/>
      <c r="B239" s="1"/>
      <c r="C239" s="1"/>
      <c r="D239" s="2"/>
      <c r="E239" s="2"/>
      <c r="F239" s="2"/>
      <c r="G239" s="2"/>
      <c r="H239" s="2"/>
      <c r="I239" s="2"/>
      <c r="J239" s="3"/>
      <c r="K239" s="3"/>
      <c r="L239" s="2"/>
      <c r="M239" s="4"/>
      <c r="N239" s="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4">
      <c r="A240" s="1"/>
      <c r="B240" s="1"/>
      <c r="C240" s="1"/>
      <c r="D240" s="2"/>
      <c r="E240" s="2"/>
      <c r="F240" s="2"/>
      <c r="G240" s="2"/>
      <c r="H240" s="2"/>
      <c r="I240" s="2"/>
      <c r="J240" s="3"/>
      <c r="K240" s="3"/>
      <c r="L240" s="2"/>
      <c r="M240" s="4"/>
      <c r="N240" s="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4">
      <c r="A241" s="1"/>
      <c r="B241" s="1"/>
      <c r="C241" s="1"/>
      <c r="D241" s="2"/>
      <c r="E241" s="2"/>
      <c r="F241" s="2"/>
      <c r="G241" s="2"/>
      <c r="H241" s="2"/>
      <c r="I241" s="2"/>
      <c r="J241" s="3"/>
      <c r="K241" s="3"/>
      <c r="L241" s="2"/>
      <c r="M241" s="4"/>
      <c r="N241" s="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4">
      <c r="A242" s="1"/>
      <c r="B242" s="1"/>
      <c r="C242" s="1"/>
      <c r="D242" s="2"/>
      <c r="E242" s="2"/>
      <c r="F242" s="2"/>
      <c r="G242" s="2"/>
      <c r="H242" s="2"/>
      <c r="I242" s="2"/>
      <c r="J242" s="3"/>
      <c r="K242" s="3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4">
      <c r="A243" s="1"/>
      <c r="B243" s="1"/>
      <c r="C243" s="1"/>
      <c r="D243" s="2"/>
      <c r="E243" s="2"/>
      <c r="F243" s="2"/>
      <c r="G243" s="2"/>
      <c r="H243" s="2"/>
      <c r="I243" s="2"/>
      <c r="J243" s="3"/>
      <c r="K243" s="3"/>
      <c r="L243" s="2"/>
      <c r="M243" s="4"/>
      <c r="N243" s="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4">
      <c r="A244" s="1"/>
      <c r="B244" s="1"/>
      <c r="C244" s="1"/>
      <c r="D244" s="2"/>
      <c r="E244" s="2"/>
      <c r="F244" s="2"/>
      <c r="G244" s="2"/>
      <c r="H244" s="2"/>
      <c r="I244" s="2"/>
      <c r="J244" s="3"/>
      <c r="K244" s="3"/>
      <c r="L244" s="2"/>
      <c r="M244" s="4"/>
      <c r="N244" s="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4">
      <c r="A245" s="1"/>
      <c r="B245" s="1"/>
      <c r="C245" s="1"/>
      <c r="D245" s="2"/>
      <c r="E245" s="2"/>
      <c r="F245" s="2"/>
      <c r="G245" s="2"/>
      <c r="H245" s="2"/>
      <c r="I245" s="2"/>
      <c r="J245" s="3"/>
      <c r="K245" s="3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4">
      <c r="A246" s="1"/>
      <c r="B246" s="1"/>
      <c r="C246" s="1"/>
      <c r="D246" s="2"/>
      <c r="E246" s="2"/>
      <c r="F246" s="2"/>
      <c r="G246" s="2"/>
      <c r="H246" s="2"/>
      <c r="I246" s="2"/>
      <c r="J246" s="3"/>
      <c r="K246" s="3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4">
      <c r="A247" s="1"/>
      <c r="B247" s="1"/>
      <c r="C247" s="1"/>
      <c r="D247" s="2"/>
      <c r="E247" s="2"/>
      <c r="F247" s="2"/>
      <c r="G247" s="2"/>
      <c r="H247" s="2"/>
      <c r="I247" s="2"/>
      <c r="J247" s="3"/>
      <c r="K247" s="3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4">
      <c r="A248" s="1"/>
      <c r="B248" s="1"/>
      <c r="C248" s="1"/>
      <c r="D248" s="2"/>
      <c r="E248" s="2"/>
      <c r="F248" s="2"/>
      <c r="G248" s="2"/>
      <c r="H248" s="2"/>
      <c r="I248" s="2"/>
      <c r="J248" s="3"/>
      <c r="K248" s="3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4">
      <c r="A249" s="1"/>
      <c r="B249" s="1"/>
      <c r="C249" s="1"/>
      <c r="D249" s="2"/>
      <c r="E249" s="2"/>
      <c r="F249" s="2"/>
      <c r="G249" s="2"/>
      <c r="H249" s="2"/>
      <c r="I249" s="2"/>
      <c r="J249" s="3"/>
      <c r="K249" s="3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4">
      <c r="A250" s="1"/>
      <c r="B250" s="1"/>
      <c r="C250" s="1"/>
      <c r="D250" s="2"/>
      <c r="E250" s="2"/>
      <c r="F250" s="2"/>
      <c r="G250" s="2"/>
      <c r="H250" s="2"/>
      <c r="I250" s="2"/>
      <c r="J250" s="3"/>
      <c r="K250" s="3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4">
      <c r="A251" s="1"/>
      <c r="B251" s="1"/>
      <c r="C251" s="1"/>
      <c r="D251" s="2"/>
      <c r="E251" s="2"/>
      <c r="F251" s="2"/>
      <c r="G251" s="2"/>
      <c r="H251" s="2"/>
      <c r="I251" s="2"/>
      <c r="J251" s="3"/>
      <c r="K251" s="3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4">
      <c r="A252" s="1"/>
      <c r="B252" s="1"/>
      <c r="C252" s="1"/>
      <c r="D252" s="2"/>
      <c r="E252" s="2"/>
      <c r="F252" s="2"/>
      <c r="G252" s="2"/>
      <c r="H252" s="2"/>
      <c r="I252" s="2"/>
      <c r="J252" s="3"/>
      <c r="K252" s="3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4">
      <c r="A253" s="1"/>
      <c r="B253" s="1"/>
      <c r="C253" s="1"/>
      <c r="D253" s="2"/>
      <c r="E253" s="2"/>
      <c r="F253" s="2"/>
      <c r="G253" s="2"/>
      <c r="H253" s="2"/>
      <c r="I253" s="2"/>
      <c r="J253" s="3"/>
      <c r="K253" s="3"/>
      <c r="L253" s="2"/>
      <c r="M253" s="4"/>
      <c r="N253" s="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4">
      <c r="A254" s="1"/>
      <c r="B254" s="1"/>
      <c r="C254" s="1"/>
      <c r="D254" s="2"/>
      <c r="E254" s="2"/>
      <c r="F254" s="2"/>
      <c r="G254" s="2"/>
      <c r="H254" s="2"/>
      <c r="I254" s="2"/>
      <c r="J254" s="3"/>
      <c r="K254" s="3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4">
      <c r="A255" s="1"/>
      <c r="B255" s="1"/>
      <c r="C255" s="1"/>
      <c r="D255" s="2"/>
      <c r="E255" s="2"/>
      <c r="F255" s="2"/>
      <c r="G255" s="2"/>
      <c r="H255" s="2"/>
      <c r="I255" s="2"/>
      <c r="J255" s="3"/>
      <c r="K255" s="3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4">
      <c r="A256" s="1"/>
      <c r="B256" s="1"/>
      <c r="C256" s="1"/>
      <c r="D256" s="2"/>
      <c r="E256" s="2"/>
      <c r="F256" s="2"/>
      <c r="G256" s="2"/>
      <c r="H256" s="2"/>
      <c r="I256" s="2"/>
      <c r="J256" s="3"/>
      <c r="K256" s="3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26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</sheetData>
  <mergeCells count="16">
    <mergeCell ref="O4:T5"/>
    <mergeCell ref="M77:M78"/>
    <mergeCell ref="N77:N78"/>
    <mergeCell ref="O77:V78"/>
    <mergeCell ref="O236:R236"/>
    <mergeCell ref="N4:N5"/>
    <mergeCell ref="L77:L78"/>
    <mergeCell ref="A4:A5"/>
    <mergeCell ref="D4:I4"/>
    <mergeCell ref="M4:M5"/>
    <mergeCell ref="D5:I5"/>
    <mergeCell ref="A77:A78"/>
    <mergeCell ref="B77:B78"/>
    <mergeCell ref="C77:C78"/>
    <mergeCell ref="J77:J78"/>
    <mergeCell ref="K77:K78"/>
  </mergeCells>
  <phoneticPr fontId="2" type="noConversion"/>
  <pageMargins left="0.7" right="0.7" top="0.75" bottom="0.75" header="0.3" footer="0.3"/>
  <ignoredErrors>
    <ignoredError sqref="J6:J17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90D1-2580-41D9-8ABD-63A1721FF89A}">
  <sheetPr>
    <tabColor rgb="FFC00000"/>
  </sheetPr>
  <dimension ref="A1:Z486"/>
  <sheetViews>
    <sheetView workbookViewId="0">
      <selection activeCell="G11" sqref="G11"/>
    </sheetView>
  </sheetViews>
  <sheetFormatPr defaultRowHeight="17.399999999999999" x14ac:dyDescent="0.4"/>
  <cols>
    <col min="1" max="1" width="10.8984375" customWidth="1"/>
    <col min="4" max="9" width="12.69921875" customWidth="1"/>
    <col min="10" max="11" width="5.59765625" customWidth="1"/>
    <col min="13" max="13" width="14" customWidth="1"/>
    <col min="14" max="14" width="13.59765625" customWidth="1"/>
    <col min="18" max="18" width="12.19921875" customWidth="1"/>
  </cols>
  <sheetData>
    <row r="1" spans="1:26" x14ac:dyDescent="0.4">
      <c r="A1" s="15"/>
      <c r="B1" s="14"/>
      <c r="C1" s="14" t="s">
        <v>34</v>
      </c>
      <c r="D1" s="14"/>
      <c r="E1" s="14"/>
      <c r="F1" s="42"/>
      <c r="G1" s="292" t="s">
        <v>99</v>
      </c>
      <c r="H1" s="14"/>
      <c r="I1" s="14"/>
      <c r="J1" s="15"/>
      <c r="K1" s="15"/>
      <c r="L1" s="14" t="s">
        <v>34</v>
      </c>
      <c r="M1" s="16"/>
      <c r="N1" s="16" t="s">
        <v>33</v>
      </c>
    </row>
    <row r="2" spans="1:26" ht="18" thickBot="1" x14ac:dyDescent="0.45">
      <c r="A2" s="15" t="s">
        <v>32</v>
      </c>
      <c r="B2" s="14"/>
      <c r="C2" s="14" t="s">
        <v>31</v>
      </c>
      <c r="D2" s="14" t="s">
        <v>30</v>
      </c>
      <c r="E2" s="14"/>
      <c r="F2" s="44"/>
      <c r="G2" s="293"/>
      <c r="H2" s="14"/>
      <c r="I2" s="14"/>
      <c r="J2" s="15"/>
      <c r="K2" s="15"/>
      <c r="L2" s="14" t="s">
        <v>29</v>
      </c>
      <c r="M2" s="13"/>
      <c r="N2" s="13" t="s">
        <v>28</v>
      </c>
    </row>
    <row r="3" spans="1:26" x14ac:dyDescent="0.4">
      <c r="B3" s="12"/>
      <c r="C3" s="11">
        <f>SUM(C7:C177)</f>
        <v>2160</v>
      </c>
      <c r="D3" s="12"/>
      <c r="E3" s="12"/>
      <c r="F3" s="12"/>
      <c r="G3" s="12"/>
      <c r="H3" s="12"/>
      <c r="I3" s="12"/>
      <c r="J3" s="40"/>
      <c r="K3" s="40"/>
      <c r="L3" s="11">
        <f>SUM(L7:L2505)</f>
        <v>1620</v>
      </c>
      <c r="M3" s="11"/>
      <c r="N3" s="10"/>
    </row>
    <row r="4" spans="1:26" x14ac:dyDescent="0.4">
      <c r="A4" s="280" t="s">
        <v>27</v>
      </c>
      <c r="B4" s="39" t="s">
        <v>26</v>
      </c>
      <c r="C4" s="39" t="s">
        <v>25</v>
      </c>
      <c r="D4" s="282" t="s">
        <v>100</v>
      </c>
      <c r="E4" s="283"/>
      <c r="F4" s="283"/>
      <c r="G4" s="283"/>
      <c r="H4" s="283"/>
      <c r="I4" s="284"/>
      <c r="J4" s="9" t="s">
        <v>101</v>
      </c>
      <c r="K4" s="9" t="s">
        <v>23</v>
      </c>
      <c r="L4" s="9" t="s">
        <v>22</v>
      </c>
      <c r="M4" s="280" t="s">
        <v>21</v>
      </c>
      <c r="N4" s="280" t="s">
        <v>20</v>
      </c>
      <c r="O4" s="282" t="s">
        <v>175</v>
      </c>
      <c r="P4" s="283"/>
      <c r="Q4" s="283"/>
      <c r="R4" s="283"/>
      <c r="S4" s="283"/>
      <c r="T4" s="284"/>
    </row>
    <row r="5" spans="1:26" x14ac:dyDescent="0.4">
      <c r="A5" s="281"/>
      <c r="B5" s="39" t="s">
        <v>19</v>
      </c>
      <c r="C5" s="39" t="s">
        <v>19</v>
      </c>
      <c r="D5" s="285" t="s">
        <v>102</v>
      </c>
      <c r="E5" s="285"/>
      <c r="F5" s="285"/>
      <c r="G5" s="285"/>
      <c r="H5" s="285"/>
      <c r="I5" s="285"/>
      <c r="J5" s="7" t="s">
        <v>17</v>
      </c>
      <c r="K5" s="7" t="s">
        <v>17</v>
      </c>
      <c r="L5" s="7" t="s">
        <v>16</v>
      </c>
      <c r="M5" s="281"/>
      <c r="N5" s="281"/>
      <c r="O5" s="165" t="s">
        <v>257</v>
      </c>
      <c r="P5" s="282" t="s">
        <v>258</v>
      </c>
      <c r="Q5" s="283"/>
      <c r="R5" s="283"/>
      <c r="S5" s="283"/>
      <c r="T5" s="284"/>
    </row>
    <row r="6" spans="1:26" x14ac:dyDescent="0.4">
      <c r="A6" s="113" t="s">
        <v>152</v>
      </c>
      <c r="B6" s="15">
        <f>C6/5</f>
        <v>70</v>
      </c>
      <c r="C6" s="113">
        <v>350</v>
      </c>
      <c r="D6" s="112">
        <v>44270</v>
      </c>
      <c r="E6" s="256">
        <v>44344</v>
      </c>
      <c r="F6" s="114">
        <v>1</v>
      </c>
      <c r="G6" s="114">
        <v>1</v>
      </c>
      <c r="H6" s="114">
        <v>1</v>
      </c>
      <c r="I6" s="114">
        <v>1</v>
      </c>
      <c r="J6" s="46">
        <f>COUNTIF(D6:I6,"1")</f>
        <v>4</v>
      </c>
      <c r="K6" s="54">
        <f>J6*(C6/6)</f>
        <v>233.33333333333334</v>
      </c>
      <c r="L6" s="47">
        <f>J6*(C6/6)</f>
        <v>233.33333333333334</v>
      </c>
      <c r="M6" s="112">
        <v>44270</v>
      </c>
      <c r="N6" s="19">
        <f>M6+180</f>
        <v>44450</v>
      </c>
      <c r="O6" s="101" t="s">
        <v>153</v>
      </c>
      <c r="P6" s="294" t="s">
        <v>174</v>
      </c>
      <c r="Q6" s="294"/>
      <c r="R6" s="294"/>
      <c r="S6" s="144" t="s">
        <v>381</v>
      </c>
      <c r="T6" s="123"/>
      <c r="U6" s="1"/>
      <c r="V6" s="1"/>
      <c r="W6" s="1"/>
      <c r="X6" s="1"/>
      <c r="Y6" s="1"/>
      <c r="Z6" s="1"/>
    </row>
    <row r="7" spans="1:26" x14ac:dyDescent="0.4">
      <c r="A7" s="1" t="s">
        <v>68</v>
      </c>
      <c r="B7" s="15">
        <f>C7/5</f>
        <v>56</v>
      </c>
      <c r="C7" s="36">
        <v>280</v>
      </c>
      <c r="D7" s="61">
        <v>1</v>
      </c>
      <c r="E7" s="75">
        <v>44255</v>
      </c>
      <c r="F7" s="37">
        <v>1</v>
      </c>
      <c r="G7" s="37">
        <v>1</v>
      </c>
      <c r="H7" s="37">
        <v>1</v>
      </c>
      <c r="I7" s="37">
        <v>1</v>
      </c>
      <c r="J7" s="46">
        <f>COUNTIF(D7:I7,"1")</f>
        <v>5</v>
      </c>
      <c r="K7" s="54">
        <f>J7*(C7/6)</f>
        <v>233.33333333333331</v>
      </c>
      <c r="L7" s="47">
        <f>J7*(C7/6)</f>
        <v>233.33333333333331</v>
      </c>
      <c r="M7" s="4"/>
      <c r="N7" s="19">
        <f>M7+180</f>
        <v>180</v>
      </c>
      <c r="O7" s="123"/>
      <c r="P7" s="123"/>
      <c r="Q7" s="123"/>
      <c r="R7" s="123"/>
      <c r="S7" s="123"/>
      <c r="T7" s="123"/>
      <c r="U7" s="1"/>
      <c r="V7" s="1"/>
      <c r="W7" s="1"/>
      <c r="X7" s="1"/>
      <c r="Y7" s="1"/>
      <c r="Z7" s="1"/>
    </row>
    <row r="8" spans="1:26" x14ac:dyDescent="0.4">
      <c r="A8" s="1" t="s">
        <v>69</v>
      </c>
      <c r="B8" s="15">
        <f t="shared" ref="B8:B15" si="0">C8/5</f>
        <v>56</v>
      </c>
      <c r="C8" s="36">
        <v>280</v>
      </c>
      <c r="D8" s="186">
        <v>44306</v>
      </c>
      <c r="E8" s="249">
        <v>44340</v>
      </c>
      <c r="F8" s="37">
        <v>1</v>
      </c>
      <c r="G8" s="37">
        <v>1</v>
      </c>
      <c r="H8" s="37">
        <v>1</v>
      </c>
      <c r="I8" s="37">
        <v>1</v>
      </c>
      <c r="J8" s="46">
        <f t="shared" ref="J8:J15" si="1">COUNTIF(D8:I8,"1")</f>
        <v>4</v>
      </c>
      <c r="K8" s="54">
        <f t="shared" ref="K8:K15" si="2">J8*(C8/6)</f>
        <v>186.66666666666666</v>
      </c>
      <c r="L8" s="47">
        <f t="shared" ref="L8:L15" si="3">J8*(C8/6)</f>
        <v>186.66666666666666</v>
      </c>
      <c r="M8" s="4"/>
      <c r="N8" s="19">
        <f t="shared" ref="N8:N15" si="4">M8+180</f>
        <v>180</v>
      </c>
      <c r="O8" s="102" t="s">
        <v>281</v>
      </c>
      <c r="P8" s="142" t="s">
        <v>369</v>
      </c>
      <c r="R8" s="123"/>
      <c r="S8" s="123"/>
      <c r="T8" s="123"/>
      <c r="U8" s="1"/>
      <c r="V8" s="1"/>
      <c r="W8" s="1"/>
      <c r="X8" s="1"/>
      <c r="Y8" s="1"/>
      <c r="Z8" s="1"/>
    </row>
    <row r="9" spans="1:26" x14ac:dyDescent="0.4">
      <c r="A9" s="1" t="s">
        <v>70</v>
      </c>
      <c r="B9" s="15">
        <f t="shared" si="0"/>
        <v>60</v>
      </c>
      <c r="C9" s="36">
        <v>300</v>
      </c>
      <c r="D9" s="162">
        <v>44295</v>
      </c>
      <c r="E9" s="249">
        <v>44337</v>
      </c>
      <c r="F9" s="37">
        <v>1</v>
      </c>
      <c r="G9" s="37">
        <v>1</v>
      </c>
      <c r="H9" s="37">
        <v>1</v>
      </c>
      <c r="I9" s="37">
        <v>1</v>
      </c>
      <c r="J9" s="46">
        <f t="shared" si="1"/>
        <v>4</v>
      </c>
      <c r="K9" s="46">
        <f t="shared" si="2"/>
        <v>200</v>
      </c>
      <c r="L9" s="20">
        <f t="shared" si="3"/>
        <v>200</v>
      </c>
      <c r="M9" s="162">
        <v>44295</v>
      </c>
      <c r="N9" s="19">
        <f t="shared" si="4"/>
        <v>44475</v>
      </c>
      <c r="O9" s="158" t="s">
        <v>251</v>
      </c>
      <c r="P9" s="142" t="s">
        <v>251</v>
      </c>
      <c r="Q9" s="123"/>
      <c r="R9" s="123"/>
      <c r="S9" s="123"/>
      <c r="T9" s="123"/>
      <c r="U9" s="1"/>
      <c r="V9" s="1"/>
      <c r="W9" s="1"/>
      <c r="X9" s="1"/>
      <c r="Y9" s="1"/>
      <c r="Z9" s="1"/>
    </row>
    <row r="10" spans="1:26" x14ac:dyDescent="0.4">
      <c r="A10" s="1" t="s">
        <v>71</v>
      </c>
      <c r="B10" s="15">
        <f t="shared" si="0"/>
        <v>60</v>
      </c>
      <c r="C10" s="182">
        <v>300</v>
      </c>
      <c r="D10" s="186">
        <v>44305</v>
      </c>
      <c r="E10" s="37">
        <v>1</v>
      </c>
      <c r="F10" s="37">
        <v>1</v>
      </c>
      <c r="G10" s="37">
        <v>1</v>
      </c>
      <c r="H10" s="37">
        <v>1</v>
      </c>
      <c r="I10" s="37">
        <v>1</v>
      </c>
      <c r="J10" s="46">
        <f t="shared" si="1"/>
        <v>5</v>
      </c>
      <c r="K10" s="46">
        <f t="shared" si="2"/>
        <v>250</v>
      </c>
      <c r="L10" s="20">
        <f t="shared" si="3"/>
        <v>250</v>
      </c>
      <c r="M10" s="181">
        <v>44299</v>
      </c>
      <c r="N10" s="19">
        <f t="shared" si="4"/>
        <v>44479</v>
      </c>
      <c r="O10" s="180" t="s">
        <v>263</v>
      </c>
      <c r="P10" s="123"/>
      <c r="Q10" s="123"/>
      <c r="R10" s="123"/>
      <c r="S10" s="123"/>
      <c r="T10" s="123"/>
      <c r="U10" s="1"/>
      <c r="V10" s="1"/>
      <c r="W10" s="1"/>
      <c r="X10" s="1"/>
      <c r="Y10" s="1"/>
      <c r="Z10" s="1"/>
    </row>
    <row r="11" spans="1:26" x14ac:dyDescent="0.4">
      <c r="A11" s="1" t="s">
        <v>72</v>
      </c>
      <c r="B11" s="15">
        <f t="shared" si="0"/>
        <v>60</v>
      </c>
      <c r="C11" s="36">
        <v>300</v>
      </c>
      <c r="D11" s="210">
        <v>44318</v>
      </c>
      <c r="E11" s="247">
        <v>44335</v>
      </c>
      <c r="F11" s="262">
        <v>44349</v>
      </c>
      <c r="G11" s="278">
        <v>44370</v>
      </c>
      <c r="H11" s="37">
        <v>1</v>
      </c>
      <c r="I11" s="37">
        <v>1</v>
      </c>
      <c r="J11" s="46">
        <f t="shared" si="1"/>
        <v>2</v>
      </c>
      <c r="K11" s="54">
        <f t="shared" si="2"/>
        <v>100</v>
      </c>
      <c r="L11" s="47">
        <f t="shared" si="3"/>
        <v>100</v>
      </c>
      <c r="M11" s="210">
        <v>44318</v>
      </c>
      <c r="N11" s="19">
        <f t="shared" si="4"/>
        <v>44498</v>
      </c>
      <c r="O11" s="150" t="s">
        <v>319</v>
      </c>
      <c r="P11" s="150" t="s">
        <v>319</v>
      </c>
      <c r="Q11" s="144" t="s">
        <v>319</v>
      </c>
      <c r="R11" s="101" t="s">
        <v>319</v>
      </c>
      <c r="S11" s="123"/>
      <c r="T11" s="123"/>
      <c r="U11" s="1"/>
      <c r="V11" s="1"/>
      <c r="W11" s="1"/>
      <c r="X11" s="1"/>
      <c r="Y11" s="1"/>
      <c r="Z11" s="1"/>
    </row>
    <row r="12" spans="1:26" x14ac:dyDescent="0.4">
      <c r="A12" s="5" t="s">
        <v>73</v>
      </c>
      <c r="B12" s="5">
        <f t="shared" si="0"/>
        <v>0</v>
      </c>
      <c r="C12" s="5"/>
      <c r="D12" s="235">
        <v>1</v>
      </c>
      <c r="E12" s="235">
        <v>1</v>
      </c>
      <c r="F12" s="235">
        <v>1</v>
      </c>
      <c r="G12" s="235">
        <v>1</v>
      </c>
      <c r="H12" s="235">
        <v>1</v>
      </c>
      <c r="I12" s="235">
        <v>1</v>
      </c>
      <c r="J12" s="236">
        <f t="shared" si="1"/>
        <v>6</v>
      </c>
      <c r="K12" s="236">
        <f t="shared" si="2"/>
        <v>0</v>
      </c>
      <c r="L12" s="235">
        <f t="shared" si="3"/>
        <v>0</v>
      </c>
      <c r="M12" s="120"/>
      <c r="N12" s="120">
        <f t="shared" si="4"/>
        <v>180</v>
      </c>
      <c r="O12" s="123"/>
      <c r="P12" s="123" t="s">
        <v>330</v>
      </c>
      <c r="Q12" s="123"/>
      <c r="R12" s="123"/>
      <c r="S12" s="123"/>
      <c r="T12" s="123"/>
      <c r="U12" s="1"/>
      <c r="V12" s="1"/>
      <c r="W12" s="1"/>
      <c r="X12" s="1"/>
      <c r="Y12" s="1"/>
      <c r="Z12" s="1"/>
    </row>
    <row r="13" spans="1:26" x14ac:dyDescent="0.4">
      <c r="A13" s="5" t="s">
        <v>74</v>
      </c>
      <c r="B13" s="5">
        <f t="shared" si="0"/>
        <v>0</v>
      </c>
      <c r="C13" s="5"/>
      <c r="D13" s="235">
        <v>1</v>
      </c>
      <c r="E13" s="235">
        <v>1</v>
      </c>
      <c r="F13" s="235">
        <v>1</v>
      </c>
      <c r="G13" s="235">
        <v>1</v>
      </c>
      <c r="H13" s="235">
        <v>1</v>
      </c>
      <c r="I13" s="235">
        <v>1</v>
      </c>
      <c r="J13" s="236">
        <f t="shared" si="1"/>
        <v>6</v>
      </c>
      <c r="K13" s="236">
        <f t="shared" si="2"/>
        <v>0</v>
      </c>
      <c r="L13" s="235">
        <f t="shared" si="3"/>
        <v>0</v>
      </c>
      <c r="M13" s="120"/>
      <c r="N13" s="120">
        <f t="shared" si="4"/>
        <v>180</v>
      </c>
      <c r="O13" s="123"/>
      <c r="P13" s="123" t="s">
        <v>330</v>
      </c>
      <c r="Q13" s="123"/>
      <c r="R13" s="123"/>
      <c r="S13" s="123"/>
      <c r="T13" s="123"/>
      <c r="U13" s="1"/>
      <c r="V13" s="1"/>
      <c r="W13" s="1"/>
      <c r="X13" s="1"/>
      <c r="Y13" s="1"/>
      <c r="Z13" s="1"/>
    </row>
    <row r="14" spans="1:26" x14ac:dyDescent="0.4">
      <c r="A14" s="1" t="s">
        <v>75</v>
      </c>
      <c r="B14" s="15">
        <f t="shared" si="0"/>
        <v>60</v>
      </c>
      <c r="C14" s="36">
        <v>300</v>
      </c>
      <c r="D14" s="232">
        <v>44328</v>
      </c>
      <c r="E14" s="37">
        <v>1</v>
      </c>
      <c r="F14" s="37">
        <v>1</v>
      </c>
      <c r="G14" s="37">
        <v>1</v>
      </c>
      <c r="H14" s="37">
        <v>1</v>
      </c>
      <c r="I14" s="37">
        <v>1</v>
      </c>
      <c r="J14" s="46">
        <f t="shared" si="1"/>
        <v>5</v>
      </c>
      <c r="K14" s="46">
        <f t="shared" si="2"/>
        <v>250</v>
      </c>
      <c r="L14" s="20">
        <f t="shared" si="3"/>
        <v>250</v>
      </c>
      <c r="M14" s="232">
        <v>44328</v>
      </c>
      <c r="N14" s="19">
        <f t="shared" si="4"/>
        <v>44508</v>
      </c>
      <c r="O14" s="121" t="s">
        <v>341</v>
      </c>
      <c r="P14" s="123"/>
      <c r="Q14" s="123"/>
      <c r="R14" s="123"/>
      <c r="S14" s="123"/>
      <c r="T14" s="123"/>
      <c r="U14" s="1"/>
      <c r="V14" s="1"/>
      <c r="W14" s="1"/>
      <c r="X14" s="1"/>
      <c r="Y14" s="1"/>
      <c r="Z14" s="1"/>
    </row>
    <row r="15" spans="1:26" x14ac:dyDescent="0.4">
      <c r="A15" s="1" t="s">
        <v>76</v>
      </c>
      <c r="B15" s="15">
        <f t="shared" si="0"/>
        <v>0</v>
      </c>
      <c r="C15" s="36"/>
      <c r="D15" s="37">
        <v>1</v>
      </c>
      <c r="E15" s="37">
        <v>1</v>
      </c>
      <c r="F15" s="37">
        <v>1</v>
      </c>
      <c r="G15" s="37">
        <v>1</v>
      </c>
      <c r="H15" s="37">
        <v>1</v>
      </c>
      <c r="I15" s="37">
        <v>1</v>
      </c>
      <c r="J15" s="46">
        <f t="shared" si="1"/>
        <v>6</v>
      </c>
      <c r="K15" s="46">
        <f t="shared" si="2"/>
        <v>0</v>
      </c>
      <c r="L15" s="20">
        <f t="shared" si="3"/>
        <v>0</v>
      </c>
      <c r="M15" s="4"/>
      <c r="N15" s="19">
        <f t="shared" si="4"/>
        <v>180</v>
      </c>
      <c r="O15" s="123"/>
      <c r="P15" s="123"/>
      <c r="Q15" s="123"/>
      <c r="R15" s="123"/>
      <c r="S15" s="123"/>
      <c r="T15" s="123"/>
      <c r="U15" s="1"/>
      <c r="V15" s="1"/>
      <c r="W15" s="1"/>
      <c r="X15" s="1"/>
      <c r="Y15" s="1"/>
      <c r="Z15" s="1"/>
    </row>
    <row r="16" spans="1:26" x14ac:dyDescent="0.4">
      <c r="A16" s="264" t="s">
        <v>414</v>
      </c>
      <c r="B16" s="15">
        <f t="shared" ref="B16:B20" si="5">C16/5</f>
        <v>80</v>
      </c>
      <c r="C16" s="264">
        <v>400</v>
      </c>
      <c r="D16" s="265">
        <v>1</v>
      </c>
      <c r="E16" s="265">
        <v>1</v>
      </c>
      <c r="F16" s="265">
        <v>1</v>
      </c>
      <c r="G16" s="265">
        <v>1</v>
      </c>
      <c r="H16" s="265">
        <v>1</v>
      </c>
      <c r="I16" s="265">
        <v>1</v>
      </c>
      <c r="J16" s="46">
        <f t="shared" ref="J16:J20" si="6">COUNTIF(D16:I16,"1")</f>
        <v>6</v>
      </c>
      <c r="K16" s="46">
        <f t="shared" ref="K16:K20" si="7">J16*(C16/6)</f>
        <v>400</v>
      </c>
      <c r="L16" s="20">
        <f t="shared" ref="L16:L20" si="8">J16*(C16/6)</f>
        <v>400</v>
      </c>
      <c r="M16" s="266">
        <v>44358</v>
      </c>
      <c r="N16" s="19">
        <f t="shared" ref="N16:N20" si="9">M16+180</f>
        <v>44538</v>
      </c>
      <c r="O16" s="116" t="s">
        <v>419</v>
      </c>
      <c r="P16" s="123"/>
      <c r="Q16" s="123"/>
      <c r="R16" s="123"/>
      <c r="S16" s="123"/>
      <c r="T16" s="123"/>
      <c r="U16" s="1"/>
      <c r="V16" s="1"/>
      <c r="W16" s="1"/>
      <c r="X16" s="1"/>
      <c r="Y16" s="1"/>
      <c r="Z16" s="1"/>
    </row>
    <row r="17" spans="1:26" x14ac:dyDescent="0.4">
      <c r="A17" s="264" t="s">
        <v>415</v>
      </c>
      <c r="B17" s="15">
        <f t="shared" si="5"/>
        <v>0</v>
      </c>
      <c r="C17" s="264"/>
      <c r="D17" s="265">
        <v>1</v>
      </c>
      <c r="E17" s="265">
        <v>1</v>
      </c>
      <c r="F17" s="265">
        <v>1</v>
      </c>
      <c r="G17" s="265">
        <v>1</v>
      </c>
      <c r="H17" s="265">
        <v>1</v>
      </c>
      <c r="I17" s="265">
        <v>1</v>
      </c>
      <c r="J17" s="46">
        <f t="shared" si="6"/>
        <v>6</v>
      </c>
      <c r="K17" s="46">
        <f t="shared" si="7"/>
        <v>0</v>
      </c>
      <c r="L17" s="20">
        <f t="shared" si="8"/>
        <v>0</v>
      </c>
      <c r="M17" s="4"/>
      <c r="N17" s="19">
        <f t="shared" si="9"/>
        <v>180</v>
      </c>
      <c r="O17" s="123"/>
      <c r="P17" s="123"/>
      <c r="Q17" s="123"/>
      <c r="R17" s="123"/>
      <c r="S17" s="123"/>
      <c r="T17" s="123"/>
      <c r="U17" s="1"/>
      <c r="V17" s="1"/>
      <c r="W17" s="1"/>
      <c r="X17" s="1"/>
      <c r="Y17" s="1"/>
      <c r="Z17" s="1"/>
    </row>
    <row r="18" spans="1:26" x14ac:dyDescent="0.4">
      <c r="A18" s="264" t="s">
        <v>416</v>
      </c>
      <c r="B18" s="15">
        <f t="shared" si="5"/>
        <v>0</v>
      </c>
      <c r="C18" s="264"/>
      <c r="D18" s="265">
        <v>1</v>
      </c>
      <c r="E18" s="265">
        <v>1</v>
      </c>
      <c r="F18" s="265">
        <v>1</v>
      </c>
      <c r="G18" s="265">
        <v>1</v>
      </c>
      <c r="H18" s="265">
        <v>1</v>
      </c>
      <c r="I18" s="265">
        <v>1</v>
      </c>
      <c r="J18" s="46">
        <f t="shared" si="6"/>
        <v>6</v>
      </c>
      <c r="K18" s="46">
        <f t="shared" si="7"/>
        <v>0</v>
      </c>
      <c r="L18" s="20">
        <f t="shared" si="8"/>
        <v>0</v>
      </c>
      <c r="M18" s="4"/>
      <c r="N18" s="19">
        <f t="shared" si="9"/>
        <v>180</v>
      </c>
      <c r="O18" s="123"/>
      <c r="P18" s="123"/>
      <c r="Q18" s="123"/>
      <c r="R18" s="123"/>
      <c r="S18" s="123"/>
      <c r="T18" s="123"/>
      <c r="U18" s="1"/>
      <c r="V18" s="1"/>
      <c r="W18" s="1"/>
      <c r="X18" s="1"/>
      <c r="Y18" s="1"/>
      <c r="Z18" s="1"/>
    </row>
    <row r="19" spans="1:26" x14ac:dyDescent="0.4">
      <c r="A19" s="264" t="s">
        <v>417</v>
      </c>
      <c r="B19" s="15">
        <f t="shared" si="5"/>
        <v>0</v>
      </c>
      <c r="C19" s="264"/>
      <c r="D19" s="265">
        <v>1</v>
      </c>
      <c r="E19" s="265">
        <v>1</v>
      </c>
      <c r="F19" s="265">
        <v>1</v>
      </c>
      <c r="G19" s="265">
        <v>1</v>
      </c>
      <c r="H19" s="265">
        <v>1</v>
      </c>
      <c r="I19" s="265">
        <v>1</v>
      </c>
      <c r="J19" s="46">
        <f t="shared" si="6"/>
        <v>6</v>
      </c>
      <c r="K19" s="46">
        <f t="shared" si="7"/>
        <v>0</v>
      </c>
      <c r="L19" s="20">
        <f t="shared" si="8"/>
        <v>0</v>
      </c>
      <c r="M19" s="4"/>
      <c r="N19" s="19">
        <f t="shared" si="9"/>
        <v>180</v>
      </c>
      <c r="O19" s="123"/>
      <c r="P19" s="123"/>
      <c r="Q19" s="123"/>
      <c r="R19" s="123"/>
      <c r="S19" s="123"/>
      <c r="T19" s="123"/>
      <c r="U19" s="1"/>
      <c r="V19" s="1"/>
      <c r="W19" s="1"/>
      <c r="X19" s="1"/>
      <c r="Y19" s="1"/>
      <c r="Z19" s="1"/>
    </row>
    <row r="20" spans="1:26" x14ac:dyDescent="0.4">
      <c r="A20" s="264" t="s">
        <v>418</v>
      </c>
      <c r="B20" s="15">
        <f t="shared" si="5"/>
        <v>0</v>
      </c>
      <c r="C20" s="264"/>
      <c r="D20" s="265">
        <v>1</v>
      </c>
      <c r="E20" s="265">
        <v>1</v>
      </c>
      <c r="F20" s="265">
        <v>1</v>
      </c>
      <c r="G20" s="265">
        <v>1</v>
      </c>
      <c r="H20" s="265">
        <v>1</v>
      </c>
      <c r="I20" s="265">
        <v>1</v>
      </c>
      <c r="J20" s="46">
        <f t="shared" si="6"/>
        <v>6</v>
      </c>
      <c r="K20" s="46">
        <f t="shared" si="7"/>
        <v>0</v>
      </c>
      <c r="L20" s="20">
        <f t="shared" si="8"/>
        <v>0</v>
      </c>
      <c r="M20" s="4"/>
      <c r="N20" s="19">
        <f t="shared" si="9"/>
        <v>180</v>
      </c>
      <c r="O20" s="123"/>
      <c r="P20" s="123"/>
      <c r="Q20" s="123"/>
      <c r="R20" s="123"/>
      <c r="S20" s="123"/>
      <c r="T20" s="123"/>
      <c r="U20" s="1"/>
      <c r="V20" s="1"/>
      <c r="W20" s="1"/>
      <c r="X20" s="1"/>
      <c r="Y20" s="1"/>
      <c r="Z20" s="1"/>
    </row>
    <row r="21" spans="1:26" x14ac:dyDescent="0.4">
      <c r="A21" s="264" t="s">
        <v>420</v>
      </c>
      <c r="B21" s="15">
        <f t="shared" ref="B21" si="10">C21/5</f>
        <v>0</v>
      </c>
      <c r="C21" s="264"/>
      <c r="D21" s="265">
        <v>1</v>
      </c>
      <c r="E21" s="265">
        <v>1</v>
      </c>
      <c r="F21" s="265">
        <v>1</v>
      </c>
      <c r="G21" s="265">
        <v>1</v>
      </c>
      <c r="H21" s="265">
        <v>1</v>
      </c>
      <c r="I21" s="265">
        <v>1</v>
      </c>
      <c r="J21" s="46">
        <f t="shared" ref="J21" si="11">COUNTIF(D21:I21,"1")</f>
        <v>6</v>
      </c>
      <c r="K21" s="46">
        <f t="shared" ref="K21" si="12">J21*(C21/6)</f>
        <v>0</v>
      </c>
      <c r="L21" s="20">
        <f t="shared" ref="L21" si="13">J21*(C21/6)</f>
        <v>0</v>
      </c>
      <c r="M21" s="4"/>
      <c r="N21" s="19">
        <f t="shared" ref="N21" si="14">M21+180</f>
        <v>180</v>
      </c>
      <c r="O21" s="123"/>
      <c r="P21" s="123"/>
      <c r="Q21" s="123"/>
      <c r="R21" s="123"/>
      <c r="S21" s="123"/>
      <c r="T21" s="123"/>
      <c r="U21" s="1"/>
      <c r="V21" s="1"/>
      <c r="W21" s="1"/>
      <c r="X21" s="1"/>
      <c r="Y21" s="1"/>
      <c r="Z21" s="1"/>
    </row>
    <row r="22" spans="1:26" x14ac:dyDescent="0.4">
      <c r="A22" s="1"/>
      <c r="B22" s="1"/>
      <c r="C22" s="1"/>
      <c r="D22" s="2"/>
      <c r="E22" s="2"/>
      <c r="F22" s="2"/>
      <c r="G22" s="2"/>
      <c r="H22" s="2"/>
      <c r="I22" s="2"/>
      <c r="J22" s="3"/>
      <c r="K22" s="3"/>
      <c r="L22" s="2"/>
      <c r="M22" s="4"/>
      <c r="N22" s="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4">
      <c r="A23" s="1"/>
      <c r="B23" s="1"/>
      <c r="C23" s="1"/>
      <c r="D23" s="2"/>
      <c r="E23" s="2"/>
      <c r="F23" s="2"/>
      <c r="G23" s="2"/>
      <c r="H23" s="2"/>
      <c r="I23" s="2"/>
      <c r="J23" s="3"/>
      <c r="K23" s="3"/>
      <c r="L23" s="2"/>
      <c r="M23" s="4"/>
      <c r="N23" s="4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4">
      <c r="A24" s="1"/>
      <c r="B24" s="1"/>
      <c r="C24" s="1"/>
      <c r="D24" s="2"/>
      <c r="E24" s="2"/>
      <c r="F24" s="2"/>
      <c r="G24" s="2"/>
      <c r="H24" s="2"/>
      <c r="I24" s="2"/>
      <c r="J24" s="3"/>
      <c r="K24" s="3"/>
      <c r="L24" s="2"/>
      <c r="M24" s="4"/>
      <c r="N24" s="4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4">
      <c r="A25" s="1"/>
      <c r="B25" s="1"/>
      <c r="C25" s="1"/>
      <c r="D25" s="2"/>
      <c r="E25" s="2"/>
      <c r="F25" s="2"/>
      <c r="G25" s="2"/>
      <c r="H25" s="2"/>
      <c r="I25" s="2"/>
      <c r="J25" s="3"/>
      <c r="K25" s="3"/>
      <c r="L25" s="2"/>
      <c r="M25" s="4"/>
      <c r="N25" s="4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4">
      <c r="A26" s="1"/>
      <c r="B26" s="1"/>
      <c r="C26" s="1"/>
      <c r="D26" s="2"/>
      <c r="E26" s="2"/>
      <c r="F26" s="2"/>
      <c r="G26" s="2"/>
      <c r="H26" s="2"/>
      <c r="I26" s="2"/>
      <c r="J26" s="3"/>
      <c r="K26" s="3"/>
      <c r="L26" s="2"/>
      <c r="M26" s="4"/>
      <c r="N26" s="4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4">
      <c r="A27" s="1"/>
      <c r="B27" s="1"/>
      <c r="C27" s="1"/>
      <c r="D27" s="2"/>
      <c r="E27" s="2"/>
      <c r="F27" s="2"/>
      <c r="G27" s="2"/>
      <c r="H27" s="2"/>
      <c r="I27" s="2"/>
      <c r="J27" s="3"/>
      <c r="K27" s="3"/>
      <c r="L27" s="2"/>
      <c r="M27" s="4"/>
      <c r="N27" s="4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4">
      <c r="A28" s="1"/>
      <c r="B28" s="1"/>
      <c r="C28" s="1"/>
      <c r="D28" s="2"/>
      <c r="E28" s="2"/>
      <c r="F28" s="2"/>
      <c r="G28" s="2"/>
      <c r="H28" s="2"/>
      <c r="I28" s="2"/>
      <c r="J28" s="3"/>
      <c r="K28" s="3"/>
      <c r="L28" s="2"/>
      <c r="M28" s="4"/>
      <c r="N28" s="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4">
      <c r="A29" s="1"/>
      <c r="B29" s="1"/>
      <c r="C29" s="1"/>
      <c r="D29" s="2"/>
      <c r="E29" s="2"/>
      <c r="F29" s="2"/>
      <c r="G29" s="2"/>
      <c r="H29" s="2"/>
      <c r="I29" s="2"/>
      <c r="J29" s="3"/>
      <c r="K29" s="3"/>
      <c r="L29" s="2"/>
      <c r="M29" s="4"/>
      <c r="N29" s="4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4">
      <c r="A30" s="1"/>
      <c r="B30" s="1"/>
      <c r="C30" s="1"/>
      <c r="D30" s="2"/>
      <c r="E30" s="2"/>
      <c r="F30" s="2"/>
      <c r="G30" s="2"/>
      <c r="H30" s="2"/>
      <c r="I30" s="2"/>
      <c r="J30" s="3"/>
      <c r="K30" s="3"/>
      <c r="L30" s="2"/>
      <c r="M30" s="4"/>
      <c r="N30" s="4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4">
      <c r="A31" s="1"/>
      <c r="B31" s="1"/>
      <c r="C31" s="1"/>
      <c r="D31" s="2"/>
      <c r="E31" s="2"/>
      <c r="F31" s="2"/>
      <c r="G31" s="2"/>
      <c r="H31" s="2"/>
      <c r="I31" s="2"/>
      <c r="J31" s="3"/>
      <c r="K31" s="3"/>
      <c r="L31" s="2"/>
      <c r="M31" s="4"/>
      <c r="N31" s="4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4">
      <c r="A32" s="1"/>
      <c r="B32" s="1"/>
      <c r="C32" s="1"/>
      <c r="D32" s="2"/>
      <c r="E32" s="2"/>
      <c r="F32" s="2"/>
      <c r="G32" s="2"/>
      <c r="H32" s="2"/>
      <c r="I32" s="2"/>
      <c r="J32" s="3"/>
      <c r="K32" s="3"/>
      <c r="L32" s="2"/>
      <c r="M32" s="4"/>
      <c r="N32" s="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4">
      <c r="A33" s="1"/>
      <c r="B33" s="1"/>
      <c r="C33" s="1"/>
      <c r="D33" s="2"/>
      <c r="E33" s="2"/>
      <c r="F33" s="2"/>
      <c r="G33" s="2"/>
      <c r="H33" s="2"/>
      <c r="I33" s="2"/>
      <c r="J33" s="3"/>
      <c r="K33" s="3"/>
      <c r="L33" s="2"/>
      <c r="M33" s="4"/>
      <c r="N33" s="4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4">
      <c r="A34" s="1"/>
      <c r="B34" s="1"/>
      <c r="C34" s="1"/>
      <c r="D34" s="2"/>
      <c r="E34" s="2"/>
      <c r="F34" s="2"/>
      <c r="G34" s="2"/>
      <c r="H34" s="2"/>
      <c r="I34" s="2"/>
      <c r="J34" s="3"/>
      <c r="K34" s="3"/>
      <c r="L34" s="2"/>
      <c r="M34" s="4"/>
      <c r="N34" s="4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4">
      <c r="A35" s="1"/>
      <c r="B35" s="1"/>
      <c r="C35" s="1"/>
      <c r="D35" s="2"/>
      <c r="E35" s="2"/>
      <c r="F35" s="2"/>
      <c r="G35" s="2"/>
      <c r="H35" s="2"/>
      <c r="I35" s="2"/>
      <c r="J35" s="3"/>
      <c r="K35" s="3"/>
      <c r="L35" s="2"/>
      <c r="M35" s="4"/>
      <c r="N35" s="4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4">
      <c r="A36" s="1"/>
      <c r="B36" s="1"/>
      <c r="C36" s="1"/>
      <c r="D36" s="2"/>
      <c r="E36" s="2"/>
      <c r="F36" s="2"/>
      <c r="G36" s="2"/>
      <c r="H36" s="2"/>
      <c r="I36" s="2"/>
      <c r="J36" s="3"/>
      <c r="K36" s="3"/>
      <c r="L36" s="2"/>
      <c r="M36" s="4"/>
      <c r="N36" s="4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4">
      <c r="A37" s="1"/>
      <c r="B37" s="1"/>
      <c r="C37" s="1"/>
      <c r="D37" s="2"/>
      <c r="E37" s="2"/>
      <c r="F37" s="2"/>
      <c r="G37" s="2"/>
      <c r="H37" s="2"/>
      <c r="I37" s="2"/>
      <c r="J37" s="3"/>
      <c r="K37" s="3"/>
      <c r="L37" s="2"/>
      <c r="M37" s="4"/>
      <c r="N37" s="4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4">
      <c r="A38" s="1"/>
      <c r="B38" s="1"/>
      <c r="C38" s="1"/>
      <c r="D38" s="2"/>
      <c r="E38" s="2"/>
      <c r="F38" s="2"/>
      <c r="G38" s="2"/>
      <c r="H38" s="2"/>
      <c r="I38" s="2"/>
      <c r="J38" s="3"/>
      <c r="K38" s="3"/>
      <c r="L38" s="2"/>
      <c r="M38" s="4"/>
      <c r="N38" s="4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4">
      <c r="A39" s="1"/>
      <c r="B39" s="1"/>
      <c r="C39" s="1"/>
      <c r="D39" s="2"/>
      <c r="E39" s="2"/>
      <c r="F39" s="2"/>
      <c r="G39" s="2"/>
      <c r="H39" s="2"/>
      <c r="I39" s="2"/>
      <c r="J39" s="3"/>
      <c r="K39" s="3"/>
      <c r="L39" s="2"/>
      <c r="M39" s="4"/>
      <c r="N39" s="4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4">
      <c r="A40" s="1"/>
      <c r="B40" s="1"/>
      <c r="C40" s="1"/>
      <c r="D40" s="2"/>
      <c r="E40" s="2"/>
      <c r="F40" s="2"/>
      <c r="G40" s="2"/>
      <c r="H40" s="2"/>
      <c r="I40" s="2"/>
      <c r="J40" s="3"/>
      <c r="K40" s="3"/>
      <c r="L40" s="2"/>
      <c r="M40" s="4"/>
      <c r="N40" s="4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4">
      <c r="A41" s="1"/>
      <c r="B41" s="1"/>
      <c r="C41" s="1"/>
      <c r="D41" s="2"/>
      <c r="E41" s="2"/>
      <c r="F41" s="2"/>
      <c r="G41" s="2"/>
      <c r="H41" s="2"/>
      <c r="I41" s="2"/>
      <c r="J41" s="3"/>
      <c r="K41" s="3"/>
      <c r="L41" s="2"/>
      <c r="M41" s="4"/>
      <c r="N41" s="4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4">
      <c r="A42" s="1"/>
      <c r="B42" s="1"/>
      <c r="C42" s="1"/>
      <c r="D42" s="2"/>
      <c r="E42" s="2"/>
      <c r="F42" s="2"/>
      <c r="G42" s="2"/>
      <c r="H42" s="2"/>
      <c r="I42" s="2"/>
      <c r="J42" s="3"/>
      <c r="K42" s="3"/>
      <c r="L42" s="2"/>
      <c r="M42" s="4"/>
      <c r="N42" s="4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4">
      <c r="A43" s="1"/>
      <c r="B43" s="1"/>
      <c r="C43" s="1"/>
      <c r="D43" s="2"/>
      <c r="E43" s="2"/>
      <c r="F43" s="2"/>
      <c r="G43" s="2"/>
      <c r="H43" s="2"/>
      <c r="I43" s="2"/>
      <c r="J43" s="3"/>
      <c r="K43" s="3"/>
      <c r="L43" s="2"/>
      <c r="M43" s="4"/>
      <c r="N43" s="4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4">
      <c r="A44" s="1"/>
      <c r="B44" s="1"/>
      <c r="C44" s="1"/>
      <c r="D44" s="2"/>
      <c r="E44" s="2"/>
      <c r="F44" s="2"/>
      <c r="G44" s="2"/>
      <c r="H44" s="2"/>
      <c r="I44" s="2"/>
      <c r="J44" s="3"/>
      <c r="K44" s="3"/>
      <c r="L44" s="2"/>
      <c r="M44" s="4"/>
      <c r="N44" s="4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4">
      <c r="A45" s="1"/>
      <c r="B45" s="1"/>
      <c r="C45" s="1"/>
      <c r="D45" s="2"/>
      <c r="E45" s="2"/>
      <c r="F45" s="2"/>
      <c r="G45" s="2"/>
      <c r="H45" s="2"/>
      <c r="I45" s="2"/>
      <c r="J45" s="3"/>
      <c r="K45" s="3"/>
      <c r="L45" s="2"/>
      <c r="M45" s="4"/>
      <c r="N45" s="4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4">
      <c r="A46" s="1"/>
      <c r="B46" s="1"/>
      <c r="C46" s="1"/>
      <c r="D46" s="2"/>
      <c r="E46" s="2"/>
      <c r="F46" s="2"/>
      <c r="G46" s="2"/>
      <c r="H46" s="2"/>
      <c r="I46" s="2"/>
      <c r="J46" s="3"/>
      <c r="K46" s="3"/>
      <c r="L46" s="2"/>
      <c r="M46" s="4"/>
      <c r="N46" s="4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4">
      <c r="A47" s="1"/>
      <c r="B47" s="1"/>
      <c r="C47" s="1"/>
      <c r="D47" s="2"/>
      <c r="E47" s="2"/>
      <c r="F47" s="2"/>
      <c r="G47" s="2"/>
      <c r="H47" s="2"/>
      <c r="I47" s="2"/>
      <c r="J47" s="3"/>
      <c r="K47" s="3"/>
      <c r="L47" s="2"/>
      <c r="M47" s="4"/>
      <c r="N47" s="4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4">
      <c r="A48" s="1"/>
      <c r="B48" s="1"/>
      <c r="C48" s="1"/>
      <c r="D48" s="2"/>
      <c r="E48" s="2"/>
      <c r="F48" s="2"/>
      <c r="G48" s="2"/>
      <c r="H48" s="2"/>
      <c r="I48" s="2"/>
      <c r="J48" s="3"/>
      <c r="K48" s="3"/>
      <c r="L48" s="2"/>
      <c r="M48" s="4"/>
      <c r="N48" s="4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4">
      <c r="A49" s="1"/>
      <c r="B49" s="1"/>
      <c r="C49" s="1"/>
      <c r="D49" s="2"/>
      <c r="E49" s="2"/>
      <c r="F49" s="2"/>
      <c r="G49" s="2"/>
      <c r="H49" s="2"/>
      <c r="I49" s="2"/>
      <c r="J49" s="3"/>
      <c r="K49" s="3"/>
      <c r="L49" s="2"/>
      <c r="M49" s="4"/>
      <c r="N49" s="4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4">
      <c r="A50" s="1"/>
      <c r="B50" s="1"/>
      <c r="C50" s="1"/>
      <c r="D50" s="2"/>
      <c r="E50" s="2"/>
      <c r="F50" s="2"/>
      <c r="G50" s="2"/>
      <c r="H50" s="2"/>
      <c r="I50" s="2"/>
      <c r="J50" s="3"/>
      <c r="K50" s="3"/>
      <c r="L50" s="2"/>
      <c r="M50" s="4"/>
      <c r="N50" s="4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4">
      <c r="A51" s="1"/>
      <c r="B51" s="1"/>
      <c r="C51" s="1"/>
      <c r="D51" s="2"/>
      <c r="E51" s="2"/>
      <c r="F51" s="2"/>
      <c r="G51" s="2"/>
      <c r="H51" s="2"/>
      <c r="I51" s="2"/>
      <c r="J51" s="3"/>
      <c r="K51" s="3"/>
      <c r="L51" s="2"/>
      <c r="M51" s="4"/>
      <c r="N51" s="4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4">
      <c r="A52" s="1"/>
      <c r="B52" s="1"/>
      <c r="C52" s="1"/>
      <c r="D52" s="2"/>
      <c r="E52" s="2"/>
      <c r="F52" s="2"/>
      <c r="G52" s="2"/>
      <c r="H52" s="2"/>
      <c r="I52" s="2"/>
      <c r="J52" s="3"/>
      <c r="K52" s="3"/>
      <c r="L52" s="2"/>
      <c r="M52" s="4"/>
      <c r="N52" s="4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4">
      <c r="A53" s="1"/>
      <c r="B53" s="1"/>
      <c r="C53" s="1"/>
      <c r="D53" s="2"/>
      <c r="E53" s="2"/>
      <c r="F53" s="2"/>
      <c r="G53" s="2"/>
      <c r="H53" s="2"/>
      <c r="I53" s="2"/>
      <c r="J53" s="3"/>
      <c r="K53" s="3"/>
      <c r="L53" s="2"/>
      <c r="M53" s="4"/>
      <c r="N53" s="4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4">
      <c r="A54" s="1"/>
      <c r="B54" s="1"/>
      <c r="C54" s="1"/>
      <c r="D54" s="2"/>
      <c r="E54" s="2"/>
      <c r="F54" s="2"/>
      <c r="G54" s="2"/>
      <c r="H54" s="2"/>
      <c r="I54" s="2"/>
      <c r="J54" s="3"/>
      <c r="K54" s="3"/>
      <c r="L54" s="2"/>
      <c r="M54" s="4"/>
      <c r="N54" s="4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4">
      <c r="A55" s="1"/>
      <c r="B55" s="1"/>
      <c r="C55" s="1"/>
      <c r="D55" s="2"/>
      <c r="E55" s="2"/>
      <c r="F55" s="2"/>
      <c r="G55" s="2"/>
      <c r="H55" s="2"/>
      <c r="I55" s="2"/>
      <c r="J55" s="3"/>
      <c r="K55" s="3"/>
      <c r="L55" s="2"/>
      <c r="M55" s="4"/>
      <c r="N55" s="4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4">
      <c r="A56" s="1"/>
      <c r="B56" s="1"/>
      <c r="C56" s="1"/>
      <c r="D56" s="2"/>
      <c r="E56" s="2"/>
      <c r="F56" s="2"/>
      <c r="G56" s="2"/>
      <c r="H56" s="2"/>
      <c r="I56" s="2"/>
      <c r="J56" s="3"/>
      <c r="K56" s="3"/>
      <c r="L56" s="2"/>
      <c r="M56" s="4"/>
      <c r="N56" s="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4">
      <c r="A57" s="1"/>
      <c r="B57" s="1"/>
      <c r="C57" s="1"/>
      <c r="D57" s="2"/>
      <c r="E57" s="2"/>
      <c r="F57" s="2"/>
      <c r="G57" s="2"/>
      <c r="H57" s="2"/>
      <c r="I57" s="2"/>
      <c r="J57" s="3"/>
      <c r="K57" s="3"/>
      <c r="L57" s="2"/>
      <c r="M57" s="4"/>
      <c r="N57" s="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4">
      <c r="A58" s="1"/>
      <c r="B58" s="1"/>
      <c r="C58" s="1"/>
      <c r="D58" s="2"/>
      <c r="E58" s="2"/>
      <c r="F58" s="2"/>
      <c r="G58" s="2"/>
      <c r="H58" s="2"/>
      <c r="I58" s="2"/>
      <c r="J58" s="3"/>
      <c r="K58" s="3"/>
      <c r="L58" s="2"/>
      <c r="M58" s="4"/>
      <c r="N58" s="4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4">
      <c r="A59" s="1"/>
      <c r="B59" s="1"/>
      <c r="C59" s="1"/>
      <c r="D59" s="2"/>
      <c r="E59" s="2"/>
      <c r="F59" s="2"/>
      <c r="G59" s="2"/>
      <c r="H59" s="2"/>
      <c r="I59" s="2"/>
      <c r="J59" s="3"/>
      <c r="K59" s="3"/>
      <c r="L59" s="2"/>
      <c r="M59" s="4"/>
      <c r="N59" s="4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4">
      <c r="A60" s="1"/>
      <c r="B60" s="1"/>
      <c r="C60" s="1"/>
      <c r="D60" s="2"/>
      <c r="E60" s="2"/>
      <c r="F60" s="2"/>
      <c r="G60" s="2"/>
      <c r="H60" s="2"/>
      <c r="I60" s="2"/>
      <c r="J60" s="3"/>
      <c r="K60" s="3"/>
      <c r="L60" s="2"/>
      <c r="M60" s="4"/>
      <c r="N60" s="4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4">
      <c r="A61" s="1"/>
      <c r="B61" s="1"/>
      <c r="C61" s="1"/>
      <c r="D61" s="2"/>
      <c r="E61" s="2"/>
      <c r="F61" s="2"/>
      <c r="G61" s="2"/>
      <c r="H61" s="2"/>
      <c r="I61" s="2"/>
      <c r="J61" s="3"/>
      <c r="K61" s="3"/>
      <c r="L61" s="2"/>
      <c r="M61" s="4"/>
      <c r="N61" s="4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4">
      <c r="A62" s="1"/>
      <c r="B62" s="1"/>
      <c r="C62" s="1"/>
      <c r="D62" s="2"/>
      <c r="E62" s="2"/>
      <c r="F62" s="2"/>
      <c r="G62" s="2"/>
      <c r="H62" s="2"/>
      <c r="I62" s="2"/>
      <c r="J62" s="3"/>
      <c r="K62" s="3"/>
      <c r="L62" s="2"/>
      <c r="M62" s="4"/>
      <c r="N62" s="4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4">
      <c r="A63" s="1"/>
      <c r="B63" s="1"/>
      <c r="C63" s="1"/>
      <c r="D63" s="2"/>
      <c r="E63" s="2"/>
      <c r="F63" s="2"/>
      <c r="G63" s="2"/>
      <c r="H63" s="2"/>
      <c r="I63" s="2"/>
      <c r="J63" s="3"/>
      <c r="K63" s="3"/>
      <c r="L63" s="2"/>
      <c r="M63" s="4"/>
      <c r="N63" s="4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4">
      <c r="A64" s="1"/>
      <c r="B64" s="1"/>
      <c r="C64" s="1"/>
      <c r="D64" s="2"/>
      <c r="E64" s="2"/>
      <c r="F64" s="2"/>
      <c r="G64" s="2"/>
      <c r="H64" s="2"/>
      <c r="I64" s="2"/>
      <c r="J64" s="3"/>
      <c r="K64" s="3"/>
      <c r="L64" s="2"/>
      <c r="M64" s="4"/>
      <c r="N64" s="4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4">
      <c r="A65" s="1"/>
      <c r="B65" s="1"/>
      <c r="C65" s="1"/>
      <c r="D65" s="2"/>
      <c r="E65" s="2"/>
      <c r="F65" s="2"/>
      <c r="G65" s="2"/>
      <c r="H65" s="2"/>
      <c r="I65" s="2"/>
      <c r="J65" s="3"/>
      <c r="K65" s="3"/>
      <c r="L65" s="2"/>
      <c r="M65" s="4"/>
      <c r="N65" s="4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4">
      <c r="A66" s="1"/>
      <c r="B66" s="1"/>
      <c r="C66" s="1"/>
      <c r="D66" s="2"/>
      <c r="E66" s="2"/>
      <c r="F66" s="2"/>
      <c r="G66" s="2"/>
      <c r="H66" s="2"/>
      <c r="I66" s="2"/>
      <c r="J66" s="3"/>
      <c r="K66" s="3"/>
      <c r="L66" s="2"/>
      <c r="M66" s="4"/>
      <c r="N66" s="4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4">
      <c r="A67" s="1"/>
      <c r="B67" s="1"/>
      <c r="C67" s="1"/>
      <c r="D67" s="2"/>
      <c r="E67" s="2"/>
      <c r="F67" s="2"/>
      <c r="G67" s="2"/>
      <c r="H67" s="2"/>
      <c r="I67" s="2"/>
      <c r="J67" s="3"/>
      <c r="K67" s="3"/>
      <c r="L67" s="2"/>
      <c r="M67" s="4"/>
      <c r="N67" s="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4">
      <c r="A68" s="1"/>
      <c r="B68" s="1"/>
      <c r="C68" s="1"/>
      <c r="D68" s="2"/>
      <c r="E68" s="2"/>
      <c r="F68" s="2"/>
      <c r="G68" s="2"/>
      <c r="H68" s="2"/>
      <c r="I68" s="2"/>
      <c r="J68" s="3"/>
      <c r="K68" s="3"/>
      <c r="L68" s="2"/>
      <c r="M68" s="4"/>
      <c r="N68" s="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4">
      <c r="A69" s="286"/>
      <c r="B69" s="279"/>
      <c r="C69" s="279"/>
      <c r="D69" s="2"/>
      <c r="E69" s="2"/>
      <c r="F69" s="2"/>
      <c r="G69" s="2"/>
      <c r="H69" s="2"/>
      <c r="I69" s="2"/>
      <c r="J69" s="287"/>
      <c r="K69" s="287"/>
      <c r="L69" s="287"/>
      <c r="M69" s="288"/>
      <c r="N69" s="288"/>
      <c r="O69" s="289"/>
      <c r="P69" s="289"/>
      <c r="Q69" s="289"/>
      <c r="R69" s="289"/>
      <c r="S69" s="289"/>
      <c r="T69" s="289"/>
      <c r="U69" s="289"/>
      <c r="V69" s="289"/>
      <c r="W69" s="1"/>
      <c r="X69" s="1"/>
      <c r="Y69" s="1"/>
      <c r="Z69" s="1"/>
    </row>
    <row r="70" spans="1:26" x14ac:dyDescent="0.4">
      <c r="A70" s="286"/>
      <c r="B70" s="279"/>
      <c r="C70" s="279"/>
      <c r="D70" s="2"/>
      <c r="E70" s="2"/>
      <c r="F70" s="2"/>
      <c r="G70" s="2"/>
      <c r="H70" s="2"/>
      <c r="I70" s="2"/>
      <c r="J70" s="287"/>
      <c r="K70" s="287"/>
      <c r="L70" s="287"/>
      <c r="M70" s="288"/>
      <c r="N70" s="288"/>
      <c r="O70" s="289"/>
      <c r="P70" s="289"/>
      <c r="Q70" s="289"/>
      <c r="R70" s="289"/>
      <c r="S70" s="289"/>
      <c r="T70" s="289"/>
      <c r="U70" s="289"/>
      <c r="V70" s="289"/>
      <c r="W70" s="1"/>
      <c r="X70" s="1"/>
      <c r="Y70" s="1"/>
      <c r="Z70" s="1"/>
    </row>
    <row r="71" spans="1:26" x14ac:dyDescent="0.4">
      <c r="A71" s="1"/>
      <c r="B71" s="1"/>
      <c r="C71" s="1"/>
      <c r="D71" s="2"/>
      <c r="E71" s="2"/>
      <c r="F71" s="2"/>
      <c r="G71" s="2"/>
      <c r="H71" s="2"/>
      <c r="I71" s="2"/>
      <c r="J71" s="3"/>
      <c r="K71" s="3"/>
      <c r="L71" s="2"/>
      <c r="M71" s="4"/>
      <c r="N71" s="4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4">
      <c r="A72" s="1"/>
      <c r="B72" s="1"/>
      <c r="C72" s="1"/>
      <c r="D72" s="2"/>
      <c r="E72" s="2"/>
      <c r="F72" s="2"/>
      <c r="G72" s="2"/>
      <c r="H72" s="2"/>
      <c r="I72" s="2"/>
      <c r="J72" s="3"/>
      <c r="K72" s="3"/>
      <c r="L72" s="2"/>
      <c r="M72" s="4"/>
      <c r="N72" s="4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4">
      <c r="A73" s="1"/>
      <c r="B73" s="1"/>
      <c r="C73" s="1"/>
      <c r="D73" s="2"/>
      <c r="E73" s="2"/>
      <c r="F73" s="2"/>
      <c r="G73" s="2"/>
      <c r="H73" s="2"/>
      <c r="I73" s="2"/>
      <c r="J73" s="3"/>
      <c r="K73" s="3"/>
      <c r="L73" s="2"/>
      <c r="M73" s="4"/>
      <c r="N73" s="4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4">
      <c r="A74" s="1"/>
      <c r="B74" s="1"/>
      <c r="C74" s="1"/>
      <c r="D74" s="2"/>
      <c r="E74" s="2"/>
      <c r="F74" s="2"/>
      <c r="G74" s="2"/>
      <c r="H74" s="2"/>
      <c r="I74" s="2"/>
      <c r="J74" s="3"/>
      <c r="K74" s="3"/>
      <c r="L74" s="2"/>
      <c r="M74" s="4"/>
      <c r="N74" s="4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4">
      <c r="A75" s="1"/>
      <c r="B75" s="1"/>
      <c r="C75" s="1"/>
      <c r="D75" s="2"/>
      <c r="E75" s="2"/>
      <c r="F75" s="2"/>
      <c r="G75" s="2"/>
      <c r="H75" s="2"/>
      <c r="I75" s="2"/>
      <c r="J75" s="3"/>
      <c r="K75" s="3"/>
      <c r="L75" s="2"/>
      <c r="M75" s="4"/>
      <c r="N75" s="4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4">
      <c r="A76" s="1"/>
      <c r="B76" s="1"/>
      <c r="C76" s="1"/>
      <c r="D76" s="2"/>
      <c r="E76" s="2"/>
      <c r="F76" s="2"/>
      <c r="G76" s="2"/>
      <c r="H76" s="2"/>
      <c r="I76" s="2"/>
      <c r="J76" s="3"/>
      <c r="K76" s="3"/>
      <c r="L76" s="2"/>
      <c r="M76" s="4"/>
      <c r="N76" s="4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4">
      <c r="A77" s="1"/>
      <c r="B77" s="1"/>
      <c r="C77" s="1"/>
      <c r="D77" s="2"/>
      <c r="E77" s="2"/>
      <c r="F77" s="2"/>
      <c r="G77" s="2"/>
      <c r="H77" s="2"/>
      <c r="I77" s="2"/>
      <c r="J77" s="3"/>
      <c r="K77" s="3"/>
      <c r="L77" s="2"/>
      <c r="M77" s="4"/>
      <c r="N77" s="4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4">
      <c r="A78" s="1"/>
      <c r="B78" s="1"/>
      <c r="C78" s="1"/>
      <c r="D78" s="2"/>
      <c r="E78" s="2"/>
      <c r="F78" s="2"/>
      <c r="G78" s="2"/>
      <c r="H78" s="2"/>
      <c r="I78" s="2"/>
      <c r="J78" s="3"/>
      <c r="K78" s="3"/>
      <c r="L78" s="2"/>
      <c r="M78" s="4"/>
      <c r="N78" s="4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4">
      <c r="A79" s="1"/>
      <c r="B79" s="1"/>
      <c r="C79" s="1"/>
      <c r="D79" s="2"/>
      <c r="E79" s="2"/>
      <c r="F79" s="2"/>
      <c r="G79" s="2"/>
      <c r="H79" s="2"/>
      <c r="I79" s="2"/>
      <c r="J79" s="3"/>
      <c r="K79" s="3"/>
      <c r="L79" s="2"/>
      <c r="M79" s="4"/>
      <c r="N79" s="4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4">
      <c r="A80" s="1"/>
      <c r="B80" s="1"/>
      <c r="C80" s="1"/>
      <c r="D80" s="2"/>
      <c r="E80" s="2"/>
      <c r="F80" s="2"/>
      <c r="G80" s="2"/>
      <c r="H80" s="2"/>
      <c r="I80" s="2"/>
      <c r="J80" s="3"/>
      <c r="K80" s="3"/>
      <c r="L80" s="2"/>
      <c r="M80" s="4"/>
      <c r="N80" s="4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4">
      <c r="A81" s="1"/>
      <c r="B81" s="1"/>
      <c r="C81" s="1"/>
      <c r="D81" s="2"/>
      <c r="E81" s="2"/>
      <c r="F81" s="2"/>
      <c r="G81" s="2"/>
      <c r="H81" s="2"/>
      <c r="I81" s="2"/>
      <c r="J81" s="3"/>
      <c r="K81" s="3"/>
      <c r="L81" s="2"/>
      <c r="M81" s="4"/>
      <c r="N81" s="4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4">
      <c r="A82" s="1"/>
      <c r="B82" s="1"/>
      <c r="C82" s="1"/>
      <c r="D82" s="2"/>
      <c r="E82" s="2"/>
      <c r="F82" s="2"/>
      <c r="G82" s="2"/>
      <c r="H82" s="2"/>
      <c r="I82" s="2"/>
      <c r="J82" s="3"/>
      <c r="K82" s="3"/>
      <c r="L82" s="2"/>
      <c r="M82" s="4"/>
      <c r="N82" s="4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4">
      <c r="A83" s="1"/>
      <c r="B83" s="1"/>
      <c r="C83" s="1"/>
      <c r="D83" s="2"/>
      <c r="E83" s="2"/>
      <c r="F83" s="2"/>
      <c r="G83" s="2"/>
      <c r="H83" s="2"/>
      <c r="I83" s="2"/>
      <c r="J83" s="3"/>
      <c r="K83" s="3"/>
      <c r="L83" s="2"/>
      <c r="M83" s="4"/>
      <c r="N83" s="4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4">
      <c r="A84" s="1"/>
      <c r="B84" s="1"/>
      <c r="C84" s="1"/>
      <c r="D84" s="2"/>
      <c r="E84" s="2"/>
      <c r="F84" s="2"/>
      <c r="G84" s="2"/>
      <c r="H84" s="2"/>
      <c r="I84" s="2"/>
      <c r="J84" s="3"/>
      <c r="K84" s="3"/>
      <c r="L84" s="2"/>
      <c r="M84" s="4"/>
      <c r="N84" s="4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4">
      <c r="A85" s="1"/>
      <c r="B85" s="1"/>
      <c r="C85" s="1"/>
      <c r="D85" s="2"/>
      <c r="E85" s="2"/>
      <c r="F85" s="2"/>
      <c r="G85" s="2"/>
      <c r="H85" s="2"/>
      <c r="I85" s="2"/>
      <c r="J85" s="3"/>
      <c r="K85" s="3"/>
      <c r="L85" s="2"/>
      <c r="M85" s="4"/>
      <c r="N85" s="4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4">
      <c r="A86" s="1"/>
      <c r="B86" s="1"/>
      <c r="C86" s="1"/>
      <c r="D86" s="2"/>
      <c r="E86" s="2"/>
      <c r="F86" s="2"/>
      <c r="G86" s="2"/>
      <c r="H86" s="2"/>
      <c r="I86" s="2"/>
      <c r="J86" s="3"/>
      <c r="K86" s="3"/>
      <c r="L86" s="2"/>
      <c r="M86" s="4"/>
      <c r="N86" s="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4">
      <c r="A87" s="1"/>
      <c r="B87" s="1"/>
      <c r="C87" s="1"/>
      <c r="D87" s="2"/>
      <c r="E87" s="2"/>
      <c r="F87" s="2"/>
      <c r="G87" s="2"/>
      <c r="H87" s="2"/>
      <c r="I87" s="2"/>
      <c r="J87" s="3"/>
      <c r="K87" s="3"/>
      <c r="L87" s="2"/>
      <c r="M87" s="4"/>
      <c r="N87" s="4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4">
      <c r="A88" s="1"/>
      <c r="B88" s="1"/>
      <c r="C88" s="1"/>
      <c r="D88" s="2"/>
      <c r="E88" s="2"/>
      <c r="F88" s="2"/>
      <c r="G88" s="2"/>
      <c r="H88" s="2"/>
      <c r="I88" s="2"/>
      <c r="J88" s="3"/>
      <c r="K88" s="3"/>
      <c r="L88" s="2"/>
      <c r="M88" s="4"/>
      <c r="N88" s="4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4">
      <c r="A89" s="1"/>
      <c r="B89" s="1"/>
      <c r="C89" s="1"/>
      <c r="D89" s="2"/>
      <c r="E89" s="2"/>
      <c r="F89" s="2"/>
      <c r="G89" s="2"/>
      <c r="H89" s="2"/>
      <c r="I89" s="2"/>
      <c r="J89" s="3"/>
      <c r="K89" s="3"/>
      <c r="L89" s="2"/>
      <c r="M89" s="4"/>
      <c r="N89" s="4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4">
      <c r="A90" s="1"/>
      <c r="B90" s="1"/>
      <c r="C90" s="1"/>
      <c r="D90" s="2"/>
      <c r="E90" s="2"/>
      <c r="F90" s="2"/>
      <c r="G90" s="2"/>
      <c r="H90" s="2"/>
      <c r="I90" s="2"/>
      <c r="J90" s="3"/>
      <c r="K90" s="3"/>
      <c r="L90" s="2"/>
      <c r="M90" s="4"/>
      <c r="N90" s="4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4">
      <c r="A91" s="1"/>
      <c r="B91" s="1"/>
      <c r="C91" s="1"/>
      <c r="D91" s="2"/>
      <c r="E91" s="2"/>
      <c r="F91" s="2"/>
      <c r="G91" s="2"/>
      <c r="H91" s="2"/>
      <c r="I91" s="2"/>
      <c r="J91" s="3"/>
      <c r="K91" s="3"/>
      <c r="L91" s="2"/>
      <c r="M91" s="4"/>
      <c r="N91" s="4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4">
      <c r="A92" s="1"/>
      <c r="B92" s="1"/>
      <c r="C92" s="1"/>
      <c r="D92" s="2"/>
      <c r="E92" s="2"/>
      <c r="F92" s="2"/>
      <c r="G92" s="2"/>
      <c r="H92" s="2"/>
      <c r="I92" s="2"/>
      <c r="J92" s="3"/>
      <c r="K92" s="3"/>
      <c r="L92" s="2"/>
      <c r="M92" s="4"/>
      <c r="N92" s="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4">
      <c r="A93" s="1"/>
      <c r="B93" s="1"/>
      <c r="C93" s="1"/>
      <c r="D93" s="2"/>
      <c r="E93" s="2"/>
      <c r="F93" s="2"/>
      <c r="G93" s="2"/>
      <c r="H93" s="2"/>
      <c r="I93" s="2"/>
      <c r="J93" s="3"/>
      <c r="K93" s="3"/>
      <c r="L93" s="2"/>
      <c r="M93" s="4"/>
      <c r="N93" s="4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4">
      <c r="A94" s="1"/>
      <c r="B94" s="1"/>
      <c r="C94" s="1"/>
      <c r="D94" s="2"/>
      <c r="E94" s="2"/>
      <c r="F94" s="2"/>
      <c r="G94" s="2"/>
      <c r="H94" s="2"/>
      <c r="I94" s="2"/>
      <c r="J94" s="3"/>
      <c r="K94" s="3"/>
      <c r="L94" s="2"/>
      <c r="M94" s="4"/>
      <c r="N94" s="4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4">
      <c r="A95" s="1"/>
      <c r="B95" s="1"/>
      <c r="C95" s="1"/>
      <c r="D95" s="2"/>
      <c r="E95" s="2"/>
      <c r="F95" s="2"/>
      <c r="G95" s="2"/>
      <c r="H95" s="2"/>
      <c r="I95" s="2"/>
      <c r="J95" s="3"/>
      <c r="K95" s="3"/>
      <c r="L95" s="2"/>
      <c r="M95" s="4"/>
      <c r="N95" s="4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4">
      <c r="A96" s="1"/>
      <c r="B96" s="1"/>
      <c r="C96" s="1"/>
      <c r="D96" s="2"/>
      <c r="E96" s="2"/>
      <c r="F96" s="2"/>
      <c r="G96" s="2"/>
      <c r="H96" s="2"/>
      <c r="I96" s="2"/>
      <c r="J96" s="3"/>
      <c r="K96" s="3"/>
      <c r="L96" s="2"/>
      <c r="M96" s="4"/>
      <c r="N96" s="4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4">
      <c r="A97" s="1"/>
      <c r="B97" s="1"/>
      <c r="C97" s="1"/>
      <c r="D97" s="2"/>
      <c r="E97" s="2"/>
      <c r="F97" s="2"/>
      <c r="G97" s="2"/>
      <c r="H97" s="2"/>
      <c r="I97" s="2"/>
      <c r="J97" s="3"/>
      <c r="K97" s="3"/>
      <c r="L97" s="2"/>
      <c r="M97" s="4"/>
      <c r="N97" s="4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4">
      <c r="A98" s="1"/>
      <c r="B98" s="1"/>
      <c r="C98" s="1"/>
      <c r="D98" s="2"/>
      <c r="E98" s="2"/>
      <c r="F98" s="2"/>
      <c r="G98" s="2"/>
      <c r="H98" s="2"/>
      <c r="I98" s="2"/>
      <c r="J98" s="3"/>
      <c r="K98" s="3"/>
      <c r="L98" s="2"/>
      <c r="M98" s="4"/>
      <c r="N98" s="4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4">
      <c r="A99" s="1"/>
      <c r="B99" s="1"/>
      <c r="C99" s="1"/>
      <c r="D99" s="2"/>
      <c r="E99" s="2"/>
      <c r="F99" s="2"/>
      <c r="G99" s="2"/>
      <c r="H99" s="2"/>
      <c r="I99" s="2"/>
      <c r="J99" s="3"/>
      <c r="K99" s="3"/>
      <c r="L99" s="2"/>
      <c r="M99" s="4"/>
      <c r="N99" s="4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4">
      <c r="A100" s="1"/>
      <c r="B100" s="1"/>
      <c r="C100" s="1"/>
      <c r="D100" s="2"/>
      <c r="E100" s="2"/>
      <c r="F100" s="2"/>
      <c r="G100" s="2"/>
      <c r="H100" s="2"/>
      <c r="I100" s="2"/>
      <c r="J100" s="3"/>
      <c r="K100" s="3"/>
      <c r="L100" s="2"/>
      <c r="M100" s="4"/>
      <c r="N100" s="4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4">
      <c r="A101" s="1"/>
      <c r="B101" s="1"/>
      <c r="C101" s="1"/>
      <c r="D101" s="2"/>
      <c r="E101" s="2"/>
      <c r="F101" s="2"/>
      <c r="G101" s="2"/>
      <c r="H101" s="2"/>
      <c r="I101" s="2"/>
      <c r="J101" s="3"/>
      <c r="K101" s="3"/>
      <c r="L101" s="2"/>
      <c r="M101" s="4"/>
      <c r="N101" s="4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4">
      <c r="A102" s="1"/>
      <c r="B102" s="1"/>
      <c r="C102" s="1"/>
      <c r="D102" s="2"/>
      <c r="E102" s="2"/>
      <c r="F102" s="2"/>
      <c r="G102" s="2"/>
      <c r="H102" s="2"/>
      <c r="I102" s="2"/>
      <c r="J102" s="3"/>
      <c r="K102" s="3"/>
      <c r="L102" s="2"/>
      <c r="M102" s="4"/>
      <c r="N102" s="4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4">
      <c r="A103" s="1"/>
      <c r="B103" s="1"/>
      <c r="C103" s="1"/>
      <c r="D103" s="2"/>
      <c r="E103" s="2"/>
      <c r="F103" s="2"/>
      <c r="G103" s="2"/>
      <c r="H103" s="2"/>
      <c r="I103" s="2"/>
      <c r="J103" s="3"/>
      <c r="K103" s="3"/>
      <c r="L103" s="2"/>
      <c r="M103" s="4"/>
      <c r="N103" s="4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4">
      <c r="A104" s="1"/>
      <c r="B104" s="1"/>
      <c r="C104" s="1"/>
      <c r="D104" s="2"/>
      <c r="E104" s="2"/>
      <c r="F104" s="2"/>
      <c r="G104" s="2"/>
      <c r="H104" s="2"/>
      <c r="I104" s="2"/>
      <c r="J104" s="3"/>
      <c r="K104" s="3"/>
      <c r="L104" s="2"/>
      <c r="M104" s="4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4">
      <c r="A105" s="1"/>
      <c r="B105" s="1"/>
      <c r="C105" s="1"/>
      <c r="D105" s="2"/>
      <c r="E105" s="2"/>
      <c r="F105" s="2"/>
      <c r="G105" s="2"/>
      <c r="H105" s="2"/>
      <c r="I105" s="2"/>
      <c r="J105" s="3"/>
      <c r="K105" s="3"/>
      <c r="L105" s="2"/>
      <c r="M105" s="4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4">
      <c r="A106" s="1"/>
      <c r="B106" s="1"/>
      <c r="C106" s="1"/>
      <c r="D106" s="2"/>
      <c r="E106" s="2"/>
      <c r="F106" s="2"/>
      <c r="G106" s="2"/>
      <c r="H106" s="2"/>
      <c r="I106" s="2"/>
      <c r="J106" s="3"/>
      <c r="K106" s="3"/>
      <c r="L106" s="2"/>
      <c r="M106" s="4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4">
      <c r="A107" s="1"/>
      <c r="B107" s="1"/>
      <c r="C107" s="1"/>
      <c r="D107" s="2"/>
      <c r="E107" s="2"/>
      <c r="F107" s="2"/>
      <c r="G107" s="2"/>
      <c r="H107" s="2"/>
      <c r="I107" s="2"/>
      <c r="J107" s="3"/>
      <c r="K107" s="3"/>
      <c r="L107" s="2"/>
      <c r="M107" s="4"/>
      <c r="N107" s="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4">
      <c r="A108" s="1"/>
      <c r="B108" s="1"/>
      <c r="C108" s="1"/>
      <c r="D108" s="2"/>
      <c r="E108" s="2"/>
      <c r="F108" s="2"/>
      <c r="G108" s="2"/>
      <c r="H108" s="2"/>
      <c r="I108" s="2"/>
      <c r="J108" s="3"/>
      <c r="K108" s="3"/>
      <c r="L108" s="2"/>
      <c r="M108" s="4"/>
      <c r="N108" s="4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4">
      <c r="A109" s="1"/>
      <c r="B109" s="1"/>
      <c r="C109" s="1"/>
      <c r="D109" s="2"/>
      <c r="E109" s="2"/>
      <c r="F109" s="2"/>
      <c r="G109" s="2"/>
      <c r="H109" s="2"/>
      <c r="I109" s="2"/>
      <c r="J109" s="3"/>
      <c r="K109" s="3"/>
      <c r="L109" s="2"/>
      <c r="M109" s="4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4">
      <c r="A110" s="1"/>
      <c r="B110" s="1"/>
      <c r="C110" s="1"/>
      <c r="D110" s="2"/>
      <c r="E110" s="2"/>
      <c r="F110" s="2"/>
      <c r="G110" s="2"/>
      <c r="H110" s="2"/>
      <c r="I110" s="2"/>
      <c r="J110" s="3"/>
      <c r="K110" s="3"/>
      <c r="L110" s="2"/>
      <c r="M110" s="4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4">
      <c r="A111" s="1"/>
      <c r="B111" s="1"/>
      <c r="C111" s="1"/>
      <c r="D111" s="2"/>
      <c r="E111" s="2"/>
      <c r="F111" s="2"/>
      <c r="G111" s="2"/>
      <c r="H111" s="2"/>
      <c r="I111" s="2"/>
      <c r="J111" s="3"/>
      <c r="K111" s="3"/>
      <c r="L111" s="2"/>
      <c r="M111" s="4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4">
      <c r="A112" s="1"/>
      <c r="B112" s="1"/>
      <c r="C112" s="1"/>
      <c r="D112" s="2"/>
      <c r="E112" s="2"/>
      <c r="F112" s="2"/>
      <c r="G112" s="2"/>
      <c r="H112" s="2"/>
      <c r="I112" s="2"/>
      <c r="J112" s="3"/>
      <c r="K112" s="3"/>
      <c r="L112" s="2"/>
      <c r="M112" s="4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4">
      <c r="A113" s="1"/>
      <c r="B113" s="1"/>
      <c r="C113" s="1"/>
      <c r="D113" s="2"/>
      <c r="E113" s="2"/>
      <c r="F113" s="2"/>
      <c r="G113" s="2"/>
      <c r="H113" s="2"/>
      <c r="I113" s="2"/>
      <c r="J113" s="3"/>
      <c r="K113" s="3"/>
      <c r="L113" s="2"/>
      <c r="M113" s="4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4">
      <c r="A114" s="1"/>
      <c r="B114" s="1"/>
      <c r="C114" s="1"/>
      <c r="D114" s="2"/>
      <c r="E114" s="2"/>
      <c r="F114" s="2"/>
      <c r="G114" s="2"/>
      <c r="H114" s="2"/>
      <c r="I114" s="2"/>
      <c r="J114" s="3"/>
      <c r="K114" s="3"/>
      <c r="L114" s="2"/>
      <c r="M114" s="4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4">
      <c r="A115" s="1"/>
      <c r="B115" s="1"/>
      <c r="C115" s="1"/>
      <c r="D115" s="2"/>
      <c r="E115" s="2"/>
      <c r="F115" s="2"/>
      <c r="G115" s="2"/>
      <c r="H115" s="2"/>
      <c r="I115" s="2"/>
      <c r="J115" s="3"/>
      <c r="K115" s="3"/>
      <c r="L115" s="2"/>
      <c r="M115" s="4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4">
      <c r="A116" s="1"/>
      <c r="B116" s="1"/>
      <c r="C116" s="1"/>
      <c r="D116" s="2"/>
      <c r="E116" s="2"/>
      <c r="F116" s="2"/>
      <c r="G116" s="2"/>
      <c r="H116" s="2"/>
      <c r="I116" s="2"/>
      <c r="J116" s="3"/>
      <c r="K116" s="3"/>
      <c r="L116" s="2"/>
      <c r="M116" s="4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4">
      <c r="A117" s="1"/>
      <c r="B117" s="1"/>
      <c r="C117" s="1"/>
      <c r="D117" s="2"/>
      <c r="E117" s="2"/>
      <c r="F117" s="2"/>
      <c r="G117" s="2"/>
      <c r="H117" s="2"/>
      <c r="I117" s="2"/>
      <c r="J117" s="3"/>
      <c r="K117" s="3"/>
      <c r="L117" s="2"/>
      <c r="M117" s="4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4">
      <c r="A118" s="1"/>
      <c r="B118" s="1"/>
      <c r="C118" s="1"/>
      <c r="D118" s="2"/>
      <c r="E118" s="2"/>
      <c r="F118" s="2"/>
      <c r="G118" s="2"/>
      <c r="H118" s="2"/>
      <c r="I118" s="2"/>
      <c r="J118" s="3"/>
      <c r="K118" s="3"/>
      <c r="L118" s="2"/>
      <c r="M118" s="4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4">
      <c r="A119" s="1"/>
      <c r="B119" s="1"/>
      <c r="C119" s="1"/>
      <c r="D119" s="2"/>
      <c r="E119" s="2"/>
      <c r="F119" s="2"/>
      <c r="G119" s="2"/>
      <c r="H119" s="2"/>
      <c r="I119" s="2"/>
      <c r="J119" s="3"/>
      <c r="K119" s="3"/>
      <c r="L119" s="2"/>
      <c r="M119" s="4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4">
      <c r="A120" s="1"/>
      <c r="B120" s="1"/>
      <c r="C120" s="1"/>
      <c r="D120" s="2"/>
      <c r="E120" s="2"/>
      <c r="F120" s="2"/>
      <c r="G120" s="2"/>
      <c r="H120" s="2"/>
      <c r="I120" s="2"/>
      <c r="J120" s="3"/>
      <c r="K120" s="3"/>
      <c r="L120" s="2"/>
      <c r="M120" s="4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4">
      <c r="A121" s="1"/>
      <c r="B121" s="1"/>
      <c r="C121" s="1"/>
      <c r="D121" s="2"/>
      <c r="E121" s="2"/>
      <c r="F121" s="2"/>
      <c r="G121" s="2"/>
      <c r="H121" s="2"/>
      <c r="I121" s="2"/>
      <c r="J121" s="3"/>
      <c r="K121" s="3"/>
      <c r="L121" s="2"/>
      <c r="M121" s="4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4">
      <c r="A122" s="1"/>
      <c r="B122" s="1"/>
      <c r="C122" s="1"/>
      <c r="D122" s="2"/>
      <c r="E122" s="2"/>
      <c r="F122" s="2"/>
      <c r="G122" s="2"/>
      <c r="H122" s="2"/>
      <c r="I122" s="2"/>
      <c r="J122" s="3"/>
      <c r="K122" s="3"/>
      <c r="L122" s="2"/>
      <c r="M122" s="4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4">
      <c r="A123" s="1"/>
      <c r="B123" s="1"/>
      <c r="C123" s="1"/>
      <c r="D123" s="2"/>
      <c r="E123" s="2"/>
      <c r="F123" s="2"/>
      <c r="G123" s="2"/>
      <c r="H123" s="2"/>
      <c r="I123" s="2"/>
      <c r="J123" s="3"/>
      <c r="K123" s="3"/>
      <c r="L123" s="2"/>
      <c r="M123" s="4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4">
      <c r="A124" s="1"/>
      <c r="B124" s="1"/>
      <c r="C124" s="1"/>
      <c r="D124" s="2"/>
      <c r="E124" s="2"/>
      <c r="F124" s="2"/>
      <c r="G124" s="2"/>
      <c r="H124" s="2"/>
      <c r="I124" s="2"/>
      <c r="J124" s="3"/>
      <c r="K124" s="3"/>
      <c r="L124" s="2"/>
      <c r="M124" s="4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4">
      <c r="A125" s="1"/>
      <c r="B125" s="1"/>
      <c r="C125" s="1"/>
      <c r="D125" s="2"/>
      <c r="E125" s="2"/>
      <c r="F125" s="2"/>
      <c r="G125" s="2"/>
      <c r="H125" s="2"/>
      <c r="I125" s="2"/>
      <c r="J125" s="3"/>
      <c r="K125" s="3"/>
      <c r="L125" s="2"/>
      <c r="M125" s="4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4">
      <c r="A126" s="1"/>
      <c r="B126" s="1"/>
      <c r="C126" s="1"/>
      <c r="D126" s="2"/>
      <c r="E126" s="2"/>
      <c r="F126" s="2"/>
      <c r="G126" s="2"/>
      <c r="H126" s="2"/>
      <c r="I126" s="2"/>
      <c r="J126" s="3"/>
      <c r="K126" s="3"/>
      <c r="L126" s="2"/>
      <c r="M126" s="4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4">
      <c r="A127" s="1"/>
      <c r="B127" s="1"/>
      <c r="C127" s="1"/>
      <c r="D127" s="2"/>
      <c r="E127" s="2"/>
      <c r="F127" s="2"/>
      <c r="G127" s="2"/>
      <c r="H127" s="2"/>
      <c r="I127" s="2"/>
      <c r="J127" s="3"/>
      <c r="K127" s="3"/>
      <c r="L127" s="2"/>
      <c r="M127" s="4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4">
      <c r="A128" s="1"/>
      <c r="B128" s="1"/>
      <c r="C128" s="1"/>
      <c r="D128" s="2"/>
      <c r="E128" s="2"/>
      <c r="F128" s="2"/>
      <c r="G128" s="2"/>
      <c r="H128" s="2"/>
      <c r="I128" s="2"/>
      <c r="J128" s="3"/>
      <c r="K128" s="3"/>
      <c r="L128" s="2"/>
      <c r="M128" s="4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4">
      <c r="A129" s="1"/>
      <c r="B129" s="1"/>
      <c r="C129" s="1"/>
      <c r="D129" s="2"/>
      <c r="E129" s="2"/>
      <c r="F129" s="2"/>
      <c r="G129" s="2"/>
      <c r="H129" s="2"/>
      <c r="I129" s="2"/>
      <c r="J129" s="3"/>
      <c r="K129" s="3"/>
      <c r="L129" s="2"/>
      <c r="M129" s="4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4">
      <c r="A130" s="1"/>
      <c r="B130" s="1"/>
      <c r="C130" s="1"/>
      <c r="D130" s="2"/>
      <c r="E130" s="2"/>
      <c r="F130" s="2"/>
      <c r="G130" s="2"/>
      <c r="H130" s="2"/>
      <c r="I130" s="2"/>
      <c r="J130" s="3"/>
      <c r="K130" s="3"/>
      <c r="L130" s="2"/>
      <c r="M130" s="4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4">
      <c r="A131" s="1"/>
      <c r="B131" s="1"/>
      <c r="C131" s="1"/>
      <c r="D131" s="2"/>
      <c r="E131" s="2"/>
      <c r="F131" s="2"/>
      <c r="G131" s="2"/>
      <c r="H131" s="2"/>
      <c r="I131" s="2"/>
      <c r="J131" s="3"/>
      <c r="K131" s="3"/>
      <c r="L131" s="2"/>
      <c r="M131" s="4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4">
      <c r="A132" s="1"/>
      <c r="B132" s="1"/>
      <c r="C132" s="1"/>
      <c r="D132" s="2"/>
      <c r="E132" s="2"/>
      <c r="F132" s="2"/>
      <c r="G132" s="2"/>
      <c r="H132" s="2"/>
      <c r="I132" s="2"/>
      <c r="J132" s="3"/>
      <c r="K132" s="3"/>
      <c r="L132" s="2"/>
      <c r="M132" s="4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4">
      <c r="A133" s="1"/>
      <c r="B133" s="1"/>
      <c r="C133" s="1"/>
      <c r="D133" s="2"/>
      <c r="E133" s="2"/>
      <c r="F133" s="2"/>
      <c r="G133" s="2"/>
      <c r="H133" s="2"/>
      <c r="I133" s="2"/>
      <c r="J133" s="3"/>
      <c r="K133" s="3"/>
      <c r="L133" s="2"/>
      <c r="M133" s="4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4">
      <c r="A134" s="1"/>
      <c r="B134" s="1"/>
      <c r="C134" s="1"/>
      <c r="D134" s="2"/>
      <c r="E134" s="2"/>
      <c r="F134" s="2"/>
      <c r="G134" s="2"/>
      <c r="H134" s="2"/>
      <c r="I134" s="2"/>
      <c r="J134" s="3"/>
      <c r="K134" s="3"/>
      <c r="L134" s="2"/>
      <c r="M134" s="4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4">
      <c r="A135" s="1"/>
      <c r="B135" s="1"/>
      <c r="C135" s="1"/>
      <c r="D135" s="2"/>
      <c r="E135" s="2"/>
      <c r="F135" s="2"/>
      <c r="G135" s="2"/>
      <c r="H135" s="2"/>
      <c r="I135" s="2"/>
      <c r="J135" s="3"/>
      <c r="K135" s="3"/>
      <c r="L135" s="2"/>
      <c r="M135" s="4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4">
      <c r="A136" s="1"/>
      <c r="B136" s="1"/>
      <c r="C136" s="1"/>
      <c r="D136" s="2"/>
      <c r="E136" s="2"/>
      <c r="F136" s="2"/>
      <c r="G136" s="2"/>
      <c r="H136" s="2"/>
      <c r="I136" s="2"/>
      <c r="J136" s="3"/>
      <c r="K136" s="3"/>
      <c r="L136" s="2"/>
      <c r="M136" s="4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4">
      <c r="A137" s="1"/>
      <c r="B137" s="1"/>
      <c r="C137" s="1"/>
      <c r="D137" s="2"/>
      <c r="E137" s="2"/>
      <c r="F137" s="2"/>
      <c r="G137" s="2"/>
      <c r="H137" s="2"/>
      <c r="I137" s="2"/>
      <c r="J137" s="3"/>
      <c r="K137" s="3"/>
      <c r="L137" s="2"/>
      <c r="M137" s="4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s="1" customFormat="1" x14ac:dyDescent="0.4">
      <c r="D138" s="2"/>
      <c r="E138" s="2"/>
      <c r="F138" s="2"/>
      <c r="G138" s="2"/>
      <c r="H138" s="2"/>
      <c r="I138" s="2"/>
      <c r="J138" s="3"/>
      <c r="K138" s="3"/>
      <c r="L138" s="2"/>
      <c r="M138" s="4"/>
      <c r="N138" s="4"/>
    </row>
    <row r="139" spans="1:26" x14ac:dyDescent="0.4">
      <c r="A139" s="1"/>
      <c r="B139" s="1"/>
      <c r="C139" s="1"/>
      <c r="D139" s="2"/>
      <c r="E139" s="2"/>
      <c r="F139" s="2"/>
      <c r="G139" s="2"/>
      <c r="H139" s="2"/>
      <c r="I139" s="2"/>
      <c r="J139" s="3"/>
      <c r="K139" s="3"/>
      <c r="L139" s="2"/>
      <c r="M139" s="4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4">
      <c r="A140" s="1"/>
      <c r="B140" s="1"/>
      <c r="C140" s="1"/>
      <c r="D140" s="2"/>
      <c r="E140" s="2"/>
      <c r="F140" s="2"/>
      <c r="G140" s="2"/>
      <c r="H140" s="2"/>
      <c r="I140" s="2"/>
      <c r="J140" s="3"/>
      <c r="K140" s="3"/>
      <c r="L140" s="2"/>
      <c r="M140" s="4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4">
      <c r="A141" s="1"/>
      <c r="B141" s="1"/>
      <c r="C141" s="1"/>
      <c r="D141" s="2"/>
      <c r="E141" s="2"/>
      <c r="F141" s="2"/>
      <c r="G141" s="2"/>
      <c r="H141" s="2"/>
      <c r="I141" s="2"/>
      <c r="J141" s="3"/>
      <c r="K141" s="3"/>
      <c r="L141" s="2"/>
      <c r="M141" s="4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4">
      <c r="A142" s="1"/>
      <c r="B142" s="1"/>
      <c r="C142" s="1"/>
      <c r="D142" s="2"/>
      <c r="E142" s="2"/>
      <c r="F142" s="2"/>
      <c r="G142" s="2"/>
      <c r="H142" s="2"/>
      <c r="I142" s="2"/>
      <c r="J142" s="3"/>
      <c r="K142" s="3"/>
      <c r="L142" s="2"/>
      <c r="M142" s="4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4">
      <c r="A143" s="1"/>
      <c r="B143" s="1"/>
      <c r="C143" s="1"/>
      <c r="D143" s="2"/>
      <c r="E143" s="2"/>
      <c r="F143" s="2"/>
      <c r="G143" s="2"/>
      <c r="H143" s="2"/>
      <c r="I143" s="2"/>
      <c r="J143" s="3"/>
      <c r="K143" s="3"/>
      <c r="L143" s="2"/>
      <c r="M143" s="4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4">
      <c r="A144" s="1"/>
      <c r="B144" s="1"/>
      <c r="C144" s="1"/>
      <c r="D144" s="2"/>
      <c r="E144" s="2"/>
      <c r="F144" s="2"/>
      <c r="G144" s="2"/>
      <c r="H144" s="2"/>
      <c r="I144" s="2"/>
      <c r="J144" s="3"/>
      <c r="K144" s="3"/>
      <c r="L144" s="2"/>
      <c r="M144" s="4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4">
      <c r="A145" s="1"/>
      <c r="B145" s="1"/>
      <c r="C145" s="1"/>
      <c r="D145" s="2"/>
      <c r="E145" s="2"/>
      <c r="F145" s="2"/>
      <c r="G145" s="2"/>
      <c r="H145" s="2"/>
      <c r="I145" s="2"/>
      <c r="J145" s="3"/>
      <c r="K145" s="3"/>
      <c r="L145" s="2"/>
      <c r="M145" s="4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4">
      <c r="A146" s="1"/>
      <c r="B146" s="1"/>
      <c r="C146" s="1"/>
      <c r="D146" s="2"/>
      <c r="E146" s="2"/>
      <c r="F146" s="2"/>
      <c r="G146" s="2"/>
      <c r="H146" s="2"/>
      <c r="I146" s="2"/>
      <c r="J146" s="3"/>
      <c r="K146" s="3"/>
      <c r="L146" s="2"/>
      <c r="M146" s="4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4">
      <c r="A147" s="1"/>
      <c r="B147" s="1"/>
      <c r="C147" s="1"/>
      <c r="D147" s="2"/>
      <c r="E147" s="2"/>
      <c r="F147" s="2"/>
      <c r="G147" s="2"/>
      <c r="H147" s="2"/>
      <c r="I147" s="2"/>
      <c r="J147" s="3"/>
      <c r="K147" s="3"/>
      <c r="L147" s="2"/>
      <c r="M147" s="4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4">
      <c r="A148" s="1"/>
      <c r="B148" s="1"/>
      <c r="C148" s="1"/>
      <c r="D148" s="2"/>
      <c r="E148" s="2"/>
      <c r="F148" s="2"/>
      <c r="G148" s="2"/>
      <c r="H148" s="2"/>
      <c r="I148" s="2"/>
      <c r="J148" s="3"/>
      <c r="K148" s="3"/>
      <c r="L148" s="2"/>
      <c r="M148" s="4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4">
      <c r="A149" s="1"/>
      <c r="B149" s="1"/>
      <c r="C149" s="1"/>
      <c r="D149" s="2"/>
      <c r="E149" s="2"/>
      <c r="F149" s="2"/>
      <c r="G149" s="2"/>
      <c r="H149" s="2"/>
      <c r="I149" s="2"/>
      <c r="J149" s="3"/>
      <c r="K149" s="3"/>
      <c r="L149" s="2"/>
      <c r="M149" s="4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4">
      <c r="A150" s="1"/>
      <c r="B150" s="1"/>
      <c r="C150" s="1"/>
      <c r="D150" s="2"/>
      <c r="E150" s="2"/>
      <c r="F150" s="2"/>
      <c r="G150" s="2"/>
      <c r="H150" s="2"/>
      <c r="I150" s="2"/>
      <c r="J150" s="3"/>
      <c r="K150" s="3"/>
      <c r="L150" s="2"/>
      <c r="M150" s="4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4">
      <c r="A151" s="1"/>
      <c r="B151" s="1"/>
      <c r="C151" s="1"/>
      <c r="D151" s="2"/>
      <c r="E151" s="2"/>
      <c r="F151" s="2"/>
      <c r="G151" s="2"/>
      <c r="H151" s="2"/>
      <c r="I151" s="2"/>
      <c r="J151" s="3"/>
      <c r="K151" s="3"/>
      <c r="L151" s="2"/>
      <c r="M151" s="4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4">
      <c r="A152" s="1"/>
      <c r="B152" s="1"/>
      <c r="C152" s="1"/>
      <c r="D152" s="2"/>
      <c r="E152" s="2"/>
      <c r="F152" s="2"/>
      <c r="G152" s="2"/>
      <c r="H152" s="2"/>
      <c r="I152" s="2"/>
      <c r="J152" s="3"/>
      <c r="K152" s="3"/>
      <c r="L152" s="2"/>
      <c r="M152" s="4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4">
      <c r="A153" s="1"/>
      <c r="B153" s="1"/>
      <c r="C153" s="1"/>
      <c r="D153" s="2"/>
      <c r="E153" s="2"/>
      <c r="F153" s="2"/>
      <c r="G153" s="2"/>
      <c r="H153" s="2"/>
      <c r="I153" s="2"/>
      <c r="J153" s="3"/>
      <c r="K153" s="3"/>
      <c r="L153" s="2"/>
      <c r="M153" s="4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4">
      <c r="A154" s="1"/>
      <c r="B154" s="1"/>
      <c r="C154" s="1"/>
      <c r="D154" s="2"/>
      <c r="E154" s="2"/>
      <c r="F154" s="2"/>
      <c r="G154" s="2"/>
      <c r="H154" s="2"/>
      <c r="I154" s="2"/>
      <c r="J154" s="3"/>
      <c r="K154" s="3"/>
      <c r="L154" s="2"/>
      <c r="M154" s="4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4">
      <c r="A155" s="1"/>
      <c r="B155" s="1"/>
      <c r="C155" s="1"/>
      <c r="D155" s="2"/>
      <c r="E155" s="2"/>
      <c r="F155" s="2"/>
      <c r="G155" s="2"/>
      <c r="H155" s="2"/>
      <c r="I155" s="2"/>
      <c r="J155" s="3"/>
      <c r="K155" s="3"/>
      <c r="L155" s="2"/>
      <c r="M155" s="4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4">
      <c r="A156" s="1"/>
      <c r="B156" s="1"/>
      <c r="C156" s="1"/>
      <c r="D156" s="2"/>
      <c r="E156" s="2"/>
      <c r="F156" s="2"/>
      <c r="G156" s="2"/>
      <c r="H156" s="2"/>
      <c r="I156" s="2"/>
      <c r="J156" s="3"/>
      <c r="K156" s="3"/>
      <c r="L156" s="2"/>
      <c r="M156" s="4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4">
      <c r="A157" s="1"/>
      <c r="B157" s="1"/>
      <c r="C157" s="1"/>
      <c r="D157" s="2"/>
      <c r="E157" s="2"/>
      <c r="F157" s="2"/>
      <c r="G157" s="2"/>
      <c r="H157" s="2"/>
      <c r="I157" s="2"/>
      <c r="J157" s="3"/>
      <c r="K157" s="3"/>
      <c r="L157" s="2"/>
      <c r="M157" s="4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4">
      <c r="A158" s="1"/>
      <c r="B158" s="1"/>
      <c r="C158" s="1"/>
      <c r="D158" s="2"/>
      <c r="E158" s="2"/>
      <c r="F158" s="2"/>
      <c r="G158" s="2"/>
      <c r="H158" s="2"/>
      <c r="I158" s="2"/>
      <c r="J158" s="3"/>
      <c r="K158" s="3"/>
      <c r="L158" s="2"/>
      <c r="M158" s="4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4">
      <c r="A159" s="1"/>
      <c r="B159" s="1"/>
      <c r="C159" s="1"/>
      <c r="D159" s="2"/>
      <c r="E159" s="2"/>
      <c r="F159" s="2"/>
      <c r="G159" s="2"/>
      <c r="H159" s="2"/>
      <c r="I159" s="2"/>
      <c r="J159" s="3"/>
      <c r="K159" s="3"/>
      <c r="L159" s="2"/>
      <c r="M159" s="6"/>
      <c r="N159" s="1"/>
      <c r="O159" s="1"/>
      <c r="P159" s="1"/>
      <c r="Q159" s="1"/>
      <c r="R159" s="4"/>
      <c r="S159" s="1"/>
      <c r="T159" s="1"/>
      <c r="U159" s="2"/>
      <c r="V159" s="3"/>
      <c r="W159" s="3"/>
      <c r="X159" s="2"/>
      <c r="Y159" s="1"/>
      <c r="Z159" s="1"/>
    </row>
    <row r="160" spans="1:26" x14ac:dyDescent="0.4">
      <c r="A160" s="1"/>
      <c r="B160" s="1"/>
      <c r="C160" s="1"/>
      <c r="D160" s="2"/>
      <c r="E160" s="2"/>
      <c r="F160" s="2"/>
      <c r="G160" s="2"/>
      <c r="H160" s="2"/>
      <c r="I160" s="2"/>
      <c r="J160" s="3"/>
      <c r="K160" s="3"/>
      <c r="L160" s="2"/>
      <c r="M160" s="4"/>
      <c r="N160" s="4"/>
      <c r="O160" s="1"/>
      <c r="P160" s="1"/>
      <c r="Q160" s="1"/>
      <c r="R160" s="4"/>
      <c r="S160" s="1"/>
      <c r="T160" s="1"/>
      <c r="U160" s="2"/>
      <c r="V160" s="3"/>
      <c r="W160" s="3"/>
      <c r="X160" s="2"/>
      <c r="Y160" s="1"/>
      <c r="Z160" s="1"/>
    </row>
    <row r="161" spans="1:26" x14ac:dyDescent="0.4">
      <c r="A161" s="1"/>
      <c r="B161" s="1"/>
      <c r="C161" s="1"/>
      <c r="D161" s="2"/>
      <c r="E161" s="2"/>
      <c r="F161" s="2"/>
      <c r="G161" s="2"/>
      <c r="H161" s="2"/>
      <c r="I161" s="2"/>
      <c r="J161" s="3"/>
      <c r="K161" s="3"/>
      <c r="L161" s="2"/>
      <c r="M161" s="4"/>
      <c r="N161" s="4"/>
      <c r="O161" s="1"/>
      <c r="P161" s="1"/>
      <c r="Q161" s="1"/>
      <c r="R161" s="4"/>
      <c r="S161" s="1"/>
      <c r="T161" s="1"/>
      <c r="U161" s="2"/>
      <c r="V161" s="3"/>
      <c r="W161" s="3"/>
      <c r="X161" s="2"/>
      <c r="Y161" s="1"/>
      <c r="Z161" s="1"/>
    </row>
    <row r="162" spans="1:26" x14ac:dyDescent="0.4">
      <c r="A162" s="1"/>
      <c r="B162" s="1"/>
      <c r="C162" s="1"/>
      <c r="D162" s="2"/>
      <c r="E162" s="2"/>
      <c r="F162" s="2"/>
      <c r="G162" s="2"/>
      <c r="H162" s="2"/>
      <c r="I162" s="2"/>
      <c r="J162" s="3"/>
      <c r="K162" s="3"/>
      <c r="L162" s="2"/>
      <c r="M162" s="4"/>
      <c r="N162" s="4"/>
      <c r="O162" s="1"/>
      <c r="P162" s="1"/>
      <c r="Q162" s="1"/>
      <c r="R162" s="4"/>
      <c r="S162" s="1"/>
      <c r="T162" s="1"/>
      <c r="U162" s="2"/>
      <c r="V162" s="3"/>
      <c r="W162" s="3"/>
      <c r="X162" s="2"/>
      <c r="Y162" s="1"/>
      <c r="Z162" s="1"/>
    </row>
    <row r="163" spans="1:26" x14ac:dyDescent="0.4">
      <c r="A163" s="1"/>
      <c r="B163" s="1"/>
      <c r="C163" s="1"/>
      <c r="D163" s="2"/>
      <c r="E163" s="2"/>
      <c r="F163" s="2"/>
      <c r="G163" s="2"/>
      <c r="H163" s="2"/>
      <c r="I163" s="2"/>
      <c r="J163" s="3"/>
      <c r="K163" s="3"/>
      <c r="L163" s="2"/>
      <c r="M163" s="4"/>
      <c r="N163" s="4"/>
      <c r="O163" s="1"/>
      <c r="P163" s="1"/>
      <c r="Q163" s="1"/>
      <c r="R163" s="4"/>
      <c r="S163" s="1"/>
      <c r="T163" s="1"/>
      <c r="U163" s="2"/>
      <c r="V163" s="3"/>
      <c r="W163" s="3"/>
      <c r="X163" s="2"/>
      <c r="Y163" s="1"/>
      <c r="Z163" s="1"/>
    </row>
    <row r="164" spans="1:26" x14ac:dyDescent="0.4">
      <c r="A164" s="1"/>
      <c r="B164" s="1"/>
      <c r="C164" s="1"/>
      <c r="D164" s="2"/>
      <c r="E164" s="2"/>
      <c r="F164" s="2"/>
      <c r="G164" s="2"/>
      <c r="H164" s="2"/>
      <c r="I164" s="2"/>
      <c r="J164" s="3"/>
      <c r="K164" s="3"/>
      <c r="L164" s="2"/>
      <c r="M164" s="4"/>
      <c r="N164" s="4"/>
      <c r="O164" s="1"/>
      <c r="P164" s="1"/>
      <c r="Q164" s="1"/>
      <c r="R164" s="4"/>
      <c r="S164" s="1"/>
      <c r="T164" s="1"/>
      <c r="U164" s="2"/>
      <c r="V164" s="3"/>
      <c r="W164" s="3"/>
      <c r="X164" s="2"/>
      <c r="Y164" s="1"/>
      <c r="Z164" s="1"/>
    </row>
    <row r="165" spans="1:26" x14ac:dyDescent="0.4">
      <c r="A165" s="1"/>
      <c r="B165" s="1"/>
      <c r="C165" s="1"/>
      <c r="D165" s="2"/>
      <c r="E165" s="2"/>
      <c r="F165" s="2"/>
      <c r="G165" s="2"/>
      <c r="H165" s="2"/>
      <c r="I165" s="2"/>
      <c r="J165" s="3"/>
      <c r="K165" s="3"/>
      <c r="L165" s="2"/>
      <c r="M165" s="4"/>
      <c r="N165" s="4"/>
      <c r="O165" s="1"/>
      <c r="P165" s="1"/>
      <c r="Q165" s="1"/>
      <c r="R165" s="4"/>
      <c r="S165" s="1"/>
      <c r="T165" s="1"/>
      <c r="U165" s="2"/>
      <c r="V165" s="3"/>
      <c r="W165" s="3"/>
      <c r="X165" s="2"/>
      <c r="Y165" s="1"/>
      <c r="Z165" s="1"/>
    </row>
    <row r="166" spans="1:26" x14ac:dyDescent="0.4">
      <c r="A166" s="1"/>
      <c r="B166" s="1"/>
      <c r="C166" s="1"/>
      <c r="D166" s="2"/>
      <c r="E166" s="2"/>
      <c r="F166" s="2"/>
      <c r="G166" s="2"/>
      <c r="H166" s="2"/>
      <c r="I166" s="2"/>
      <c r="J166" s="3"/>
      <c r="K166" s="3"/>
      <c r="L166" s="2"/>
      <c r="M166" s="4"/>
      <c r="N166" s="4"/>
      <c r="O166" s="1"/>
      <c r="P166" s="1"/>
      <c r="Q166" s="1"/>
      <c r="R166" s="4"/>
      <c r="S166" s="1"/>
      <c r="T166" s="1"/>
      <c r="U166" s="2"/>
      <c r="V166" s="3"/>
      <c r="W166" s="3"/>
      <c r="X166" s="2"/>
      <c r="Y166" s="1"/>
      <c r="Z166" s="1"/>
    </row>
    <row r="167" spans="1:26" x14ac:dyDescent="0.4">
      <c r="A167" s="1"/>
      <c r="B167" s="1"/>
      <c r="C167" s="1"/>
      <c r="D167" s="2"/>
      <c r="E167" s="2"/>
      <c r="F167" s="2"/>
      <c r="G167" s="2"/>
      <c r="H167" s="2"/>
      <c r="I167" s="2"/>
      <c r="J167" s="3"/>
      <c r="K167" s="3"/>
      <c r="L167" s="2"/>
      <c r="M167" s="4"/>
      <c r="N167" s="4"/>
      <c r="O167" s="1"/>
      <c r="P167" s="1"/>
      <c r="Q167" s="1"/>
      <c r="R167" s="4"/>
      <c r="S167" s="1"/>
      <c r="T167" s="1"/>
      <c r="U167" s="2"/>
      <c r="V167" s="3"/>
      <c r="W167" s="3"/>
      <c r="X167" s="2"/>
      <c r="Y167" s="1"/>
      <c r="Z167" s="1"/>
    </row>
    <row r="168" spans="1:26" x14ac:dyDescent="0.4">
      <c r="A168" s="1"/>
      <c r="B168" s="1"/>
      <c r="C168" s="1"/>
      <c r="D168" s="2"/>
      <c r="E168" s="2"/>
      <c r="F168" s="2"/>
      <c r="G168" s="2"/>
      <c r="H168" s="2"/>
      <c r="I168" s="2"/>
      <c r="J168" s="3"/>
      <c r="K168" s="3"/>
      <c r="L168" s="2"/>
      <c r="M168" s="4"/>
      <c r="N168" s="4"/>
      <c r="O168" s="1"/>
      <c r="P168" s="1"/>
      <c r="Q168" s="1"/>
      <c r="R168" s="4"/>
      <c r="S168" s="1"/>
      <c r="T168" s="1"/>
      <c r="U168" s="2"/>
      <c r="V168" s="3"/>
      <c r="W168" s="3"/>
      <c r="X168" s="2"/>
      <c r="Y168" s="1"/>
      <c r="Z168" s="1"/>
    </row>
    <row r="169" spans="1:26" x14ac:dyDescent="0.4">
      <c r="A169" s="1"/>
      <c r="B169" s="1"/>
      <c r="C169" s="1"/>
      <c r="D169" s="2"/>
      <c r="E169" s="2"/>
      <c r="F169" s="2"/>
      <c r="G169" s="2"/>
      <c r="H169" s="2"/>
      <c r="I169" s="2"/>
      <c r="J169" s="3"/>
      <c r="K169" s="3"/>
      <c r="L169" s="2"/>
      <c r="M169" s="4"/>
      <c r="N169" s="4"/>
      <c r="O169" s="1"/>
      <c r="P169" s="1"/>
      <c r="Q169" s="1"/>
      <c r="R169" s="4"/>
      <c r="S169" s="1"/>
      <c r="T169" s="1"/>
      <c r="U169" s="2"/>
      <c r="V169" s="3"/>
      <c r="W169" s="3"/>
      <c r="X169" s="2"/>
      <c r="Y169" s="1"/>
      <c r="Z169" s="1"/>
    </row>
    <row r="170" spans="1:26" x14ac:dyDescent="0.4">
      <c r="A170" s="1"/>
      <c r="B170" s="1"/>
      <c r="C170" s="1"/>
      <c r="D170" s="2"/>
      <c r="E170" s="2"/>
      <c r="F170" s="2"/>
      <c r="G170" s="2"/>
      <c r="H170" s="2"/>
      <c r="I170" s="2"/>
      <c r="J170" s="3"/>
      <c r="K170" s="3"/>
      <c r="L170" s="2"/>
      <c r="M170" s="4"/>
      <c r="N170" s="4"/>
      <c r="O170" s="1"/>
      <c r="P170" s="1"/>
      <c r="Q170" s="1"/>
      <c r="R170" s="4"/>
      <c r="S170" s="1"/>
      <c r="T170" s="1"/>
      <c r="U170" s="2"/>
      <c r="V170" s="3"/>
      <c r="W170" s="3"/>
      <c r="X170" s="2"/>
      <c r="Y170" s="1"/>
      <c r="Z170" s="1"/>
    </row>
    <row r="171" spans="1:26" x14ac:dyDescent="0.4">
      <c r="A171" s="1"/>
      <c r="B171" s="1"/>
      <c r="C171" s="1"/>
      <c r="D171" s="2"/>
      <c r="E171" s="2"/>
      <c r="F171" s="2"/>
      <c r="G171" s="2"/>
      <c r="H171" s="2"/>
      <c r="I171" s="2"/>
      <c r="J171" s="3"/>
      <c r="K171" s="3"/>
      <c r="L171" s="2"/>
      <c r="M171" s="4"/>
      <c r="N171" s="4"/>
      <c r="O171" s="1"/>
      <c r="P171" s="1"/>
      <c r="Q171" s="1"/>
      <c r="R171" s="4"/>
      <c r="S171" s="1"/>
      <c r="T171" s="1"/>
      <c r="U171" s="2"/>
      <c r="V171" s="3"/>
      <c r="W171" s="3"/>
      <c r="X171" s="2"/>
      <c r="Y171" s="1"/>
      <c r="Z171" s="1"/>
    </row>
    <row r="172" spans="1:26" x14ac:dyDescent="0.4">
      <c r="A172" s="1"/>
      <c r="B172" s="1"/>
      <c r="C172" s="1"/>
      <c r="D172" s="2"/>
      <c r="E172" s="2"/>
      <c r="F172" s="2"/>
      <c r="G172" s="2"/>
      <c r="H172" s="2"/>
      <c r="I172" s="2"/>
      <c r="J172" s="3"/>
      <c r="K172" s="3"/>
      <c r="L172" s="2"/>
      <c r="M172" s="4"/>
      <c r="N172" s="4"/>
      <c r="O172" s="1"/>
      <c r="P172" s="1"/>
      <c r="Q172" s="1"/>
      <c r="R172" s="4"/>
      <c r="S172" s="1"/>
      <c r="T172" s="1"/>
      <c r="U172" s="2"/>
      <c r="V172" s="3"/>
      <c r="W172" s="3"/>
      <c r="X172" s="2"/>
      <c r="Y172" s="1"/>
      <c r="Z172" s="1"/>
    </row>
    <row r="173" spans="1:26" x14ac:dyDescent="0.4">
      <c r="A173" s="1"/>
      <c r="B173" s="1"/>
      <c r="C173" s="1"/>
      <c r="D173" s="2"/>
      <c r="E173" s="2"/>
      <c r="F173" s="2"/>
      <c r="G173" s="2"/>
      <c r="H173" s="2"/>
      <c r="I173" s="2"/>
      <c r="J173" s="3"/>
      <c r="K173" s="3"/>
      <c r="L173" s="2"/>
      <c r="M173" s="4"/>
      <c r="N173" s="4"/>
      <c r="O173" s="1"/>
      <c r="P173" s="1"/>
      <c r="Q173" s="1"/>
      <c r="R173" s="4"/>
      <c r="S173" s="1"/>
      <c r="T173" s="1"/>
      <c r="U173" s="2"/>
      <c r="V173" s="3"/>
      <c r="W173" s="3"/>
      <c r="X173" s="2"/>
      <c r="Y173" s="1"/>
      <c r="Z173" s="1"/>
    </row>
    <row r="174" spans="1:26" x14ac:dyDescent="0.4">
      <c r="A174" s="1"/>
      <c r="B174" s="1"/>
      <c r="C174" s="1"/>
      <c r="D174" s="2"/>
      <c r="E174" s="2"/>
      <c r="F174" s="2"/>
      <c r="G174" s="2"/>
      <c r="H174" s="2"/>
      <c r="I174" s="2"/>
      <c r="J174" s="3"/>
      <c r="K174" s="3"/>
      <c r="L174" s="2"/>
      <c r="M174" s="4"/>
      <c r="N174" s="4"/>
      <c r="O174" s="1"/>
      <c r="P174" s="1"/>
      <c r="Q174" s="1"/>
      <c r="R174" s="4"/>
      <c r="S174" s="1"/>
      <c r="T174" s="1"/>
      <c r="U174" s="2"/>
      <c r="V174" s="3"/>
      <c r="W174" s="3"/>
      <c r="X174" s="2"/>
      <c r="Y174" s="1"/>
      <c r="Z174" s="1"/>
    </row>
    <row r="175" spans="1:26" x14ac:dyDescent="0.4">
      <c r="A175" s="1"/>
      <c r="B175" s="1"/>
      <c r="C175" s="1"/>
      <c r="D175" s="2"/>
      <c r="E175" s="2"/>
      <c r="F175" s="2"/>
      <c r="G175" s="2"/>
      <c r="H175" s="2"/>
      <c r="I175" s="2"/>
      <c r="J175" s="3"/>
      <c r="K175" s="3"/>
      <c r="L175" s="2"/>
      <c r="M175" s="4"/>
      <c r="N175" s="4"/>
      <c r="O175" s="1"/>
      <c r="P175" s="1"/>
      <c r="Q175" s="1"/>
      <c r="R175" s="4"/>
      <c r="S175" s="1"/>
      <c r="T175" s="1"/>
      <c r="U175" s="2"/>
      <c r="V175" s="3"/>
      <c r="W175" s="3"/>
      <c r="X175" s="2"/>
      <c r="Y175" s="1"/>
      <c r="Z175" s="1"/>
    </row>
    <row r="176" spans="1:26" x14ac:dyDescent="0.4">
      <c r="A176" s="1"/>
      <c r="B176" s="1"/>
      <c r="C176" s="1"/>
      <c r="D176" s="2"/>
      <c r="E176" s="2"/>
      <c r="F176" s="2"/>
      <c r="G176" s="2"/>
      <c r="H176" s="2"/>
      <c r="I176" s="2"/>
      <c r="J176" s="3"/>
      <c r="K176" s="3"/>
      <c r="L176" s="2"/>
      <c r="M176" s="4"/>
      <c r="N176" s="4"/>
      <c r="O176" s="1"/>
      <c r="P176" s="1"/>
      <c r="Q176" s="1"/>
      <c r="R176" s="4"/>
      <c r="S176" s="1"/>
      <c r="T176" s="1"/>
      <c r="U176" s="2"/>
      <c r="V176" s="3"/>
      <c r="W176" s="3"/>
      <c r="X176" s="2"/>
      <c r="Y176" s="1"/>
      <c r="Z176" s="1"/>
    </row>
    <row r="177" spans="1:26" x14ac:dyDescent="0.4">
      <c r="A177" s="1"/>
      <c r="B177" s="1"/>
      <c r="C177" s="1"/>
      <c r="D177" s="2"/>
      <c r="E177" s="2"/>
      <c r="F177" s="2"/>
      <c r="G177" s="2"/>
      <c r="H177" s="2"/>
      <c r="I177" s="2"/>
      <c r="J177" s="3"/>
      <c r="K177" s="3"/>
      <c r="L177" s="2"/>
      <c r="M177" s="4"/>
      <c r="N177" s="4"/>
      <c r="O177" s="1"/>
      <c r="P177" s="1"/>
      <c r="Q177" s="1"/>
      <c r="R177" s="4"/>
      <c r="S177" s="1"/>
      <c r="T177" s="1"/>
      <c r="U177" s="2"/>
      <c r="V177" s="3"/>
      <c r="W177" s="3"/>
      <c r="X177" s="2"/>
      <c r="Y177" s="1"/>
      <c r="Z177" s="1"/>
    </row>
    <row r="178" spans="1:26" x14ac:dyDescent="0.4">
      <c r="A178" s="1"/>
      <c r="B178" s="1"/>
      <c r="C178" s="1"/>
      <c r="D178" s="2"/>
      <c r="E178" s="2"/>
      <c r="F178" s="2"/>
      <c r="G178" s="2"/>
      <c r="H178" s="2"/>
      <c r="I178" s="2"/>
      <c r="J178" s="3"/>
      <c r="K178" s="3"/>
      <c r="L178" s="2"/>
      <c r="M178" s="4"/>
      <c r="N178" s="4"/>
      <c r="O178" s="1"/>
      <c r="P178" s="1"/>
      <c r="Q178" s="1"/>
      <c r="R178" s="4"/>
      <c r="S178" s="1"/>
      <c r="T178" s="1"/>
      <c r="U178" s="2"/>
      <c r="V178" s="3"/>
      <c r="W178" s="3"/>
      <c r="X178" s="2"/>
      <c r="Y178" s="1"/>
      <c r="Z178" s="1"/>
    </row>
    <row r="179" spans="1:26" x14ac:dyDescent="0.4">
      <c r="A179" s="1"/>
      <c r="B179" s="1"/>
      <c r="C179" s="1"/>
      <c r="D179" s="2"/>
      <c r="E179" s="2"/>
      <c r="F179" s="2"/>
      <c r="G179" s="2"/>
      <c r="H179" s="2"/>
      <c r="I179" s="2"/>
      <c r="J179" s="3"/>
      <c r="K179" s="3"/>
      <c r="L179" s="2"/>
      <c r="M179" s="4"/>
      <c r="N179" s="4"/>
      <c r="O179" s="1"/>
      <c r="P179" s="1"/>
      <c r="Q179" s="1"/>
      <c r="R179" s="4"/>
      <c r="S179" s="1"/>
      <c r="T179" s="1"/>
      <c r="U179" s="2"/>
      <c r="V179" s="3"/>
      <c r="W179" s="3"/>
      <c r="X179" s="2"/>
      <c r="Y179" s="1"/>
      <c r="Z179" s="1"/>
    </row>
    <row r="180" spans="1:26" x14ac:dyDescent="0.4">
      <c r="A180" s="1"/>
      <c r="B180" s="1"/>
      <c r="C180" s="1"/>
      <c r="D180" s="2"/>
      <c r="E180" s="2"/>
      <c r="F180" s="2"/>
      <c r="G180" s="2"/>
      <c r="H180" s="2"/>
      <c r="I180" s="2"/>
      <c r="J180" s="3"/>
      <c r="K180" s="3"/>
      <c r="L180" s="2"/>
      <c r="M180" s="4"/>
      <c r="N180" s="4"/>
      <c r="O180" s="1"/>
      <c r="P180" s="1"/>
      <c r="Q180" s="1"/>
      <c r="R180" s="4"/>
      <c r="S180" s="1"/>
      <c r="T180" s="1"/>
      <c r="U180" s="2"/>
      <c r="V180" s="3"/>
      <c r="W180" s="3"/>
      <c r="X180" s="2"/>
      <c r="Y180" s="1"/>
      <c r="Z180" s="1"/>
    </row>
    <row r="181" spans="1:26" x14ac:dyDescent="0.4">
      <c r="A181" s="1"/>
      <c r="B181" s="1"/>
      <c r="C181" s="1"/>
      <c r="D181" s="2"/>
      <c r="E181" s="2"/>
      <c r="F181" s="2"/>
      <c r="G181" s="2"/>
      <c r="H181" s="2"/>
      <c r="I181" s="2"/>
      <c r="J181" s="3"/>
      <c r="K181" s="3"/>
      <c r="L181" s="2"/>
      <c r="M181" s="4"/>
      <c r="N181" s="4"/>
      <c r="O181" s="1"/>
      <c r="P181" s="1"/>
      <c r="Q181" s="1"/>
      <c r="R181" s="4"/>
      <c r="S181" s="1"/>
      <c r="T181" s="1"/>
      <c r="U181" s="2"/>
      <c r="V181" s="3"/>
      <c r="W181" s="3"/>
      <c r="X181" s="2"/>
      <c r="Y181" s="1"/>
      <c r="Z181" s="1"/>
    </row>
    <row r="182" spans="1:26" x14ac:dyDescent="0.4">
      <c r="A182" s="1"/>
      <c r="B182" s="1"/>
      <c r="C182" s="1"/>
      <c r="D182" s="2"/>
      <c r="E182" s="2"/>
      <c r="F182" s="2"/>
      <c r="G182" s="2"/>
      <c r="H182" s="2"/>
      <c r="I182" s="2"/>
      <c r="J182" s="3"/>
      <c r="K182" s="3"/>
      <c r="L182" s="2"/>
      <c r="M182" s="4"/>
      <c r="N182" s="4"/>
      <c r="O182" s="1"/>
      <c r="P182" s="1"/>
      <c r="Q182" s="1"/>
      <c r="R182" s="4"/>
      <c r="S182" s="1"/>
      <c r="T182" s="1"/>
      <c r="U182" s="2"/>
      <c r="V182" s="3"/>
      <c r="W182" s="3"/>
      <c r="X182" s="2"/>
      <c r="Y182" s="1"/>
      <c r="Z182" s="1"/>
    </row>
    <row r="183" spans="1:26" x14ac:dyDescent="0.4">
      <c r="A183" s="1"/>
      <c r="B183" s="1"/>
      <c r="C183" s="1"/>
      <c r="D183" s="2"/>
      <c r="E183" s="2"/>
      <c r="F183" s="2"/>
      <c r="G183" s="2"/>
      <c r="H183" s="2"/>
      <c r="I183" s="2"/>
      <c r="J183" s="3"/>
      <c r="K183" s="3"/>
      <c r="L183" s="2"/>
      <c r="M183" s="4"/>
      <c r="N183" s="4"/>
      <c r="O183" s="1"/>
      <c r="P183" s="1"/>
      <c r="Q183" s="1"/>
      <c r="R183" s="4"/>
      <c r="S183" s="1"/>
      <c r="T183" s="1"/>
      <c r="U183" s="2"/>
      <c r="V183" s="3"/>
      <c r="W183" s="3"/>
      <c r="X183" s="2"/>
      <c r="Y183" s="1"/>
      <c r="Z183" s="1"/>
    </row>
    <row r="184" spans="1:26" x14ac:dyDescent="0.4">
      <c r="A184" s="1"/>
      <c r="B184" s="1"/>
      <c r="C184" s="1"/>
      <c r="D184" s="2"/>
      <c r="E184" s="2"/>
      <c r="F184" s="2"/>
      <c r="G184" s="2"/>
      <c r="H184" s="2"/>
      <c r="I184" s="2"/>
      <c r="J184" s="3"/>
      <c r="K184" s="3"/>
      <c r="L184" s="2"/>
      <c r="M184" s="4"/>
      <c r="N184" s="4"/>
      <c r="O184" s="1"/>
      <c r="P184" s="1"/>
      <c r="Q184" s="1"/>
      <c r="R184" s="4"/>
      <c r="S184" s="1"/>
      <c r="T184" s="1"/>
      <c r="U184" s="2"/>
      <c r="V184" s="3"/>
      <c r="W184" s="3"/>
      <c r="X184" s="2"/>
      <c r="Y184" s="1"/>
      <c r="Z184" s="1"/>
    </row>
    <row r="185" spans="1:26" x14ac:dyDescent="0.4">
      <c r="A185" s="1"/>
      <c r="B185" s="1"/>
      <c r="C185" s="1"/>
      <c r="D185" s="2"/>
      <c r="E185" s="2"/>
      <c r="F185" s="2"/>
      <c r="G185" s="2"/>
      <c r="H185" s="2"/>
      <c r="I185" s="2"/>
      <c r="J185" s="3"/>
      <c r="K185" s="3"/>
      <c r="L185" s="2"/>
      <c r="M185" s="4"/>
      <c r="N185" s="4"/>
      <c r="O185" s="1"/>
      <c r="P185" s="1"/>
      <c r="Q185" s="1"/>
      <c r="R185" s="4"/>
      <c r="S185" s="1"/>
      <c r="T185" s="1"/>
      <c r="U185" s="2"/>
      <c r="V185" s="3"/>
      <c r="W185" s="3"/>
      <c r="X185" s="2"/>
      <c r="Y185" s="1"/>
      <c r="Z185" s="1"/>
    </row>
    <row r="186" spans="1:26" x14ac:dyDescent="0.4">
      <c r="A186" s="1"/>
      <c r="B186" s="1"/>
      <c r="C186" s="1"/>
      <c r="D186" s="2"/>
      <c r="E186" s="2"/>
      <c r="F186" s="2"/>
      <c r="G186" s="2"/>
      <c r="H186" s="2"/>
      <c r="I186" s="2"/>
      <c r="J186" s="3"/>
      <c r="K186" s="3"/>
      <c r="L186" s="2"/>
      <c r="M186" s="4"/>
      <c r="N186" s="4"/>
      <c r="O186" s="1"/>
      <c r="P186" s="1"/>
      <c r="Q186" s="1"/>
      <c r="R186" s="4"/>
      <c r="S186" s="1"/>
      <c r="T186" s="1"/>
      <c r="U186" s="2"/>
      <c r="V186" s="3"/>
      <c r="W186" s="3"/>
      <c r="X186" s="2"/>
      <c r="Y186" s="1"/>
      <c r="Z186" s="1"/>
    </row>
    <row r="187" spans="1:26" x14ac:dyDescent="0.4">
      <c r="A187" s="1"/>
      <c r="B187" s="1"/>
      <c r="C187" s="1"/>
      <c r="D187" s="2"/>
      <c r="E187" s="2"/>
      <c r="F187" s="2"/>
      <c r="G187" s="2"/>
      <c r="H187" s="2"/>
      <c r="I187" s="2"/>
      <c r="J187" s="3"/>
      <c r="K187" s="3"/>
      <c r="L187" s="2"/>
      <c r="M187" s="4"/>
      <c r="N187" s="4"/>
      <c r="O187" s="1"/>
      <c r="P187" s="1"/>
      <c r="Q187" s="1"/>
      <c r="R187" s="4"/>
      <c r="S187" s="1"/>
      <c r="T187" s="1"/>
      <c r="U187" s="2"/>
      <c r="V187" s="3"/>
      <c r="W187" s="3"/>
      <c r="X187" s="2"/>
      <c r="Y187" s="1"/>
      <c r="Z187" s="1"/>
    </row>
    <row r="188" spans="1:26" x14ac:dyDescent="0.4">
      <c r="A188" s="1"/>
      <c r="B188" s="1"/>
      <c r="C188" s="1"/>
      <c r="D188" s="2"/>
      <c r="E188" s="2"/>
      <c r="F188" s="2"/>
      <c r="G188" s="2"/>
      <c r="H188" s="2"/>
      <c r="I188" s="2"/>
      <c r="J188" s="3"/>
      <c r="K188" s="3"/>
      <c r="L188" s="2"/>
      <c r="M188" s="4"/>
      <c r="N188" s="4"/>
      <c r="O188" s="1"/>
      <c r="P188" s="1"/>
      <c r="Q188" s="1"/>
      <c r="R188" s="4"/>
      <c r="S188" s="1"/>
      <c r="T188" s="1"/>
      <c r="U188" s="2"/>
      <c r="V188" s="3"/>
      <c r="W188" s="3"/>
      <c r="X188" s="2"/>
      <c r="Y188" s="1"/>
      <c r="Z188" s="1"/>
    </row>
    <row r="189" spans="1:26" x14ac:dyDescent="0.4">
      <c r="A189" s="1"/>
      <c r="B189" s="1"/>
      <c r="C189" s="1"/>
      <c r="D189" s="2"/>
      <c r="E189" s="2"/>
      <c r="F189" s="2"/>
      <c r="G189" s="2"/>
      <c r="H189" s="2"/>
      <c r="I189" s="2"/>
      <c r="J189" s="3"/>
      <c r="K189" s="3"/>
      <c r="L189" s="2"/>
      <c r="M189" s="4"/>
      <c r="N189" s="4"/>
      <c r="O189" s="1"/>
      <c r="P189" s="1"/>
      <c r="Q189" s="1"/>
      <c r="R189" s="4"/>
      <c r="S189" s="1"/>
      <c r="T189" s="1"/>
      <c r="U189" s="2"/>
      <c r="V189" s="3"/>
      <c r="W189" s="3"/>
      <c r="X189" s="2"/>
      <c r="Y189" s="1"/>
      <c r="Z189" s="1"/>
    </row>
    <row r="190" spans="1:26" x14ac:dyDescent="0.4">
      <c r="A190" s="1"/>
      <c r="B190" s="1"/>
      <c r="C190" s="1"/>
      <c r="D190" s="2"/>
      <c r="E190" s="2"/>
      <c r="F190" s="2"/>
      <c r="G190" s="2"/>
      <c r="H190" s="2"/>
      <c r="I190" s="2"/>
      <c r="J190" s="3"/>
      <c r="K190" s="3"/>
      <c r="L190" s="2"/>
      <c r="M190" s="4"/>
      <c r="N190" s="4"/>
      <c r="O190" s="1"/>
      <c r="P190" s="1"/>
      <c r="Q190" s="1"/>
      <c r="R190" s="4"/>
      <c r="S190" s="1"/>
      <c r="T190" s="1"/>
      <c r="U190" s="2"/>
      <c r="V190" s="3"/>
      <c r="W190" s="3"/>
      <c r="X190" s="2"/>
      <c r="Y190" s="1"/>
      <c r="Z190" s="1"/>
    </row>
    <row r="191" spans="1:26" x14ac:dyDescent="0.4">
      <c r="A191" s="1"/>
      <c r="B191" s="1"/>
      <c r="C191" s="1"/>
      <c r="D191" s="2"/>
      <c r="E191" s="2"/>
      <c r="F191" s="2"/>
      <c r="G191" s="2"/>
      <c r="H191" s="2"/>
      <c r="I191" s="2"/>
      <c r="J191" s="3"/>
      <c r="K191" s="3"/>
      <c r="L191" s="2"/>
      <c r="M191" s="4"/>
      <c r="N191" s="4"/>
      <c r="O191" s="1"/>
      <c r="P191" s="1"/>
      <c r="Q191" s="1"/>
      <c r="R191" s="4"/>
      <c r="S191" s="1"/>
      <c r="T191" s="1"/>
      <c r="U191" s="2"/>
      <c r="V191" s="3"/>
      <c r="W191" s="3"/>
      <c r="X191" s="2"/>
      <c r="Y191" s="1"/>
      <c r="Z191" s="1"/>
    </row>
    <row r="192" spans="1:26" x14ac:dyDescent="0.4">
      <c r="A192" s="1"/>
      <c r="B192" s="1"/>
      <c r="C192" s="1"/>
      <c r="D192" s="2"/>
      <c r="E192" s="2"/>
      <c r="F192" s="2"/>
      <c r="G192" s="2"/>
      <c r="H192" s="2"/>
      <c r="I192" s="2"/>
      <c r="J192" s="3"/>
      <c r="K192" s="3"/>
      <c r="L192" s="2"/>
      <c r="M192" s="4"/>
      <c r="N192" s="4"/>
      <c r="O192" s="1"/>
      <c r="P192" s="1"/>
      <c r="Q192" s="1"/>
      <c r="R192" s="4"/>
      <c r="S192" s="1"/>
      <c r="T192" s="1"/>
      <c r="U192" s="2"/>
      <c r="V192" s="3"/>
      <c r="W192" s="3"/>
      <c r="X192" s="2"/>
      <c r="Y192" s="1"/>
      <c r="Z192" s="1"/>
    </row>
    <row r="193" spans="1:26" x14ac:dyDescent="0.4">
      <c r="A193" s="1"/>
      <c r="B193" s="1"/>
      <c r="C193" s="1"/>
      <c r="D193" s="2"/>
      <c r="E193" s="2"/>
      <c r="F193" s="2"/>
      <c r="G193" s="2"/>
      <c r="H193" s="2"/>
      <c r="I193" s="2"/>
      <c r="J193" s="3"/>
      <c r="K193" s="3"/>
      <c r="L193" s="2"/>
      <c r="M193" s="4"/>
      <c r="N193" s="4"/>
      <c r="O193" s="1"/>
      <c r="P193" s="1"/>
      <c r="Q193" s="1"/>
      <c r="R193" s="4"/>
      <c r="S193" s="1"/>
      <c r="T193" s="1"/>
      <c r="U193" s="2"/>
      <c r="V193" s="3"/>
      <c r="W193" s="3"/>
      <c r="X193" s="2"/>
      <c r="Y193" s="1"/>
      <c r="Z193" s="1"/>
    </row>
    <row r="194" spans="1:26" x14ac:dyDescent="0.4">
      <c r="A194" s="1"/>
      <c r="B194" s="1"/>
      <c r="C194" s="1"/>
      <c r="D194" s="2"/>
      <c r="E194" s="2"/>
      <c r="F194" s="2"/>
      <c r="G194" s="2"/>
      <c r="H194" s="2"/>
      <c r="I194" s="2"/>
      <c r="J194" s="3"/>
      <c r="K194" s="3"/>
      <c r="L194" s="2"/>
      <c r="M194" s="4"/>
      <c r="N194" s="4"/>
      <c r="O194" s="1"/>
      <c r="P194" s="1"/>
      <c r="Q194" s="1"/>
      <c r="R194" s="4"/>
      <c r="S194" s="1"/>
      <c r="T194" s="1"/>
      <c r="U194" s="2"/>
      <c r="V194" s="3"/>
      <c r="W194" s="3"/>
      <c r="X194" s="2"/>
      <c r="Y194" s="1"/>
      <c r="Z194" s="1"/>
    </row>
    <row r="195" spans="1:26" x14ac:dyDescent="0.4">
      <c r="A195" s="1"/>
      <c r="B195" s="1"/>
      <c r="C195" s="1"/>
      <c r="D195" s="2"/>
      <c r="E195" s="2"/>
      <c r="F195" s="2"/>
      <c r="G195" s="2"/>
      <c r="H195" s="2"/>
      <c r="I195" s="2"/>
      <c r="J195" s="3"/>
      <c r="K195" s="3"/>
      <c r="L195" s="2"/>
      <c r="M195" s="4"/>
      <c r="N195" s="4"/>
      <c r="O195" s="1"/>
      <c r="P195" s="1"/>
      <c r="Q195" s="1"/>
      <c r="R195" s="4"/>
      <c r="S195" s="1"/>
      <c r="T195" s="1"/>
      <c r="U195" s="2"/>
      <c r="V195" s="3"/>
      <c r="W195" s="3"/>
      <c r="X195" s="2"/>
      <c r="Y195" s="1"/>
      <c r="Z195" s="1"/>
    </row>
    <row r="196" spans="1:26" x14ac:dyDescent="0.4">
      <c r="A196" s="1"/>
      <c r="B196" s="1"/>
      <c r="C196" s="1"/>
      <c r="D196" s="2"/>
      <c r="E196" s="2"/>
      <c r="F196" s="2"/>
      <c r="G196" s="2"/>
      <c r="H196" s="2"/>
      <c r="I196" s="2"/>
      <c r="J196" s="3"/>
      <c r="K196" s="3"/>
      <c r="L196" s="2"/>
      <c r="M196" s="4"/>
      <c r="N196" s="4"/>
      <c r="O196" s="1"/>
      <c r="P196" s="1"/>
      <c r="Q196" s="1"/>
      <c r="R196" s="4"/>
      <c r="S196" s="1"/>
      <c r="T196" s="1"/>
      <c r="U196" s="2"/>
      <c r="V196" s="3"/>
      <c r="W196" s="3"/>
      <c r="X196" s="2"/>
      <c r="Y196" s="1"/>
      <c r="Z196" s="1"/>
    </row>
    <row r="197" spans="1:26" x14ac:dyDescent="0.4">
      <c r="A197" s="1"/>
      <c r="B197" s="1"/>
      <c r="C197" s="1"/>
      <c r="D197" s="2"/>
      <c r="E197" s="2"/>
      <c r="F197" s="2"/>
      <c r="G197" s="2"/>
      <c r="H197" s="2"/>
      <c r="I197" s="2"/>
      <c r="J197" s="3"/>
      <c r="K197" s="3"/>
      <c r="L197" s="2"/>
      <c r="M197" s="4"/>
      <c r="N197" s="4"/>
      <c r="O197" s="1"/>
      <c r="P197" s="1"/>
      <c r="Q197" s="1"/>
      <c r="R197" s="4"/>
      <c r="S197" s="1"/>
      <c r="T197" s="1"/>
      <c r="U197" s="2"/>
      <c r="V197" s="3"/>
      <c r="W197" s="3"/>
      <c r="X197" s="2"/>
      <c r="Y197" s="1"/>
      <c r="Z197" s="1"/>
    </row>
    <row r="198" spans="1:26" x14ac:dyDescent="0.4">
      <c r="A198" s="1"/>
      <c r="B198" s="1"/>
      <c r="C198" s="1"/>
      <c r="D198" s="2"/>
      <c r="E198" s="2"/>
      <c r="F198" s="2"/>
      <c r="G198" s="2"/>
      <c r="H198" s="2"/>
      <c r="I198" s="2"/>
      <c r="J198" s="3"/>
      <c r="K198" s="3"/>
      <c r="L198" s="2"/>
      <c r="M198" s="4"/>
      <c r="N198" s="4"/>
      <c r="O198" s="1"/>
      <c r="P198" s="1"/>
      <c r="Q198" s="1"/>
      <c r="R198" s="4"/>
      <c r="S198" s="1"/>
      <c r="T198" s="1"/>
      <c r="U198" s="2"/>
      <c r="V198" s="3"/>
      <c r="W198" s="3"/>
      <c r="X198" s="2"/>
      <c r="Y198" s="1"/>
      <c r="Z198" s="1"/>
    </row>
    <row r="199" spans="1:26" x14ac:dyDescent="0.4">
      <c r="A199" s="1"/>
      <c r="B199" s="1"/>
      <c r="C199" s="1"/>
      <c r="D199" s="2"/>
      <c r="E199" s="2"/>
      <c r="F199" s="2"/>
      <c r="G199" s="2"/>
      <c r="H199" s="2"/>
      <c r="I199" s="2"/>
      <c r="J199" s="3"/>
      <c r="K199" s="3"/>
      <c r="L199" s="2"/>
      <c r="M199" s="4"/>
      <c r="N199" s="4"/>
      <c r="O199" s="1"/>
      <c r="P199" s="1"/>
      <c r="Q199" s="1"/>
      <c r="R199" s="4"/>
      <c r="S199" s="1"/>
      <c r="T199" s="1"/>
      <c r="U199" s="2"/>
      <c r="V199" s="3"/>
      <c r="W199" s="3"/>
      <c r="X199" s="2"/>
      <c r="Y199" s="1"/>
      <c r="Z199" s="1"/>
    </row>
    <row r="200" spans="1:26" x14ac:dyDescent="0.4">
      <c r="A200" s="1"/>
      <c r="B200" s="1"/>
      <c r="C200" s="1"/>
      <c r="D200" s="2"/>
      <c r="E200" s="2"/>
      <c r="F200" s="2"/>
      <c r="G200" s="2"/>
      <c r="H200" s="2"/>
      <c r="I200" s="2"/>
      <c r="J200" s="3"/>
      <c r="K200" s="3"/>
      <c r="L200" s="2"/>
      <c r="M200" s="4"/>
      <c r="N200" s="4"/>
      <c r="O200" s="1"/>
      <c r="P200" s="1"/>
      <c r="Q200" s="1"/>
      <c r="R200" s="4"/>
      <c r="S200" s="1"/>
      <c r="T200" s="1"/>
      <c r="U200" s="2"/>
      <c r="V200" s="3"/>
      <c r="W200" s="3"/>
      <c r="X200" s="2"/>
      <c r="Y200" s="1"/>
      <c r="Z200" s="1"/>
    </row>
    <row r="201" spans="1:26" x14ac:dyDescent="0.4">
      <c r="A201" s="1"/>
      <c r="B201" s="1"/>
      <c r="C201" s="1"/>
      <c r="D201" s="2"/>
      <c r="E201" s="2"/>
      <c r="F201" s="2"/>
      <c r="G201" s="2"/>
      <c r="H201" s="2"/>
      <c r="I201" s="2"/>
      <c r="J201" s="3"/>
      <c r="K201" s="3"/>
      <c r="L201" s="2"/>
      <c r="M201" s="4"/>
      <c r="N201" s="4"/>
      <c r="O201" s="1"/>
      <c r="P201" s="1"/>
      <c r="Q201" s="1"/>
      <c r="R201" s="4"/>
      <c r="S201" s="1"/>
      <c r="T201" s="1"/>
      <c r="U201" s="2"/>
      <c r="V201" s="3"/>
      <c r="W201" s="3"/>
      <c r="X201" s="2"/>
      <c r="Y201" s="1"/>
      <c r="Z201" s="1"/>
    </row>
    <row r="202" spans="1:26" x14ac:dyDescent="0.4">
      <c r="A202" s="1"/>
      <c r="B202" s="1"/>
      <c r="C202" s="1"/>
      <c r="D202" s="2"/>
      <c r="E202" s="2"/>
      <c r="F202" s="2"/>
      <c r="G202" s="2"/>
      <c r="H202" s="2"/>
      <c r="I202" s="2"/>
      <c r="J202" s="3"/>
      <c r="K202" s="3"/>
      <c r="L202" s="2"/>
      <c r="M202" s="4"/>
      <c r="N202" s="4"/>
      <c r="O202" s="1"/>
      <c r="P202" s="1"/>
      <c r="Q202" s="1"/>
      <c r="R202" s="4"/>
      <c r="S202" s="1"/>
      <c r="T202" s="1"/>
      <c r="U202" s="2"/>
      <c r="V202" s="3"/>
      <c r="W202" s="3"/>
      <c r="X202" s="2"/>
      <c r="Y202" s="1"/>
      <c r="Z202" s="1"/>
    </row>
    <row r="203" spans="1:26" x14ac:dyDescent="0.4">
      <c r="A203" s="1"/>
      <c r="B203" s="1"/>
      <c r="C203" s="1"/>
      <c r="D203" s="2"/>
      <c r="E203" s="2"/>
      <c r="F203" s="2"/>
      <c r="G203" s="2"/>
      <c r="H203" s="2"/>
      <c r="I203" s="2"/>
      <c r="J203" s="3"/>
      <c r="K203" s="3"/>
      <c r="L203" s="2"/>
      <c r="M203" s="4"/>
      <c r="N203" s="4"/>
      <c r="O203" s="1"/>
      <c r="P203" s="1"/>
      <c r="Q203" s="1"/>
      <c r="R203" s="4"/>
      <c r="S203" s="1"/>
      <c r="T203" s="1"/>
      <c r="U203" s="2"/>
      <c r="V203" s="3"/>
      <c r="W203" s="3"/>
      <c r="X203" s="2"/>
      <c r="Y203" s="1"/>
      <c r="Z203" s="1"/>
    </row>
    <row r="204" spans="1:26" x14ac:dyDescent="0.4">
      <c r="A204" s="1"/>
      <c r="B204" s="1"/>
      <c r="C204" s="1"/>
      <c r="D204" s="2"/>
      <c r="E204" s="2"/>
      <c r="F204" s="2"/>
      <c r="G204" s="2"/>
      <c r="H204" s="2"/>
      <c r="I204" s="2"/>
      <c r="J204" s="3"/>
      <c r="K204" s="3"/>
      <c r="L204" s="2"/>
      <c r="M204" s="4"/>
      <c r="N204" s="4"/>
      <c r="O204" s="1"/>
      <c r="P204" s="1"/>
      <c r="Q204" s="1"/>
      <c r="R204" s="4"/>
      <c r="S204" s="1"/>
      <c r="T204" s="1"/>
      <c r="U204" s="2"/>
      <c r="V204" s="3"/>
      <c r="W204" s="3"/>
      <c r="X204" s="2"/>
      <c r="Y204" s="1"/>
      <c r="Z204" s="1"/>
    </row>
    <row r="205" spans="1:26" x14ac:dyDescent="0.4">
      <c r="A205" s="1"/>
      <c r="B205" s="1"/>
      <c r="C205" s="1"/>
      <c r="D205" s="2"/>
      <c r="E205" s="2"/>
      <c r="F205" s="2"/>
      <c r="G205" s="2"/>
      <c r="H205" s="2"/>
      <c r="I205" s="2"/>
      <c r="J205" s="3"/>
      <c r="K205" s="3"/>
      <c r="L205" s="2"/>
      <c r="M205" s="4"/>
      <c r="N205" s="4"/>
      <c r="O205" s="1"/>
      <c r="P205" s="1"/>
      <c r="Q205" s="1"/>
      <c r="R205" s="4"/>
      <c r="S205" s="1"/>
      <c r="T205" s="1"/>
      <c r="U205" s="2"/>
      <c r="V205" s="3"/>
      <c r="W205" s="3"/>
      <c r="X205" s="2"/>
      <c r="Y205" s="1"/>
      <c r="Z205" s="1"/>
    </row>
    <row r="206" spans="1:26" x14ac:dyDescent="0.4">
      <c r="A206" s="1"/>
      <c r="B206" s="1"/>
      <c r="C206" s="1"/>
      <c r="D206" s="2"/>
      <c r="E206" s="2"/>
      <c r="F206" s="2"/>
      <c r="G206" s="2"/>
      <c r="H206" s="2"/>
      <c r="I206" s="2"/>
      <c r="J206" s="3"/>
      <c r="K206" s="3"/>
      <c r="L206" s="2"/>
      <c r="M206" s="4"/>
      <c r="N206" s="4"/>
      <c r="O206" s="1"/>
      <c r="P206" s="1"/>
      <c r="Q206" s="1"/>
      <c r="R206" s="4"/>
      <c r="S206" s="1"/>
      <c r="T206" s="1"/>
      <c r="U206" s="2"/>
      <c r="V206" s="3"/>
      <c r="W206" s="3"/>
      <c r="X206" s="2"/>
      <c r="Y206" s="1"/>
      <c r="Z206" s="1"/>
    </row>
    <row r="207" spans="1:26" x14ac:dyDescent="0.4">
      <c r="A207" s="1"/>
      <c r="B207" s="1"/>
      <c r="C207" s="1"/>
      <c r="D207" s="2"/>
      <c r="E207" s="2"/>
      <c r="F207" s="2"/>
      <c r="G207" s="2"/>
      <c r="H207" s="2"/>
      <c r="I207" s="2"/>
      <c r="J207" s="3"/>
      <c r="K207" s="3"/>
      <c r="L207" s="2"/>
      <c r="M207" s="4"/>
      <c r="N207" s="4"/>
      <c r="O207" s="1"/>
      <c r="P207" s="1"/>
      <c r="Q207" s="1"/>
      <c r="R207" s="4"/>
      <c r="S207" s="1"/>
      <c r="T207" s="1"/>
      <c r="U207" s="2"/>
      <c r="V207" s="3"/>
      <c r="W207" s="3"/>
      <c r="X207" s="2"/>
      <c r="Y207" s="1"/>
      <c r="Z207" s="1"/>
    </row>
    <row r="208" spans="1:26" x14ac:dyDescent="0.4">
      <c r="A208" s="1"/>
      <c r="B208" s="1"/>
      <c r="C208" s="1"/>
      <c r="D208" s="2"/>
      <c r="E208" s="2"/>
      <c r="F208" s="2"/>
      <c r="G208" s="2"/>
      <c r="H208" s="2"/>
      <c r="I208" s="2"/>
      <c r="J208" s="3"/>
      <c r="K208" s="3"/>
      <c r="L208" s="2"/>
      <c r="M208" s="4"/>
      <c r="N208" s="4"/>
      <c r="O208" s="1"/>
      <c r="P208" s="1"/>
      <c r="Q208" s="1"/>
      <c r="R208" s="4"/>
      <c r="S208" s="1"/>
      <c r="T208" s="1"/>
      <c r="U208" s="2"/>
      <c r="V208" s="3"/>
      <c r="W208" s="3"/>
      <c r="X208" s="2"/>
      <c r="Y208" s="1"/>
      <c r="Z208" s="1"/>
    </row>
    <row r="209" spans="1:26" x14ac:dyDescent="0.4">
      <c r="A209" s="1"/>
      <c r="B209" s="1"/>
      <c r="C209" s="1"/>
      <c r="D209" s="2"/>
      <c r="E209" s="2"/>
      <c r="F209" s="2"/>
      <c r="G209" s="2"/>
      <c r="H209" s="2"/>
      <c r="I209" s="2"/>
      <c r="J209" s="3"/>
      <c r="K209" s="3"/>
      <c r="L209" s="2"/>
      <c r="M209" s="4"/>
      <c r="N209" s="4"/>
      <c r="O209" s="1"/>
      <c r="P209" s="1"/>
      <c r="Q209" s="1"/>
      <c r="R209" s="4"/>
      <c r="S209" s="1"/>
      <c r="T209" s="1"/>
      <c r="U209" s="2"/>
      <c r="V209" s="3"/>
      <c r="W209" s="3"/>
      <c r="X209" s="2"/>
      <c r="Y209" s="1"/>
      <c r="Z209" s="1"/>
    </row>
    <row r="210" spans="1:26" x14ac:dyDescent="0.4">
      <c r="A210" s="1"/>
      <c r="B210" s="1"/>
      <c r="C210" s="1"/>
      <c r="D210" s="2"/>
      <c r="E210" s="2"/>
      <c r="F210" s="2"/>
      <c r="G210" s="2"/>
      <c r="H210" s="2"/>
      <c r="I210" s="2"/>
      <c r="J210" s="3"/>
      <c r="K210" s="3"/>
      <c r="L210" s="2"/>
      <c r="M210" s="4"/>
      <c r="N210" s="4"/>
      <c r="O210" s="1"/>
      <c r="P210" s="1"/>
      <c r="Q210" s="1"/>
      <c r="R210" s="4"/>
      <c r="S210" s="1"/>
      <c r="T210" s="1"/>
      <c r="U210" s="2"/>
      <c r="V210" s="3"/>
      <c r="W210" s="3"/>
      <c r="X210" s="2"/>
      <c r="Y210" s="1"/>
      <c r="Z210" s="1"/>
    </row>
    <row r="211" spans="1:26" x14ac:dyDescent="0.4">
      <c r="A211" s="1"/>
      <c r="B211" s="1"/>
      <c r="C211" s="1"/>
      <c r="D211" s="2"/>
      <c r="E211" s="2"/>
      <c r="F211" s="2"/>
      <c r="G211" s="2"/>
      <c r="H211" s="2"/>
      <c r="I211" s="2"/>
      <c r="J211" s="3"/>
      <c r="K211" s="3"/>
      <c r="L211" s="2"/>
      <c r="M211" s="4"/>
      <c r="N211" s="4"/>
      <c r="O211" s="1"/>
      <c r="P211" s="1"/>
      <c r="Q211" s="1"/>
      <c r="R211" s="4"/>
      <c r="S211" s="1"/>
      <c r="T211" s="1"/>
      <c r="U211" s="2"/>
      <c r="V211" s="3"/>
      <c r="W211" s="3"/>
      <c r="X211" s="2"/>
      <c r="Y211" s="1"/>
      <c r="Z211" s="1"/>
    </row>
    <row r="212" spans="1:26" x14ac:dyDescent="0.4">
      <c r="A212" s="1"/>
      <c r="B212" s="1"/>
      <c r="C212" s="1"/>
      <c r="D212" s="2"/>
      <c r="E212" s="2"/>
      <c r="F212" s="2"/>
      <c r="G212" s="2"/>
      <c r="H212" s="2"/>
      <c r="I212" s="2"/>
      <c r="J212" s="3"/>
      <c r="K212" s="3"/>
      <c r="L212" s="2"/>
      <c r="M212" s="4"/>
      <c r="N212" s="4"/>
      <c r="O212" s="1"/>
      <c r="P212" s="1"/>
      <c r="Q212" s="1"/>
      <c r="R212" s="4"/>
      <c r="S212" s="1"/>
      <c r="T212" s="1"/>
      <c r="U212" s="2"/>
      <c r="V212" s="3"/>
      <c r="W212" s="3"/>
      <c r="X212" s="2"/>
      <c r="Y212" s="1"/>
      <c r="Z212" s="1"/>
    </row>
    <row r="213" spans="1:26" x14ac:dyDescent="0.4">
      <c r="A213" s="1"/>
      <c r="B213" s="1"/>
      <c r="C213" s="1"/>
      <c r="D213" s="2"/>
      <c r="E213" s="2"/>
      <c r="F213" s="2"/>
      <c r="G213" s="2"/>
      <c r="H213" s="2"/>
      <c r="I213" s="2"/>
      <c r="J213" s="3"/>
      <c r="K213" s="3"/>
      <c r="L213" s="2"/>
      <c r="M213" s="4"/>
      <c r="N213" s="4"/>
      <c r="O213" s="1"/>
      <c r="P213" s="1"/>
      <c r="Q213" s="1"/>
      <c r="R213" s="4"/>
      <c r="S213" s="1"/>
      <c r="T213" s="1"/>
      <c r="U213" s="2"/>
      <c r="V213" s="3"/>
      <c r="W213" s="3"/>
      <c r="X213" s="2"/>
      <c r="Y213" s="1"/>
      <c r="Z213" s="1"/>
    </row>
    <row r="214" spans="1:26" x14ac:dyDescent="0.4">
      <c r="A214" s="1"/>
      <c r="B214" s="1"/>
      <c r="C214" s="1"/>
      <c r="D214" s="2"/>
      <c r="E214" s="2"/>
      <c r="F214" s="2"/>
      <c r="G214" s="2"/>
      <c r="H214" s="2"/>
      <c r="I214" s="2"/>
      <c r="J214" s="3"/>
      <c r="K214" s="3"/>
      <c r="L214" s="2"/>
      <c r="M214" s="4"/>
      <c r="N214" s="4"/>
      <c r="O214" s="1"/>
      <c r="P214" s="1"/>
      <c r="Q214" s="1"/>
      <c r="R214" s="4"/>
      <c r="S214" s="1"/>
      <c r="T214" s="1"/>
      <c r="U214" s="2"/>
      <c r="V214" s="3"/>
      <c r="W214" s="3"/>
      <c r="X214" s="2"/>
      <c r="Y214" s="1"/>
      <c r="Z214" s="1"/>
    </row>
    <row r="215" spans="1:26" x14ac:dyDescent="0.4">
      <c r="A215" s="1"/>
      <c r="B215" s="1"/>
      <c r="C215" s="1"/>
      <c r="D215" s="2"/>
      <c r="E215" s="2"/>
      <c r="F215" s="2"/>
      <c r="G215" s="2"/>
      <c r="H215" s="2"/>
      <c r="I215" s="2"/>
      <c r="J215" s="3"/>
      <c r="K215" s="3"/>
      <c r="L215" s="2"/>
      <c r="M215" s="4"/>
      <c r="N215" s="4"/>
      <c r="O215" s="1"/>
      <c r="P215" s="1"/>
      <c r="Q215" s="1"/>
      <c r="R215" s="4"/>
      <c r="S215" s="1"/>
      <c r="T215" s="1"/>
      <c r="U215" s="2"/>
      <c r="V215" s="3"/>
      <c r="W215" s="3"/>
      <c r="X215" s="2"/>
      <c r="Y215" s="1"/>
      <c r="Z215" s="1"/>
    </row>
    <row r="216" spans="1:26" x14ac:dyDescent="0.4">
      <c r="A216" s="1"/>
      <c r="B216" s="1"/>
      <c r="C216" s="1"/>
      <c r="D216" s="2"/>
      <c r="E216" s="2"/>
      <c r="F216" s="2"/>
      <c r="G216" s="2"/>
      <c r="H216" s="2"/>
      <c r="I216" s="2"/>
      <c r="J216" s="3"/>
      <c r="K216" s="3"/>
      <c r="L216" s="2"/>
      <c r="M216" s="4"/>
      <c r="N216" s="4"/>
      <c r="O216" s="1"/>
      <c r="P216" s="1"/>
      <c r="Q216" s="1"/>
      <c r="R216" s="4"/>
      <c r="S216" s="1"/>
      <c r="T216" s="1"/>
      <c r="U216" s="2"/>
      <c r="V216" s="3"/>
      <c r="W216" s="3"/>
      <c r="X216" s="2"/>
      <c r="Y216" s="1"/>
      <c r="Z216" s="1"/>
    </row>
    <row r="217" spans="1:26" x14ac:dyDescent="0.4">
      <c r="A217" s="1"/>
      <c r="B217" s="1"/>
      <c r="C217" s="1"/>
      <c r="D217" s="2"/>
      <c r="E217" s="2"/>
      <c r="F217" s="2"/>
      <c r="G217" s="2"/>
      <c r="H217" s="2"/>
      <c r="I217" s="2"/>
      <c r="J217" s="3"/>
      <c r="K217" s="3"/>
      <c r="L217" s="2"/>
      <c r="M217" s="4"/>
      <c r="N217" s="4"/>
      <c r="O217" s="1"/>
      <c r="P217" s="1"/>
      <c r="Q217" s="1"/>
      <c r="R217" s="4"/>
      <c r="S217" s="1"/>
      <c r="T217" s="1"/>
      <c r="U217" s="2"/>
      <c r="V217" s="3"/>
      <c r="W217" s="3"/>
      <c r="X217" s="2"/>
      <c r="Y217" s="1"/>
      <c r="Z217" s="1"/>
    </row>
    <row r="218" spans="1:26" x14ac:dyDescent="0.4">
      <c r="A218" s="1"/>
      <c r="B218" s="1"/>
      <c r="C218" s="1"/>
      <c r="D218" s="2"/>
      <c r="E218" s="2"/>
      <c r="F218" s="2"/>
      <c r="G218" s="2"/>
      <c r="H218" s="2"/>
      <c r="I218" s="2"/>
      <c r="J218" s="3"/>
      <c r="K218" s="3"/>
      <c r="L218" s="2"/>
      <c r="M218" s="4"/>
      <c r="N218" s="4"/>
      <c r="O218" s="1"/>
      <c r="P218" s="1"/>
      <c r="Q218" s="1"/>
      <c r="R218" s="4"/>
      <c r="S218" s="1"/>
      <c r="T218" s="1"/>
      <c r="U218" s="2"/>
      <c r="V218" s="3"/>
      <c r="W218" s="3"/>
      <c r="X218" s="2"/>
      <c r="Y218" s="1"/>
      <c r="Z218" s="1"/>
    </row>
    <row r="219" spans="1:26" x14ac:dyDescent="0.4">
      <c r="A219" s="1"/>
      <c r="B219" s="1"/>
      <c r="C219" s="1"/>
      <c r="D219" s="2"/>
      <c r="E219" s="2"/>
      <c r="F219" s="2"/>
      <c r="G219" s="2"/>
      <c r="H219" s="2"/>
      <c r="I219" s="2"/>
      <c r="J219" s="3"/>
      <c r="K219" s="3"/>
      <c r="L219" s="2"/>
      <c r="M219" s="4"/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4">
      <c r="A220" s="1"/>
      <c r="B220" s="1"/>
      <c r="C220" s="1"/>
      <c r="D220" s="2"/>
      <c r="E220" s="2"/>
      <c r="F220" s="2"/>
      <c r="G220" s="2"/>
      <c r="H220" s="2"/>
      <c r="I220" s="2"/>
      <c r="J220" s="3"/>
      <c r="K220" s="3"/>
      <c r="L220" s="2"/>
      <c r="M220" s="4"/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4">
      <c r="A221" s="1"/>
      <c r="B221" s="1"/>
      <c r="C221" s="1"/>
      <c r="D221" s="2"/>
      <c r="E221" s="2"/>
      <c r="F221" s="2"/>
      <c r="G221" s="2"/>
      <c r="H221" s="2"/>
      <c r="I221" s="2"/>
      <c r="J221" s="3"/>
      <c r="K221" s="3"/>
      <c r="L221" s="2"/>
      <c r="M221" s="4"/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4">
      <c r="A222" s="1"/>
      <c r="B222" s="1"/>
      <c r="C222" s="1"/>
      <c r="D222" s="2"/>
      <c r="E222" s="2"/>
      <c r="F222" s="2"/>
      <c r="G222" s="2"/>
      <c r="H222" s="2"/>
      <c r="I222" s="2"/>
      <c r="J222" s="3"/>
      <c r="K222" s="3"/>
      <c r="L222" s="2"/>
      <c r="M222" s="4"/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4">
      <c r="A223" s="1"/>
      <c r="B223" s="1"/>
      <c r="C223" s="1"/>
      <c r="D223" s="2"/>
      <c r="E223" s="2"/>
      <c r="F223" s="2"/>
      <c r="G223" s="2"/>
      <c r="H223" s="2"/>
      <c r="I223" s="2"/>
      <c r="J223" s="3"/>
      <c r="K223" s="3"/>
      <c r="L223" s="2"/>
      <c r="M223" s="4"/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4">
      <c r="A224" s="1"/>
      <c r="B224" s="1"/>
      <c r="C224" s="1"/>
      <c r="D224" s="2"/>
      <c r="E224" s="2"/>
      <c r="F224" s="2"/>
      <c r="G224" s="2"/>
      <c r="H224" s="2"/>
      <c r="I224" s="2"/>
      <c r="J224" s="3"/>
      <c r="K224" s="3"/>
      <c r="L224" s="2"/>
      <c r="M224" s="4"/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4">
      <c r="A225" s="1"/>
      <c r="B225" s="1"/>
      <c r="C225" s="1"/>
      <c r="D225" s="2"/>
      <c r="E225" s="2"/>
      <c r="F225" s="2"/>
      <c r="G225" s="2"/>
      <c r="H225" s="2"/>
      <c r="I225" s="2"/>
      <c r="J225" s="3"/>
      <c r="K225" s="3"/>
      <c r="L225" s="2"/>
      <c r="M225" s="4"/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4">
      <c r="A226" s="1"/>
      <c r="B226" s="1"/>
      <c r="C226" s="1"/>
      <c r="D226" s="2"/>
      <c r="E226" s="2"/>
      <c r="F226" s="2"/>
      <c r="G226" s="2"/>
      <c r="H226" s="2"/>
      <c r="I226" s="2"/>
      <c r="J226" s="3"/>
      <c r="K226" s="3"/>
      <c r="L226" s="2"/>
      <c r="M226" s="4"/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4">
      <c r="A227" s="1"/>
      <c r="B227" s="1"/>
      <c r="C227" s="1"/>
      <c r="D227" s="2"/>
      <c r="E227" s="2"/>
      <c r="F227" s="2"/>
      <c r="G227" s="2"/>
      <c r="H227" s="2"/>
      <c r="I227" s="2"/>
      <c r="J227" s="3"/>
      <c r="K227" s="3"/>
      <c r="L227" s="2"/>
      <c r="M227" s="4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s="5" customFormat="1" x14ac:dyDescent="0.4">
      <c r="A228" s="1"/>
      <c r="B228" s="1"/>
      <c r="C228" s="1"/>
      <c r="D228" s="2"/>
      <c r="E228" s="2"/>
      <c r="F228" s="2"/>
      <c r="G228" s="2"/>
      <c r="H228" s="2"/>
      <c r="I228" s="2"/>
      <c r="J228" s="3"/>
      <c r="K228" s="3"/>
      <c r="L228" s="2"/>
      <c r="M228" s="4"/>
      <c r="N228" s="4"/>
      <c r="O228" s="290"/>
      <c r="P228" s="291"/>
      <c r="Q228" s="291"/>
      <c r="R228" s="291"/>
      <c r="S228" s="1"/>
      <c r="T228" s="1"/>
      <c r="U228" s="1"/>
      <c r="V228" s="1"/>
      <c r="W228" s="1"/>
      <c r="X228" s="1"/>
      <c r="Y228" s="1"/>
      <c r="Z228" s="1"/>
    </row>
    <row r="229" spans="1:26" x14ac:dyDescent="0.4">
      <c r="A229" s="1"/>
      <c r="B229" s="1"/>
      <c r="C229" s="1"/>
      <c r="D229" s="2"/>
      <c r="E229" s="2"/>
      <c r="F229" s="2"/>
      <c r="G229" s="2"/>
      <c r="H229" s="2"/>
      <c r="I229" s="2"/>
      <c r="J229" s="3"/>
      <c r="K229" s="3"/>
      <c r="L229" s="2"/>
      <c r="M229" s="4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4">
      <c r="A230" s="1"/>
      <c r="B230" s="1"/>
      <c r="C230" s="1"/>
      <c r="D230" s="2"/>
      <c r="E230" s="2"/>
      <c r="F230" s="2"/>
      <c r="G230" s="2"/>
      <c r="H230" s="2"/>
      <c r="I230" s="2"/>
      <c r="J230" s="3"/>
      <c r="K230" s="3"/>
      <c r="L230" s="2"/>
      <c r="M230" s="4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4">
      <c r="A231" s="1"/>
      <c r="B231" s="1"/>
      <c r="C231" s="1"/>
      <c r="D231" s="2"/>
      <c r="E231" s="2"/>
      <c r="F231" s="2"/>
      <c r="G231" s="2"/>
      <c r="H231" s="2"/>
      <c r="I231" s="2"/>
      <c r="J231" s="3"/>
      <c r="K231" s="3"/>
      <c r="L231" s="2"/>
      <c r="M231" s="4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4">
      <c r="A232" s="1"/>
      <c r="B232" s="1"/>
      <c r="C232" s="1"/>
      <c r="D232" s="2"/>
      <c r="E232" s="2"/>
      <c r="F232" s="2"/>
      <c r="G232" s="2"/>
      <c r="H232" s="2"/>
      <c r="I232" s="2"/>
      <c r="J232" s="3"/>
      <c r="K232" s="3"/>
      <c r="L232" s="2"/>
      <c r="M232" s="4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4">
      <c r="A233" s="1"/>
      <c r="B233" s="1"/>
      <c r="C233" s="1"/>
      <c r="D233" s="2"/>
      <c r="E233" s="2"/>
      <c r="F233" s="2"/>
      <c r="G233" s="2"/>
      <c r="H233" s="2"/>
      <c r="I233" s="2"/>
      <c r="J233" s="3"/>
      <c r="K233" s="3"/>
      <c r="L233" s="2"/>
      <c r="M233" s="4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4">
      <c r="A234" s="1"/>
      <c r="B234" s="1"/>
      <c r="C234" s="1"/>
      <c r="D234" s="2"/>
      <c r="E234" s="2"/>
      <c r="F234" s="2"/>
      <c r="G234" s="2"/>
      <c r="H234" s="2"/>
      <c r="I234" s="2"/>
      <c r="J234" s="3"/>
      <c r="K234" s="3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4">
      <c r="A235" s="1"/>
      <c r="B235" s="1"/>
      <c r="C235" s="1"/>
      <c r="D235" s="2"/>
      <c r="E235" s="2"/>
      <c r="F235" s="2"/>
      <c r="G235" s="2"/>
      <c r="H235" s="2"/>
      <c r="I235" s="2"/>
      <c r="J235" s="3"/>
      <c r="K235" s="3"/>
      <c r="L235" s="2"/>
      <c r="M235" s="4"/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4">
      <c r="A236" s="1"/>
      <c r="B236" s="1"/>
      <c r="C236" s="1"/>
      <c r="D236" s="2"/>
      <c r="E236" s="2"/>
      <c r="F236" s="2"/>
      <c r="G236" s="2"/>
      <c r="H236" s="2"/>
      <c r="I236" s="2"/>
      <c r="J236" s="3"/>
      <c r="K236" s="3"/>
      <c r="L236" s="2"/>
      <c r="M236" s="4"/>
      <c r="N236" s="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4">
      <c r="A237" s="1"/>
      <c r="B237" s="1"/>
      <c r="C237" s="1"/>
      <c r="D237" s="2"/>
      <c r="E237" s="2"/>
      <c r="F237" s="2"/>
      <c r="G237" s="2"/>
      <c r="H237" s="2"/>
      <c r="I237" s="2"/>
      <c r="J237" s="3"/>
      <c r="K237" s="3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4">
      <c r="A238" s="1"/>
      <c r="B238" s="1"/>
      <c r="C238" s="1"/>
      <c r="D238" s="2"/>
      <c r="E238" s="2"/>
      <c r="F238" s="2"/>
      <c r="G238" s="2"/>
      <c r="H238" s="2"/>
      <c r="I238" s="2"/>
      <c r="J238" s="3"/>
      <c r="K238" s="3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4">
      <c r="A239" s="1"/>
      <c r="B239" s="1"/>
      <c r="C239" s="1"/>
      <c r="D239" s="2"/>
      <c r="E239" s="2"/>
      <c r="F239" s="2"/>
      <c r="G239" s="2"/>
      <c r="H239" s="2"/>
      <c r="I239" s="2"/>
      <c r="J239" s="3"/>
      <c r="K239" s="3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4">
      <c r="A240" s="1"/>
      <c r="B240" s="1"/>
      <c r="C240" s="1"/>
      <c r="D240" s="2"/>
      <c r="E240" s="2"/>
      <c r="F240" s="2"/>
      <c r="G240" s="2"/>
      <c r="H240" s="2"/>
      <c r="I240" s="2"/>
      <c r="J240" s="3"/>
      <c r="K240" s="3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4">
      <c r="A241" s="1"/>
      <c r="B241" s="1"/>
      <c r="C241" s="1"/>
      <c r="D241" s="2"/>
      <c r="E241" s="2"/>
      <c r="F241" s="2"/>
      <c r="G241" s="2"/>
      <c r="H241" s="2"/>
      <c r="I241" s="2"/>
      <c r="J241" s="3"/>
      <c r="K241" s="3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4">
      <c r="A242" s="1"/>
      <c r="B242" s="1"/>
      <c r="C242" s="1"/>
      <c r="D242" s="2"/>
      <c r="E242" s="2"/>
      <c r="F242" s="2"/>
      <c r="G242" s="2"/>
      <c r="H242" s="2"/>
      <c r="I242" s="2"/>
      <c r="J242" s="3"/>
      <c r="K242" s="3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4">
      <c r="A243" s="1"/>
      <c r="B243" s="1"/>
      <c r="C243" s="1"/>
      <c r="D243" s="2"/>
      <c r="E243" s="2"/>
      <c r="F243" s="2"/>
      <c r="G243" s="2"/>
      <c r="H243" s="2"/>
      <c r="I243" s="2"/>
      <c r="J243" s="3"/>
      <c r="K243" s="3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4">
      <c r="A244" s="1"/>
      <c r="B244" s="1"/>
      <c r="C244" s="1"/>
      <c r="D244" s="2"/>
      <c r="E244" s="2"/>
      <c r="F244" s="2"/>
      <c r="G244" s="2"/>
      <c r="H244" s="2"/>
      <c r="I244" s="2"/>
      <c r="J244" s="3"/>
      <c r="K244" s="3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4">
      <c r="A245" s="1"/>
      <c r="B245" s="1"/>
      <c r="C245" s="1"/>
      <c r="D245" s="2"/>
      <c r="E245" s="2"/>
      <c r="F245" s="2"/>
      <c r="G245" s="2"/>
      <c r="H245" s="2"/>
      <c r="I245" s="2"/>
      <c r="J245" s="3"/>
      <c r="K245" s="3"/>
      <c r="L245" s="2"/>
      <c r="M245" s="4"/>
      <c r="N245" s="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4">
      <c r="A246" s="1"/>
      <c r="B246" s="1"/>
      <c r="C246" s="1"/>
      <c r="D246" s="2"/>
      <c r="E246" s="2"/>
      <c r="F246" s="2"/>
      <c r="G246" s="2"/>
      <c r="H246" s="2"/>
      <c r="I246" s="2"/>
      <c r="J246" s="3"/>
      <c r="K246" s="3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4">
      <c r="A247" s="1"/>
      <c r="B247" s="1"/>
      <c r="C247" s="1"/>
      <c r="D247" s="2"/>
      <c r="E247" s="2"/>
      <c r="F247" s="2"/>
      <c r="G247" s="2"/>
      <c r="H247" s="2"/>
      <c r="I247" s="2"/>
      <c r="J247" s="3"/>
      <c r="K247" s="3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4">
      <c r="A248" s="1"/>
      <c r="B248" s="1"/>
      <c r="C248" s="1"/>
      <c r="D248" s="2"/>
      <c r="E248" s="2"/>
      <c r="F248" s="2"/>
      <c r="G248" s="2"/>
      <c r="H248" s="2"/>
      <c r="I248" s="2"/>
      <c r="J248" s="3"/>
      <c r="K248" s="3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26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</sheetData>
  <mergeCells count="19">
    <mergeCell ref="G1:G2"/>
    <mergeCell ref="M69:M70"/>
    <mergeCell ref="N69:N70"/>
    <mergeCell ref="O69:V70"/>
    <mergeCell ref="O228:R228"/>
    <mergeCell ref="L69:L70"/>
    <mergeCell ref="P6:R6"/>
    <mergeCell ref="O4:T4"/>
    <mergeCell ref="P5:T5"/>
    <mergeCell ref="A69:A70"/>
    <mergeCell ref="B69:B70"/>
    <mergeCell ref="C69:C70"/>
    <mergeCell ref="J69:J70"/>
    <mergeCell ref="K69:K70"/>
    <mergeCell ref="A4:A5"/>
    <mergeCell ref="D4:I4"/>
    <mergeCell ref="M4:M5"/>
    <mergeCell ref="N4:N5"/>
    <mergeCell ref="D5:I5"/>
  </mergeCells>
  <phoneticPr fontId="2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0711D-3C2E-4DE1-B713-B87718044C3B}">
  <sheetPr>
    <tabColor rgb="FFC00000"/>
  </sheetPr>
  <dimension ref="A1:AA495"/>
  <sheetViews>
    <sheetView topLeftCell="A40" workbookViewId="0">
      <selection activeCell="M60" sqref="M60"/>
    </sheetView>
  </sheetViews>
  <sheetFormatPr defaultRowHeight="17.399999999999999" x14ac:dyDescent="0.4"/>
  <cols>
    <col min="1" max="1" width="10.8984375" customWidth="1"/>
    <col min="4" max="9" width="12.69921875" customWidth="1"/>
    <col min="10" max="11" width="5.59765625" customWidth="1"/>
    <col min="13" max="13" width="14" customWidth="1"/>
    <col min="14" max="14" width="13.59765625" customWidth="1"/>
    <col min="18" max="18" width="9.3984375" customWidth="1"/>
  </cols>
  <sheetData>
    <row r="1" spans="1:27" x14ac:dyDescent="0.4">
      <c r="A1" s="15"/>
      <c r="B1" s="14"/>
      <c r="C1" s="14" t="s">
        <v>34</v>
      </c>
      <c r="D1" s="14"/>
      <c r="E1" s="14"/>
      <c r="F1" s="42"/>
      <c r="G1" s="43" t="s">
        <v>99</v>
      </c>
      <c r="H1" s="14"/>
      <c r="I1" s="14"/>
      <c r="J1" s="15"/>
      <c r="K1" s="15"/>
      <c r="L1" s="14" t="s">
        <v>34</v>
      </c>
      <c r="M1" s="16"/>
      <c r="N1" s="16" t="s">
        <v>33</v>
      </c>
    </row>
    <row r="2" spans="1:27" ht="18" thickBot="1" x14ac:dyDescent="0.45">
      <c r="A2" s="15" t="s">
        <v>32</v>
      </c>
      <c r="B2" s="14"/>
      <c r="C2" s="14" t="s">
        <v>31</v>
      </c>
      <c r="D2" s="14" t="s">
        <v>30</v>
      </c>
      <c r="E2" s="14"/>
      <c r="F2" s="44"/>
      <c r="G2" s="45"/>
      <c r="H2" s="14"/>
      <c r="I2" s="14"/>
      <c r="J2" s="15"/>
      <c r="K2" s="15"/>
      <c r="L2" s="14" t="s">
        <v>29</v>
      </c>
      <c r="M2" s="13"/>
      <c r="N2" s="13" t="s">
        <v>28</v>
      </c>
    </row>
    <row r="3" spans="1:27" x14ac:dyDescent="0.4">
      <c r="B3" s="12"/>
      <c r="C3" s="11">
        <f>SUM(C6:C182)</f>
        <v>20450</v>
      </c>
      <c r="D3" s="12"/>
      <c r="E3" s="12"/>
      <c r="F3" s="12"/>
      <c r="G3" s="12"/>
      <c r="H3" s="12"/>
      <c r="I3" s="12"/>
      <c r="J3" s="40"/>
      <c r="K3" s="40"/>
      <c r="L3" s="11">
        <f>SUM(L6:L2510)</f>
        <v>14150.000000000004</v>
      </c>
      <c r="M3" s="11"/>
      <c r="N3" s="10"/>
    </row>
    <row r="4" spans="1:27" x14ac:dyDescent="0.4">
      <c r="A4" s="280" t="s">
        <v>27</v>
      </c>
      <c r="B4" s="39" t="s">
        <v>26</v>
      </c>
      <c r="C4" s="39" t="s">
        <v>25</v>
      </c>
      <c r="D4" s="282" t="s">
        <v>100</v>
      </c>
      <c r="E4" s="283"/>
      <c r="F4" s="283"/>
      <c r="G4" s="283"/>
      <c r="H4" s="283"/>
      <c r="I4" s="284"/>
      <c r="J4" s="9" t="s">
        <v>101</v>
      </c>
      <c r="K4" s="9" t="s">
        <v>23</v>
      </c>
      <c r="L4" s="9" t="s">
        <v>22</v>
      </c>
      <c r="M4" s="280" t="s">
        <v>21</v>
      </c>
      <c r="N4" s="295" t="s">
        <v>20</v>
      </c>
      <c r="O4" s="282" t="s">
        <v>175</v>
      </c>
      <c r="P4" s="283"/>
      <c r="Q4" s="283"/>
      <c r="R4" s="283"/>
      <c r="S4" s="283"/>
      <c r="T4" s="284"/>
    </row>
    <row r="5" spans="1:27" x14ac:dyDescent="0.4">
      <c r="A5" s="281"/>
      <c r="B5" s="39" t="s">
        <v>19</v>
      </c>
      <c r="C5" s="39" t="s">
        <v>19</v>
      </c>
      <c r="D5" s="285" t="s">
        <v>102</v>
      </c>
      <c r="E5" s="285"/>
      <c r="F5" s="285"/>
      <c r="G5" s="285"/>
      <c r="H5" s="285"/>
      <c r="I5" s="285"/>
      <c r="J5" s="7" t="s">
        <v>17</v>
      </c>
      <c r="K5" s="7" t="s">
        <v>17</v>
      </c>
      <c r="L5" s="7" t="s">
        <v>16</v>
      </c>
      <c r="M5" s="281"/>
      <c r="N5" s="296"/>
      <c r="O5" s="165" t="s">
        <v>257</v>
      </c>
      <c r="P5" s="282" t="s">
        <v>258</v>
      </c>
      <c r="Q5" s="283"/>
      <c r="R5" s="283"/>
      <c r="S5" s="283"/>
      <c r="T5" s="284"/>
    </row>
    <row r="6" spans="1:27" x14ac:dyDescent="0.4">
      <c r="A6" s="1" t="s">
        <v>77</v>
      </c>
      <c r="B6" s="134">
        <f>C6/6</f>
        <v>79.166666666666671</v>
      </c>
      <c r="C6" s="36">
        <v>475</v>
      </c>
      <c r="D6" s="60">
        <v>44212</v>
      </c>
      <c r="E6" s="59">
        <v>44255</v>
      </c>
      <c r="F6" s="76">
        <v>1</v>
      </c>
      <c r="G6" s="37">
        <v>1</v>
      </c>
      <c r="H6" s="37">
        <v>1</v>
      </c>
      <c r="I6" s="37">
        <v>1</v>
      </c>
      <c r="J6" s="46">
        <f>COUNTIF(D6:I6,"1")</f>
        <v>4</v>
      </c>
      <c r="K6" s="54">
        <f>J6*(C6/6)</f>
        <v>316.66666666666669</v>
      </c>
      <c r="L6" s="47">
        <f>J6*(C6/6)</f>
        <v>316.66666666666669</v>
      </c>
      <c r="M6" s="52">
        <v>44212</v>
      </c>
      <c r="N6" s="19">
        <f>M6+180</f>
        <v>44392</v>
      </c>
      <c r="O6" s="121" t="s">
        <v>170</v>
      </c>
      <c r="P6" s="121" t="s">
        <v>169</v>
      </c>
      <c r="Q6" s="123"/>
      <c r="R6" s="123"/>
      <c r="S6" s="123"/>
      <c r="T6" s="123"/>
      <c r="U6" s="1"/>
      <c r="V6" s="1"/>
      <c r="W6" s="1"/>
      <c r="X6" s="1"/>
      <c r="Y6" s="1"/>
      <c r="Z6" s="1"/>
    </row>
    <row r="7" spans="1:27" x14ac:dyDescent="0.4">
      <c r="A7" s="1" t="s">
        <v>78</v>
      </c>
      <c r="B7" s="134">
        <f t="shared" ref="B7:B26" si="0">C7/6</f>
        <v>58.333333333333336</v>
      </c>
      <c r="C7" s="36">
        <v>350</v>
      </c>
      <c r="D7" s="51">
        <v>44214</v>
      </c>
      <c r="E7" s="162">
        <v>44296</v>
      </c>
      <c r="F7" s="249">
        <v>44337</v>
      </c>
      <c r="G7" s="37">
        <v>1</v>
      </c>
      <c r="H7" s="37">
        <v>1</v>
      </c>
      <c r="I7" s="37">
        <v>1</v>
      </c>
      <c r="J7" s="46">
        <f t="shared" ref="J7:J18" si="1">COUNTIF(D7:I7,"1")</f>
        <v>3</v>
      </c>
      <c r="K7" s="54">
        <f t="shared" ref="K7:K18" si="2">J7*(C7/6)</f>
        <v>175</v>
      </c>
      <c r="L7" s="47">
        <f t="shared" ref="L7:L18" si="3">J7*(C7/6)</f>
        <v>175</v>
      </c>
      <c r="M7" s="52">
        <v>44214</v>
      </c>
      <c r="N7" s="19">
        <f t="shared" ref="N7:N18" si="4">M7+180</f>
        <v>44394</v>
      </c>
      <c r="O7" s="121" t="s">
        <v>166</v>
      </c>
      <c r="P7" s="116" t="s">
        <v>254</v>
      </c>
      <c r="Q7" s="142" t="s">
        <v>372</v>
      </c>
      <c r="R7" s="123"/>
      <c r="S7" s="123"/>
      <c r="T7" s="123"/>
      <c r="U7" s="1"/>
      <c r="V7" s="1"/>
      <c r="W7" s="1"/>
      <c r="X7" s="1"/>
      <c r="Y7" s="1"/>
      <c r="Z7" s="1"/>
    </row>
    <row r="8" spans="1:27" x14ac:dyDescent="0.4">
      <c r="A8" s="1" t="s">
        <v>79</v>
      </c>
      <c r="B8" s="134">
        <f t="shared" si="0"/>
        <v>58.333333333333336</v>
      </c>
      <c r="C8" s="36">
        <v>350</v>
      </c>
      <c r="D8" s="53">
        <v>44228</v>
      </c>
      <c r="E8" s="83">
        <v>44265</v>
      </c>
      <c r="F8" s="247">
        <v>44300</v>
      </c>
      <c r="G8" s="247">
        <v>44336</v>
      </c>
      <c r="H8" s="266">
        <v>44360</v>
      </c>
      <c r="I8" s="37">
        <v>1</v>
      </c>
      <c r="J8" s="46">
        <f t="shared" si="1"/>
        <v>1</v>
      </c>
      <c r="K8" s="54">
        <f t="shared" si="2"/>
        <v>58.333333333333336</v>
      </c>
      <c r="L8" s="47">
        <f t="shared" si="3"/>
        <v>58.333333333333336</v>
      </c>
      <c r="M8" s="53">
        <v>44228</v>
      </c>
      <c r="N8" s="19">
        <f t="shared" si="4"/>
        <v>44408</v>
      </c>
      <c r="O8" s="85" t="s">
        <v>140</v>
      </c>
      <c r="P8" s="124" t="s">
        <v>165</v>
      </c>
      <c r="Q8" s="252" t="s">
        <v>140</v>
      </c>
      <c r="R8" s="144" t="s">
        <v>368</v>
      </c>
      <c r="S8" s="115" t="s">
        <v>368</v>
      </c>
      <c r="T8" s="123"/>
      <c r="U8" s="1"/>
      <c r="V8" s="1"/>
      <c r="W8" s="1"/>
      <c r="X8" s="1"/>
      <c r="Y8" s="1"/>
      <c r="Z8" s="1"/>
    </row>
    <row r="9" spans="1:27" x14ac:dyDescent="0.4">
      <c r="A9" s="77" t="s">
        <v>80</v>
      </c>
      <c r="B9" s="135">
        <f t="shared" si="0"/>
        <v>58.333333333333336</v>
      </c>
      <c r="C9" s="77">
        <v>350</v>
      </c>
      <c r="D9" s="78">
        <v>44232</v>
      </c>
      <c r="E9" s="78">
        <v>44233</v>
      </c>
      <c r="F9" s="78">
        <v>44247</v>
      </c>
      <c r="G9" s="78">
        <v>44247</v>
      </c>
      <c r="H9" s="78">
        <v>44247</v>
      </c>
      <c r="I9" s="78">
        <v>44255</v>
      </c>
      <c r="J9" s="79">
        <f t="shared" si="1"/>
        <v>0</v>
      </c>
      <c r="K9" s="80">
        <f t="shared" si="2"/>
        <v>0</v>
      </c>
      <c r="L9" s="81">
        <f t="shared" si="3"/>
        <v>0</v>
      </c>
      <c r="M9" s="78">
        <v>44232</v>
      </c>
      <c r="N9" s="82">
        <f t="shared" si="4"/>
        <v>44412</v>
      </c>
      <c r="O9" s="123">
        <v>959</v>
      </c>
      <c r="P9" s="123">
        <v>9258</v>
      </c>
      <c r="Q9" s="125">
        <v>7997</v>
      </c>
      <c r="R9" s="123"/>
      <c r="S9" s="123"/>
      <c r="T9" s="123"/>
      <c r="U9" s="1"/>
      <c r="V9" s="1"/>
      <c r="W9" s="1"/>
      <c r="X9" s="1"/>
      <c r="Y9" s="1"/>
      <c r="Z9" s="1"/>
    </row>
    <row r="10" spans="1:27" x14ac:dyDescent="0.4">
      <c r="A10" s="166" t="s">
        <v>81</v>
      </c>
      <c r="B10" s="167">
        <f t="shared" si="0"/>
        <v>58.333333333333336</v>
      </c>
      <c r="C10" s="166">
        <v>350</v>
      </c>
      <c r="D10" s="168">
        <v>44233</v>
      </c>
      <c r="E10" s="168">
        <v>44247</v>
      </c>
      <c r="F10" s="168">
        <v>44247</v>
      </c>
      <c r="G10" s="168">
        <v>44261</v>
      </c>
      <c r="H10" s="168">
        <v>44282</v>
      </c>
      <c r="I10" s="168">
        <v>44297</v>
      </c>
      <c r="J10" s="169">
        <f t="shared" si="1"/>
        <v>0</v>
      </c>
      <c r="K10" s="170">
        <f t="shared" si="2"/>
        <v>0</v>
      </c>
      <c r="L10" s="171">
        <f t="shared" si="3"/>
        <v>0</v>
      </c>
      <c r="M10" s="168">
        <v>44233</v>
      </c>
      <c r="N10" s="172">
        <f t="shared" si="4"/>
        <v>44413</v>
      </c>
      <c r="O10" s="122" t="s">
        <v>143</v>
      </c>
      <c r="P10" s="109" t="s">
        <v>160</v>
      </c>
      <c r="Q10" s="130" t="s">
        <v>143</v>
      </c>
      <c r="R10" s="131" t="s">
        <v>160</v>
      </c>
      <c r="S10" s="116" t="s">
        <v>191</v>
      </c>
      <c r="T10" s="121" t="s">
        <v>259</v>
      </c>
      <c r="U10" s="1"/>
      <c r="V10" s="1"/>
      <c r="W10" s="1"/>
      <c r="X10" s="1"/>
      <c r="Y10" s="1"/>
      <c r="Z10" s="1"/>
    </row>
    <row r="11" spans="1:27" x14ac:dyDescent="0.4">
      <c r="A11" s="1" t="s">
        <v>82</v>
      </c>
      <c r="B11" s="134">
        <f t="shared" si="0"/>
        <v>58.333333333333336</v>
      </c>
      <c r="C11" s="36">
        <v>350</v>
      </c>
      <c r="D11" s="59">
        <v>44234</v>
      </c>
      <c r="E11" s="243">
        <v>44333</v>
      </c>
      <c r="F11" s="262">
        <v>44354</v>
      </c>
      <c r="G11" s="266">
        <v>44360</v>
      </c>
      <c r="H11" s="37">
        <v>1</v>
      </c>
      <c r="I11" s="37">
        <v>1</v>
      </c>
      <c r="J11" s="46">
        <f t="shared" si="1"/>
        <v>2</v>
      </c>
      <c r="K11" s="54">
        <f t="shared" si="2"/>
        <v>116.66666666666667</v>
      </c>
      <c r="L11" s="47">
        <f t="shared" si="3"/>
        <v>116.66666666666667</v>
      </c>
      <c r="M11" s="59">
        <v>44234</v>
      </c>
      <c r="N11" s="19">
        <f t="shared" si="4"/>
        <v>44414</v>
      </c>
      <c r="O11" s="126" t="s">
        <v>144</v>
      </c>
      <c r="P11" s="143" t="s">
        <v>358</v>
      </c>
      <c r="Q11" s="263" t="s">
        <v>395</v>
      </c>
      <c r="R11" s="101" t="s">
        <v>358</v>
      </c>
      <c r="S11" s="123"/>
      <c r="T11" s="123"/>
      <c r="U11" s="1"/>
      <c r="V11" s="1"/>
      <c r="W11" s="1"/>
      <c r="X11" s="1"/>
      <c r="Y11" s="1"/>
      <c r="Z11" s="1"/>
    </row>
    <row r="12" spans="1:27" x14ac:dyDescent="0.4">
      <c r="A12" s="213" t="s">
        <v>83</v>
      </c>
      <c r="B12" s="214">
        <f t="shared" si="0"/>
        <v>58.333333333333336</v>
      </c>
      <c r="C12" s="213">
        <v>350</v>
      </c>
      <c r="D12" s="215">
        <v>44236</v>
      </c>
      <c r="E12" s="215">
        <v>44236</v>
      </c>
      <c r="F12" s="215">
        <v>44282</v>
      </c>
      <c r="G12" s="215">
        <v>44298</v>
      </c>
      <c r="H12" s="215">
        <v>44308</v>
      </c>
      <c r="I12" s="215">
        <v>44317</v>
      </c>
      <c r="J12" s="216">
        <f t="shared" si="1"/>
        <v>0</v>
      </c>
      <c r="K12" s="217">
        <f t="shared" si="2"/>
        <v>0</v>
      </c>
      <c r="L12" s="218">
        <f t="shared" si="3"/>
        <v>0</v>
      </c>
      <c r="M12" s="215">
        <v>44235</v>
      </c>
      <c r="N12" s="219">
        <f t="shared" si="4"/>
        <v>44415</v>
      </c>
      <c r="O12" s="127" t="s">
        <v>146</v>
      </c>
      <c r="P12" s="128" t="s">
        <v>147</v>
      </c>
      <c r="Q12" s="150" t="s">
        <v>190</v>
      </c>
      <c r="R12" s="102" t="s">
        <v>190</v>
      </c>
      <c r="S12" s="123"/>
      <c r="T12" s="115" t="s">
        <v>190</v>
      </c>
      <c r="U12" s="1"/>
      <c r="V12" s="1"/>
      <c r="W12" s="1"/>
      <c r="X12" s="1"/>
      <c r="Y12" s="1"/>
      <c r="Z12" s="1"/>
    </row>
    <row r="13" spans="1:27" x14ac:dyDescent="0.4">
      <c r="A13" s="1" t="s">
        <v>84</v>
      </c>
      <c r="B13" s="134">
        <f t="shared" si="0"/>
        <v>50</v>
      </c>
      <c r="C13" s="36">
        <v>300</v>
      </c>
      <c r="D13" s="138">
        <v>44283</v>
      </c>
      <c r="E13" s="162">
        <v>44297</v>
      </c>
      <c r="F13" s="256">
        <v>44346</v>
      </c>
      <c r="G13" s="37">
        <v>1</v>
      </c>
      <c r="H13" s="37">
        <v>1</v>
      </c>
      <c r="I13" s="37">
        <v>1</v>
      </c>
      <c r="J13" s="46">
        <f t="shared" si="1"/>
        <v>3</v>
      </c>
      <c r="K13" s="54">
        <f t="shared" si="2"/>
        <v>150</v>
      </c>
      <c r="L13" s="47">
        <f t="shared" si="3"/>
        <v>150</v>
      </c>
      <c r="M13" s="75">
        <v>44248</v>
      </c>
      <c r="N13" s="19">
        <f t="shared" si="4"/>
        <v>44428</v>
      </c>
      <c r="O13" s="111" t="s">
        <v>161</v>
      </c>
      <c r="P13" s="139" t="s">
        <v>255</v>
      </c>
      <c r="Q13" s="142" t="s">
        <v>255</v>
      </c>
      <c r="R13" s="123"/>
      <c r="S13" s="123"/>
      <c r="T13" s="123"/>
      <c r="U13" s="1"/>
      <c r="V13" s="1"/>
      <c r="W13" s="1"/>
      <c r="X13" s="1"/>
      <c r="Y13" s="1"/>
      <c r="Z13" s="1"/>
    </row>
    <row r="14" spans="1:27" x14ac:dyDescent="0.4">
      <c r="A14" s="1" t="s">
        <v>85</v>
      </c>
      <c r="B14" s="134">
        <f t="shared" si="0"/>
        <v>58.333333333333336</v>
      </c>
      <c r="C14" s="36">
        <v>350</v>
      </c>
      <c r="D14" s="247">
        <v>44336</v>
      </c>
      <c r="E14" s="249">
        <v>44340</v>
      </c>
      <c r="F14" s="37">
        <v>1</v>
      </c>
      <c r="G14" s="37">
        <v>1</v>
      </c>
      <c r="H14" s="37">
        <v>1</v>
      </c>
      <c r="I14" s="37">
        <v>1</v>
      </c>
      <c r="J14" s="46">
        <f t="shared" si="1"/>
        <v>4</v>
      </c>
      <c r="K14" s="54">
        <f t="shared" si="2"/>
        <v>233.33333333333334</v>
      </c>
      <c r="L14" s="47">
        <f t="shared" si="3"/>
        <v>233.33333333333334</v>
      </c>
      <c r="M14" s="100">
        <v>44254</v>
      </c>
      <c r="N14" s="19">
        <f t="shared" si="4"/>
        <v>44434</v>
      </c>
      <c r="O14" s="121" t="s">
        <v>173</v>
      </c>
      <c r="P14" s="115" t="s">
        <v>367</v>
      </c>
      <c r="Q14" s="144" t="s">
        <v>371</v>
      </c>
      <c r="R14" s="123"/>
      <c r="S14" s="123"/>
      <c r="T14" s="123"/>
      <c r="U14" s="1"/>
      <c r="V14" s="1"/>
      <c r="W14" s="1"/>
      <c r="X14" s="1"/>
      <c r="Y14" s="1"/>
      <c r="Z14" s="1"/>
    </row>
    <row r="15" spans="1:27" x14ac:dyDescent="0.4">
      <c r="A15" s="145" t="s">
        <v>86</v>
      </c>
      <c r="B15" s="146">
        <f t="shared" si="0"/>
        <v>58.333333333333336</v>
      </c>
      <c r="C15" s="145">
        <v>350</v>
      </c>
      <c r="D15" s="147">
        <v>44262</v>
      </c>
      <c r="E15" s="147">
        <v>44263</v>
      </c>
      <c r="F15" s="147">
        <v>44268</v>
      </c>
      <c r="G15" s="147">
        <v>44281</v>
      </c>
      <c r="H15" s="147">
        <v>44281</v>
      </c>
      <c r="I15" s="147">
        <v>44282</v>
      </c>
      <c r="J15" s="17">
        <f t="shared" si="1"/>
        <v>0</v>
      </c>
      <c r="K15" s="22">
        <f t="shared" si="2"/>
        <v>0</v>
      </c>
      <c r="L15" s="148">
        <f t="shared" si="3"/>
        <v>0</v>
      </c>
      <c r="M15" s="147">
        <v>44255</v>
      </c>
      <c r="N15" s="149">
        <f t="shared" si="4"/>
        <v>44435</v>
      </c>
      <c r="O15" s="129">
        <v>7997</v>
      </c>
      <c r="P15" s="121" t="s">
        <v>154</v>
      </c>
      <c r="Q15" s="121">
        <v>7997</v>
      </c>
      <c r="R15" s="115">
        <v>9595</v>
      </c>
      <c r="S15" s="121">
        <v>7997</v>
      </c>
      <c r="T15" s="144" t="s">
        <v>189</v>
      </c>
      <c r="U15" s="1"/>
      <c r="V15" s="1"/>
      <c r="W15" s="1"/>
      <c r="X15" s="1"/>
      <c r="Y15" s="1"/>
      <c r="Z15" s="1"/>
      <c r="AA15" s="1"/>
    </row>
    <row r="16" spans="1:27" x14ac:dyDescent="0.4">
      <c r="A16" s="1" t="s">
        <v>87</v>
      </c>
      <c r="B16" s="134">
        <f t="shared" si="0"/>
        <v>50</v>
      </c>
      <c r="C16" s="36">
        <v>300</v>
      </c>
      <c r="D16" s="162">
        <v>44295</v>
      </c>
      <c r="E16" s="37">
        <v>1</v>
      </c>
      <c r="F16" s="37">
        <v>1</v>
      </c>
      <c r="G16" s="37">
        <v>1</v>
      </c>
      <c r="H16" s="37">
        <v>1</v>
      </c>
      <c r="I16" s="37">
        <v>1</v>
      </c>
      <c r="J16" s="46">
        <f t="shared" si="1"/>
        <v>5</v>
      </c>
      <c r="K16" s="54">
        <f t="shared" si="2"/>
        <v>250</v>
      </c>
      <c r="L16" s="47">
        <f t="shared" si="3"/>
        <v>250</v>
      </c>
      <c r="M16" s="74">
        <v>44256</v>
      </c>
      <c r="N16" s="19">
        <f t="shared" si="4"/>
        <v>44436</v>
      </c>
      <c r="O16" s="104" t="s">
        <v>157</v>
      </c>
      <c r="P16" s="123"/>
      <c r="Q16" s="123"/>
      <c r="R16" s="123"/>
      <c r="S16" s="123"/>
      <c r="T16" s="123"/>
      <c r="U16" s="1"/>
      <c r="V16" s="1"/>
      <c r="W16" s="1"/>
      <c r="X16" s="1"/>
      <c r="Y16" s="1"/>
      <c r="Z16" s="1"/>
    </row>
    <row r="17" spans="1:26" s="40" customFormat="1" x14ac:dyDescent="0.4">
      <c r="A17" s="98" t="s">
        <v>88</v>
      </c>
      <c r="B17" s="134">
        <f t="shared" si="0"/>
        <v>50</v>
      </c>
      <c r="C17" s="98">
        <v>300</v>
      </c>
      <c r="D17" s="164">
        <v>44298</v>
      </c>
      <c r="E17" s="212">
        <v>44319</v>
      </c>
      <c r="F17" s="99">
        <v>1</v>
      </c>
      <c r="G17" s="99">
        <v>1</v>
      </c>
      <c r="H17" s="99">
        <v>1</v>
      </c>
      <c r="I17" s="99">
        <v>1</v>
      </c>
      <c r="J17" s="46">
        <f t="shared" ref="J17" si="5">COUNTIF(D17:I17,"1")</f>
        <v>4</v>
      </c>
      <c r="K17" s="54">
        <f t="shared" ref="K17" si="6">J17*(C17/6)</f>
        <v>200</v>
      </c>
      <c r="L17" s="47">
        <f t="shared" ref="L17" si="7">J17*(C17/6)</f>
        <v>200</v>
      </c>
      <c r="M17" s="97">
        <v>44263</v>
      </c>
      <c r="N17" s="19">
        <f t="shared" ref="N17" si="8">M17+180</f>
        <v>44443</v>
      </c>
      <c r="O17" s="121" t="s">
        <v>156</v>
      </c>
      <c r="P17" s="121" t="s">
        <v>156</v>
      </c>
      <c r="Q17" s="142" t="s">
        <v>323</v>
      </c>
      <c r="R17" s="123"/>
      <c r="S17" s="123"/>
      <c r="T17" s="123"/>
      <c r="U17" s="98"/>
      <c r="V17" s="98"/>
      <c r="W17" s="98"/>
      <c r="X17" s="98"/>
      <c r="Y17" s="98"/>
      <c r="Z17" s="98"/>
    </row>
    <row r="18" spans="1:26" x14ac:dyDescent="0.4">
      <c r="A18" s="98" t="s">
        <v>152</v>
      </c>
      <c r="B18" s="134">
        <f t="shared" si="0"/>
        <v>79.166666666666671</v>
      </c>
      <c r="C18" s="36">
        <v>475</v>
      </c>
      <c r="D18" s="192">
        <v>44309</v>
      </c>
      <c r="E18" s="37">
        <v>1</v>
      </c>
      <c r="F18" s="37">
        <v>1</v>
      </c>
      <c r="G18" s="37">
        <v>1</v>
      </c>
      <c r="H18" s="37">
        <v>1</v>
      </c>
      <c r="I18" s="37">
        <v>1</v>
      </c>
      <c r="J18" s="46">
        <f t="shared" si="1"/>
        <v>5</v>
      </c>
      <c r="K18" s="54">
        <f t="shared" si="2"/>
        <v>395.83333333333337</v>
      </c>
      <c r="L18" s="47">
        <f t="shared" si="3"/>
        <v>395.83333333333337</v>
      </c>
      <c r="M18" s="112">
        <v>44279</v>
      </c>
      <c r="N18" s="19">
        <f t="shared" si="4"/>
        <v>44459</v>
      </c>
      <c r="O18" s="101" t="s">
        <v>184</v>
      </c>
      <c r="P18" s="150" t="s">
        <v>298</v>
      </c>
      <c r="Q18" s="116"/>
      <c r="R18" s="116"/>
      <c r="S18" s="123"/>
      <c r="T18" s="123"/>
      <c r="U18" s="1"/>
      <c r="V18" s="1"/>
      <c r="W18" s="1"/>
      <c r="X18" s="1"/>
      <c r="Y18" s="1"/>
      <c r="Z18" s="1"/>
    </row>
    <row r="19" spans="1:26" x14ac:dyDescent="0.4">
      <c r="A19" s="113" t="s">
        <v>176</v>
      </c>
      <c r="B19" s="134">
        <f t="shared" si="0"/>
        <v>58.333333333333336</v>
      </c>
      <c r="C19" s="113">
        <v>350</v>
      </c>
      <c r="D19" s="132">
        <v>44280</v>
      </c>
      <c r="E19" s="181">
        <v>44299</v>
      </c>
      <c r="F19" s="238">
        <v>44329</v>
      </c>
      <c r="G19" s="114">
        <v>1</v>
      </c>
      <c r="H19" s="114">
        <v>1</v>
      </c>
      <c r="I19" s="114">
        <v>1</v>
      </c>
      <c r="J19" s="46">
        <f t="shared" ref="J19:J26" si="9">COUNTIF(D19:I19,"1")</f>
        <v>3</v>
      </c>
      <c r="K19" s="54">
        <f t="shared" ref="K19:K26" si="10">J19*(C19/6)</f>
        <v>175</v>
      </c>
      <c r="L19" s="47">
        <f t="shared" ref="L19:L26" si="11">J19*(C19/6)</f>
        <v>175</v>
      </c>
      <c r="M19" s="132">
        <v>44280</v>
      </c>
      <c r="N19" s="19">
        <f t="shared" ref="N19:N26" si="12">M19+180</f>
        <v>44460</v>
      </c>
      <c r="O19" s="102" t="s">
        <v>185</v>
      </c>
      <c r="P19" s="150" t="s">
        <v>185</v>
      </c>
      <c r="Q19" s="142" t="s">
        <v>343</v>
      </c>
      <c r="R19" s="116"/>
      <c r="S19" s="123"/>
      <c r="T19" s="123"/>
      <c r="U19" s="1"/>
      <c r="V19" s="1"/>
      <c r="W19" s="1"/>
      <c r="X19" s="1"/>
      <c r="Y19" s="1"/>
      <c r="Z19" s="1"/>
    </row>
    <row r="20" spans="1:26" x14ac:dyDescent="0.4">
      <c r="A20" s="113" t="s">
        <v>177</v>
      </c>
      <c r="B20" s="134">
        <f t="shared" si="0"/>
        <v>58.333333333333336</v>
      </c>
      <c r="C20" s="133">
        <v>350</v>
      </c>
      <c r="D20" s="132">
        <v>44280</v>
      </c>
      <c r="E20" s="186">
        <v>44307</v>
      </c>
      <c r="F20" s="114">
        <v>1</v>
      </c>
      <c r="G20" s="114">
        <v>1</v>
      </c>
      <c r="H20" s="114">
        <v>1</v>
      </c>
      <c r="I20" s="114">
        <v>1</v>
      </c>
      <c r="J20" s="46">
        <f t="shared" si="9"/>
        <v>4</v>
      </c>
      <c r="K20" s="54">
        <f t="shared" si="10"/>
        <v>233.33333333333334</v>
      </c>
      <c r="L20" s="47">
        <f t="shared" si="11"/>
        <v>233.33333333333334</v>
      </c>
      <c r="M20" s="132">
        <v>44280</v>
      </c>
      <c r="N20" s="19">
        <f t="shared" si="12"/>
        <v>44460</v>
      </c>
      <c r="O20" s="139" t="s">
        <v>186</v>
      </c>
      <c r="P20" s="142" t="s">
        <v>288</v>
      </c>
      <c r="Q20" s="116"/>
      <c r="R20" s="116"/>
      <c r="S20" s="123"/>
      <c r="T20" s="123"/>
      <c r="U20" s="1"/>
      <c r="V20" s="1"/>
      <c r="W20" s="1"/>
      <c r="X20" s="1"/>
      <c r="Y20" s="1"/>
      <c r="Z20" s="1"/>
    </row>
    <row r="21" spans="1:26" x14ac:dyDescent="0.4">
      <c r="A21" s="113" t="s">
        <v>178</v>
      </c>
      <c r="B21" s="134">
        <f t="shared" si="0"/>
        <v>58.333333333333336</v>
      </c>
      <c r="C21" s="133">
        <v>350</v>
      </c>
      <c r="D21" s="132">
        <v>44280</v>
      </c>
      <c r="E21" s="262">
        <v>44351</v>
      </c>
      <c r="F21" s="114">
        <v>1</v>
      </c>
      <c r="G21" s="114">
        <v>1</v>
      </c>
      <c r="H21" s="114">
        <v>1</v>
      </c>
      <c r="I21" s="114">
        <v>1</v>
      </c>
      <c r="J21" s="46">
        <f t="shared" si="9"/>
        <v>4</v>
      </c>
      <c r="K21" s="54">
        <f t="shared" si="10"/>
        <v>233.33333333333334</v>
      </c>
      <c r="L21" s="47">
        <f t="shared" si="11"/>
        <v>233.33333333333334</v>
      </c>
      <c r="M21" s="132">
        <v>44280</v>
      </c>
      <c r="N21" s="19">
        <f t="shared" si="12"/>
        <v>44460</v>
      </c>
      <c r="O21" s="140" t="s">
        <v>187</v>
      </c>
      <c r="P21" s="150" t="s">
        <v>390</v>
      </c>
      <c r="Q21" s="116"/>
      <c r="R21" s="116"/>
      <c r="S21" s="123"/>
      <c r="T21" s="123"/>
      <c r="U21" s="1"/>
      <c r="V21" s="1"/>
      <c r="W21" s="1"/>
      <c r="X21" s="1"/>
      <c r="Y21" s="1"/>
      <c r="Z21" s="1"/>
    </row>
    <row r="22" spans="1:26" x14ac:dyDescent="0.4">
      <c r="A22" s="113" t="s">
        <v>179</v>
      </c>
      <c r="B22" s="134">
        <f t="shared" si="0"/>
        <v>0</v>
      </c>
      <c r="C22" s="113">
        <v>0</v>
      </c>
      <c r="D22" s="114">
        <v>1</v>
      </c>
      <c r="E22" s="114">
        <v>1</v>
      </c>
      <c r="F22" s="114">
        <v>1</v>
      </c>
      <c r="G22" s="114">
        <v>1</v>
      </c>
      <c r="H22" s="114">
        <v>1</v>
      </c>
      <c r="I22" s="114">
        <v>1</v>
      </c>
      <c r="J22" s="46">
        <f t="shared" si="9"/>
        <v>6</v>
      </c>
      <c r="K22" s="54">
        <f t="shared" si="10"/>
        <v>0</v>
      </c>
      <c r="L22" s="47">
        <f t="shared" si="11"/>
        <v>0</v>
      </c>
      <c r="M22" s="138"/>
      <c r="N22" s="19">
        <f t="shared" si="12"/>
        <v>180</v>
      </c>
      <c r="O22" s="101"/>
      <c r="P22" s="116"/>
      <c r="Q22" s="116"/>
      <c r="R22" s="116"/>
      <c r="S22" s="123"/>
      <c r="T22" s="123"/>
      <c r="U22" s="1"/>
      <c r="V22" s="1"/>
      <c r="W22" s="1"/>
      <c r="X22" s="1"/>
      <c r="Y22" s="1"/>
      <c r="Z22" s="1"/>
    </row>
    <row r="23" spans="1:26" x14ac:dyDescent="0.4">
      <c r="A23" s="113" t="s">
        <v>180</v>
      </c>
      <c r="B23" s="134">
        <f t="shared" si="0"/>
        <v>66.666666666666671</v>
      </c>
      <c r="C23" s="113">
        <v>400</v>
      </c>
      <c r="D23" s="203">
        <v>44312</v>
      </c>
      <c r="E23" s="210">
        <v>44317</v>
      </c>
      <c r="F23" s="210">
        <v>44317</v>
      </c>
      <c r="G23" s="243">
        <v>44332</v>
      </c>
      <c r="H23" s="114">
        <v>1</v>
      </c>
      <c r="I23" s="114">
        <v>1</v>
      </c>
      <c r="J23" s="46">
        <f t="shared" si="9"/>
        <v>2</v>
      </c>
      <c r="K23" s="54">
        <f t="shared" si="10"/>
        <v>133.33333333333334</v>
      </c>
      <c r="L23" s="47">
        <f t="shared" si="11"/>
        <v>133.33333333333334</v>
      </c>
      <c r="M23" s="138">
        <v>44282</v>
      </c>
      <c r="N23" s="19">
        <f t="shared" si="12"/>
        <v>44462</v>
      </c>
      <c r="O23" s="144" t="s">
        <v>189</v>
      </c>
      <c r="P23" s="121">
        <v>9595</v>
      </c>
      <c r="Q23" s="139">
        <v>9595</v>
      </c>
      <c r="R23" s="115" t="s">
        <v>317</v>
      </c>
      <c r="S23" s="139">
        <v>959</v>
      </c>
      <c r="T23" s="123"/>
      <c r="U23" s="1"/>
      <c r="V23" s="1"/>
      <c r="W23" s="1"/>
      <c r="X23" s="1"/>
      <c r="Y23" s="1"/>
      <c r="Z23" s="1"/>
    </row>
    <row r="24" spans="1:26" x14ac:dyDescent="0.4">
      <c r="A24" s="113" t="s">
        <v>181</v>
      </c>
      <c r="B24" s="134">
        <f t="shared" si="0"/>
        <v>58.333333333333336</v>
      </c>
      <c r="C24" s="113">
        <v>350</v>
      </c>
      <c r="D24" s="266">
        <v>44351</v>
      </c>
      <c r="E24" s="266">
        <v>44360</v>
      </c>
      <c r="F24" s="265">
        <v>1</v>
      </c>
      <c r="G24" s="114">
        <v>1</v>
      </c>
      <c r="H24" s="114">
        <v>1</v>
      </c>
      <c r="I24" s="114">
        <v>1</v>
      </c>
      <c r="J24" s="46">
        <f t="shared" si="9"/>
        <v>4</v>
      </c>
      <c r="K24" s="54">
        <f t="shared" si="10"/>
        <v>233.33333333333334</v>
      </c>
      <c r="L24" s="47">
        <f t="shared" si="11"/>
        <v>233.33333333333334</v>
      </c>
      <c r="M24" s="138">
        <v>44282</v>
      </c>
      <c r="N24" s="19">
        <f t="shared" si="12"/>
        <v>44462</v>
      </c>
      <c r="O24" s="121" t="s">
        <v>192</v>
      </c>
      <c r="P24" s="150" t="s">
        <v>389</v>
      </c>
      <c r="Q24" s="116"/>
      <c r="R24" s="101" t="s">
        <v>389</v>
      </c>
      <c r="S24" s="123"/>
      <c r="T24" s="123"/>
      <c r="U24" s="1"/>
      <c r="V24" s="1"/>
      <c r="W24" s="1"/>
      <c r="X24" s="1"/>
      <c r="Y24" s="1"/>
      <c r="Z24" s="1"/>
    </row>
    <row r="25" spans="1:26" x14ac:dyDescent="0.4">
      <c r="A25" s="113" t="s">
        <v>182</v>
      </c>
      <c r="B25" s="134">
        <f t="shared" si="0"/>
        <v>62.5</v>
      </c>
      <c r="C25" s="113">
        <v>375</v>
      </c>
      <c r="D25" s="114">
        <v>0</v>
      </c>
      <c r="E25" s="164">
        <v>44298</v>
      </c>
      <c r="F25" s="186">
        <v>44307</v>
      </c>
      <c r="G25" s="114">
        <v>1</v>
      </c>
      <c r="H25" s="114">
        <v>1</v>
      </c>
      <c r="I25" s="114">
        <v>1</v>
      </c>
      <c r="J25" s="46">
        <f t="shared" si="9"/>
        <v>3</v>
      </c>
      <c r="K25" s="54">
        <f t="shared" si="10"/>
        <v>187.5</v>
      </c>
      <c r="L25" s="47">
        <f t="shared" si="11"/>
        <v>187.5</v>
      </c>
      <c r="M25" s="138">
        <v>44284</v>
      </c>
      <c r="N25" s="19">
        <f t="shared" si="12"/>
        <v>44464</v>
      </c>
      <c r="O25" s="101" t="s">
        <v>195</v>
      </c>
      <c r="P25" s="150" t="s">
        <v>260</v>
      </c>
      <c r="Q25" s="121" t="s">
        <v>294</v>
      </c>
      <c r="R25" s="116"/>
      <c r="S25" s="123"/>
      <c r="T25" s="123"/>
      <c r="U25" s="1"/>
      <c r="V25" s="1"/>
      <c r="W25" s="1"/>
      <c r="X25" s="1"/>
      <c r="Y25" s="1"/>
      <c r="Z25" s="1"/>
    </row>
    <row r="26" spans="1:26" x14ac:dyDescent="0.4">
      <c r="A26" s="113" t="s">
        <v>183</v>
      </c>
      <c r="B26" s="134">
        <f t="shared" si="0"/>
        <v>79.166666666666671</v>
      </c>
      <c r="C26" s="113">
        <v>475</v>
      </c>
      <c r="D26" s="155">
        <v>44286</v>
      </c>
      <c r="E26" s="186">
        <v>44305</v>
      </c>
      <c r="F26" s="256">
        <v>44345</v>
      </c>
      <c r="G26" s="274">
        <v>44368</v>
      </c>
      <c r="H26" s="114">
        <v>1</v>
      </c>
      <c r="I26" s="114">
        <v>1</v>
      </c>
      <c r="J26" s="46">
        <f t="shared" si="9"/>
        <v>2</v>
      </c>
      <c r="K26" s="54">
        <f t="shared" si="10"/>
        <v>158.33333333333334</v>
      </c>
      <c r="L26" s="47">
        <f t="shared" si="11"/>
        <v>158.33333333333334</v>
      </c>
      <c r="M26" s="155">
        <v>44286</v>
      </c>
      <c r="N26" s="19">
        <f t="shared" si="12"/>
        <v>44466</v>
      </c>
      <c r="O26" s="116" t="s">
        <v>238</v>
      </c>
      <c r="P26" s="121" t="s">
        <v>238</v>
      </c>
      <c r="Q26" s="143" t="s">
        <v>238</v>
      </c>
      <c r="R26" s="101" t="s">
        <v>238</v>
      </c>
      <c r="S26" s="123"/>
      <c r="T26" s="123"/>
      <c r="U26" s="1"/>
      <c r="V26" s="1"/>
      <c r="W26" s="1"/>
      <c r="X26" s="1"/>
      <c r="Y26" s="1"/>
      <c r="Z26" s="1"/>
    </row>
    <row r="27" spans="1:26" x14ac:dyDescent="0.4">
      <c r="A27" s="156" t="s">
        <v>220</v>
      </c>
      <c r="B27" s="134">
        <f t="shared" ref="B27:B35" si="13">C27/6</f>
        <v>58.333333333333336</v>
      </c>
      <c r="C27" s="156">
        <v>350</v>
      </c>
      <c r="D27" s="164">
        <v>44298</v>
      </c>
      <c r="E27" s="210">
        <v>44318</v>
      </c>
      <c r="F27" s="256">
        <v>44344</v>
      </c>
      <c r="G27" s="278">
        <v>44371</v>
      </c>
      <c r="H27" s="157">
        <v>1</v>
      </c>
      <c r="I27" s="157">
        <v>1</v>
      </c>
      <c r="J27" s="46">
        <f t="shared" ref="J27:J35" si="14">COUNTIF(D27:I27,"1")</f>
        <v>2</v>
      </c>
      <c r="K27" s="54">
        <f t="shared" ref="K27:K35" si="15">J27*(C27/6)</f>
        <v>116.66666666666667</v>
      </c>
      <c r="L27" s="47">
        <f t="shared" ref="L27:L35" si="16">J27*(C27/6)</f>
        <v>116.66666666666667</v>
      </c>
      <c r="M27" s="155">
        <v>44291</v>
      </c>
      <c r="N27" s="19">
        <f t="shared" ref="N27:N35" si="17">M27+180</f>
        <v>44471</v>
      </c>
      <c r="O27" s="121" t="s">
        <v>236</v>
      </c>
      <c r="P27" s="116" t="s">
        <v>261</v>
      </c>
      <c r="Q27" s="116" t="s">
        <v>320</v>
      </c>
      <c r="R27" s="143" t="s">
        <v>320</v>
      </c>
      <c r="S27" s="101" t="s">
        <v>429</v>
      </c>
      <c r="T27" s="123"/>
      <c r="U27" s="1"/>
      <c r="V27" s="1"/>
      <c r="W27" s="1"/>
      <c r="X27" s="1"/>
      <c r="Y27" s="1"/>
      <c r="Z27" s="1"/>
    </row>
    <row r="28" spans="1:26" x14ac:dyDescent="0.4">
      <c r="A28" s="156" t="s">
        <v>221</v>
      </c>
      <c r="B28" s="134">
        <f t="shared" si="13"/>
        <v>116.66666666666667</v>
      </c>
      <c r="C28" s="156">
        <v>700</v>
      </c>
      <c r="D28" s="157">
        <v>1</v>
      </c>
      <c r="E28" s="157">
        <v>1</v>
      </c>
      <c r="F28" s="157">
        <v>1</v>
      </c>
      <c r="G28" s="157">
        <v>1</v>
      </c>
      <c r="H28" s="157">
        <v>1</v>
      </c>
      <c r="I28" s="157">
        <v>1</v>
      </c>
      <c r="J28" s="46">
        <f t="shared" si="14"/>
        <v>6</v>
      </c>
      <c r="K28" s="54">
        <f t="shared" si="15"/>
        <v>700</v>
      </c>
      <c r="L28" s="47">
        <f t="shared" si="16"/>
        <v>700</v>
      </c>
      <c r="M28" s="159">
        <v>44292</v>
      </c>
      <c r="N28" s="19">
        <f t="shared" si="17"/>
        <v>44472</v>
      </c>
      <c r="O28" s="142" t="s">
        <v>240</v>
      </c>
      <c r="P28" s="116"/>
      <c r="Q28" s="116"/>
      <c r="R28" s="116"/>
      <c r="S28" s="123"/>
      <c r="T28" s="123"/>
      <c r="U28" s="1"/>
      <c r="V28" s="1"/>
      <c r="W28" s="1"/>
      <c r="X28" s="1"/>
      <c r="Y28" s="1"/>
      <c r="Z28" s="1"/>
    </row>
    <row r="29" spans="1:26" x14ac:dyDescent="0.4">
      <c r="A29" s="156" t="s">
        <v>222</v>
      </c>
      <c r="B29" s="134">
        <f t="shared" si="13"/>
        <v>58.333333333333336</v>
      </c>
      <c r="C29" s="156">
        <v>350</v>
      </c>
      <c r="D29" s="237">
        <v>44327</v>
      </c>
      <c r="E29" s="256">
        <v>44344</v>
      </c>
      <c r="F29" s="157">
        <v>1</v>
      </c>
      <c r="G29" s="157">
        <v>1</v>
      </c>
      <c r="H29" s="157">
        <v>1</v>
      </c>
      <c r="I29" s="157">
        <v>1</v>
      </c>
      <c r="J29" s="46">
        <f t="shared" si="14"/>
        <v>4</v>
      </c>
      <c r="K29" s="54">
        <f t="shared" si="15"/>
        <v>233.33333333333334</v>
      </c>
      <c r="L29" s="47">
        <f t="shared" si="16"/>
        <v>233.33333333333334</v>
      </c>
      <c r="M29" s="159">
        <v>44292</v>
      </c>
      <c r="N29" s="19">
        <f t="shared" si="17"/>
        <v>44472</v>
      </c>
      <c r="O29" s="144" t="s">
        <v>241</v>
      </c>
      <c r="P29" s="241" t="s">
        <v>342</v>
      </c>
      <c r="Q29" s="101" t="s">
        <v>241</v>
      </c>
      <c r="R29" s="116"/>
      <c r="S29" s="123"/>
      <c r="T29" s="123"/>
      <c r="U29" s="1"/>
      <c r="V29" s="1"/>
      <c r="W29" s="1"/>
      <c r="X29" s="1"/>
      <c r="Y29" s="1"/>
      <c r="Z29" s="1"/>
    </row>
    <row r="30" spans="1:26" x14ac:dyDescent="0.4">
      <c r="A30" s="156" t="s">
        <v>223</v>
      </c>
      <c r="B30" s="134">
        <f t="shared" si="13"/>
        <v>58.333333333333336</v>
      </c>
      <c r="C30" s="156">
        <v>350</v>
      </c>
      <c r="D30" s="157">
        <v>1</v>
      </c>
      <c r="E30" s="157">
        <v>1</v>
      </c>
      <c r="F30" s="157">
        <v>1</v>
      </c>
      <c r="G30" s="157">
        <v>1</v>
      </c>
      <c r="H30" s="157">
        <v>1</v>
      </c>
      <c r="I30" s="157">
        <v>1</v>
      </c>
      <c r="J30" s="46">
        <f t="shared" si="14"/>
        <v>6</v>
      </c>
      <c r="K30" s="54">
        <f t="shared" si="15"/>
        <v>350</v>
      </c>
      <c r="L30" s="47">
        <f t="shared" si="16"/>
        <v>350</v>
      </c>
      <c r="M30" s="159">
        <v>44292</v>
      </c>
      <c r="N30" s="19">
        <f t="shared" si="17"/>
        <v>44472</v>
      </c>
      <c r="O30" s="121" t="s">
        <v>243</v>
      </c>
      <c r="P30" s="116"/>
      <c r="Q30" s="116"/>
      <c r="R30" s="116"/>
      <c r="S30" s="123"/>
      <c r="T30" s="123"/>
      <c r="U30" s="1"/>
      <c r="V30" s="1"/>
      <c r="W30" s="1"/>
      <c r="X30" s="1"/>
      <c r="Y30" s="1"/>
      <c r="Z30" s="1"/>
    </row>
    <row r="31" spans="1:26" x14ac:dyDescent="0.4">
      <c r="A31" s="156" t="s">
        <v>224</v>
      </c>
      <c r="B31" s="134">
        <f t="shared" si="13"/>
        <v>79.166666666666671</v>
      </c>
      <c r="C31" s="156">
        <v>475</v>
      </c>
      <c r="D31" s="157">
        <v>1</v>
      </c>
      <c r="E31" s="157">
        <v>1</v>
      </c>
      <c r="F31" s="157">
        <v>1</v>
      </c>
      <c r="G31" s="157">
        <v>1</v>
      </c>
      <c r="H31" s="157">
        <v>1</v>
      </c>
      <c r="I31" s="157">
        <v>1</v>
      </c>
      <c r="J31" s="46">
        <f t="shared" si="14"/>
        <v>6</v>
      </c>
      <c r="K31" s="54">
        <f t="shared" si="15"/>
        <v>475</v>
      </c>
      <c r="L31" s="47">
        <f t="shared" si="16"/>
        <v>475</v>
      </c>
      <c r="M31" s="162">
        <v>44295</v>
      </c>
      <c r="N31" s="19">
        <f t="shared" si="17"/>
        <v>44475</v>
      </c>
      <c r="O31" s="115" t="s">
        <v>248</v>
      </c>
      <c r="P31" s="116"/>
      <c r="Q31" s="116"/>
      <c r="R31" s="116"/>
      <c r="S31" s="123"/>
      <c r="T31" s="123"/>
      <c r="U31" s="1"/>
      <c r="V31" s="1"/>
      <c r="W31" s="1"/>
      <c r="X31" s="1"/>
      <c r="Y31" s="1"/>
      <c r="Z31" s="1"/>
    </row>
    <row r="32" spans="1:26" x14ac:dyDescent="0.4">
      <c r="A32" s="156" t="s">
        <v>225</v>
      </c>
      <c r="B32" s="134">
        <f t="shared" si="13"/>
        <v>58.333333333333336</v>
      </c>
      <c r="C32" s="156">
        <v>350</v>
      </c>
      <c r="D32" s="157">
        <v>1</v>
      </c>
      <c r="E32" s="157">
        <v>1</v>
      </c>
      <c r="F32" s="157">
        <v>1</v>
      </c>
      <c r="G32" s="157">
        <v>1</v>
      </c>
      <c r="H32" s="157">
        <v>1</v>
      </c>
      <c r="I32" s="157">
        <v>1</v>
      </c>
      <c r="J32" s="46">
        <f t="shared" si="14"/>
        <v>6</v>
      </c>
      <c r="K32" s="54">
        <f t="shared" si="15"/>
        <v>350</v>
      </c>
      <c r="L32" s="47">
        <f t="shared" si="16"/>
        <v>350</v>
      </c>
      <c r="M32" s="162">
        <v>44295</v>
      </c>
      <c r="N32" s="19">
        <f t="shared" si="17"/>
        <v>44475</v>
      </c>
      <c r="O32" s="121" t="s">
        <v>249</v>
      </c>
      <c r="P32" s="116"/>
      <c r="Q32" s="116"/>
      <c r="R32" s="116"/>
      <c r="S32" s="123"/>
      <c r="T32" s="123"/>
      <c r="U32" s="1"/>
      <c r="V32" s="1"/>
      <c r="W32" s="1"/>
      <c r="X32" s="1"/>
      <c r="Y32" s="1"/>
      <c r="Z32" s="1"/>
    </row>
    <row r="33" spans="1:26" x14ac:dyDescent="0.4">
      <c r="A33" s="156" t="s">
        <v>226</v>
      </c>
      <c r="B33" s="134">
        <f t="shared" si="13"/>
        <v>58.333333333333336</v>
      </c>
      <c r="C33" s="163">
        <v>350</v>
      </c>
      <c r="D33" s="157">
        <v>1</v>
      </c>
      <c r="E33" s="157">
        <v>1</v>
      </c>
      <c r="F33" s="157">
        <v>1</v>
      </c>
      <c r="G33" s="157">
        <v>1</v>
      </c>
      <c r="H33" s="157">
        <v>1</v>
      </c>
      <c r="I33" s="157">
        <v>1</v>
      </c>
      <c r="J33" s="46">
        <f t="shared" si="14"/>
        <v>6</v>
      </c>
      <c r="K33" s="54">
        <f t="shared" si="15"/>
        <v>350</v>
      </c>
      <c r="L33" s="47">
        <f t="shared" si="16"/>
        <v>350</v>
      </c>
      <c r="M33" s="162">
        <v>44295</v>
      </c>
      <c r="N33" s="19">
        <f t="shared" si="17"/>
        <v>44475</v>
      </c>
      <c r="O33" s="121" t="s">
        <v>252</v>
      </c>
      <c r="P33" s="116"/>
      <c r="Q33" s="116"/>
      <c r="R33" s="116"/>
      <c r="S33" s="123"/>
      <c r="T33" s="123"/>
      <c r="U33" s="1"/>
      <c r="V33" s="1"/>
      <c r="W33" s="1"/>
      <c r="X33" s="1"/>
      <c r="Y33" s="1"/>
      <c r="Z33" s="1"/>
    </row>
    <row r="34" spans="1:26" x14ac:dyDescent="0.4">
      <c r="A34" s="156" t="s">
        <v>227</v>
      </c>
      <c r="B34" s="134">
        <f t="shared" si="13"/>
        <v>58.333333333333336</v>
      </c>
      <c r="C34" s="163">
        <v>350</v>
      </c>
      <c r="D34" s="162">
        <v>44296</v>
      </c>
      <c r="E34" s="247">
        <v>44336</v>
      </c>
      <c r="F34" s="157">
        <v>1</v>
      </c>
      <c r="G34" s="157">
        <v>1</v>
      </c>
      <c r="H34" s="157">
        <v>1</v>
      </c>
      <c r="I34" s="157">
        <v>1</v>
      </c>
      <c r="J34" s="46">
        <f t="shared" si="14"/>
        <v>4</v>
      </c>
      <c r="K34" s="54">
        <f t="shared" si="15"/>
        <v>233.33333333333334</v>
      </c>
      <c r="L34" s="47">
        <f t="shared" si="16"/>
        <v>233.33333333333334</v>
      </c>
      <c r="M34" s="162">
        <v>44296</v>
      </c>
      <c r="N34" s="19">
        <f t="shared" si="17"/>
        <v>44476</v>
      </c>
      <c r="O34" s="143" t="s">
        <v>253</v>
      </c>
      <c r="P34" s="251" t="s">
        <v>253</v>
      </c>
      <c r="Q34" s="116"/>
      <c r="R34" s="116"/>
      <c r="S34" s="123"/>
      <c r="T34" s="123"/>
      <c r="U34" s="1"/>
      <c r="V34" s="1"/>
      <c r="W34" s="1"/>
      <c r="X34" s="1"/>
      <c r="Y34" s="1"/>
      <c r="Z34" s="1"/>
    </row>
    <row r="35" spans="1:26" x14ac:dyDescent="0.4">
      <c r="A35" s="156" t="s">
        <v>228</v>
      </c>
      <c r="B35" s="134">
        <f t="shared" si="13"/>
        <v>58.333333333333336</v>
      </c>
      <c r="C35" s="163">
        <v>350</v>
      </c>
      <c r="D35" s="262">
        <v>44354</v>
      </c>
      <c r="E35" s="157">
        <v>1</v>
      </c>
      <c r="F35" s="157">
        <v>1</v>
      </c>
      <c r="G35" s="157">
        <v>1</v>
      </c>
      <c r="H35" s="157">
        <v>1</v>
      </c>
      <c r="I35" s="157">
        <v>1</v>
      </c>
      <c r="J35" s="46">
        <f t="shared" si="14"/>
        <v>5</v>
      </c>
      <c r="K35" s="54">
        <f t="shared" si="15"/>
        <v>291.66666666666669</v>
      </c>
      <c r="L35" s="47">
        <f t="shared" si="16"/>
        <v>291.66666666666669</v>
      </c>
      <c r="M35" s="162">
        <v>44297</v>
      </c>
      <c r="N35" s="19">
        <f t="shared" si="17"/>
        <v>44477</v>
      </c>
      <c r="O35" s="101" t="s">
        <v>256</v>
      </c>
      <c r="P35" s="101" t="s">
        <v>397</v>
      </c>
      <c r="Q35" s="116"/>
      <c r="R35" s="116"/>
      <c r="S35" s="123"/>
      <c r="T35" s="123"/>
      <c r="U35" s="1"/>
      <c r="V35" s="1"/>
      <c r="W35" s="1"/>
      <c r="X35" s="1"/>
      <c r="Y35" s="1"/>
      <c r="Z35" s="1"/>
    </row>
    <row r="36" spans="1:26" x14ac:dyDescent="0.4">
      <c r="A36" s="156" t="s">
        <v>229</v>
      </c>
      <c r="B36" s="134">
        <f t="shared" ref="B36:B37" si="18">C36/6</f>
        <v>58.333333333333336</v>
      </c>
      <c r="C36" s="182">
        <v>350</v>
      </c>
      <c r="D36" s="157">
        <v>0</v>
      </c>
      <c r="E36" s="157">
        <v>0</v>
      </c>
      <c r="F36" s="157">
        <v>0</v>
      </c>
      <c r="G36" s="262">
        <v>44351</v>
      </c>
      <c r="H36" s="157">
        <v>1</v>
      </c>
      <c r="I36" s="157">
        <v>1</v>
      </c>
      <c r="J36" s="46">
        <f t="shared" ref="J36:J37" si="19">COUNTIF(D36:I36,"1")</f>
        <v>2</v>
      </c>
      <c r="K36" s="54">
        <f t="shared" ref="K36:K37" si="20">J36*(C36/6)</f>
        <v>116.66666666666667</v>
      </c>
      <c r="L36" s="47">
        <f t="shared" ref="L36:L37" si="21">J36*(C36/6)</f>
        <v>116.66666666666667</v>
      </c>
      <c r="M36" s="181">
        <v>44299</v>
      </c>
      <c r="N36" s="19">
        <f t="shared" ref="N36:N37" si="22">M36+180</f>
        <v>44479</v>
      </c>
      <c r="O36" s="143" t="s">
        <v>262</v>
      </c>
      <c r="P36" s="116"/>
      <c r="Q36" s="116"/>
      <c r="R36" s="150" t="s">
        <v>262</v>
      </c>
      <c r="S36" s="123"/>
      <c r="T36" s="123"/>
      <c r="U36" s="1"/>
      <c r="V36" s="1"/>
      <c r="W36" s="1"/>
      <c r="X36" s="1"/>
      <c r="Y36" s="1"/>
      <c r="Z36" s="1"/>
    </row>
    <row r="37" spans="1:26" x14ac:dyDescent="0.4">
      <c r="A37" s="156" t="s">
        <v>230</v>
      </c>
      <c r="B37" s="134">
        <f t="shared" si="18"/>
        <v>79.166666666666671</v>
      </c>
      <c r="C37" s="156">
        <v>475</v>
      </c>
      <c r="D37" s="192">
        <v>44309</v>
      </c>
      <c r="E37" s="157">
        <v>1</v>
      </c>
      <c r="F37" s="157">
        <v>1</v>
      </c>
      <c r="G37" s="157">
        <v>1</v>
      </c>
      <c r="H37" s="157">
        <v>1</v>
      </c>
      <c r="I37" s="157">
        <v>1</v>
      </c>
      <c r="J37" s="46">
        <f t="shared" si="19"/>
        <v>5</v>
      </c>
      <c r="K37" s="54">
        <f t="shared" si="20"/>
        <v>395.83333333333337</v>
      </c>
      <c r="L37" s="47">
        <f t="shared" si="21"/>
        <v>395.83333333333337</v>
      </c>
      <c r="M37" s="192">
        <v>44309</v>
      </c>
      <c r="N37" s="19">
        <f t="shared" si="22"/>
        <v>44489</v>
      </c>
      <c r="O37" s="144" t="s">
        <v>299</v>
      </c>
      <c r="P37" s="116"/>
      <c r="Q37" s="116"/>
      <c r="R37" s="116"/>
      <c r="S37" s="123"/>
      <c r="T37" s="123"/>
      <c r="U37" s="1"/>
      <c r="V37" s="1"/>
      <c r="W37" s="1"/>
      <c r="X37" s="1"/>
      <c r="Y37" s="1"/>
      <c r="Z37" s="1"/>
    </row>
    <row r="38" spans="1:26" x14ac:dyDescent="0.4">
      <c r="A38" s="187" t="s">
        <v>268</v>
      </c>
      <c r="B38" s="134">
        <f t="shared" ref="B38:B41" si="23">C38/6</f>
        <v>58.333333333333336</v>
      </c>
      <c r="C38" s="187">
        <v>350</v>
      </c>
      <c r="D38" s="249">
        <v>44338</v>
      </c>
      <c r="E38" s="188">
        <v>1</v>
      </c>
      <c r="F38" s="188">
        <v>1</v>
      </c>
      <c r="G38" s="188">
        <v>1</v>
      </c>
      <c r="H38" s="188">
        <v>1</v>
      </c>
      <c r="I38" s="188">
        <v>1</v>
      </c>
      <c r="J38" s="46">
        <f t="shared" ref="J38:J41" si="24">COUNTIF(D38:I38,"1")</f>
        <v>5</v>
      </c>
      <c r="K38" s="54">
        <f t="shared" ref="K38:K41" si="25">J38*(C38/6)</f>
        <v>291.66666666666669</v>
      </c>
      <c r="L38" s="47">
        <f t="shared" ref="L38:L41" si="26">J38*(C38/6)</f>
        <v>291.66666666666669</v>
      </c>
      <c r="M38" s="186">
        <v>44302</v>
      </c>
      <c r="N38" s="19">
        <f t="shared" ref="N38:N41" si="27">M38+180</f>
        <v>44482</v>
      </c>
      <c r="O38" s="144" t="s">
        <v>290</v>
      </c>
      <c r="P38" s="251" t="s">
        <v>290</v>
      </c>
      <c r="Q38" s="116"/>
      <c r="R38" s="116"/>
      <c r="S38" s="123"/>
      <c r="T38" s="123"/>
      <c r="U38" s="1"/>
      <c r="V38" s="1"/>
      <c r="W38" s="1"/>
      <c r="X38" s="1"/>
      <c r="Y38" s="1"/>
      <c r="Z38" s="1"/>
    </row>
    <row r="39" spans="1:26" x14ac:dyDescent="0.4">
      <c r="A39" s="187" t="s">
        <v>269</v>
      </c>
      <c r="B39" s="134">
        <f t="shared" si="23"/>
        <v>58.333333333333336</v>
      </c>
      <c r="C39" s="187">
        <v>350</v>
      </c>
      <c r="D39" s="278">
        <v>44370</v>
      </c>
      <c r="E39" s="188">
        <v>1</v>
      </c>
      <c r="F39" s="188">
        <v>1</v>
      </c>
      <c r="G39" s="188">
        <v>1</v>
      </c>
      <c r="H39" s="188">
        <v>1</v>
      </c>
      <c r="I39" s="188">
        <v>1</v>
      </c>
      <c r="J39" s="46">
        <f t="shared" si="24"/>
        <v>5</v>
      </c>
      <c r="K39" s="54">
        <f t="shared" si="25"/>
        <v>291.66666666666669</v>
      </c>
      <c r="L39" s="47">
        <f t="shared" si="26"/>
        <v>291.66666666666669</v>
      </c>
      <c r="M39" s="186">
        <v>44303</v>
      </c>
      <c r="N39" s="19">
        <f t="shared" si="27"/>
        <v>44483</v>
      </c>
      <c r="O39" s="121" t="s">
        <v>291</v>
      </c>
      <c r="P39" s="102" t="s">
        <v>427</v>
      </c>
      <c r="Q39" s="116"/>
      <c r="R39" s="116"/>
      <c r="S39" s="123"/>
      <c r="T39" s="123"/>
      <c r="U39" s="1"/>
      <c r="V39" s="1"/>
      <c r="W39" s="1"/>
      <c r="X39" s="1"/>
      <c r="Y39" s="1"/>
      <c r="Z39" s="1"/>
    </row>
    <row r="40" spans="1:26" x14ac:dyDescent="0.4">
      <c r="A40" s="187" t="s">
        <v>270</v>
      </c>
      <c r="B40" s="134">
        <f t="shared" si="23"/>
        <v>58.333333333333336</v>
      </c>
      <c r="C40" s="187">
        <v>350</v>
      </c>
      <c r="D40" s="186">
        <v>44305</v>
      </c>
      <c r="E40" s="256">
        <v>44346</v>
      </c>
      <c r="F40" s="278">
        <v>44369</v>
      </c>
      <c r="G40" s="188">
        <v>1</v>
      </c>
      <c r="H40" s="188">
        <v>1</v>
      </c>
      <c r="I40" s="188">
        <v>1</v>
      </c>
      <c r="J40" s="46">
        <f t="shared" si="24"/>
        <v>3</v>
      </c>
      <c r="K40" s="54">
        <f t="shared" si="25"/>
        <v>175</v>
      </c>
      <c r="L40" s="47">
        <f t="shared" si="26"/>
        <v>175</v>
      </c>
      <c r="M40" s="186">
        <v>44305</v>
      </c>
      <c r="N40" s="19">
        <f t="shared" si="27"/>
        <v>44485</v>
      </c>
      <c r="O40" s="139" t="s">
        <v>272</v>
      </c>
      <c r="P40" s="115" t="s">
        <v>383</v>
      </c>
      <c r="Q40" s="144" t="s">
        <v>272</v>
      </c>
      <c r="R40" s="116"/>
      <c r="S40" s="123"/>
      <c r="T40" s="123"/>
      <c r="U40" s="1"/>
      <c r="V40" s="1"/>
      <c r="W40" s="1"/>
      <c r="X40" s="1"/>
      <c r="Y40" s="1"/>
      <c r="Z40" s="1"/>
    </row>
    <row r="41" spans="1:26" x14ac:dyDescent="0.4">
      <c r="A41" s="187" t="s">
        <v>271</v>
      </c>
      <c r="B41" s="134">
        <f t="shared" si="23"/>
        <v>58.333333333333336</v>
      </c>
      <c r="C41" s="187">
        <v>350</v>
      </c>
      <c r="D41" s="188">
        <v>1</v>
      </c>
      <c r="E41" s="188">
        <v>1</v>
      </c>
      <c r="F41" s="188">
        <v>1</v>
      </c>
      <c r="G41" s="188">
        <v>1</v>
      </c>
      <c r="H41" s="188">
        <v>1</v>
      </c>
      <c r="I41" s="188">
        <v>1</v>
      </c>
      <c r="J41" s="46">
        <f t="shared" si="24"/>
        <v>6</v>
      </c>
      <c r="K41" s="54">
        <f t="shared" si="25"/>
        <v>350</v>
      </c>
      <c r="L41" s="47">
        <f t="shared" si="26"/>
        <v>350</v>
      </c>
      <c r="M41" s="186">
        <v>44305</v>
      </c>
      <c r="N41" s="19">
        <f t="shared" si="27"/>
        <v>44485</v>
      </c>
      <c r="O41" s="101" t="s">
        <v>273</v>
      </c>
      <c r="P41" s="116"/>
      <c r="Q41" s="116"/>
      <c r="R41" s="116"/>
      <c r="S41" s="123"/>
      <c r="T41" s="123"/>
      <c r="U41" s="1"/>
      <c r="V41" s="1"/>
      <c r="W41" s="1"/>
      <c r="X41" s="1"/>
      <c r="Y41" s="1"/>
      <c r="Z41" s="1"/>
    </row>
    <row r="42" spans="1:26" x14ac:dyDescent="0.4">
      <c r="A42" s="187" t="s">
        <v>275</v>
      </c>
      <c r="B42" s="134">
        <f t="shared" ref="B42:B44" si="28">C42/6</f>
        <v>79.166666666666671</v>
      </c>
      <c r="C42" s="187">
        <v>475</v>
      </c>
      <c r="D42" s="186">
        <v>44306</v>
      </c>
      <c r="E42" s="254">
        <v>44343</v>
      </c>
      <c r="F42" s="188">
        <v>1</v>
      </c>
      <c r="G42" s="188">
        <v>1</v>
      </c>
      <c r="H42" s="188">
        <v>1</v>
      </c>
      <c r="I42" s="188">
        <v>1</v>
      </c>
      <c r="J42" s="46">
        <f t="shared" ref="J42:J44" si="29">COUNTIF(D42:I42,"1")</f>
        <v>4</v>
      </c>
      <c r="K42" s="54">
        <f t="shared" ref="K42:K44" si="30">J42*(C42/6)</f>
        <v>316.66666666666669</v>
      </c>
      <c r="L42" s="47">
        <f t="shared" ref="L42:L44" si="31">J42*(C42/6)</f>
        <v>316.66666666666669</v>
      </c>
      <c r="M42" s="186">
        <v>44306</v>
      </c>
      <c r="N42" s="19">
        <f t="shared" ref="N42:N44" si="32">M42+180</f>
        <v>44486</v>
      </c>
      <c r="O42" s="142" t="s">
        <v>278</v>
      </c>
      <c r="P42" s="150" t="s">
        <v>278</v>
      </c>
      <c r="Q42" s="116"/>
      <c r="R42" s="116"/>
      <c r="S42" s="123"/>
      <c r="T42" s="123"/>
      <c r="U42" s="1"/>
      <c r="V42" s="1"/>
      <c r="W42" s="1"/>
      <c r="X42" s="1"/>
      <c r="Y42" s="1"/>
      <c r="Z42" s="1"/>
    </row>
    <row r="43" spans="1:26" x14ac:dyDescent="0.4">
      <c r="A43" s="187" t="s">
        <v>276</v>
      </c>
      <c r="B43" s="134">
        <f t="shared" si="28"/>
        <v>66.666666666666671</v>
      </c>
      <c r="C43" s="187">
        <v>400</v>
      </c>
      <c r="D43" s="262">
        <v>44348</v>
      </c>
      <c r="E43" s="188">
        <v>1</v>
      </c>
      <c r="F43" s="188">
        <v>1</v>
      </c>
      <c r="G43" s="188">
        <v>1</v>
      </c>
      <c r="H43" s="188">
        <v>1</v>
      </c>
      <c r="I43" s="188">
        <v>1</v>
      </c>
      <c r="J43" s="46">
        <f t="shared" si="29"/>
        <v>5</v>
      </c>
      <c r="K43" s="54">
        <f t="shared" si="30"/>
        <v>333.33333333333337</v>
      </c>
      <c r="L43" s="47">
        <f t="shared" si="31"/>
        <v>333.33333333333337</v>
      </c>
      <c r="M43" s="186">
        <v>44306</v>
      </c>
      <c r="N43" s="19">
        <f t="shared" si="32"/>
        <v>44486</v>
      </c>
      <c r="O43" s="158" t="s">
        <v>280</v>
      </c>
      <c r="P43" s="143" t="s">
        <v>280</v>
      </c>
      <c r="Q43" s="116"/>
      <c r="R43" s="116"/>
      <c r="S43" s="123"/>
      <c r="T43" s="123"/>
      <c r="U43" s="1"/>
      <c r="V43" s="1"/>
      <c r="W43" s="1"/>
      <c r="X43" s="1"/>
      <c r="Y43" s="1"/>
      <c r="Z43" s="1"/>
    </row>
    <row r="44" spans="1:26" x14ac:dyDescent="0.4">
      <c r="A44" s="187" t="s">
        <v>277</v>
      </c>
      <c r="B44" s="134">
        <f t="shared" si="28"/>
        <v>79.166666666666671</v>
      </c>
      <c r="C44" s="187">
        <v>475</v>
      </c>
      <c r="D44" s="186">
        <v>44307</v>
      </c>
      <c r="E44" s="188">
        <v>1</v>
      </c>
      <c r="F44" s="188">
        <v>1</v>
      </c>
      <c r="G44" s="188">
        <v>1</v>
      </c>
      <c r="H44" s="188">
        <v>1</v>
      </c>
      <c r="I44" s="188">
        <v>1</v>
      </c>
      <c r="J44" s="46">
        <f t="shared" si="29"/>
        <v>5</v>
      </c>
      <c r="K44" s="54">
        <f t="shared" si="30"/>
        <v>395.83333333333337</v>
      </c>
      <c r="L44" s="47">
        <f t="shared" si="31"/>
        <v>395.83333333333337</v>
      </c>
      <c r="M44" s="186">
        <v>44307</v>
      </c>
      <c r="N44" s="19">
        <f t="shared" si="32"/>
        <v>44487</v>
      </c>
      <c r="O44" s="144" t="s">
        <v>283</v>
      </c>
      <c r="P44" s="116"/>
      <c r="Q44" s="116"/>
      <c r="R44" s="116"/>
      <c r="S44" s="123"/>
      <c r="T44" s="123"/>
      <c r="U44" s="1"/>
      <c r="V44" s="1"/>
      <c r="W44" s="1"/>
      <c r="X44" s="1"/>
      <c r="Y44" s="1"/>
      <c r="Z44" s="1"/>
    </row>
    <row r="45" spans="1:26" x14ac:dyDescent="0.4">
      <c r="A45" s="187" t="s">
        <v>284</v>
      </c>
      <c r="B45" s="134">
        <f t="shared" ref="B45:B47" si="33">C45/6</f>
        <v>79.166666666666671</v>
      </c>
      <c r="C45" s="250">
        <v>475</v>
      </c>
      <c r="D45" s="254">
        <v>44343</v>
      </c>
      <c r="E45" s="188">
        <v>1</v>
      </c>
      <c r="F45" s="188">
        <v>1</v>
      </c>
      <c r="G45" s="188">
        <v>1</v>
      </c>
      <c r="H45" s="188">
        <v>1</v>
      </c>
      <c r="I45" s="188">
        <v>1</v>
      </c>
      <c r="J45" s="46">
        <f t="shared" ref="J45:J47" si="34">COUNTIF(D45:I45,"1")</f>
        <v>5</v>
      </c>
      <c r="K45" s="54">
        <f t="shared" ref="K45:K47" si="35">J45*(C45/6)</f>
        <v>395.83333333333337</v>
      </c>
      <c r="L45" s="47">
        <f t="shared" ref="L45:L47" si="36">J45*(C45/6)</f>
        <v>395.83333333333337</v>
      </c>
      <c r="M45" s="249">
        <v>44340</v>
      </c>
      <c r="N45" s="19">
        <f t="shared" ref="N45:N47" si="37">M45+180</f>
        <v>44520</v>
      </c>
      <c r="O45" s="144" t="s">
        <v>370</v>
      </c>
      <c r="P45" s="102" t="s">
        <v>376</v>
      </c>
      <c r="Q45" s="116"/>
      <c r="R45" s="116"/>
      <c r="S45" s="123"/>
      <c r="T45" s="123"/>
      <c r="U45" s="1"/>
      <c r="V45" s="1"/>
      <c r="W45" s="1"/>
      <c r="X45" s="1"/>
      <c r="Y45" s="1"/>
      <c r="Z45" s="1"/>
    </row>
    <row r="46" spans="1:26" x14ac:dyDescent="0.4">
      <c r="A46" s="187" t="s">
        <v>285</v>
      </c>
      <c r="B46" s="134">
        <f t="shared" si="33"/>
        <v>83.333333333333329</v>
      </c>
      <c r="C46" s="187">
        <v>500</v>
      </c>
      <c r="D46" s="247">
        <v>44336</v>
      </c>
      <c r="E46" s="188">
        <v>1</v>
      </c>
      <c r="F46" s="188">
        <v>1</v>
      </c>
      <c r="G46" s="188">
        <v>1</v>
      </c>
      <c r="H46" s="188">
        <v>1</v>
      </c>
      <c r="I46" s="188">
        <v>1</v>
      </c>
      <c r="J46" s="46">
        <f t="shared" si="34"/>
        <v>5</v>
      </c>
      <c r="K46" s="54">
        <f t="shared" si="35"/>
        <v>416.66666666666663</v>
      </c>
      <c r="L46" s="47">
        <f t="shared" si="36"/>
        <v>416.66666666666663</v>
      </c>
      <c r="M46" s="249">
        <v>44308</v>
      </c>
      <c r="N46" s="19">
        <f t="shared" si="37"/>
        <v>44488</v>
      </c>
      <c r="O46" s="144" t="s">
        <v>374</v>
      </c>
      <c r="P46" s="144" t="s">
        <v>374</v>
      </c>
      <c r="Q46" s="116"/>
      <c r="R46" s="116"/>
      <c r="S46" s="123"/>
      <c r="T46" s="123"/>
      <c r="U46" s="1"/>
      <c r="V46" s="1"/>
      <c r="W46" s="1"/>
      <c r="X46" s="1"/>
      <c r="Y46" s="1"/>
      <c r="Z46" s="1"/>
    </row>
    <row r="47" spans="1:26" x14ac:dyDescent="0.4">
      <c r="A47" s="187" t="s">
        <v>286</v>
      </c>
      <c r="B47" s="134">
        <f t="shared" si="33"/>
        <v>58.333333333333336</v>
      </c>
      <c r="C47" s="187">
        <v>350</v>
      </c>
      <c r="D47" s="256">
        <v>44344</v>
      </c>
      <c r="E47" s="188">
        <v>1</v>
      </c>
      <c r="F47" s="188">
        <v>1</v>
      </c>
      <c r="G47" s="188">
        <v>1</v>
      </c>
      <c r="H47" s="188">
        <v>1</v>
      </c>
      <c r="I47" s="188">
        <v>1</v>
      </c>
      <c r="J47" s="46">
        <f t="shared" si="34"/>
        <v>5</v>
      </c>
      <c r="K47" s="54">
        <f t="shared" si="35"/>
        <v>291.66666666666669</v>
      </c>
      <c r="L47" s="47">
        <f t="shared" si="36"/>
        <v>291.66666666666669</v>
      </c>
      <c r="M47" s="210">
        <v>44316</v>
      </c>
      <c r="N47" s="19">
        <f t="shared" si="37"/>
        <v>44496</v>
      </c>
      <c r="O47" s="142" t="s">
        <v>316</v>
      </c>
      <c r="P47" s="102" t="s">
        <v>378</v>
      </c>
      <c r="Q47" s="116"/>
      <c r="R47" s="116"/>
      <c r="S47" s="123"/>
      <c r="T47" s="123"/>
      <c r="U47" s="1"/>
      <c r="V47" s="1"/>
      <c r="W47" s="1"/>
      <c r="X47" s="1"/>
      <c r="Y47" s="1"/>
      <c r="Z47" s="1"/>
    </row>
    <row r="48" spans="1:26" x14ac:dyDescent="0.4">
      <c r="A48" s="208" t="s">
        <v>318</v>
      </c>
      <c r="B48" s="134">
        <f t="shared" ref="B48" si="38">C48/6</f>
        <v>58.333333333333336</v>
      </c>
      <c r="C48" s="208">
        <v>350</v>
      </c>
      <c r="D48" s="238">
        <v>44329</v>
      </c>
      <c r="E48" s="209">
        <v>1</v>
      </c>
      <c r="F48" s="209">
        <v>1</v>
      </c>
      <c r="G48" s="209">
        <v>1</v>
      </c>
      <c r="H48" s="209">
        <v>1</v>
      </c>
      <c r="I48" s="209">
        <v>1</v>
      </c>
      <c r="J48" s="46">
        <f t="shared" ref="J48" si="39">COUNTIF(D48:I48,"1")</f>
        <v>5</v>
      </c>
      <c r="K48" s="54">
        <f t="shared" ref="K48" si="40">J48*(C48/6)</f>
        <v>291.66666666666669</v>
      </c>
      <c r="L48" s="47">
        <f t="shared" ref="L48" si="41">J48*(C48/6)</f>
        <v>291.66666666666669</v>
      </c>
      <c r="M48" s="210">
        <v>44318</v>
      </c>
      <c r="N48" s="19">
        <f t="shared" ref="N48" si="42">M48+180</f>
        <v>44498</v>
      </c>
      <c r="O48" s="115" t="s">
        <v>190</v>
      </c>
      <c r="P48" s="150" t="s">
        <v>190</v>
      </c>
      <c r="Q48" s="116"/>
      <c r="R48" s="116"/>
      <c r="S48" s="123"/>
      <c r="T48" s="123"/>
      <c r="U48" s="1"/>
      <c r="V48" s="1"/>
      <c r="W48" s="1"/>
      <c r="X48" s="1"/>
      <c r="Y48" s="1"/>
      <c r="Z48" s="1"/>
    </row>
    <row r="49" spans="1:26" x14ac:dyDescent="0.4">
      <c r="A49" s="239" t="s">
        <v>344</v>
      </c>
      <c r="B49" s="134">
        <f t="shared" ref="B49" si="43">C49/6</f>
        <v>58.333333333333336</v>
      </c>
      <c r="C49" s="239">
        <v>350</v>
      </c>
      <c r="D49" s="238">
        <v>44329</v>
      </c>
      <c r="E49" s="267">
        <v>44362</v>
      </c>
      <c r="F49" s="240">
        <v>1</v>
      </c>
      <c r="G49" s="240">
        <v>1</v>
      </c>
      <c r="H49" s="240">
        <v>1</v>
      </c>
      <c r="I49" s="240">
        <v>1</v>
      </c>
      <c r="J49" s="46">
        <f t="shared" ref="J49" si="44">COUNTIF(D49:I49,"1")</f>
        <v>4</v>
      </c>
      <c r="K49" s="54">
        <f t="shared" ref="K49" si="45">J49*(C49/6)</f>
        <v>233.33333333333334</v>
      </c>
      <c r="L49" s="47">
        <f t="shared" ref="L49" si="46">J49*(C49/6)</f>
        <v>233.33333333333334</v>
      </c>
      <c r="M49" s="238">
        <v>44329</v>
      </c>
      <c r="N49" s="19">
        <f t="shared" ref="N49" si="47">M49+180</f>
        <v>44509</v>
      </c>
      <c r="O49" s="102" t="s">
        <v>355</v>
      </c>
      <c r="P49" s="102" t="s">
        <v>355</v>
      </c>
      <c r="Q49" s="116"/>
      <c r="R49" s="116"/>
      <c r="S49" s="123"/>
      <c r="T49" s="123"/>
      <c r="U49" s="1"/>
      <c r="V49" s="1"/>
      <c r="W49" s="1"/>
      <c r="X49" s="1"/>
      <c r="Y49" s="1"/>
      <c r="Z49" s="1"/>
    </row>
    <row r="50" spans="1:26" x14ac:dyDescent="0.4">
      <c r="A50" s="239" t="s">
        <v>345</v>
      </c>
      <c r="B50" s="134">
        <f t="shared" ref="B50:B54" si="48">C50/6</f>
        <v>83.333333333333329</v>
      </c>
      <c r="C50" s="239">
        <v>500</v>
      </c>
      <c r="D50" s="243">
        <v>44330</v>
      </c>
      <c r="E50" s="266">
        <v>44360</v>
      </c>
      <c r="F50" s="240">
        <v>1</v>
      </c>
      <c r="G50" s="240">
        <v>1</v>
      </c>
      <c r="H50" s="240">
        <v>1</v>
      </c>
      <c r="I50" s="240">
        <v>1</v>
      </c>
      <c r="J50" s="46">
        <f t="shared" ref="J50:J54" si="49">COUNTIF(D50:I50,"1")</f>
        <v>4</v>
      </c>
      <c r="K50" s="54">
        <f t="shared" ref="K50:K54" si="50">J50*(C50/6)</f>
        <v>333.33333333333331</v>
      </c>
      <c r="L50" s="47">
        <f t="shared" ref="L50:L54" si="51">J50*(C50/6)</f>
        <v>333.33333333333331</v>
      </c>
      <c r="M50" s="243">
        <v>44330</v>
      </c>
      <c r="N50" s="19">
        <f t="shared" ref="N50:N54" si="52">M50+180</f>
        <v>44510</v>
      </c>
      <c r="O50" s="116" t="s">
        <v>362</v>
      </c>
      <c r="P50" s="189" t="s">
        <v>362</v>
      </c>
      <c r="Q50" s="116"/>
      <c r="R50" s="116"/>
      <c r="S50" s="123"/>
      <c r="T50" s="123"/>
      <c r="U50" s="1"/>
      <c r="V50" s="1"/>
      <c r="W50" s="1"/>
      <c r="X50" s="1"/>
      <c r="Y50" s="1"/>
      <c r="Z50" s="1"/>
    </row>
    <row r="51" spans="1:26" x14ac:dyDescent="0.4">
      <c r="A51" s="5" t="s">
        <v>346</v>
      </c>
      <c r="B51" s="205">
        <f t="shared" si="48"/>
        <v>0</v>
      </c>
      <c r="C51" s="5"/>
      <c r="D51" s="235">
        <v>1</v>
      </c>
      <c r="E51" s="235">
        <v>1</v>
      </c>
      <c r="F51" s="235">
        <v>1</v>
      </c>
      <c r="G51" s="235">
        <v>1</v>
      </c>
      <c r="H51" s="235">
        <v>1</v>
      </c>
      <c r="I51" s="235">
        <v>1</v>
      </c>
      <c r="J51" s="236">
        <f t="shared" si="49"/>
        <v>6</v>
      </c>
      <c r="K51" s="118">
        <f t="shared" si="50"/>
        <v>0</v>
      </c>
      <c r="L51" s="119">
        <f t="shared" si="51"/>
        <v>0</v>
      </c>
      <c r="M51" s="117"/>
      <c r="N51" s="120">
        <f t="shared" si="52"/>
        <v>180</v>
      </c>
      <c r="O51" s="248" t="s">
        <v>364</v>
      </c>
      <c r="P51" s="116"/>
      <c r="Q51" s="116"/>
      <c r="R51" s="116"/>
      <c r="S51" s="123"/>
      <c r="T51" s="123"/>
      <c r="U51" s="1"/>
      <c r="V51" s="1"/>
      <c r="W51" s="1"/>
      <c r="X51" s="1"/>
      <c r="Y51" s="1"/>
      <c r="Z51" s="1"/>
    </row>
    <row r="52" spans="1:26" x14ac:dyDescent="0.4">
      <c r="A52" s="239" t="s">
        <v>347</v>
      </c>
      <c r="B52" s="134">
        <f t="shared" si="48"/>
        <v>58.333333333333336</v>
      </c>
      <c r="C52" s="239">
        <v>350</v>
      </c>
      <c r="D52" s="240">
        <v>1</v>
      </c>
      <c r="E52" s="240">
        <v>1</v>
      </c>
      <c r="F52" s="240">
        <v>1</v>
      </c>
      <c r="G52" s="240">
        <v>1</v>
      </c>
      <c r="H52" s="240">
        <v>1</v>
      </c>
      <c r="I52" s="240">
        <v>1</v>
      </c>
      <c r="J52" s="46">
        <f t="shared" si="49"/>
        <v>6</v>
      </c>
      <c r="K52" s="54">
        <f t="shared" si="50"/>
        <v>350</v>
      </c>
      <c r="L52" s="47">
        <f t="shared" si="51"/>
        <v>350</v>
      </c>
      <c r="M52" s="247">
        <v>44335</v>
      </c>
      <c r="N52" s="19">
        <f t="shared" si="52"/>
        <v>44515</v>
      </c>
      <c r="O52" s="143" t="s">
        <v>366</v>
      </c>
      <c r="P52" s="116"/>
      <c r="Q52" s="116"/>
      <c r="R52" s="116"/>
      <c r="S52" s="123"/>
      <c r="T52" s="123"/>
      <c r="U52" s="1"/>
      <c r="V52" s="1"/>
      <c r="W52" s="1"/>
      <c r="X52" s="1"/>
      <c r="Y52" s="1"/>
      <c r="Z52" s="1"/>
    </row>
    <row r="53" spans="1:26" x14ac:dyDescent="0.4">
      <c r="A53" s="239" t="s">
        <v>348</v>
      </c>
      <c r="B53" s="134">
        <f t="shared" si="48"/>
        <v>79.166666666666671</v>
      </c>
      <c r="C53" s="239">
        <v>475</v>
      </c>
      <c r="D53" s="249">
        <v>44338</v>
      </c>
      <c r="E53" s="240">
        <v>1</v>
      </c>
      <c r="F53" s="240">
        <v>1</v>
      </c>
      <c r="G53" s="240">
        <v>1</v>
      </c>
      <c r="H53" s="240">
        <v>1</v>
      </c>
      <c r="I53" s="240">
        <v>1</v>
      </c>
      <c r="J53" s="46">
        <f t="shared" si="49"/>
        <v>5</v>
      </c>
      <c r="K53" s="54">
        <f t="shared" si="50"/>
        <v>395.83333333333337</v>
      </c>
      <c r="L53" s="47">
        <f t="shared" si="51"/>
        <v>395.83333333333337</v>
      </c>
      <c r="M53" s="249">
        <v>44338</v>
      </c>
      <c r="N53" s="19">
        <f t="shared" si="52"/>
        <v>44518</v>
      </c>
      <c r="O53" s="101" t="s">
        <v>373</v>
      </c>
      <c r="P53" s="116"/>
      <c r="Q53" s="116"/>
      <c r="R53" s="116"/>
      <c r="S53" s="123"/>
      <c r="T53" s="123"/>
      <c r="U53" s="1"/>
      <c r="V53" s="1"/>
      <c r="W53" s="1"/>
      <c r="X53" s="1"/>
      <c r="Y53" s="1"/>
      <c r="Z53" s="1"/>
    </row>
    <row r="54" spans="1:26" x14ac:dyDescent="0.4">
      <c r="A54" s="239" t="s">
        <v>349</v>
      </c>
      <c r="B54" s="134">
        <f t="shared" si="48"/>
        <v>0</v>
      </c>
      <c r="C54" s="239"/>
      <c r="D54" s="240">
        <v>1</v>
      </c>
      <c r="E54" s="240">
        <v>1</v>
      </c>
      <c r="F54" s="240">
        <v>1</v>
      </c>
      <c r="G54" s="240">
        <v>1</v>
      </c>
      <c r="H54" s="240">
        <v>1</v>
      </c>
      <c r="I54" s="240">
        <v>1</v>
      </c>
      <c r="J54" s="46">
        <f t="shared" si="49"/>
        <v>6</v>
      </c>
      <c r="K54" s="54">
        <f t="shared" si="50"/>
        <v>0</v>
      </c>
      <c r="L54" s="47">
        <f t="shared" si="51"/>
        <v>0</v>
      </c>
      <c r="M54" s="238"/>
      <c r="N54" s="19">
        <f t="shared" si="52"/>
        <v>180</v>
      </c>
      <c r="O54" s="125"/>
      <c r="P54" s="116"/>
      <c r="Q54" s="116"/>
      <c r="R54" s="116"/>
      <c r="S54" s="123"/>
      <c r="T54" s="123"/>
      <c r="U54" s="1"/>
      <c r="V54" s="1"/>
      <c r="W54" s="1"/>
      <c r="X54" s="1"/>
      <c r="Y54" s="1"/>
      <c r="Z54" s="1"/>
    </row>
    <row r="55" spans="1:26" x14ac:dyDescent="0.4">
      <c r="A55" s="239" t="s">
        <v>350</v>
      </c>
      <c r="B55" s="134">
        <f t="shared" ref="B55:B57" si="53">C55/6</f>
        <v>79.166666666666671</v>
      </c>
      <c r="C55" s="239">
        <v>475</v>
      </c>
      <c r="D55" s="240">
        <v>1</v>
      </c>
      <c r="E55" s="240">
        <v>1</v>
      </c>
      <c r="F55" s="240">
        <v>1</v>
      </c>
      <c r="G55" s="240">
        <v>1</v>
      </c>
      <c r="H55" s="240">
        <v>1</v>
      </c>
      <c r="I55" s="240">
        <v>1</v>
      </c>
      <c r="J55" s="46">
        <f t="shared" ref="J55:J57" si="54">COUNTIF(D55:I55,"1")</f>
        <v>6</v>
      </c>
      <c r="K55" s="54">
        <f t="shared" ref="K55:K57" si="55">J55*(C55/6)</f>
        <v>475</v>
      </c>
      <c r="L55" s="47">
        <f t="shared" ref="L55:L57" si="56">J55*(C55/6)</f>
        <v>475</v>
      </c>
      <c r="M55" s="256">
        <v>44344</v>
      </c>
      <c r="N55" s="19">
        <f t="shared" ref="N55:N57" si="57">M55+180</f>
        <v>44524</v>
      </c>
      <c r="O55" s="251" t="s">
        <v>377</v>
      </c>
      <c r="P55" s="116"/>
      <c r="Q55" s="116"/>
      <c r="R55" s="116"/>
      <c r="S55" s="123"/>
      <c r="T55" s="123"/>
      <c r="U55" s="1"/>
      <c r="V55" s="1"/>
      <c r="W55" s="1"/>
      <c r="X55" s="1"/>
      <c r="Y55" s="1"/>
      <c r="Z55" s="1"/>
    </row>
    <row r="56" spans="1:26" x14ac:dyDescent="0.4">
      <c r="A56" s="239" t="s">
        <v>351</v>
      </c>
      <c r="B56" s="134">
        <f t="shared" si="53"/>
        <v>79.166666666666671</v>
      </c>
      <c r="C56" s="255">
        <v>475</v>
      </c>
      <c r="D56" s="240">
        <v>1</v>
      </c>
      <c r="E56" s="240">
        <v>1</v>
      </c>
      <c r="F56" s="240">
        <v>1</v>
      </c>
      <c r="G56" s="240">
        <v>1</v>
      </c>
      <c r="H56" s="240">
        <v>1</v>
      </c>
      <c r="I56" s="240">
        <v>1</v>
      </c>
      <c r="J56" s="46">
        <f t="shared" si="54"/>
        <v>6</v>
      </c>
      <c r="K56" s="54">
        <f t="shared" si="55"/>
        <v>475</v>
      </c>
      <c r="L56" s="47">
        <f t="shared" si="56"/>
        <v>475</v>
      </c>
      <c r="M56" s="256">
        <v>44345</v>
      </c>
      <c r="N56" s="19">
        <f t="shared" si="57"/>
        <v>44525</v>
      </c>
      <c r="O56" s="116" t="s">
        <v>382</v>
      </c>
      <c r="P56" s="116"/>
      <c r="Q56" s="116"/>
      <c r="R56" s="116"/>
      <c r="S56" s="123"/>
      <c r="T56" s="123"/>
      <c r="U56" s="1"/>
      <c r="V56" s="1"/>
      <c r="W56" s="1"/>
      <c r="X56" s="1"/>
      <c r="Y56" s="1"/>
      <c r="Z56" s="1"/>
    </row>
    <row r="57" spans="1:26" x14ac:dyDescent="0.4">
      <c r="A57" s="239" t="s">
        <v>352</v>
      </c>
      <c r="B57" s="134">
        <f t="shared" si="53"/>
        <v>58.333333333333336</v>
      </c>
      <c r="C57" s="239">
        <v>350</v>
      </c>
      <c r="D57" s="262">
        <v>44354</v>
      </c>
      <c r="E57" s="266">
        <v>44359</v>
      </c>
      <c r="F57" s="240">
        <v>1</v>
      </c>
      <c r="G57" s="240">
        <v>1</v>
      </c>
      <c r="H57" s="240">
        <v>1</v>
      </c>
      <c r="I57" s="240">
        <v>1</v>
      </c>
      <c r="J57" s="46">
        <f t="shared" si="54"/>
        <v>4</v>
      </c>
      <c r="K57" s="54">
        <f t="shared" si="55"/>
        <v>233.33333333333334</v>
      </c>
      <c r="L57" s="47">
        <f t="shared" si="56"/>
        <v>233.33333333333334</v>
      </c>
      <c r="M57" s="262">
        <v>44354</v>
      </c>
      <c r="N57" s="19">
        <f t="shared" si="57"/>
        <v>44534</v>
      </c>
      <c r="O57" s="144" t="s">
        <v>396</v>
      </c>
      <c r="P57" s="263" t="s">
        <v>423</v>
      </c>
      <c r="Q57" s="116"/>
      <c r="R57" s="116"/>
      <c r="S57" s="123"/>
      <c r="T57" s="123"/>
      <c r="U57" s="1"/>
      <c r="V57" s="1"/>
      <c r="W57" s="1"/>
      <c r="X57" s="1"/>
      <c r="Y57" s="1"/>
      <c r="Z57" s="1"/>
    </row>
    <row r="58" spans="1:26" x14ac:dyDescent="0.4">
      <c r="A58" s="239" t="s">
        <v>353</v>
      </c>
      <c r="B58" s="134">
        <f t="shared" ref="B58:B59" si="58">C58/6</f>
        <v>58.333333333333336</v>
      </c>
      <c r="C58" s="264">
        <v>350</v>
      </c>
      <c r="D58" s="266">
        <v>44358</v>
      </c>
      <c r="E58" s="240">
        <v>1</v>
      </c>
      <c r="F58" s="240">
        <v>1</v>
      </c>
      <c r="G58" s="240">
        <v>1</v>
      </c>
      <c r="H58" s="240">
        <v>1</v>
      </c>
      <c r="I58" s="240">
        <v>1</v>
      </c>
      <c r="J58" s="46">
        <f t="shared" ref="J58:J59" si="59">COUNTIF(D58:I58,"1")</f>
        <v>5</v>
      </c>
      <c r="K58" s="54">
        <f t="shared" ref="K58:K59" si="60">J58*(C58/6)</f>
        <v>291.66666666666669</v>
      </c>
      <c r="L58" s="47">
        <f t="shared" ref="L58:L59" si="61">J58*(C58/6)</f>
        <v>291.66666666666669</v>
      </c>
      <c r="M58" s="266">
        <v>44358</v>
      </c>
      <c r="N58" s="19">
        <f t="shared" ref="N58:N59" si="62">M58+180</f>
        <v>44538</v>
      </c>
      <c r="O58" s="102" t="s">
        <v>413</v>
      </c>
      <c r="P58" s="116"/>
      <c r="Q58" s="116"/>
      <c r="R58" s="116"/>
      <c r="S58" s="123"/>
      <c r="T58" s="123"/>
      <c r="U58" s="1"/>
      <c r="V58" s="1"/>
      <c r="W58" s="1"/>
      <c r="X58" s="1"/>
      <c r="Y58" s="1"/>
      <c r="Z58" s="1"/>
    </row>
    <row r="59" spans="1:26" x14ac:dyDescent="0.4">
      <c r="A59" s="239" t="s">
        <v>354</v>
      </c>
      <c r="B59" s="134">
        <f t="shared" si="58"/>
        <v>79.166666666666671</v>
      </c>
      <c r="C59" s="239">
        <v>475</v>
      </c>
      <c r="D59" s="240">
        <v>1</v>
      </c>
      <c r="E59" s="240">
        <v>1</v>
      </c>
      <c r="F59" s="240">
        <v>1</v>
      </c>
      <c r="G59" s="240">
        <v>1</v>
      </c>
      <c r="H59" s="240">
        <v>1</v>
      </c>
      <c r="I59" s="240">
        <v>1</v>
      </c>
      <c r="J59" s="46">
        <f t="shared" si="59"/>
        <v>6</v>
      </c>
      <c r="K59" s="54">
        <f t="shared" si="60"/>
        <v>475</v>
      </c>
      <c r="L59" s="47">
        <f t="shared" si="61"/>
        <v>475</v>
      </c>
      <c r="M59" s="267">
        <v>44362</v>
      </c>
      <c r="N59" s="19">
        <f t="shared" si="62"/>
        <v>44542</v>
      </c>
      <c r="O59" s="142" t="s">
        <v>426</v>
      </c>
      <c r="P59" s="116"/>
      <c r="Q59" s="116"/>
      <c r="R59" s="116"/>
      <c r="S59" s="123"/>
      <c r="T59" s="123"/>
      <c r="U59" s="1"/>
      <c r="V59" s="1"/>
      <c r="W59" s="1"/>
      <c r="X59" s="1"/>
      <c r="Y59" s="1"/>
      <c r="Z59" s="1"/>
    </row>
    <row r="60" spans="1:26" x14ac:dyDescent="0.4">
      <c r="A60" s="264" t="s">
        <v>399</v>
      </c>
      <c r="B60" s="134">
        <f t="shared" ref="B60:B66" si="63">C60/6</f>
        <v>79.166666666666671</v>
      </c>
      <c r="C60" s="277">
        <v>475</v>
      </c>
      <c r="D60" s="265">
        <v>1</v>
      </c>
      <c r="E60" s="265">
        <v>1</v>
      </c>
      <c r="F60" s="265">
        <v>1</v>
      </c>
      <c r="G60" s="265">
        <v>1</v>
      </c>
      <c r="H60" s="265">
        <v>1</v>
      </c>
      <c r="I60" s="265">
        <v>1</v>
      </c>
      <c r="J60" s="46">
        <f t="shared" ref="J60:J66" si="64">COUNTIF(D60:I60,"1")</f>
        <v>6</v>
      </c>
      <c r="K60" s="54">
        <f t="shared" ref="K60:K66" si="65">J60*(C60/6)</f>
        <v>475</v>
      </c>
      <c r="L60" s="47">
        <f t="shared" ref="L60:L66" si="66">J60*(C60/6)</f>
        <v>475</v>
      </c>
      <c r="M60" s="278">
        <v>44371</v>
      </c>
      <c r="N60" s="19">
        <f t="shared" ref="N60:N66" si="67">M60+180</f>
        <v>44551</v>
      </c>
      <c r="O60" s="144" t="s">
        <v>430</v>
      </c>
      <c r="P60" s="116"/>
      <c r="Q60" s="116"/>
      <c r="R60" s="116"/>
      <c r="S60" s="123"/>
      <c r="T60" s="123"/>
      <c r="U60" s="1"/>
      <c r="V60" s="1"/>
      <c r="W60" s="1"/>
      <c r="X60" s="1"/>
      <c r="Y60" s="1"/>
      <c r="Z60" s="1"/>
    </row>
    <row r="61" spans="1:26" x14ac:dyDescent="0.4">
      <c r="A61" s="264" t="s">
        <v>400</v>
      </c>
      <c r="B61" s="134">
        <f t="shared" si="63"/>
        <v>0</v>
      </c>
      <c r="C61" s="264"/>
      <c r="D61" s="265">
        <v>1</v>
      </c>
      <c r="E61" s="265">
        <v>1</v>
      </c>
      <c r="F61" s="265">
        <v>1</v>
      </c>
      <c r="G61" s="265">
        <v>1</v>
      </c>
      <c r="H61" s="265">
        <v>1</v>
      </c>
      <c r="I61" s="265">
        <v>1</v>
      </c>
      <c r="J61" s="46">
        <f t="shared" si="64"/>
        <v>6</v>
      </c>
      <c r="K61" s="54">
        <f t="shared" si="65"/>
        <v>0</v>
      </c>
      <c r="L61" s="47">
        <f t="shared" si="66"/>
        <v>0</v>
      </c>
      <c r="M61" s="266"/>
      <c r="N61" s="19">
        <f t="shared" si="67"/>
        <v>180</v>
      </c>
      <c r="O61" s="125"/>
      <c r="P61" s="116"/>
      <c r="Q61" s="116"/>
      <c r="R61" s="116"/>
      <c r="S61" s="123"/>
      <c r="T61" s="123"/>
      <c r="U61" s="1"/>
      <c r="V61" s="1"/>
      <c r="W61" s="1"/>
      <c r="X61" s="1"/>
      <c r="Y61" s="1"/>
      <c r="Z61" s="1"/>
    </row>
    <row r="62" spans="1:26" x14ac:dyDescent="0.4">
      <c r="A62" s="264" t="s">
        <v>401</v>
      </c>
      <c r="B62" s="134">
        <f t="shared" si="63"/>
        <v>0</v>
      </c>
      <c r="C62" s="264"/>
      <c r="D62" s="265">
        <v>1</v>
      </c>
      <c r="E62" s="265">
        <v>1</v>
      </c>
      <c r="F62" s="265">
        <v>1</v>
      </c>
      <c r="G62" s="265">
        <v>1</v>
      </c>
      <c r="H62" s="265">
        <v>1</v>
      </c>
      <c r="I62" s="265">
        <v>1</v>
      </c>
      <c r="J62" s="46">
        <f t="shared" si="64"/>
        <v>6</v>
      </c>
      <c r="K62" s="54">
        <f t="shared" si="65"/>
        <v>0</v>
      </c>
      <c r="L62" s="47">
        <f t="shared" si="66"/>
        <v>0</v>
      </c>
      <c r="M62" s="266"/>
      <c r="N62" s="19">
        <f t="shared" si="67"/>
        <v>180</v>
      </c>
      <c r="O62" s="125"/>
      <c r="P62" s="116"/>
      <c r="Q62" s="116"/>
      <c r="R62" s="116"/>
      <c r="S62" s="123"/>
      <c r="T62" s="123"/>
      <c r="U62" s="1"/>
      <c r="V62" s="1"/>
      <c r="W62" s="1"/>
      <c r="X62" s="1"/>
      <c r="Y62" s="1"/>
      <c r="Z62" s="1"/>
    </row>
    <row r="63" spans="1:26" x14ac:dyDescent="0.4">
      <c r="A63" s="264" t="s">
        <v>402</v>
      </c>
      <c r="B63" s="134">
        <f t="shared" si="63"/>
        <v>0</v>
      </c>
      <c r="C63" s="264"/>
      <c r="D63" s="265">
        <v>1</v>
      </c>
      <c r="E63" s="265">
        <v>1</v>
      </c>
      <c r="F63" s="265">
        <v>1</v>
      </c>
      <c r="G63" s="265">
        <v>1</v>
      </c>
      <c r="H63" s="265">
        <v>1</v>
      </c>
      <c r="I63" s="265">
        <v>1</v>
      </c>
      <c r="J63" s="46">
        <f t="shared" si="64"/>
        <v>6</v>
      </c>
      <c r="K63" s="54">
        <f t="shared" si="65"/>
        <v>0</v>
      </c>
      <c r="L63" s="47">
        <f t="shared" si="66"/>
        <v>0</v>
      </c>
      <c r="M63" s="266"/>
      <c r="N63" s="19">
        <f t="shared" si="67"/>
        <v>180</v>
      </c>
      <c r="O63" s="125"/>
      <c r="P63" s="116"/>
      <c r="Q63" s="116"/>
      <c r="R63" s="116"/>
      <c r="S63" s="123"/>
      <c r="T63" s="123"/>
      <c r="U63" s="1"/>
      <c r="V63" s="1"/>
      <c r="W63" s="1"/>
      <c r="X63" s="1"/>
      <c r="Y63" s="1"/>
      <c r="Z63" s="1"/>
    </row>
    <row r="64" spans="1:26" x14ac:dyDescent="0.4">
      <c r="A64" s="264" t="s">
        <v>403</v>
      </c>
      <c r="B64" s="134">
        <f t="shared" si="63"/>
        <v>0</v>
      </c>
      <c r="C64" s="264"/>
      <c r="D64" s="265">
        <v>1</v>
      </c>
      <c r="E64" s="265">
        <v>1</v>
      </c>
      <c r="F64" s="265">
        <v>1</v>
      </c>
      <c r="G64" s="265">
        <v>1</v>
      </c>
      <c r="H64" s="265">
        <v>1</v>
      </c>
      <c r="I64" s="265">
        <v>1</v>
      </c>
      <c r="J64" s="46">
        <f t="shared" si="64"/>
        <v>6</v>
      </c>
      <c r="K64" s="54">
        <f t="shared" si="65"/>
        <v>0</v>
      </c>
      <c r="L64" s="47">
        <f t="shared" si="66"/>
        <v>0</v>
      </c>
      <c r="M64" s="266"/>
      <c r="N64" s="19">
        <f t="shared" si="67"/>
        <v>180</v>
      </c>
      <c r="O64" s="125"/>
      <c r="P64" s="116"/>
      <c r="Q64" s="116"/>
      <c r="R64" s="116"/>
      <c r="S64" s="123"/>
      <c r="T64" s="123"/>
      <c r="U64" s="1"/>
      <c r="V64" s="1"/>
      <c r="W64" s="1"/>
      <c r="X64" s="1"/>
      <c r="Y64" s="1"/>
      <c r="Z64" s="1"/>
    </row>
    <row r="65" spans="1:26" x14ac:dyDescent="0.4">
      <c r="A65" s="264" t="s">
        <v>404</v>
      </c>
      <c r="B65" s="134">
        <f t="shared" si="63"/>
        <v>0</v>
      </c>
      <c r="C65" s="264"/>
      <c r="D65" s="265">
        <v>1</v>
      </c>
      <c r="E65" s="265">
        <v>1</v>
      </c>
      <c r="F65" s="265">
        <v>1</v>
      </c>
      <c r="G65" s="265">
        <v>1</v>
      </c>
      <c r="H65" s="265">
        <v>1</v>
      </c>
      <c r="I65" s="265">
        <v>1</v>
      </c>
      <c r="J65" s="46">
        <f t="shared" si="64"/>
        <v>6</v>
      </c>
      <c r="K65" s="54">
        <f t="shared" si="65"/>
        <v>0</v>
      </c>
      <c r="L65" s="47">
        <f t="shared" si="66"/>
        <v>0</v>
      </c>
      <c r="M65" s="266"/>
      <c r="N65" s="19">
        <f t="shared" si="67"/>
        <v>180</v>
      </c>
      <c r="O65" s="125"/>
      <c r="P65" s="116"/>
      <c r="Q65" s="116"/>
      <c r="R65" s="116"/>
      <c r="S65" s="123"/>
      <c r="T65" s="123"/>
      <c r="U65" s="1"/>
      <c r="V65" s="1"/>
      <c r="W65" s="1"/>
      <c r="X65" s="1"/>
      <c r="Y65" s="1"/>
      <c r="Z65" s="1"/>
    </row>
    <row r="66" spans="1:26" x14ac:dyDescent="0.4">
      <c r="A66" s="264" t="s">
        <v>405</v>
      </c>
      <c r="B66" s="134">
        <f t="shared" si="63"/>
        <v>0</v>
      </c>
      <c r="C66" s="264"/>
      <c r="D66" s="265">
        <v>1</v>
      </c>
      <c r="E66" s="265">
        <v>1</v>
      </c>
      <c r="F66" s="265">
        <v>1</v>
      </c>
      <c r="G66" s="265">
        <v>1</v>
      </c>
      <c r="H66" s="265">
        <v>1</v>
      </c>
      <c r="I66" s="265">
        <v>1</v>
      </c>
      <c r="J66" s="46">
        <f t="shared" si="64"/>
        <v>6</v>
      </c>
      <c r="K66" s="54">
        <f t="shared" si="65"/>
        <v>0</v>
      </c>
      <c r="L66" s="47">
        <f t="shared" si="66"/>
        <v>0</v>
      </c>
      <c r="M66" s="266"/>
      <c r="N66" s="19">
        <f t="shared" si="67"/>
        <v>180</v>
      </c>
      <c r="O66" s="125"/>
      <c r="P66" s="116"/>
      <c r="Q66" s="116"/>
      <c r="R66" s="116"/>
      <c r="S66" s="123"/>
      <c r="T66" s="123"/>
      <c r="U66" s="1"/>
      <c r="V66" s="1"/>
      <c r="W66" s="1"/>
      <c r="X66" s="1"/>
      <c r="Y66" s="1"/>
      <c r="Z66" s="1"/>
    </row>
    <row r="67" spans="1:26" x14ac:dyDescent="0.4">
      <c r="A67" s="264" t="s">
        <v>406</v>
      </c>
      <c r="B67" s="134">
        <f t="shared" ref="B67:B71" si="68">C67/6</f>
        <v>0</v>
      </c>
      <c r="C67" s="264"/>
      <c r="D67" s="265">
        <v>1</v>
      </c>
      <c r="E67" s="265">
        <v>1</v>
      </c>
      <c r="F67" s="265">
        <v>1</v>
      </c>
      <c r="G67" s="265">
        <v>1</v>
      </c>
      <c r="H67" s="265">
        <v>1</v>
      </c>
      <c r="I67" s="265">
        <v>1</v>
      </c>
      <c r="J67" s="46">
        <f t="shared" ref="J67:J71" si="69">COUNTIF(D67:I67,"1")</f>
        <v>6</v>
      </c>
      <c r="K67" s="54">
        <f t="shared" ref="K67:K71" si="70">J67*(C67/6)</f>
        <v>0</v>
      </c>
      <c r="L67" s="47">
        <f t="shared" ref="L67:L71" si="71">J67*(C67/6)</f>
        <v>0</v>
      </c>
      <c r="M67" s="266"/>
      <c r="N67" s="19">
        <f t="shared" ref="N67:N71" si="72">M67+180</f>
        <v>180</v>
      </c>
      <c r="O67" s="125"/>
      <c r="P67" s="116"/>
      <c r="Q67" s="116"/>
      <c r="R67" s="116"/>
      <c r="S67" s="123"/>
      <c r="T67" s="123"/>
      <c r="U67" s="1"/>
      <c r="V67" s="1"/>
      <c r="W67" s="1"/>
      <c r="X67" s="1"/>
      <c r="Y67" s="1"/>
      <c r="Z67" s="1"/>
    </row>
    <row r="68" spans="1:26" x14ac:dyDescent="0.4">
      <c r="A68" s="264" t="s">
        <v>407</v>
      </c>
      <c r="B68" s="134">
        <f t="shared" si="68"/>
        <v>0</v>
      </c>
      <c r="C68" s="264"/>
      <c r="D68" s="265">
        <v>1</v>
      </c>
      <c r="E68" s="265">
        <v>1</v>
      </c>
      <c r="F68" s="265">
        <v>1</v>
      </c>
      <c r="G68" s="265">
        <v>1</v>
      </c>
      <c r="H68" s="265">
        <v>1</v>
      </c>
      <c r="I68" s="265">
        <v>1</v>
      </c>
      <c r="J68" s="46">
        <f t="shared" si="69"/>
        <v>6</v>
      </c>
      <c r="K68" s="54">
        <f t="shared" si="70"/>
        <v>0</v>
      </c>
      <c r="L68" s="47">
        <f t="shared" si="71"/>
        <v>0</v>
      </c>
      <c r="M68" s="266"/>
      <c r="N68" s="19">
        <f t="shared" si="72"/>
        <v>180</v>
      </c>
      <c r="O68" s="125"/>
      <c r="P68" s="116"/>
      <c r="Q68" s="116"/>
      <c r="R68" s="116"/>
      <c r="S68" s="123"/>
      <c r="T68" s="123"/>
      <c r="U68" s="1"/>
      <c r="V68" s="1"/>
      <c r="W68" s="1"/>
      <c r="X68" s="1"/>
      <c r="Y68" s="1"/>
      <c r="Z68" s="1"/>
    </row>
    <row r="69" spans="1:26" x14ac:dyDescent="0.4">
      <c r="A69" s="264" t="s">
        <v>408</v>
      </c>
      <c r="B69" s="134">
        <f t="shared" si="68"/>
        <v>0</v>
      </c>
      <c r="C69" s="264"/>
      <c r="D69" s="265">
        <v>1</v>
      </c>
      <c r="E69" s="265">
        <v>1</v>
      </c>
      <c r="F69" s="265">
        <v>1</v>
      </c>
      <c r="G69" s="265">
        <v>1</v>
      </c>
      <c r="H69" s="265">
        <v>1</v>
      </c>
      <c r="I69" s="265">
        <v>1</v>
      </c>
      <c r="J69" s="46">
        <f t="shared" si="69"/>
        <v>6</v>
      </c>
      <c r="K69" s="54">
        <f t="shared" si="70"/>
        <v>0</v>
      </c>
      <c r="L69" s="47">
        <f t="shared" si="71"/>
        <v>0</v>
      </c>
      <c r="M69" s="266"/>
      <c r="N69" s="19">
        <f t="shared" si="72"/>
        <v>180</v>
      </c>
      <c r="O69" s="125"/>
      <c r="P69" s="116"/>
      <c r="Q69" s="116"/>
      <c r="R69" s="116"/>
      <c r="S69" s="123"/>
      <c r="T69" s="123"/>
      <c r="U69" s="1"/>
      <c r="V69" s="1"/>
      <c r="W69" s="1"/>
      <c r="X69" s="1"/>
      <c r="Y69" s="1"/>
      <c r="Z69" s="1"/>
    </row>
    <row r="70" spans="1:26" x14ac:dyDescent="0.4">
      <c r="A70" s="264" t="s">
        <v>409</v>
      </c>
      <c r="B70" s="134">
        <f t="shared" si="68"/>
        <v>0</v>
      </c>
      <c r="C70" s="264"/>
      <c r="D70" s="265">
        <v>1</v>
      </c>
      <c r="E70" s="265">
        <v>1</v>
      </c>
      <c r="F70" s="265">
        <v>1</v>
      </c>
      <c r="G70" s="265">
        <v>1</v>
      </c>
      <c r="H70" s="265">
        <v>1</v>
      </c>
      <c r="I70" s="265">
        <v>1</v>
      </c>
      <c r="J70" s="46">
        <f t="shared" si="69"/>
        <v>6</v>
      </c>
      <c r="K70" s="54">
        <f t="shared" si="70"/>
        <v>0</v>
      </c>
      <c r="L70" s="47">
        <f t="shared" si="71"/>
        <v>0</v>
      </c>
      <c r="M70" s="266"/>
      <c r="N70" s="19">
        <f t="shared" si="72"/>
        <v>180</v>
      </c>
      <c r="O70" s="125"/>
      <c r="P70" s="116"/>
      <c r="Q70" s="116"/>
      <c r="R70" s="116"/>
      <c r="S70" s="123"/>
      <c r="T70" s="123"/>
      <c r="U70" s="1"/>
      <c r="V70" s="1"/>
      <c r="W70" s="1"/>
      <c r="X70" s="1"/>
      <c r="Y70" s="1"/>
      <c r="Z70" s="1"/>
    </row>
    <row r="71" spans="1:26" x14ac:dyDescent="0.4">
      <c r="A71" s="264" t="s">
        <v>410</v>
      </c>
      <c r="B71" s="134">
        <f t="shared" si="68"/>
        <v>0</v>
      </c>
      <c r="C71" s="264"/>
      <c r="D71" s="265">
        <v>1</v>
      </c>
      <c r="E71" s="265">
        <v>1</v>
      </c>
      <c r="F71" s="265">
        <v>1</v>
      </c>
      <c r="G71" s="265">
        <v>1</v>
      </c>
      <c r="H71" s="265">
        <v>1</v>
      </c>
      <c r="I71" s="265">
        <v>1</v>
      </c>
      <c r="J71" s="46">
        <f t="shared" si="69"/>
        <v>6</v>
      </c>
      <c r="K71" s="54">
        <f t="shared" si="70"/>
        <v>0</v>
      </c>
      <c r="L71" s="47">
        <f t="shared" si="71"/>
        <v>0</v>
      </c>
      <c r="M71" s="266"/>
      <c r="N71" s="19">
        <f t="shared" si="72"/>
        <v>180</v>
      </c>
      <c r="O71" s="125"/>
      <c r="P71" s="116"/>
      <c r="Q71" s="116"/>
      <c r="R71" s="116"/>
      <c r="S71" s="123"/>
      <c r="T71" s="123"/>
      <c r="U71" s="1"/>
      <c r="V71" s="1"/>
      <c r="W71" s="1"/>
      <c r="X71" s="1"/>
      <c r="Y71" s="1"/>
      <c r="Z71" s="1"/>
    </row>
    <row r="72" spans="1:26" x14ac:dyDescent="0.4">
      <c r="A72" s="1"/>
      <c r="B72" s="1"/>
      <c r="C72" s="1"/>
      <c r="D72" s="2"/>
      <c r="E72" s="2"/>
      <c r="F72" s="2"/>
      <c r="G72" s="2"/>
      <c r="H72" s="2"/>
      <c r="I72" s="2"/>
      <c r="J72" s="3"/>
      <c r="K72" s="3"/>
      <c r="L72" s="2"/>
      <c r="M72" s="4"/>
      <c r="N72" s="4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4">
      <c r="A73" s="1"/>
      <c r="B73" s="1"/>
      <c r="C73" s="1"/>
      <c r="D73" s="2"/>
      <c r="E73" s="2"/>
      <c r="F73" s="2"/>
      <c r="G73" s="2"/>
      <c r="H73" s="2"/>
      <c r="I73" s="2"/>
      <c r="J73" s="3"/>
      <c r="K73" s="3"/>
      <c r="L73" s="2"/>
      <c r="M73" s="4"/>
      <c r="N73" s="4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4">
      <c r="A74" s="1"/>
      <c r="B74" s="1"/>
      <c r="C74" s="1"/>
      <c r="D74" s="2"/>
      <c r="E74" s="2"/>
      <c r="F74" s="2"/>
      <c r="G74" s="2"/>
      <c r="H74" s="2"/>
      <c r="I74" s="2"/>
      <c r="J74" s="3"/>
      <c r="K74" s="3"/>
      <c r="L74" s="2"/>
      <c r="M74" s="4"/>
      <c r="N74" s="4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4">
      <c r="A75" s="1"/>
      <c r="B75" s="1"/>
      <c r="C75" s="1"/>
      <c r="D75" s="2"/>
      <c r="E75" s="2"/>
      <c r="F75" s="2"/>
      <c r="G75" s="2"/>
      <c r="H75" s="2"/>
      <c r="I75" s="2"/>
      <c r="J75" s="3"/>
      <c r="K75" s="3"/>
      <c r="L75" s="2"/>
      <c r="M75" s="4"/>
      <c r="N75" s="4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4">
      <c r="A76" s="1"/>
      <c r="B76" s="1"/>
      <c r="C76" s="1"/>
      <c r="D76" s="2"/>
      <c r="E76" s="2"/>
      <c r="F76" s="2"/>
      <c r="G76" s="2"/>
      <c r="H76" s="2"/>
      <c r="I76" s="2"/>
      <c r="J76" s="3"/>
      <c r="K76" s="3"/>
      <c r="L76" s="2"/>
      <c r="M76" s="4"/>
      <c r="N76" s="4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4">
      <c r="A77" s="1"/>
      <c r="B77" s="1"/>
      <c r="C77" s="1"/>
      <c r="D77" s="2"/>
      <c r="E77" s="2"/>
      <c r="F77" s="2"/>
      <c r="G77" s="2"/>
      <c r="H77" s="2"/>
      <c r="I77" s="2"/>
      <c r="J77" s="3"/>
      <c r="K77" s="3"/>
      <c r="L77" s="2"/>
      <c r="M77" s="4"/>
      <c r="N77" s="4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4">
      <c r="A78" s="286"/>
      <c r="B78" s="279"/>
      <c r="C78" s="279"/>
      <c r="D78" s="2"/>
      <c r="E78" s="2"/>
      <c r="F78" s="2"/>
      <c r="G78" s="2"/>
      <c r="H78" s="2"/>
      <c r="I78" s="2"/>
      <c r="J78" s="287"/>
      <c r="K78" s="287"/>
      <c r="L78" s="287"/>
      <c r="M78" s="288"/>
      <c r="N78" s="288"/>
      <c r="O78" s="289"/>
      <c r="P78" s="289"/>
      <c r="Q78" s="289"/>
      <c r="R78" s="289"/>
      <c r="S78" s="289"/>
      <c r="T78" s="289"/>
      <c r="U78" s="289"/>
      <c r="V78" s="289"/>
      <c r="W78" s="1"/>
      <c r="X78" s="1"/>
      <c r="Y78" s="1"/>
      <c r="Z78" s="1"/>
    </row>
    <row r="79" spans="1:26" x14ac:dyDescent="0.4">
      <c r="A79" s="286"/>
      <c r="B79" s="279"/>
      <c r="C79" s="279"/>
      <c r="D79" s="2"/>
      <c r="E79" s="2"/>
      <c r="F79" s="2"/>
      <c r="G79" s="2"/>
      <c r="H79" s="2"/>
      <c r="I79" s="2"/>
      <c r="J79" s="287"/>
      <c r="K79" s="287"/>
      <c r="L79" s="287"/>
      <c r="M79" s="288"/>
      <c r="N79" s="288"/>
      <c r="O79" s="289"/>
      <c r="P79" s="289"/>
      <c r="Q79" s="289"/>
      <c r="R79" s="289"/>
      <c r="S79" s="289"/>
      <c r="T79" s="289"/>
      <c r="U79" s="289"/>
      <c r="V79" s="289"/>
      <c r="W79" s="1"/>
      <c r="X79" s="1"/>
      <c r="Y79" s="1"/>
      <c r="Z79" s="1"/>
    </row>
    <row r="80" spans="1:26" x14ac:dyDescent="0.4">
      <c r="A80" s="1"/>
      <c r="B80" s="1"/>
      <c r="C80" s="1"/>
      <c r="D80" s="2"/>
      <c r="E80" s="2"/>
      <c r="F80" s="2"/>
      <c r="G80" s="2"/>
      <c r="H80" s="2"/>
      <c r="I80" s="2"/>
      <c r="J80" s="3"/>
      <c r="K80" s="3"/>
      <c r="L80" s="2"/>
      <c r="M80" s="4"/>
      <c r="N80" s="4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4">
      <c r="A81" s="1"/>
      <c r="B81" s="1"/>
      <c r="C81" s="1"/>
      <c r="D81" s="2"/>
      <c r="E81" s="2"/>
      <c r="F81" s="2"/>
      <c r="G81" s="2"/>
      <c r="H81" s="2"/>
      <c r="I81" s="2"/>
      <c r="J81" s="3"/>
      <c r="K81" s="3"/>
      <c r="L81" s="2"/>
      <c r="M81" s="4"/>
      <c r="N81" s="4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4">
      <c r="A82" s="1"/>
      <c r="B82" s="1"/>
      <c r="C82" s="1"/>
      <c r="D82" s="2"/>
      <c r="E82" s="2"/>
      <c r="F82" s="2"/>
      <c r="G82" s="2"/>
      <c r="H82" s="2"/>
      <c r="I82" s="2"/>
      <c r="J82" s="3"/>
      <c r="K82" s="3"/>
      <c r="L82" s="2"/>
      <c r="M82" s="4"/>
      <c r="N82" s="4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4">
      <c r="A83" s="1"/>
      <c r="B83" s="1"/>
      <c r="C83" s="1"/>
      <c r="D83" s="2"/>
      <c r="E83" s="2"/>
      <c r="F83" s="2"/>
      <c r="G83" s="2"/>
      <c r="H83" s="2"/>
      <c r="I83" s="2"/>
      <c r="J83" s="3"/>
      <c r="K83" s="3"/>
      <c r="L83" s="2"/>
      <c r="M83" s="4"/>
      <c r="N83" s="4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4">
      <c r="A84" s="1"/>
      <c r="B84" s="1"/>
      <c r="C84" s="1"/>
      <c r="D84" s="2"/>
      <c r="E84" s="2"/>
      <c r="F84" s="2"/>
      <c r="G84" s="2"/>
      <c r="H84" s="2"/>
      <c r="I84" s="2"/>
      <c r="J84" s="3"/>
      <c r="K84" s="3"/>
      <c r="L84" s="2"/>
      <c r="M84" s="4"/>
      <c r="N84" s="4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4">
      <c r="A85" s="1"/>
      <c r="B85" s="1"/>
      <c r="C85" s="1"/>
      <c r="D85" s="2"/>
      <c r="E85" s="2"/>
      <c r="F85" s="2"/>
      <c r="G85" s="2"/>
      <c r="H85" s="2"/>
      <c r="I85" s="2"/>
      <c r="J85" s="3"/>
      <c r="K85" s="3"/>
      <c r="L85" s="2"/>
      <c r="M85" s="4"/>
      <c r="N85" s="4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4">
      <c r="A86" s="1"/>
      <c r="B86" s="1"/>
      <c r="C86" s="1"/>
      <c r="D86" s="2"/>
      <c r="E86" s="2"/>
      <c r="F86" s="2"/>
      <c r="G86" s="2"/>
      <c r="H86" s="2"/>
      <c r="I86" s="2"/>
      <c r="J86" s="3"/>
      <c r="K86" s="3"/>
      <c r="L86" s="2"/>
      <c r="M86" s="4"/>
      <c r="N86" s="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4">
      <c r="A87" s="1"/>
      <c r="B87" s="1"/>
      <c r="C87" s="1"/>
      <c r="D87" s="2"/>
      <c r="E87" s="2"/>
      <c r="F87" s="2"/>
      <c r="G87" s="2"/>
      <c r="H87" s="2"/>
      <c r="I87" s="2"/>
      <c r="J87" s="3"/>
      <c r="K87" s="3"/>
      <c r="L87" s="2"/>
      <c r="M87" s="4"/>
      <c r="N87" s="4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4">
      <c r="A88" s="1"/>
      <c r="B88" s="1"/>
      <c r="C88" s="1"/>
      <c r="D88" s="2"/>
      <c r="E88" s="2"/>
      <c r="F88" s="2"/>
      <c r="G88" s="2"/>
      <c r="H88" s="2"/>
      <c r="I88" s="2"/>
      <c r="J88" s="3"/>
      <c r="K88" s="3"/>
      <c r="L88" s="2"/>
      <c r="M88" s="4"/>
      <c r="N88" s="4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4">
      <c r="A89" s="1"/>
      <c r="B89" s="1"/>
      <c r="C89" s="1"/>
      <c r="D89" s="2"/>
      <c r="E89" s="2"/>
      <c r="F89" s="2"/>
      <c r="G89" s="2"/>
      <c r="H89" s="2"/>
      <c r="I89" s="2"/>
      <c r="J89" s="3"/>
      <c r="K89" s="3"/>
      <c r="L89" s="2"/>
      <c r="M89" s="4"/>
      <c r="N89" s="4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4">
      <c r="A90" s="1"/>
      <c r="B90" s="1"/>
      <c r="C90" s="1"/>
      <c r="D90" s="2"/>
      <c r="E90" s="2"/>
      <c r="F90" s="2"/>
      <c r="G90" s="2"/>
      <c r="H90" s="2"/>
      <c r="I90" s="2"/>
      <c r="J90" s="3"/>
      <c r="K90" s="3"/>
      <c r="L90" s="2"/>
      <c r="M90" s="4"/>
      <c r="N90" s="4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4">
      <c r="A91" s="1"/>
      <c r="B91" s="1"/>
      <c r="C91" s="1"/>
      <c r="D91" s="2"/>
      <c r="E91" s="2"/>
      <c r="F91" s="2"/>
      <c r="G91" s="2"/>
      <c r="H91" s="2"/>
      <c r="I91" s="2"/>
      <c r="J91" s="3"/>
      <c r="K91" s="3"/>
      <c r="L91" s="2"/>
      <c r="M91" s="4"/>
      <c r="N91" s="4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4">
      <c r="A92" s="1"/>
      <c r="B92" s="1"/>
      <c r="C92" s="1"/>
      <c r="D92" s="2"/>
      <c r="E92" s="2"/>
      <c r="F92" s="2"/>
      <c r="G92" s="2"/>
      <c r="H92" s="2"/>
      <c r="I92" s="2"/>
      <c r="J92" s="3"/>
      <c r="K92" s="3"/>
      <c r="L92" s="2"/>
      <c r="M92" s="4"/>
      <c r="N92" s="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4">
      <c r="A93" s="1"/>
      <c r="B93" s="1"/>
      <c r="C93" s="1"/>
      <c r="D93" s="2"/>
      <c r="E93" s="2"/>
      <c r="F93" s="2"/>
      <c r="G93" s="2"/>
      <c r="H93" s="2"/>
      <c r="I93" s="2"/>
      <c r="J93" s="3"/>
      <c r="K93" s="3"/>
      <c r="L93" s="2"/>
      <c r="M93" s="4"/>
      <c r="N93" s="4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4">
      <c r="A94" s="1"/>
      <c r="B94" s="1"/>
      <c r="C94" s="1"/>
      <c r="D94" s="2"/>
      <c r="E94" s="2"/>
      <c r="F94" s="2"/>
      <c r="G94" s="2"/>
      <c r="H94" s="2"/>
      <c r="I94" s="2"/>
      <c r="J94" s="3"/>
      <c r="K94" s="3"/>
      <c r="L94" s="2"/>
      <c r="M94" s="4"/>
      <c r="N94" s="4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4">
      <c r="A95" s="1"/>
      <c r="B95" s="1"/>
      <c r="C95" s="1"/>
      <c r="D95" s="2"/>
      <c r="E95" s="2"/>
      <c r="F95" s="2"/>
      <c r="G95" s="2"/>
      <c r="H95" s="2"/>
      <c r="I95" s="2"/>
      <c r="J95" s="3"/>
      <c r="K95" s="3"/>
      <c r="L95" s="2"/>
      <c r="M95" s="4"/>
      <c r="N95" s="4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4">
      <c r="A96" s="1"/>
      <c r="B96" s="1"/>
      <c r="C96" s="1"/>
      <c r="D96" s="2"/>
      <c r="E96" s="2"/>
      <c r="F96" s="2"/>
      <c r="G96" s="2"/>
      <c r="H96" s="2"/>
      <c r="I96" s="2"/>
      <c r="J96" s="3"/>
      <c r="K96" s="3"/>
      <c r="L96" s="2"/>
      <c r="M96" s="4"/>
      <c r="N96" s="4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4">
      <c r="A97" s="1"/>
      <c r="B97" s="1"/>
      <c r="C97" s="1"/>
      <c r="D97" s="2"/>
      <c r="E97" s="2"/>
      <c r="F97" s="2"/>
      <c r="G97" s="2"/>
      <c r="H97" s="2"/>
      <c r="I97" s="2"/>
      <c r="J97" s="3"/>
      <c r="K97" s="3"/>
      <c r="L97" s="2"/>
      <c r="M97" s="4"/>
      <c r="N97" s="4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4">
      <c r="A98" s="1"/>
      <c r="B98" s="1"/>
      <c r="C98" s="1"/>
      <c r="D98" s="2"/>
      <c r="E98" s="2"/>
      <c r="F98" s="2"/>
      <c r="G98" s="2"/>
      <c r="H98" s="2"/>
      <c r="I98" s="2"/>
      <c r="J98" s="3"/>
      <c r="K98" s="3"/>
      <c r="L98" s="2"/>
      <c r="M98" s="4"/>
      <c r="N98" s="4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4">
      <c r="A99" s="1"/>
      <c r="B99" s="1"/>
      <c r="C99" s="1"/>
      <c r="D99" s="2"/>
      <c r="E99" s="2"/>
      <c r="F99" s="2"/>
      <c r="G99" s="2"/>
      <c r="H99" s="2"/>
      <c r="I99" s="2"/>
      <c r="J99" s="3"/>
      <c r="K99" s="3"/>
      <c r="L99" s="2"/>
      <c r="M99" s="4"/>
      <c r="N99" s="4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4">
      <c r="A100" s="1"/>
      <c r="B100" s="1"/>
      <c r="C100" s="1"/>
      <c r="D100" s="2"/>
      <c r="E100" s="2"/>
      <c r="F100" s="2"/>
      <c r="G100" s="2"/>
      <c r="H100" s="2"/>
      <c r="I100" s="2"/>
      <c r="J100" s="3"/>
      <c r="K100" s="3"/>
      <c r="L100" s="2"/>
      <c r="M100" s="4"/>
      <c r="N100" s="4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4">
      <c r="A101" s="1"/>
      <c r="B101" s="1"/>
      <c r="C101" s="1"/>
      <c r="D101" s="2"/>
      <c r="E101" s="2"/>
      <c r="F101" s="2"/>
      <c r="G101" s="2"/>
      <c r="H101" s="2"/>
      <c r="I101" s="2"/>
      <c r="J101" s="3"/>
      <c r="K101" s="3"/>
      <c r="L101" s="2"/>
      <c r="M101" s="4"/>
      <c r="N101" s="4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4">
      <c r="A102" s="1"/>
      <c r="B102" s="1"/>
      <c r="C102" s="1"/>
      <c r="D102" s="2"/>
      <c r="E102" s="2"/>
      <c r="F102" s="2"/>
      <c r="G102" s="2"/>
      <c r="H102" s="2"/>
      <c r="I102" s="2"/>
      <c r="J102" s="3"/>
      <c r="K102" s="3"/>
      <c r="L102" s="2"/>
      <c r="M102" s="4"/>
      <c r="N102" s="4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4">
      <c r="A103" s="1"/>
      <c r="B103" s="1"/>
      <c r="C103" s="1"/>
      <c r="D103" s="2"/>
      <c r="E103" s="2"/>
      <c r="F103" s="2"/>
      <c r="G103" s="2"/>
      <c r="H103" s="2"/>
      <c r="I103" s="2"/>
      <c r="J103" s="3"/>
      <c r="K103" s="3"/>
      <c r="L103" s="2"/>
      <c r="M103" s="4"/>
      <c r="N103" s="4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4">
      <c r="A104" s="1"/>
      <c r="B104" s="1"/>
      <c r="C104" s="1"/>
      <c r="D104" s="2"/>
      <c r="E104" s="2"/>
      <c r="F104" s="2"/>
      <c r="G104" s="2"/>
      <c r="H104" s="2"/>
      <c r="I104" s="2"/>
      <c r="J104" s="3"/>
      <c r="K104" s="3"/>
      <c r="L104" s="2"/>
      <c r="M104" s="4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4">
      <c r="A105" s="1"/>
      <c r="B105" s="1"/>
      <c r="C105" s="1"/>
      <c r="D105" s="2"/>
      <c r="E105" s="2"/>
      <c r="F105" s="2"/>
      <c r="G105" s="2"/>
      <c r="H105" s="2"/>
      <c r="I105" s="2"/>
      <c r="J105" s="3"/>
      <c r="K105" s="3"/>
      <c r="L105" s="2"/>
      <c r="M105" s="4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4">
      <c r="A106" s="1"/>
      <c r="B106" s="1"/>
      <c r="C106" s="1"/>
      <c r="D106" s="2"/>
      <c r="E106" s="2"/>
      <c r="F106" s="2"/>
      <c r="G106" s="2"/>
      <c r="H106" s="2"/>
      <c r="I106" s="2"/>
      <c r="J106" s="3"/>
      <c r="K106" s="3"/>
      <c r="L106" s="2"/>
      <c r="M106" s="4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4">
      <c r="A107" s="1"/>
      <c r="B107" s="1"/>
      <c r="C107" s="1"/>
      <c r="D107" s="2"/>
      <c r="E107" s="2"/>
      <c r="F107" s="2"/>
      <c r="G107" s="2"/>
      <c r="H107" s="2"/>
      <c r="I107" s="2"/>
      <c r="J107" s="3"/>
      <c r="K107" s="3"/>
      <c r="L107" s="2"/>
      <c r="M107" s="4"/>
      <c r="N107" s="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4">
      <c r="A108" s="1"/>
      <c r="B108" s="1"/>
      <c r="C108" s="1"/>
      <c r="D108" s="2"/>
      <c r="E108" s="2"/>
      <c r="F108" s="2"/>
      <c r="G108" s="2"/>
      <c r="H108" s="2"/>
      <c r="I108" s="2"/>
      <c r="J108" s="3"/>
      <c r="K108" s="3"/>
      <c r="L108" s="2"/>
      <c r="M108" s="4"/>
      <c r="N108" s="4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4">
      <c r="A109" s="1"/>
      <c r="B109" s="1"/>
      <c r="C109" s="1"/>
      <c r="D109" s="2"/>
      <c r="E109" s="2"/>
      <c r="F109" s="2"/>
      <c r="G109" s="2"/>
      <c r="H109" s="2"/>
      <c r="I109" s="2"/>
      <c r="J109" s="3"/>
      <c r="K109" s="3"/>
      <c r="L109" s="2"/>
      <c r="M109" s="4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4">
      <c r="A110" s="1"/>
      <c r="B110" s="1"/>
      <c r="C110" s="1"/>
      <c r="D110" s="2"/>
      <c r="E110" s="2"/>
      <c r="F110" s="2"/>
      <c r="G110" s="2"/>
      <c r="H110" s="2"/>
      <c r="I110" s="2"/>
      <c r="J110" s="3"/>
      <c r="K110" s="3"/>
      <c r="L110" s="2"/>
      <c r="M110" s="4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4">
      <c r="A111" s="1"/>
      <c r="B111" s="1"/>
      <c r="C111" s="1"/>
      <c r="D111" s="2"/>
      <c r="E111" s="2"/>
      <c r="F111" s="2"/>
      <c r="G111" s="2"/>
      <c r="H111" s="2"/>
      <c r="I111" s="2"/>
      <c r="J111" s="3"/>
      <c r="K111" s="3"/>
      <c r="L111" s="2"/>
      <c r="M111" s="4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4">
      <c r="A112" s="1"/>
      <c r="B112" s="1"/>
      <c r="C112" s="1"/>
      <c r="D112" s="2"/>
      <c r="E112" s="2"/>
      <c r="F112" s="2"/>
      <c r="G112" s="2"/>
      <c r="H112" s="2"/>
      <c r="I112" s="2"/>
      <c r="J112" s="3"/>
      <c r="K112" s="3"/>
      <c r="L112" s="2"/>
      <c r="M112" s="4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4">
      <c r="A113" s="1"/>
      <c r="B113" s="1"/>
      <c r="C113" s="1"/>
      <c r="D113" s="2"/>
      <c r="E113" s="2"/>
      <c r="F113" s="2"/>
      <c r="G113" s="2"/>
      <c r="H113" s="2"/>
      <c r="I113" s="2"/>
      <c r="J113" s="3"/>
      <c r="K113" s="3"/>
      <c r="L113" s="2"/>
      <c r="M113" s="4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4">
      <c r="A114" s="1"/>
      <c r="B114" s="1"/>
      <c r="C114" s="1"/>
      <c r="D114" s="2"/>
      <c r="E114" s="2"/>
      <c r="F114" s="2"/>
      <c r="G114" s="2"/>
      <c r="H114" s="2"/>
      <c r="I114" s="2"/>
      <c r="J114" s="3"/>
      <c r="K114" s="3"/>
      <c r="L114" s="2"/>
      <c r="M114" s="4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4">
      <c r="A115" s="1"/>
      <c r="B115" s="1"/>
      <c r="C115" s="1"/>
      <c r="D115" s="2"/>
      <c r="E115" s="2"/>
      <c r="F115" s="2"/>
      <c r="G115" s="2"/>
      <c r="H115" s="2"/>
      <c r="I115" s="2"/>
      <c r="J115" s="3"/>
      <c r="K115" s="3"/>
      <c r="L115" s="2"/>
      <c r="M115" s="4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4">
      <c r="A116" s="1"/>
      <c r="B116" s="1"/>
      <c r="C116" s="1"/>
      <c r="D116" s="2"/>
      <c r="E116" s="2"/>
      <c r="F116" s="2"/>
      <c r="G116" s="2"/>
      <c r="H116" s="2"/>
      <c r="I116" s="2"/>
      <c r="J116" s="3"/>
      <c r="K116" s="3"/>
      <c r="L116" s="2"/>
      <c r="M116" s="4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4">
      <c r="A117" s="1"/>
      <c r="B117" s="1"/>
      <c r="C117" s="1"/>
      <c r="D117" s="2"/>
      <c r="E117" s="2"/>
      <c r="F117" s="2"/>
      <c r="G117" s="2"/>
      <c r="H117" s="2"/>
      <c r="I117" s="2"/>
      <c r="J117" s="3"/>
      <c r="K117" s="3"/>
      <c r="L117" s="2"/>
      <c r="M117" s="4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4">
      <c r="A118" s="1"/>
      <c r="B118" s="1"/>
      <c r="C118" s="1"/>
      <c r="D118" s="2"/>
      <c r="E118" s="2"/>
      <c r="F118" s="2"/>
      <c r="G118" s="2"/>
      <c r="H118" s="2"/>
      <c r="I118" s="2"/>
      <c r="J118" s="3"/>
      <c r="K118" s="3"/>
      <c r="L118" s="2"/>
      <c r="M118" s="4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4">
      <c r="A119" s="1"/>
      <c r="B119" s="1"/>
      <c r="C119" s="1"/>
      <c r="D119" s="2"/>
      <c r="E119" s="2"/>
      <c r="F119" s="2"/>
      <c r="G119" s="2"/>
      <c r="H119" s="2"/>
      <c r="I119" s="2"/>
      <c r="J119" s="3"/>
      <c r="K119" s="3"/>
      <c r="L119" s="2"/>
      <c r="M119" s="4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4">
      <c r="A120" s="1"/>
      <c r="B120" s="1"/>
      <c r="C120" s="1"/>
      <c r="D120" s="2"/>
      <c r="E120" s="2"/>
      <c r="F120" s="2"/>
      <c r="G120" s="2"/>
      <c r="H120" s="2"/>
      <c r="I120" s="2"/>
      <c r="J120" s="3"/>
      <c r="K120" s="3"/>
      <c r="L120" s="2"/>
      <c r="M120" s="4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4">
      <c r="A121" s="1"/>
      <c r="B121" s="1"/>
      <c r="C121" s="1"/>
      <c r="D121" s="2"/>
      <c r="E121" s="2"/>
      <c r="F121" s="2"/>
      <c r="G121" s="2"/>
      <c r="H121" s="2"/>
      <c r="I121" s="2"/>
      <c r="J121" s="3"/>
      <c r="K121" s="3"/>
      <c r="L121" s="2"/>
      <c r="M121" s="4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4">
      <c r="A122" s="1"/>
      <c r="B122" s="1"/>
      <c r="C122" s="1"/>
      <c r="D122" s="2"/>
      <c r="E122" s="2"/>
      <c r="F122" s="2"/>
      <c r="G122" s="2"/>
      <c r="H122" s="2"/>
      <c r="I122" s="2"/>
      <c r="J122" s="3"/>
      <c r="K122" s="3"/>
      <c r="L122" s="2"/>
      <c r="M122" s="4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4">
      <c r="A123" s="1"/>
      <c r="B123" s="1"/>
      <c r="C123" s="1"/>
      <c r="D123" s="2"/>
      <c r="E123" s="2"/>
      <c r="F123" s="2"/>
      <c r="G123" s="2"/>
      <c r="H123" s="2"/>
      <c r="I123" s="2"/>
      <c r="J123" s="3"/>
      <c r="K123" s="3"/>
      <c r="L123" s="2"/>
      <c r="M123" s="4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4">
      <c r="A124" s="1"/>
      <c r="B124" s="1"/>
      <c r="C124" s="1"/>
      <c r="D124" s="2"/>
      <c r="E124" s="2"/>
      <c r="F124" s="2"/>
      <c r="G124" s="2"/>
      <c r="H124" s="2"/>
      <c r="I124" s="2"/>
      <c r="J124" s="3"/>
      <c r="K124" s="3"/>
      <c r="L124" s="2"/>
      <c r="M124" s="4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4">
      <c r="A125" s="1"/>
      <c r="B125" s="1"/>
      <c r="C125" s="1"/>
      <c r="D125" s="2"/>
      <c r="E125" s="2"/>
      <c r="F125" s="2"/>
      <c r="G125" s="2"/>
      <c r="H125" s="2"/>
      <c r="I125" s="2"/>
      <c r="J125" s="3"/>
      <c r="K125" s="3"/>
      <c r="L125" s="2"/>
      <c r="M125" s="4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4">
      <c r="A126" s="1"/>
      <c r="B126" s="1"/>
      <c r="C126" s="1"/>
      <c r="D126" s="2"/>
      <c r="E126" s="2"/>
      <c r="F126" s="2"/>
      <c r="G126" s="2"/>
      <c r="H126" s="2"/>
      <c r="I126" s="2"/>
      <c r="J126" s="3"/>
      <c r="K126" s="3"/>
      <c r="L126" s="2"/>
      <c r="M126" s="4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4">
      <c r="A127" s="1"/>
      <c r="B127" s="1"/>
      <c r="C127" s="1"/>
      <c r="D127" s="2"/>
      <c r="E127" s="2"/>
      <c r="F127" s="2"/>
      <c r="G127" s="2"/>
      <c r="H127" s="2"/>
      <c r="I127" s="2"/>
      <c r="J127" s="3"/>
      <c r="K127" s="3"/>
      <c r="L127" s="2"/>
      <c r="M127" s="4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4">
      <c r="A128" s="1"/>
      <c r="B128" s="1"/>
      <c r="C128" s="1"/>
      <c r="D128" s="2"/>
      <c r="E128" s="2"/>
      <c r="F128" s="2"/>
      <c r="G128" s="2"/>
      <c r="H128" s="2"/>
      <c r="I128" s="2"/>
      <c r="J128" s="3"/>
      <c r="K128" s="3"/>
      <c r="L128" s="2"/>
      <c r="M128" s="4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4">
      <c r="A129" s="1"/>
      <c r="B129" s="1"/>
      <c r="C129" s="1"/>
      <c r="D129" s="2"/>
      <c r="E129" s="2"/>
      <c r="F129" s="2"/>
      <c r="G129" s="2"/>
      <c r="H129" s="2"/>
      <c r="I129" s="2"/>
      <c r="J129" s="3"/>
      <c r="K129" s="3"/>
      <c r="L129" s="2"/>
      <c r="M129" s="4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4">
      <c r="A130" s="1"/>
      <c r="B130" s="1"/>
      <c r="C130" s="1"/>
      <c r="D130" s="2"/>
      <c r="E130" s="2"/>
      <c r="F130" s="2"/>
      <c r="G130" s="2"/>
      <c r="H130" s="2"/>
      <c r="I130" s="2"/>
      <c r="J130" s="3"/>
      <c r="K130" s="3"/>
      <c r="L130" s="2"/>
      <c r="M130" s="4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4">
      <c r="A131" s="1"/>
      <c r="B131" s="1"/>
      <c r="C131" s="1"/>
      <c r="D131" s="2"/>
      <c r="E131" s="2"/>
      <c r="F131" s="2"/>
      <c r="G131" s="2"/>
      <c r="H131" s="2"/>
      <c r="I131" s="2"/>
      <c r="J131" s="3"/>
      <c r="K131" s="3"/>
      <c r="L131" s="2"/>
      <c r="M131" s="4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4">
      <c r="A132" s="1"/>
      <c r="B132" s="1"/>
      <c r="C132" s="1"/>
      <c r="D132" s="2"/>
      <c r="E132" s="2"/>
      <c r="F132" s="2"/>
      <c r="G132" s="2"/>
      <c r="H132" s="2"/>
      <c r="I132" s="2"/>
      <c r="J132" s="3"/>
      <c r="K132" s="3"/>
      <c r="L132" s="2"/>
      <c r="M132" s="4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4">
      <c r="A133" s="1"/>
      <c r="B133" s="1"/>
      <c r="C133" s="1"/>
      <c r="D133" s="2"/>
      <c r="E133" s="2"/>
      <c r="F133" s="2"/>
      <c r="G133" s="2"/>
      <c r="H133" s="2"/>
      <c r="I133" s="2"/>
      <c r="J133" s="3"/>
      <c r="K133" s="3"/>
      <c r="L133" s="2"/>
      <c r="M133" s="4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4">
      <c r="A134" s="1"/>
      <c r="B134" s="1"/>
      <c r="C134" s="1"/>
      <c r="D134" s="2"/>
      <c r="E134" s="2"/>
      <c r="F134" s="2"/>
      <c r="G134" s="2"/>
      <c r="H134" s="2"/>
      <c r="I134" s="2"/>
      <c r="J134" s="3"/>
      <c r="K134" s="3"/>
      <c r="L134" s="2"/>
      <c r="M134" s="4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4">
      <c r="A135" s="1"/>
      <c r="B135" s="1"/>
      <c r="C135" s="1"/>
      <c r="D135" s="2"/>
      <c r="E135" s="2"/>
      <c r="F135" s="2"/>
      <c r="G135" s="2"/>
      <c r="H135" s="2"/>
      <c r="I135" s="2"/>
      <c r="J135" s="3"/>
      <c r="K135" s="3"/>
      <c r="L135" s="2"/>
      <c r="M135" s="4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4">
      <c r="A136" s="1"/>
      <c r="B136" s="1"/>
      <c r="C136" s="1"/>
      <c r="D136" s="2"/>
      <c r="E136" s="2"/>
      <c r="F136" s="2"/>
      <c r="G136" s="2"/>
      <c r="H136" s="2"/>
      <c r="I136" s="2"/>
      <c r="J136" s="3"/>
      <c r="K136" s="3"/>
      <c r="L136" s="2"/>
      <c r="M136" s="4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4">
      <c r="A137" s="1"/>
      <c r="B137" s="1"/>
      <c r="C137" s="1"/>
      <c r="D137" s="2"/>
      <c r="E137" s="2"/>
      <c r="F137" s="2"/>
      <c r="G137" s="2"/>
      <c r="H137" s="2"/>
      <c r="I137" s="2"/>
      <c r="J137" s="3"/>
      <c r="K137" s="3"/>
      <c r="L137" s="2"/>
      <c r="M137" s="4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4">
      <c r="A138" s="1"/>
      <c r="B138" s="1"/>
      <c r="C138" s="1"/>
      <c r="D138" s="2"/>
      <c r="E138" s="2"/>
      <c r="F138" s="2"/>
      <c r="G138" s="2"/>
      <c r="H138" s="2"/>
      <c r="I138" s="2"/>
      <c r="J138" s="3"/>
      <c r="K138" s="3"/>
      <c r="L138" s="2"/>
      <c r="M138" s="4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4">
      <c r="A139" s="1"/>
      <c r="B139" s="1"/>
      <c r="C139" s="1"/>
      <c r="D139" s="2"/>
      <c r="E139" s="2"/>
      <c r="F139" s="2"/>
      <c r="G139" s="2"/>
      <c r="H139" s="2"/>
      <c r="I139" s="2"/>
      <c r="J139" s="3"/>
      <c r="K139" s="3"/>
      <c r="L139" s="2"/>
      <c r="M139" s="4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4">
      <c r="A140" s="1"/>
      <c r="B140" s="1"/>
      <c r="C140" s="1"/>
      <c r="D140" s="2"/>
      <c r="E140" s="2"/>
      <c r="F140" s="2"/>
      <c r="G140" s="2"/>
      <c r="H140" s="2"/>
      <c r="I140" s="2"/>
      <c r="J140" s="3"/>
      <c r="K140" s="3"/>
      <c r="L140" s="2"/>
      <c r="M140" s="4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4">
      <c r="A141" s="1"/>
      <c r="B141" s="1"/>
      <c r="C141" s="1"/>
      <c r="D141" s="2"/>
      <c r="E141" s="2"/>
      <c r="F141" s="2"/>
      <c r="G141" s="2"/>
      <c r="H141" s="2"/>
      <c r="I141" s="2"/>
      <c r="J141" s="3"/>
      <c r="K141" s="3"/>
      <c r="L141" s="2"/>
      <c r="M141" s="4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4">
      <c r="A142" s="1"/>
      <c r="B142" s="1"/>
      <c r="C142" s="1"/>
      <c r="D142" s="2"/>
      <c r="E142" s="2"/>
      <c r="F142" s="2"/>
      <c r="G142" s="2"/>
      <c r="H142" s="2"/>
      <c r="I142" s="2"/>
      <c r="J142" s="3"/>
      <c r="K142" s="3"/>
      <c r="L142" s="2"/>
      <c r="M142" s="4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4">
      <c r="A143" s="1"/>
      <c r="B143" s="1"/>
      <c r="C143" s="1"/>
      <c r="D143" s="2"/>
      <c r="E143" s="2"/>
      <c r="F143" s="2"/>
      <c r="G143" s="2"/>
      <c r="H143" s="2"/>
      <c r="I143" s="2"/>
      <c r="J143" s="3"/>
      <c r="K143" s="3"/>
      <c r="L143" s="2"/>
      <c r="M143" s="4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4">
      <c r="A144" s="1"/>
      <c r="B144" s="1"/>
      <c r="C144" s="1"/>
      <c r="D144" s="2"/>
      <c r="E144" s="2"/>
      <c r="F144" s="2"/>
      <c r="G144" s="2"/>
      <c r="H144" s="2"/>
      <c r="I144" s="2"/>
      <c r="J144" s="3"/>
      <c r="K144" s="3"/>
      <c r="L144" s="2"/>
      <c r="M144" s="4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4">
      <c r="A145" s="1"/>
      <c r="B145" s="1"/>
      <c r="C145" s="1"/>
      <c r="D145" s="2"/>
      <c r="E145" s="2"/>
      <c r="F145" s="2"/>
      <c r="G145" s="2"/>
      <c r="H145" s="2"/>
      <c r="I145" s="2"/>
      <c r="J145" s="3"/>
      <c r="K145" s="3"/>
      <c r="L145" s="2"/>
      <c r="M145" s="4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4">
      <c r="A146" s="1"/>
      <c r="B146" s="1"/>
      <c r="C146" s="1"/>
      <c r="D146" s="2"/>
      <c r="E146" s="2"/>
      <c r="F146" s="2"/>
      <c r="G146" s="2"/>
      <c r="H146" s="2"/>
      <c r="I146" s="2"/>
      <c r="J146" s="3"/>
      <c r="K146" s="3"/>
      <c r="L146" s="2"/>
      <c r="M146" s="4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s="1" customFormat="1" x14ac:dyDescent="0.4">
      <c r="D147" s="2"/>
      <c r="E147" s="2"/>
      <c r="F147" s="2"/>
      <c r="G147" s="2"/>
      <c r="H147" s="2"/>
      <c r="I147" s="2"/>
      <c r="J147" s="3"/>
      <c r="K147" s="3"/>
      <c r="L147" s="2"/>
      <c r="M147" s="4"/>
      <c r="N147" s="4"/>
    </row>
    <row r="148" spans="1:26" x14ac:dyDescent="0.4">
      <c r="A148" s="1"/>
      <c r="B148" s="1"/>
      <c r="C148" s="1"/>
      <c r="D148" s="2"/>
      <c r="E148" s="2"/>
      <c r="F148" s="2"/>
      <c r="G148" s="2"/>
      <c r="H148" s="2"/>
      <c r="I148" s="2"/>
      <c r="J148" s="3"/>
      <c r="K148" s="3"/>
      <c r="L148" s="2"/>
      <c r="M148" s="4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4">
      <c r="A149" s="1"/>
      <c r="B149" s="1"/>
      <c r="C149" s="1"/>
      <c r="D149" s="2"/>
      <c r="E149" s="2"/>
      <c r="F149" s="2"/>
      <c r="G149" s="2"/>
      <c r="H149" s="2"/>
      <c r="I149" s="2"/>
      <c r="J149" s="3"/>
      <c r="K149" s="3"/>
      <c r="L149" s="2"/>
      <c r="M149" s="4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4">
      <c r="A150" s="1"/>
      <c r="B150" s="1"/>
      <c r="C150" s="1"/>
      <c r="D150" s="2"/>
      <c r="E150" s="2"/>
      <c r="F150" s="2"/>
      <c r="G150" s="2"/>
      <c r="H150" s="2"/>
      <c r="I150" s="2"/>
      <c r="J150" s="3"/>
      <c r="K150" s="3"/>
      <c r="L150" s="2"/>
      <c r="M150" s="4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4">
      <c r="A151" s="1"/>
      <c r="B151" s="1"/>
      <c r="C151" s="1"/>
      <c r="D151" s="2"/>
      <c r="E151" s="2"/>
      <c r="F151" s="2"/>
      <c r="G151" s="2"/>
      <c r="H151" s="2"/>
      <c r="I151" s="2"/>
      <c r="J151" s="3"/>
      <c r="K151" s="3"/>
      <c r="L151" s="2"/>
      <c r="M151" s="4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4">
      <c r="A152" s="1"/>
      <c r="B152" s="1"/>
      <c r="C152" s="1"/>
      <c r="D152" s="2"/>
      <c r="E152" s="2"/>
      <c r="F152" s="2"/>
      <c r="G152" s="2"/>
      <c r="H152" s="2"/>
      <c r="I152" s="2"/>
      <c r="J152" s="3"/>
      <c r="K152" s="3"/>
      <c r="L152" s="2"/>
      <c r="M152" s="4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4">
      <c r="A153" s="1"/>
      <c r="B153" s="1"/>
      <c r="C153" s="1"/>
      <c r="D153" s="2"/>
      <c r="E153" s="2"/>
      <c r="F153" s="2"/>
      <c r="G153" s="2"/>
      <c r="H153" s="2"/>
      <c r="I153" s="2"/>
      <c r="J153" s="3"/>
      <c r="K153" s="3"/>
      <c r="L153" s="2"/>
      <c r="M153" s="4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4">
      <c r="A154" s="1"/>
      <c r="B154" s="1"/>
      <c r="C154" s="1"/>
      <c r="D154" s="2"/>
      <c r="E154" s="2"/>
      <c r="F154" s="2"/>
      <c r="G154" s="2"/>
      <c r="H154" s="2"/>
      <c r="I154" s="2"/>
      <c r="J154" s="3"/>
      <c r="K154" s="3"/>
      <c r="L154" s="2"/>
      <c r="M154" s="4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4">
      <c r="A155" s="1"/>
      <c r="B155" s="1"/>
      <c r="C155" s="1"/>
      <c r="D155" s="2"/>
      <c r="E155" s="2"/>
      <c r="F155" s="2"/>
      <c r="G155" s="2"/>
      <c r="H155" s="2"/>
      <c r="I155" s="2"/>
      <c r="J155" s="3"/>
      <c r="K155" s="3"/>
      <c r="L155" s="2"/>
      <c r="M155" s="4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4">
      <c r="A156" s="1"/>
      <c r="B156" s="1"/>
      <c r="C156" s="1"/>
      <c r="D156" s="2"/>
      <c r="E156" s="2"/>
      <c r="F156" s="2"/>
      <c r="G156" s="2"/>
      <c r="H156" s="2"/>
      <c r="I156" s="2"/>
      <c r="J156" s="3"/>
      <c r="K156" s="3"/>
      <c r="L156" s="2"/>
      <c r="M156" s="4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4">
      <c r="A157" s="1"/>
      <c r="B157" s="1"/>
      <c r="C157" s="1"/>
      <c r="D157" s="2"/>
      <c r="E157" s="2"/>
      <c r="F157" s="2"/>
      <c r="G157" s="2"/>
      <c r="H157" s="2"/>
      <c r="I157" s="2"/>
      <c r="J157" s="3"/>
      <c r="K157" s="3"/>
      <c r="L157" s="2"/>
      <c r="M157" s="4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4">
      <c r="A158" s="1"/>
      <c r="B158" s="1"/>
      <c r="C158" s="1"/>
      <c r="D158" s="2"/>
      <c r="E158" s="2"/>
      <c r="F158" s="2"/>
      <c r="G158" s="2"/>
      <c r="H158" s="2"/>
      <c r="I158" s="2"/>
      <c r="J158" s="3"/>
      <c r="K158" s="3"/>
      <c r="L158" s="2"/>
      <c r="M158" s="4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4">
      <c r="A159" s="1"/>
      <c r="B159" s="1"/>
      <c r="C159" s="1"/>
      <c r="D159" s="2"/>
      <c r="E159" s="2"/>
      <c r="F159" s="2"/>
      <c r="G159" s="2"/>
      <c r="H159" s="2"/>
      <c r="I159" s="2"/>
      <c r="J159" s="3"/>
      <c r="K159" s="3"/>
      <c r="L159" s="2"/>
      <c r="M159" s="4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4">
      <c r="A160" s="1"/>
      <c r="B160" s="1"/>
      <c r="C160" s="1"/>
      <c r="D160" s="2"/>
      <c r="E160" s="2"/>
      <c r="F160" s="2"/>
      <c r="G160" s="2"/>
      <c r="H160" s="2"/>
      <c r="I160" s="2"/>
      <c r="J160" s="3"/>
      <c r="K160" s="3"/>
      <c r="L160" s="2"/>
      <c r="M160" s="4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4">
      <c r="A161" s="1"/>
      <c r="B161" s="1"/>
      <c r="C161" s="1"/>
      <c r="D161" s="2"/>
      <c r="E161" s="2"/>
      <c r="F161" s="2"/>
      <c r="G161" s="2"/>
      <c r="H161" s="2"/>
      <c r="I161" s="2"/>
      <c r="J161" s="3"/>
      <c r="K161" s="3"/>
      <c r="L161" s="2"/>
      <c r="M161" s="4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4">
      <c r="A162" s="1"/>
      <c r="B162" s="1"/>
      <c r="C162" s="1"/>
      <c r="D162" s="2"/>
      <c r="E162" s="2"/>
      <c r="F162" s="2"/>
      <c r="G162" s="2"/>
      <c r="H162" s="2"/>
      <c r="I162" s="2"/>
      <c r="J162" s="3"/>
      <c r="K162" s="3"/>
      <c r="L162" s="2"/>
      <c r="M162" s="4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4">
      <c r="A163" s="1"/>
      <c r="B163" s="1"/>
      <c r="C163" s="1"/>
      <c r="D163" s="2"/>
      <c r="E163" s="2"/>
      <c r="F163" s="2"/>
      <c r="G163" s="2"/>
      <c r="H163" s="2"/>
      <c r="I163" s="2"/>
      <c r="J163" s="3"/>
      <c r="K163" s="3"/>
      <c r="L163" s="2"/>
      <c r="M163" s="4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4">
      <c r="A164" s="1"/>
      <c r="B164" s="1"/>
      <c r="C164" s="1"/>
      <c r="D164" s="2"/>
      <c r="E164" s="2"/>
      <c r="F164" s="2"/>
      <c r="G164" s="2"/>
      <c r="H164" s="2"/>
      <c r="I164" s="2"/>
      <c r="J164" s="3"/>
      <c r="K164" s="3"/>
      <c r="L164" s="2"/>
      <c r="M164" s="4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4">
      <c r="A165" s="1"/>
      <c r="B165" s="1"/>
      <c r="C165" s="1"/>
      <c r="D165" s="2"/>
      <c r="E165" s="2"/>
      <c r="F165" s="2"/>
      <c r="G165" s="2"/>
      <c r="H165" s="2"/>
      <c r="I165" s="2"/>
      <c r="J165" s="3"/>
      <c r="K165" s="3"/>
      <c r="L165" s="2"/>
      <c r="M165" s="4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4">
      <c r="A166" s="1"/>
      <c r="B166" s="1"/>
      <c r="C166" s="1"/>
      <c r="D166" s="2"/>
      <c r="E166" s="2"/>
      <c r="F166" s="2"/>
      <c r="G166" s="2"/>
      <c r="H166" s="2"/>
      <c r="I166" s="2"/>
      <c r="J166" s="3"/>
      <c r="K166" s="3"/>
      <c r="L166" s="2"/>
      <c r="M166" s="4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4">
      <c r="A167" s="1"/>
      <c r="B167" s="1"/>
      <c r="C167" s="1"/>
      <c r="D167" s="2"/>
      <c r="E167" s="2"/>
      <c r="F167" s="2"/>
      <c r="G167" s="2"/>
      <c r="H167" s="2"/>
      <c r="I167" s="2"/>
      <c r="J167" s="3"/>
      <c r="K167" s="3"/>
      <c r="L167" s="2"/>
      <c r="M167" s="4"/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4">
      <c r="A168" s="1"/>
      <c r="B168" s="1"/>
      <c r="C168" s="1"/>
      <c r="D168" s="2"/>
      <c r="E168" s="2"/>
      <c r="F168" s="2"/>
      <c r="G168" s="2"/>
      <c r="H168" s="2"/>
      <c r="I168" s="2"/>
      <c r="J168" s="3"/>
      <c r="K168" s="3"/>
      <c r="L168" s="2"/>
      <c r="M168" s="6"/>
      <c r="N168" s="1"/>
      <c r="O168" s="1"/>
      <c r="P168" s="1"/>
      <c r="Q168" s="1"/>
      <c r="R168" s="4"/>
      <c r="S168" s="1"/>
      <c r="T168" s="1"/>
      <c r="U168" s="2"/>
      <c r="V168" s="3"/>
      <c r="W168" s="3"/>
      <c r="X168" s="2"/>
      <c r="Y168" s="1"/>
      <c r="Z168" s="1"/>
    </row>
    <row r="169" spans="1:26" x14ac:dyDescent="0.4">
      <c r="A169" s="1"/>
      <c r="B169" s="1"/>
      <c r="C169" s="1"/>
      <c r="D169" s="2"/>
      <c r="E169" s="2"/>
      <c r="F169" s="2"/>
      <c r="G169" s="2"/>
      <c r="H169" s="2"/>
      <c r="I169" s="2"/>
      <c r="J169" s="3"/>
      <c r="K169" s="3"/>
      <c r="L169" s="2"/>
      <c r="M169" s="4"/>
      <c r="N169" s="4"/>
      <c r="O169" s="1"/>
      <c r="P169" s="1"/>
      <c r="Q169" s="1"/>
      <c r="R169" s="4"/>
      <c r="S169" s="1"/>
      <c r="T169" s="1"/>
      <c r="U169" s="2"/>
      <c r="V169" s="3"/>
      <c r="W169" s="3"/>
      <c r="X169" s="2"/>
      <c r="Y169" s="1"/>
      <c r="Z169" s="1"/>
    </row>
    <row r="170" spans="1:26" x14ac:dyDescent="0.4">
      <c r="A170" s="1"/>
      <c r="B170" s="1"/>
      <c r="C170" s="1"/>
      <c r="D170" s="2"/>
      <c r="E170" s="2"/>
      <c r="F170" s="2"/>
      <c r="G170" s="2"/>
      <c r="H170" s="2"/>
      <c r="I170" s="2"/>
      <c r="J170" s="3"/>
      <c r="K170" s="3"/>
      <c r="L170" s="2"/>
      <c r="M170" s="4"/>
      <c r="N170" s="4"/>
      <c r="O170" s="1"/>
      <c r="P170" s="1"/>
      <c r="Q170" s="1"/>
      <c r="R170" s="4"/>
      <c r="S170" s="1"/>
      <c r="T170" s="1"/>
      <c r="U170" s="2"/>
      <c r="V170" s="3"/>
      <c r="W170" s="3"/>
      <c r="X170" s="2"/>
      <c r="Y170" s="1"/>
      <c r="Z170" s="1"/>
    </row>
    <row r="171" spans="1:26" x14ac:dyDescent="0.4">
      <c r="A171" s="1"/>
      <c r="B171" s="1"/>
      <c r="C171" s="1"/>
      <c r="D171" s="2"/>
      <c r="E171" s="2"/>
      <c r="F171" s="2"/>
      <c r="G171" s="2"/>
      <c r="H171" s="2"/>
      <c r="I171" s="2"/>
      <c r="J171" s="3"/>
      <c r="K171" s="3"/>
      <c r="L171" s="2"/>
      <c r="M171" s="4"/>
      <c r="N171" s="4"/>
      <c r="O171" s="1"/>
      <c r="P171" s="1"/>
      <c r="Q171" s="1"/>
      <c r="R171" s="4"/>
      <c r="S171" s="1"/>
      <c r="T171" s="1"/>
      <c r="U171" s="2"/>
      <c r="V171" s="3"/>
      <c r="W171" s="3"/>
      <c r="X171" s="2"/>
      <c r="Y171" s="1"/>
      <c r="Z171" s="1"/>
    </row>
    <row r="172" spans="1:26" x14ac:dyDescent="0.4">
      <c r="A172" s="1"/>
      <c r="B172" s="1"/>
      <c r="C172" s="1"/>
      <c r="D172" s="2"/>
      <c r="E172" s="2"/>
      <c r="F172" s="2"/>
      <c r="G172" s="2"/>
      <c r="H172" s="2"/>
      <c r="I172" s="2"/>
      <c r="J172" s="3"/>
      <c r="K172" s="3"/>
      <c r="L172" s="2"/>
      <c r="M172" s="4"/>
      <c r="N172" s="4"/>
      <c r="O172" s="1"/>
      <c r="P172" s="1"/>
      <c r="Q172" s="1"/>
      <c r="R172" s="4"/>
      <c r="S172" s="1"/>
      <c r="T172" s="1"/>
      <c r="U172" s="2"/>
      <c r="V172" s="3"/>
      <c r="W172" s="3"/>
      <c r="X172" s="2"/>
      <c r="Y172" s="1"/>
      <c r="Z172" s="1"/>
    </row>
    <row r="173" spans="1:26" x14ac:dyDescent="0.4">
      <c r="A173" s="1"/>
      <c r="B173" s="1"/>
      <c r="C173" s="1"/>
      <c r="D173" s="2"/>
      <c r="E173" s="2"/>
      <c r="F173" s="2"/>
      <c r="G173" s="2"/>
      <c r="H173" s="2"/>
      <c r="I173" s="2"/>
      <c r="J173" s="3"/>
      <c r="K173" s="3"/>
      <c r="L173" s="2"/>
      <c r="M173" s="4"/>
      <c r="N173" s="4"/>
      <c r="O173" s="1"/>
      <c r="P173" s="1"/>
      <c r="Q173" s="1"/>
      <c r="R173" s="4"/>
      <c r="S173" s="1"/>
      <c r="T173" s="1"/>
      <c r="U173" s="2"/>
      <c r="V173" s="3"/>
      <c r="W173" s="3"/>
      <c r="X173" s="2"/>
      <c r="Y173" s="1"/>
      <c r="Z173" s="1"/>
    </row>
    <row r="174" spans="1:26" x14ac:dyDescent="0.4">
      <c r="A174" s="1"/>
      <c r="B174" s="1"/>
      <c r="C174" s="1"/>
      <c r="D174" s="2"/>
      <c r="E174" s="2"/>
      <c r="F174" s="2"/>
      <c r="G174" s="2"/>
      <c r="H174" s="2"/>
      <c r="I174" s="2"/>
      <c r="J174" s="3"/>
      <c r="K174" s="3"/>
      <c r="L174" s="2"/>
      <c r="M174" s="4"/>
      <c r="N174" s="4"/>
      <c r="O174" s="1"/>
      <c r="P174" s="1"/>
      <c r="Q174" s="1"/>
      <c r="R174" s="4"/>
      <c r="S174" s="1"/>
      <c r="T174" s="1"/>
      <c r="U174" s="2"/>
      <c r="V174" s="3"/>
      <c r="W174" s="3"/>
      <c r="X174" s="2"/>
      <c r="Y174" s="1"/>
      <c r="Z174" s="1"/>
    </row>
    <row r="175" spans="1:26" x14ac:dyDescent="0.4">
      <c r="A175" s="1"/>
      <c r="B175" s="1"/>
      <c r="C175" s="1"/>
      <c r="D175" s="2"/>
      <c r="E175" s="2"/>
      <c r="F175" s="2"/>
      <c r="G175" s="2"/>
      <c r="H175" s="2"/>
      <c r="I175" s="2"/>
      <c r="J175" s="3"/>
      <c r="K175" s="3"/>
      <c r="L175" s="2"/>
      <c r="M175" s="4"/>
      <c r="N175" s="4"/>
      <c r="O175" s="1"/>
      <c r="P175" s="1"/>
      <c r="Q175" s="1"/>
      <c r="R175" s="4"/>
      <c r="S175" s="1"/>
      <c r="T175" s="1"/>
      <c r="U175" s="2"/>
      <c r="V175" s="3"/>
      <c r="W175" s="3"/>
      <c r="X175" s="2"/>
      <c r="Y175" s="1"/>
      <c r="Z175" s="1"/>
    </row>
    <row r="176" spans="1:26" x14ac:dyDescent="0.4">
      <c r="A176" s="1"/>
      <c r="B176" s="1"/>
      <c r="C176" s="1"/>
      <c r="D176" s="2"/>
      <c r="E176" s="2"/>
      <c r="F176" s="2"/>
      <c r="G176" s="2"/>
      <c r="H176" s="2"/>
      <c r="I176" s="2"/>
      <c r="J176" s="3"/>
      <c r="K176" s="3"/>
      <c r="L176" s="2"/>
      <c r="M176" s="4"/>
      <c r="N176" s="4"/>
      <c r="O176" s="1"/>
      <c r="P176" s="1"/>
      <c r="Q176" s="1"/>
      <c r="R176" s="4"/>
      <c r="S176" s="1"/>
      <c r="T176" s="1"/>
      <c r="U176" s="2"/>
      <c r="V176" s="3"/>
      <c r="W176" s="3"/>
      <c r="X176" s="2"/>
      <c r="Y176" s="1"/>
      <c r="Z176" s="1"/>
    </row>
    <row r="177" spans="1:26" x14ac:dyDescent="0.4">
      <c r="A177" s="1"/>
      <c r="B177" s="1"/>
      <c r="C177" s="1"/>
      <c r="D177" s="2"/>
      <c r="E177" s="2"/>
      <c r="F177" s="2"/>
      <c r="G177" s="2"/>
      <c r="H177" s="2"/>
      <c r="I177" s="2"/>
      <c r="J177" s="3"/>
      <c r="K177" s="3"/>
      <c r="L177" s="2"/>
      <c r="M177" s="4"/>
      <c r="N177" s="4"/>
      <c r="O177" s="1"/>
      <c r="P177" s="1"/>
      <c r="Q177" s="1"/>
      <c r="R177" s="4"/>
      <c r="S177" s="1"/>
      <c r="T177" s="1"/>
      <c r="U177" s="2"/>
      <c r="V177" s="3"/>
      <c r="W177" s="3"/>
      <c r="X177" s="2"/>
      <c r="Y177" s="1"/>
      <c r="Z177" s="1"/>
    </row>
    <row r="178" spans="1:26" x14ac:dyDescent="0.4">
      <c r="A178" s="1"/>
      <c r="B178" s="1"/>
      <c r="C178" s="1"/>
      <c r="D178" s="2"/>
      <c r="E178" s="2"/>
      <c r="F178" s="2"/>
      <c r="G178" s="2"/>
      <c r="H178" s="2"/>
      <c r="I178" s="2"/>
      <c r="J178" s="3"/>
      <c r="K178" s="3"/>
      <c r="L178" s="2"/>
      <c r="M178" s="4"/>
      <c r="N178" s="4"/>
      <c r="O178" s="1"/>
      <c r="P178" s="1"/>
      <c r="Q178" s="1"/>
      <c r="R178" s="4"/>
      <c r="S178" s="1"/>
      <c r="T178" s="1"/>
      <c r="U178" s="2"/>
      <c r="V178" s="3"/>
      <c r="W178" s="3"/>
      <c r="X178" s="2"/>
      <c r="Y178" s="1"/>
      <c r="Z178" s="1"/>
    </row>
    <row r="179" spans="1:26" x14ac:dyDescent="0.4">
      <c r="A179" s="1"/>
      <c r="B179" s="1"/>
      <c r="C179" s="1"/>
      <c r="D179" s="2"/>
      <c r="E179" s="2"/>
      <c r="F179" s="2"/>
      <c r="G179" s="2"/>
      <c r="H179" s="2"/>
      <c r="I179" s="2"/>
      <c r="J179" s="3"/>
      <c r="K179" s="3"/>
      <c r="L179" s="2"/>
      <c r="M179" s="4"/>
      <c r="N179" s="4"/>
      <c r="O179" s="1"/>
      <c r="P179" s="1"/>
      <c r="Q179" s="1"/>
      <c r="R179" s="4"/>
      <c r="S179" s="1"/>
      <c r="T179" s="1"/>
      <c r="U179" s="2"/>
      <c r="V179" s="3"/>
      <c r="W179" s="3"/>
      <c r="X179" s="2"/>
      <c r="Y179" s="1"/>
      <c r="Z179" s="1"/>
    </row>
    <row r="180" spans="1:26" x14ac:dyDescent="0.4">
      <c r="A180" s="1"/>
      <c r="B180" s="1"/>
      <c r="C180" s="1"/>
      <c r="D180" s="2"/>
      <c r="E180" s="2"/>
      <c r="F180" s="2"/>
      <c r="G180" s="2"/>
      <c r="H180" s="2"/>
      <c r="I180" s="2"/>
      <c r="J180" s="3"/>
      <c r="K180" s="3"/>
      <c r="L180" s="2"/>
      <c r="M180" s="4"/>
      <c r="N180" s="4"/>
      <c r="O180" s="1"/>
      <c r="P180" s="1"/>
      <c r="Q180" s="1"/>
      <c r="R180" s="4"/>
      <c r="S180" s="1"/>
      <c r="T180" s="1"/>
      <c r="U180" s="2"/>
      <c r="V180" s="3"/>
      <c r="W180" s="3"/>
      <c r="X180" s="2"/>
      <c r="Y180" s="1"/>
      <c r="Z180" s="1"/>
    </row>
    <row r="181" spans="1:26" x14ac:dyDescent="0.4">
      <c r="A181" s="1"/>
      <c r="B181" s="1"/>
      <c r="C181" s="1"/>
      <c r="D181" s="2"/>
      <c r="E181" s="2"/>
      <c r="F181" s="2"/>
      <c r="G181" s="2"/>
      <c r="H181" s="2"/>
      <c r="I181" s="2"/>
      <c r="J181" s="3"/>
      <c r="K181" s="3"/>
      <c r="L181" s="2"/>
      <c r="M181" s="4"/>
      <c r="N181" s="4"/>
      <c r="O181" s="1"/>
      <c r="P181" s="1"/>
      <c r="Q181" s="1"/>
      <c r="R181" s="4"/>
      <c r="S181" s="1"/>
      <c r="T181" s="1"/>
      <c r="U181" s="2"/>
      <c r="V181" s="3"/>
      <c r="W181" s="3"/>
      <c r="X181" s="2"/>
      <c r="Y181" s="1"/>
      <c r="Z181" s="1"/>
    </row>
    <row r="182" spans="1:26" x14ac:dyDescent="0.4">
      <c r="A182" s="1"/>
      <c r="B182" s="1"/>
      <c r="C182" s="1"/>
      <c r="D182" s="2"/>
      <c r="E182" s="2"/>
      <c r="F182" s="2"/>
      <c r="G182" s="2"/>
      <c r="H182" s="2"/>
      <c r="I182" s="2"/>
      <c r="J182" s="3"/>
      <c r="K182" s="3"/>
      <c r="L182" s="2"/>
      <c r="M182" s="4"/>
      <c r="N182" s="4"/>
      <c r="O182" s="1"/>
      <c r="P182" s="1"/>
      <c r="Q182" s="1"/>
      <c r="R182" s="4"/>
      <c r="S182" s="1"/>
      <c r="T182" s="1"/>
      <c r="U182" s="2"/>
      <c r="V182" s="3"/>
      <c r="W182" s="3"/>
      <c r="X182" s="2"/>
      <c r="Y182" s="1"/>
      <c r="Z182" s="1"/>
    </row>
    <row r="183" spans="1:26" x14ac:dyDescent="0.4">
      <c r="A183" s="1"/>
      <c r="B183" s="1"/>
      <c r="C183" s="1"/>
      <c r="D183" s="2"/>
      <c r="E183" s="2"/>
      <c r="F183" s="2"/>
      <c r="G183" s="2"/>
      <c r="H183" s="2"/>
      <c r="I183" s="2"/>
      <c r="J183" s="3"/>
      <c r="K183" s="3"/>
      <c r="L183" s="2"/>
      <c r="M183" s="4"/>
      <c r="N183" s="4"/>
      <c r="O183" s="1"/>
      <c r="P183" s="1"/>
      <c r="Q183" s="1"/>
      <c r="R183" s="4"/>
      <c r="S183" s="1"/>
      <c r="T183" s="1"/>
      <c r="U183" s="2"/>
      <c r="V183" s="3"/>
      <c r="W183" s="3"/>
      <c r="X183" s="2"/>
      <c r="Y183" s="1"/>
      <c r="Z183" s="1"/>
    </row>
    <row r="184" spans="1:26" x14ac:dyDescent="0.4">
      <c r="A184" s="1"/>
      <c r="B184" s="1"/>
      <c r="C184" s="1"/>
      <c r="D184" s="2"/>
      <c r="E184" s="2"/>
      <c r="F184" s="2"/>
      <c r="G184" s="2"/>
      <c r="H184" s="2"/>
      <c r="I184" s="2"/>
      <c r="J184" s="3"/>
      <c r="K184" s="3"/>
      <c r="L184" s="2"/>
      <c r="M184" s="4"/>
      <c r="N184" s="4"/>
      <c r="O184" s="1"/>
      <c r="P184" s="1"/>
      <c r="Q184" s="1"/>
      <c r="R184" s="4"/>
      <c r="S184" s="1"/>
      <c r="T184" s="1"/>
      <c r="U184" s="2"/>
      <c r="V184" s="3"/>
      <c r="W184" s="3"/>
      <c r="X184" s="2"/>
      <c r="Y184" s="1"/>
      <c r="Z184" s="1"/>
    </row>
    <row r="185" spans="1:26" x14ac:dyDescent="0.4">
      <c r="A185" s="1"/>
      <c r="B185" s="1"/>
      <c r="C185" s="1"/>
      <c r="D185" s="2"/>
      <c r="E185" s="2"/>
      <c r="F185" s="2"/>
      <c r="G185" s="2"/>
      <c r="H185" s="2"/>
      <c r="I185" s="2"/>
      <c r="J185" s="3"/>
      <c r="K185" s="3"/>
      <c r="L185" s="2"/>
      <c r="M185" s="4"/>
      <c r="N185" s="4"/>
      <c r="O185" s="1"/>
      <c r="P185" s="1"/>
      <c r="Q185" s="1"/>
      <c r="R185" s="4"/>
      <c r="S185" s="1"/>
      <c r="T185" s="1"/>
      <c r="U185" s="2"/>
      <c r="V185" s="3"/>
      <c r="W185" s="3"/>
      <c r="X185" s="2"/>
      <c r="Y185" s="1"/>
      <c r="Z185" s="1"/>
    </row>
    <row r="186" spans="1:26" x14ac:dyDescent="0.4">
      <c r="A186" s="1"/>
      <c r="B186" s="1"/>
      <c r="C186" s="1"/>
      <c r="D186" s="2"/>
      <c r="E186" s="2"/>
      <c r="F186" s="2"/>
      <c r="G186" s="2"/>
      <c r="H186" s="2"/>
      <c r="I186" s="2"/>
      <c r="J186" s="3"/>
      <c r="K186" s="3"/>
      <c r="L186" s="2"/>
      <c r="M186" s="4"/>
      <c r="N186" s="4"/>
      <c r="O186" s="1"/>
      <c r="P186" s="1"/>
      <c r="Q186" s="1"/>
      <c r="R186" s="4"/>
      <c r="S186" s="1"/>
      <c r="T186" s="1"/>
      <c r="U186" s="2"/>
      <c r="V186" s="3"/>
      <c r="W186" s="3"/>
      <c r="X186" s="2"/>
      <c r="Y186" s="1"/>
      <c r="Z186" s="1"/>
    </row>
    <row r="187" spans="1:26" x14ac:dyDescent="0.4">
      <c r="A187" s="1"/>
      <c r="B187" s="1"/>
      <c r="C187" s="1"/>
      <c r="D187" s="2"/>
      <c r="E187" s="2"/>
      <c r="F187" s="2"/>
      <c r="G187" s="2"/>
      <c r="H187" s="2"/>
      <c r="I187" s="2"/>
      <c r="J187" s="3"/>
      <c r="K187" s="3"/>
      <c r="L187" s="2"/>
      <c r="M187" s="4"/>
      <c r="N187" s="4"/>
      <c r="O187" s="1"/>
      <c r="P187" s="1"/>
      <c r="Q187" s="1"/>
      <c r="R187" s="4"/>
      <c r="S187" s="1"/>
      <c r="T187" s="1"/>
      <c r="U187" s="2"/>
      <c r="V187" s="3"/>
      <c r="W187" s="3"/>
      <c r="X187" s="2"/>
      <c r="Y187" s="1"/>
      <c r="Z187" s="1"/>
    </row>
    <row r="188" spans="1:26" x14ac:dyDescent="0.4">
      <c r="A188" s="1"/>
      <c r="B188" s="1"/>
      <c r="C188" s="1"/>
      <c r="D188" s="2"/>
      <c r="E188" s="2"/>
      <c r="F188" s="2"/>
      <c r="G188" s="2"/>
      <c r="H188" s="2"/>
      <c r="I188" s="2"/>
      <c r="J188" s="3"/>
      <c r="K188" s="3"/>
      <c r="L188" s="2"/>
      <c r="M188" s="4"/>
      <c r="N188" s="4"/>
      <c r="O188" s="1"/>
      <c r="P188" s="1"/>
      <c r="Q188" s="1"/>
      <c r="R188" s="4"/>
      <c r="S188" s="1"/>
      <c r="T188" s="1"/>
      <c r="U188" s="2"/>
      <c r="V188" s="3"/>
      <c r="W188" s="3"/>
      <c r="X188" s="2"/>
      <c r="Y188" s="1"/>
      <c r="Z188" s="1"/>
    </row>
    <row r="189" spans="1:26" x14ac:dyDescent="0.4">
      <c r="A189" s="1"/>
      <c r="B189" s="1"/>
      <c r="C189" s="1"/>
      <c r="D189" s="2"/>
      <c r="E189" s="2"/>
      <c r="F189" s="2"/>
      <c r="G189" s="2"/>
      <c r="H189" s="2"/>
      <c r="I189" s="2"/>
      <c r="J189" s="3"/>
      <c r="K189" s="3"/>
      <c r="L189" s="2"/>
      <c r="M189" s="4"/>
      <c r="N189" s="4"/>
      <c r="O189" s="1"/>
      <c r="P189" s="1"/>
      <c r="Q189" s="1"/>
      <c r="R189" s="4"/>
      <c r="S189" s="1"/>
      <c r="T189" s="1"/>
      <c r="U189" s="2"/>
      <c r="V189" s="3"/>
      <c r="W189" s="3"/>
      <c r="X189" s="2"/>
      <c r="Y189" s="1"/>
      <c r="Z189" s="1"/>
    </row>
    <row r="190" spans="1:26" x14ac:dyDescent="0.4">
      <c r="A190" s="1"/>
      <c r="B190" s="1"/>
      <c r="C190" s="1"/>
      <c r="D190" s="2"/>
      <c r="E190" s="2"/>
      <c r="F190" s="2"/>
      <c r="G190" s="2"/>
      <c r="H190" s="2"/>
      <c r="I190" s="2"/>
      <c r="J190" s="3"/>
      <c r="K190" s="3"/>
      <c r="L190" s="2"/>
      <c r="M190" s="4"/>
      <c r="N190" s="4"/>
      <c r="O190" s="1"/>
      <c r="P190" s="1"/>
      <c r="Q190" s="1"/>
      <c r="R190" s="4"/>
      <c r="S190" s="1"/>
      <c r="T190" s="1"/>
      <c r="U190" s="2"/>
      <c r="V190" s="3"/>
      <c r="W190" s="3"/>
      <c r="X190" s="2"/>
      <c r="Y190" s="1"/>
      <c r="Z190" s="1"/>
    </row>
    <row r="191" spans="1:26" x14ac:dyDescent="0.4">
      <c r="A191" s="1"/>
      <c r="B191" s="1"/>
      <c r="C191" s="1"/>
      <c r="D191" s="2"/>
      <c r="E191" s="2"/>
      <c r="F191" s="2"/>
      <c r="G191" s="2"/>
      <c r="H191" s="2"/>
      <c r="I191" s="2"/>
      <c r="J191" s="3"/>
      <c r="K191" s="3"/>
      <c r="L191" s="2"/>
      <c r="M191" s="4"/>
      <c r="N191" s="4"/>
      <c r="O191" s="1"/>
      <c r="P191" s="1"/>
      <c r="Q191" s="1"/>
      <c r="R191" s="4"/>
      <c r="S191" s="1"/>
      <c r="T191" s="1"/>
      <c r="U191" s="2"/>
      <c r="V191" s="3"/>
      <c r="W191" s="3"/>
      <c r="X191" s="2"/>
      <c r="Y191" s="1"/>
      <c r="Z191" s="1"/>
    </row>
    <row r="192" spans="1:26" x14ac:dyDescent="0.4">
      <c r="A192" s="1"/>
      <c r="B192" s="1"/>
      <c r="C192" s="1"/>
      <c r="D192" s="2"/>
      <c r="E192" s="2"/>
      <c r="F192" s="2"/>
      <c r="G192" s="2"/>
      <c r="H192" s="2"/>
      <c r="I192" s="2"/>
      <c r="J192" s="3"/>
      <c r="K192" s="3"/>
      <c r="L192" s="2"/>
      <c r="M192" s="4"/>
      <c r="N192" s="4"/>
      <c r="O192" s="1"/>
      <c r="P192" s="1"/>
      <c r="Q192" s="1"/>
      <c r="R192" s="4"/>
      <c r="S192" s="1"/>
      <c r="T192" s="1"/>
      <c r="U192" s="2"/>
      <c r="V192" s="3"/>
      <c r="W192" s="3"/>
      <c r="X192" s="2"/>
      <c r="Y192" s="1"/>
      <c r="Z192" s="1"/>
    </row>
    <row r="193" spans="1:26" x14ac:dyDescent="0.4">
      <c r="A193" s="1"/>
      <c r="B193" s="1"/>
      <c r="C193" s="1"/>
      <c r="D193" s="2"/>
      <c r="E193" s="2"/>
      <c r="F193" s="2"/>
      <c r="G193" s="2"/>
      <c r="H193" s="2"/>
      <c r="I193" s="2"/>
      <c r="J193" s="3"/>
      <c r="K193" s="3"/>
      <c r="L193" s="2"/>
      <c r="M193" s="4"/>
      <c r="N193" s="4"/>
      <c r="O193" s="1"/>
      <c r="P193" s="1"/>
      <c r="Q193" s="1"/>
      <c r="R193" s="4"/>
      <c r="S193" s="1"/>
      <c r="T193" s="1"/>
      <c r="U193" s="2"/>
      <c r="V193" s="3"/>
      <c r="W193" s="3"/>
      <c r="X193" s="2"/>
      <c r="Y193" s="1"/>
      <c r="Z193" s="1"/>
    </row>
    <row r="194" spans="1:26" x14ac:dyDescent="0.4">
      <c r="A194" s="1"/>
      <c r="B194" s="1"/>
      <c r="C194" s="1"/>
      <c r="D194" s="2"/>
      <c r="E194" s="2"/>
      <c r="F194" s="2"/>
      <c r="G194" s="2"/>
      <c r="H194" s="2"/>
      <c r="I194" s="2"/>
      <c r="J194" s="3"/>
      <c r="K194" s="3"/>
      <c r="L194" s="2"/>
      <c r="M194" s="4"/>
      <c r="N194" s="4"/>
      <c r="O194" s="1"/>
      <c r="P194" s="1"/>
      <c r="Q194" s="1"/>
      <c r="R194" s="4"/>
      <c r="S194" s="1"/>
      <c r="T194" s="1"/>
      <c r="U194" s="2"/>
      <c r="V194" s="3"/>
      <c r="W194" s="3"/>
      <c r="X194" s="2"/>
      <c r="Y194" s="1"/>
      <c r="Z194" s="1"/>
    </row>
    <row r="195" spans="1:26" x14ac:dyDescent="0.4">
      <c r="A195" s="1"/>
      <c r="B195" s="1"/>
      <c r="C195" s="1"/>
      <c r="D195" s="2"/>
      <c r="E195" s="2"/>
      <c r="F195" s="2"/>
      <c r="G195" s="2"/>
      <c r="H195" s="2"/>
      <c r="I195" s="2"/>
      <c r="J195" s="3"/>
      <c r="K195" s="3"/>
      <c r="L195" s="2"/>
      <c r="M195" s="4"/>
      <c r="N195" s="4"/>
      <c r="O195" s="1"/>
      <c r="P195" s="1"/>
      <c r="Q195" s="1"/>
      <c r="R195" s="4"/>
      <c r="S195" s="1"/>
      <c r="T195" s="1"/>
      <c r="U195" s="2"/>
      <c r="V195" s="3"/>
      <c r="W195" s="3"/>
      <c r="X195" s="2"/>
      <c r="Y195" s="1"/>
      <c r="Z195" s="1"/>
    </row>
    <row r="196" spans="1:26" x14ac:dyDescent="0.4">
      <c r="A196" s="1"/>
      <c r="B196" s="1"/>
      <c r="C196" s="1"/>
      <c r="D196" s="2"/>
      <c r="E196" s="2"/>
      <c r="F196" s="2"/>
      <c r="G196" s="2"/>
      <c r="H196" s="2"/>
      <c r="I196" s="2"/>
      <c r="J196" s="3"/>
      <c r="K196" s="3"/>
      <c r="L196" s="2"/>
      <c r="M196" s="4"/>
      <c r="N196" s="4"/>
      <c r="O196" s="1"/>
      <c r="P196" s="1"/>
      <c r="Q196" s="1"/>
      <c r="R196" s="4"/>
      <c r="S196" s="1"/>
      <c r="T196" s="1"/>
      <c r="U196" s="2"/>
      <c r="V196" s="3"/>
      <c r="W196" s="3"/>
      <c r="X196" s="2"/>
      <c r="Y196" s="1"/>
      <c r="Z196" s="1"/>
    </row>
    <row r="197" spans="1:26" x14ac:dyDescent="0.4">
      <c r="A197" s="1"/>
      <c r="B197" s="1"/>
      <c r="C197" s="1"/>
      <c r="D197" s="2"/>
      <c r="E197" s="2"/>
      <c r="F197" s="2"/>
      <c r="G197" s="2"/>
      <c r="H197" s="2"/>
      <c r="I197" s="2"/>
      <c r="J197" s="3"/>
      <c r="K197" s="3"/>
      <c r="L197" s="2"/>
      <c r="M197" s="4"/>
      <c r="N197" s="4"/>
      <c r="O197" s="1"/>
      <c r="P197" s="1"/>
      <c r="Q197" s="1"/>
      <c r="R197" s="4"/>
      <c r="S197" s="1"/>
      <c r="T197" s="1"/>
      <c r="U197" s="2"/>
      <c r="V197" s="3"/>
      <c r="W197" s="3"/>
      <c r="X197" s="2"/>
      <c r="Y197" s="1"/>
      <c r="Z197" s="1"/>
    </row>
    <row r="198" spans="1:26" x14ac:dyDescent="0.4">
      <c r="A198" s="1"/>
      <c r="B198" s="1"/>
      <c r="C198" s="1"/>
      <c r="D198" s="2"/>
      <c r="E198" s="2"/>
      <c r="F198" s="2"/>
      <c r="G198" s="2"/>
      <c r="H198" s="2"/>
      <c r="I198" s="2"/>
      <c r="J198" s="3"/>
      <c r="K198" s="3"/>
      <c r="L198" s="2"/>
      <c r="M198" s="4"/>
      <c r="N198" s="4"/>
      <c r="O198" s="1"/>
      <c r="P198" s="1"/>
      <c r="Q198" s="1"/>
      <c r="R198" s="4"/>
      <c r="S198" s="1"/>
      <c r="T198" s="1"/>
      <c r="U198" s="2"/>
      <c r="V198" s="3"/>
      <c r="W198" s="3"/>
      <c r="X198" s="2"/>
      <c r="Y198" s="1"/>
      <c r="Z198" s="1"/>
    </row>
    <row r="199" spans="1:26" x14ac:dyDescent="0.4">
      <c r="A199" s="1"/>
      <c r="B199" s="1"/>
      <c r="C199" s="1"/>
      <c r="D199" s="2"/>
      <c r="E199" s="2"/>
      <c r="F199" s="2"/>
      <c r="G199" s="2"/>
      <c r="H199" s="2"/>
      <c r="I199" s="2"/>
      <c r="J199" s="3"/>
      <c r="K199" s="3"/>
      <c r="L199" s="2"/>
      <c r="M199" s="4"/>
      <c r="N199" s="4"/>
      <c r="O199" s="1"/>
      <c r="P199" s="1"/>
      <c r="Q199" s="1"/>
      <c r="R199" s="4"/>
      <c r="S199" s="1"/>
      <c r="T199" s="1"/>
      <c r="U199" s="2"/>
      <c r="V199" s="3"/>
      <c r="W199" s="3"/>
      <c r="X199" s="2"/>
      <c r="Y199" s="1"/>
      <c r="Z199" s="1"/>
    </row>
    <row r="200" spans="1:26" x14ac:dyDescent="0.4">
      <c r="A200" s="1"/>
      <c r="B200" s="1"/>
      <c r="C200" s="1"/>
      <c r="D200" s="2"/>
      <c r="E200" s="2"/>
      <c r="F200" s="2"/>
      <c r="G200" s="2"/>
      <c r="H200" s="2"/>
      <c r="I200" s="2"/>
      <c r="J200" s="3"/>
      <c r="K200" s="3"/>
      <c r="L200" s="2"/>
      <c r="M200" s="4"/>
      <c r="N200" s="4"/>
      <c r="O200" s="1"/>
      <c r="P200" s="1"/>
      <c r="Q200" s="1"/>
      <c r="R200" s="4"/>
      <c r="S200" s="1"/>
      <c r="T200" s="1"/>
      <c r="U200" s="2"/>
      <c r="V200" s="3"/>
      <c r="W200" s="3"/>
      <c r="X200" s="2"/>
      <c r="Y200" s="1"/>
      <c r="Z200" s="1"/>
    </row>
    <row r="201" spans="1:26" x14ac:dyDescent="0.4">
      <c r="A201" s="1"/>
      <c r="B201" s="1"/>
      <c r="C201" s="1"/>
      <c r="D201" s="2"/>
      <c r="E201" s="2"/>
      <c r="F201" s="2"/>
      <c r="G201" s="2"/>
      <c r="H201" s="2"/>
      <c r="I201" s="2"/>
      <c r="J201" s="3"/>
      <c r="K201" s="3"/>
      <c r="L201" s="2"/>
      <c r="M201" s="4"/>
      <c r="N201" s="4"/>
      <c r="O201" s="1"/>
      <c r="P201" s="1"/>
      <c r="Q201" s="1"/>
      <c r="R201" s="4"/>
      <c r="S201" s="1"/>
      <c r="T201" s="1"/>
      <c r="U201" s="2"/>
      <c r="V201" s="3"/>
      <c r="W201" s="3"/>
      <c r="X201" s="2"/>
      <c r="Y201" s="1"/>
      <c r="Z201" s="1"/>
    </row>
    <row r="202" spans="1:26" x14ac:dyDescent="0.4">
      <c r="A202" s="1"/>
      <c r="B202" s="1"/>
      <c r="C202" s="1"/>
      <c r="D202" s="2"/>
      <c r="E202" s="2"/>
      <c r="F202" s="2"/>
      <c r="G202" s="2"/>
      <c r="H202" s="2"/>
      <c r="I202" s="2"/>
      <c r="J202" s="3"/>
      <c r="K202" s="3"/>
      <c r="L202" s="2"/>
      <c r="M202" s="4"/>
      <c r="N202" s="4"/>
      <c r="O202" s="1"/>
      <c r="P202" s="1"/>
      <c r="Q202" s="1"/>
      <c r="R202" s="4"/>
      <c r="S202" s="1"/>
      <c r="T202" s="1"/>
      <c r="U202" s="2"/>
      <c r="V202" s="3"/>
      <c r="W202" s="3"/>
      <c r="X202" s="2"/>
      <c r="Y202" s="1"/>
      <c r="Z202" s="1"/>
    </row>
    <row r="203" spans="1:26" x14ac:dyDescent="0.4">
      <c r="A203" s="1"/>
      <c r="B203" s="1"/>
      <c r="C203" s="1"/>
      <c r="D203" s="2"/>
      <c r="E203" s="2"/>
      <c r="F203" s="2"/>
      <c r="G203" s="2"/>
      <c r="H203" s="2"/>
      <c r="I203" s="2"/>
      <c r="J203" s="3"/>
      <c r="K203" s="3"/>
      <c r="L203" s="2"/>
      <c r="M203" s="4"/>
      <c r="N203" s="4"/>
      <c r="O203" s="1"/>
      <c r="P203" s="1"/>
      <c r="Q203" s="1"/>
      <c r="R203" s="4"/>
      <c r="S203" s="1"/>
      <c r="T203" s="1"/>
      <c r="U203" s="2"/>
      <c r="V203" s="3"/>
      <c r="W203" s="3"/>
      <c r="X203" s="2"/>
      <c r="Y203" s="1"/>
      <c r="Z203" s="1"/>
    </row>
    <row r="204" spans="1:26" x14ac:dyDescent="0.4">
      <c r="A204" s="1"/>
      <c r="B204" s="1"/>
      <c r="C204" s="1"/>
      <c r="D204" s="2"/>
      <c r="E204" s="2"/>
      <c r="F204" s="2"/>
      <c r="G204" s="2"/>
      <c r="H204" s="2"/>
      <c r="I204" s="2"/>
      <c r="J204" s="3"/>
      <c r="K204" s="3"/>
      <c r="L204" s="2"/>
      <c r="M204" s="4"/>
      <c r="N204" s="4"/>
      <c r="O204" s="1"/>
      <c r="P204" s="1"/>
      <c r="Q204" s="1"/>
      <c r="R204" s="4"/>
      <c r="S204" s="1"/>
      <c r="T204" s="1"/>
      <c r="U204" s="2"/>
      <c r="V204" s="3"/>
      <c r="W204" s="3"/>
      <c r="X204" s="2"/>
      <c r="Y204" s="1"/>
      <c r="Z204" s="1"/>
    </row>
    <row r="205" spans="1:26" x14ac:dyDescent="0.4">
      <c r="A205" s="1"/>
      <c r="B205" s="1"/>
      <c r="C205" s="1"/>
      <c r="D205" s="2"/>
      <c r="E205" s="2"/>
      <c r="F205" s="2"/>
      <c r="G205" s="2"/>
      <c r="H205" s="2"/>
      <c r="I205" s="2"/>
      <c r="J205" s="3"/>
      <c r="K205" s="3"/>
      <c r="L205" s="2"/>
      <c r="M205" s="4"/>
      <c r="N205" s="4"/>
      <c r="O205" s="1"/>
      <c r="P205" s="1"/>
      <c r="Q205" s="1"/>
      <c r="R205" s="4"/>
      <c r="S205" s="1"/>
      <c r="T205" s="1"/>
      <c r="U205" s="2"/>
      <c r="V205" s="3"/>
      <c r="W205" s="3"/>
      <c r="X205" s="2"/>
      <c r="Y205" s="1"/>
      <c r="Z205" s="1"/>
    </row>
    <row r="206" spans="1:26" x14ac:dyDescent="0.4">
      <c r="A206" s="1"/>
      <c r="B206" s="1"/>
      <c r="C206" s="1"/>
      <c r="D206" s="2"/>
      <c r="E206" s="2"/>
      <c r="F206" s="2"/>
      <c r="G206" s="2"/>
      <c r="H206" s="2"/>
      <c r="I206" s="2"/>
      <c r="J206" s="3"/>
      <c r="K206" s="3"/>
      <c r="L206" s="2"/>
      <c r="M206" s="4"/>
      <c r="N206" s="4"/>
      <c r="O206" s="1"/>
      <c r="P206" s="1"/>
      <c r="Q206" s="1"/>
      <c r="R206" s="4"/>
      <c r="S206" s="1"/>
      <c r="T206" s="1"/>
      <c r="U206" s="2"/>
      <c r="V206" s="3"/>
      <c r="W206" s="3"/>
      <c r="X206" s="2"/>
      <c r="Y206" s="1"/>
      <c r="Z206" s="1"/>
    </row>
    <row r="207" spans="1:26" x14ac:dyDescent="0.4">
      <c r="A207" s="1"/>
      <c r="B207" s="1"/>
      <c r="C207" s="1"/>
      <c r="D207" s="2"/>
      <c r="E207" s="2"/>
      <c r="F207" s="2"/>
      <c r="G207" s="2"/>
      <c r="H207" s="2"/>
      <c r="I207" s="2"/>
      <c r="J207" s="3"/>
      <c r="K207" s="3"/>
      <c r="L207" s="2"/>
      <c r="M207" s="4"/>
      <c r="N207" s="4"/>
      <c r="O207" s="1"/>
      <c r="P207" s="1"/>
      <c r="Q207" s="1"/>
      <c r="R207" s="4"/>
      <c r="S207" s="1"/>
      <c r="T207" s="1"/>
      <c r="U207" s="2"/>
      <c r="V207" s="3"/>
      <c r="W207" s="3"/>
      <c r="X207" s="2"/>
      <c r="Y207" s="1"/>
      <c r="Z207" s="1"/>
    </row>
    <row r="208" spans="1:26" x14ac:dyDescent="0.4">
      <c r="A208" s="1"/>
      <c r="B208" s="1"/>
      <c r="C208" s="1"/>
      <c r="D208" s="2"/>
      <c r="E208" s="2"/>
      <c r="F208" s="2"/>
      <c r="G208" s="2"/>
      <c r="H208" s="2"/>
      <c r="I208" s="2"/>
      <c r="J208" s="3"/>
      <c r="K208" s="3"/>
      <c r="L208" s="2"/>
      <c r="M208" s="4"/>
      <c r="N208" s="4"/>
      <c r="O208" s="1"/>
      <c r="P208" s="1"/>
      <c r="Q208" s="1"/>
      <c r="R208" s="4"/>
      <c r="S208" s="1"/>
      <c r="T208" s="1"/>
      <c r="U208" s="2"/>
      <c r="V208" s="3"/>
      <c r="W208" s="3"/>
      <c r="X208" s="2"/>
      <c r="Y208" s="1"/>
      <c r="Z208" s="1"/>
    </row>
    <row r="209" spans="1:26" x14ac:dyDescent="0.4">
      <c r="A209" s="1"/>
      <c r="B209" s="1"/>
      <c r="C209" s="1"/>
      <c r="D209" s="2"/>
      <c r="E209" s="2"/>
      <c r="F209" s="2"/>
      <c r="G209" s="2"/>
      <c r="H209" s="2"/>
      <c r="I209" s="2"/>
      <c r="J209" s="3"/>
      <c r="K209" s="3"/>
      <c r="L209" s="2"/>
      <c r="M209" s="4"/>
      <c r="N209" s="4"/>
      <c r="O209" s="1"/>
      <c r="P209" s="1"/>
      <c r="Q209" s="1"/>
      <c r="R209" s="4"/>
      <c r="S209" s="1"/>
      <c r="T209" s="1"/>
      <c r="U209" s="2"/>
      <c r="V209" s="3"/>
      <c r="W209" s="3"/>
      <c r="X209" s="2"/>
      <c r="Y209" s="1"/>
      <c r="Z209" s="1"/>
    </row>
    <row r="210" spans="1:26" x14ac:dyDescent="0.4">
      <c r="A210" s="1"/>
      <c r="B210" s="1"/>
      <c r="C210" s="1"/>
      <c r="D210" s="2"/>
      <c r="E210" s="2"/>
      <c r="F210" s="2"/>
      <c r="G210" s="2"/>
      <c r="H210" s="2"/>
      <c r="I210" s="2"/>
      <c r="J210" s="3"/>
      <c r="K210" s="3"/>
      <c r="L210" s="2"/>
      <c r="M210" s="4"/>
      <c r="N210" s="4"/>
      <c r="O210" s="1"/>
      <c r="P210" s="1"/>
      <c r="Q210" s="1"/>
      <c r="R210" s="4"/>
      <c r="S210" s="1"/>
      <c r="T210" s="1"/>
      <c r="U210" s="2"/>
      <c r="V210" s="3"/>
      <c r="W210" s="3"/>
      <c r="X210" s="2"/>
      <c r="Y210" s="1"/>
      <c r="Z210" s="1"/>
    </row>
    <row r="211" spans="1:26" x14ac:dyDescent="0.4">
      <c r="A211" s="1"/>
      <c r="B211" s="1"/>
      <c r="C211" s="1"/>
      <c r="D211" s="2"/>
      <c r="E211" s="2"/>
      <c r="F211" s="2"/>
      <c r="G211" s="2"/>
      <c r="H211" s="2"/>
      <c r="I211" s="2"/>
      <c r="J211" s="3"/>
      <c r="K211" s="3"/>
      <c r="L211" s="2"/>
      <c r="M211" s="4"/>
      <c r="N211" s="4"/>
      <c r="O211" s="1"/>
      <c r="P211" s="1"/>
      <c r="Q211" s="1"/>
      <c r="R211" s="4"/>
      <c r="S211" s="1"/>
      <c r="T211" s="1"/>
      <c r="U211" s="2"/>
      <c r="V211" s="3"/>
      <c r="W211" s="3"/>
      <c r="X211" s="2"/>
      <c r="Y211" s="1"/>
      <c r="Z211" s="1"/>
    </row>
    <row r="212" spans="1:26" x14ac:dyDescent="0.4">
      <c r="A212" s="1"/>
      <c r="B212" s="1"/>
      <c r="C212" s="1"/>
      <c r="D212" s="2"/>
      <c r="E212" s="2"/>
      <c r="F212" s="2"/>
      <c r="G212" s="2"/>
      <c r="H212" s="2"/>
      <c r="I212" s="2"/>
      <c r="J212" s="3"/>
      <c r="K212" s="3"/>
      <c r="L212" s="2"/>
      <c r="M212" s="4"/>
      <c r="N212" s="4"/>
      <c r="O212" s="1"/>
      <c r="P212" s="1"/>
      <c r="Q212" s="1"/>
      <c r="R212" s="4"/>
      <c r="S212" s="1"/>
      <c r="T212" s="1"/>
      <c r="U212" s="2"/>
      <c r="V212" s="3"/>
      <c r="W212" s="3"/>
      <c r="X212" s="2"/>
      <c r="Y212" s="1"/>
      <c r="Z212" s="1"/>
    </row>
    <row r="213" spans="1:26" x14ac:dyDescent="0.4">
      <c r="A213" s="1"/>
      <c r="B213" s="1"/>
      <c r="C213" s="1"/>
      <c r="D213" s="2"/>
      <c r="E213" s="2"/>
      <c r="F213" s="2"/>
      <c r="G213" s="2"/>
      <c r="H213" s="2"/>
      <c r="I213" s="2"/>
      <c r="J213" s="3"/>
      <c r="K213" s="3"/>
      <c r="L213" s="2"/>
      <c r="M213" s="4"/>
      <c r="N213" s="4"/>
      <c r="O213" s="1"/>
      <c r="P213" s="1"/>
      <c r="Q213" s="1"/>
      <c r="R213" s="4"/>
      <c r="S213" s="1"/>
      <c r="T213" s="1"/>
      <c r="U213" s="2"/>
      <c r="V213" s="3"/>
      <c r="W213" s="3"/>
      <c r="X213" s="2"/>
      <c r="Y213" s="1"/>
      <c r="Z213" s="1"/>
    </row>
    <row r="214" spans="1:26" x14ac:dyDescent="0.4">
      <c r="A214" s="1"/>
      <c r="B214" s="1"/>
      <c r="C214" s="1"/>
      <c r="D214" s="2"/>
      <c r="E214" s="2"/>
      <c r="F214" s="2"/>
      <c r="G214" s="2"/>
      <c r="H214" s="2"/>
      <c r="I214" s="2"/>
      <c r="J214" s="3"/>
      <c r="K214" s="3"/>
      <c r="L214" s="2"/>
      <c r="M214" s="4"/>
      <c r="N214" s="4"/>
      <c r="O214" s="1"/>
      <c r="P214" s="1"/>
      <c r="Q214" s="1"/>
      <c r="R214" s="4"/>
      <c r="S214" s="1"/>
      <c r="T214" s="1"/>
      <c r="U214" s="2"/>
      <c r="V214" s="3"/>
      <c r="W214" s="3"/>
      <c r="X214" s="2"/>
      <c r="Y214" s="1"/>
      <c r="Z214" s="1"/>
    </row>
    <row r="215" spans="1:26" x14ac:dyDescent="0.4">
      <c r="A215" s="1"/>
      <c r="B215" s="1"/>
      <c r="C215" s="1"/>
      <c r="D215" s="2"/>
      <c r="E215" s="2"/>
      <c r="F215" s="2"/>
      <c r="G215" s="2"/>
      <c r="H215" s="2"/>
      <c r="I215" s="2"/>
      <c r="J215" s="3"/>
      <c r="K215" s="3"/>
      <c r="L215" s="2"/>
      <c r="M215" s="4"/>
      <c r="N215" s="4"/>
      <c r="O215" s="1"/>
      <c r="P215" s="1"/>
      <c r="Q215" s="1"/>
      <c r="R215" s="4"/>
      <c r="S215" s="1"/>
      <c r="T215" s="1"/>
      <c r="U215" s="2"/>
      <c r="V215" s="3"/>
      <c r="W215" s="3"/>
      <c r="X215" s="2"/>
      <c r="Y215" s="1"/>
      <c r="Z215" s="1"/>
    </row>
    <row r="216" spans="1:26" x14ac:dyDescent="0.4">
      <c r="A216" s="1"/>
      <c r="B216" s="1"/>
      <c r="C216" s="1"/>
      <c r="D216" s="2"/>
      <c r="E216" s="2"/>
      <c r="F216" s="2"/>
      <c r="G216" s="2"/>
      <c r="H216" s="2"/>
      <c r="I216" s="2"/>
      <c r="J216" s="3"/>
      <c r="K216" s="3"/>
      <c r="L216" s="2"/>
      <c r="M216" s="4"/>
      <c r="N216" s="4"/>
      <c r="O216" s="1"/>
      <c r="P216" s="1"/>
      <c r="Q216" s="1"/>
      <c r="R216" s="4"/>
      <c r="S216" s="1"/>
      <c r="T216" s="1"/>
      <c r="U216" s="2"/>
      <c r="V216" s="3"/>
      <c r="W216" s="3"/>
      <c r="X216" s="2"/>
      <c r="Y216" s="1"/>
      <c r="Z216" s="1"/>
    </row>
    <row r="217" spans="1:26" x14ac:dyDescent="0.4">
      <c r="A217" s="1"/>
      <c r="B217" s="1"/>
      <c r="C217" s="1"/>
      <c r="D217" s="2"/>
      <c r="E217" s="2"/>
      <c r="F217" s="2"/>
      <c r="G217" s="2"/>
      <c r="H217" s="2"/>
      <c r="I217" s="2"/>
      <c r="J217" s="3"/>
      <c r="K217" s="3"/>
      <c r="L217" s="2"/>
      <c r="M217" s="4"/>
      <c r="N217" s="4"/>
      <c r="O217" s="1"/>
      <c r="P217" s="1"/>
      <c r="Q217" s="1"/>
      <c r="R217" s="4"/>
      <c r="S217" s="1"/>
      <c r="T217" s="1"/>
      <c r="U217" s="2"/>
      <c r="V217" s="3"/>
      <c r="W217" s="3"/>
      <c r="X217" s="2"/>
      <c r="Y217" s="1"/>
      <c r="Z217" s="1"/>
    </row>
    <row r="218" spans="1:26" x14ac:dyDescent="0.4">
      <c r="A218" s="1"/>
      <c r="B218" s="1"/>
      <c r="C218" s="1"/>
      <c r="D218" s="2"/>
      <c r="E218" s="2"/>
      <c r="F218" s="2"/>
      <c r="G218" s="2"/>
      <c r="H218" s="2"/>
      <c r="I218" s="2"/>
      <c r="J218" s="3"/>
      <c r="K218" s="3"/>
      <c r="L218" s="2"/>
      <c r="M218" s="4"/>
      <c r="N218" s="4"/>
      <c r="O218" s="1"/>
      <c r="P218" s="1"/>
      <c r="Q218" s="1"/>
      <c r="R218" s="4"/>
      <c r="S218" s="1"/>
      <c r="T218" s="1"/>
      <c r="U218" s="2"/>
      <c r="V218" s="3"/>
      <c r="W218" s="3"/>
      <c r="X218" s="2"/>
      <c r="Y218" s="1"/>
      <c r="Z218" s="1"/>
    </row>
    <row r="219" spans="1:26" x14ac:dyDescent="0.4">
      <c r="A219" s="1"/>
      <c r="B219" s="1"/>
      <c r="C219" s="1"/>
      <c r="D219" s="2"/>
      <c r="E219" s="2"/>
      <c r="F219" s="2"/>
      <c r="G219" s="2"/>
      <c r="H219" s="2"/>
      <c r="I219" s="2"/>
      <c r="J219" s="3"/>
      <c r="K219" s="3"/>
      <c r="L219" s="2"/>
      <c r="M219" s="4"/>
      <c r="N219" s="4"/>
      <c r="O219" s="1"/>
      <c r="P219" s="1"/>
      <c r="Q219" s="1"/>
      <c r="R219" s="4"/>
      <c r="S219" s="1"/>
      <c r="T219" s="1"/>
      <c r="U219" s="2"/>
      <c r="V219" s="3"/>
      <c r="W219" s="3"/>
      <c r="X219" s="2"/>
      <c r="Y219" s="1"/>
      <c r="Z219" s="1"/>
    </row>
    <row r="220" spans="1:26" x14ac:dyDescent="0.4">
      <c r="A220" s="1"/>
      <c r="B220" s="1"/>
      <c r="C220" s="1"/>
      <c r="D220" s="2"/>
      <c r="E220" s="2"/>
      <c r="F220" s="2"/>
      <c r="G220" s="2"/>
      <c r="H220" s="2"/>
      <c r="I220" s="2"/>
      <c r="J220" s="3"/>
      <c r="K220" s="3"/>
      <c r="L220" s="2"/>
      <c r="M220" s="4"/>
      <c r="N220" s="4"/>
      <c r="O220" s="1"/>
      <c r="P220" s="1"/>
      <c r="Q220" s="1"/>
      <c r="R220" s="4"/>
      <c r="S220" s="1"/>
      <c r="T220" s="1"/>
      <c r="U220" s="2"/>
      <c r="V220" s="3"/>
      <c r="W220" s="3"/>
      <c r="X220" s="2"/>
      <c r="Y220" s="1"/>
      <c r="Z220" s="1"/>
    </row>
    <row r="221" spans="1:26" x14ac:dyDescent="0.4">
      <c r="A221" s="1"/>
      <c r="B221" s="1"/>
      <c r="C221" s="1"/>
      <c r="D221" s="2"/>
      <c r="E221" s="2"/>
      <c r="F221" s="2"/>
      <c r="G221" s="2"/>
      <c r="H221" s="2"/>
      <c r="I221" s="2"/>
      <c r="J221" s="3"/>
      <c r="K221" s="3"/>
      <c r="L221" s="2"/>
      <c r="M221" s="4"/>
      <c r="N221" s="4"/>
      <c r="O221" s="1"/>
      <c r="P221" s="1"/>
      <c r="Q221" s="1"/>
      <c r="R221" s="4"/>
      <c r="S221" s="1"/>
      <c r="T221" s="1"/>
      <c r="U221" s="2"/>
      <c r="V221" s="3"/>
      <c r="W221" s="3"/>
      <c r="X221" s="2"/>
      <c r="Y221" s="1"/>
      <c r="Z221" s="1"/>
    </row>
    <row r="222" spans="1:26" x14ac:dyDescent="0.4">
      <c r="A222" s="1"/>
      <c r="B222" s="1"/>
      <c r="C222" s="1"/>
      <c r="D222" s="2"/>
      <c r="E222" s="2"/>
      <c r="F222" s="2"/>
      <c r="G222" s="2"/>
      <c r="H222" s="2"/>
      <c r="I222" s="2"/>
      <c r="J222" s="3"/>
      <c r="K222" s="3"/>
      <c r="L222" s="2"/>
      <c r="M222" s="4"/>
      <c r="N222" s="4"/>
      <c r="O222" s="1"/>
      <c r="P222" s="1"/>
      <c r="Q222" s="1"/>
      <c r="R222" s="4"/>
      <c r="S222" s="1"/>
      <c r="T222" s="1"/>
      <c r="U222" s="2"/>
      <c r="V222" s="3"/>
      <c r="W222" s="3"/>
      <c r="X222" s="2"/>
      <c r="Y222" s="1"/>
      <c r="Z222" s="1"/>
    </row>
    <row r="223" spans="1:26" x14ac:dyDescent="0.4">
      <c r="A223" s="1"/>
      <c r="B223" s="1"/>
      <c r="C223" s="1"/>
      <c r="D223" s="2"/>
      <c r="E223" s="2"/>
      <c r="F223" s="2"/>
      <c r="G223" s="2"/>
      <c r="H223" s="2"/>
      <c r="I223" s="2"/>
      <c r="J223" s="3"/>
      <c r="K223" s="3"/>
      <c r="L223" s="2"/>
      <c r="M223" s="4"/>
      <c r="N223" s="4"/>
      <c r="O223" s="1"/>
      <c r="P223" s="1"/>
      <c r="Q223" s="1"/>
      <c r="R223" s="4"/>
      <c r="S223" s="1"/>
      <c r="T223" s="1"/>
      <c r="U223" s="2"/>
      <c r="V223" s="3"/>
      <c r="W223" s="3"/>
      <c r="X223" s="2"/>
      <c r="Y223" s="1"/>
      <c r="Z223" s="1"/>
    </row>
    <row r="224" spans="1:26" x14ac:dyDescent="0.4">
      <c r="A224" s="1"/>
      <c r="B224" s="1"/>
      <c r="C224" s="1"/>
      <c r="D224" s="2"/>
      <c r="E224" s="2"/>
      <c r="F224" s="2"/>
      <c r="G224" s="2"/>
      <c r="H224" s="2"/>
      <c r="I224" s="2"/>
      <c r="J224" s="3"/>
      <c r="K224" s="3"/>
      <c r="L224" s="2"/>
      <c r="M224" s="4"/>
      <c r="N224" s="4"/>
      <c r="O224" s="1"/>
      <c r="P224" s="1"/>
      <c r="Q224" s="1"/>
      <c r="R224" s="4"/>
      <c r="S224" s="1"/>
      <c r="T224" s="1"/>
      <c r="U224" s="2"/>
      <c r="V224" s="3"/>
      <c r="W224" s="3"/>
      <c r="X224" s="2"/>
      <c r="Y224" s="1"/>
      <c r="Z224" s="1"/>
    </row>
    <row r="225" spans="1:26" x14ac:dyDescent="0.4">
      <c r="A225" s="1"/>
      <c r="B225" s="1"/>
      <c r="C225" s="1"/>
      <c r="D225" s="2"/>
      <c r="E225" s="2"/>
      <c r="F225" s="2"/>
      <c r="G225" s="2"/>
      <c r="H225" s="2"/>
      <c r="I225" s="2"/>
      <c r="J225" s="3"/>
      <c r="K225" s="3"/>
      <c r="L225" s="2"/>
      <c r="M225" s="4"/>
      <c r="N225" s="4"/>
      <c r="O225" s="1"/>
      <c r="P225" s="1"/>
      <c r="Q225" s="1"/>
      <c r="R225" s="4"/>
      <c r="S225" s="1"/>
      <c r="T225" s="1"/>
      <c r="U225" s="2"/>
      <c r="V225" s="3"/>
      <c r="W225" s="3"/>
      <c r="X225" s="2"/>
      <c r="Y225" s="1"/>
      <c r="Z225" s="1"/>
    </row>
    <row r="226" spans="1:26" x14ac:dyDescent="0.4">
      <c r="A226" s="1"/>
      <c r="B226" s="1"/>
      <c r="C226" s="1"/>
      <c r="D226" s="2"/>
      <c r="E226" s="2"/>
      <c r="F226" s="2"/>
      <c r="G226" s="2"/>
      <c r="H226" s="2"/>
      <c r="I226" s="2"/>
      <c r="J226" s="3"/>
      <c r="K226" s="3"/>
      <c r="L226" s="2"/>
      <c r="M226" s="4"/>
      <c r="N226" s="4"/>
      <c r="O226" s="1"/>
      <c r="P226" s="1"/>
      <c r="Q226" s="1"/>
      <c r="R226" s="4"/>
      <c r="S226" s="1"/>
      <c r="T226" s="1"/>
      <c r="U226" s="2"/>
      <c r="V226" s="3"/>
      <c r="W226" s="3"/>
      <c r="X226" s="2"/>
      <c r="Y226" s="1"/>
      <c r="Z226" s="1"/>
    </row>
    <row r="227" spans="1:26" x14ac:dyDescent="0.4">
      <c r="A227" s="1"/>
      <c r="B227" s="1"/>
      <c r="C227" s="1"/>
      <c r="D227" s="2"/>
      <c r="E227" s="2"/>
      <c r="F227" s="2"/>
      <c r="G227" s="2"/>
      <c r="H227" s="2"/>
      <c r="I227" s="2"/>
      <c r="J227" s="3"/>
      <c r="K227" s="3"/>
      <c r="L227" s="2"/>
      <c r="M227" s="4"/>
      <c r="N227" s="4"/>
      <c r="O227" s="1"/>
      <c r="P227" s="1"/>
      <c r="Q227" s="1"/>
      <c r="R227" s="4"/>
      <c r="S227" s="1"/>
      <c r="T227" s="1"/>
      <c r="U227" s="2"/>
      <c r="V227" s="3"/>
      <c r="W227" s="3"/>
      <c r="X227" s="2"/>
      <c r="Y227" s="1"/>
      <c r="Z227" s="1"/>
    </row>
    <row r="228" spans="1:26" x14ac:dyDescent="0.4">
      <c r="A228" s="1"/>
      <c r="B228" s="1"/>
      <c r="C228" s="1"/>
      <c r="D228" s="2"/>
      <c r="E228" s="2"/>
      <c r="F228" s="2"/>
      <c r="G228" s="2"/>
      <c r="H228" s="2"/>
      <c r="I228" s="2"/>
      <c r="J228" s="3"/>
      <c r="K228" s="3"/>
      <c r="L228" s="2"/>
      <c r="M228" s="4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4">
      <c r="A229" s="1"/>
      <c r="B229" s="1"/>
      <c r="C229" s="1"/>
      <c r="D229" s="2"/>
      <c r="E229" s="2"/>
      <c r="F229" s="2"/>
      <c r="G229" s="2"/>
      <c r="H229" s="2"/>
      <c r="I229" s="2"/>
      <c r="J229" s="3"/>
      <c r="K229" s="3"/>
      <c r="L229" s="2"/>
      <c r="M229" s="4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4">
      <c r="A230" s="1"/>
      <c r="B230" s="1"/>
      <c r="C230" s="1"/>
      <c r="D230" s="2"/>
      <c r="E230" s="2"/>
      <c r="F230" s="2"/>
      <c r="G230" s="2"/>
      <c r="H230" s="2"/>
      <c r="I230" s="2"/>
      <c r="J230" s="3"/>
      <c r="K230" s="3"/>
      <c r="L230" s="2"/>
      <c r="M230" s="4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4">
      <c r="A231" s="1"/>
      <c r="B231" s="1"/>
      <c r="C231" s="1"/>
      <c r="D231" s="2"/>
      <c r="E231" s="2"/>
      <c r="F231" s="2"/>
      <c r="G231" s="2"/>
      <c r="H231" s="2"/>
      <c r="I231" s="2"/>
      <c r="J231" s="3"/>
      <c r="K231" s="3"/>
      <c r="L231" s="2"/>
      <c r="M231" s="4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4">
      <c r="A232" s="1"/>
      <c r="B232" s="1"/>
      <c r="C232" s="1"/>
      <c r="D232" s="2"/>
      <c r="E232" s="2"/>
      <c r="F232" s="2"/>
      <c r="G232" s="2"/>
      <c r="H232" s="2"/>
      <c r="I232" s="2"/>
      <c r="J232" s="3"/>
      <c r="K232" s="3"/>
      <c r="L232" s="2"/>
      <c r="M232" s="4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4">
      <c r="A233" s="1"/>
      <c r="B233" s="1"/>
      <c r="C233" s="1"/>
      <c r="D233" s="2"/>
      <c r="E233" s="2"/>
      <c r="F233" s="2"/>
      <c r="G233" s="2"/>
      <c r="H233" s="2"/>
      <c r="I233" s="2"/>
      <c r="J233" s="3"/>
      <c r="K233" s="3"/>
      <c r="L233" s="2"/>
      <c r="M233" s="4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4">
      <c r="A234" s="1"/>
      <c r="B234" s="1"/>
      <c r="C234" s="1"/>
      <c r="D234" s="2"/>
      <c r="E234" s="2"/>
      <c r="F234" s="2"/>
      <c r="G234" s="2"/>
      <c r="H234" s="2"/>
      <c r="I234" s="2"/>
      <c r="J234" s="3"/>
      <c r="K234" s="3"/>
      <c r="L234" s="2"/>
      <c r="M234" s="4"/>
      <c r="N234" s="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4">
      <c r="A235" s="1"/>
      <c r="B235" s="1"/>
      <c r="C235" s="1"/>
      <c r="D235" s="2"/>
      <c r="E235" s="2"/>
      <c r="F235" s="2"/>
      <c r="G235" s="2"/>
      <c r="H235" s="2"/>
      <c r="I235" s="2"/>
      <c r="J235" s="3"/>
      <c r="K235" s="3"/>
      <c r="L235" s="2"/>
      <c r="M235" s="4"/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4">
      <c r="A236" s="1"/>
      <c r="B236" s="1"/>
      <c r="C236" s="1"/>
      <c r="D236" s="2"/>
      <c r="E236" s="2"/>
      <c r="F236" s="2"/>
      <c r="G236" s="2"/>
      <c r="H236" s="2"/>
      <c r="I236" s="2"/>
      <c r="J236" s="3"/>
      <c r="K236" s="3"/>
      <c r="L236" s="2"/>
      <c r="M236" s="4"/>
      <c r="N236" s="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s="5" customFormat="1" x14ac:dyDescent="0.4">
      <c r="A237" s="1"/>
      <c r="B237" s="1"/>
      <c r="C237" s="1"/>
      <c r="D237" s="2"/>
      <c r="E237" s="2"/>
      <c r="F237" s="2"/>
      <c r="G237" s="2"/>
      <c r="H237" s="2"/>
      <c r="I237" s="2"/>
      <c r="J237" s="3"/>
      <c r="K237" s="3"/>
      <c r="L237" s="2"/>
      <c r="M237" s="4"/>
      <c r="N237" s="4"/>
      <c r="O237" s="290"/>
      <c r="P237" s="291"/>
      <c r="Q237" s="291"/>
      <c r="R237" s="291"/>
      <c r="S237" s="1"/>
      <c r="T237" s="1"/>
      <c r="U237" s="1"/>
      <c r="V237" s="1"/>
      <c r="W237" s="1"/>
      <c r="X237" s="1"/>
      <c r="Y237" s="1"/>
      <c r="Z237" s="1"/>
    </row>
    <row r="238" spans="1:26" x14ac:dyDescent="0.4">
      <c r="A238" s="1"/>
      <c r="B238" s="1"/>
      <c r="C238" s="1"/>
      <c r="D238" s="2"/>
      <c r="E238" s="2"/>
      <c r="F238" s="2"/>
      <c r="G238" s="2"/>
      <c r="H238" s="2"/>
      <c r="I238" s="2"/>
      <c r="J238" s="3"/>
      <c r="K238" s="3"/>
      <c r="L238" s="2"/>
      <c r="M238" s="4"/>
      <c r="N238" s="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4">
      <c r="A239" s="1"/>
      <c r="B239" s="1"/>
      <c r="C239" s="1"/>
      <c r="D239" s="2"/>
      <c r="E239" s="2"/>
      <c r="F239" s="2"/>
      <c r="G239" s="2"/>
      <c r="H239" s="2"/>
      <c r="I239" s="2"/>
      <c r="J239" s="3"/>
      <c r="K239" s="3"/>
      <c r="L239" s="2"/>
      <c r="M239" s="4"/>
      <c r="N239" s="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4">
      <c r="A240" s="1"/>
      <c r="B240" s="1"/>
      <c r="C240" s="1"/>
      <c r="D240" s="2"/>
      <c r="E240" s="2"/>
      <c r="F240" s="2"/>
      <c r="G240" s="2"/>
      <c r="H240" s="2"/>
      <c r="I240" s="2"/>
      <c r="J240" s="3"/>
      <c r="K240" s="3"/>
      <c r="L240" s="2"/>
      <c r="M240" s="4"/>
      <c r="N240" s="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4">
      <c r="A241" s="1"/>
      <c r="B241" s="1"/>
      <c r="C241" s="1"/>
      <c r="D241" s="2"/>
      <c r="E241" s="2"/>
      <c r="F241" s="2"/>
      <c r="G241" s="2"/>
      <c r="H241" s="2"/>
      <c r="I241" s="2"/>
      <c r="J241" s="3"/>
      <c r="K241" s="3"/>
      <c r="L241" s="2"/>
      <c r="M241" s="4"/>
      <c r="N241" s="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4">
      <c r="A242" s="1"/>
      <c r="B242" s="1"/>
      <c r="C242" s="1"/>
      <c r="D242" s="2"/>
      <c r="E242" s="2"/>
      <c r="F242" s="2"/>
      <c r="G242" s="2"/>
      <c r="H242" s="2"/>
      <c r="I242" s="2"/>
      <c r="J242" s="3"/>
      <c r="K242" s="3"/>
      <c r="L242" s="2"/>
      <c r="M242" s="4"/>
      <c r="N242" s="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4">
      <c r="A243" s="1"/>
      <c r="B243" s="1"/>
      <c r="C243" s="1"/>
      <c r="D243" s="2"/>
      <c r="E243" s="2"/>
      <c r="F243" s="2"/>
      <c r="G243" s="2"/>
      <c r="H243" s="2"/>
      <c r="I243" s="2"/>
      <c r="J243" s="3"/>
      <c r="K243" s="3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4">
      <c r="A244" s="1"/>
      <c r="B244" s="1"/>
      <c r="C244" s="1"/>
      <c r="D244" s="2"/>
      <c r="E244" s="2"/>
      <c r="F244" s="2"/>
      <c r="G244" s="2"/>
      <c r="H244" s="2"/>
      <c r="I244" s="2"/>
      <c r="J244" s="3"/>
      <c r="K244" s="3"/>
      <c r="L244" s="2"/>
      <c r="M244" s="4"/>
      <c r="N244" s="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4">
      <c r="A245" s="1"/>
      <c r="B245" s="1"/>
      <c r="C245" s="1"/>
      <c r="D245" s="2"/>
      <c r="E245" s="2"/>
      <c r="F245" s="2"/>
      <c r="G245" s="2"/>
      <c r="H245" s="2"/>
      <c r="I245" s="2"/>
      <c r="J245" s="3"/>
      <c r="K245" s="3"/>
      <c r="L245" s="2"/>
      <c r="M245" s="4"/>
      <c r="N245" s="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4">
      <c r="A246" s="1"/>
      <c r="B246" s="1"/>
      <c r="C246" s="1"/>
      <c r="D246" s="2"/>
      <c r="E246" s="2"/>
      <c r="F246" s="2"/>
      <c r="G246" s="2"/>
      <c r="H246" s="2"/>
      <c r="I246" s="2"/>
      <c r="J246" s="3"/>
      <c r="K246" s="3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4">
      <c r="A247" s="1"/>
      <c r="B247" s="1"/>
      <c r="C247" s="1"/>
      <c r="D247" s="2"/>
      <c r="E247" s="2"/>
      <c r="F247" s="2"/>
      <c r="G247" s="2"/>
      <c r="H247" s="2"/>
      <c r="I247" s="2"/>
      <c r="J247" s="3"/>
      <c r="K247" s="3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4">
      <c r="A248" s="1"/>
      <c r="B248" s="1"/>
      <c r="C248" s="1"/>
      <c r="D248" s="2"/>
      <c r="E248" s="2"/>
      <c r="F248" s="2"/>
      <c r="G248" s="2"/>
      <c r="H248" s="2"/>
      <c r="I248" s="2"/>
      <c r="J248" s="3"/>
      <c r="K248" s="3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4">
      <c r="A249" s="1"/>
      <c r="B249" s="1"/>
      <c r="C249" s="1"/>
      <c r="D249" s="2"/>
      <c r="E249" s="2"/>
      <c r="F249" s="2"/>
      <c r="G249" s="2"/>
      <c r="H249" s="2"/>
      <c r="I249" s="2"/>
      <c r="J249" s="3"/>
      <c r="K249" s="3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4">
      <c r="A250" s="1"/>
      <c r="B250" s="1"/>
      <c r="C250" s="1"/>
      <c r="D250" s="2"/>
      <c r="E250" s="2"/>
      <c r="F250" s="2"/>
      <c r="G250" s="2"/>
      <c r="H250" s="2"/>
      <c r="I250" s="2"/>
      <c r="J250" s="3"/>
      <c r="K250" s="3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4">
      <c r="A251" s="1"/>
      <c r="B251" s="1"/>
      <c r="C251" s="1"/>
      <c r="D251" s="2"/>
      <c r="E251" s="2"/>
      <c r="F251" s="2"/>
      <c r="G251" s="2"/>
      <c r="H251" s="2"/>
      <c r="I251" s="2"/>
      <c r="J251" s="3"/>
      <c r="K251" s="3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4">
      <c r="A252" s="1"/>
      <c r="B252" s="1"/>
      <c r="C252" s="1"/>
      <c r="D252" s="2"/>
      <c r="E252" s="2"/>
      <c r="F252" s="2"/>
      <c r="G252" s="2"/>
      <c r="H252" s="2"/>
      <c r="I252" s="2"/>
      <c r="J252" s="3"/>
      <c r="K252" s="3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4">
      <c r="A253" s="1"/>
      <c r="B253" s="1"/>
      <c r="C253" s="1"/>
      <c r="D253" s="2"/>
      <c r="E253" s="2"/>
      <c r="F253" s="2"/>
      <c r="G253" s="2"/>
      <c r="H253" s="2"/>
      <c r="I253" s="2"/>
      <c r="J253" s="3"/>
      <c r="K253" s="3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4">
      <c r="A254" s="1"/>
      <c r="B254" s="1"/>
      <c r="C254" s="1"/>
      <c r="D254" s="2"/>
      <c r="E254" s="2"/>
      <c r="F254" s="2"/>
      <c r="G254" s="2"/>
      <c r="H254" s="2"/>
      <c r="I254" s="2"/>
      <c r="J254" s="3"/>
      <c r="K254" s="3"/>
      <c r="L254" s="2"/>
      <c r="M254" s="4"/>
      <c r="N254" s="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4">
      <c r="A255" s="1"/>
      <c r="B255" s="1"/>
      <c r="C255" s="1"/>
      <c r="D255" s="2"/>
      <c r="E255" s="2"/>
      <c r="F255" s="2"/>
      <c r="G255" s="2"/>
      <c r="H255" s="2"/>
      <c r="I255" s="2"/>
      <c r="J255" s="3"/>
      <c r="K255" s="3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4">
      <c r="A256" s="1"/>
      <c r="B256" s="1"/>
      <c r="C256" s="1"/>
      <c r="D256" s="2"/>
      <c r="E256" s="2"/>
      <c r="F256" s="2"/>
      <c r="G256" s="2"/>
      <c r="H256" s="2"/>
      <c r="I256" s="2"/>
      <c r="J256" s="3"/>
      <c r="K256" s="3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4">
      <c r="A257" s="1"/>
      <c r="B257" s="1"/>
      <c r="C257" s="1"/>
      <c r="D257" s="2"/>
      <c r="E257" s="2"/>
      <c r="F257" s="2"/>
      <c r="G257" s="2"/>
      <c r="H257" s="2"/>
      <c r="I257" s="2"/>
      <c r="J257" s="3"/>
      <c r="K257" s="3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26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</sheetData>
  <mergeCells count="17">
    <mergeCell ref="M78:M79"/>
    <mergeCell ref="N78:N79"/>
    <mergeCell ref="O78:V79"/>
    <mergeCell ref="O237:R237"/>
    <mergeCell ref="A78:A79"/>
    <mergeCell ref="B78:B79"/>
    <mergeCell ref="C78:C79"/>
    <mergeCell ref="J78:J79"/>
    <mergeCell ref="K78:K79"/>
    <mergeCell ref="L78:L79"/>
    <mergeCell ref="O4:T4"/>
    <mergeCell ref="P5:T5"/>
    <mergeCell ref="A4:A5"/>
    <mergeCell ref="D4:I4"/>
    <mergeCell ref="M4:M5"/>
    <mergeCell ref="N4:N5"/>
    <mergeCell ref="D5:I5"/>
  </mergeCells>
  <phoneticPr fontId="2" type="noConversion"/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2C879-B578-4DFA-9BC6-07EC1E2243C9}">
  <sheetPr>
    <tabColor rgb="FFC00000"/>
  </sheetPr>
  <dimension ref="A1:Q27"/>
  <sheetViews>
    <sheetView workbookViewId="0">
      <selection activeCell="F29" sqref="F29"/>
    </sheetView>
  </sheetViews>
  <sheetFormatPr defaultColWidth="8.69921875" defaultRowHeight="17.399999999999999" x14ac:dyDescent="0.4"/>
  <cols>
    <col min="1" max="1" width="15.59765625" style="40" customWidth="1"/>
    <col min="2" max="3" width="8.69921875" style="40"/>
    <col min="4" max="4" width="11.09765625" style="40" bestFit="1" customWidth="1"/>
    <col min="5" max="12" width="8.69921875" style="40"/>
    <col min="13" max="13" width="9.5" style="40" customWidth="1"/>
    <col min="14" max="14" width="8.69921875" style="40"/>
    <col min="15" max="15" width="15.19921875" style="40" customWidth="1"/>
    <col min="16" max="16" width="14.8984375" style="40" customWidth="1"/>
    <col min="17" max="16384" width="8.69921875" style="40"/>
  </cols>
  <sheetData>
    <row r="1" spans="1:17" x14ac:dyDescent="0.4">
      <c r="A1" s="34"/>
      <c r="B1" s="33" t="s">
        <v>34</v>
      </c>
      <c r="C1" s="33"/>
      <c r="D1" s="33"/>
      <c r="E1" s="42"/>
      <c r="F1" s="43" t="s">
        <v>99</v>
      </c>
      <c r="G1" s="34"/>
      <c r="H1" s="33"/>
      <c r="I1" s="33"/>
      <c r="J1" s="34"/>
      <c r="K1" s="33"/>
      <c r="L1" s="34"/>
      <c r="M1" s="34"/>
      <c r="N1" s="33" t="s">
        <v>34</v>
      </c>
      <c r="O1" s="35"/>
      <c r="P1" s="35" t="s">
        <v>33</v>
      </c>
    </row>
    <row r="2" spans="1:17" ht="18" thickBot="1" x14ac:dyDescent="0.45">
      <c r="A2" s="34" t="s">
        <v>32</v>
      </c>
      <c r="B2" s="33" t="s">
        <v>31</v>
      </c>
      <c r="C2" s="33"/>
      <c r="D2" s="33" t="s">
        <v>30</v>
      </c>
      <c r="E2" s="44"/>
      <c r="F2" s="45"/>
      <c r="G2" s="34"/>
      <c r="H2" s="33"/>
      <c r="I2" s="33"/>
      <c r="J2" s="34"/>
      <c r="K2" s="33"/>
      <c r="L2" s="34"/>
      <c r="M2" s="34"/>
      <c r="N2" s="33" t="s">
        <v>29</v>
      </c>
      <c r="O2" s="32"/>
      <c r="P2" s="32" t="s">
        <v>28</v>
      </c>
    </row>
    <row r="3" spans="1:17" x14ac:dyDescent="0.4">
      <c r="A3" s="30"/>
      <c r="B3" s="29">
        <f>SUM(B6:B49)</f>
        <v>1230</v>
      </c>
      <c r="C3" s="29"/>
      <c r="D3" s="31"/>
      <c r="E3" s="31"/>
      <c r="F3" s="31"/>
      <c r="G3" s="30"/>
      <c r="H3" s="31"/>
      <c r="I3" s="31"/>
      <c r="J3" s="30"/>
      <c r="K3" s="31"/>
      <c r="L3" s="30"/>
      <c r="M3" s="30"/>
      <c r="N3" s="29">
        <f>SUM(N6:N2479)</f>
        <v>1171.6666666666667</v>
      </c>
      <c r="O3" s="29"/>
      <c r="P3" s="28">
        <f>N3/B3</f>
        <v>0.95257452574525747</v>
      </c>
    </row>
    <row r="4" spans="1:17" ht="23.4" customHeight="1" x14ac:dyDescent="0.4">
      <c r="A4" s="297" t="s">
        <v>27</v>
      </c>
      <c r="B4" s="41" t="s">
        <v>26</v>
      </c>
      <c r="C4" s="26" t="s">
        <v>22</v>
      </c>
      <c r="D4" s="299" t="s">
        <v>102</v>
      </c>
      <c r="E4" s="300"/>
      <c r="F4" s="300"/>
      <c r="G4" s="300"/>
      <c r="H4" s="300"/>
      <c r="I4" s="300"/>
      <c r="J4" s="300"/>
      <c r="K4" s="300"/>
      <c r="L4" s="301"/>
      <c r="M4" s="27" t="s">
        <v>24</v>
      </c>
      <c r="N4" s="26" t="s">
        <v>22</v>
      </c>
      <c r="O4" s="297" t="s">
        <v>21</v>
      </c>
      <c r="P4" s="297" t="s">
        <v>20</v>
      </c>
    </row>
    <row r="5" spans="1:17" ht="21" customHeight="1" x14ac:dyDescent="0.4">
      <c r="A5" s="298"/>
      <c r="B5" s="41" t="s">
        <v>19</v>
      </c>
      <c r="C5" s="24" t="s">
        <v>52</v>
      </c>
      <c r="D5" s="302" t="s">
        <v>55</v>
      </c>
      <c r="E5" s="303"/>
      <c r="F5" s="303"/>
      <c r="G5" s="304"/>
      <c r="H5" s="302" t="s">
        <v>54</v>
      </c>
      <c r="I5" s="303"/>
      <c r="J5" s="304"/>
      <c r="K5" s="302" t="s">
        <v>53</v>
      </c>
      <c r="L5" s="304"/>
      <c r="M5" s="25" t="s">
        <v>17</v>
      </c>
      <c r="N5" s="24" t="s">
        <v>52</v>
      </c>
      <c r="O5" s="298"/>
      <c r="P5" s="298"/>
    </row>
    <row r="6" spans="1:17" x14ac:dyDescent="0.4">
      <c r="A6" s="40" t="s">
        <v>115</v>
      </c>
      <c r="B6" s="23">
        <v>350</v>
      </c>
      <c r="C6" s="22">
        <f>IF(B6&gt;310,B6*1.225,B6*1.216)</f>
        <v>428.75000000000006</v>
      </c>
      <c r="D6" s="48">
        <v>44208</v>
      </c>
      <c r="E6" s="12">
        <v>1</v>
      </c>
      <c r="F6" s="12">
        <v>1</v>
      </c>
      <c r="G6" s="17">
        <f>COUNTIF(D6:F6,"1")</f>
        <v>2</v>
      </c>
      <c r="H6" s="12">
        <v>1</v>
      </c>
      <c r="I6" s="12">
        <v>1</v>
      </c>
      <c r="J6" s="17">
        <f>COUNTIF(H6:I6,"1")</f>
        <v>2</v>
      </c>
      <c r="K6" s="12">
        <v>1</v>
      </c>
      <c r="L6" s="17">
        <f>COUNTIF(K6,"1")</f>
        <v>1</v>
      </c>
      <c r="M6" s="49">
        <f>COUNTIF(D6:F6,"1")+COUNTIF(H6:I6,"1")+COUNTIF(K6,"1")</f>
        <v>5</v>
      </c>
      <c r="N6" s="22">
        <f>M6*(B6/6)</f>
        <v>291.66666666666669</v>
      </c>
      <c r="O6" s="18">
        <v>44212</v>
      </c>
      <c r="P6" s="50">
        <f>O6+180</f>
        <v>44392</v>
      </c>
      <c r="Q6" s="40" t="s">
        <v>103</v>
      </c>
    </row>
    <row r="7" spans="1:17" x14ac:dyDescent="0.4">
      <c r="A7" s="40" t="s">
        <v>116</v>
      </c>
      <c r="B7" s="23"/>
      <c r="C7" s="22">
        <f t="shared" ref="C7:C11" si="0">IF(B7&gt;310,B7*1.225,B7*1.216)</f>
        <v>0</v>
      </c>
      <c r="D7" s="21">
        <v>1</v>
      </c>
      <c r="E7" s="12">
        <v>1</v>
      </c>
      <c r="F7" s="12">
        <v>1</v>
      </c>
      <c r="G7" s="17">
        <f t="shared" ref="G7:G27" si="1">COUNTIF(D7:F7,"1")</f>
        <v>3</v>
      </c>
      <c r="H7" s="12">
        <v>1</v>
      </c>
      <c r="I7" s="12">
        <v>1</v>
      </c>
      <c r="J7" s="17">
        <f t="shared" ref="J7:J27" si="2">COUNTIF(H7:I7,"1")</f>
        <v>2</v>
      </c>
      <c r="K7" s="12">
        <v>1</v>
      </c>
      <c r="L7" s="17">
        <f t="shared" ref="L7:L27" si="3">COUNTIF(K7,"1")</f>
        <v>1</v>
      </c>
      <c r="M7" s="49">
        <f t="shared" ref="M7:M27" si="4">COUNTIF(D7:F7,"1")+COUNTIF(H7:I7,"1")+COUNTIF(K7,"1")</f>
        <v>6</v>
      </c>
      <c r="N7" s="22">
        <f t="shared" ref="N7:N27" si="5">M7*(B7/6)</f>
        <v>0</v>
      </c>
      <c r="O7" s="18"/>
      <c r="P7" s="50">
        <f t="shared" ref="P7:P27" si="6">O7+180</f>
        <v>180</v>
      </c>
    </row>
    <row r="8" spans="1:17" x14ac:dyDescent="0.4">
      <c r="A8" s="40" t="s">
        <v>117</v>
      </c>
      <c r="B8" s="23"/>
      <c r="C8" s="22">
        <f t="shared" si="0"/>
        <v>0</v>
      </c>
      <c r="D8" s="21">
        <v>1</v>
      </c>
      <c r="E8" s="12">
        <v>1</v>
      </c>
      <c r="F8" s="12">
        <v>1</v>
      </c>
      <c r="G8" s="17">
        <f t="shared" si="1"/>
        <v>3</v>
      </c>
      <c r="H8" s="12">
        <v>1</v>
      </c>
      <c r="I8" s="12">
        <v>1</v>
      </c>
      <c r="J8" s="17">
        <f t="shared" si="2"/>
        <v>2</v>
      </c>
      <c r="K8" s="12">
        <v>1</v>
      </c>
      <c r="L8" s="17">
        <f t="shared" si="3"/>
        <v>1</v>
      </c>
      <c r="M8" s="49">
        <f t="shared" si="4"/>
        <v>6</v>
      </c>
      <c r="N8" s="22">
        <f t="shared" si="5"/>
        <v>0</v>
      </c>
      <c r="O8" s="18"/>
      <c r="P8" s="50">
        <f t="shared" si="6"/>
        <v>180</v>
      </c>
    </row>
    <row r="9" spans="1:17" x14ac:dyDescent="0.4">
      <c r="A9" s="40" t="s">
        <v>118</v>
      </c>
      <c r="B9" s="23"/>
      <c r="C9" s="22">
        <f t="shared" si="0"/>
        <v>0</v>
      </c>
      <c r="D9" s="21">
        <v>1</v>
      </c>
      <c r="E9" s="12">
        <v>1</v>
      </c>
      <c r="F9" s="12">
        <v>1</v>
      </c>
      <c r="G9" s="17">
        <f t="shared" si="1"/>
        <v>3</v>
      </c>
      <c r="H9" s="12">
        <v>1</v>
      </c>
      <c r="I9" s="12">
        <v>1</v>
      </c>
      <c r="J9" s="17">
        <f t="shared" si="2"/>
        <v>2</v>
      </c>
      <c r="K9" s="12">
        <v>1</v>
      </c>
      <c r="L9" s="17">
        <f t="shared" si="3"/>
        <v>1</v>
      </c>
      <c r="M9" s="49">
        <f t="shared" si="4"/>
        <v>6</v>
      </c>
      <c r="N9" s="22">
        <f t="shared" si="5"/>
        <v>0</v>
      </c>
      <c r="O9" s="18"/>
      <c r="P9" s="50">
        <f t="shared" si="6"/>
        <v>180</v>
      </c>
    </row>
    <row r="10" spans="1:17" x14ac:dyDescent="0.4">
      <c r="A10" s="40" t="s">
        <v>119</v>
      </c>
      <c r="B10" s="23"/>
      <c r="C10" s="22">
        <f t="shared" si="0"/>
        <v>0</v>
      </c>
      <c r="D10" s="21">
        <v>1</v>
      </c>
      <c r="E10" s="12">
        <v>1</v>
      </c>
      <c r="F10" s="12">
        <v>1</v>
      </c>
      <c r="G10" s="17">
        <f t="shared" si="1"/>
        <v>3</v>
      </c>
      <c r="H10" s="12">
        <v>1</v>
      </c>
      <c r="I10" s="12">
        <v>1</v>
      </c>
      <c r="J10" s="17">
        <f t="shared" si="2"/>
        <v>2</v>
      </c>
      <c r="K10" s="12">
        <v>1</v>
      </c>
      <c r="L10" s="17">
        <f t="shared" si="3"/>
        <v>1</v>
      </c>
      <c r="M10" s="49">
        <f t="shared" si="4"/>
        <v>6</v>
      </c>
      <c r="N10" s="22">
        <f t="shared" si="5"/>
        <v>0</v>
      </c>
      <c r="O10" s="18"/>
      <c r="P10" s="50">
        <f t="shared" si="6"/>
        <v>180</v>
      </c>
    </row>
    <row r="11" spans="1:17" x14ac:dyDescent="0.4">
      <c r="A11" s="40" t="s">
        <v>120</v>
      </c>
      <c r="B11" s="23"/>
      <c r="C11" s="22">
        <f t="shared" si="0"/>
        <v>0</v>
      </c>
      <c r="D11" s="21">
        <v>1</v>
      </c>
      <c r="E11" s="12">
        <v>1</v>
      </c>
      <c r="F11" s="12">
        <v>1</v>
      </c>
      <c r="G11" s="17">
        <f t="shared" si="1"/>
        <v>3</v>
      </c>
      <c r="H11" s="12">
        <v>1</v>
      </c>
      <c r="I11" s="12">
        <v>1</v>
      </c>
      <c r="J11" s="17">
        <f t="shared" si="2"/>
        <v>2</v>
      </c>
      <c r="K11" s="12">
        <v>1</v>
      </c>
      <c r="L11" s="17">
        <f t="shared" si="3"/>
        <v>1</v>
      </c>
      <c r="M11" s="49">
        <f t="shared" si="4"/>
        <v>6</v>
      </c>
      <c r="N11" s="22">
        <f t="shared" si="5"/>
        <v>0</v>
      </c>
      <c r="O11" s="18"/>
      <c r="P11" s="50">
        <f t="shared" si="6"/>
        <v>180</v>
      </c>
    </row>
    <row r="12" spans="1:17" x14ac:dyDescent="0.4">
      <c r="B12" s="23"/>
      <c r="C12" s="22">
        <f>IF(B12&gt;310,B12*1.225,B12*1.216)</f>
        <v>0</v>
      </c>
      <c r="D12" s="21">
        <v>1</v>
      </c>
      <c r="E12" s="12">
        <v>1</v>
      </c>
      <c r="F12" s="12">
        <v>1</v>
      </c>
      <c r="G12" s="17">
        <f t="shared" si="1"/>
        <v>3</v>
      </c>
      <c r="H12" s="12">
        <v>1</v>
      </c>
      <c r="I12" s="12">
        <v>1</v>
      </c>
      <c r="J12" s="17">
        <f t="shared" si="2"/>
        <v>2</v>
      </c>
      <c r="K12" s="12">
        <v>1</v>
      </c>
      <c r="L12" s="17">
        <f t="shared" si="3"/>
        <v>1</v>
      </c>
      <c r="M12" s="49">
        <f t="shared" si="4"/>
        <v>6</v>
      </c>
      <c r="N12" s="22">
        <f t="shared" si="5"/>
        <v>0</v>
      </c>
      <c r="O12" s="18"/>
      <c r="P12" s="50">
        <f t="shared" si="6"/>
        <v>180</v>
      </c>
    </row>
    <row r="13" spans="1:17" x14ac:dyDescent="0.4">
      <c r="B13" s="23"/>
      <c r="C13" s="22">
        <f>IF(B13&gt;310,B13*1.225,B13*1.216)</f>
        <v>0</v>
      </c>
      <c r="D13" s="21">
        <v>1</v>
      </c>
      <c r="E13" s="12">
        <v>1</v>
      </c>
      <c r="F13" s="12">
        <v>1</v>
      </c>
      <c r="G13" s="17">
        <f t="shared" si="1"/>
        <v>3</v>
      </c>
      <c r="H13" s="12">
        <v>1</v>
      </c>
      <c r="I13" s="12">
        <v>1</v>
      </c>
      <c r="J13" s="17">
        <f t="shared" si="2"/>
        <v>2</v>
      </c>
      <c r="K13" s="12">
        <v>1</v>
      </c>
      <c r="L13" s="17">
        <f t="shared" si="3"/>
        <v>1</v>
      </c>
      <c r="M13" s="49">
        <f t="shared" si="4"/>
        <v>6</v>
      </c>
      <c r="N13" s="22">
        <f t="shared" si="5"/>
        <v>0</v>
      </c>
      <c r="O13" s="18"/>
      <c r="P13" s="50">
        <f t="shared" si="6"/>
        <v>180</v>
      </c>
    </row>
    <row r="14" spans="1:17" x14ac:dyDescent="0.4">
      <c r="A14" s="40" t="s">
        <v>121</v>
      </c>
      <c r="B14" s="23">
        <v>400</v>
      </c>
      <c r="C14" s="22">
        <f>IF(B14&gt;310,B14*1.225,B14*1.216)</f>
        <v>490.00000000000006</v>
      </c>
      <c r="D14" s="21">
        <v>1</v>
      </c>
      <c r="E14" s="12">
        <v>1</v>
      </c>
      <c r="F14" s="12">
        <v>1</v>
      </c>
      <c r="G14" s="17">
        <f t="shared" si="1"/>
        <v>3</v>
      </c>
      <c r="H14" s="12">
        <v>1</v>
      </c>
      <c r="I14" s="12">
        <v>1</v>
      </c>
      <c r="J14" s="17">
        <f t="shared" si="2"/>
        <v>2</v>
      </c>
      <c r="K14" s="12">
        <v>1</v>
      </c>
      <c r="L14" s="17">
        <f t="shared" si="3"/>
        <v>1</v>
      </c>
      <c r="M14" s="49">
        <f t="shared" si="4"/>
        <v>6</v>
      </c>
      <c r="N14" s="22">
        <f t="shared" si="5"/>
        <v>400</v>
      </c>
      <c r="O14" s="18"/>
      <c r="P14" s="50">
        <f t="shared" si="6"/>
        <v>180</v>
      </c>
    </row>
    <row r="15" spans="1:17" x14ac:dyDescent="0.4">
      <c r="A15" s="40" t="s">
        <v>122</v>
      </c>
      <c r="B15" s="23"/>
      <c r="C15" s="22">
        <f t="shared" ref="C15:C19" si="7">IF(B15&gt;310,B15*1.225,B15*1.216)</f>
        <v>0</v>
      </c>
      <c r="D15" s="21">
        <v>1</v>
      </c>
      <c r="E15" s="12">
        <v>1</v>
      </c>
      <c r="F15" s="12">
        <v>1</v>
      </c>
      <c r="G15" s="17">
        <f t="shared" si="1"/>
        <v>3</v>
      </c>
      <c r="H15" s="12">
        <v>1</v>
      </c>
      <c r="I15" s="12">
        <v>1</v>
      </c>
      <c r="J15" s="17">
        <f t="shared" si="2"/>
        <v>2</v>
      </c>
      <c r="K15" s="12">
        <v>1</v>
      </c>
      <c r="L15" s="17">
        <f t="shared" si="3"/>
        <v>1</v>
      </c>
      <c r="M15" s="49">
        <f t="shared" si="4"/>
        <v>6</v>
      </c>
      <c r="N15" s="22">
        <f t="shared" si="5"/>
        <v>0</v>
      </c>
      <c r="O15" s="18"/>
      <c r="P15" s="50">
        <f t="shared" si="6"/>
        <v>180</v>
      </c>
    </row>
    <row r="16" spans="1:17" x14ac:dyDescent="0.4">
      <c r="A16" s="40" t="s">
        <v>123</v>
      </c>
      <c r="B16" s="23"/>
      <c r="C16" s="22">
        <f t="shared" si="7"/>
        <v>0</v>
      </c>
      <c r="D16" s="21">
        <v>1</v>
      </c>
      <c r="E16" s="12">
        <v>1</v>
      </c>
      <c r="F16" s="12">
        <v>1</v>
      </c>
      <c r="G16" s="17">
        <f t="shared" si="1"/>
        <v>3</v>
      </c>
      <c r="H16" s="12">
        <v>1</v>
      </c>
      <c r="I16" s="12">
        <v>1</v>
      </c>
      <c r="J16" s="17">
        <f t="shared" si="2"/>
        <v>2</v>
      </c>
      <c r="K16" s="12">
        <v>1</v>
      </c>
      <c r="L16" s="17">
        <f t="shared" si="3"/>
        <v>1</v>
      </c>
      <c r="M16" s="49">
        <f t="shared" si="4"/>
        <v>6</v>
      </c>
      <c r="N16" s="22">
        <f t="shared" si="5"/>
        <v>0</v>
      </c>
      <c r="O16" s="18"/>
      <c r="P16" s="50">
        <f t="shared" si="6"/>
        <v>180</v>
      </c>
    </row>
    <row r="17" spans="1:16" x14ac:dyDescent="0.4">
      <c r="A17" s="40" t="s">
        <v>124</v>
      </c>
      <c r="B17" s="23"/>
      <c r="C17" s="22">
        <f t="shared" si="7"/>
        <v>0</v>
      </c>
      <c r="D17" s="21">
        <v>1</v>
      </c>
      <c r="E17" s="12">
        <v>1</v>
      </c>
      <c r="F17" s="12">
        <v>1</v>
      </c>
      <c r="G17" s="17">
        <f t="shared" si="1"/>
        <v>3</v>
      </c>
      <c r="H17" s="12">
        <v>1</v>
      </c>
      <c r="I17" s="12">
        <v>1</v>
      </c>
      <c r="J17" s="17">
        <f t="shared" si="2"/>
        <v>2</v>
      </c>
      <c r="K17" s="12">
        <v>1</v>
      </c>
      <c r="L17" s="17">
        <f t="shared" si="3"/>
        <v>1</v>
      </c>
      <c r="M17" s="49">
        <f t="shared" si="4"/>
        <v>6</v>
      </c>
      <c r="N17" s="22">
        <f t="shared" si="5"/>
        <v>0</v>
      </c>
      <c r="O17" s="18"/>
      <c r="P17" s="50">
        <f t="shared" si="6"/>
        <v>180</v>
      </c>
    </row>
    <row r="18" spans="1:16" x14ac:dyDescent="0.4">
      <c r="A18" s="40" t="s">
        <v>125</v>
      </c>
      <c r="B18" s="23"/>
      <c r="C18" s="22">
        <f t="shared" si="7"/>
        <v>0</v>
      </c>
      <c r="D18" s="21">
        <v>1</v>
      </c>
      <c r="E18" s="12">
        <v>1</v>
      </c>
      <c r="F18" s="12">
        <v>1</v>
      </c>
      <c r="G18" s="17">
        <f t="shared" si="1"/>
        <v>3</v>
      </c>
      <c r="H18" s="12">
        <v>1</v>
      </c>
      <c r="I18" s="12">
        <v>1</v>
      </c>
      <c r="J18" s="17">
        <f t="shared" si="2"/>
        <v>2</v>
      </c>
      <c r="K18" s="12">
        <v>1</v>
      </c>
      <c r="L18" s="17">
        <f t="shared" si="3"/>
        <v>1</v>
      </c>
      <c r="M18" s="49">
        <f t="shared" si="4"/>
        <v>6</v>
      </c>
      <c r="N18" s="22">
        <f t="shared" si="5"/>
        <v>0</v>
      </c>
      <c r="O18" s="18"/>
      <c r="P18" s="50">
        <f t="shared" si="6"/>
        <v>180</v>
      </c>
    </row>
    <row r="19" spans="1:16" x14ac:dyDescent="0.4">
      <c r="A19" s="40" t="s">
        <v>126</v>
      </c>
      <c r="B19" s="23"/>
      <c r="C19" s="22">
        <f t="shared" si="7"/>
        <v>0</v>
      </c>
      <c r="D19" s="21">
        <v>1</v>
      </c>
      <c r="E19" s="12">
        <v>1</v>
      </c>
      <c r="F19" s="12">
        <v>1</v>
      </c>
      <c r="G19" s="17">
        <f t="shared" si="1"/>
        <v>3</v>
      </c>
      <c r="H19" s="12">
        <v>1</v>
      </c>
      <c r="I19" s="12">
        <v>1</v>
      </c>
      <c r="J19" s="17">
        <f t="shared" si="2"/>
        <v>2</v>
      </c>
      <c r="K19" s="12">
        <v>1</v>
      </c>
      <c r="L19" s="17">
        <f t="shared" si="3"/>
        <v>1</v>
      </c>
      <c r="M19" s="49">
        <f t="shared" si="4"/>
        <v>6</v>
      </c>
      <c r="N19" s="22">
        <f t="shared" si="5"/>
        <v>0</v>
      </c>
      <c r="O19" s="18"/>
      <c r="P19" s="50">
        <f t="shared" si="6"/>
        <v>180</v>
      </c>
    </row>
    <row r="20" spans="1:16" x14ac:dyDescent="0.4">
      <c r="B20" s="23"/>
      <c r="C20" s="22">
        <f>IF(B20&gt;310,B20*1.225,B20*1.216)</f>
        <v>0</v>
      </c>
      <c r="D20" s="21">
        <v>1</v>
      </c>
      <c r="E20" s="12">
        <v>1</v>
      </c>
      <c r="F20" s="12">
        <v>1</v>
      </c>
      <c r="G20" s="17">
        <f t="shared" si="1"/>
        <v>3</v>
      </c>
      <c r="H20" s="12">
        <v>1</v>
      </c>
      <c r="I20" s="12">
        <v>1</v>
      </c>
      <c r="J20" s="17">
        <f t="shared" si="2"/>
        <v>2</v>
      </c>
      <c r="K20" s="12">
        <v>1</v>
      </c>
      <c r="L20" s="17">
        <f t="shared" si="3"/>
        <v>1</v>
      </c>
      <c r="M20" s="49">
        <f t="shared" si="4"/>
        <v>6</v>
      </c>
      <c r="N20" s="22">
        <f t="shared" si="5"/>
        <v>0</v>
      </c>
      <c r="O20" s="18"/>
      <c r="P20" s="50">
        <f t="shared" si="6"/>
        <v>180</v>
      </c>
    </row>
    <row r="21" spans="1:16" x14ac:dyDescent="0.4">
      <c r="B21" s="23"/>
      <c r="C21" s="22">
        <f>IF(B21&gt;310,B21*1.225,B21*1.216)</f>
        <v>0</v>
      </c>
      <c r="D21" s="21">
        <v>1</v>
      </c>
      <c r="E21" s="12">
        <v>1</v>
      </c>
      <c r="F21" s="12">
        <v>1</v>
      </c>
      <c r="G21" s="17">
        <f t="shared" si="1"/>
        <v>3</v>
      </c>
      <c r="H21" s="12">
        <v>1</v>
      </c>
      <c r="I21" s="12">
        <v>1</v>
      </c>
      <c r="J21" s="17">
        <f t="shared" si="2"/>
        <v>2</v>
      </c>
      <c r="K21" s="12">
        <v>1</v>
      </c>
      <c r="L21" s="17">
        <f t="shared" si="3"/>
        <v>1</v>
      </c>
      <c r="M21" s="49">
        <f t="shared" si="4"/>
        <v>6</v>
      </c>
      <c r="N21" s="22">
        <f t="shared" si="5"/>
        <v>0</v>
      </c>
      <c r="O21" s="18"/>
      <c r="P21" s="50">
        <f t="shared" si="6"/>
        <v>180</v>
      </c>
    </row>
    <row r="22" spans="1:16" x14ac:dyDescent="0.4">
      <c r="A22" s="40" t="s">
        <v>127</v>
      </c>
      <c r="B22" s="23">
        <v>480</v>
      </c>
      <c r="C22" s="22">
        <f>IF(B22&gt;310,B22*1.225,B22*1.216)</f>
        <v>588</v>
      </c>
      <c r="D22" s="21">
        <v>1</v>
      </c>
      <c r="E22" s="12">
        <v>1</v>
      </c>
      <c r="F22" s="12">
        <v>1</v>
      </c>
      <c r="G22" s="17">
        <f t="shared" si="1"/>
        <v>3</v>
      </c>
      <c r="H22" s="12">
        <v>1</v>
      </c>
      <c r="I22" s="12">
        <v>1</v>
      </c>
      <c r="J22" s="17">
        <f t="shared" si="2"/>
        <v>2</v>
      </c>
      <c r="K22" s="12">
        <v>1</v>
      </c>
      <c r="L22" s="17">
        <f t="shared" si="3"/>
        <v>1</v>
      </c>
      <c r="M22" s="49">
        <f t="shared" si="4"/>
        <v>6</v>
      </c>
      <c r="N22" s="22">
        <f t="shared" si="5"/>
        <v>480</v>
      </c>
      <c r="O22" s="73">
        <v>44196</v>
      </c>
      <c r="P22" s="50">
        <f t="shared" si="6"/>
        <v>44376</v>
      </c>
    </row>
    <row r="23" spans="1:16" x14ac:dyDescent="0.4">
      <c r="A23" s="40" t="s">
        <v>128</v>
      </c>
      <c r="B23" s="23"/>
      <c r="C23" s="22">
        <f t="shared" ref="C23:C27" si="8">IF(B23&gt;310,B23*1.225,B23*1.216)</f>
        <v>0</v>
      </c>
      <c r="D23" s="21">
        <v>1</v>
      </c>
      <c r="E23" s="12">
        <v>1</v>
      </c>
      <c r="F23" s="12">
        <v>1</v>
      </c>
      <c r="G23" s="17">
        <f t="shared" si="1"/>
        <v>3</v>
      </c>
      <c r="H23" s="12">
        <v>1</v>
      </c>
      <c r="I23" s="12">
        <v>1</v>
      </c>
      <c r="J23" s="17">
        <f t="shared" si="2"/>
        <v>2</v>
      </c>
      <c r="K23" s="12">
        <v>1</v>
      </c>
      <c r="L23" s="17">
        <f t="shared" si="3"/>
        <v>1</v>
      </c>
      <c r="M23" s="49">
        <f t="shared" si="4"/>
        <v>6</v>
      </c>
      <c r="N23" s="22">
        <f t="shared" si="5"/>
        <v>0</v>
      </c>
      <c r="O23" s="18"/>
      <c r="P23" s="50">
        <f t="shared" si="6"/>
        <v>180</v>
      </c>
    </row>
    <row r="24" spans="1:16" x14ac:dyDescent="0.4">
      <c r="A24" s="40" t="s">
        <v>129</v>
      </c>
      <c r="B24" s="23"/>
      <c r="C24" s="22">
        <f t="shared" si="8"/>
        <v>0</v>
      </c>
      <c r="D24" s="21">
        <v>1</v>
      </c>
      <c r="E24" s="12">
        <v>1</v>
      </c>
      <c r="F24" s="12">
        <v>1</v>
      </c>
      <c r="G24" s="17">
        <f t="shared" si="1"/>
        <v>3</v>
      </c>
      <c r="H24" s="12">
        <v>1</v>
      </c>
      <c r="I24" s="12">
        <v>1</v>
      </c>
      <c r="J24" s="17">
        <f t="shared" si="2"/>
        <v>2</v>
      </c>
      <c r="K24" s="12">
        <v>1</v>
      </c>
      <c r="L24" s="17">
        <f t="shared" si="3"/>
        <v>1</v>
      </c>
      <c r="M24" s="49">
        <f t="shared" si="4"/>
        <v>6</v>
      </c>
      <c r="N24" s="22">
        <f t="shared" si="5"/>
        <v>0</v>
      </c>
      <c r="O24" s="18"/>
      <c r="P24" s="50">
        <f t="shared" si="6"/>
        <v>180</v>
      </c>
    </row>
    <row r="25" spans="1:16" x14ac:dyDescent="0.4">
      <c r="A25" s="40" t="s">
        <v>130</v>
      </c>
      <c r="B25" s="23"/>
      <c r="C25" s="22">
        <f t="shared" si="8"/>
        <v>0</v>
      </c>
      <c r="D25" s="21">
        <v>1</v>
      </c>
      <c r="E25" s="12">
        <v>1</v>
      </c>
      <c r="F25" s="12">
        <v>1</v>
      </c>
      <c r="G25" s="17">
        <f t="shared" si="1"/>
        <v>3</v>
      </c>
      <c r="H25" s="12">
        <v>1</v>
      </c>
      <c r="I25" s="12">
        <v>1</v>
      </c>
      <c r="J25" s="17">
        <f t="shared" si="2"/>
        <v>2</v>
      </c>
      <c r="K25" s="12">
        <v>1</v>
      </c>
      <c r="L25" s="17">
        <f t="shared" si="3"/>
        <v>1</v>
      </c>
      <c r="M25" s="49">
        <f t="shared" si="4"/>
        <v>6</v>
      </c>
      <c r="N25" s="22">
        <f t="shared" si="5"/>
        <v>0</v>
      </c>
      <c r="O25" s="18"/>
      <c r="P25" s="50">
        <f t="shared" si="6"/>
        <v>180</v>
      </c>
    </row>
    <row r="26" spans="1:16" x14ac:dyDescent="0.4">
      <c r="A26" s="40" t="s">
        <v>131</v>
      </c>
      <c r="B26" s="23"/>
      <c r="C26" s="22">
        <f t="shared" si="8"/>
        <v>0</v>
      </c>
      <c r="D26" s="21">
        <v>1</v>
      </c>
      <c r="E26" s="12">
        <v>1</v>
      </c>
      <c r="F26" s="12">
        <v>1</v>
      </c>
      <c r="G26" s="17">
        <f t="shared" si="1"/>
        <v>3</v>
      </c>
      <c r="H26" s="12">
        <v>1</v>
      </c>
      <c r="I26" s="12">
        <v>1</v>
      </c>
      <c r="J26" s="17">
        <f t="shared" si="2"/>
        <v>2</v>
      </c>
      <c r="K26" s="12">
        <v>1</v>
      </c>
      <c r="L26" s="17">
        <f t="shared" si="3"/>
        <v>1</v>
      </c>
      <c r="M26" s="49">
        <f t="shared" si="4"/>
        <v>6</v>
      </c>
      <c r="N26" s="22">
        <f t="shared" si="5"/>
        <v>0</v>
      </c>
      <c r="O26" s="18"/>
      <c r="P26" s="50">
        <f t="shared" si="6"/>
        <v>180</v>
      </c>
    </row>
    <row r="27" spans="1:16" x14ac:dyDescent="0.4">
      <c r="A27" s="40" t="s">
        <v>132</v>
      </c>
      <c r="B27" s="23"/>
      <c r="C27" s="22">
        <f t="shared" si="8"/>
        <v>0</v>
      </c>
      <c r="D27" s="21">
        <v>1</v>
      </c>
      <c r="E27" s="12">
        <v>1</v>
      </c>
      <c r="F27" s="12">
        <v>1</v>
      </c>
      <c r="G27" s="17">
        <f t="shared" si="1"/>
        <v>3</v>
      </c>
      <c r="H27" s="12">
        <v>1</v>
      </c>
      <c r="I27" s="12">
        <v>1</v>
      </c>
      <c r="J27" s="17">
        <f t="shared" si="2"/>
        <v>2</v>
      </c>
      <c r="K27" s="12">
        <v>1</v>
      </c>
      <c r="L27" s="17">
        <f t="shared" si="3"/>
        <v>1</v>
      </c>
      <c r="M27" s="49">
        <f t="shared" si="4"/>
        <v>6</v>
      </c>
      <c r="N27" s="22">
        <f t="shared" si="5"/>
        <v>0</v>
      </c>
      <c r="O27" s="18"/>
      <c r="P27" s="50">
        <f t="shared" si="6"/>
        <v>180</v>
      </c>
    </row>
  </sheetData>
  <mergeCells count="7">
    <mergeCell ref="A4:A5"/>
    <mergeCell ref="D4:L4"/>
    <mergeCell ref="O4:O5"/>
    <mergeCell ref="P4:P5"/>
    <mergeCell ref="D5:G5"/>
    <mergeCell ref="H5:J5"/>
    <mergeCell ref="K5:L5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EEB1-EED4-4C9D-8ECC-0978E597171F}">
  <sheetPr>
    <tabColor rgb="FFC00000"/>
  </sheetPr>
  <dimension ref="A1:S491"/>
  <sheetViews>
    <sheetView workbookViewId="0">
      <selection activeCell="I31" sqref="I31"/>
    </sheetView>
  </sheetViews>
  <sheetFormatPr defaultRowHeight="17.399999999999999" x14ac:dyDescent="0.4"/>
  <cols>
    <col min="1" max="1" width="10.8984375" customWidth="1"/>
    <col min="3" max="3" width="11" customWidth="1"/>
    <col min="4" max="4" width="10.69921875" customWidth="1"/>
    <col min="5" max="5" width="9.19921875" customWidth="1"/>
    <col min="6" max="6" width="14" customWidth="1"/>
    <col min="7" max="7" width="13.59765625" customWidth="1"/>
    <col min="11" max="11" width="12.19921875" customWidth="1"/>
  </cols>
  <sheetData>
    <row r="1" spans="1:19" x14ac:dyDescent="0.4">
      <c r="A1" s="15"/>
      <c r="B1" s="14" t="s">
        <v>34</v>
      </c>
      <c r="C1" s="14"/>
      <c r="D1" s="42"/>
      <c r="E1" s="43" t="s">
        <v>99</v>
      </c>
      <c r="F1" s="16"/>
      <c r="G1" s="16" t="s">
        <v>33</v>
      </c>
    </row>
    <row r="2" spans="1:19" ht="18" thickBot="1" x14ac:dyDescent="0.45">
      <c r="A2" s="15" t="s">
        <v>32</v>
      </c>
      <c r="B2" s="14" t="s">
        <v>31</v>
      </c>
      <c r="C2" s="14" t="s">
        <v>30</v>
      </c>
      <c r="D2" s="44"/>
      <c r="E2" s="45"/>
      <c r="F2" s="13"/>
      <c r="G2" s="13" t="s">
        <v>28</v>
      </c>
    </row>
    <row r="3" spans="1:19" x14ac:dyDescent="0.4">
      <c r="B3" s="11">
        <f>SUM(B6:B183)</f>
        <v>0</v>
      </c>
      <c r="C3" s="12"/>
      <c r="D3" s="40"/>
      <c r="E3" s="40"/>
      <c r="F3" s="11"/>
      <c r="G3" s="10"/>
    </row>
    <row r="4" spans="1:19" x14ac:dyDescent="0.4">
      <c r="A4" s="280" t="s">
        <v>27</v>
      </c>
      <c r="B4" s="39" t="s">
        <v>25</v>
      </c>
      <c r="C4" s="38"/>
      <c r="D4" s="9" t="s">
        <v>24</v>
      </c>
      <c r="E4" s="9" t="s">
        <v>23</v>
      </c>
      <c r="F4" s="280" t="s">
        <v>21</v>
      </c>
      <c r="G4" s="280" t="s">
        <v>98</v>
      </c>
    </row>
    <row r="5" spans="1:19" x14ac:dyDescent="0.4">
      <c r="A5" s="281"/>
      <c r="B5" s="39" t="s">
        <v>19</v>
      </c>
      <c r="C5" s="39" t="s">
        <v>18</v>
      </c>
      <c r="D5" s="7" t="s">
        <v>17</v>
      </c>
      <c r="E5" s="7" t="s">
        <v>17</v>
      </c>
      <c r="F5" s="281"/>
      <c r="G5" s="281"/>
    </row>
    <row r="6" spans="1:19" x14ac:dyDescent="0.4">
      <c r="A6" s="1" t="s">
        <v>89</v>
      </c>
      <c r="B6" s="36"/>
      <c r="C6" s="37">
        <v>1</v>
      </c>
      <c r="D6" s="49">
        <f t="shared" ref="D6:D11" si="0">SUM(C6:C6)</f>
        <v>1</v>
      </c>
      <c r="E6" s="49">
        <f t="shared" ref="E6:E11" si="1">SUM(C6:C6)</f>
        <v>1</v>
      </c>
      <c r="F6" s="4"/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4">
      <c r="A7" s="1" t="s">
        <v>90</v>
      </c>
      <c r="B7" s="36"/>
      <c r="C7" s="37">
        <v>1</v>
      </c>
      <c r="D7" s="49">
        <f t="shared" si="0"/>
        <v>1</v>
      </c>
      <c r="E7" s="49">
        <f t="shared" si="1"/>
        <v>1</v>
      </c>
      <c r="F7" s="4"/>
      <c r="G7" s="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4">
      <c r="A8" s="1" t="s">
        <v>91</v>
      </c>
      <c r="B8" s="36"/>
      <c r="C8" s="37">
        <v>1</v>
      </c>
      <c r="D8" s="49">
        <f t="shared" si="0"/>
        <v>1</v>
      </c>
      <c r="E8" s="49">
        <f t="shared" si="1"/>
        <v>1</v>
      </c>
      <c r="F8" s="4"/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4">
      <c r="A9" s="1" t="s">
        <v>92</v>
      </c>
      <c r="B9" s="36"/>
      <c r="C9" s="37">
        <v>1</v>
      </c>
      <c r="D9" s="49">
        <f t="shared" si="0"/>
        <v>1</v>
      </c>
      <c r="E9" s="49">
        <f t="shared" si="1"/>
        <v>1</v>
      </c>
      <c r="F9" s="4"/>
      <c r="G9" s="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4">
      <c r="A10" s="1" t="s">
        <v>93</v>
      </c>
      <c r="B10" s="36"/>
      <c r="C10" s="37">
        <v>1</v>
      </c>
      <c r="D10" s="49">
        <f t="shared" si="0"/>
        <v>1</v>
      </c>
      <c r="E10" s="49">
        <f t="shared" si="1"/>
        <v>1</v>
      </c>
      <c r="F10" s="4"/>
      <c r="G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4">
      <c r="A11" s="1" t="s">
        <v>94</v>
      </c>
      <c r="B11" s="36"/>
      <c r="C11" s="37">
        <v>1</v>
      </c>
      <c r="D11" s="49">
        <f t="shared" si="0"/>
        <v>1</v>
      </c>
      <c r="E11" s="49">
        <f t="shared" si="1"/>
        <v>1</v>
      </c>
      <c r="F11" s="4"/>
      <c r="G11" s="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4">
      <c r="A12" s="1" t="s">
        <v>95</v>
      </c>
      <c r="B12" s="36"/>
      <c r="C12" s="37">
        <v>1</v>
      </c>
      <c r="D12" s="49">
        <f t="shared" ref="D12:D14" si="2">SUM(C12:C12)</f>
        <v>1</v>
      </c>
      <c r="E12" s="49">
        <f t="shared" ref="E12:E14" si="3">SUM(C12:C12)</f>
        <v>1</v>
      </c>
      <c r="F12" s="4"/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4">
      <c r="A13" s="1" t="s">
        <v>96</v>
      </c>
      <c r="B13" s="36"/>
      <c r="C13" s="37">
        <v>1</v>
      </c>
      <c r="D13" s="49">
        <f t="shared" si="2"/>
        <v>1</v>
      </c>
      <c r="E13" s="49">
        <f t="shared" si="3"/>
        <v>1</v>
      </c>
      <c r="F13" s="4"/>
      <c r="G13" s="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4">
      <c r="A14" s="1" t="s">
        <v>97</v>
      </c>
      <c r="B14" s="36"/>
      <c r="C14" s="37">
        <v>1</v>
      </c>
      <c r="D14" s="49">
        <f t="shared" si="2"/>
        <v>1</v>
      </c>
      <c r="E14" s="49">
        <f t="shared" si="3"/>
        <v>1</v>
      </c>
      <c r="F14" s="4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4">
      <c r="A15" s="1"/>
      <c r="B15" s="1"/>
      <c r="C15" s="2"/>
      <c r="D15" s="3"/>
      <c r="E15" s="3"/>
      <c r="F15" s="4"/>
      <c r="G15" s="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4">
      <c r="A16" s="279"/>
      <c r="B16" s="1"/>
      <c r="C16" s="2"/>
      <c r="D16" s="3"/>
      <c r="E16" s="3"/>
      <c r="F16" s="4"/>
      <c r="G16" s="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4">
      <c r="A17" s="279"/>
      <c r="B17" s="1"/>
      <c r="C17" s="2"/>
      <c r="D17" s="3"/>
      <c r="E17" s="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4">
      <c r="A18" s="1"/>
      <c r="B18" s="1"/>
      <c r="C18" s="2"/>
      <c r="D18" s="3"/>
      <c r="E18" s="3"/>
      <c r="F18" s="4"/>
      <c r="G18" s="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4">
      <c r="A19" s="1"/>
      <c r="B19" s="1"/>
      <c r="C19" s="2"/>
      <c r="D19" s="3"/>
      <c r="E19" s="3"/>
      <c r="F19" s="4"/>
      <c r="G19" s="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4">
      <c r="A20" s="1"/>
      <c r="B20" s="1"/>
      <c r="C20" s="2"/>
      <c r="D20" s="3"/>
      <c r="E20" s="3"/>
      <c r="F20" s="4"/>
      <c r="G20" s="4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4">
      <c r="A21" s="1"/>
      <c r="B21" s="1"/>
      <c r="C21" s="2"/>
      <c r="D21" s="3"/>
      <c r="E21" s="3"/>
      <c r="F21" s="4"/>
      <c r="G21" s="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4">
      <c r="A22" s="1"/>
      <c r="B22" s="1"/>
      <c r="C22" s="2"/>
      <c r="D22" s="3"/>
      <c r="E22" s="3"/>
      <c r="F22" s="4"/>
      <c r="G22" s="4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4">
      <c r="A23" s="1"/>
      <c r="B23" s="1"/>
      <c r="C23" s="2"/>
      <c r="D23" s="3"/>
      <c r="E23" s="3"/>
      <c r="F23" s="4"/>
      <c r="G23" s="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4">
      <c r="A24" s="1"/>
      <c r="B24" s="1"/>
      <c r="C24" s="2"/>
      <c r="D24" s="3"/>
      <c r="E24" s="3"/>
      <c r="F24" s="4"/>
      <c r="G24" s="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4">
      <c r="A25" s="1"/>
      <c r="B25" s="1"/>
      <c r="C25" s="2"/>
      <c r="D25" s="3"/>
      <c r="E25" s="3"/>
      <c r="F25" s="4"/>
      <c r="G25" s="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4">
      <c r="A26" s="1"/>
      <c r="B26" s="1"/>
      <c r="C26" s="2"/>
      <c r="D26" s="3"/>
      <c r="E26" s="3"/>
      <c r="F26" s="4"/>
      <c r="G26" s="4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4">
      <c r="A27" s="1"/>
      <c r="B27" s="1"/>
      <c r="C27" s="2"/>
      <c r="D27" s="3"/>
      <c r="E27" s="3"/>
      <c r="F27" s="4"/>
      <c r="G27" s="4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4">
      <c r="A28" s="1"/>
      <c r="B28" s="1"/>
      <c r="C28" s="2"/>
      <c r="D28" s="3"/>
      <c r="E28" s="3"/>
      <c r="F28" s="4"/>
      <c r="G28" s="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4">
      <c r="A29" s="1"/>
      <c r="B29" s="1"/>
      <c r="C29" s="2"/>
      <c r="D29" s="3"/>
      <c r="E29" s="3"/>
      <c r="F29" s="4"/>
      <c r="G29" s="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4">
      <c r="A30" s="1"/>
      <c r="B30" s="1"/>
      <c r="C30" s="2"/>
      <c r="D30" s="3"/>
      <c r="E30" s="3"/>
      <c r="F30" s="4"/>
      <c r="G30" s="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4">
      <c r="A31" s="1"/>
      <c r="B31" s="1"/>
      <c r="C31" s="2"/>
      <c r="D31" s="3"/>
      <c r="E31" s="3"/>
      <c r="F31" s="4"/>
      <c r="G31" s="4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4">
      <c r="A32" s="1"/>
      <c r="B32" s="1"/>
      <c r="C32" s="2"/>
      <c r="D32" s="3"/>
      <c r="E32" s="3"/>
      <c r="F32" s="4"/>
      <c r="G32" s="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4">
      <c r="A33" s="1"/>
      <c r="B33" s="1"/>
      <c r="C33" s="2"/>
      <c r="D33" s="3"/>
      <c r="E33" s="3"/>
      <c r="F33" s="4"/>
      <c r="G33" s="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4">
      <c r="A34" s="1"/>
      <c r="B34" s="1"/>
      <c r="C34" s="2"/>
      <c r="D34" s="3"/>
      <c r="E34" s="3"/>
      <c r="F34" s="4"/>
      <c r="G34" s="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4">
      <c r="A35" s="1"/>
      <c r="B35" s="1"/>
      <c r="C35" s="2"/>
      <c r="D35" s="3"/>
      <c r="E35" s="3"/>
      <c r="F35" s="4"/>
      <c r="G35" s="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4">
      <c r="A36" s="1"/>
      <c r="B36" s="1"/>
      <c r="C36" s="2"/>
      <c r="D36" s="3"/>
      <c r="E36" s="3"/>
      <c r="F36" s="4"/>
      <c r="G36" s="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4">
      <c r="A37" s="1"/>
      <c r="B37" s="1"/>
      <c r="C37" s="2"/>
      <c r="D37" s="3"/>
      <c r="E37" s="3"/>
      <c r="F37" s="4"/>
      <c r="G37" s="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4">
      <c r="A38" s="1"/>
      <c r="B38" s="1"/>
      <c r="C38" s="2"/>
      <c r="D38" s="3"/>
      <c r="E38" s="3"/>
      <c r="F38" s="4"/>
      <c r="G38" s="4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4">
      <c r="A39" s="1"/>
      <c r="B39" s="1"/>
      <c r="C39" s="2"/>
      <c r="D39" s="3"/>
      <c r="E39" s="3"/>
      <c r="F39" s="4"/>
      <c r="G39" s="4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4">
      <c r="A40" s="1"/>
      <c r="B40" s="1"/>
      <c r="C40" s="2"/>
      <c r="D40" s="3"/>
      <c r="E40" s="3"/>
      <c r="F40" s="4"/>
      <c r="G40" s="4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4">
      <c r="A41" s="1"/>
      <c r="B41" s="1"/>
      <c r="C41" s="2"/>
      <c r="D41" s="3"/>
      <c r="E41" s="3"/>
      <c r="F41" s="4"/>
      <c r="G41" s="4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4">
      <c r="A42" s="1"/>
      <c r="B42" s="1"/>
      <c r="C42" s="2"/>
      <c r="D42" s="3"/>
      <c r="E42" s="3"/>
      <c r="F42" s="4"/>
      <c r="G42" s="4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4">
      <c r="A43" s="1"/>
      <c r="B43" s="1"/>
      <c r="C43" s="2"/>
      <c r="D43" s="3"/>
      <c r="E43" s="3"/>
      <c r="F43" s="4"/>
      <c r="G43" s="4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4">
      <c r="A44" s="1"/>
      <c r="B44" s="1"/>
      <c r="C44" s="2"/>
      <c r="D44" s="3"/>
      <c r="E44" s="3"/>
      <c r="F44" s="4"/>
      <c r="G44" s="4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4">
      <c r="A45" s="1"/>
      <c r="B45" s="1"/>
      <c r="C45" s="2"/>
      <c r="D45" s="3"/>
      <c r="E45" s="3"/>
      <c r="F45" s="4"/>
      <c r="G45" s="4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4">
      <c r="A46" s="1"/>
      <c r="B46" s="1"/>
      <c r="C46" s="2"/>
      <c r="D46" s="3"/>
      <c r="E46" s="3"/>
      <c r="F46" s="4"/>
      <c r="G46" s="4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4">
      <c r="A47" s="1"/>
      <c r="B47" s="1"/>
      <c r="C47" s="2"/>
      <c r="D47" s="3"/>
      <c r="E47" s="3"/>
      <c r="F47" s="4"/>
      <c r="G47" s="4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4">
      <c r="A48" s="1"/>
      <c r="B48" s="1"/>
      <c r="C48" s="2"/>
      <c r="D48" s="3"/>
      <c r="E48" s="3"/>
      <c r="F48" s="4"/>
      <c r="G48" s="4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4">
      <c r="A49" s="1"/>
      <c r="B49" s="1"/>
      <c r="C49" s="2"/>
      <c r="D49" s="3"/>
      <c r="E49" s="3"/>
      <c r="F49" s="4"/>
      <c r="G49" s="4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4">
      <c r="A50" s="1"/>
      <c r="B50" s="1"/>
      <c r="C50" s="2"/>
      <c r="D50" s="3"/>
      <c r="E50" s="3"/>
      <c r="F50" s="4"/>
      <c r="G50" s="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4">
      <c r="A51" s="1"/>
      <c r="B51" s="1"/>
      <c r="C51" s="2"/>
      <c r="D51" s="3"/>
      <c r="E51" s="3"/>
      <c r="F51" s="4"/>
      <c r="G51" s="4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4">
      <c r="A52" s="1"/>
      <c r="B52" s="1"/>
      <c r="C52" s="2"/>
      <c r="D52" s="3"/>
      <c r="E52" s="3"/>
      <c r="F52" s="4"/>
      <c r="G52" s="4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4">
      <c r="A53" s="1"/>
      <c r="B53" s="1"/>
      <c r="C53" s="2"/>
      <c r="D53" s="3"/>
      <c r="E53" s="3"/>
      <c r="F53" s="4"/>
      <c r="G53" s="4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4">
      <c r="A54" s="1"/>
      <c r="B54" s="1"/>
      <c r="C54" s="2"/>
      <c r="D54" s="3"/>
      <c r="E54" s="3"/>
      <c r="F54" s="4"/>
      <c r="G54" s="4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4">
      <c r="A55" s="1"/>
      <c r="B55" s="1"/>
      <c r="C55" s="2"/>
      <c r="D55" s="3"/>
      <c r="E55" s="3"/>
      <c r="F55" s="4"/>
      <c r="G55" s="4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4">
      <c r="A56" s="1"/>
      <c r="B56" s="1"/>
      <c r="C56" s="2"/>
      <c r="D56" s="3"/>
      <c r="E56" s="3"/>
      <c r="F56" s="4"/>
      <c r="G56" s="4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4">
      <c r="A57" s="1"/>
      <c r="B57" s="1"/>
      <c r="C57" s="2"/>
      <c r="D57" s="3"/>
      <c r="E57" s="3"/>
      <c r="F57" s="4"/>
      <c r="G57" s="4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4">
      <c r="A58" s="1"/>
      <c r="B58" s="1"/>
      <c r="C58" s="2"/>
      <c r="D58" s="3"/>
      <c r="E58" s="3"/>
      <c r="F58" s="4"/>
      <c r="G58" s="4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4">
      <c r="A59" s="1"/>
      <c r="B59" s="1"/>
      <c r="C59" s="2"/>
      <c r="D59" s="3"/>
      <c r="E59" s="3"/>
      <c r="F59" s="4"/>
      <c r="G59" s="4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x14ac:dyDescent="0.4">
      <c r="A60" s="1"/>
      <c r="B60" s="1"/>
      <c r="C60" s="2"/>
      <c r="D60" s="3"/>
      <c r="E60" s="3"/>
      <c r="F60" s="4"/>
      <c r="G60" s="4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x14ac:dyDescent="0.4">
      <c r="A61" s="1"/>
      <c r="B61" s="1"/>
      <c r="C61" s="2"/>
      <c r="D61" s="3"/>
      <c r="E61" s="3"/>
      <c r="F61" s="4"/>
      <c r="G61" s="4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x14ac:dyDescent="0.4">
      <c r="A62" s="1"/>
      <c r="B62" s="1"/>
      <c r="C62" s="2"/>
      <c r="D62" s="3"/>
      <c r="E62" s="3"/>
      <c r="F62" s="4"/>
      <c r="G62" s="4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x14ac:dyDescent="0.4">
      <c r="A63" s="1"/>
      <c r="B63" s="1"/>
      <c r="C63" s="2"/>
      <c r="D63" s="3"/>
      <c r="E63" s="3"/>
      <c r="F63" s="4"/>
      <c r="G63" s="4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x14ac:dyDescent="0.4">
      <c r="A64" s="1"/>
      <c r="B64" s="1"/>
      <c r="C64" s="2"/>
      <c r="D64" s="3"/>
      <c r="E64" s="3"/>
      <c r="F64" s="4"/>
      <c r="G64" s="4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x14ac:dyDescent="0.4">
      <c r="A65" s="1"/>
      <c r="B65" s="1"/>
      <c r="C65" s="2"/>
      <c r="D65" s="3"/>
      <c r="E65" s="3"/>
      <c r="F65" s="4"/>
      <c r="G65" s="4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x14ac:dyDescent="0.4">
      <c r="A66" s="1"/>
      <c r="B66" s="1"/>
      <c r="C66" s="2"/>
      <c r="D66" s="3"/>
      <c r="E66" s="3"/>
      <c r="F66" s="4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x14ac:dyDescent="0.4">
      <c r="A67" s="1"/>
      <c r="B67" s="1"/>
      <c r="C67" s="2"/>
      <c r="D67" s="3"/>
      <c r="E67" s="3"/>
      <c r="F67" s="4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x14ac:dyDescent="0.4">
      <c r="A68" s="1"/>
      <c r="B68" s="1"/>
      <c r="C68" s="2"/>
      <c r="D68" s="3"/>
      <c r="E68" s="3"/>
      <c r="F68" s="4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x14ac:dyDescent="0.4">
      <c r="A69" s="1"/>
      <c r="B69" s="1"/>
      <c r="C69" s="2"/>
      <c r="D69" s="3"/>
      <c r="E69" s="3"/>
      <c r="F69" s="4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x14ac:dyDescent="0.4">
      <c r="A70" s="1"/>
      <c r="B70" s="1"/>
      <c r="C70" s="2"/>
      <c r="D70" s="3"/>
      <c r="E70" s="3"/>
      <c r="F70" s="4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x14ac:dyDescent="0.4">
      <c r="A71" s="1"/>
      <c r="B71" s="1"/>
      <c r="C71" s="2"/>
      <c r="D71" s="3"/>
      <c r="E71" s="3"/>
      <c r="F71" s="4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x14ac:dyDescent="0.4">
      <c r="A72" s="1"/>
      <c r="B72" s="1"/>
      <c r="C72" s="2"/>
      <c r="D72" s="3"/>
      <c r="E72" s="3"/>
      <c r="F72" s="4"/>
      <c r="G72" s="4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x14ac:dyDescent="0.4">
      <c r="A73" s="1"/>
      <c r="B73" s="1"/>
      <c r="C73" s="2"/>
      <c r="D73" s="3"/>
      <c r="E73" s="3"/>
      <c r="F73" s="4"/>
      <c r="G73" s="4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x14ac:dyDescent="0.4">
      <c r="A74" s="286"/>
      <c r="B74" s="279"/>
      <c r="C74" s="2"/>
      <c r="D74" s="287"/>
      <c r="E74" s="287"/>
      <c r="F74" s="288"/>
      <c r="G74" s="288"/>
      <c r="H74" s="289"/>
      <c r="I74" s="289"/>
      <c r="J74" s="289"/>
      <c r="K74" s="289"/>
      <c r="L74" s="289"/>
      <c r="M74" s="289"/>
      <c r="N74" s="289"/>
      <c r="O74" s="289"/>
      <c r="P74" s="1"/>
      <c r="Q74" s="1"/>
      <c r="R74" s="1"/>
      <c r="S74" s="1"/>
    </row>
    <row r="75" spans="1:19" x14ac:dyDescent="0.4">
      <c r="A75" s="286"/>
      <c r="B75" s="279"/>
      <c r="C75" s="2"/>
      <c r="D75" s="287"/>
      <c r="E75" s="287"/>
      <c r="F75" s="288"/>
      <c r="G75" s="288"/>
      <c r="H75" s="289"/>
      <c r="I75" s="289"/>
      <c r="J75" s="289"/>
      <c r="K75" s="289"/>
      <c r="L75" s="289"/>
      <c r="M75" s="289"/>
      <c r="N75" s="289"/>
      <c r="O75" s="289"/>
      <c r="P75" s="1"/>
      <c r="Q75" s="1"/>
      <c r="R75" s="1"/>
      <c r="S75" s="1"/>
    </row>
    <row r="76" spans="1:19" x14ac:dyDescent="0.4">
      <c r="A76" s="1"/>
      <c r="B76" s="1"/>
      <c r="C76" s="2"/>
      <c r="D76" s="3"/>
      <c r="E76" s="3"/>
      <c r="F76" s="4"/>
      <c r="G76" s="4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x14ac:dyDescent="0.4">
      <c r="A77" s="1"/>
      <c r="B77" s="1"/>
      <c r="C77" s="2"/>
      <c r="D77" s="3"/>
      <c r="E77" s="3"/>
      <c r="F77" s="4"/>
      <c r="G77" s="4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x14ac:dyDescent="0.4">
      <c r="A78" s="1"/>
      <c r="B78" s="1"/>
      <c r="C78" s="2"/>
      <c r="D78" s="3"/>
      <c r="E78" s="3"/>
      <c r="F78" s="4"/>
      <c r="G78" s="4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x14ac:dyDescent="0.4">
      <c r="A79" s="1"/>
      <c r="B79" s="1"/>
      <c r="C79" s="2"/>
      <c r="D79" s="3"/>
      <c r="E79" s="3"/>
      <c r="F79" s="4"/>
      <c r="G79" s="4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x14ac:dyDescent="0.4">
      <c r="A80" s="1"/>
      <c r="B80" s="1"/>
      <c r="C80" s="2"/>
      <c r="D80" s="3"/>
      <c r="E80" s="3"/>
      <c r="F80" s="4"/>
      <c r="G80" s="4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x14ac:dyDescent="0.4">
      <c r="A81" s="1"/>
      <c r="B81" s="1"/>
      <c r="C81" s="2"/>
      <c r="D81" s="3"/>
      <c r="E81" s="3"/>
      <c r="F81" s="4"/>
      <c r="G81" s="4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x14ac:dyDescent="0.4">
      <c r="A82" s="1"/>
      <c r="B82" s="1"/>
      <c r="C82" s="2"/>
      <c r="D82" s="3"/>
      <c r="E82" s="3"/>
      <c r="F82" s="4"/>
      <c r="G82" s="4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x14ac:dyDescent="0.4">
      <c r="A83" s="1"/>
      <c r="B83" s="1"/>
      <c r="C83" s="2"/>
      <c r="D83" s="3"/>
      <c r="E83" s="3"/>
      <c r="F83" s="4"/>
      <c r="G83" s="4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x14ac:dyDescent="0.4">
      <c r="A84" s="1"/>
      <c r="B84" s="1"/>
      <c r="C84" s="2"/>
      <c r="D84" s="3"/>
      <c r="E84" s="3"/>
      <c r="F84" s="4"/>
      <c r="G84" s="4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x14ac:dyDescent="0.4">
      <c r="A85" s="1"/>
      <c r="B85" s="1"/>
      <c r="C85" s="2"/>
      <c r="D85" s="3"/>
      <c r="E85" s="3"/>
      <c r="F85" s="4"/>
      <c r="G85" s="4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x14ac:dyDescent="0.4">
      <c r="A86" s="1"/>
      <c r="B86" s="1"/>
      <c r="C86" s="2"/>
      <c r="D86" s="3"/>
      <c r="E86" s="3"/>
      <c r="F86" s="4"/>
      <c r="G86" s="4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x14ac:dyDescent="0.4">
      <c r="A87" s="1"/>
      <c r="B87" s="1"/>
      <c r="C87" s="2"/>
      <c r="D87" s="3"/>
      <c r="E87" s="3"/>
      <c r="F87" s="4"/>
      <c r="G87" s="4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x14ac:dyDescent="0.4">
      <c r="A88" s="1"/>
      <c r="B88" s="1"/>
      <c r="C88" s="2"/>
      <c r="D88" s="3"/>
      <c r="E88" s="3"/>
      <c r="F88" s="4"/>
      <c r="G88" s="4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x14ac:dyDescent="0.4">
      <c r="A89" s="1"/>
      <c r="B89" s="1"/>
      <c r="C89" s="2"/>
      <c r="D89" s="3"/>
      <c r="E89" s="3"/>
      <c r="F89" s="4"/>
      <c r="G89" s="4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x14ac:dyDescent="0.4">
      <c r="A90" s="1"/>
      <c r="B90" s="1"/>
      <c r="C90" s="2"/>
      <c r="D90" s="3"/>
      <c r="E90" s="3"/>
      <c r="F90" s="4"/>
      <c r="G90" s="4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x14ac:dyDescent="0.4">
      <c r="A91" s="1"/>
      <c r="B91" s="1"/>
      <c r="C91" s="2"/>
      <c r="D91" s="3"/>
      <c r="E91" s="3"/>
      <c r="F91" s="4"/>
      <c r="G91" s="4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x14ac:dyDescent="0.4">
      <c r="A92" s="1"/>
      <c r="B92" s="1"/>
      <c r="C92" s="2"/>
      <c r="D92" s="3"/>
      <c r="E92" s="3"/>
      <c r="F92" s="4"/>
      <c r="G92" s="4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x14ac:dyDescent="0.4">
      <c r="A93" s="1"/>
      <c r="B93" s="1"/>
      <c r="C93" s="2"/>
      <c r="D93" s="3"/>
      <c r="E93" s="3"/>
      <c r="F93" s="4"/>
      <c r="G93" s="4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x14ac:dyDescent="0.4">
      <c r="A94" s="1"/>
      <c r="B94" s="1"/>
      <c r="C94" s="2"/>
      <c r="D94" s="3"/>
      <c r="E94" s="3"/>
      <c r="F94" s="4"/>
      <c r="G94" s="4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x14ac:dyDescent="0.4">
      <c r="A95" s="1"/>
      <c r="B95" s="1"/>
      <c r="C95" s="2"/>
      <c r="D95" s="3"/>
      <c r="E95" s="3"/>
      <c r="F95" s="4"/>
      <c r="G95" s="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x14ac:dyDescent="0.4">
      <c r="A96" s="1"/>
      <c r="B96" s="1"/>
      <c r="C96" s="2"/>
      <c r="D96" s="3"/>
      <c r="E96" s="3"/>
      <c r="F96" s="4"/>
      <c r="G96" s="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x14ac:dyDescent="0.4">
      <c r="A97" s="1"/>
      <c r="B97" s="1"/>
      <c r="C97" s="2"/>
      <c r="D97" s="3"/>
      <c r="E97" s="3"/>
      <c r="F97" s="4"/>
      <c r="G97" s="4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x14ac:dyDescent="0.4">
      <c r="A98" s="1"/>
      <c r="B98" s="1"/>
      <c r="C98" s="2"/>
      <c r="D98" s="3"/>
      <c r="E98" s="3"/>
      <c r="F98" s="4"/>
      <c r="G98" s="4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x14ac:dyDescent="0.4">
      <c r="A99" s="1"/>
      <c r="B99" s="1"/>
      <c r="C99" s="2"/>
      <c r="D99" s="3"/>
      <c r="E99" s="3"/>
      <c r="F99" s="4"/>
      <c r="G99" s="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x14ac:dyDescent="0.4">
      <c r="A100" s="1"/>
      <c r="B100" s="1"/>
      <c r="C100" s="2"/>
      <c r="D100" s="3"/>
      <c r="E100" s="3"/>
      <c r="F100" s="4"/>
      <c r="G100" s="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x14ac:dyDescent="0.4">
      <c r="A101" s="1"/>
      <c r="B101" s="1"/>
      <c r="C101" s="2"/>
      <c r="D101" s="3"/>
      <c r="E101" s="3"/>
      <c r="F101" s="4"/>
      <c r="G101" s="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x14ac:dyDescent="0.4">
      <c r="A102" s="1"/>
      <c r="B102" s="1"/>
      <c r="C102" s="2"/>
      <c r="D102" s="3"/>
      <c r="E102" s="3"/>
      <c r="F102" s="4"/>
      <c r="G102" s="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x14ac:dyDescent="0.4">
      <c r="A103" s="1"/>
      <c r="B103" s="1"/>
      <c r="C103" s="2"/>
      <c r="D103" s="3"/>
      <c r="E103" s="3"/>
      <c r="F103" s="4"/>
      <c r="G103" s="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x14ac:dyDescent="0.4">
      <c r="A104" s="1"/>
      <c r="B104" s="1"/>
      <c r="C104" s="2"/>
      <c r="D104" s="3"/>
      <c r="E104" s="3"/>
      <c r="F104" s="4"/>
      <c r="G104" s="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x14ac:dyDescent="0.4">
      <c r="A105" s="1"/>
      <c r="B105" s="1"/>
      <c r="C105" s="2"/>
      <c r="D105" s="3"/>
      <c r="E105" s="3"/>
      <c r="F105" s="4"/>
      <c r="G105" s="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x14ac:dyDescent="0.4">
      <c r="A106" s="1"/>
      <c r="B106" s="1"/>
      <c r="C106" s="2"/>
      <c r="D106" s="3"/>
      <c r="E106" s="3"/>
      <c r="F106" s="4"/>
      <c r="G106" s="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x14ac:dyDescent="0.4">
      <c r="A107" s="1"/>
      <c r="B107" s="1"/>
      <c r="C107" s="2"/>
      <c r="D107" s="3"/>
      <c r="E107" s="3"/>
      <c r="F107" s="4"/>
      <c r="G107" s="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x14ac:dyDescent="0.4">
      <c r="A108" s="1"/>
      <c r="B108" s="1"/>
      <c r="C108" s="2"/>
      <c r="D108" s="3"/>
      <c r="E108" s="3"/>
      <c r="F108" s="4"/>
      <c r="G108" s="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x14ac:dyDescent="0.4">
      <c r="A109" s="1"/>
      <c r="B109" s="1"/>
      <c r="C109" s="2"/>
      <c r="D109" s="3"/>
      <c r="E109" s="3"/>
      <c r="F109" s="4"/>
      <c r="G109" s="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x14ac:dyDescent="0.4">
      <c r="A110" s="1"/>
      <c r="B110" s="1"/>
      <c r="C110" s="2"/>
      <c r="D110" s="3"/>
      <c r="E110" s="3"/>
      <c r="F110" s="4"/>
      <c r="G110" s="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x14ac:dyDescent="0.4">
      <c r="A111" s="1"/>
      <c r="B111" s="1"/>
      <c r="C111" s="2"/>
      <c r="D111" s="3"/>
      <c r="E111" s="3"/>
      <c r="F111" s="4"/>
      <c r="G111" s="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x14ac:dyDescent="0.4">
      <c r="A112" s="1"/>
      <c r="B112" s="1"/>
      <c r="C112" s="2"/>
      <c r="D112" s="3"/>
      <c r="E112" s="3"/>
      <c r="F112" s="4"/>
      <c r="G112" s="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x14ac:dyDescent="0.4">
      <c r="A113" s="1"/>
      <c r="B113" s="1"/>
      <c r="C113" s="2"/>
      <c r="D113" s="3"/>
      <c r="E113" s="3"/>
      <c r="F113" s="4"/>
      <c r="G113" s="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x14ac:dyDescent="0.4">
      <c r="A114" s="1"/>
      <c r="B114" s="1"/>
      <c r="C114" s="2"/>
      <c r="D114" s="3"/>
      <c r="E114" s="3"/>
      <c r="F114" s="4"/>
      <c r="G114" s="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x14ac:dyDescent="0.4">
      <c r="A115" s="1"/>
      <c r="B115" s="1"/>
      <c r="C115" s="2"/>
      <c r="D115" s="3"/>
      <c r="E115" s="3"/>
      <c r="F115" s="4"/>
      <c r="G115" s="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x14ac:dyDescent="0.4">
      <c r="A116" s="1"/>
      <c r="B116" s="1"/>
      <c r="C116" s="2"/>
      <c r="D116" s="3"/>
      <c r="E116" s="3"/>
      <c r="F116" s="4"/>
      <c r="G116" s="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x14ac:dyDescent="0.4">
      <c r="A117" s="1"/>
      <c r="B117" s="1"/>
      <c r="C117" s="2"/>
      <c r="D117" s="3"/>
      <c r="E117" s="3"/>
      <c r="F117" s="4"/>
      <c r="G117" s="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x14ac:dyDescent="0.4">
      <c r="A118" s="1"/>
      <c r="B118" s="1"/>
      <c r="C118" s="2"/>
      <c r="D118" s="3"/>
      <c r="E118" s="3"/>
      <c r="F118" s="4"/>
      <c r="G118" s="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x14ac:dyDescent="0.4">
      <c r="A119" s="1"/>
      <c r="B119" s="1"/>
      <c r="C119" s="2"/>
      <c r="D119" s="3"/>
      <c r="E119" s="3"/>
      <c r="F119" s="4"/>
      <c r="G119" s="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x14ac:dyDescent="0.4">
      <c r="A120" s="1"/>
      <c r="B120" s="1"/>
      <c r="C120" s="2"/>
      <c r="D120" s="3"/>
      <c r="E120" s="3"/>
      <c r="F120" s="4"/>
      <c r="G120" s="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x14ac:dyDescent="0.4">
      <c r="A121" s="1"/>
      <c r="B121" s="1"/>
      <c r="C121" s="2"/>
      <c r="D121" s="3"/>
      <c r="E121" s="3"/>
      <c r="F121" s="4"/>
      <c r="G121" s="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x14ac:dyDescent="0.4">
      <c r="A122" s="1"/>
      <c r="B122" s="1"/>
      <c r="C122" s="2"/>
      <c r="D122" s="3"/>
      <c r="E122" s="3"/>
      <c r="F122" s="4"/>
      <c r="G122" s="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x14ac:dyDescent="0.4">
      <c r="A123" s="1"/>
      <c r="B123" s="1"/>
      <c r="C123" s="2"/>
      <c r="D123" s="3"/>
      <c r="E123" s="3"/>
      <c r="F123" s="4"/>
      <c r="G123" s="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x14ac:dyDescent="0.4">
      <c r="A124" s="1"/>
      <c r="B124" s="1"/>
      <c r="C124" s="2"/>
      <c r="D124" s="3"/>
      <c r="E124" s="3"/>
      <c r="F124" s="4"/>
      <c r="G124" s="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x14ac:dyDescent="0.4">
      <c r="A125" s="1"/>
      <c r="B125" s="1"/>
      <c r="C125" s="2"/>
      <c r="D125" s="3"/>
      <c r="E125" s="3"/>
      <c r="F125" s="4"/>
      <c r="G125" s="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x14ac:dyDescent="0.4">
      <c r="A126" s="1"/>
      <c r="B126" s="1"/>
      <c r="C126" s="2"/>
      <c r="D126" s="3"/>
      <c r="E126" s="3"/>
      <c r="F126" s="4"/>
      <c r="G126" s="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x14ac:dyDescent="0.4">
      <c r="A127" s="1"/>
      <c r="B127" s="1"/>
      <c r="C127" s="2"/>
      <c r="D127" s="3"/>
      <c r="E127" s="3"/>
      <c r="F127" s="4"/>
      <c r="G127" s="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x14ac:dyDescent="0.4">
      <c r="A128" s="1"/>
      <c r="B128" s="1"/>
      <c r="C128" s="2"/>
      <c r="D128" s="3"/>
      <c r="E128" s="3"/>
      <c r="F128" s="4"/>
      <c r="G128" s="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x14ac:dyDescent="0.4">
      <c r="A129" s="1"/>
      <c r="B129" s="1"/>
      <c r="C129" s="2"/>
      <c r="D129" s="3"/>
      <c r="E129" s="3"/>
      <c r="F129" s="4"/>
      <c r="G129" s="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x14ac:dyDescent="0.4">
      <c r="A130" s="1"/>
      <c r="B130" s="1"/>
      <c r="C130" s="2"/>
      <c r="D130" s="3"/>
      <c r="E130" s="3"/>
      <c r="F130" s="4"/>
      <c r="G130" s="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x14ac:dyDescent="0.4">
      <c r="A131" s="1"/>
      <c r="B131" s="1"/>
      <c r="C131" s="2"/>
      <c r="D131" s="3"/>
      <c r="E131" s="3"/>
      <c r="F131" s="4"/>
      <c r="G131" s="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x14ac:dyDescent="0.4">
      <c r="A132" s="1"/>
      <c r="B132" s="1"/>
      <c r="C132" s="2"/>
      <c r="D132" s="3"/>
      <c r="E132" s="3"/>
      <c r="F132" s="4"/>
      <c r="G132" s="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x14ac:dyDescent="0.4">
      <c r="A133" s="1"/>
      <c r="B133" s="1"/>
      <c r="C133" s="2"/>
      <c r="D133" s="3"/>
      <c r="E133" s="3"/>
      <c r="F133" s="4"/>
      <c r="G133" s="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x14ac:dyDescent="0.4">
      <c r="A134" s="1"/>
      <c r="B134" s="1"/>
      <c r="C134" s="2"/>
      <c r="D134" s="3"/>
      <c r="E134" s="3"/>
      <c r="F134" s="4"/>
      <c r="G134" s="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x14ac:dyDescent="0.4">
      <c r="A135" s="1"/>
      <c r="B135" s="1"/>
      <c r="C135" s="2"/>
      <c r="D135" s="3"/>
      <c r="E135" s="3"/>
      <c r="F135" s="4"/>
      <c r="G135" s="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x14ac:dyDescent="0.4">
      <c r="A136" s="1"/>
      <c r="B136" s="1"/>
      <c r="C136" s="2"/>
      <c r="D136" s="3"/>
      <c r="E136" s="3"/>
      <c r="F136" s="4"/>
      <c r="G136" s="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x14ac:dyDescent="0.4">
      <c r="A137" s="1"/>
      <c r="B137" s="1"/>
      <c r="C137" s="2"/>
      <c r="D137" s="3"/>
      <c r="E137" s="3"/>
      <c r="F137" s="4"/>
      <c r="G137" s="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x14ac:dyDescent="0.4">
      <c r="A138" s="1"/>
      <c r="B138" s="1"/>
      <c r="C138" s="2"/>
      <c r="D138" s="3"/>
      <c r="E138" s="3"/>
      <c r="F138" s="4"/>
      <c r="G138" s="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x14ac:dyDescent="0.4">
      <c r="A139" s="1"/>
      <c r="B139" s="1"/>
      <c r="C139" s="2"/>
      <c r="D139" s="3"/>
      <c r="E139" s="3"/>
      <c r="F139" s="4"/>
      <c r="G139" s="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x14ac:dyDescent="0.4">
      <c r="A140" s="1"/>
      <c r="B140" s="1"/>
      <c r="C140" s="2"/>
      <c r="D140" s="3"/>
      <c r="E140" s="3"/>
      <c r="F140" s="4"/>
      <c r="G140" s="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x14ac:dyDescent="0.4">
      <c r="A141" s="1"/>
      <c r="B141" s="1"/>
      <c r="C141" s="2"/>
      <c r="D141" s="3"/>
      <c r="E141" s="3"/>
      <c r="F141" s="4"/>
      <c r="G141" s="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x14ac:dyDescent="0.4">
      <c r="A142" s="1"/>
      <c r="B142" s="1"/>
      <c r="C142" s="2"/>
      <c r="D142" s="3"/>
      <c r="E142" s="3"/>
      <c r="F142" s="4"/>
      <c r="G142" s="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s="1" customFormat="1" x14ac:dyDescent="0.4">
      <c r="C143" s="2"/>
      <c r="D143" s="3"/>
      <c r="E143" s="3"/>
      <c r="F143" s="4"/>
      <c r="G143" s="4"/>
    </row>
    <row r="144" spans="1:19" x14ac:dyDescent="0.4">
      <c r="A144" s="1"/>
      <c r="B144" s="1"/>
      <c r="C144" s="2"/>
      <c r="D144" s="3"/>
      <c r="E144" s="3"/>
      <c r="F144" s="4"/>
      <c r="G144" s="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x14ac:dyDescent="0.4">
      <c r="A145" s="1"/>
      <c r="B145" s="1"/>
      <c r="C145" s="2"/>
      <c r="D145" s="3"/>
      <c r="E145" s="3"/>
      <c r="F145" s="4"/>
      <c r="G145" s="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x14ac:dyDescent="0.4">
      <c r="A146" s="1"/>
      <c r="B146" s="1"/>
      <c r="C146" s="2"/>
      <c r="D146" s="3"/>
      <c r="E146" s="3"/>
      <c r="F146" s="4"/>
      <c r="G146" s="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x14ac:dyDescent="0.4">
      <c r="A147" s="1"/>
      <c r="B147" s="1"/>
      <c r="C147" s="2"/>
      <c r="D147" s="3"/>
      <c r="E147" s="3"/>
      <c r="F147" s="4"/>
      <c r="G147" s="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x14ac:dyDescent="0.4">
      <c r="A148" s="1"/>
      <c r="B148" s="1"/>
      <c r="C148" s="2"/>
      <c r="D148" s="3"/>
      <c r="E148" s="3"/>
      <c r="F148" s="4"/>
      <c r="G148" s="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x14ac:dyDescent="0.4">
      <c r="A149" s="1"/>
      <c r="B149" s="1"/>
      <c r="C149" s="2"/>
      <c r="D149" s="3"/>
      <c r="E149" s="3"/>
      <c r="F149" s="4"/>
      <c r="G149" s="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x14ac:dyDescent="0.4">
      <c r="A150" s="1"/>
      <c r="B150" s="1"/>
      <c r="C150" s="2"/>
      <c r="D150" s="3"/>
      <c r="E150" s="3"/>
      <c r="F150" s="4"/>
      <c r="G150" s="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x14ac:dyDescent="0.4">
      <c r="A151" s="1"/>
      <c r="B151" s="1"/>
      <c r="C151" s="2"/>
      <c r="D151" s="3"/>
      <c r="E151" s="3"/>
      <c r="F151" s="4"/>
      <c r="G151" s="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x14ac:dyDescent="0.4">
      <c r="A152" s="1"/>
      <c r="B152" s="1"/>
      <c r="C152" s="2"/>
      <c r="D152" s="3"/>
      <c r="E152" s="3"/>
      <c r="F152" s="4"/>
      <c r="G152" s="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x14ac:dyDescent="0.4">
      <c r="A153" s="1"/>
      <c r="B153" s="1"/>
      <c r="C153" s="2"/>
      <c r="D153" s="3"/>
      <c r="E153" s="3"/>
      <c r="F153" s="4"/>
      <c r="G153" s="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x14ac:dyDescent="0.4">
      <c r="A154" s="1"/>
      <c r="B154" s="1"/>
      <c r="C154" s="2"/>
      <c r="D154" s="3"/>
      <c r="E154" s="3"/>
      <c r="F154" s="4"/>
      <c r="G154" s="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x14ac:dyDescent="0.4">
      <c r="A155" s="1"/>
      <c r="B155" s="1"/>
      <c r="C155" s="2"/>
      <c r="D155" s="3"/>
      <c r="E155" s="3"/>
      <c r="F155" s="4"/>
      <c r="G155" s="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x14ac:dyDescent="0.4">
      <c r="A156" s="1"/>
      <c r="B156" s="1"/>
      <c r="C156" s="2"/>
      <c r="D156" s="3"/>
      <c r="E156" s="3"/>
      <c r="F156" s="4"/>
      <c r="G156" s="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x14ac:dyDescent="0.4">
      <c r="A157" s="1"/>
      <c r="B157" s="1"/>
      <c r="C157" s="2"/>
      <c r="D157" s="3"/>
      <c r="E157" s="3"/>
      <c r="F157" s="4"/>
      <c r="G157" s="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x14ac:dyDescent="0.4">
      <c r="A158" s="1"/>
      <c r="B158" s="1"/>
      <c r="C158" s="2"/>
      <c r="D158" s="3"/>
      <c r="E158" s="3"/>
      <c r="F158" s="4"/>
      <c r="G158" s="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x14ac:dyDescent="0.4">
      <c r="A159" s="1"/>
      <c r="B159" s="1"/>
      <c r="C159" s="2"/>
      <c r="D159" s="3"/>
      <c r="E159" s="3"/>
      <c r="F159" s="4"/>
      <c r="G159" s="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x14ac:dyDescent="0.4">
      <c r="A160" s="1"/>
      <c r="B160" s="1"/>
      <c r="C160" s="2"/>
      <c r="D160" s="3"/>
      <c r="E160" s="3"/>
      <c r="F160" s="4"/>
      <c r="G160" s="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x14ac:dyDescent="0.4">
      <c r="A161" s="1"/>
      <c r="B161" s="1"/>
      <c r="C161" s="2"/>
      <c r="D161" s="3"/>
      <c r="E161" s="3"/>
      <c r="F161" s="4"/>
      <c r="G161" s="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x14ac:dyDescent="0.4">
      <c r="A162" s="1"/>
      <c r="B162" s="1"/>
      <c r="C162" s="2"/>
      <c r="D162" s="3"/>
      <c r="E162" s="3"/>
      <c r="F162" s="4"/>
      <c r="G162" s="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x14ac:dyDescent="0.4">
      <c r="A163" s="1"/>
      <c r="B163" s="1"/>
      <c r="C163" s="2"/>
      <c r="D163" s="3"/>
      <c r="E163" s="3"/>
      <c r="F163" s="4"/>
      <c r="G163" s="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x14ac:dyDescent="0.4">
      <c r="A164" s="1"/>
      <c r="B164" s="1"/>
      <c r="C164" s="2"/>
      <c r="D164" s="3"/>
      <c r="E164" s="3"/>
      <c r="F164" s="6"/>
      <c r="G164" s="1"/>
      <c r="H164" s="1"/>
      <c r="I164" s="1"/>
      <c r="J164" s="1"/>
      <c r="K164" s="4"/>
      <c r="L164" s="1"/>
      <c r="M164" s="1"/>
      <c r="N164" s="2"/>
      <c r="O164" s="3"/>
      <c r="P164" s="3"/>
      <c r="Q164" s="2"/>
      <c r="R164" s="1"/>
      <c r="S164" s="1"/>
    </row>
    <row r="165" spans="1:19" x14ac:dyDescent="0.4">
      <c r="A165" s="1"/>
      <c r="B165" s="1"/>
      <c r="C165" s="2"/>
      <c r="D165" s="3"/>
      <c r="E165" s="3"/>
      <c r="F165" s="4"/>
      <c r="G165" s="4"/>
      <c r="H165" s="1"/>
      <c r="I165" s="1"/>
      <c r="J165" s="1"/>
      <c r="K165" s="4"/>
      <c r="L165" s="1"/>
      <c r="M165" s="1"/>
      <c r="N165" s="2"/>
      <c r="O165" s="3"/>
      <c r="P165" s="3"/>
      <c r="Q165" s="2"/>
      <c r="R165" s="1"/>
      <c r="S165" s="1"/>
    </row>
    <row r="166" spans="1:19" x14ac:dyDescent="0.4">
      <c r="A166" s="1"/>
      <c r="B166" s="1"/>
      <c r="C166" s="2"/>
      <c r="D166" s="3"/>
      <c r="E166" s="3"/>
      <c r="F166" s="4"/>
      <c r="G166" s="4"/>
      <c r="H166" s="1"/>
      <c r="I166" s="1"/>
      <c r="J166" s="1"/>
      <c r="K166" s="4"/>
      <c r="L166" s="1"/>
      <c r="M166" s="1"/>
      <c r="N166" s="2"/>
      <c r="O166" s="3"/>
      <c r="P166" s="3"/>
      <c r="Q166" s="2"/>
      <c r="R166" s="1"/>
      <c r="S166" s="1"/>
    </row>
    <row r="167" spans="1:19" x14ac:dyDescent="0.4">
      <c r="A167" s="1"/>
      <c r="B167" s="1"/>
      <c r="C167" s="2"/>
      <c r="D167" s="3"/>
      <c r="E167" s="3"/>
      <c r="F167" s="4"/>
      <c r="G167" s="4"/>
      <c r="H167" s="1"/>
      <c r="I167" s="1"/>
      <c r="J167" s="1"/>
      <c r="K167" s="4"/>
      <c r="L167" s="1"/>
      <c r="M167" s="1"/>
      <c r="N167" s="2"/>
      <c r="O167" s="3"/>
      <c r="P167" s="3"/>
      <c r="Q167" s="2"/>
      <c r="R167" s="1"/>
      <c r="S167" s="1"/>
    </row>
    <row r="168" spans="1:19" x14ac:dyDescent="0.4">
      <c r="A168" s="1"/>
      <c r="B168" s="1"/>
      <c r="C168" s="2"/>
      <c r="D168" s="3"/>
      <c r="E168" s="3"/>
      <c r="F168" s="4"/>
      <c r="G168" s="4"/>
      <c r="H168" s="1"/>
      <c r="I168" s="1"/>
      <c r="J168" s="1"/>
      <c r="K168" s="4"/>
      <c r="L168" s="1"/>
      <c r="M168" s="1"/>
      <c r="N168" s="2"/>
      <c r="O168" s="3"/>
      <c r="P168" s="3"/>
      <c r="Q168" s="2"/>
      <c r="R168" s="1"/>
      <c r="S168" s="1"/>
    </row>
    <row r="169" spans="1:19" x14ac:dyDescent="0.4">
      <c r="A169" s="1"/>
      <c r="B169" s="1"/>
      <c r="C169" s="2"/>
      <c r="D169" s="3"/>
      <c r="E169" s="3"/>
      <c r="F169" s="4"/>
      <c r="G169" s="4"/>
      <c r="H169" s="1"/>
      <c r="I169" s="1"/>
      <c r="J169" s="1"/>
      <c r="K169" s="4"/>
      <c r="L169" s="1"/>
      <c r="M169" s="1"/>
      <c r="N169" s="2"/>
      <c r="O169" s="3"/>
      <c r="P169" s="3"/>
      <c r="Q169" s="2"/>
      <c r="R169" s="1"/>
      <c r="S169" s="1"/>
    </row>
    <row r="170" spans="1:19" x14ac:dyDescent="0.4">
      <c r="A170" s="1"/>
      <c r="B170" s="1"/>
      <c r="C170" s="2"/>
      <c r="D170" s="3"/>
      <c r="E170" s="3"/>
      <c r="F170" s="4"/>
      <c r="G170" s="4"/>
      <c r="H170" s="1"/>
      <c r="I170" s="1"/>
      <c r="J170" s="1"/>
      <c r="K170" s="4"/>
      <c r="L170" s="1"/>
      <c r="M170" s="1"/>
      <c r="N170" s="2"/>
      <c r="O170" s="3"/>
      <c r="P170" s="3"/>
      <c r="Q170" s="2"/>
      <c r="R170" s="1"/>
      <c r="S170" s="1"/>
    </row>
    <row r="171" spans="1:19" x14ac:dyDescent="0.4">
      <c r="A171" s="1"/>
      <c r="B171" s="1"/>
      <c r="C171" s="2"/>
      <c r="D171" s="3"/>
      <c r="E171" s="3"/>
      <c r="F171" s="4"/>
      <c r="G171" s="4"/>
      <c r="H171" s="1"/>
      <c r="I171" s="1"/>
      <c r="J171" s="1"/>
      <c r="K171" s="4"/>
      <c r="L171" s="1"/>
      <c r="M171" s="1"/>
      <c r="N171" s="2"/>
      <c r="O171" s="3"/>
      <c r="P171" s="3"/>
      <c r="Q171" s="2"/>
      <c r="R171" s="1"/>
      <c r="S171" s="1"/>
    </row>
    <row r="172" spans="1:19" x14ac:dyDescent="0.4">
      <c r="A172" s="1"/>
      <c r="B172" s="1"/>
      <c r="C172" s="2"/>
      <c r="D172" s="3"/>
      <c r="E172" s="3"/>
      <c r="F172" s="4"/>
      <c r="G172" s="4"/>
      <c r="H172" s="1"/>
      <c r="I172" s="1"/>
      <c r="J172" s="1"/>
      <c r="K172" s="4"/>
      <c r="L172" s="1"/>
      <c r="M172" s="1"/>
      <c r="N172" s="2"/>
      <c r="O172" s="3"/>
      <c r="P172" s="3"/>
      <c r="Q172" s="2"/>
      <c r="R172" s="1"/>
      <c r="S172" s="1"/>
    </row>
    <row r="173" spans="1:19" x14ac:dyDescent="0.4">
      <c r="A173" s="1"/>
      <c r="B173" s="1"/>
      <c r="C173" s="2"/>
      <c r="D173" s="3"/>
      <c r="E173" s="3"/>
      <c r="F173" s="4"/>
      <c r="G173" s="4"/>
      <c r="H173" s="1"/>
      <c r="I173" s="1"/>
      <c r="J173" s="1"/>
      <c r="K173" s="4"/>
      <c r="L173" s="1"/>
      <c r="M173" s="1"/>
      <c r="N173" s="2"/>
      <c r="O173" s="3"/>
      <c r="P173" s="3"/>
      <c r="Q173" s="2"/>
      <c r="R173" s="1"/>
      <c r="S173" s="1"/>
    </row>
    <row r="174" spans="1:19" x14ac:dyDescent="0.4">
      <c r="A174" s="1"/>
      <c r="B174" s="1"/>
      <c r="C174" s="2"/>
      <c r="D174" s="3"/>
      <c r="E174" s="3"/>
      <c r="F174" s="4"/>
      <c r="G174" s="4"/>
      <c r="H174" s="1"/>
      <c r="I174" s="1"/>
      <c r="J174" s="1"/>
      <c r="K174" s="4"/>
      <c r="L174" s="1"/>
      <c r="M174" s="1"/>
      <c r="N174" s="2"/>
      <c r="O174" s="3"/>
      <c r="P174" s="3"/>
      <c r="Q174" s="2"/>
      <c r="R174" s="1"/>
      <c r="S174" s="1"/>
    </row>
    <row r="175" spans="1:19" x14ac:dyDescent="0.4">
      <c r="A175" s="1"/>
      <c r="B175" s="1"/>
      <c r="C175" s="2"/>
      <c r="D175" s="3"/>
      <c r="E175" s="3"/>
      <c r="F175" s="4"/>
      <c r="G175" s="4"/>
      <c r="H175" s="1"/>
      <c r="I175" s="1"/>
      <c r="J175" s="1"/>
      <c r="K175" s="4"/>
      <c r="L175" s="1"/>
      <c r="M175" s="1"/>
      <c r="N175" s="2"/>
      <c r="O175" s="3"/>
      <c r="P175" s="3"/>
      <c r="Q175" s="2"/>
      <c r="R175" s="1"/>
      <c r="S175" s="1"/>
    </row>
    <row r="176" spans="1:19" x14ac:dyDescent="0.4">
      <c r="A176" s="1"/>
      <c r="B176" s="1"/>
      <c r="C176" s="2"/>
      <c r="D176" s="3"/>
      <c r="E176" s="3"/>
      <c r="F176" s="4"/>
      <c r="G176" s="4"/>
      <c r="H176" s="1"/>
      <c r="I176" s="1"/>
      <c r="J176" s="1"/>
      <c r="K176" s="4"/>
      <c r="L176" s="1"/>
      <c r="M176" s="1"/>
      <c r="N176" s="2"/>
      <c r="O176" s="3"/>
      <c r="P176" s="3"/>
      <c r="Q176" s="2"/>
      <c r="R176" s="1"/>
      <c r="S176" s="1"/>
    </row>
    <row r="177" spans="1:19" x14ac:dyDescent="0.4">
      <c r="A177" s="1"/>
      <c r="B177" s="1"/>
      <c r="C177" s="2"/>
      <c r="D177" s="3"/>
      <c r="E177" s="3"/>
      <c r="F177" s="4"/>
      <c r="G177" s="4"/>
      <c r="H177" s="1"/>
      <c r="I177" s="1"/>
      <c r="J177" s="1"/>
      <c r="K177" s="4"/>
      <c r="L177" s="1"/>
      <c r="M177" s="1"/>
      <c r="N177" s="2"/>
      <c r="O177" s="3"/>
      <c r="P177" s="3"/>
      <c r="Q177" s="2"/>
      <c r="R177" s="1"/>
      <c r="S177" s="1"/>
    </row>
    <row r="178" spans="1:19" x14ac:dyDescent="0.4">
      <c r="A178" s="1"/>
      <c r="B178" s="1"/>
      <c r="C178" s="2"/>
      <c r="D178" s="3"/>
      <c r="E178" s="3"/>
      <c r="F178" s="4"/>
      <c r="G178" s="4"/>
      <c r="H178" s="1"/>
      <c r="I178" s="1"/>
      <c r="J178" s="1"/>
      <c r="K178" s="4"/>
      <c r="L178" s="1"/>
      <c r="M178" s="1"/>
      <c r="N178" s="2"/>
      <c r="O178" s="3"/>
      <c r="P178" s="3"/>
      <c r="Q178" s="2"/>
      <c r="R178" s="1"/>
      <c r="S178" s="1"/>
    </row>
    <row r="179" spans="1:19" x14ac:dyDescent="0.4">
      <c r="A179" s="1"/>
      <c r="B179" s="1"/>
      <c r="C179" s="2"/>
      <c r="D179" s="3"/>
      <c r="E179" s="3"/>
      <c r="F179" s="4"/>
      <c r="G179" s="4"/>
      <c r="H179" s="1"/>
      <c r="I179" s="1"/>
      <c r="J179" s="1"/>
      <c r="K179" s="4"/>
      <c r="L179" s="1"/>
      <c r="M179" s="1"/>
      <c r="N179" s="2"/>
      <c r="O179" s="3"/>
      <c r="P179" s="3"/>
      <c r="Q179" s="2"/>
      <c r="R179" s="1"/>
      <c r="S179" s="1"/>
    </row>
    <row r="180" spans="1:19" x14ac:dyDescent="0.4">
      <c r="A180" s="1"/>
      <c r="B180" s="1"/>
      <c r="C180" s="2"/>
      <c r="D180" s="3"/>
      <c r="E180" s="3"/>
      <c r="F180" s="4"/>
      <c r="G180" s="4"/>
      <c r="H180" s="1"/>
      <c r="I180" s="1"/>
      <c r="J180" s="1"/>
      <c r="K180" s="4"/>
      <c r="L180" s="1"/>
      <c r="M180" s="1"/>
      <c r="N180" s="2"/>
      <c r="O180" s="3"/>
      <c r="P180" s="3"/>
      <c r="Q180" s="2"/>
      <c r="R180" s="1"/>
      <c r="S180" s="1"/>
    </row>
    <row r="181" spans="1:19" x14ac:dyDescent="0.4">
      <c r="A181" s="1"/>
      <c r="B181" s="1"/>
      <c r="C181" s="2"/>
      <c r="D181" s="3"/>
      <c r="E181" s="3"/>
      <c r="F181" s="4"/>
      <c r="G181" s="4"/>
      <c r="H181" s="1"/>
      <c r="I181" s="1"/>
      <c r="J181" s="1"/>
      <c r="K181" s="4"/>
      <c r="L181" s="1"/>
      <c r="M181" s="1"/>
      <c r="N181" s="2"/>
      <c r="O181" s="3"/>
      <c r="P181" s="3"/>
      <c r="Q181" s="2"/>
      <c r="R181" s="1"/>
      <c r="S181" s="1"/>
    </row>
    <row r="182" spans="1:19" x14ac:dyDescent="0.4">
      <c r="A182" s="1"/>
      <c r="B182" s="1"/>
      <c r="C182" s="2"/>
      <c r="D182" s="3"/>
      <c r="E182" s="3"/>
      <c r="F182" s="4"/>
      <c r="G182" s="4"/>
      <c r="H182" s="1"/>
      <c r="I182" s="1"/>
      <c r="J182" s="1"/>
      <c r="K182" s="4"/>
      <c r="L182" s="1"/>
      <c r="M182" s="1"/>
      <c r="N182" s="2"/>
      <c r="O182" s="3"/>
      <c r="P182" s="3"/>
      <c r="Q182" s="2"/>
      <c r="R182" s="1"/>
      <c r="S182" s="1"/>
    </row>
    <row r="183" spans="1:19" x14ac:dyDescent="0.4">
      <c r="A183" s="1"/>
      <c r="B183" s="1"/>
      <c r="C183" s="2"/>
      <c r="D183" s="3"/>
      <c r="E183" s="3"/>
      <c r="F183" s="4"/>
      <c r="G183" s="4"/>
      <c r="H183" s="1"/>
      <c r="I183" s="1"/>
      <c r="J183" s="1"/>
      <c r="K183" s="4"/>
      <c r="L183" s="1"/>
      <c r="M183" s="1"/>
      <c r="N183" s="2"/>
      <c r="O183" s="3"/>
      <c r="P183" s="3"/>
      <c r="Q183" s="2"/>
      <c r="R183" s="1"/>
      <c r="S183" s="1"/>
    </row>
    <row r="184" spans="1:19" x14ac:dyDescent="0.4">
      <c r="A184" s="1"/>
      <c r="B184" s="1"/>
      <c r="C184" s="2"/>
      <c r="D184" s="3"/>
      <c r="E184" s="3"/>
      <c r="F184" s="4"/>
      <c r="G184" s="4"/>
      <c r="H184" s="1"/>
      <c r="I184" s="1"/>
      <c r="J184" s="1"/>
      <c r="K184" s="4"/>
      <c r="L184" s="1"/>
      <c r="M184" s="1"/>
      <c r="N184" s="2"/>
      <c r="O184" s="3"/>
      <c r="P184" s="3"/>
      <c r="Q184" s="2"/>
      <c r="R184" s="1"/>
      <c r="S184" s="1"/>
    </row>
    <row r="185" spans="1:19" x14ac:dyDescent="0.4">
      <c r="A185" s="1"/>
      <c r="B185" s="1"/>
      <c r="C185" s="2"/>
      <c r="D185" s="3"/>
      <c r="E185" s="3"/>
      <c r="F185" s="4"/>
      <c r="G185" s="4"/>
      <c r="H185" s="1"/>
      <c r="I185" s="1"/>
      <c r="J185" s="1"/>
      <c r="K185" s="4"/>
      <c r="L185" s="1"/>
      <c r="M185" s="1"/>
      <c r="N185" s="2"/>
      <c r="O185" s="3"/>
      <c r="P185" s="3"/>
      <c r="Q185" s="2"/>
      <c r="R185" s="1"/>
      <c r="S185" s="1"/>
    </row>
    <row r="186" spans="1:19" x14ac:dyDescent="0.4">
      <c r="A186" s="1"/>
      <c r="B186" s="1"/>
      <c r="C186" s="2"/>
      <c r="D186" s="3"/>
      <c r="E186" s="3"/>
      <c r="F186" s="4"/>
      <c r="G186" s="4"/>
      <c r="H186" s="1"/>
      <c r="I186" s="1"/>
      <c r="J186" s="1"/>
      <c r="K186" s="4"/>
      <c r="L186" s="1"/>
      <c r="M186" s="1"/>
      <c r="N186" s="2"/>
      <c r="O186" s="3"/>
      <c r="P186" s="3"/>
      <c r="Q186" s="2"/>
      <c r="R186" s="1"/>
      <c r="S186" s="1"/>
    </row>
    <row r="187" spans="1:19" x14ac:dyDescent="0.4">
      <c r="A187" s="1"/>
      <c r="B187" s="1"/>
      <c r="C187" s="2"/>
      <c r="D187" s="3"/>
      <c r="E187" s="3"/>
      <c r="F187" s="4"/>
      <c r="G187" s="4"/>
      <c r="H187" s="1"/>
      <c r="I187" s="1"/>
      <c r="J187" s="1"/>
      <c r="K187" s="4"/>
      <c r="L187" s="1"/>
      <c r="M187" s="1"/>
      <c r="N187" s="2"/>
      <c r="O187" s="3"/>
      <c r="P187" s="3"/>
      <c r="Q187" s="2"/>
      <c r="R187" s="1"/>
      <c r="S187" s="1"/>
    </row>
    <row r="188" spans="1:19" x14ac:dyDescent="0.4">
      <c r="A188" s="1"/>
      <c r="B188" s="1"/>
      <c r="C188" s="2"/>
      <c r="D188" s="3"/>
      <c r="E188" s="3"/>
      <c r="F188" s="4"/>
      <c r="G188" s="4"/>
      <c r="H188" s="1"/>
      <c r="I188" s="1"/>
      <c r="J188" s="1"/>
      <c r="K188" s="4"/>
      <c r="L188" s="1"/>
      <c r="M188" s="1"/>
      <c r="N188" s="2"/>
      <c r="O188" s="3"/>
      <c r="P188" s="3"/>
      <c r="Q188" s="2"/>
      <c r="R188" s="1"/>
      <c r="S188" s="1"/>
    </row>
    <row r="189" spans="1:19" x14ac:dyDescent="0.4">
      <c r="A189" s="1"/>
      <c r="B189" s="1"/>
      <c r="C189" s="2"/>
      <c r="D189" s="3"/>
      <c r="E189" s="3"/>
      <c r="F189" s="4"/>
      <c r="G189" s="4"/>
      <c r="H189" s="1"/>
      <c r="I189" s="1"/>
      <c r="J189" s="1"/>
      <c r="K189" s="4"/>
      <c r="L189" s="1"/>
      <c r="M189" s="1"/>
      <c r="N189" s="2"/>
      <c r="O189" s="3"/>
      <c r="P189" s="3"/>
      <c r="Q189" s="2"/>
      <c r="R189" s="1"/>
      <c r="S189" s="1"/>
    </row>
    <row r="190" spans="1:19" x14ac:dyDescent="0.4">
      <c r="A190" s="1"/>
      <c r="B190" s="1"/>
      <c r="C190" s="2"/>
      <c r="D190" s="3"/>
      <c r="E190" s="3"/>
      <c r="F190" s="4"/>
      <c r="G190" s="4"/>
      <c r="H190" s="1"/>
      <c r="I190" s="1"/>
      <c r="J190" s="1"/>
      <c r="K190" s="4"/>
      <c r="L190" s="1"/>
      <c r="M190" s="1"/>
      <c r="N190" s="2"/>
      <c r="O190" s="3"/>
      <c r="P190" s="3"/>
      <c r="Q190" s="2"/>
      <c r="R190" s="1"/>
      <c r="S190" s="1"/>
    </row>
    <row r="191" spans="1:19" x14ac:dyDescent="0.4">
      <c r="A191" s="1"/>
      <c r="B191" s="1"/>
      <c r="C191" s="2"/>
      <c r="D191" s="3"/>
      <c r="E191" s="3"/>
      <c r="F191" s="4"/>
      <c r="G191" s="4"/>
      <c r="H191" s="1"/>
      <c r="I191" s="1"/>
      <c r="J191" s="1"/>
      <c r="K191" s="4"/>
      <c r="L191" s="1"/>
      <c r="M191" s="1"/>
      <c r="N191" s="2"/>
      <c r="O191" s="3"/>
      <c r="P191" s="3"/>
      <c r="Q191" s="2"/>
      <c r="R191" s="1"/>
      <c r="S191" s="1"/>
    </row>
    <row r="192" spans="1:19" x14ac:dyDescent="0.4">
      <c r="A192" s="1"/>
      <c r="B192" s="1"/>
      <c r="C192" s="2"/>
      <c r="D192" s="3"/>
      <c r="E192" s="3"/>
      <c r="F192" s="4"/>
      <c r="G192" s="4"/>
      <c r="H192" s="1"/>
      <c r="I192" s="1"/>
      <c r="J192" s="1"/>
      <c r="K192" s="4"/>
      <c r="L192" s="1"/>
      <c r="M192" s="1"/>
      <c r="N192" s="2"/>
      <c r="O192" s="3"/>
      <c r="P192" s="3"/>
      <c r="Q192" s="2"/>
      <c r="R192" s="1"/>
      <c r="S192" s="1"/>
    </row>
    <row r="193" spans="1:19" x14ac:dyDescent="0.4">
      <c r="A193" s="1"/>
      <c r="B193" s="1"/>
      <c r="C193" s="2"/>
      <c r="D193" s="3"/>
      <c r="E193" s="3"/>
      <c r="F193" s="4"/>
      <c r="G193" s="4"/>
      <c r="H193" s="1"/>
      <c r="I193" s="1"/>
      <c r="J193" s="1"/>
      <c r="K193" s="4"/>
      <c r="L193" s="1"/>
      <c r="M193" s="1"/>
      <c r="N193" s="2"/>
      <c r="O193" s="3"/>
      <c r="P193" s="3"/>
      <c r="Q193" s="2"/>
      <c r="R193" s="1"/>
      <c r="S193" s="1"/>
    </row>
    <row r="194" spans="1:19" x14ac:dyDescent="0.4">
      <c r="A194" s="1"/>
      <c r="B194" s="1"/>
      <c r="C194" s="2"/>
      <c r="D194" s="3"/>
      <c r="E194" s="3"/>
      <c r="F194" s="4"/>
      <c r="G194" s="4"/>
      <c r="H194" s="1"/>
      <c r="I194" s="1"/>
      <c r="J194" s="1"/>
      <c r="K194" s="4"/>
      <c r="L194" s="1"/>
      <c r="M194" s="1"/>
      <c r="N194" s="2"/>
      <c r="O194" s="3"/>
      <c r="P194" s="3"/>
      <c r="Q194" s="2"/>
      <c r="R194" s="1"/>
      <c r="S194" s="1"/>
    </row>
    <row r="195" spans="1:19" x14ac:dyDescent="0.4">
      <c r="A195" s="1"/>
      <c r="B195" s="1"/>
      <c r="C195" s="2"/>
      <c r="D195" s="3"/>
      <c r="E195" s="3"/>
      <c r="F195" s="4"/>
      <c r="G195" s="4"/>
      <c r="H195" s="1"/>
      <c r="I195" s="1"/>
      <c r="J195" s="1"/>
      <c r="K195" s="4"/>
      <c r="L195" s="1"/>
      <c r="M195" s="1"/>
      <c r="N195" s="2"/>
      <c r="O195" s="3"/>
      <c r="P195" s="3"/>
      <c r="Q195" s="2"/>
      <c r="R195" s="1"/>
      <c r="S195" s="1"/>
    </row>
    <row r="196" spans="1:19" x14ac:dyDescent="0.4">
      <c r="A196" s="1"/>
      <c r="B196" s="1"/>
      <c r="C196" s="2"/>
      <c r="D196" s="3"/>
      <c r="E196" s="3"/>
      <c r="F196" s="4"/>
      <c r="G196" s="4"/>
      <c r="H196" s="1"/>
      <c r="I196" s="1"/>
      <c r="J196" s="1"/>
      <c r="K196" s="4"/>
      <c r="L196" s="1"/>
      <c r="M196" s="1"/>
      <c r="N196" s="2"/>
      <c r="O196" s="3"/>
      <c r="P196" s="3"/>
      <c r="Q196" s="2"/>
      <c r="R196" s="1"/>
      <c r="S196" s="1"/>
    </row>
    <row r="197" spans="1:19" x14ac:dyDescent="0.4">
      <c r="A197" s="1"/>
      <c r="B197" s="1"/>
      <c r="C197" s="2"/>
      <c r="D197" s="3"/>
      <c r="E197" s="3"/>
      <c r="F197" s="4"/>
      <c r="G197" s="4"/>
      <c r="H197" s="1"/>
      <c r="I197" s="1"/>
      <c r="J197" s="1"/>
      <c r="K197" s="4"/>
      <c r="L197" s="1"/>
      <c r="M197" s="1"/>
      <c r="N197" s="2"/>
      <c r="O197" s="3"/>
      <c r="P197" s="3"/>
      <c r="Q197" s="2"/>
      <c r="R197" s="1"/>
      <c r="S197" s="1"/>
    </row>
    <row r="198" spans="1:19" x14ac:dyDescent="0.4">
      <c r="A198" s="1"/>
      <c r="B198" s="1"/>
      <c r="C198" s="2"/>
      <c r="D198" s="3"/>
      <c r="E198" s="3"/>
      <c r="F198" s="4"/>
      <c r="G198" s="4"/>
      <c r="H198" s="1"/>
      <c r="I198" s="1"/>
      <c r="J198" s="1"/>
      <c r="K198" s="4"/>
      <c r="L198" s="1"/>
      <c r="M198" s="1"/>
      <c r="N198" s="2"/>
      <c r="O198" s="3"/>
      <c r="P198" s="3"/>
      <c r="Q198" s="2"/>
      <c r="R198" s="1"/>
      <c r="S198" s="1"/>
    </row>
    <row r="199" spans="1:19" x14ac:dyDescent="0.4">
      <c r="A199" s="1"/>
      <c r="B199" s="1"/>
      <c r="C199" s="2"/>
      <c r="D199" s="3"/>
      <c r="E199" s="3"/>
      <c r="F199" s="4"/>
      <c r="G199" s="4"/>
      <c r="H199" s="1"/>
      <c r="I199" s="1"/>
      <c r="J199" s="1"/>
      <c r="K199" s="4"/>
      <c r="L199" s="1"/>
      <c r="M199" s="1"/>
      <c r="N199" s="2"/>
      <c r="O199" s="3"/>
      <c r="P199" s="3"/>
      <c r="Q199" s="2"/>
      <c r="R199" s="1"/>
      <c r="S199" s="1"/>
    </row>
    <row r="200" spans="1:19" x14ac:dyDescent="0.4">
      <c r="A200" s="1"/>
      <c r="B200" s="1"/>
      <c r="C200" s="2"/>
      <c r="D200" s="3"/>
      <c r="E200" s="3"/>
      <c r="F200" s="4"/>
      <c r="G200" s="4"/>
      <c r="H200" s="1"/>
      <c r="I200" s="1"/>
      <c r="J200" s="1"/>
      <c r="K200" s="4"/>
      <c r="L200" s="1"/>
      <c r="M200" s="1"/>
      <c r="N200" s="2"/>
      <c r="O200" s="3"/>
      <c r="P200" s="3"/>
      <c r="Q200" s="2"/>
      <c r="R200" s="1"/>
      <c r="S200" s="1"/>
    </row>
    <row r="201" spans="1:19" x14ac:dyDescent="0.4">
      <c r="A201" s="1"/>
      <c r="B201" s="1"/>
      <c r="C201" s="2"/>
      <c r="D201" s="3"/>
      <c r="E201" s="3"/>
      <c r="F201" s="4"/>
      <c r="G201" s="4"/>
      <c r="H201" s="1"/>
      <c r="I201" s="1"/>
      <c r="J201" s="1"/>
      <c r="K201" s="4"/>
      <c r="L201" s="1"/>
      <c r="M201" s="1"/>
      <c r="N201" s="2"/>
      <c r="O201" s="3"/>
      <c r="P201" s="3"/>
      <c r="Q201" s="2"/>
      <c r="R201" s="1"/>
      <c r="S201" s="1"/>
    </row>
    <row r="202" spans="1:19" x14ac:dyDescent="0.4">
      <c r="A202" s="1"/>
      <c r="B202" s="1"/>
      <c r="C202" s="2"/>
      <c r="D202" s="3"/>
      <c r="E202" s="3"/>
      <c r="F202" s="4"/>
      <c r="G202" s="4"/>
      <c r="H202" s="1"/>
      <c r="I202" s="1"/>
      <c r="J202" s="1"/>
      <c r="K202" s="4"/>
      <c r="L202" s="1"/>
      <c r="M202" s="1"/>
      <c r="N202" s="2"/>
      <c r="O202" s="3"/>
      <c r="P202" s="3"/>
      <c r="Q202" s="2"/>
      <c r="R202" s="1"/>
      <c r="S202" s="1"/>
    </row>
    <row r="203" spans="1:19" x14ac:dyDescent="0.4">
      <c r="A203" s="1"/>
      <c r="B203" s="1"/>
      <c r="C203" s="2"/>
      <c r="D203" s="3"/>
      <c r="E203" s="3"/>
      <c r="F203" s="4"/>
      <c r="G203" s="4"/>
      <c r="H203" s="1"/>
      <c r="I203" s="1"/>
      <c r="J203" s="1"/>
      <c r="K203" s="4"/>
      <c r="L203" s="1"/>
      <c r="M203" s="1"/>
      <c r="N203" s="2"/>
      <c r="O203" s="3"/>
      <c r="P203" s="3"/>
      <c r="Q203" s="2"/>
      <c r="R203" s="1"/>
      <c r="S203" s="1"/>
    </row>
    <row r="204" spans="1:19" x14ac:dyDescent="0.4">
      <c r="A204" s="1"/>
      <c r="B204" s="1"/>
      <c r="C204" s="2"/>
      <c r="D204" s="3"/>
      <c r="E204" s="3"/>
      <c r="F204" s="4"/>
      <c r="G204" s="4"/>
      <c r="H204" s="1"/>
      <c r="I204" s="1"/>
      <c r="J204" s="1"/>
      <c r="K204" s="4"/>
      <c r="L204" s="1"/>
      <c r="M204" s="1"/>
      <c r="N204" s="2"/>
      <c r="O204" s="3"/>
      <c r="P204" s="3"/>
      <c r="Q204" s="2"/>
      <c r="R204" s="1"/>
      <c r="S204" s="1"/>
    </row>
    <row r="205" spans="1:19" x14ac:dyDescent="0.4">
      <c r="A205" s="1"/>
      <c r="B205" s="1"/>
      <c r="C205" s="2"/>
      <c r="D205" s="3"/>
      <c r="E205" s="3"/>
      <c r="F205" s="4"/>
      <c r="G205" s="4"/>
      <c r="H205" s="1"/>
      <c r="I205" s="1"/>
      <c r="J205" s="1"/>
      <c r="K205" s="4"/>
      <c r="L205" s="1"/>
      <c r="M205" s="1"/>
      <c r="N205" s="2"/>
      <c r="O205" s="3"/>
      <c r="P205" s="3"/>
      <c r="Q205" s="2"/>
      <c r="R205" s="1"/>
      <c r="S205" s="1"/>
    </row>
    <row r="206" spans="1:19" x14ac:dyDescent="0.4">
      <c r="A206" s="1"/>
      <c r="B206" s="1"/>
      <c r="C206" s="2"/>
      <c r="D206" s="3"/>
      <c r="E206" s="3"/>
      <c r="F206" s="4"/>
      <c r="G206" s="4"/>
      <c r="H206" s="1"/>
      <c r="I206" s="1"/>
      <c r="J206" s="1"/>
      <c r="K206" s="4"/>
      <c r="L206" s="1"/>
      <c r="M206" s="1"/>
      <c r="N206" s="2"/>
      <c r="O206" s="3"/>
      <c r="P206" s="3"/>
      <c r="Q206" s="2"/>
      <c r="R206" s="1"/>
      <c r="S206" s="1"/>
    </row>
    <row r="207" spans="1:19" x14ac:dyDescent="0.4">
      <c r="A207" s="1"/>
      <c r="B207" s="1"/>
      <c r="C207" s="2"/>
      <c r="D207" s="3"/>
      <c r="E207" s="3"/>
      <c r="F207" s="4"/>
      <c r="G207" s="4"/>
      <c r="H207" s="1"/>
      <c r="I207" s="1"/>
      <c r="J207" s="1"/>
      <c r="K207" s="4"/>
      <c r="L207" s="1"/>
      <c r="M207" s="1"/>
      <c r="N207" s="2"/>
      <c r="O207" s="3"/>
      <c r="P207" s="3"/>
      <c r="Q207" s="2"/>
      <c r="R207" s="1"/>
      <c r="S207" s="1"/>
    </row>
    <row r="208" spans="1:19" x14ac:dyDescent="0.4">
      <c r="A208" s="1"/>
      <c r="B208" s="1"/>
      <c r="C208" s="2"/>
      <c r="D208" s="3"/>
      <c r="E208" s="3"/>
      <c r="F208" s="4"/>
      <c r="G208" s="4"/>
      <c r="H208" s="1"/>
      <c r="I208" s="1"/>
      <c r="J208" s="1"/>
      <c r="K208" s="4"/>
      <c r="L208" s="1"/>
      <c r="M208" s="1"/>
      <c r="N208" s="2"/>
      <c r="O208" s="3"/>
      <c r="P208" s="3"/>
      <c r="Q208" s="2"/>
      <c r="R208" s="1"/>
      <c r="S208" s="1"/>
    </row>
    <row r="209" spans="1:19" x14ac:dyDescent="0.4">
      <c r="A209" s="1"/>
      <c r="B209" s="1"/>
      <c r="C209" s="2"/>
      <c r="D209" s="3"/>
      <c r="E209" s="3"/>
      <c r="F209" s="4"/>
      <c r="G209" s="4"/>
      <c r="H209" s="1"/>
      <c r="I209" s="1"/>
      <c r="J209" s="1"/>
      <c r="K209" s="4"/>
      <c r="L209" s="1"/>
      <c r="M209" s="1"/>
      <c r="N209" s="2"/>
      <c r="O209" s="3"/>
      <c r="P209" s="3"/>
      <c r="Q209" s="2"/>
      <c r="R209" s="1"/>
      <c r="S209" s="1"/>
    </row>
    <row r="210" spans="1:19" x14ac:dyDescent="0.4">
      <c r="A210" s="1"/>
      <c r="B210" s="1"/>
      <c r="C210" s="2"/>
      <c r="D210" s="3"/>
      <c r="E210" s="3"/>
      <c r="F210" s="4"/>
      <c r="G210" s="4"/>
      <c r="H210" s="1"/>
      <c r="I210" s="1"/>
      <c r="J210" s="1"/>
      <c r="K210" s="4"/>
      <c r="L210" s="1"/>
      <c r="M210" s="1"/>
      <c r="N210" s="2"/>
      <c r="O210" s="3"/>
      <c r="P210" s="3"/>
      <c r="Q210" s="2"/>
      <c r="R210" s="1"/>
      <c r="S210" s="1"/>
    </row>
    <row r="211" spans="1:19" x14ac:dyDescent="0.4">
      <c r="A211" s="1"/>
      <c r="B211" s="1"/>
      <c r="C211" s="2"/>
      <c r="D211" s="3"/>
      <c r="E211" s="3"/>
      <c r="F211" s="4"/>
      <c r="G211" s="4"/>
      <c r="H211" s="1"/>
      <c r="I211" s="1"/>
      <c r="J211" s="1"/>
      <c r="K211" s="4"/>
      <c r="L211" s="1"/>
      <c r="M211" s="1"/>
      <c r="N211" s="2"/>
      <c r="O211" s="3"/>
      <c r="P211" s="3"/>
      <c r="Q211" s="2"/>
      <c r="R211" s="1"/>
      <c r="S211" s="1"/>
    </row>
    <row r="212" spans="1:19" x14ac:dyDescent="0.4">
      <c r="A212" s="1"/>
      <c r="B212" s="1"/>
      <c r="C212" s="2"/>
      <c r="D212" s="3"/>
      <c r="E212" s="3"/>
      <c r="F212" s="4"/>
      <c r="G212" s="4"/>
      <c r="H212" s="1"/>
      <c r="I212" s="1"/>
      <c r="J212" s="1"/>
      <c r="K212" s="4"/>
      <c r="L212" s="1"/>
      <c r="M212" s="1"/>
      <c r="N212" s="2"/>
      <c r="O212" s="3"/>
      <c r="P212" s="3"/>
      <c r="Q212" s="2"/>
      <c r="R212" s="1"/>
      <c r="S212" s="1"/>
    </row>
    <row r="213" spans="1:19" x14ac:dyDescent="0.4">
      <c r="A213" s="1"/>
      <c r="B213" s="1"/>
      <c r="C213" s="2"/>
      <c r="D213" s="3"/>
      <c r="E213" s="3"/>
      <c r="F213" s="4"/>
      <c r="G213" s="4"/>
      <c r="H213" s="1"/>
      <c r="I213" s="1"/>
      <c r="J213" s="1"/>
      <c r="K213" s="4"/>
      <c r="L213" s="1"/>
      <c r="M213" s="1"/>
      <c r="N213" s="2"/>
      <c r="O213" s="3"/>
      <c r="P213" s="3"/>
      <c r="Q213" s="2"/>
      <c r="R213" s="1"/>
      <c r="S213" s="1"/>
    </row>
    <row r="214" spans="1:19" x14ac:dyDescent="0.4">
      <c r="A214" s="1"/>
      <c r="B214" s="1"/>
      <c r="C214" s="2"/>
      <c r="D214" s="3"/>
      <c r="E214" s="3"/>
      <c r="F214" s="4"/>
      <c r="G214" s="4"/>
      <c r="H214" s="1"/>
      <c r="I214" s="1"/>
      <c r="J214" s="1"/>
      <c r="K214" s="4"/>
      <c r="L214" s="1"/>
      <c r="M214" s="1"/>
      <c r="N214" s="2"/>
      <c r="O214" s="3"/>
      <c r="P214" s="3"/>
      <c r="Q214" s="2"/>
      <c r="R214" s="1"/>
      <c r="S214" s="1"/>
    </row>
    <row r="215" spans="1:19" x14ac:dyDescent="0.4">
      <c r="A215" s="1"/>
      <c r="B215" s="1"/>
      <c r="C215" s="2"/>
      <c r="D215" s="3"/>
      <c r="E215" s="3"/>
      <c r="F215" s="4"/>
      <c r="G215" s="4"/>
      <c r="H215" s="1"/>
      <c r="I215" s="1"/>
      <c r="J215" s="1"/>
      <c r="K215" s="4"/>
      <c r="L215" s="1"/>
      <c r="M215" s="1"/>
      <c r="N215" s="2"/>
      <c r="O215" s="3"/>
      <c r="P215" s="3"/>
      <c r="Q215" s="2"/>
      <c r="R215" s="1"/>
      <c r="S215" s="1"/>
    </row>
    <row r="216" spans="1:19" x14ac:dyDescent="0.4">
      <c r="A216" s="1"/>
      <c r="B216" s="1"/>
      <c r="C216" s="2"/>
      <c r="D216" s="3"/>
      <c r="E216" s="3"/>
      <c r="F216" s="4"/>
      <c r="G216" s="4"/>
      <c r="H216" s="1"/>
      <c r="I216" s="1"/>
      <c r="J216" s="1"/>
      <c r="K216" s="4"/>
      <c r="L216" s="1"/>
      <c r="M216" s="1"/>
      <c r="N216" s="2"/>
      <c r="O216" s="3"/>
      <c r="P216" s="3"/>
      <c r="Q216" s="2"/>
      <c r="R216" s="1"/>
      <c r="S216" s="1"/>
    </row>
    <row r="217" spans="1:19" x14ac:dyDescent="0.4">
      <c r="A217" s="1"/>
      <c r="B217" s="1"/>
      <c r="C217" s="2"/>
      <c r="D217" s="3"/>
      <c r="E217" s="3"/>
      <c r="F217" s="4"/>
      <c r="G217" s="4"/>
      <c r="H217" s="1"/>
      <c r="I217" s="1"/>
      <c r="J217" s="1"/>
      <c r="K217" s="4"/>
      <c r="L217" s="1"/>
      <c r="M217" s="1"/>
      <c r="N217" s="2"/>
      <c r="O217" s="3"/>
      <c r="P217" s="3"/>
      <c r="Q217" s="2"/>
      <c r="R217" s="1"/>
      <c r="S217" s="1"/>
    </row>
    <row r="218" spans="1:19" x14ac:dyDescent="0.4">
      <c r="A218" s="1"/>
      <c r="B218" s="1"/>
      <c r="C218" s="2"/>
      <c r="D218" s="3"/>
      <c r="E218" s="3"/>
      <c r="F218" s="4"/>
      <c r="G218" s="4"/>
      <c r="H218" s="1"/>
      <c r="I218" s="1"/>
      <c r="J218" s="1"/>
      <c r="K218" s="4"/>
      <c r="L218" s="1"/>
      <c r="M218" s="1"/>
      <c r="N218" s="2"/>
      <c r="O218" s="3"/>
      <c r="P218" s="3"/>
      <c r="Q218" s="2"/>
      <c r="R218" s="1"/>
      <c r="S218" s="1"/>
    </row>
    <row r="219" spans="1:19" x14ac:dyDescent="0.4">
      <c r="A219" s="1"/>
      <c r="B219" s="1"/>
      <c r="C219" s="2"/>
      <c r="D219" s="3"/>
      <c r="E219" s="3"/>
      <c r="F219" s="4"/>
      <c r="G219" s="4"/>
      <c r="H219" s="1"/>
      <c r="I219" s="1"/>
      <c r="J219" s="1"/>
      <c r="K219" s="4"/>
      <c r="L219" s="1"/>
      <c r="M219" s="1"/>
      <c r="N219" s="2"/>
      <c r="O219" s="3"/>
      <c r="P219" s="3"/>
      <c r="Q219" s="2"/>
      <c r="R219" s="1"/>
      <c r="S219" s="1"/>
    </row>
    <row r="220" spans="1:19" x14ac:dyDescent="0.4">
      <c r="A220" s="1"/>
      <c r="B220" s="1"/>
      <c r="C220" s="2"/>
      <c r="D220" s="3"/>
      <c r="E220" s="3"/>
      <c r="F220" s="4"/>
      <c r="G220" s="4"/>
      <c r="H220" s="1"/>
      <c r="I220" s="1"/>
      <c r="J220" s="1"/>
      <c r="K220" s="4"/>
      <c r="L220" s="1"/>
      <c r="M220" s="1"/>
      <c r="N220" s="2"/>
      <c r="O220" s="3"/>
      <c r="P220" s="3"/>
      <c r="Q220" s="2"/>
      <c r="R220" s="1"/>
      <c r="S220" s="1"/>
    </row>
    <row r="221" spans="1:19" x14ac:dyDescent="0.4">
      <c r="A221" s="1"/>
      <c r="B221" s="1"/>
      <c r="C221" s="2"/>
      <c r="D221" s="3"/>
      <c r="E221" s="3"/>
      <c r="F221" s="4"/>
      <c r="G221" s="4"/>
      <c r="H221" s="1"/>
      <c r="I221" s="1"/>
      <c r="J221" s="1"/>
      <c r="K221" s="4"/>
      <c r="L221" s="1"/>
      <c r="M221" s="1"/>
      <c r="N221" s="2"/>
      <c r="O221" s="3"/>
      <c r="P221" s="3"/>
      <c r="Q221" s="2"/>
      <c r="R221" s="1"/>
      <c r="S221" s="1"/>
    </row>
    <row r="222" spans="1:19" x14ac:dyDescent="0.4">
      <c r="A222" s="1"/>
      <c r="B222" s="1"/>
      <c r="C222" s="2"/>
      <c r="D222" s="3"/>
      <c r="E222" s="3"/>
      <c r="F222" s="4"/>
      <c r="G222" s="4"/>
      <c r="H222" s="1"/>
      <c r="I222" s="1"/>
      <c r="J222" s="1"/>
      <c r="K222" s="4"/>
      <c r="L222" s="1"/>
      <c r="M222" s="1"/>
      <c r="N222" s="2"/>
      <c r="O222" s="3"/>
      <c r="P222" s="3"/>
      <c r="Q222" s="2"/>
      <c r="R222" s="1"/>
      <c r="S222" s="1"/>
    </row>
    <row r="223" spans="1:19" x14ac:dyDescent="0.4">
      <c r="A223" s="1"/>
      <c r="B223" s="1"/>
      <c r="C223" s="2"/>
      <c r="D223" s="3"/>
      <c r="E223" s="3"/>
      <c r="F223" s="4"/>
      <c r="G223" s="4"/>
      <c r="H223" s="1"/>
      <c r="I223" s="1"/>
      <c r="J223" s="1"/>
      <c r="K223" s="4"/>
      <c r="L223" s="1"/>
      <c r="M223" s="1"/>
      <c r="N223" s="2"/>
      <c r="O223" s="3"/>
      <c r="P223" s="3"/>
      <c r="Q223" s="2"/>
      <c r="R223" s="1"/>
      <c r="S223" s="1"/>
    </row>
    <row r="224" spans="1:19" x14ac:dyDescent="0.4">
      <c r="A224" s="1"/>
      <c r="B224" s="1"/>
      <c r="C224" s="2"/>
      <c r="D224" s="3"/>
      <c r="E224" s="3"/>
      <c r="F224" s="4"/>
      <c r="G224" s="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x14ac:dyDescent="0.4">
      <c r="A225" s="1"/>
      <c r="B225" s="1"/>
      <c r="C225" s="2"/>
      <c r="D225" s="3"/>
      <c r="E225" s="3"/>
      <c r="F225" s="4"/>
      <c r="G225" s="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x14ac:dyDescent="0.4">
      <c r="A226" s="1"/>
      <c r="B226" s="1"/>
      <c r="C226" s="2"/>
      <c r="D226" s="3"/>
      <c r="E226" s="3"/>
      <c r="F226" s="4"/>
      <c r="G226" s="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x14ac:dyDescent="0.4">
      <c r="A227" s="1"/>
      <c r="B227" s="1"/>
      <c r="C227" s="2"/>
      <c r="D227" s="3"/>
      <c r="E227" s="3"/>
      <c r="F227" s="4"/>
      <c r="G227" s="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x14ac:dyDescent="0.4">
      <c r="A228" s="1"/>
      <c r="B228" s="1"/>
      <c r="C228" s="2"/>
      <c r="D228" s="3"/>
      <c r="E228" s="3"/>
      <c r="F228" s="4"/>
      <c r="G228" s="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x14ac:dyDescent="0.4">
      <c r="A229" s="1"/>
      <c r="B229" s="1"/>
      <c r="C229" s="2"/>
      <c r="D229" s="3"/>
      <c r="E229" s="3"/>
      <c r="F229" s="4"/>
      <c r="G229" s="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x14ac:dyDescent="0.4">
      <c r="A230" s="1"/>
      <c r="B230" s="1"/>
      <c r="C230" s="2"/>
      <c r="D230" s="3"/>
      <c r="E230" s="3"/>
      <c r="F230" s="4"/>
      <c r="G230" s="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x14ac:dyDescent="0.4">
      <c r="A231" s="1"/>
      <c r="B231" s="1"/>
      <c r="C231" s="2"/>
      <c r="D231" s="3"/>
      <c r="E231" s="3"/>
      <c r="F231" s="4"/>
      <c r="G231" s="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x14ac:dyDescent="0.4">
      <c r="A232" s="1"/>
      <c r="B232" s="1"/>
      <c r="C232" s="2"/>
      <c r="D232" s="3"/>
      <c r="E232" s="3"/>
      <c r="F232" s="4"/>
      <c r="G232" s="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s="5" customFormat="1" x14ac:dyDescent="0.4">
      <c r="A233" s="1"/>
      <c r="B233" s="1"/>
      <c r="C233" s="2"/>
      <c r="D233" s="3"/>
      <c r="E233" s="3"/>
      <c r="F233" s="4"/>
      <c r="G233" s="4"/>
      <c r="H233" s="290"/>
      <c r="I233" s="291"/>
      <c r="J233" s="291"/>
      <c r="K233" s="291"/>
      <c r="L233" s="1"/>
      <c r="M233" s="1"/>
      <c r="N233" s="1"/>
      <c r="O233" s="1"/>
      <c r="P233" s="1"/>
      <c r="Q233" s="1"/>
      <c r="R233" s="1"/>
      <c r="S233" s="1"/>
    </row>
    <row r="234" spans="1:19" x14ac:dyDescent="0.4">
      <c r="A234" s="1"/>
      <c r="B234" s="1"/>
      <c r="C234" s="2"/>
      <c r="D234" s="3"/>
      <c r="E234" s="3"/>
      <c r="F234" s="4"/>
      <c r="G234" s="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x14ac:dyDescent="0.4">
      <c r="A235" s="1"/>
      <c r="B235" s="1"/>
      <c r="C235" s="2"/>
      <c r="D235" s="3"/>
      <c r="E235" s="3"/>
      <c r="F235" s="4"/>
      <c r="G235" s="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x14ac:dyDescent="0.4">
      <c r="A236" s="1"/>
      <c r="B236" s="1"/>
      <c r="C236" s="2"/>
      <c r="D236" s="3"/>
      <c r="E236" s="3"/>
      <c r="F236" s="4"/>
      <c r="G236" s="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x14ac:dyDescent="0.4">
      <c r="A237" s="1"/>
      <c r="B237" s="1"/>
      <c r="C237" s="2"/>
      <c r="D237" s="3"/>
      <c r="E237" s="3"/>
      <c r="F237" s="4"/>
      <c r="G237" s="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x14ac:dyDescent="0.4">
      <c r="A238" s="1"/>
      <c r="B238" s="1"/>
      <c r="C238" s="2"/>
      <c r="D238" s="3"/>
      <c r="E238" s="3"/>
      <c r="F238" s="4"/>
      <c r="G238" s="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x14ac:dyDescent="0.4">
      <c r="A239" s="1"/>
      <c r="B239" s="1"/>
      <c r="C239" s="2"/>
      <c r="D239" s="3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x14ac:dyDescent="0.4">
      <c r="A240" s="1"/>
      <c r="B240" s="1"/>
      <c r="C240" s="2"/>
      <c r="D240" s="3"/>
      <c r="E240" s="3"/>
      <c r="F240" s="4"/>
      <c r="G240" s="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x14ac:dyDescent="0.4">
      <c r="A241" s="1"/>
      <c r="B241" s="1"/>
      <c r="C241" s="2"/>
      <c r="D241" s="3"/>
      <c r="E241" s="3"/>
      <c r="F241" s="4"/>
      <c r="G241" s="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x14ac:dyDescent="0.4">
      <c r="A242" s="1"/>
      <c r="B242" s="1"/>
      <c r="C242" s="2"/>
      <c r="D242" s="3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x14ac:dyDescent="0.4">
      <c r="A243" s="1"/>
      <c r="B243" s="1"/>
      <c r="C243" s="2"/>
      <c r="D243" s="3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x14ac:dyDescent="0.4">
      <c r="A244" s="1"/>
      <c r="B244" s="1"/>
      <c r="C244" s="2"/>
      <c r="D244" s="3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x14ac:dyDescent="0.4">
      <c r="A245" s="1"/>
      <c r="B245" s="1"/>
      <c r="C245" s="2"/>
      <c r="D245" s="3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x14ac:dyDescent="0.4">
      <c r="A246" s="1"/>
      <c r="B246" s="1"/>
      <c r="C246" s="2"/>
      <c r="D246" s="3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x14ac:dyDescent="0.4">
      <c r="A247" s="1"/>
      <c r="B247" s="1"/>
      <c r="C247" s="2"/>
      <c r="D247" s="3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x14ac:dyDescent="0.4">
      <c r="A248" s="1"/>
      <c r="B248" s="1"/>
      <c r="C248" s="2"/>
      <c r="D248" s="3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x14ac:dyDescent="0.4">
      <c r="A249" s="1"/>
      <c r="B249" s="1"/>
      <c r="C249" s="2"/>
      <c r="D249" s="3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x14ac:dyDescent="0.4">
      <c r="A250" s="1"/>
      <c r="B250" s="1"/>
      <c r="C250" s="2"/>
      <c r="D250" s="3"/>
      <c r="E250" s="3"/>
      <c r="F250" s="4"/>
      <c r="G250" s="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x14ac:dyDescent="0.4">
      <c r="A251" s="1"/>
      <c r="B251" s="1"/>
      <c r="C251" s="2"/>
      <c r="D251" s="3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x14ac:dyDescent="0.4">
      <c r="A252" s="1"/>
      <c r="B252" s="1"/>
      <c r="C252" s="2"/>
      <c r="D252" s="3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x14ac:dyDescent="0.4">
      <c r="A253" s="1"/>
      <c r="B253" s="1"/>
      <c r="C253" s="2"/>
      <c r="D253" s="3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x14ac:dyDescent="0.4">
      <c r="A490" s="1"/>
      <c r="B490" s="1"/>
      <c r="C490" s="1"/>
      <c r="D490" s="1"/>
      <c r="E490" s="1"/>
      <c r="F490" s="1"/>
      <c r="G490" s="1"/>
    </row>
    <row r="491" spans="1:19" x14ac:dyDescent="0.4">
      <c r="A491" s="1"/>
      <c r="B491" s="1"/>
      <c r="C491" s="1"/>
      <c r="D491" s="1"/>
      <c r="E491" s="1"/>
      <c r="F491" s="1"/>
      <c r="G491" s="1"/>
    </row>
  </sheetData>
  <mergeCells count="12">
    <mergeCell ref="H74:O75"/>
    <mergeCell ref="H233:K233"/>
    <mergeCell ref="A74:A75"/>
    <mergeCell ref="B74:B75"/>
    <mergeCell ref="D74:D75"/>
    <mergeCell ref="E74:E75"/>
    <mergeCell ref="A4:A5"/>
    <mergeCell ref="F4:F5"/>
    <mergeCell ref="G4:G5"/>
    <mergeCell ref="A16:A17"/>
    <mergeCell ref="F74:F75"/>
    <mergeCell ref="G74:G75"/>
  </mergeCells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1C1B2CD3-E6EC-4B4C-A849-A6DF37C748EE}"/>
</file>

<file path=customXml/itemProps2.xml><?xml version="1.0" encoding="utf-8"?>
<ds:datastoreItem xmlns:ds="http://schemas.openxmlformats.org/officeDocument/2006/customXml" ds:itemID="{29999A08-24E1-4783-8356-DBABD6E126A7}"/>
</file>

<file path=customXml/itemProps3.xml><?xml version="1.0" encoding="utf-8"?>
<ds:datastoreItem xmlns:ds="http://schemas.openxmlformats.org/officeDocument/2006/customXml" ds:itemID="{DC758295-75C2-4319-8797-0B249944FD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PPCS 20</vt:lpstr>
      <vt:lpstr>PPCM 20</vt:lpstr>
      <vt:lpstr>PPCL 20</vt:lpstr>
      <vt:lpstr>B2PC 20</vt:lpstr>
      <vt:lpstr>PPCS 21</vt:lpstr>
      <vt:lpstr>PPCM 21</vt:lpstr>
      <vt:lpstr>PPCL 21</vt:lpstr>
      <vt:lpstr>PCM</vt:lpstr>
      <vt:lpstr>B2PC 21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 KIM</dc:creator>
  <cp:lastModifiedBy>Xtream Care</cp:lastModifiedBy>
  <dcterms:created xsi:type="dcterms:W3CDTF">2021-01-15T01:02:36Z</dcterms:created>
  <dcterms:modified xsi:type="dcterms:W3CDTF">2021-08-30T01:20:50Z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