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showObjects="none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U:\home\2022\"/>
    </mc:Choice>
  </mc:AlternateContent>
  <xr:revisionPtr revIDLastSave="0" documentId="13_ncr:1_{9E95A981-8805-4961-A4A9-09E53A2003C3}" xr6:coauthVersionLast="47" xr6:coauthVersionMax="47" xr10:uidLastSave="{00000000-0000-0000-0000-000000000000}"/>
  <bookViews>
    <workbookView xWindow="-120" yWindow="-120" windowWidth="29040" windowHeight="16440" firstSheet="8" activeTab="8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  <sheet name="staff h" sheetId="10" r:id="rId9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0" l="1"/>
  <c r="F18" i="10"/>
  <c r="F15" i="10"/>
  <c r="F14" i="10"/>
  <c r="F12" i="10"/>
  <c r="F11" i="10"/>
  <c r="F8" i="10"/>
  <c r="F7" i="10"/>
  <c r="F6" i="10"/>
  <c r="F5" i="10"/>
  <c r="F4" i="10"/>
  <c r="F3" i="10"/>
  <c r="F2" i="10"/>
  <c r="H23" i="8"/>
  <c r="M94" i="2" l="1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J66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A34" i="2"/>
  <c r="A66" i="2" s="1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J15" i="2"/>
  <c r="U14" i="2"/>
  <c r="K14" i="2"/>
  <c r="J14" i="2"/>
  <c r="U13" i="2"/>
  <c r="K13" i="2"/>
  <c r="J13" i="2"/>
  <c r="U12" i="2"/>
  <c r="K12" i="2"/>
  <c r="J12" i="2"/>
  <c r="U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T66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L31" i="1"/>
  <c r="M30" i="1"/>
  <c r="M31" i="1" s="1"/>
  <c r="L30" i="1"/>
  <c r="I30" i="1"/>
  <c r="I31" i="1" s="1"/>
  <c r="H30" i="1"/>
  <c r="J29" i="1"/>
  <c r="K28" i="1"/>
  <c r="J28" i="1"/>
  <c r="K27" i="1"/>
  <c r="J27" i="1"/>
  <c r="J26" i="1"/>
  <c r="AH25" i="1"/>
  <c r="T25" i="1"/>
  <c r="T26" i="1" s="1"/>
  <c r="S25" i="1"/>
  <c r="S26" i="1" s="1"/>
  <c r="R25" i="1"/>
  <c r="R26" i="1" s="1"/>
  <c r="K25" i="1"/>
  <c r="J25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J21" i="1"/>
  <c r="K20" i="1"/>
  <c r="J20" i="1"/>
  <c r="T19" i="1"/>
  <c r="S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J6" i="1"/>
  <c r="U5" i="1"/>
  <c r="K5" i="1"/>
  <c r="J5" i="1"/>
  <c r="M94" i="3"/>
  <c r="L94" i="3"/>
  <c r="L31" i="3" s="1"/>
  <c r="I94" i="3"/>
  <c r="H94" i="3"/>
  <c r="K93" i="3"/>
  <c r="J93" i="3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0" i="3"/>
  <c r="M31" i="3" s="1"/>
  <c r="L30" i="3"/>
  <c r="I30" i="3"/>
  <c r="I31" i="3" s="1"/>
  <c r="H30" i="3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J19" i="3"/>
  <c r="K18" i="3"/>
  <c r="J18" i="3"/>
  <c r="K17" i="3"/>
  <c r="J17" i="3"/>
  <c r="K16" i="3"/>
  <c r="J16" i="3"/>
  <c r="U15" i="3"/>
  <c r="K15" i="3"/>
  <c r="J15" i="3"/>
  <c r="U14" i="3"/>
  <c r="J14" i="3"/>
  <c r="U13" i="3"/>
  <c r="J13" i="3"/>
  <c r="U12" i="3"/>
  <c r="K12" i="3"/>
  <c r="J12" i="3"/>
  <c r="U11" i="3"/>
  <c r="J11" i="3"/>
  <c r="U10" i="3"/>
  <c r="K10" i="3"/>
  <c r="J10" i="3"/>
  <c r="U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L31" i="5"/>
  <c r="M30" i="5"/>
  <c r="M31" i="5" s="1"/>
  <c r="L30" i="5"/>
  <c r="I30" i="5"/>
  <c r="I31" i="5" s="1"/>
  <c r="H30" i="5"/>
  <c r="H31" i="5" s="1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J7" i="5"/>
  <c r="U6" i="5"/>
  <c r="K6" i="5"/>
  <c r="J6" i="5"/>
  <c r="U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I31" i="6"/>
  <c r="S32" i="6" s="1"/>
  <c r="H8" i="8" s="1"/>
  <c r="M30" i="6"/>
  <c r="L30" i="6"/>
  <c r="I30" i="6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J17" i="6"/>
  <c r="K16" i="6"/>
  <c r="J16" i="6"/>
  <c r="U15" i="6"/>
  <c r="K15" i="6"/>
  <c r="J15" i="6"/>
  <c r="U14" i="6"/>
  <c r="K14" i="6"/>
  <c r="J14" i="6"/>
  <c r="U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J30" i="2" l="1"/>
  <c r="J31" i="2" s="1"/>
  <c r="H35" i="8" s="1"/>
  <c r="K30" i="2"/>
  <c r="K31" i="2" s="1"/>
  <c r="U16" i="2"/>
  <c r="R16" i="2" s="1"/>
  <c r="H31" i="1"/>
  <c r="S31" i="1" s="1"/>
  <c r="H27" i="8" s="1"/>
  <c r="J62" i="1"/>
  <c r="K62" i="1"/>
  <c r="S32" i="1"/>
  <c r="H28" i="8" s="1"/>
  <c r="J30" i="1"/>
  <c r="K30" i="1"/>
  <c r="U16" i="1"/>
  <c r="R16" i="1" s="1"/>
  <c r="H31" i="3"/>
  <c r="S31" i="3" s="1"/>
  <c r="H22" i="8" s="1"/>
  <c r="K94" i="3"/>
  <c r="S32" i="3"/>
  <c r="J62" i="3"/>
  <c r="J94" i="3"/>
  <c r="K62" i="3"/>
  <c r="K30" i="3"/>
  <c r="K31" i="3" s="1"/>
  <c r="J30" i="3"/>
  <c r="J31" i="3" s="1"/>
  <c r="U16" i="3"/>
  <c r="R16" i="3" s="1"/>
  <c r="J30" i="4"/>
  <c r="J31" i="4" s="1"/>
  <c r="K30" i="4"/>
  <c r="K31" i="4" s="1"/>
  <c r="U16" i="4"/>
  <c r="S16" i="4" s="1"/>
  <c r="K30" i="5"/>
  <c r="K31" i="5" s="1"/>
  <c r="S32" i="5"/>
  <c r="H13" i="8" s="1"/>
  <c r="J30" i="5"/>
  <c r="J31" i="5" s="1"/>
  <c r="U16" i="5"/>
  <c r="S16" i="5" s="1"/>
  <c r="K30" i="6"/>
  <c r="K31" i="6" s="1"/>
  <c r="J30" i="6"/>
  <c r="J31" i="6" s="1"/>
  <c r="U16" i="6"/>
  <c r="E11" i="8" s="1"/>
  <c r="AD25" i="2"/>
  <c r="AI25" i="2"/>
  <c r="Z32" i="2"/>
  <c r="Z33" i="2" s="1"/>
  <c r="S31" i="2"/>
  <c r="T31" i="2"/>
  <c r="AD25" i="1"/>
  <c r="AI25" i="1"/>
  <c r="Z32" i="1"/>
  <c r="Z33" i="1" s="1"/>
  <c r="AD25" i="3"/>
  <c r="AI25" i="3"/>
  <c r="Z32" i="3"/>
  <c r="Z33" i="3" s="1"/>
  <c r="AD25" i="4"/>
  <c r="AI25" i="4"/>
  <c r="Z32" i="4"/>
  <c r="Z33" i="4" s="1"/>
  <c r="S31" i="4"/>
  <c r="H17" i="8" s="1"/>
  <c r="Y39" i="8"/>
  <c r="T31" i="4"/>
  <c r="AI25" i="5"/>
  <c r="AD25" i="5"/>
  <c r="Z33" i="5"/>
  <c r="S31" i="5"/>
  <c r="H12" i="8" s="1"/>
  <c r="Z32" i="5"/>
  <c r="T31" i="5"/>
  <c r="AD25" i="6"/>
  <c r="AI25" i="6"/>
  <c r="S31" i="6"/>
  <c r="H7" i="8" s="1"/>
  <c r="Z32" i="6"/>
  <c r="Z33" i="6" s="1"/>
  <c r="T31" i="6"/>
  <c r="H32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C32" i="2" l="1"/>
  <c r="O32" i="2" s="1"/>
  <c r="L33" i="8" s="1"/>
  <c r="V32" i="8"/>
  <c r="S16" i="2"/>
  <c r="H34" i="8"/>
  <c r="E36" i="8"/>
  <c r="T31" i="1"/>
  <c r="J31" i="1"/>
  <c r="S16" i="1"/>
  <c r="K31" i="1"/>
  <c r="C32" i="1" s="1"/>
  <c r="P32" i="1" s="1"/>
  <c r="E31" i="8"/>
  <c r="T31" i="3"/>
  <c r="C32" i="3"/>
  <c r="O32" i="3" s="1"/>
  <c r="S16" i="3"/>
  <c r="E26" i="8"/>
  <c r="C32" i="4"/>
  <c r="U25" i="4" s="1"/>
  <c r="R16" i="4"/>
  <c r="C32" i="5"/>
  <c r="P32" i="5" s="1"/>
  <c r="R16" i="5"/>
  <c r="R16" i="6"/>
  <c r="S16" i="6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K32" i="2" l="1"/>
  <c r="U25" i="2"/>
  <c r="P32" i="2"/>
  <c r="L34" i="8" s="1"/>
  <c r="N32" i="2"/>
  <c r="L32" i="8" s="1"/>
  <c r="Q32" i="2"/>
  <c r="L35" i="8" s="1"/>
  <c r="T16" i="2"/>
  <c r="Q32" i="5"/>
  <c r="T16" i="1"/>
  <c r="O32" i="1"/>
  <c r="K32" i="1"/>
  <c r="Q32" i="1"/>
  <c r="U25" i="1"/>
  <c r="N32" i="1"/>
  <c r="T16" i="3"/>
  <c r="U25" i="3"/>
  <c r="N32" i="3"/>
  <c r="L22" i="8" s="1"/>
  <c r="Q32" i="3"/>
  <c r="L25" i="8" s="1"/>
  <c r="P32" i="3"/>
  <c r="L24" i="8" s="1"/>
  <c r="K32" i="3"/>
  <c r="P32" i="4"/>
  <c r="T16" i="4"/>
  <c r="Q32" i="4"/>
  <c r="K32" i="4"/>
  <c r="N32" i="4"/>
  <c r="O32" i="4"/>
  <c r="N32" i="5"/>
  <c r="T16" i="5"/>
  <c r="U25" i="5"/>
  <c r="O32" i="5"/>
  <c r="K32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<sst xmlns="http://schemas.openxmlformats.org/spreadsheetml/2006/main" count="1909" uniqueCount="469">
  <si>
    <t>B2 Daily Report</t>
    <phoneticPr fontId="3" type="noConversion"/>
  </si>
  <si>
    <t>28-11-2022</t>
    <phoneticPr fontId="3" type="noConversion"/>
  </si>
  <si>
    <t>WEATHER</t>
    <phoneticPr fontId="3" type="noConversion"/>
  </si>
  <si>
    <t>CLOUDY</t>
    <phoneticPr fontId="3" type="noConversion"/>
  </si>
  <si>
    <t>REPORT BY</t>
    <phoneticPr fontId="3" type="noConversion"/>
  </si>
  <si>
    <t>JOHN</t>
    <phoneticPr fontId="3" type="noConversion"/>
  </si>
  <si>
    <t>TOTAL STAFF</t>
    <phoneticPr fontId="3" type="noConversion"/>
  </si>
  <si>
    <t>Merchant machine usage at B2</t>
  </si>
  <si>
    <t>Settle amount</t>
  </si>
  <si>
    <t>Merchant machine usage at GA</t>
  </si>
  <si>
    <t xml:space="preserve"> </t>
  </si>
  <si>
    <t>No</t>
  </si>
  <si>
    <t>Docket No</t>
    <phoneticPr fontId="3" type="noConversion"/>
  </si>
  <si>
    <t>Reg No</t>
  </si>
  <si>
    <t>Mobile</t>
    <phoneticPr fontId="3" type="noConversion"/>
  </si>
  <si>
    <t>Gender</t>
    <phoneticPr fontId="3" type="noConversion"/>
  </si>
  <si>
    <t>TIME</t>
    <phoneticPr fontId="3" type="noConversion"/>
  </si>
  <si>
    <t>Service</t>
  </si>
  <si>
    <t>CASH</t>
    <phoneticPr fontId="3" type="noConversion"/>
  </si>
  <si>
    <t>CARD</t>
    <phoneticPr fontId="3" type="noConversion"/>
  </si>
  <si>
    <t>RSL</t>
    <phoneticPr fontId="3" type="noConversion"/>
  </si>
  <si>
    <t>GV</t>
    <phoneticPr fontId="3" type="noConversion"/>
  </si>
  <si>
    <t>GV CASH</t>
    <phoneticPr fontId="3" type="noConversion"/>
  </si>
  <si>
    <t>GV CARD</t>
    <phoneticPr fontId="3" type="noConversion"/>
  </si>
  <si>
    <t>O/Taker</t>
  </si>
  <si>
    <t xml:space="preserve"> Comment</t>
  </si>
  <si>
    <t>NAME</t>
    <phoneticPr fontId="3" type="noConversion"/>
  </si>
  <si>
    <t>Time In</t>
  </si>
  <si>
    <t>Time out</t>
  </si>
  <si>
    <t>Total Hours</t>
    <phoneticPr fontId="3" type="noConversion"/>
  </si>
  <si>
    <t>B2 machine</t>
  </si>
  <si>
    <t>BLH machine</t>
  </si>
  <si>
    <t>Wongo</t>
  </si>
  <si>
    <t>GA machine</t>
  </si>
  <si>
    <t>EKI67B</t>
    <phoneticPr fontId="3" type="noConversion"/>
  </si>
  <si>
    <t>0466028269</t>
    <phoneticPr fontId="3" type="noConversion"/>
  </si>
  <si>
    <t>F</t>
    <phoneticPr fontId="3" type="noConversion"/>
  </si>
  <si>
    <t>X</t>
    <phoneticPr fontId="3" type="noConversion"/>
  </si>
  <si>
    <t>NOV</t>
    <phoneticPr fontId="3" type="noConversion"/>
  </si>
  <si>
    <t>NXU57H</t>
    <phoneticPr fontId="3" type="noConversion"/>
  </si>
  <si>
    <t>0414751595</t>
    <phoneticPr fontId="3" type="noConversion"/>
  </si>
  <si>
    <t>H</t>
    <phoneticPr fontId="3" type="noConversion"/>
  </si>
  <si>
    <t>HENDRA</t>
    <phoneticPr fontId="3" type="noConversion"/>
  </si>
  <si>
    <t>M</t>
    <phoneticPr fontId="3" type="noConversion"/>
  </si>
  <si>
    <t>KAAL</t>
    <phoneticPr fontId="3" type="noConversion"/>
  </si>
  <si>
    <t>0431320786</t>
    <phoneticPr fontId="3" type="noConversion"/>
  </si>
  <si>
    <t>PCL</t>
    <phoneticPr fontId="3" type="noConversion"/>
  </si>
  <si>
    <t>22031(5/6),22144(NEW)</t>
    <phoneticPr fontId="3" type="noConversion"/>
  </si>
  <si>
    <t>ARIANTO</t>
    <phoneticPr fontId="3" type="noConversion"/>
  </si>
  <si>
    <t>CIM83Z</t>
    <phoneticPr fontId="3" type="noConversion"/>
  </si>
  <si>
    <t>0412011617</t>
    <phoneticPr fontId="3" type="noConversion"/>
  </si>
  <si>
    <t>VINNY</t>
    <phoneticPr fontId="3" type="noConversion"/>
  </si>
  <si>
    <t>NCA39A</t>
    <phoneticPr fontId="3" type="noConversion"/>
  </si>
  <si>
    <t>0422412188</t>
    <phoneticPr fontId="3" type="noConversion"/>
  </si>
  <si>
    <t>D</t>
    <phoneticPr fontId="3" type="noConversion"/>
  </si>
  <si>
    <t>HENDRI</t>
    <phoneticPr fontId="3" type="noConversion"/>
  </si>
  <si>
    <t>EXCL RSL</t>
    <phoneticPr fontId="3" type="noConversion"/>
  </si>
  <si>
    <t>BCF45Q</t>
    <phoneticPr fontId="3" type="noConversion"/>
  </si>
  <si>
    <t>0448446885</t>
    <phoneticPr fontId="3" type="noConversion"/>
  </si>
  <si>
    <t>MARCUS</t>
    <phoneticPr fontId="3" type="noConversion"/>
  </si>
  <si>
    <t>ENM68M</t>
    <phoneticPr fontId="3" type="noConversion"/>
  </si>
  <si>
    <t>0452118313</t>
    <phoneticPr fontId="3" type="noConversion"/>
  </si>
  <si>
    <t>ICKI</t>
    <phoneticPr fontId="3" type="noConversion"/>
  </si>
  <si>
    <t>0401020254</t>
    <phoneticPr fontId="3" type="noConversion"/>
  </si>
  <si>
    <t>DD69HM</t>
    <phoneticPr fontId="3" type="noConversion"/>
  </si>
  <si>
    <t>0411139872</t>
    <phoneticPr fontId="3" type="noConversion"/>
  </si>
  <si>
    <t>202208102(D)</t>
    <phoneticPr fontId="3" type="noConversion"/>
  </si>
  <si>
    <t>CLV99</t>
    <phoneticPr fontId="3" type="noConversion"/>
  </si>
  <si>
    <t>0400770444</t>
    <phoneticPr fontId="3" type="noConversion"/>
  </si>
  <si>
    <t>DTN96Y</t>
    <phoneticPr fontId="3" type="noConversion"/>
  </si>
  <si>
    <t>0410699799</t>
    <phoneticPr fontId="3" type="noConversion"/>
  </si>
  <si>
    <t>DDV15P</t>
    <phoneticPr fontId="3" type="noConversion"/>
  </si>
  <si>
    <t>0435993292</t>
    <phoneticPr fontId="3" type="noConversion"/>
  </si>
  <si>
    <t>DXE78U</t>
    <phoneticPr fontId="3" type="noConversion"/>
  </si>
  <si>
    <t>0449282020</t>
    <phoneticPr fontId="3" type="noConversion"/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</si>
  <si>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</si>
  <si>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</si>
  <si>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</si>
  <si>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</si>
  <si>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ETW92D</t>
    <phoneticPr fontId="3" type="noConversion"/>
  </si>
  <si>
    <t>0421703478</t>
    <phoneticPr fontId="3" type="noConversion"/>
  </si>
  <si>
    <t>ITEM</t>
    <phoneticPr fontId="3" type="noConversion"/>
  </si>
  <si>
    <t>QTY</t>
  </si>
  <si>
    <t>AMT</t>
  </si>
  <si>
    <t>RMKS</t>
    <phoneticPr fontId="3" type="noConversion"/>
  </si>
  <si>
    <t>ETF72W</t>
    <phoneticPr fontId="3" type="noConversion"/>
  </si>
  <si>
    <t>0417237452</t>
    <phoneticPr fontId="3" type="noConversion"/>
  </si>
  <si>
    <t>ESF85U</t>
    <phoneticPr fontId="3" type="noConversion"/>
  </si>
  <si>
    <t>0434437231</t>
    <phoneticPr fontId="3" type="noConversion"/>
  </si>
  <si>
    <t>EQT73F</t>
    <phoneticPr fontId="3" type="noConversion"/>
  </si>
  <si>
    <t>0421254627</t>
    <phoneticPr fontId="3" type="noConversion"/>
  </si>
  <si>
    <t>PCS</t>
    <phoneticPr fontId="3" type="noConversion"/>
  </si>
  <si>
    <t>22009(5/6),22072(NEW)</t>
    <phoneticPr fontId="3" type="noConversion"/>
  </si>
  <si>
    <t>EB35SL</t>
    <phoneticPr fontId="3" type="noConversion"/>
  </si>
  <si>
    <t>0410636286</t>
    <phoneticPr fontId="3" type="noConversion"/>
  </si>
  <si>
    <t>W/O</t>
    <phoneticPr fontId="3" type="noConversion"/>
  </si>
  <si>
    <t>Total</t>
  </si>
  <si>
    <t>EWU29S</t>
    <phoneticPr fontId="3" type="noConversion"/>
  </si>
  <si>
    <t>0435788388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</si>
  <si>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</si>
  <si>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</si>
  <si>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</si>
  <si>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</si>
  <si>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B2/GA TOTAL</t>
  </si>
  <si>
    <t>Wongo machine</t>
  </si>
  <si>
    <t>Sub total</t>
  </si>
  <si>
    <t>Branch cards</t>
  </si>
  <si>
    <t>Expense</t>
    <phoneticPr fontId="3" type="noConversion"/>
  </si>
  <si>
    <t xml:space="preserve"> </t>
    <phoneticPr fontId="3" type="noConversion"/>
  </si>
  <si>
    <t>MARCUS TRIAL NEW BOYS</t>
    <phoneticPr fontId="3" type="noConversion"/>
  </si>
  <si>
    <t>Page total</t>
    <phoneticPr fontId="3" type="noConversion"/>
  </si>
  <si>
    <t>CASH</t>
  </si>
  <si>
    <t>Daily Total</t>
  </si>
  <si>
    <t>CASH CLOSING</t>
    <phoneticPr fontId="3" type="noConversion"/>
  </si>
  <si>
    <t>Subtotal</t>
    <phoneticPr fontId="3" type="noConversion"/>
  </si>
  <si>
    <t>TOTAL SALES</t>
    <phoneticPr fontId="3" type="noConversion"/>
  </si>
  <si>
    <t>No of Cars</t>
    <phoneticPr fontId="3" type="noConversion"/>
  </si>
  <si>
    <t>Average</t>
    <phoneticPr fontId="3" type="noConversion"/>
  </si>
  <si>
    <t>CARD CLOSING</t>
    <phoneticPr fontId="3" type="noConversion"/>
  </si>
  <si>
    <t>B2 card</t>
    <phoneticPr fontId="3" type="noConversion"/>
  </si>
  <si>
    <t>Daily Report</t>
    <phoneticPr fontId="3" type="noConversion"/>
  </si>
  <si>
    <t>Settlement</t>
    <phoneticPr fontId="3" type="noConversion"/>
  </si>
  <si>
    <t>REPORT by</t>
    <phoneticPr fontId="3" type="noConversion"/>
  </si>
  <si>
    <t>Page: 2</t>
  </si>
  <si>
    <t>Page: 3</t>
    <phoneticPr fontId="3" type="noConversion"/>
  </si>
  <si>
    <t>29-11-2022</t>
    <phoneticPr fontId="3" type="noConversion"/>
  </si>
  <si>
    <t>SUNNY</t>
    <phoneticPr fontId="3" type="noConversion"/>
  </si>
  <si>
    <t>ENA10J</t>
    <phoneticPr fontId="3" type="noConversion"/>
  </si>
  <si>
    <t>0431733876</t>
    <phoneticPr fontId="3" type="noConversion"/>
  </si>
  <si>
    <t>YJN81L</t>
    <phoneticPr fontId="3" type="noConversion"/>
  </si>
  <si>
    <t>0432113133</t>
    <phoneticPr fontId="3" type="noConversion"/>
  </si>
  <si>
    <t>D/ST</t>
    <phoneticPr fontId="3" type="noConversion"/>
  </si>
  <si>
    <t>$5 OFF</t>
    <phoneticPr fontId="3" type="noConversion"/>
  </si>
  <si>
    <t>NBS80U</t>
    <phoneticPr fontId="3" type="noConversion"/>
  </si>
  <si>
    <t>0449930908</t>
    <phoneticPr fontId="3" type="noConversion"/>
  </si>
  <si>
    <t>TAX</t>
    <phoneticPr fontId="3" type="noConversion"/>
  </si>
  <si>
    <t>EDW37U</t>
    <phoneticPr fontId="3" type="noConversion"/>
  </si>
  <si>
    <t>0477887477</t>
    <phoneticPr fontId="3" type="noConversion"/>
  </si>
  <si>
    <t>JAMES</t>
    <phoneticPr fontId="3" type="noConversion"/>
  </si>
  <si>
    <t>AZL29Z</t>
    <phoneticPr fontId="3" type="noConversion"/>
  </si>
  <si>
    <t>0408617100</t>
    <phoneticPr fontId="3" type="noConversion"/>
  </si>
  <si>
    <t>NCB66C</t>
    <phoneticPr fontId="3" type="noConversion"/>
  </si>
  <si>
    <t>0419696360</t>
    <phoneticPr fontId="3" type="noConversion"/>
  </si>
  <si>
    <t>BV25SC</t>
    <phoneticPr fontId="3" type="noConversion"/>
  </si>
  <si>
    <t>0425378421</t>
    <phoneticPr fontId="3" type="noConversion"/>
  </si>
  <si>
    <t>ST/CLAY</t>
    <phoneticPr fontId="3" type="noConversion"/>
  </si>
  <si>
    <t>DCY59X</t>
    <phoneticPr fontId="3" type="noConversion"/>
  </si>
  <si>
    <t>0411612366</t>
    <phoneticPr fontId="3" type="noConversion"/>
  </si>
  <si>
    <t>HENDRA A.</t>
    <phoneticPr fontId="3" type="noConversion"/>
  </si>
  <si>
    <t>EQY84C</t>
    <phoneticPr fontId="3" type="noConversion"/>
  </si>
  <si>
    <t>0466922153</t>
    <phoneticPr fontId="3" type="noConversion"/>
  </si>
  <si>
    <t>22024(3/6)</t>
    <phoneticPr fontId="3" type="noConversion"/>
  </si>
  <si>
    <t>TONY</t>
    <phoneticPr fontId="3" type="noConversion"/>
  </si>
  <si>
    <t>ENC71S</t>
    <phoneticPr fontId="3" type="noConversion"/>
  </si>
  <si>
    <t>0466662164</t>
    <phoneticPr fontId="3" type="noConversion"/>
  </si>
  <si>
    <t>CHARLIE</t>
    <phoneticPr fontId="3" type="noConversion"/>
  </si>
  <si>
    <t>EGU09N</t>
    <phoneticPr fontId="3" type="noConversion"/>
  </si>
  <si>
    <t>0418480727</t>
    <phoneticPr fontId="3" type="noConversion"/>
  </si>
  <si>
    <t>DLF97N</t>
    <phoneticPr fontId="3" type="noConversion"/>
  </si>
  <si>
    <t>0405257180</t>
    <phoneticPr fontId="3" type="noConversion"/>
  </si>
  <si>
    <t>KM1788</t>
    <phoneticPr fontId="3" type="noConversion"/>
  </si>
  <si>
    <t>0423123179</t>
    <phoneticPr fontId="3" type="noConversion"/>
  </si>
  <si>
    <t>22053(2/6)</t>
    <phoneticPr fontId="3" type="noConversion"/>
  </si>
  <si>
    <t>DJS62P</t>
    <phoneticPr fontId="3" type="noConversion"/>
  </si>
  <si>
    <t>0449886933</t>
    <phoneticPr fontId="3" type="noConversion"/>
  </si>
  <si>
    <t>BS70BE</t>
    <phoneticPr fontId="3" type="noConversion"/>
  </si>
  <si>
    <t>0452105660</t>
    <phoneticPr fontId="3" type="noConversion"/>
  </si>
  <si>
    <t>30 - 11 - 2022</t>
    <phoneticPr fontId="3" type="noConversion"/>
  </si>
  <si>
    <t>DVW72Q</t>
    <phoneticPr fontId="3" type="noConversion"/>
  </si>
  <si>
    <t>0418881485</t>
    <phoneticPr fontId="3" type="noConversion"/>
  </si>
  <si>
    <t>22065(3/6)</t>
    <phoneticPr fontId="3" type="noConversion"/>
  </si>
  <si>
    <t>CKC333</t>
    <phoneticPr fontId="3" type="noConversion"/>
  </si>
  <si>
    <t>0411889693</t>
    <phoneticPr fontId="3" type="noConversion"/>
  </si>
  <si>
    <t>202208118(D)</t>
    <phoneticPr fontId="3" type="noConversion"/>
  </si>
  <si>
    <t>KING9</t>
    <phoneticPr fontId="3" type="noConversion"/>
  </si>
  <si>
    <t>0488891999</t>
    <phoneticPr fontId="3" type="noConversion"/>
  </si>
  <si>
    <t>22101(5/6),22145(NEW)</t>
    <phoneticPr fontId="3" type="noConversion"/>
  </si>
  <si>
    <t>NBW54H</t>
    <phoneticPr fontId="3" type="noConversion"/>
  </si>
  <si>
    <t>0413383540</t>
    <phoneticPr fontId="3" type="noConversion"/>
  </si>
  <si>
    <t>KUROSH</t>
    <phoneticPr fontId="3" type="noConversion"/>
  </si>
  <si>
    <t>AYD08T</t>
    <phoneticPr fontId="3" type="noConversion"/>
  </si>
  <si>
    <t>0403749869</t>
    <phoneticPr fontId="3" type="noConversion"/>
  </si>
  <si>
    <t>RINI</t>
    <phoneticPr fontId="3" type="noConversion"/>
  </si>
  <si>
    <t>DWW70C</t>
    <phoneticPr fontId="3" type="noConversion"/>
  </si>
  <si>
    <t>0421422509</t>
    <phoneticPr fontId="3" type="noConversion"/>
  </si>
  <si>
    <t>UCI</t>
    <phoneticPr fontId="3" type="noConversion"/>
  </si>
  <si>
    <t>DAJ92H</t>
    <phoneticPr fontId="3" type="noConversion"/>
  </si>
  <si>
    <t>0400614519</t>
    <phoneticPr fontId="3" type="noConversion"/>
  </si>
  <si>
    <t>BZB84A</t>
    <phoneticPr fontId="3" type="noConversion"/>
  </si>
  <si>
    <t>0408969223</t>
    <phoneticPr fontId="3" type="noConversion"/>
  </si>
  <si>
    <t>EWF82C</t>
    <phoneticPr fontId="3" type="noConversion"/>
  </si>
  <si>
    <t>0413089789</t>
    <phoneticPr fontId="3" type="noConversion"/>
  </si>
  <si>
    <t>22080(3/6)</t>
    <phoneticPr fontId="3" type="noConversion"/>
  </si>
  <si>
    <t>DXF86L</t>
    <phoneticPr fontId="3" type="noConversion"/>
  </si>
  <si>
    <t>2022508117(D)</t>
    <phoneticPr fontId="3" type="noConversion"/>
  </si>
  <si>
    <t>DNC77W</t>
    <phoneticPr fontId="3" type="noConversion"/>
  </si>
  <si>
    <t>0422000063</t>
    <phoneticPr fontId="3" type="noConversion"/>
  </si>
  <si>
    <t>DXN78G</t>
    <phoneticPr fontId="3" type="noConversion"/>
  </si>
  <si>
    <t>0412688684</t>
    <phoneticPr fontId="3" type="noConversion"/>
  </si>
  <si>
    <t>202208103(D)</t>
    <phoneticPr fontId="3" type="noConversion"/>
  </si>
  <si>
    <t>AJ19LD</t>
    <phoneticPr fontId="3" type="noConversion"/>
  </si>
  <si>
    <t>0424584870</t>
    <phoneticPr fontId="3" type="noConversion"/>
  </si>
  <si>
    <t>APC88H</t>
    <phoneticPr fontId="3" type="noConversion"/>
  </si>
  <si>
    <t>0410062241</t>
    <phoneticPr fontId="3" type="noConversion"/>
  </si>
  <si>
    <t>202208107(D)</t>
    <phoneticPr fontId="3" type="noConversion"/>
  </si>
  <si>
    <t>GBI</t>
    <phoneticPr fontId="3" type="noConversion"/>
  </si>
  <si>
    <t>0415888891</t>
    <phoneticPr fontId="3" type="noConversion"/>
  </si>
  <si>
    <t>EEA06J</t>
    <phoneticPr fontId="3" type="noConversion"/>
  </si>
  <si>
    <t>0404095442</t>
    <phoneticPr fontId="3" type="noConversion"/>
  </si>
  <si>
    <t>CPZ21Z</t>
    <phoneticPr fontId="3" type="noConversion"/>
  </si>
  <si>
    <t>0425620619</t>
    <phoneticPr fontId="3" type="noConversion"/>
  </si>
  <si>
    <t>ATH06P</t>
    <phoneticPr fontId="3" type="noConversion"/>
  </si>
  <si>
    <t>0413389141</t>
    <phoneticPr fontId="3" type="noConversion"/>
  </si>
  <si>
    <t>DMJ87J</t>
    <phoneticPr fontId="3" type="noConversion"/>
  </si>
  <si>
    <t>0403665058</t>
    <phoneticPr fontId="3" type="noConversion"/>
  </si>
  <si>
    <t>CWH70C</t>
    <phoneticPr fontId="3" type="noConversion"/>
  </si>
  <si>
    <t>0409764250</t>
    <phoneticPr fontId="3" type="noConversion"/>
  </si>
  <si>
    <t>LI6888</t>
    <phoneticPr fontId="3" type="noConversion"/>
  </si>
  <si>
    <t>0433286059</t>
    <phoneticPr fontId="3" type="noConversion"/>
  </si>
  <si>
    <t>EGA08C</t>
    <phoneticPr fontId="3" type="noConversion"/>
  </si>
  <si>
    <t>0468360802</t>
    <phoneticPr fontId="3" type="noConversion"/>
  </si>
  <si>
    <t>CJN04Z</t>
    <phoneticPr fontId="3" type="noConversion"/>
  </si>
  <si>
    <t>0481129944</t>
    <phoneticPr fontId="3" type="noConversion"/>
  </si>
  <si>
    <t>IN</t>
    <phoneticPr fontId="3" type="noConversion"/>
  </si>
  <si>
    <t>DON616</t>
    <phoneticPr fontId="3" type="noConversion"/>
  </si>
  <si>
    <t>0402334033</t>
    <phoneticPr fontId="3" type="noConversion"/>
  </si>
  <si>
    <t>UCI TRIAL NEW GALS</t>
    <phoneticPr fontId="3" type="noConversion"/>
  </si>
  <si>
    <t>EEB29R</t>
    <phoneticPr fontId="3" type="noConversion"/>
  </si>
  <si>
    <t>0417266511</t>
    <phoneticPr fontId="3" type="noConversion"/>
  </si>
  <si>
    <t>22147(1/6)</t>
    <phoneticPr fontId="3" type="noConversion"/>
  </si>
  <si>
    <t>01-12-2022</t>
    <phoneticPr fontId="3" type="noConversion"/>
  </si>
  <si>
    <t>ERB22T</t>
    <phoneticPr fontId="3" type="noConversion"/>
  </si>
  <si>
    <t>0419809433</t>
    <phoneticPr fontId="3" type="noConversion"/>
  </si>
  <si>
    <t>EBP424</t>
    <phoneticPr fontId="3" type="noConversion"/>
  </si>
  <si>
    <t>0408880834</t>
    <phoneticPr fontId="3" type="noConversion"/>
  </si>
  <si>
    <t>EMH39W</t>
    <phoneticPr fontId="3" type="noConversion"/>
  </si>
  <si>
    <t>0434219119</t>
    <phoneticPr fontId="3" type="noConversion"/>
  </si>
  <si>
    <t>XS66</t>
    <phoneticPr fontId="3" type="noConversion"/>
  </si>
  <si>
    <t>0431875858</t>
    <phoneticPr fontId="3" type="noConversion"/>
  </si>
  <si>
    <t>22106(3/6)</t>
    <phoneticPr fontId="3" type="noConversion"/>
  </si>
  <si>
    <t>AWZ60Y</t>
    <phoneticPr fontId="3" type="noConversion"/>
  </si>
  <si>
    <t>0408274295</t>
    <phoneticPr fontId="3" type="noConversion"/>
  </si>
  <si>
    <t>F/D</t>
    <phoneticPr fontId="3" type="noConversion"/>
  </si>
  <si>
    <t>BE11EW</t>
    <phoneticPr fontId="3" type="noConversion"/>
  </si>
  <si>
    <t>0410626003</t>
    <phoneticPr fontId="3" type="noConversion"/>
  </si>
  <si>
    <t>OFF $5(B2 .760)</t>
    <phoneticPr fontId="3" type="noConversion"/>
  </si>
  <si>
    <t>007CTS</t>
    <phoneticPr fontId="3" type="noConversion"/>
  </si>
  <si>
    <t>0402576774</t>
    <phoneticPr fontId="3" type="noConversion"/>
  </si>
  <si>
    <t>KADAM</t>
    <phoneticPr fontId="3" type="noConversion"/>
  </si>
  <si>
    <t>OS2001</t>
    <phoneticPr fontId="3" type="noConversion"/>
  </si>
  <si>
    <t>04123983996</t>
    <phoneticPr fontId="3" type="noConversion"/>
  </si>
  <si>
    <t>LC472</t>
    <phoneticPr fontId="3" type="noConversion"/>
  </si>
  <si>
    <t>0412423000</t>
    <phoneticPr fontId="3" type="noConversion"/>
  </si>
  <si>
    <t>ANDREW(OCTEC)</t>
    <phoneticPr fontId="3" type="noConversion"/>
  </si>
  <si>
    <t>ESN80L</t>
    <phoneticPr fontId="3" type="noConversion"/>
  </si>
  <si>
    <t>0435171304</t>
    <phoneticPr fontId="3" type="noConversion"/>
  </si>
  <si>
    <t>HJ006</t>
    <phoneticPr fontId="3" type="noConversion"/>
  </si>
  <si>
    <t>0410543175</t>
    <phoneticPr fontId="3" type="noConversion"/>
  </si>
  <si>
    <t>DNE68E</t>
    <phoneticPr fontId="3" type="noConversion"/>
  </si>
  <si>
    <t>0432477279</t>
    <phoneticPr fontId="3" type="noConversion"/>
  </si>
  <si>
    <t>CV57AO</t>
    <phoneticPr fontId="3" type="noConversion"/>
  </si>
  <si>
    <t>0435117046</t>
    <phoneticPr fontId="3" type="noConversion"/>
  </si>
  <si>
    <t>NINA88</t>
    <phoneticPr fontId="3" type="noConversion"/>
  </si>
  <si>
    <t>0416447765</t>
    <phoneticPr fontId="3" type="noConversion"/>
  </si>
  <si>
    <t>EKC15E</t>
    <phoneticPr fontId="3" type="noConversion"/>
  </si>
  <si>
    <t>0417656902</t>
    <phoneticPr fontId="3" type="noConversion"/>
  </si>
  <si>
    <t>EPV58S</t>
    <phoneticPr fontId="3" type="noConversion"/>
  </si>
  <si>
    <t>04032332382</t>
    <phoneticPr fontId="3" type="noConversion"/>
  </si>
  <si>
    <t>MIH280</t>
    <phoneticPr fontId="3" type="noConversion"/>
  </si>
  <si>
    <t>0409082029</t>
    <phoneticPr fontId="3" type="noConversion"/>
  </si>
  <si>
    <t>EUC14D</t>
    <phoneticPr fontId="3" type="noConversion"/>
  </si>
  <si>
    <t>0420846328</t>
    <phoneticPr fontId="3" type="noConversion"/>
  </si>
  <si>
    <t>DMB11P</t>
    <phoneticPr fontId="3" type="noConversion"/>
  </si>
  <si>
    <t>0430122111</t>
    <phoneticPr fontId="3" type="noConversion"/>
  </si>
  <si>
    <t>DKU03P</t>
    <phoneticPr fontId="3" type="noConversion"/>
  </si>
  <si>
    <t>0449883677</t>
    <phoneticPr fontId="3" type="noConversion"/>
  </si>
  <si>
    <t>GA 22032(4/6)</t>
    <phoneticPr fontId="3" type="noConversion"/>
  </si>
  <si>
    <t>DNP97C</t>
    <phoneticPr fontId="3" type="noConversion"/>
  </si>
  <si>
    <t>0438224662</t>
    <phoneticPr fontId="3" type="noConversion"/>
  </si>
  <si>
    <t>W/H</t>
    <phoneticPr fontId="3" type="noConversion"/>
  </si>
  <si>
    <t>EGQ51D</t>
    <phoneticPr fontId="3" type="noConversion"/>
  </si>
  <si>
    <t>0410410071</t>
    <phoneticPr fontId="3" type="noConversion"/>
  </si>
  <si>
    <t>X/LEATHER</t>
    <phoneticPr fontId="3" type="noConversion"/>
  </si>
  <si>
    <t>02-12-2022</t>
    <phoneticPr fontId="3" type="noConversion"/>
  </si>
  <si>
    <t>HENDRA</t>
  </si>
  <si>
    <t>JPT001</t>
    <phoneticPr fontId="3" type="noConversion"/>
  </si>
  <si>
    <t>0457525581</t>
    <phoneticPr fontId="3" type="noConversion"/>
  </si>
  <si>
    <t>DF84HS</t>
    <phoneticPr fontId="3" type="noConversion"/>
  </si>
  <si>
    <t>0412114119</t>
    <phoneticPr fontId="3" type="noConversion"/>
  </si>
  <si>
    <t>EEN94M</t>
    <phoneticPr fontId="3" type="noConversion"/>
  </si>
  <si>
    <t>0417205699</t>
    <phoneticPr fontId="3" type="noConversion"/>
  </si>
  <si>
    <t>DD028R</t>
    <phoneticPr fontId="3" type="noConversion"/>
  </si>
  <si>
    <t>0408251818</t>
    <phoneticPr fontId="3" type="noConversion"/>
  </si>
  <si>
    <t>DPH25M</t>
    <phoneticPr fontId="3" type="noConversion"/>
  </si>
  <si>
    <t>0450918383</t>
    <phoneticPr fontId="3" type="noConversion"/>
  </si>
  <si>
    <t>22009(4/6)</t>
    <phoneticPr fontId="3" type="noConversion"/>
  </si>
  <si>
    <t>EKQ88N</t>
    <phoneticPr fontId="3" type="noConversion"/>
  </si>
  <si>
    <t>0415173482</t>
    <phoneticPr fontId="3" type="noConversion"/>
  </si>
  <si>
    <t>ONE</t>
    <phoneticPr fontId="3" type="noConversion"/>
  </si>
  <si>
    <t>0433683684</t>
    <phoneticPr fontId="3" type="noConversion"/>
  </si>
  <si>
    <t>22051(5/6)H</t>
    <phoneticPr fontId="3" type="noConversion"/>
  </si>
  <si>
    <t>MONA</t>
    <phoneticPr fontId="3" type="noConversion"/>
  </si>
  <si>
    <t>DHA93V</t>
    <phoneticPr fontId="3" type="noConversion"/>
  </si>
  <si>
    <t>0412212511</t>
    <phoneticPr fontId="3" type="noConversion"/>
  </si>
  <si>
    <t>DANIEL</t>
    <phoneticPr fontId="3" type="noConversion"/>
  </si>
  <si>
    <t>DVJ26T</t>
    <phoneticPr fontId="3" type="noConversion"/>
  </si>
  <si>
    <t>0419633500</t>
    <phoneticPr fontId="3" type="noConversion"/>
  </si>
  <si>
    <t>22148(1/6)</t>
    <phoneticPr fontId="3" type="noConversion"/>
  </si>
  <si>
    <t>ANDREW OCTEC</t>
    <phoneticPr fontId="3" type="noConversion"/>
  </si>
  <si>
    <t>BQ18QR</t>
    <phoneticPr fontId="3" type="noConversion"/>
  </si>
  <si>
    <t>22148(2/6)</t>
    <phoneticPr fontId="3" type="noConversion"/>
  </si>
  <si>
    <t>DQR27A</t>
    <phoneticPr fontId="3" type="noConversion"/>
  </si>
  <si>
    <t>0419487797</t>
    <phoneticPr fontId="3" type="noConversion"/>
  </si>
  <si>
    <t>ERK89U</t>
    <phoneticPr fontId="3" type="noConversion"/>
  </si>
  <si>
    <t>0481774906</t>
    <phoneticPr fontId="3" type="noConversion"/>
  </si>
  <si>
    <t>EIY27P</t>
    <phoneticPr fontId="3" type="noConversion"/>
  </si>
  <si>
    <t>0409409320</t>
    <phoneticPr fontId="3" type="noConversion"/>
  </si>
  <si>
    <t>CSV74D</t>
    <phoneticPr fontId="3" type="noConversion"/>
  </si>
  <si>
    <t>0404126827</t>
    <phoneticPr fontId="3" type="noConversion"/>
  </si>
  <si>
    <t>RL1668</t>
    <phoneticPr fontId="3" type="noConversion"/>
  </si>
  <si>
    <t>0412865363</t>
    <phoneticPr fontId="3" type="noConversion"/>
  </si>
  <si>
    <t>22073(1/6)</t>
    <phoneticPr fontId="3" type="noConversion"/>
  </si>
  <si>
    <t>88BMWM</t>
    <phoneticPr fontId="3" type="noConversion"/>
  </si>
  <si>
    <t>0479077545</t>
    <phoneticPr fontId="3" type="noConversion"/>
  </si>
  <si>
    <t>CVZ79Z</t>
    <phoneticPr fontId="3" type="noConversion"/>
  </si>
  <si>
    <t>0417692476</t>
    <phoneticPr fontId="3" type="noConversion"/>
  </si>
  <si>
    <t>DSZ59S</t>
    <phoneticPr fontId="3" type="noConversion"/>
  </si>
  <si>
    <t>0402960833</t>
    <phoneticPr fontId="3" type="noConversion"/>
  </si>
  <si>
    <t>GV2</t>
    <phoneticPr fontId="3" type="noConversion"/>
  </si>
  <si>
    <t>202900(6/6)D</t>
    <phoneticPr fontId="3" type="noConversion"/>
  </si>
  <si>
    <t>BIA30T</t>
    <phoneticPr fontId="3" type="noConversion"/>
  </si>
  <si>
    <t>EAO59U</t>
    <phoneticPr fontId="3" type="noConversion"/>
  </si>
  <si>
    <t>0401332636</t>
    <phoneticPr fontId="3" type="noConversion"/>
  </si>
  <si>
    <t>3 - 12 - 2022</t>
    <phoneticPr fontId="3" type="noConversion"/>
  </si>
  <si>
    <t>EDC29Y</t>
    <phoneticPr fontId="3" type="noConversion"/>
  </si>
  <si>
    <t>0425644655</t>
    <phoneticPr fontId="3" type="noConversion"/>
  </si>
  <si>
    <t>EWF83H</t>
    <phoneticPr fontId="3" type="noConversion"/>
  </si>
  <si>
    <t>0417738188</t>
    <phoneticPr fontId="3" type="noConversion"/>
  </si>
  <si>
    <t>22090(3/6)</t>
    <phoneticPr fontId="3" type="noConversion"/>
  </si>
  <si>
    <t>CXR63H</t>
    <phoneticPr fontId="3" type="noConversion"/>
  </si>
  <si>
    <t>0447993791</t>
    <phoneticPr fontId="3" type="noConversion"/>
  </si>
  <si>
    <t>CRW85R</t>
    <phoneticPr fontId="3" type="noConversion"/>
  </si>
  <si>
    <t>0411441663</t>
    <phoneticPr fontId="3" type="noConversion"/>
  </si>
  <si>
    <t>CSZ23D</t>
    <phoneticPr fontId="3" type="noConversion"/>
  </si>
  <si>
    <t>0414570071</t>
    <phoneticPr fontId="3" type="noConversion"/>
  </si>
  <si>
    <t>DXE08R</t>
    <phoneticPr fontId="3" type="noConversion"/>
  </si>
  <si>
    <t>0438233022</t>
    <phoneticPr fontId="3" type="noConversion"/>
  </si>
  <si>
    <t>CJE47U</t>
    <phoneticPr fontId="3" type="noConversion"/>
  </si>
  <si>
    <t>0424342612</t>
    <phoneticPr fontId="3" type="noConversion"/>
  </si>
  <si>
    <t>RH6684</t>
    <phoneticPr fontId="3" type="noConversion"/>
  </si>
  <si>
    <t>0405822151</t>
    <phoneticPr fontId="3" type="noConversion"/>
  </si>
  <si>
    <t>BTA05U</t>
    <phoneticPr fontId="3" type="noConversion"/>
  </si>
  <si>
    <t>0422116560</t>
    <phoneticPr fontId="3" type="noConversion"/>
  </si>
  <si>
    <t>YLS75M</t>
    <phoneticPr fontId="3" type="noConversion"/>
  </si>
  <si>
    <t>0411039673</t>
    <phoneticPr fontId="3" type="noConversion"/>
  </si>
  <si>
    <t>CN89ME</t>
    <phoneticPr fontId="3" type="noConversion"/>
  </si>
  <si>
    <t>0411346329</t>
    <phoneticPr fontId="3" type="noConversion"/>
  </si>
  <si>
    <t>NRD57A</t>
    <phoneticPr fontId="3" type="noConversion"/>
  </si>
  <si>
    <t>0408611624</t>
    <phoneticPr fontId="3" type="noConversion"/>
  </si>
  <si>
    <t>EQW81V</t>
    <phoneticPr fontId="3" type="noConversion"/>
  </si>
  <si>
    <t>0405014938</t>
    <phoneticPr fontId="3" type="noConversion"/>
  </si>
  <si>
    <t>YGP06S</t>
    <phoneticPr fontId="3" type="noConversion"/>
  </si>
  <si>
    <t>0431151784</t>
    <phoneticPr fontId="3" type="noConversion"/>
  </si>
  <si>
    <t>EWA96V</t>
    <phoneticPr fontId="3" type="noConversion"/>
  </si>
  <si>
    <t>0425827700</t>
    <phoneticPr fontId="3" type="noConversion"/>
  </si>
  <si>
    <t>22146(1/6)</t>
    <phoneticPr fontId="3" type="noConversion"/>
  </si>
  <si>
    <t>CYF66R</t>
    <phoneticPr fontId="3" type="noConversion"/>
  </si>
  <si>
    <t>0405417161</t>
    <phoneticPr fontId="3" type="noConversion"/>
  </si>
  <si>
    <t>DGE1814</t>
    <phoneticPr fontId="3" type="noConversion"/>
  </si>
  <si>
    <t>0449836667</t>
    <phoneticPr fontId="3" type="noConversion"/>
  </si>
  <si>
    <t>22039(5/6),22149(NEW)</t>
    <phoneticPr fontId="3" type="noConversion"/>
  </si>
  <si>
    <t>CAH21U</t>
    <phoneticPr fontId="3" type="noConversion"/>
  </si>
  <si>
    <t>0437737553</t>
    <phoneticPr fontId="3" type="noConversion"/>
  </si>
  <si>
    <t>ELL92E</t>
    <phoneticPr fontId="3" type="noConversion"/>
  </si>
  <si>
    <t>0437690298</t>
    <phoneticPr fontId="3" type="noConversion"/>
  </si>
  <si>
    <t>RK43YN</t>
    <phoneticPr fontId="3" type="noConversion"/>
  </si>
  <si>
    <t>0410317318</t>
    <phoneticPr fontId="3" type="noConversion"/>
  </si>
  <si>
    <t>22058(1/6)</t>
    <phoneticPr fontId="3" type="noConversion"/>
  </si>
  <si>
    <t>DQX59E</t>
    <phoneticPr fontId="3" type="noConversion"/>
  </si>
  <si>
    <t>0412220066</t>
    <phoneticPr fontId="3" type="noConversion"/>
  </si>
  <si>
    <t>$5OFF B2706</t>
    <phoneticPr fontId="3" type="noConversion"/>
  </si>
  <si>
    <t>ELV56T</t>
    <phoneticPr fontId="3" type="noConversion"/>
  </si>
  <si>
    <t>0422035455</t>
    <phoneticPr fontId="3" type="noConversion"/>
  </si>
  <si>
    <t>22150(1/6)</t>
    <phoneticPr fontId="3" type="noConversion"/>
  </si>
  <si>
    <t>YI628</t>
    <phoneticPr fontId="3" type="noConversion"/>
  </si>
  <si>
    <t>04258128387</t>
    <phoneticPr fontId="3" type="noConversion"/>
  </si>
  <si>
    <t>EDP32P</t>
    <phoneticPr fontId="3" type="noConversion"/>
  </si>
  <si>
    <t>0421286159</t>
    <phoneticPr fontId="3" type="noConversion"/>
  </si>
  <si>
    <t>EBJ31J</t>
    <phoneticPr fontId="3" type="noConversion"/>
  </si>
  <si>
    <t>0435955200</t>
    <phoneticPr fontId="3" type="noConversion"/>
  </si>
  <si>
    <t>22020(6/6)</t>
    <phoneticPr fontId="3" type="noConversion"/>
  </si>
  <si>
    <t>WYX004</t>
    <phoneticPr fontId="3" type="noConversion"/>
  </si>
  <si>
    <t>0428626679</t>
    <phoneticPr fontId="3" type="noConversion"/>
  </si>
  <si>
    <t>ETV03C</t>
    <phoneticPr fontId="3" type="noConversion"/>
  </si>
  <si>
    <t>0455602704</t>
    <phoneticPr fontId="3" type="noConversion"/>
  </si>
  <si>
    <t>4 - 12 - 2022</t>
    <phoneticPr fontId="3" type="noConversion"/>
  </si>
  <si>
    <t>XQS182</t>
    <phoneticPr fontId="3" type="noConversion"/>
  </si>
  <si>
    <t>0412696569</t>
    <phoneticPr fontId="3" type="noConversion"/>
  </si>
  <si>
    <t>EBZ65W</t>
    <phoneticPr fontId="3" type="noConversion"/>
  </si>
  <si>
    <t>0452451336</t>
    <phoneticPr fontId="3" type="noConversion"/>
  </si>
  <si>
    <t>GA 22021(2/6)</t>
    <phoneticPr fontId="3" type="noConversion"/>
  </si>
  <si>
    <t>RAY448</t>
    <phoneticPr fontId="3" type="noConversion"/>
  </si>
  <si>
    <t>0416212689</t>
    <phoneticPr fontId="3" type="noConversion"/>
  </si>
  <si>
    <t>ERE83M</t>
    <phoneticPr fontId="3" type="noConversion"/>
  </si>
  <si>
    <t>0403560888</t>
    <phoneticPr fontId="3" type="noConversion"/>
  </si>
  <si>
    <t>EJS57X</t>
    <phoneticPr fontId="3" type="noConversion"/>
  </si>
  <si>
    <t>0419181923</t>
    <phoneticPr fontId="3" type="noConversion"/>
  </si>
  <si>
    <t>EPK52N</t>
    <phoneticPr fontId="3" type="noConversion"/>
  </si>
  <si>
    <t>0402059233</t>
    <phoneticPr fontId="3" type="noConversion"/>
  </si>
  <si>
    <t>DGI30U</t>
    <phoneticPr fontId="3" type="noConversion"/>
  </si>
  <si>
    <t>222145(1/6)</t>
    <phoneticPr fontId="3" type="noConversion"/>
  </si>
  <si>
    <t>ELS46X</t>
    <phoneticPr fontId="3" type="noConversion"/>
  </si>
  <si>
    <t>0407192411</t>
    <phoneticPr fontId="3" type="noConversion"/>
  </si>
  <si>
    <t>CGS67L</t>
    <phoneticPr fontId="3" type="noConversion"/>
  </si>
  <si>
    <t>0418696099</t>
    <phoneticPr fontId="3" type="noConversion"/>
  </si>
  <si>
    <t>NXK17U</t>
    <phoneticPr fontId="3" type="noConversion"/>
  </si>
  <si>
    <t>0414776708</t>
    <phoneticPr fontId="3" type="noConversion"/>
  </si>
  <si>
    <t>EGD21N</t>
    <phoneticPr fontId="3" type="noConversion"/>
  </si>
  <si>
    <t>0425373111</t>
    <phoneticPr fontId="3" type="noConversion"/>
  </si>
  <si>
    <t>22030(5,6/6), 22152(NEW)</t>
    <phoneticPr fontId="3" type="noConversion"/>
  </si>
  <si>
    <t>0422544597</t>
    <phoneticPr fontId="3" type="noConversion"/>
  </si>
  <si>
    <t>CLD41D</t>
    <phoneticPr fontId="3" type="noConversion"/>
  </si>
  <si>
    <t>0417259029</t>
    <phoneticPr fontId="3" type="noConversion"/>
  </si>
  <si>
    <t>BSD11H</t>
    <phoneticPr fontId="3" type="noConversion"/>
  </si>
  <si>
    <t>0423175140</t>
    <phoneticPr fontId="3" type="noConversion"/>
  </si>
  <si>
    <t>EEJ98U</t>
    <phoneticPr fontId="3" type="noConversion"/>
  </si>
  <si>
    <t>0418163907</t>
    <phoneticPr fontId="3" type="noConversion"/>
  </si>
  <si>
    <t>ENP79D</t>
    <phoneticPr fontId="3" type="noConversion"/>
  </si>
  <si>
    <t>0437866546</t>
    <phoneticPr fontId="3" type="noConversion"/>
  </si>
  <si>
    <t>DMN66T</t>
    <phoneticPr fontId="3" type="noConversion"/>
  </si>
  <si>
    <t>0413421100</t>
    <phoneticPr fontId="3" type="noConversion"/>
  </si>
  <si>
    <t>EMP11U</t>
    <phoneticPr fontId="3" type="noConversion"/>
  </si>
  <si>
    <t>0405059705</t>
    <phoneticPr fontId="3" type="noConversion"/>
  </si>
  <si>
    <t>DFU56F</t>
    <phoneticPr fontId="3" type="noConversion"/>
  </si>
  <si>
    <t>0466886085</t>
    <phoneticPr fontId="3" type="noConversion"/>
  </si>
  <si>
    <t>DYA67Y</t>
    <phoneticPr fontId="3" type="noConversion"/>
  </si>
  <si>
    <t>0413182637</t>
    <phoneticPr fontId="3" type="noConversion"/>
  </si>
  <si>
    <t>GABZ</t>
    <phoneticPr fontId="3" type="noConversion"/>
  </si>
  <si>
    <t>0404444048</t>
    <phoneticPr fontId="3" type="noConversion"/>
  </si>
  <si>
    <t>ST MIDDLE SIDE</t>
    <phoneticPr fontId="3" type="noConversion"/>
  </si>
  <si>
    <t>EFAN</t>
    <phoneticPr fontId="3" type="noConversion"/>
  </si>
  <si>
    <t>0450601088</t>
    <phoneticPr fontId="3" type="noConversion"/>
  </si>
  <si>
    <t>YS1288</t>
    <phoneticPr fontId="3" type="noConversion"/>
  </si>
  <si>
    <t>0426885667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</si>
  <si>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</si>
  <si>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</si>
  <si>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</si>
  <si>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</si>
  <si>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</si>
  <si>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</si>
  <si>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MON</t>
    <phoneticPr fontId="3" type="noConversion"/>
  </si>
  <si>
    <t>John</t>
    <phoneticPr fontId="3" type="noConversion"/>
  </si>
  <si>
    <t>Card</t>
    <phoneticPr fontId="3" type="noConversion"/>
  </si>
  <si>
    <t xml:space="preserve">hrs </t>
    <phoneticPr fontId="3" type="noConversion"/>
  </si>
  <si>
    <t>no. staff</t>
    <phoneticPr fontId="3" type="noConversion"/>
  </si>
  <si>
    <t>TUE</t>
    <phoneticPr fontId="3" type="noConversion"/>
  </si>
  <si>
    <t>Cash</t>
    <phoneticPr fontId="3" type="noConversion"/>
  </si>
  <si>
    <t>WED</t>
    <phoneticPr fontId="3" type="noConversion"/>
  </si>
  <si>
    <t>THU</t>
    <phoneticPr fontId="3" type="noConversion"/>
  </si>
  <si>
    <t>FR I</t>
    <phoneticPr fontId="3" type="noConversion"/>
  </si>
  <si>
    <t>SAT</t>
    <phoneticPr fontId="3" type="noConversion"/>
  </si>
  <si>
    <t>SUN</t>
    <phoneticPr fontId="3" type="noConversion"/>
  </si>
  <si>
    <t>TOTAL CARS</t>
  </si>
  <si>
    <t>GV SOLD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</si>
  <si>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</si>
  <si>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</si>
  <si>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</si>
  <si>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STAFF HRS</t>
    <phoneticPr fontId="3" type="noConversion"/>
  </si>
  <si>
    <t>DAY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</si>
</sst>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&quot;₩&quot;* #,##0_-;\-&quot;₩&quot;* #,##0_-;_-&quot;₩&quot;* &quot;-&quot;_-;_-@_-"/>
    <numFmt numFmtId="165" formatCode="\$#,##0_);[Red]\(\$#,##0\)"/>
    <numFmt numFmtId="166" formatCode="\$#,##0.00_);[Red]\(\$#,##0.00\)"/>
    <numFmt numFmtId="167" formatCode="\$#,##0.00"/>
    <numFmt numFmtId="168" formatCode="h:mm;@"/>
    <numFmt numFmtId="169" formatCode="0.00_);[Red]\(0.00\)"/>
    <numFmt numFmtId="170" formatCode="0_);[Red]\(0\)"/>
    <numFmt numFmtId="171" formatCode="0.00_ "/>
    <numFmt numFmtId="172" formatCode="#,##0.0;[Red]#,##0.0"/>
    <numFmt numFmtId="173" formatCode="[$$-C09]#,##0.00"/>
    <numFmt numFmtId="174" formatCode="_-\$* #,##0.00_ ;_-\$* \-#,##0.00\ ;_-\$* &quot;-&quot;??_ ;_-@_ "/>
  </numFmts>
  <fonts count="3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3" borderId="33" applyNumberFormat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</cellStyleXfs>
  <cellXfs count="753">
    <xf numFmtId="0" fontId="0" fillId="0" borderId="0" xfId="0"/>
    <xf numFmtId="0" fontId="0" fillId="0" borderId="10" xfId="0" applyBorder="1"/>
    <xf numFmtId="168" fontId="0" fillId="0" borderId="3" xfId="0" applyNumberFormat="1" applyBorder="1"/>
    <xf numFmtId="168" fontId="0" fillId="0" borderId="5" xfId="0" applyNumberFormat="1" applyBorder="1"/>
    <xf numFmtId="169" fontId="0" fillId="0" borderId="16" xfId="0" applyNumberFormat="1" applyBorder="1"/>
    <xf numFmtId="0" fontId="0" fillId="0" borderId="9" xfId="0" applyBorder="1"/>
    <xf numFmtId="168" fontId="0" fillId="0" borderId="1" xfId="0" applyNumberFormat="1" applyBorder="1"/>
    <xf numFmtId="168" fontId="0" fillId="0" borderId="2" xfId="0" applyNumberFormat="1" applyBorder="1"/>
    <xf numFmtId="169" fontId="0" fillId="0" borderId="15" xfId="0" applyNumberFormat="1" applyBorder="1"/>
    <xf numFmtId="0" fontId="0" fillId="0" borderId="25" xfId="0" applyBorder="1" applyAlignment="1">
      <alignment shrinkToFit="1"/>
    </xf>
    <xf numFmtId="168" fontId="0" fillId="0" borderId="25" xfId="0" applyNumberFormat="1" applyBorder="1" applyAlignment="1">
      <alignment shrinkToFit="1"/>
    </xf>
    <xf numFmtId="169" fontId="0" fillId="0" borderId="24" xfId="0" applyNumberFormat="1" applyBorder="1" applyAlignment="1">
      <alignment shrinkToFit="1"/>
    </xf>
    <xf numFmtId="166" fontId="0" fillId="2" borderId="4" xfId="0" applyNumberFormat="1" applyFill="1" applyBorder="1" applyAlignment="1">
      <alignment horizontal="center" shrinkToFit="1"/>
    </xf>
    <xf numFmtId="170" fontId="0" fillId="2" borderId="4" xfId="0" applyNumberForma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31" xfId="0" applyBorder="1" applyAlignment="1">
      <alignment shrinkToFit="1"/>
    </xf>
    <xf numFmtId="164" fontId="6" fillId="0" borderId="1" xfId="2" applyFont="1" applyFill="1" applyBorder="1" applyAlignment="1">
      <alignment vertical="center"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73" fontId="0" fillId="0" borderId="1" xfId="0" applyNumberFormat="1" applyBorder="1" applyAlignment="1">
      <alignment shrinkToFit="1"/>
    </xf>
    <xf numFmtId="0" fontId="0" fillId="0" borderId="1" xfId="0" applyBorder="1" applyAlignment="1">
      <alignment shrinkToFit="1"/>
    </xf>
    <xf numFmtId="173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73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166" fontId="13" fillId="0" borderId="0" xfId="0" applyNumberFormat="1" applyFont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68" fontId="0" fillId="2" borderId="4" xfId="0" applyNumberFormat="1" applyFill="1" applyBorder="1" applyAlignment="1">
      <alignment horizontal="center" shrinkToFit="1"/>
    </xf>
    <xf numFmtId="168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5" borderId="0" xfId="0" applyFill="1" applyAlignment="1">
      <alignment shrinkToFit="1"/>
    </xf>
    <xf numFmtId="173" fontId="0" fillId="0" borderId="0" xfId="0" applyNumberFormat="1" applyAlignment="1">
      <alignment shrinkToFit="1"/>
    </xf>
    <xf numFmtId="169" fontId="0" fillId="0" borderId="0" xfId="0" applyNumberFormat="1" applyAlignment="1">
      <alignment shrinkToFit="1"/>
    </xf>
    <xf numFmtId="0" fontId="0" fillId="0" borderId="0" xfId="0" applyAlignment="1">
      <alignment horizontal="left" shrinkToFit="1"/>
    </xf>
    <xf numFmtId="167" fontId="0" fillId="0" borderId="0" xfId="0" applyNumberFormat="1" applyAlignment="1">
      <alignment shrinkToFit="1"/>
    </xf>
    <xf numFmtId="166" fontId="0" fillId="0" borderId="0" xfId="0" applyNumberFormat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Alignment="1">
      <alignment horizontal="left" shrinkToFit="1"/>
    </xf>
    <xf numFmtId="171" fontId="0" fillId="2" borderId="0" xfId="0" applyNumberFormat="1" applyFill="1" applyAlignment="1">
      <alignment shrinkToFit="1"/>
    </xf>
    <xf numFmtId="166" fontId="0" fillId="2" borderId="0" xfId="0" applyNumberFormat="1" applyFill="1" applyAlignment="1">
      <alignment shrinkToFit="1"/>
    </xf>
    <xf numFmtId="173" fontId="0" fillId="2" borderId="0" xfId="0" applyNumberFormat="1" applyFill="1" applyAlignment="1">
      <alignment shrinkToFit="1"/>
    </xf>
    <xf numFmtId="166" fontId="0" fillId="5" borderId="1" xfId="0" applyNumberFormat="1" applyFill="1" applyBorder="1" applyAlignment="1">
      <alignment shrinkToFit="1"/>
    </xf>
    <xf numFmtId="172" fontId="0" fillId="0" borderId="0" xfId="0" applyNumberFormat="1" applyAlignment="1">
      <alignment shrinkToFit="1"/>
    </xf>
    <xf numFmtId="166" fontId="0" fillId="0" borderId="1" xfId="0" applyNumberFormat="1" applyBorder="1" applyAlignment="1">
      <alignment shrinkToFit="1"/>
    </xf>
    <xf numFmtId="171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166" fontId="4" fillId="0" borderId="1" xfId="0" applyNumberFormat="1" applyFont="1" applyBorder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68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69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67" fontId="6" fillId="0" borderId="1" xfId="0" applyNumberFormat="1" applyFont="1" applyBorder="1" applyAlignment="1">
      <alignment vertical="center" shrinkToFit="1"/>
    </xf>
    <xf numFmtId="167" fontId="6" fillId="0" borderId="15" xfId="0" applyNumberFormat="1" applyFont="1" applyBorder="1" applyAlignment="1">
      <alignment vertical="center" shrinkToFit="1"/>
    </xf>
    <xf numFmtId="166" fontId="6" fillId="0" borderId="1" xfId="0" applyNumberFormat="1" applyFont="1" applyBorder="1" applyAlignment="1">
      <alignment vertical="center" shrinkToFit="1"/>
    </xf>
    <xf numFmtId="166" fontId="6" fillId="0" borderId="15" xfId="0" applyNumberFormat="1" applyFont="1" applyBorder="1" applyAlignment="1">
      <alignment vertical="center" shrinkToFit="1"/>
    </xf>
    <xf numFmtId="165" fontId="6" fillId="0" borderId="1" xfId="0" applyNumberFormat="1" applyFont="1" applyBorder="1" applyAlignment="1">
      <alignment vertical="center" shrinkToFit="1"/>
    </xf>
    <xf numFmtId="165" fontId="0" fillId="0" borderId="1" xfId="0" applyNumberFormat="1" applyBorder="1"/>
    <xf numFmtId="0" fontId="0" fillId="0" borderId="17" xfId="0" applyBorder="1"/>
    <xf numFmtId="16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16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69" fontId="4" fillId="6" borderId="12" xfId="0" applyNumberFormat="1" applyFont="1" applyFill="1" applyBorder="1" applyAlignment="1">
      <alignment shrinkToFit="1"/>
    </xf>
    <xf numFmtId="169" fontId="4" fillId="6" borderId="12" xfId="0" applyNumberFormat="1" applyFont="1" applyFill="1" applyBorder="1" applyAlignment="1">
      <alignment horizontal="center" shrinkToFit="1"/>
    </xf>
    <xf numFmtId="168" fontId="4" fillId="6" borderId="12" xfId="0" applyNumberFormat="1" applyFont="1" applyFill="1" applyBorder="1" applyAlignment="1">
      <alignment shrinkToFit="1"/>
    </xf>
    <xf numFmtId="168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68" fontId="4" fillId="6" borderId="41" xfId="0" applyNumberFormat="1" applyFont="1" applyFill="1" applyBorder="1" applyAlignment="1">
      <alignment horizontal="center" shrinkToFit="1"/>
    </xf>
    <xf numFmtId="169" fontId="4" fillId="6" borderId="41" xfId="0" applyNumberFormat="1" applyFont="1" applyFill="1" applyBorder="1" applyAlignment="1">
      <alignment horizontal="center" shrinkToFit="1"/>
    </xf>
    <xf numFmtId="169" fontId="15" fillId="2" borderId="1" xfId="3" applyNumberFormat="1" applyFont="1" applyFill="1" applyBorder="1" applyAlignment="1">
      <alignment horizontal="center" shrinkToFit="1"/>
    </xf>
    <xf numFmtId="169" fontId="0" fillId="2" borderId="1" xfId="0" applyNumberFormat="1" applyFill="1" applyBorder="1" applyAlignment="1">
      <alignment horizontal="center" shrinkToFit="1"/>
    </xf>
    <xf numFmtId="169" fontId="13" fillId="0" borderId="4" xfId="0" applyNumberFormat="1" applyFont="1" applyBorder="1" applyAlignment="1">
      <alignment horizontal="center" shrinkToFit="1"/>
    </xf>
    <xf numFmtId="169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0" fontId="13" fillId="6" borderId="50" xfId="0" applyNumberFormat="1" applyFont="1" applyFill="1" applyBorder="1" applyAlignment="1">
      <alignment horizontal="center" vertical="center" shrinkToFit="1"/>
    </xf>
    <xf numFmtId="170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69" fontId="4" fillId="6" borderId="1" xfId="0" applyNumberFormat="1" applyFont="1" applyFill="1" applyBorder="1" applyAlignment="1">
      <alignment horizontal="center" shrinkToFit="1"/>
    </xf>
    <xf numFmtId="167" fontId="4" fillId="6" borderId="13" xfId="0" applyNumberFormat="1" applyFont="1" applyFill="1" applyBorder="1" applyAlignment="1">
      <alignment horizontal="center" vertical="center" shrinkToFit="1"/>
    </xf>
    <xf numFmtId="167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71" fontId="4" fillId="6" borderId="1" xfId="0" applyNumberFormat="1" applyFont="1" applyFill="1" applyBorder="1" applyAlignment="1">
      <alignment horizontal="center" shrinkToFit="1"/>
    </xf>
    <xf numFmtId="170" fontId="4" fillId="6" borderId="1" xfId="0" applyNumberFormat="1" applyFont="1" applyFill="1" applyBorder="1" applyAlignment="1">
      <alignment horizontal="center" shrinkToFit="1"/>
    </xf>
    <xf numFmtId="171" fontId="4" fillId="6" borderId="14" xfId="0" applyNumberFormat="1" applyFont="1" applyFill="1" applyBorder="1" applyAlignment="1">
      <alignment horizontal="center" shrinkToFit="1"/>
    </xf>
    <xf numFmtId="169" fontId="4" fillId="6" borderId="14" xfId="0" applyNumberFormat="1" applyFont="1" applyFill="1" applyBorder="1" applyAlignment="1">
      <alignment horizontal="center" shrinkToFit="1"/>
    </xf>
    <xf numFmtId="167" fontId="4" fillId="6" borderId="3" xfId="0" applyNumberFormat="1" applyFont="1" applyFill="1" applyBorder="1" applyAlignment="1">
      <alignment horizontal="center" shrinkToFit="1"/>
    </xf>
    <xf numFmtId="171" fontId="4" fillId="6" borderId="3" xfId="0" applyNumberFormat="1" applyFont="1" applyFill="1" applyBorder="1" applyAlignment="1">
      <alignment horizontal="center" shrinkToFit="1"/>
    </xf>
    <xf numFmtId="170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69" fontId="16" fillId="6" borderId="28" xfId="0" applyNumberFormat="1" applyFont="1" applyFill="1" applyBorder="1" applyAlignment="1">
      <alignment horizontal="center" vertical="center" shrinkToFit="1"/>
    </xf>
    <xf numFmtId="171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68" fontId="0" fillId="0" borderId="11" xfId="0" applyNumberFormat="1" applyBorder="1" applyAlignment="1">
      <alignment shrinkToFit="1"/>
    </xf>
    <xf numFmtId="169" fontId="0" fillId="0" borderId="38" xfId="0" applyNumberFormat="1" applyBorder="1" applyAlignment="1">
      <alignment shrinkToFit="1"/>
    </xf>
    <xf numFmtId="40" fontId="13" fillId="6" borderId="50" xfId="0" applyNumberFormat="1" applyFont="1" applyFill="1" applyBorder="1" applyAlignment="1">
      <alignment shrinkToFit="1"/>
    </xf>
    <xf numFmtId="170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69" fontId="15" fillId="0" borderId="1" xfId="3" applyNumberFormat="1" applyFont="1" applyFill="1" applyBorder="1" applyAlignment="1">
      <alignment horizontal="center" shrinkToFit="1"/>
    </xf>
    <xf numFmtId="169" fontId="1" fillId="0" borderId="4" xfId="0" applyNumberFormat="1" applyFont="1" applyBorder="1" applyAlignment="1">
      <alignment horizontal="center" shrinkToFit="1"/>
    </xf>
    <xf numFmtId="169" fontId="1" fillId="0" borderId="1" xfId="0" applyNumberFormat="1" applyFont="1" applyBorder="1" applyAlignment="1">
      <alignment horizontal="center" shrinkToFit="1"/>
    </xf>
    <xf numFmtId="169" fontId="15" fillId="2" borderId="4" xfId="0" applyNumberFormat="1" applyFont="1" applyFill="1" applyBorder="1" applyAlignment="1">
      <alignment horizontal="center"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69" fontId="1" fillId="6" borderId="4" xfId="0" applyNumberFormat="1" applyFont="1" applyFill="1" applyBorder="1" applyAlignment="1">
      <alignment horizontal="center" shrinkToFit="1"/>
    </xf>
    <xf numFmtId="169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0" fontId="13" fillId="0" borderId="14" xfId="0" applyNumberFormat="1" applyFont="1" applyBorder="1" applyAlignment="1">
      <alignment horizontal="center" vertical="center" shrinkToFit="1"/>
    </xf>
    <xf numFmtId="166" fontId="13" fillId="0" borderId="14" xfId="0" applyNumberFormat="1" applyFont="1" applyBorder="1" applyAlignment="1">
      <alignment shrinkToFit="1"/>
    </xf>
    <xf numFmtId="170" fontId="6" fillId="0" borderId="28" xfId="0" applyNumberFormat="1" applyFont="1" applyBorder="1" applyAlignment="1">
      <alignment vertical="center" shrinkToFit="1"/>
    </xf>
    <xf numFmtId="169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69" fontId="4" fillId="6" borderId="48" xfId="0" applyNumberFormat="1" applyFont="1" applyFill="1" applyBorder="1" applyAlignment="1">
      <alignment vertical="center" shrinkToFit="1"/>
    </xf>
    <xf numFmtId="169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69" fontId="0" fillId="2" borderId="11" xfId="0" applyNumberFormat="1" applyFill="1" applyBorder="1" applyAlignment="1">
      <alignment horizontal="center" shrinkToFit="1"/>
    </xf>
    <xf numFmtId="169" fontId="15" fillId="0" borderId="40" xfId="0" applyNumberFormat="1" applyFont="1" applyBorder="1" applyAlignment="1">
      <alignment horizontal="center" shrinkToFit="1"/>
    </xf>
    <xf numFmtId="169" fontId="13" fillId="0" borderId="17" xfId="0" applyNumberFormat="1" applyFont="1" applyBorder="1" applyAlignment="1">
      <alignment shrinkToFit="1"/>
    </xf>
    <xf numFmtId="169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68" fontId="16" fillId="13" borderId="8" xfId="0" applyNumberFormat="1" applyFont="1" applyFill="1" applyBorder="1" applyAlignment="1">
      <alignment horizontal="center" shrinkToFit="1"/>
    </xf>
    <xf numFmtId="169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73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166" fontId="0" fillId="0" borderId="11" xfId="0" applyNumberFormat="1" applyBorder="1" applyAlignment="1">
      <alignment shrinkToFit="1"/>
    </xf>
    <xf numFmtId="170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69" fontId="1" fillId="0" borderId="26" xfId="0" applyNumberFormat="1" applyFont="1" applyBorder="1" applyAlignment="1">
      <alignment horizontal="center" shrinkToFit="1"/>
    </xf>
    <xf numFmtId="169" fontId="15" fillId="0" borderId="61" xfId="3" applyNumberFormat="1" applyFont="1" applyFill="1" applyBorder="1" applyAlignment="1">
      <alignment horizontal="center" shrinkToFit="1"/>
    </xf>
    <xf numFmtId="170" fontId="6" fillId="0" borderId="39" xfId="0" applyNumberFormat="1" applyFont="1" applyBorder="1" applyAlignment="1">
      <alignment horizontal="left"/>
    </xf>
    <xf numFmtId="170" fontId="6" fillId="0" borderId="26" xfId="0" applyNumberFormat="1" applyFont="1" applyBorder="1" applyAlignment="1">
      <alignment horizontal="left"/>
    </xf>
    <xf numFmtId="170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69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69" fontId="23" fillId="2" borderId="4" xfId="4" applyNumberFormat="1" applyFill="1" applyBorder="1" applyAlignment="1">
      <alignment horizontal="center" shrinkToFit="1"/>
    </xf>
    <xf numFmtId="169" fontId="23" fillId="2" borderId="6" xfId="4" applyNumberFormat="1" applyFill="1" applyBorder="1" applyAlignment="1">
      <alignment horizontal="center" shrinkToFit="1"/>
    </xf>
    <xf numFmtId="169" fontId="10" fillId="6" borderId="4" xfId="4" applyNumberFormat="1" applyFont="1" applyFill="1" applyBorder="1" applyAlignment="1">
      <alignment horizontal="center" shrinkToFit="1"/>
    </xf>
    <xf numFmtId="166" fontId="20" fillId="6" borderId="45" xfId="0" applyNumberFormat="1" applyFont="1" applyFill="1" applyBorder="1" applyAlignment="1">
      <alignment horizontal="center" vertical="center" shrinkToFit="1"/>
    </xf>
    <xf numFmtId="166" fontId="20" fillId="6" borderId="0" xfId="0" applyNumberFormat="1" applyFont="1" applyFill="1" applyAlignment="1">
      <alignment horizontal="center" vertical="center" shrinkToFit="1"/>
    </xf>
    <xf numFmtId="166" fontId="20" fillId="6" borderId="46" xfId="0" applyNumberFormat="1" applyFont="1" applyFill="1" applyBorder="1" applyAlignment="1">
      <alignment horizontal="center" vertical="center" shrinkToFit="1"/>
    </xf>
    <xf numFmtId="174" fontId="20" fillId="6" borderId="45" xfId="0" applyNumberFormat="1" applyFont="1" applyFill="1" applyBorder="1" applyAlignment="1">
      <alignment horizontal="center" vertical="center" shrinkToFit="1"/>
    </xf>
    <xf numFmtId="174" fontId="20" fillId="6" borderId="0" xfId="0" applyNumberFormat="1" applyFont="1" applyFill="1" applyAlignment="1">
      <alignment horizontal="center" vertical="center" shrinkToFit="1"/>
    </xf>
    <xf numFmtId="174" fontId="20" fillId="6" borderId="46" xfId="0" applyNumberFormat="1" applyFont="1" applyFill="1" applyBorder="1" applyAlignment="1">
      <alignment horizontal="center" vertical="center" shrinkToFit="1"/>
    </xf>
    <xf numFmtId="166" fontId="20" fillId="10" borderId="45" xfId="0" applyNumberFormat="1" applyFont="1" applyFill="1" applyBorder="1" applyAlignment="1">
      <alignment horizontal="center" vertical="center" shrinkToFit="1"/>
    </xf>
    <xf numFmtId="166" fontId="20" fillId="10" borderId="0" xfId="0" applyNumberFormat="1" applyFont="1" applyFill="1" applyAlignment="1">
      <alignment horizontal="center" vertical="center" shrinkToFit="1"/>
    </xf>
    <xf numFmtId="166" fontId="20" fillId="10" borderId="46" xfId="0" applyNumberFormat="1" applyFont="1" applyFill="1" applyBorder="1" applyAlignment="1">
      <alignment horizontal="center" vertical="center" shrinkToFit="1"/>
    </xf>
    <xf numFmtId="174" fontId="20" fillId="10" borderId="45" xfId="0" applyNumberFormat="1" applyFont="1" applyFill="1" applyBorder="1" applyAlignment="1">
      <alignment horizontal="center" vertical="center" shrinkToFit="1"/>
    </xf>
    <xf numFmtId="174" fontId="20" fillId="10" borderId="0" xfId="0" applyNumberFormat="1" applyFont="1" applyFill="1" applyAlignment="1">
      <alignment horizontal="center" vertical="center" shrinkToFit="1"/>
    </xf>
    <xf numFmtId="174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74" fontId="20" fillId="7" borderId="45" xfId="0" applyNumberFormat="1" applyFont="1" applyFill="1" applyBorder="1" applyAlignment="1">
      <alignment horizontal="center" vertical="center" shrinkToFit="1"/>
    </xf>
    <xf numFmtId="174" fontId="20" fillId="7" borderId="0" xfId="0" applyNumberFormat="1" applyFont="1" applyFill="1" applyAlignment="1">
      <alignment horizontal="center" vertical="center" shrinkToFit="1"/>
    </xf>
    <xf numFmtId="174" fontId="20" fillId="7" borderId="46" xfId="0" applyNumberFormat="1" applyFont="1" applyFill="1" applyBorder="1" applyAlignment="1">
      <alignment horizontal="center" vertical="center" shrinkToFit="1"/>
    </xf>
    <xf numFmtId="166" fontId="20" fillId="7" borderId="45" xfId="0" applyNumberFormat="1" applyFont="1" applyFill="1" applyBorder="1" applyAlignment="1">
      <alignment horizontal="center" vertical="center" shrinkToFit="1"/>
    </xf>
    <xf numFmtId="166" fontId="20" fillId="7" borderId="0" xfId="0" applyNumberFormat="1" applyFont="1" applyFill="1" applyAlignment="1">
      <alignment horizontal="center" vertical="center" shrinkToFit="1"/>
    </xf>
    <xf numFmtId="166" fontId="20" fillId="7" borderId="46" xfId="0" applyNumberFormat="1" applyFont="1" applyFill="1" applyBorder="1" applyAlignment="1">
      <alignment horizontal="center" vertical="center" shrinkToFit="1"/>
    </xf>
    <xf numFmtId="166" fontId="20" fillId="11" borderId="6" xfId="0" applyNumberFormat="1" applyFont="1" applyFill="1" applyBorder="1" applyAlignment="1">
      <alignment horizontal="center" vertical="center" shrinkToFit="1"/>
    </xf>
    <xf numFmtId="166" fontId="20" fillId="11" borderId="37" xfId="0" applyNumberFormat="1" applyFont="1" applyFill="1" applyBorder="1" applyAlignment="1">
      <alignment horizontal="center" vertical="center" shrinkToFit="1"/>
    </xf>
    <xf numFmtId="166" fontId="20" fillId="11" borderId="39" xfId="0" applyNumberFormat="1" applyFont="1" applyFill="1" applyBorder="1" applyAlignment="1">
      <alignment horizontal="center" vertical="center" shrinkToFit="1"/>
    </xf>
    <xf numFmtId="174" fontId="20" fillId="11" borderId="6" xfId="0" applyNumberFormat="1" applyFont="1" applyFill="1" applyBorder="1" applyAlignment="1">
      <alignment horizontal="center" vertical="center" shrinkToFit="1"/>
    </xf>
    <xf numFmtId="174" fontId="20" fillId="11" borderId="37" xfId="0" applyNumberFormat="1" applyFont="1" applyFill="1" applyBorder="1" applyAlignment="1">
      <alignment horizontal="center" vertical="center" shrinkToFit="1"/>
    </xf>
    <xf numFmtId="174" fontId="20" fillId="11" borderId="39" xfId="0" applyNumberFormat="1" applyFont="1" applyFill="1" applyBorder="1" applyAlignment="1">
      <alignment horizontal="center" vertical="center" shrinkToFit="1"/>
    </xf>
    <xf numFmtId="49" fontId="28" fillId="0" borderId="2" xfId="0" applyNumberFormat="1" applyFont="1" applyBorder="1"/>
    <xf numFmtId="0" fontId="23" fillId="14" borderId="4" xfId="4" applyBorder="1" applyAlignment="1">
      <alignment horizontal="center" shrinkToFit="1"/>
    </xf>
    <xf numFmtId="0" fontId="23" fillId="14" borderId="1" xfId="4" applyBorder="1" applyAlignment="1">
      <alignment horizontal="left"/>
    </xf>
    <xf numFmtId="49" fontId="23" fillId="14" borderId="2" xfId="4" applyNumberFormat="1" applyBorder="1" applyAlignment="1">
      <alignment horizontal="left"/>
    </xf>
    <xf numFmtId="0" fontId="23" fillId="14" borderId="62" xfId="4" applyBorder="1" applyAlignment="1">
      <alignment horizontal="center" shrinkToFit="1"/>
    </xf>
    <xf numFmtId="170" fontId="23" fillId="14" borderId="26" xfId="4" applyNumberFormat="1" applyBorder="1" applyAlignment="1">
      <alignment horizontal="left"/>
    </xf>
    <xf numFmtId="169" fontId="23" fillId="14" borderId="4" xfId="4" applyNumberFormat="1" applyBorder="1" applyAlignment="1">
      <alignment horizontal="center" shrinkToFit="1"/>
    </xf>
    <xf numFmtId="169" fontId="23" fillId="14" borderId="6" xfId="4" applyNumberFormat="1" applyBorder="1" applyAlignment="1">
      <alignment horizontal="center" shrinkToFit="1"/>
    </xf>
    <xf numFmtId="0" fontId="23" fillId="14" borderId="1" xfId="4" applyBorder="1" applyAlignment="1">
      <alignment horizontal="left" shrinkToFit="1"/>
    </xf>
    <xf numFmtId="0" fontId="23" fillId="14" borderId="26" xfId="4" applyBorder="1" applyAlignment="1"/>
    <xf numFmtId="49" fontId="23" fillId="14" borderId="29" xfId="4" applyNumberFormat="1" applyBorder="1" applyAlignment="1"/>
    <xf numFmtId="0" fontId="23" fillId="14" borderId="26" xfId="4" applyBorder="1" applyAlignment="1">
      <alignment horizontal="left"/>
    </xf>
    <xf numFmtId="0" fontId="23" fillId="14" borderId="1" xfId="4" applyBorder="1" applyAlignment="1">
      <alignment horizontal="center" shrinkToFit="1"/>
    </xf>
    <xf numFmtId="169" fontId="23" fillId="14" borderId="1" xfId="4" applyNumberFormat="1" applyBorder="1" applyAlignment="1">
      <alignment horizontal="center" shrinkToFit="1"/>
    </xf>
    <xf numFmtId="169" fontId="15" fillId="2" borderId="4" xfId="0" applyNumberFormat="1" applyFont="1" applyFill="1" applyBorder="1" applyAlignment="1">
      <alignment horizontal="left" shrinkToFit="1"/>
    </xf>
    <xf numFmtId="0" fontId="23" fillId="14" borderId="26" xfId="4" applyBorder="1" applyAlignment="1">
      <alignment shrinkToFit="1"/>
    </xf>
    <xf numFmtId="49" fontId="23" fillId="14" borderId="29" xfId="4" applyNumberFormat="1" applyBorder="1" applyAlignment="1">
      <alignment shrinkToFit="1"/>
    </xf>
    <xf numFmtId="0" fontId="23" fillId="14" borderId="63" xfId="4" applyBorder="1" applyAlignment="1">
      <alignment horizontal="center" shrinkToFit="1"/>
    </xf>
    <xf numFmtId="0" fontId="23" fillId="14" borderId="26" xfId="4" applyBorder="1" applyAlignment="1">
      <alignment horizontal="left" shrinkToFit="1"/>
    </xf>
    <xf numFmtId="0" fontId="29" fillId="2" borderId="19" xfId="0" applyFont="1" applyFill="1" applyBorder="1" applyAlignment="1">
      <alignment shrinkToFit="1"/>
    </xf>
    <xf numFmtId="0" fontId="30" fillId="2" borderId="19" xfId="0" applyFont="1" applyFill="1" applyBorder="1" applyAlignment="1">
      <alignment shrinkToFit="1"/>
    </xf>
    <xf numFmtId="0" fontId="23" fillId="14" borderId="9" xfId="4" applyBorder="1" applyAlignment="1">
      <alignment horizontal="center" shrinkToFit="1"/>
    </xf>
    <xf numFmtId="0" fontId="23" fillId="14" borderId="1" xfId="4" applyBorder="1" applyAlignment="1">
      <alignment shrinkToFit="1"/>
    </xf>
    <xf numFmtId="49" fontId="23" fillId="14" borderId="2" xfId="4" applyNumberFormat="1" applyBorder="1" applyAlignment="1">
      <alignment shrinkToFit="1"/>
    </xf>
    <xf numFmtId="169" fontId="23" fillId="14" borderId="61" xfId="4" applyNumberFormat="1" applyBorder="1" applyAlignment="1">
      <alignment horizontal="center" shrinkToFit="1"/>
    </xf>
    <xf numFmtId="169" fontId="23" fillId="14" borderId="26" xfId="4" applyNumberFormat="1" applyBorder="1" applyAlignment="1">
      <alignment horizontal="center" shrinkToFit="1"/>
    </xf>
    <xf numFmtId="0" fontId="23" fillId="14" borderId="1" xfId="4" applyBorder="1" applyAlignment="1">
      <alignment horizontal="center"/>
    </xf>
    <xf numFmtId="49" fontId="23" fillId="14" borderId="2" xfId="4" applyNumberFormat="1" applyBorder="1" applyAlignment="1">
      <alignment horizontal="left" shrinkToFit="1"/>
    </xf>
    <xf numFmtId="20" fontId="6" fillId="0" borderId="39" xfId="0" applyNumberFormat="1" applyFont="1" applyBorder="1" applyAlignment="1">
      <alignment horizontal="left"/>
    </xf>
    <xf numFmtId="20" fontId="6" fillId="0" borderId="26" xfId="0" applyNumberFormat="1" applyFont="1" applyBorder="1" applyAlignment="1">
      <alignment horizontal="left"/>
    </xf>
    <xf numFmtId="0" fontId="23" fillId="14" borderId="39" xfId="4" applyBorder="1" applyAlignment="1">
      <alignment horizontal="left" shrinkToFit="1"/>
    </xf>
    <xf numFmtId="49" fontId="23" fillId="14" borderId="37" xfId="4" applyNumberFormat="1" applyBorder="1" applyAlignment="1">
      <alignment horizontal="left" shrinkToFit="1"/>
    </xf>
    <xf numFmtId="0" fontId="23" fillId="14" borderId="39" xfId="4" applyBorder="1" applyAlignment="1">
      <alignment horizontal="left"/>
    </xf>
    <xf numFmtId="0" fontId="4" fillId="6" borderId="26" xfId="0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0" fontId="0" fillId="2" borderId="19" xfId="0" applyFill="1" applyBorder="1" applyAlignment="1">
      <alignment horizontal="center" shrinkToFit="1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71" fontId="4" fillId="6" borderId="14" xfId="0" applyNumberFormat="1" applyFont="1" applyFill="1" applyBorder="1" applyAlignment="1">
      <alignment horizontal="center" vertical="center" shrinkToFit="1"/>
    </xf>
    <xf numFmtId="171" fontId="4" fillId="6" borderId="1" xfId="0" applyNumberFormat="1" applyFont="1" applyFill="1" applyBorder="1" applyAlignment="1">
      <alignment horizontal="center" vertical="center" shrinkToFit="1"/>
    </xf>
    <xf numFmtId="171" fontId="4" fillId="6" borderId="3" xfId="0" applyNumberFormat="1" applyFont="1" applyFill="1" applyBorder="1" applyAlignment="1">
      <alignment horizontal="center" vertical="center" shrinkToFit="1"/>
    </xf>
    <xf numFmtId="169" fontId="4" fillId="6" borderId="14" xfId="0" applyNumberFormat="1" applyFont="1" applyFill="1" applyBorder="1" applyAlignment="1">
      <alignment horizontal="center" vertical="center" shrinkToFit="1"/>
    </xf>
    <xf numFmtId="169" fontId="4" fillId="6" borderId="1" xfId="0" applyNumberFormat="1" applyFont="1" applyFill="1" applyBorder="1" applyAlignment="1">
      <alignment horizontal="center" vertical="center" shrinkToFit="1"/>
    </xf>
    <xf numFmtId="169" fontId="4" fillId="6" borderId="3" xfId="0" applyNumberFormat="1" applyFont="1" applyFill="1" applyBorder="1" applyAlignment="1">
      <alignment horizontal="center" vertical="center" shrinkToFit="1"/>
    </xf>
    <xf numFmtId="169" fontId="4" fillId="6" borderId="28" xfId="0" applyNumberFormat="1" applyFont="1" applyFill="1" applyBorder="1" applyAlignment="1">
      <alignment horizontal="center" vertical="center" shrinkToFit="1"/>
    </xf>
    <xf numFmtId="169" fontId="4" fillId="6" borderId="15" xfId="0" applyNumberFormat="1" applyFont="1" applyFill="1" applyBorder="1" applyAlignment="1">
      <alignment horizontal="center" vertical="center" shrinkToFit="1"/>
    </xf>
    <xf numFmtId="169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170" fontId="4" fillId="0" borderId="12" xfId="0" applyNumberFormat="1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69" fontId="16" fillId="6" borderId="25" xfId="0" applyNumberFormat="1" applyFont="1" applyFill="1" applyBorder="1" applyAlignment="1">
      <alignment horizontal="center" vertical="center" shrinkToFit="1"/>
    </xf>
    <xf numFmtId="169" fontId="16" fillId="6" borderId="24" xfId="0" applyNumberFormat="1" applyFont="1" applyFill="1" applyBorder="1" applyAlignment="1">
      <alignment horizontal="center" vertical="center" shrinkToFit="1"/>
    </xf>
    <xf numFmtId="169" fontId="16" fillId="6" borderId="22" xfId="0" applyNumberFormat="1" applyFont="1" applyFill="1" applyBorder="1" applyAlignment="1">
      <alignment horizontal="center" vertical="center" shrinkToFit="1"/>
    </xf>
    <xf numFmtId="169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0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167" fontId="13" fillId="0" borderId="0" xfId="0" applyNumberFormat="1" applyFont="1" applyAlignment="1">
      <alignment horizontal="center" shrinkToFit="1"/>
    </xf>
    <xf numFmtId="166" fontId="13" fillId="0" borderId="0" xfId="0" applyNumberFormat="1" applyFont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0" fontId="23" fillId="14" borderId="2" xfId="4" applyBorder="1" applyAlignment="1">
      <alignment horizontal="center" shrinkToFit="1"/>
    </xf>
    <xf numFmtId="0" fontId="23" fillId="14" borderId="29" xfId="4" applyBorder="1" applyAlignment="1">
      <alignment horizontal="center" shrinkToFit="1"/>
    </xf>
    <xf numFmtId="170" fontId="4" fillId="6" borderId="53" xfId="0" applyNumberFormat="1" applyFont="1" applyFill="1" applyBorder="1" applyAlignment="1">
      <alignment horizontal="center" vertical="center" shrinkToFit="1"/>
    </xf>
    <xf numFmtId="170" fontId="4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3" fillId="14" borderId="17" xfId="4" applyBorder="1" applyAlignment="1">
      <alignment horizontal="center" shrinkToFit="1"/>
    </xf>
    <xf numFmtId="0" fontId="23" fillId="14" borderId="5" xfId="4" applyBorder="1" applyAlignment="1">
      <alignment horizontal="center" shrinkToFit="1"/>
    </xf>
    <xf numFmtId="0" fontId="23" fillId="14" borderId="56" xfId="4" applyBorder="1" applyAlignment="1">
      <alignment horizontal="center" shrinkToFit="1"/>
    </xf>
    <xf numFmtId="0" fontId="23" fillId="14" borderId="49" xfId="4" applyBorder="1" applyAlignment="1">
      <alignment horizont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74" fontId="20" fillId="0" borderId="1" xfId="0" applyNumberFormat="1" applyFont="1" applyBorder="1" applyAlignment="1">
      <alignment horizontal="center" vertical="center" shrinkToFit="1"/>
    </xf>
    <xf numFmtId="174" fontId="20" fillId="12" borderId="1" xfId="0" applyNumberFormat="1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4" xfId="0" applyFont="1" applyFill="1" applyBorder="1" applyAlignment="1">
      <alignment horizontal="center" vertical="center" shrinkToFit="1"/>
    </xf>
    <xf numFmtId="174" fontId="20" fillId="12" borderId="5" xfId="0" applyNumberFormat="1" applyFont="1" applyFill="1" applyBorder="1" applyAlignment="1">
      <alignment horizontal="center" vertical="center" shrinkToFit="1"/>
    </xf>
    <xf numFmtId="174" fontId="20" fillId="12" borderId="56" xfId="0" applyNumberFormat="1" applyFont="1" applyFill="1" applyBorder="1" applyAlignment="1">
      <alignment horizontal="center" vertical="center" shrinkToFit="1"/>
    </xf>
    <xf numFmtId="174" fontId="20" fillId="12" borderId="64" xfId="0" applyNumberFormat="1" applyFont="1" applyFill="1" applyBorder="1" applyAlignment="1">
      <alignment horizontal="center" vertical="center" shrinkToFit="1"/>
    </xf>
    <xf numFmtId="166" fontId="20" fillId="12" borderId="5" xfId="0" applyNumberFormat="1" applyFont="1" applyFill="1" applyBorder="1" applyAlignment="1">
      <alignment horizontal="center" vertical="center" shrinkToFit="1"/>
    </xf>
    <xf numFmtId="166" fontId="20" fillId="12" borderId="56" xfId="0" applyNumberFormat="1" applyFont="1" applyFill="1" applyBorder="1" applyAlignment="1">
      <alignment horizontal="center" vertical="center" shrinkToFit="1"/>
    </xf>
    <xf numFmtId="166" fontId="20" fillId="12" borderId="64" xfId="0" applyNumberFormat="1" applyFont="1" applyFill="1" applyBorder="1" applyAlignment="1">
      <alignment horizontal="center" vertical="center" shrinkToFit="1"/>
    </xf>
    <xf numFmtId="167" fontId="20" fillId="0" borderId="1" xfId="0" applyNumberFormat="1" applyFont="1" applyBorder="1" applyAlignment="1">
      <alignment horizontal="center" vertical="center" shrinkToFit="1"/>
    </xf>
    <xf numFmtId="167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67" fontId="20" fillId="0" borderId="15" xfId="0" applyNumberFormat="1" applyFont="1" applyBorder="1" applyAlignment="1">
      <alignment horizontal="center" vertical="center" shrinkToFit="1"/>
    </xf>
    <xf numFmtId="167" fontId="20" fillId="0" borderId="16" xfId="0" applyNumberFormat="1" applyFont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16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4" xfId="0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4" xfId="0" applyFont="1" applyFill="1" applyBorder="1" applyAlignment="1">
      <alignment horizontal="center" vertical="center" shrinkToFit="1"/>
    </xf>
    <xf numFmtId="167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166" fontId="20" fillId="7" borderId="30" xfId="0" applyNumberFormat="1" applyFont="1" applyFill="1" applyBorder="1" applyAlignment="1">
      <alignment horizontal="center" vertical="center" shrinkToFit="1"/>
    </xf>
    <xf numFmtId="166" fontId="20" fillId="7" borderId="43" xfId="0" applyNumberFormat="1" applyFont="1" applyFill="1" applyBorder="1" applyAlignment="1">
      <alignment horizontal="center" vertical="center" shrinkToFit="1"/>
    </xf>
    <xf numFmtId="166" fontId="20" fillId="7" borderId="44" xfId="0" applyNumberFormat="1" applyFont="1" applyFill="1" applyBorder="1" applyAlignment="1">
      <alignment horizontal="center" vertical="center" shrinkToFit="1"/>
    </xf>
    <xf numFmtId="166" fontId="20" fillId="7" borderId="45" xfId="0" applyNumberFormat="1" applyFont="1" applyFill="1" applyBorder="1" applyAlignment="1">
      <alignment horizontal="center" vertical="center" shrinkToFit="1"/>
    </xf>
    <xf numFmtId="166" fontId="20" fillId="7" borderId="0" xfId="0" applyNumberFormat="1" applyFont="1" applyFill="1" applyAlignment="1">
      <alignment horizontal="center" vertical="center" shrinkToFit="1"/>
    </xf>
    <xf numFmtId="166" fontId="20" fillId="7" borderId="46" xfId="0" applyNumberFormat="1" applyFont="1" applyFill="1" applyBorder="1" applyAlignment="1">
      <alignment horizontal="center" vertical="center" shrinkToFit="1"/>
    </xf>
    <xf numFmtId="166" fontId="20" fillId="7" borderId="6" xfId="0" applyNumberFormat="1" applyFont="1" applyFill="1" applyBorder="1" applyAlignment="1">
      <alignment horizontal="center" vertical="center" shrinkToFit="1"/>
    </xf>
    <xf numFmtId="166" fontId="20" fillId="7" borderId="37" xfId="0" applyNumberFormat="1" applyFont="1" applyFill="1" applyBorder="1" applyAlignment="1">
      <alignment horizontal="center" vertical="center" shrinkToFit="1"/>
    </xf>
    <xf numFmtId="166" fontId="20" fillId="7" borderId="39" xfId="0" applyNumberFormat="1" applyFont="1" applyFill="1" applyBorder="1" applyAlignment="1">
      <alignment horizontal="center" vertical="center" shrinkToFit="1"/>
    </xf>
    <xf numFmtId="166" fontId="20" fillId="11" borderId="30" xfId="0" applyNumberFormat="1" applyFont="1" applyFill="1" applyBorder="1" applyAlignment="1">
      <alignment horizontal="center" vertical="center" shrinkToFit="1"/>
    </xf>
    <xf numFmtId="166" fontId="20" fillId="11" borderId="43" xfId="0" applyNumberFormat="1" applyFont="1" applyFill="1" applyBorder="1" applyAlignment="1">
      <alignment horizontal="center" vertical="center" shrinkToFit="1"/>
    </xf>
    <xf numFmtId="166" fontId="20" fillId="11" borderId="44" xfId="0" applyNumberFormat="1" applyFont="1" applyFill="1" applyBorder="1" applyAlignment="1">
      <alignment horizontal="center" vertical="center" shrinkToFit="1"/>
    </xf>
    <xf numFmtId="166" fontId="20" fillId="11" borderId="45" xfId="0" applyNumberFormat="1" applyFont="1" applyFill="1" applyBorder="1" applyAlignment="1">
      <alignment horizontal="center" vertical="center" shrinkToFit="1"/>
    </xf>
    <xf numFmtId="166" fontId="20" fillId="11" borderId="0" xfId="0" applyNumberFormat="1" applyFont="1" applyFill="1" applyAlignment="1">
      <alignment horizontal="center" vertical="center" shrinkToFit="1"/>
    </xf>
    <xf numFmtId="166" fontId="20" fillId="11" borderId="46" xfId="0" applyNumberFormat="1" applyFont="1" applyFill="1" applyBorder="1" applyAlignment="1">
      <alignment horizontal="center" vertical="center" shrinkToFit="1"/>
    </xf>
    <xf numFmtId="166" fontId="20" fillId="11" borderId="6" xfId="0" applyNumberFormat="1" applyFont="1" applyFill="1" applyBorder="1" applyAlignment="1">
      <alignment horizontal="center" vertical="center" shrinkToFit="1"/>
    </xf>
    <xf numFmtId="166" fontId="20" fillId="11" borderId="37" xfId="0" applyNumberFormat="1" applyFont="1" applyFill="1" applyBorder="1" applyAlignment="1">
      <alignment horizontal="center" vertical="center" shrinkToFit="1"/>
    </xf>
    <xf numFmtId="166" fontId="20" fillId="11" borderId="39" xfId="0" applyNumberFormat="1" applyFont="1" applyFill="1" applyBorder="1" applyAlignment="1">
      <alignment horizontal="center" vertical="center" shrinkToFit="1"/>
    </xf>
    <xf numFmtId="174" fontId="20" fillId="11" borderId="30" xfId="0" applyNumberFormat="1" applyFont="1" applyFill="1" applyBorder="1" applyAlignment="1">
      <alignment horizontal="center" vertical="center" shrinkToFit="1"/>
    </xf>
    <xf numFmtId="174" fontId="20" fillId="11" borderId="43" xfId="0" applyNumberFormat="1" applyFont="1" applyFill="1" applyBorder="1" applyAlignment="1">
      <alignment horizontal="center" vertical="center" shrinkToFit="1"/>
    </xf>
    <xf numFmtId="174" fontId="20" fillId="11" borderId="44" xfId="0" applyNumberFormat="1" applyFont="1" applyFill="1" applyBorder="1" applyAlignment="1">
      <alignment horizontal="center" vertical="center" shrinkToFit="1"/>
    </xf>
    <xf numFmtId="174" fontId="20" fillId="11" borderId="45" xfId="0" applyNumberFormat="1" applyFont="1" applyFill="1" applyBorder="1" applyAlignment="1">
      <alignment horizontal="center" vertical="center" shrinkToFit="1"/>
    </xf>
    <xf numFmtId="174" fontId="20" fillId="11" borderId="0" xfId="0" applyNumberFormat="1" applyFont="1" applyFill="1" applyAlignment="1">
      <alignment horizontal="center" vertical="center" shrinkToFit="1"/>
    </xf>
    <xf numFmtId="174" fontId="20" fillId="11" borderId="46" xfId="0" applyNumberFormat="1" applyFont="1" applyFill="1" applyBorder="1" applyAlignment="1">
      <alignment horizontal="center" vertical="center" shrinkToFit="1"/>
    </xf>
    <xf numFmtId="174" fontId="20" fillId="11" borderId="6" xfId="0" applyNumberFormat="1" applyFont="1" applyFill="1" applyBorder="1" applyAlignment="1">
      <alignment horizontal="center" vertical="center" shrinkToFit="1"/>
    </xf>
    <xf numFmtId="174" fontId="20" fillId="11" borderId="37" xfId="0" applyNumberFormat="1" applyFont="1" applyFill="1" applyBorder="1" applyAlignment="1">
      <alignment horizontal="center" vertical="center" shrinkToFit="1"/>
    </xf>
    <xf numFmtId="174" fontId="20" fillId="11" borderId="39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167" fontId="4" fillId="11" borderId="1" xfId="0" applyNumberFormat="1" applyFont="1" applyFill="1" applyBorder="1" applyAlignment="1">
      <alignment horizontal="center" vertical="center" shrinkToFit="1"/>
    </xf>
    <xf numFmtId="167" fontId="4" fillId="10" borderId="2" xfId="0" applyNumberFormat="1" applyFont="1" applyFill="1" applyBorder="1" applyAlignment="1">
      <alignment horizontal="center" vertical="center" shrinkToFit="1"/>
    </xf>
    <xf numFmtId="167" fontId="4" fillId="10" borderId="29" xfId="0" applyNumberFormat="1" applyFont="1" applyFill="1" applyBorder="1" applyAlignment="1">
      <alignment horizontal="center" vertical="center" shrinkToFit="1"/>
    </xf>
    <xf numFmtId="167" fontId="4" fillId="10" borderId="26" xfId="0" applyNumberFormat="1" applyFont="1" applyFill="1" applyBorder="1" applyAlignment="1">
      <alignment horizontal="center" vertical="center" shrinkToFit="1"/>
    </xf>
    <xf numFmtId="167" fontId="4" fillId="7" borderId="2" xfId="0" applyNumberFormat="1" applyFont="1" applyFill="1" applyBorder="1" applyAlignment="1">
      <alignment horizontal="center" vertical="center" shrinkToFit="1"/>
    </xf>
    <xf numFmtId="167" fontId="4" fillId="7" borderId="29" xfId="0" applyNumberFormat="1" applyFont="1" applyFill="1" applyBorder="1" applyAlignment="1">
      <alignment horizontal="center" vertical="center" shrinkToFit="1"/>
    </xf>
    <xf numFmtId="167" fontId="4" fillId="7" borderId="26" xfId="0" applyNumberFormat="1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174" fontId="20" fillId="7" borderId="30" xfId="0" applyNumberFormat="1" applyFont="1" applyFill="1" applyBorder="1" applyAlignment="1">
      <alignment horizontal="center" vertical="center" shrinkToFit="1"/>
    </xf>
    <xf numFmtId="174" fontId="20" fillId="7" borderId="43" xfId="0" applyNumberFormat="1" applyFont="1" applyFill="1" applyBorder="1" applyAlignment="1">
      <alignment horizontal="center" vertical="center" shrinkToFit="1"/>
    </xf>
    <xf numFmtId="174" fontId="20" fillId="7" borderId="44" xfId="0" applyNumberFormat="1" applyFont="1" applyFill="1" applyBorder="1" applyAlignment="1">
      <alignment horizontal="center" vertical="center" shrinkToFit="1"/>
    </xf>
    <xf numFmtId="174" fontId="20" fillId="7" borderId="45" xfId="0" applyNumberFormat="1" applyFont="1" applyFill="1" applyBorder="1" applyAlignment="1">
      <alignment horizontal="center" vertical="center" shrinkToFit="1"/>
    </xf>
    <xf numFmtId="174" fontId="20" fillId="7" borderId="0" xfId="0" applyNumberFormat="1" applyFont="1" applyFill="1" applyAlignment="1">
      <alignment horizontal="center" vertical="center" shrinkToFit="1"/>
    </xf>
    <xf numFmtId="174" fontId="20" fillId="7" borderId="46" xfId="0" applyNumberFormat="1" applyFont="1" applyFill="1" applyBorder="1" applyAlignment="1">
      <alignment horizontal="center" vertical="center" shrinkToFit="1"/>
    </xf>
    <xf numFmtId="174" fontId="20" fillId="7" borderId="6" xfId="0" applyNumberFormat="1" applyFont="1" applyFill="1" applyBorder="1" applyAlignment="1">
      <alignment horizontal="center" vertical="center" shrinkToFit="1"/>
    </xf>
    <xf numFmtId="174" fontId="20" fillId="7" borderId="37" xfId="0" applyNumberFormat="1" applyFont="1" applyFill="1" applyBorder="1" applyAlignment="1">
      <alignment horizontal="center" vertical="center" shrinkToFit="1"/>
    </xf>
    <xf numFmtId="174" fontId="20" fillId="7" borderId="39" xfId="0" applyNumberFormat="1" applyFont="1" applyFill="1" applyBorder="1" applyAlignment="1">
      <alignment horizontal="center" vertical="center" shrinkToFit="1"/>
    </xf>
    <xf numFmtId="167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67" fontId="4" fillId="5" borderId="1" xfId="0" applyNumberFormat="1" applyFont="1" applyFill="1" applyBorder="1" applyAlignment="1">
      <alignment horizontal="center" vertical="center" shrinkToFit="1"/>
    </xf>
    <xf numFmtId="167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167" fontId="4" fillId="6" borderId="2" xfId="0" applyNumberFormat="1" applyFont="1" applyFill="1" applyBorder="1" applyAlignment="1">
      <alignment horizontal="center" vertical="center" shrinkToFit="1"/>
    </xf>
    <xf numFmtId="167" fontId="4" fillId="6" borderId="29" xfId="0" applyNumberFormat="1" applyFont="1" applyFill="1" applyBorder="1" applyAlignment="1">
      <alignment horizontal="center" vertical="center" shrinkToFit="1"/>
    </xf>
    <xf numFmtId="167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167" fontId="4" fillId="10" borderId="1" xfId="0" applyNumberFormat="1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167" fontId="4" fillId="5" borderId="2" xfId="0" applyNumberFormat="1" applyFont="1" applyFill="1" applyBorder="1" applyAlignment="1">
      <alignment horizontal="center" vertical="center" shrinkToFit="1"/>
    </xf>
    <xf numFmtId="167" fontId="4" fillId="5" borderId="29" xfId="0" applyNumberFormat="1" applyFont="1" applyFill="1" applyBorder="1" applyAlignment="1">
      <alignment horizontal="center" vertical="center" shrinkToFit="1"/>
    </xf>
    <xf numFmtId="167" fontId="4" fillId="5" borderId="26" xfId="0" applyNumberFormat="1" applyFont="1" applyFill="1" applyBorder="1" applyAlignment="1">
      <alignment horizontal="center" vertical="center" shrinkToFit="1"/>
    </xf>
    <xf numFmtId="166" fontId="20" fillId="10" borderId="30" xfId="0" applyNumberFormat="1" applyFont="1" applyFill="1" applyBorder="1" applyAlignment="1">
      <alignment horizontal="center" vertical="center" shrinkToFit="1"/>
    </xf>
    <xf numFmtId="166" fontId="20" fillId="10" borderId="43" xfId="0" applyNumberFormat="1" applyFont="1" applyFill="1" applyBorder="1" applyAlignment="1">
      <alignment horizontal="center" vertical="center" shrinkToFit="1"/>
    </xf>
    <xf numFmtId="166" fontId="20" fillId="10" borderId="44" xfId="0" applyNumberFormat="1" applyFont="1" applyFill="1" applyBorder="1" applyAlignment="1">
      <alignment horizontal="center" vertical="center" shrinkToFit="1"/>
    </xf>
    <xf numFmtId="166" fontId="20" fillId="10" borderId="45" xfId="0" applyNumberFormat="1" applyFont="1" applyFill="1" applyBorder="1" applyAlignment="1">
      <alignment horizontal="center" vertical="center" shrinkToFit="1"/>
    </xf>
    <xf numFmtId="166" fontId="20" fillId="10" borderId="0" xfId="0" applyNumberFormat="1" applyFont="1" applyFill="1" applyAlignment="1">
      <alignment horizontal="center" vertical="center" shrinkToFit="1"/>
    </xf>
    <xf numFmtId="166" fontId="20" fillId="10" borderId="46" xfId="0" applyNumberFormat="1" applyFont="1" applyFill="1" applyBorder="1" applyAlignment="1">
      <alignment horizontal="center" vertical="center" shrinkToFit="1"/>
    </xf>
    <xf numFmtId="166" fontId="20" fillId="10" borderId="6" xfId="0" applyNumberFormat="1" applyFont="1" applyFill="1" applyBorder="1" applyAlignment="1">
      <alignment horizontal="center" vertical="center" shrinkToFit="1"/>
    </xf>
    <xf numFmtId="166" fontId="20" fillId="10" borderId="37" xfId="0" applyNumberFormat="1" applyFont="1" applyFill="1" applyBorder="1" applyAlignment="1">
      <alignment horizontal="center" vertical="center" shrinkToFit="1"/>
    </xf>
    <xf numFmtId="166" fontId="20" fillId="10" borderId="39" xfId="0" applyNumberFormat="1" applyFont="1" applyFill="1" applyBorder="1" applyAlignment="1">
      <alignment horizontal="center" vertical="center" shrinkToFit="1"/>
    </xf>
    <xf numFmtId="174" fontId="20" fillId="10" borderId="30" xfId="0" applyNumberFormat="1" applyFont="1" applyFill="1" applyBorder="1" applyAlignment="1">
      <alignment horizontal="center" vertical="center" shrinkToFit="1"/>
    </xf>
    <xf numFmtId="174" fontId="20" fillId="10" borderId="43" xfId="0" applyNumberFormat="1" applyFont="1" applyFill="1" applyBorder="1" applyAlignment="1">
      <alignment horizontal="center" vertical="center" shrinkToFit="1"/>
    </xf>
    <xf numFmtId="174" fontId="20" fillId="10" borderId="44" xfId="0" applyNumberFormat="1" applyFont="1" applyFill="1" applyBorder="1" applyAlignment="1">
      <alignment horizontal="center" vertical="center" shrinkToFit="1"/>
    </xf>
    <xf numFmtId="174" fontId="20" fillId="10" borderId="45" xfId="0" applyNumberFormat="1" applyFont="1" applyFill="1" applyBorder="1" applyAlignment="1">
      <alignment horizontal="center" vertical="center" shrinkToFit="1"/>
    </xf>
    <xf numFmtId="174" fontId="20" fillId="10" borderId="0" xfId="0" applyNumberFormat="1" applyFont="1" applyFill="1" applyAlignment="1">
      <alignment horizontal="center" vertical="center" shrinkToFit="1"/>
    </xf>
    <xf numFmtId="174" fontId="20" fillId="10" borderId="46" xfId="0" applyNumberFormat="1" applyFont="1" applyFill="1" applyBorder="1" applyAlignment="1">
      <alignment horizontal="center" vertical="center" shrinkToFit="1"/>
    </xf>
    <xf numFmtId="174" fontId="20" fillId="10" borderId="6" xfId="0" applyNumberFormat="1" applyFont="1" applyFill="1" applyBorder="1" applyAlignment="1">
      <alignment horizontal="center" vertical="center" shrinkToFit="1"/>
    </xf>
    <xf numFmtId="174" fontId="20" fillId="10" borderId="37" xfId="0" applyNumberFormat="1" applyFont="1" applyFill="1" applyBorder="1" applyAlignment="1">
      <alignment horizontal="center" vertical="center" shrinkToFit="1"/>
    </xf>
    <xf numFmtId="174" fontId="20" fillId="10" borderId="39" xfId="0" applyNumberFormat="1" applyFont="1" applyFill="1" applyBorder="1" applyAlignment="1">
      <alignment horizontal="center" vertical="center" shrinkToFit="1"/>
    </xf>
    <xf numFmtId="167" fontId="4" fillId="9" borderId="2" xfId="0" applyNumberFormat="1" applyFont="1" applyFill="1" applyBorder="1" applyAlignment="1">
      <alignment horizontal="center" vertical="center" shrinkToFit="1"/>
    </xf>
    <xf numFmtId="167" fontId="4" fillId="9" borderId="29" xfId="0" applyNumberFormat="1" applyFont="1" applyFill="1" applyBorder="1" applyAlignment="1">
      <alignment horizontal="center" vertical="center" shrinkToFit="1"/>
    </xf>
    <xf numFmtId="167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74" fontId="20" fillId="5" borderId="30" xfId="0" applyNumberFormat="1" applyFont="1" applyFill="1" applyBorder="1" applyAlignment="1">
      <alignment horizontal="center" vertical="center" shrinkToFit="1"/>
    </xf>
    <xf numFmtId="174" fontId="20" fillId="5" borderId="43" xfId="0" applyNumberFormat="1" applyFont="1" applyFill="1" applyBorder="1" applyAlignment="1">
      <alignment horizontal="center" vertical="center" shrinkToFit="1"/>
    </xf>
    <xf numFmtId="174" fontId="20" fillId="5" borderId="44" xfId="0" applyNumberFormat="1" applyFont="1" applyFill="1" applyBorder="1" applyAlignment="1">
      <alignment horizontal="center" vertical="center" shrinkToFit="1"/>
    </xf>
    <xf numFmtId="174" fontId="20" fillId="5" borderId="45" xfId="0" applyNumberFormat="1" applyFont="1" applyFill="1" applyBorder="1" applyAlignment="1">
      <alignment horizontal="center" vertical="center" shrinkToFit="1"/>
    </xf>
    <xf numFmtId="174" fontId="20" fillId="5" borderId="0" xfId="0" applyNumberFormat="1" applyFont="1" applyFill="1" applyAlignment="1">
      <alignment horizontal="center" vertical="center" shrinkToFit="1"/>
    </xf>
    <xf numFmtId="174" fontId="20" fillId="5" borderId="46" xfId="0" applyNumberFormat="1" applyFont="1" applyFill="1" applyBorder="1" applyAlignment="1">
      <alignment horizontal="center" vertical="center" shrinkToFit="1"/>
    </xf>
    <xf numFmtId="174" fontId="20" fillId="5" borderId="6" xfId="0" applyNumberFormat="1" applyFont="1" applyFill="1" applyBorder="1" applyAlignment="1">
      <alignment horizontal="center" vertical="center" shrinkToFit="1"/>
    </xf>
    <xf numFmtId="174" fontId="20" fillId="5" borderId="37" xfId="0" applyNumberFormat="1" applyFont="1" applyFill="1" applyBorder="1" applyAlignment="1">
      <alignment horizontal="center" vertical="center" shrinkToFit="1"/>
    </xf>
    <xf numFmtId="174" fontId="20" fillId="5" borderId="39" xfId="0" applyNumberFormat="1" applyFont="1" applyFill="1" applyBorder="1" applyAlignment="1">
      <alignment horizontal="center" vertical="center" shrinkToFit="1"/>
    </xf>
    <xf numFmtId="174" fontId="20" fillId="9" borderId="30" xfId="0" applyNumberFormat="1" applyFont="1" applyFill="1" applyBorder="1" applyAlignment="1">
      <alignment horizontal="center" vertical="center" shrinkToFit="1"/>
    </xf>
    <xf numFmtId="174" fontId="20" fillId="9" borderId="43" xfId="0" applyNumberFormat="1" applyFont="1" applyFill="1" applyBorder="1" applyAlignment="1">
      <alignment horizontal="center" vertical="center" shrinkToFit="1"/>
    </xf>
    <xf numFmtId="174" fontId="20" fillId="9" borderId="44" xfId="0" applyNumberFormat="1" applyFont="1" applyFill="1" applyBorder="1" applyAlignment="1">
      <alignment horizontal="center" vertical="center" shrinkToFit="1"/>
    </xf>
    <xf numFmtId="174" fontId="20" fillId="9" borderId="45" xfId="0" applyNumberFormat="1" applyFont="1" applyFill="1" applyBorder="1" applyAlignment="1">
      <alignment horizontal="center" vertical="center" shrinkToFit="1"/>
    </xf>
    <xf numFmtId="174" fontId="20" fillId="9" borderId="0" xfId="0" applyNumberFormat="1" applyFont="1" applyFill="1" applyAlignment="1">
      <alignment horizontal="center" vertical="center" shrinkToFit="1"/>
    </xf>
    <xf numFmtId="174" fontId="20" fillId="9" borderId="46" xfId="0" applyNumberFormat="1" applyFont="1" applyFill="1" applyBorder="1" applyAlignment="1">
      <alignment horizontal="center" vertical="center" shrinkToFit="1"/>
    </xf>
    <xf numFmtId="174" fontId="20" fillId="9" borderId="6" xfId="0" applyNumberFormat="1" applyFont="1" applyFill="1" applyBorder="1" applyAlignment="1">
      <alignment horizontal="center" vertical="center" shrinkToFit="1"/>
    </xf>
    <xf numFmtId="174" fontId="20" fillId="9" borderId="37" xfId="0" applyNumberFormat="1" applyFont="1" applyFill="1" applyBorder="1" applyAlignment="1">
      <alignment horizontal="center" vertical="center" shrinkToFit="1"/>
    </xf>
    <xf numFmtId="174" fontId="20" fillId="9" borderId="39" xfId="0" applyNumberFormat="1" applyFont="1" applyFill="1" applyBorder="1" applyAlignment="1">
      <alignment horizontal="center" vertical="center" shrinkToFit="1"/>
    </xf>
    <xf numFmtId="166" fontId="20" fillId="9" borderId="30" xfId="0" applyNumberFormat="1" applyFont="1" applyFill="1" applyBorder="1" applyAlignment="1">
      <alignment horizontal="center" vertical="center" shrinkToFit="1"/>
    </xf>
    <xf numFmtId="166" fontId="20" fillId="9" borderId="43" xfId="0" applyNumberFormat="1" applyFont="1" applyFill="1" applyBorder="1" applyAlignment="1">
      <alignment horizontal="center" vertical="center" shrinkToFit="1"/>
    </xf>
    <xf numFmtId="166" fontId="20" fillId="9" borderId="44" xfId="0" applyNumberFormat="1" applyFont="1" applyFill="1" applyBorder="1" applyAlignment="1">
      <alignment horizontal="center" vertical="center" shrinkToFit="1"/>
    </xf>
    <xf numFmtId="166" fontId="20" fillId="9" borderId="45" xfId="0" applyNumberFormat="1" applyFont="1" applyFill="1" applyBorder="1" applyAlignment="1">
      <alignment horizontal="center" vertical="center" shrinkToFit="1"/>
    </xf>
    <xf numFmtId="166" fontId="20" fillId="9" borderId="0" xfId="0" applyNumberFormat="1" applyFont="1" applyFill="1" applyAlignment="1">
      <alignment horizontal="center" vertical="center" shrinkToFit="1"/>
    </xf>
    <xf numFmtId="166" fontId="20" fillId="9" borderId="46" xfId="0" applyNumberFormat="1" applyFont="1" applyFill="1" applyBorder="1" applyAlignment="1">
      <alignment horizontal="center" vertical="center" shrinkToFit="1"/>
    </xf>
    <xf numFmtId="166" fontId="20" fillId="9" borderId="6" xfId="0" applyNumberFormat="1" applyFont="1" applyFill="1" applyBorder="1" applyAlignment="1">
      <alignment horizontal="center" vertical="center" shrinkToFit="1"/>
    </xf>
    <xf numFmtId="166" fontId="20" fillId="9" borderId="37" xfId="0" applyNumberFormat="1" applyFont="1" applyFill="1" applyBorder="1" applyAlignment="1">
      <alignment horizontal="center" vertical="center" shrinkToFit="1"/>
    </xf>
    <xf numFmtId="166" fontId="20" fillId="9" borderId="39" xfId="0" applyNumberFormat="1" applyFont="1" applyFill="1" applyBorder="1" applyAlignment="1">
      <alignment horizontal="center" vertical="center" shrinkToFit="1"/>
    </xf>
    <xf numFmtId="166" fontId="20" fillId="5" borderId="30" xfId="0" applyNumberFormat="1" applyFont="1" applyFill="1" applyBorder="1" applyAlignment="1">
      <alignment horizontal="center" vertical="center" shrinkToFit="1"/>
    </xf>
    <xf numFmtId="166" fontId="20" fillId="5" borderId="43" xfId="0" applyNumberFormat="1" applyFont="1" applyFill="1" applyBorder="1" applyAlignment="1">
      <alignment horizontal="center" vertical="center" shrinkToFit="1"/>
    </xf>
    <xf numFmtId="166" fontId="20" fillId="5" borderId="44" xfId="0" applyNumberFormat="1" applyFont="1" applyFill="1" applyBorder="1" applyAlignment="1">
      <alignment horizontal="center" vertical="center" shrinkToFit="1"/>
    </xf>
    <xf numFmtId="166" fontId="20" fillId="5" borderId="45" xfId="0" applyNumberFormat="1" applyFont="1" applyFill="1" applyBorder="1" applyAlignment="1">
      <alignment horizontal="center" vertical="center" shrinkToFit="1"/>
    </xf>
    <xf numFmtId="166" fontId="20" fillId="5" borderId="0" xfId="0" applyNumberFormat="1" applyFont="1" applyFill="1" applyAlignment="1">
      <alignment horizontal="center" vertical="center" shrinkToFit="1"/>
    </xf>
    <xf numFmtId="166" fontId="20" fillId="5" borderId="46" xfId="0" applyNumberFormat="1" applyFont="1" applyFill="1" applyBorder="1" applyAlignment="1">
      <alignment horizontal="center" vertical="center" shrinkToFit="1"/>
    </xf>
    <xf numFmtId="166" fontId="20" fillId="5" borderId="6" xfId="0" applyNumberFormat="1" applyFont="1" applyFill="1" applyBorder="1" applyAlignment="1">
      <alignment horizontal="center" vertical="center" shrinkToFit="1"/>
    </xf>
    <xf numFmtId="166" fontId="20" fillId="5" borderId="37" xfId="0" applyNumberFormat="1" applyFont="1" applyFill="1" applyBorder="1" applyAlignment="1">
      <alignment horizontal="center" vertical="center" shrinkToFit="1"/>
    </xf>
    <xf numFmtId="166" fontId="20" fillId="5" borderId="39" xfId="0" applyNumberFormat="1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71" fontId="20" fillId="0" borderId="58" xfId="0" applyNumberFormat="1" applyFont="1" applyBorder="1" applyAlignment="1">
      <alignment horizontal="center" vertical="center" shrinkToFit="1"/>
    </xf>
    <xf numFmtId="171" fontId="20" fillId="0" borderId="43" xfId="0" applyNumberFormat="1" applyFont="1" applyBorder="1" applyAlignment="1">
      <alignment horizontal="center" vertical="center" shrinkToFit="1"/>
    </xf>
    <xf numFmtId="171" fontId="20" fillId="0" borderId="59" xfId="0" applyNumberFormat="1" applyFont="1" applyBorder="1" applyAlignment="1">
      <alignment horizontal="center" vertical="center" shrinkToFit="1"/>
    </xf>
    <xf numFmtId="171" fontId="20" fillId="0" borderId="31" xfId="0" applyNumberFormat="1" applyFont="1" applyBorder="1" applyAlignment="1">
      <alignment horizontal="center" vertical="center" shrinkToFit="1"/>
    </xf>
    <xf numFmtId="171" fontId="20" fillId="0" borderId="0" xfId="0" applyNumberFormat="1" applyFont="1" applyAlignment="1">
      <alignment horizontal="center" vertical="center" shrinkToFit="1"/>
    </xf>
    <xf numFmtId="171" fontId="20" fillId="0" borderId="32" xfId="0" applyNumberFormat="1" applyFont="1" applyBorder="1" applyAlignment="1">
      <alignment horizontal="center" vertical="center" shrinkToFit="1"/>
    </xf>
    <xf numFmtId="171" fontId="20" fillId="0" borderId="21" xfId="0" applyNumberFormat="1" applyFont="1" applyBorder="1" applyAlignment="1">
      <alignment horizontal="center" vertical="center" shrinkToFit="1"/>
    </xf>
    <xf numFmtId="171" fontId="20" fillId="0" borderId="22" xfId="0" applyNumberFormat="1" applyFont="1" applyBorder="1" applyAlignment="1">
      <alignment horizontal="center" vertical="center" shrinkToFit="1"/>
    </xf>
    <xf numFmtId="171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67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174" fontId="20" fillId="9" borderId="2" xfId="0" applyNumberFormat="1" applyFont="1" applyFill="1" applyBorder="1" applyAlignment="1">
      <alignment horizontal="center" vertical="center" shrinkToFit="1"/>
    </xf>
    <xf numFmtId="174" fontId="20" fillId="9" borderId="29" xfId="0" applyNumberFormat="1" applyFont="1" applyFill="1" applyBorder="1" applyAlignment="1">
      <alignment horizontal="center" vertical="center" shrinkToFit="1"/>
    </xf>
    <xf numFmtId="174" fontId="20" fillId="9" borderId="26" xfId="0" applyNumberFormat="1" applyFont="1" applyFill="1" applyBorder="1" applyAlignment="1">
      <alignment horizontal="center" vertical="center" shrinkToFit="1"/>
    </xf>
    <xf numFmtId="166" fontId="20" fillId="9" borderId="2" xfId="0" applyNumberFormat="1" applyFont="1" applyFill="1" applyBorder="1" applyAlignment="1">
      <alignment horizontal="center" vertical="center" shrinkToFit="1"/>
    </xf>
    <xf numFmtId="166" fontId="20" fillId="9" borderId="29" xfId="0" applyNumberFormat="1" applyFont="1" applyFill="1" applyBorder="1" applyAlignment="1">
      <alignment horizontal="center" vertical="center" shrinkToFit="1"/>
    </xf>
    <xf numFmtId="166" fontId="20" fillId="9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74" fontId="20" fillId="5" borderId="2" xfId="0" applyNumberFormat="1" applyFont="1" applyFill="1" applyBorder="1" applyAlignment="1">
      <alignment horizontal="center" vertical="center" shrinkToFit="1"/>
    </xf>
    <xf numFmtId="174" fontId="20" fillId="5" borderId="29" xfId="0" applyNumberFormat="1" applyFont="1" applyFill="1" applyBorder="1" applyAlignment="1">
      <alignment horizontal="center" vertical="center" shrinkToFit="1"/>
    </xf>
    <xf numFmtId="174" fontId="20" fillId="5" borderId="26" xfId="0" applyNumberFormat="1" applyFont="1" applyFill="1" applyBorder="1" applyAlignment="1">
      <alignment horizontal="center" vertical="center" shrinkToFit="1"/>
    </xf>
    <xf numFmtId="166" fontId="20" fillId="5" borderId="2" xfId="0" applyNumberFormat="1" applyFont="1" applyFill="1" applyBorder="1" applyAlignment="1">
      <alignment horizontal="center" vertical="center" shrinkToFit="1"/>
    </xf>
    <xf numFmtId="166" fontId="20" fillId="5" borderId="29" xfId="0" applyNumberFormat="1" applyFont="1" applyFill="1" applyBorder="1" applyAlignment="1">
      <alignment horizontal="center" vertical="center" shrinkToFit="1"/>
    </xf>
    <xf numFmtId="166" fontId="20" fillId="5" borderId="26" xfId="0" applyNumberFormat="1" applyFont="1" applyFill="1" applyBorder="1" applyAlignment="1">
      <alignment horizontal="center" vertical="center" shrinkToFit="1"/>
    </xf>
    <xf numFmtId="166" fontId="20" fillId="6" borderId="30" xfId="0" applyNumberFormat="1" applyFont="1" applyFill="1" applyBorder="1" applyAlignment="1">
      <alignment horizontal="center" vertical="center" shrinkToFit="1"/>
    </xf>
    <xf numFmtId="166" fontId="20" fillId="6" borderId="43" xfId="0" applyNumberFormat="1" applyFont="1" applyFill="1" applyBorder="1" applyAlignment="1">
      <alignment horizontal="center" vertical="center" shrinkToFit="1"/>
    </xf>
    <xf numFmtId="166" fontId="20" fillId="6" borderId="44" xfId="0" applyNumberFormat="1" applyFont="1" applyFill="1" applyBorder="1" applyAlignment="1">
      <alignment horizontal="center" vertical="center" shrinkToFit="1"/>
    </xf>
    <xf numFmtId="166" fontId="20" fillId="6" borderId="45" xfId="0" applyNumberFormat="1" applyFont="1" applyFill="1" applyBorder="1" applyAlignment="1">
      <alignment horizontal="center" vertical="center" shrinkToFit="1"/>
    </xf>
    <xf numFmtId="166" fontId="20" fillId="6" borderId="0" xfId="0" applyNumberFormat="1" applyFont="1" applyFill="1" applyAlignment="1">
      <alignment horizontal="center" vertical="center" shrinkToFit="1"/>
    </xf>
    <xf numFmtId="166" fontId="20" fillId="6" borderId="46" xfId="0" applyNumberFormat="1" applyFont="1" applyFill="1" applyBorder="1" applyAlignment="1">
      <alignment horizontal="center" vertical="center" shrinkToFit="1"/>
    </xf>
    <xf numFmtId="166" fontId="20" fillId="6" borderId="6" xfId="0" applyNumberFormat="1" applyFont="1" applyFill="1" applyBorder="1" applyAlignment="1">
      <alignment horizontal="center" vertical="center" shrinkToFit="1"/>
    </xf>
    <xf numFmtId="166" fontId="20" fillId="6" borderId="37" xfId="0" applyNumberFormat="1" applyFont="1" applyFill="1" applyBorder="1" applyAlignment="1">
      <alignment horizontal="center" vertical="center" shrinkToFit="1"/>
    </xf>
    <xf numFmtId="166" fontId="20" fillId="6" borderId="39" xfId="0" applyNumberFormat="1" applyFont="1" applyFill="1" applyBorder="1" applyAlignment="1">
      <alignment horizontal="center" vertical="center" shrinkToFit="1"/>
    </xf>
    <xf numFmtId="174" fontId="20" fillId="6" borderId="30" xfId="0" applyNumberFormat="1" applyFont="1" applyFill="1" applyBorder="1" applyAlignment="1">
      <alignment horizontal="center" vertical="center" shrinkToFit="1"/>
    </xf>
    <xf numFmtId="174" fontId="20" fillId="6" borderId="43" xfId="0" applyNumberFormat="1" applyFont="1" applyFill="1" applyBorder="1" applyAlignment="1">
      <alignment horizontal="center" vertical="center" shrinkToFit="1"/>
    </xf>
    <xf numFmtId="174" fontId="20" fillId="6" borderId="44" xfId="0" applyNumberFormat="1" applyFont="1" applyFill="1" applyBorder="1" applyAlignment="1">
      <alignment horizontal="center" vertical="center" shrinkToFit="1"/>
    </xf>
    <xf numFmtId="174" fontId="20" fillId="6" borderId="45" xfId="0" applyNumberFormat="1" applyFont="1" applyFill="1" applyBorder="1" applyAlignment="1">
      <alignment horizontal="center" vertical="center" shrinkToFit="1"/>
    </xf>
    <xf numFmtId="174" fontId="20" fillId="6" borderId="0" xfId="0" applyNumberFormat="1" applyFont="1" applyFill="1" applyAlignment="1">
      <alignment horizontal="center" vertical="center" shrinkToFit="1"/>
    </xf>
    <xf numFmtId="174" fontId="20" fillId="6" borderId="46" xfId="0" applyNumberFormat="1" applyFont="1" applyFill="1" applyBorder="1" applyAlignment="1">
      <alignment horizontal="center" vertical="center" shrinkToFit="1"/>
    </xf>
    <xf numFmtId="174" fontId="20" fillId="6" borderId="6" xfId="0" applyNumberFormat="1" applyFont="1" applyFill="1" applyBorder="1" applyAlignment="1">
      <alignment horizontal="center" vertical="center" shrinkToFit="1"/>
    </xf>
    <xf numFmtId="174" fontId="20" fillId="6" borderId="37" xfId="0" applyNumberFormat="1" applyFont="1" applyFill="1" applyBorder="1" applyAlignment="1">
      <alignment horizontal="center" vertical="center" shrinkToFit="1"/>
    </xf>
    <xf numFmtId="174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67" fontId="4" fillId="11" borderId="2" xfId="0" applyNumberFormat="1" applyFont="1" applyFill="1" applyBorder="1" applyAlignment="1">
      <alignment horizontal="center" vertical="center" shrinkToFit="1"/>
    </xf>
    <xf numFmtId="167" fontId="4" fillId="11" borderId="29" xfId="0" applyNumberFormat="1" applyFont="1" applyFill="1" applyBorder="1" applyAlignment="1">
      <alignment horizontal="center" vertical="center" shrinkToFit="1"/>
    </xf>
    <xf numFmtId="167" fontId="4" fillId="11" borderId="26" xfId="0" applyNumberFormat="1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R9" sqref="R9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7.25" thickBot="1">
      <c r="A2" s="334" t="s">
        <v>1</v>
      </c>
      <c r="B2" s="335"/>
      <c r="C2" s="335"/>
      <c r="D2" s="335"/>
      <c r="E2" s="335"/>
      <c r="F2" s="335"/>
      <c r="G2" s="336"/>
      <c r="H2" s="337" t="s">
        <v>2</v>
      </c>
      <c r="I2" s="338"/>
      <c r="J2" s="334" t="s">
        <v>3</v>
      </c>
      <c r="K2" s="336"/>
      <c r="L2" s="338" t="s">
        <v>4</v>
      </c>
      <c r="M2" s="339"/>
      <c r="N2" s="337"/>
      <c r="O2" s="335" t="s">
        <v>5</v>
      </c>
      <c r="P2" s="335"/>
      <c r="Q2" s="336"/>
      <c r="R2" s="338" t="s">
        <v>6</v>
      </c>
      <c r="S2" s="337"/>
      <c r="T2" s="326">
        <v>6</v>
      </c>
      <c r="U2" s="326"/>
      <c r="X2" s="34" t="s">
        <v>7</v>
      </c>
      <c r="Y2" s="34"/>
      <c r="Z2" s="34"/>
      <c r="AA2" s="34" t="s">
        <v>8</v>
      </c>
      <c r="AB2" s="34"/>
      <c r="AI2" s="147" t="s">
        <v>9</v>
      </c>
      <c r="AJ2" s="147"/>
      <c r="AK2" s="147"/>
      <c r="AL2" s="147" t="s">
        <v>8</v>
      </c>
      <c r="AM2" s="147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44" t="s">
        <v>11</v>
      </c>
      <c r="B4" s="205" t="s">
        <v>12</v>
      </c>
      <c r="C4" s="157" t="s">
        <v>13</v>
      </c>
      <c r="D4" s="184" t="s">
        <v>14</v>
      </c>
      <c r="E4" s="157" t="s">
        <v>15</v>
      </c>
      <c r="F4" s="205" t="s">
        <v>16</v>
      </c>
      <c r="G4" s="205" t="s">
        <v>17</v>
      </c>
      <c r="H4" s="205" t="s">
        <v>18</v>
      </c>
      <c r="I4" s="205" t="s">
        <v>19</v>
      </c>
      <c r="J4" s="205" t="s">
        <v>20</v>
      </c>
      <c r="K4" s="205" t="s">
        <v>21</v>
      </c>
      <c r="L4" s="205" t="s">
        <v>22</v>
      </c>
      <c r="M4" s="205" t="s">
        <v>23</v>
      </c>
      <c r="N4" s="205" t="s">
        <v>24</v>
      </c>
      <c r="O4" s="327" t="s">
        <v>25</v>
      </c>
      <c r="P4" s="327"/>
      <c r="Q4" s="327"/>
      <c r="R4" s="205" t="s">
        <v>26</v>
      </c>
      <c r="S4" s="145" t="s">
        <v>27</v>
      </c>
      <c r="T4" s="145" t="s">
        <v>28</v>
      </c>
      <c r="U4" s="146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8">
        <v>1</v>
      </c>
      <c r="B5" s="119">
        <v>12511</v>
      </c>
      <c r="C5" s="59" t="s">
        <v>34</v>
      </c>
      <c r="D5" s="190" t="s">
        <v>35</v>
      </c>
      <c r="E5" s="171" t="s">
        <v>36</v>
      </c>
      <c r="F5" s="160">
        <v>830</v>
      </c>
      <c r="G5" s="109" t="s">
        <v>37</v>
      </c>
      <c r="H5" s="82">
        <v>75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5</v>
      </c>
      <c r="O5" s="375"/>
      <c r="P5" s="376"/>
      <c r="Q5" s="377"/>
      <c r="R5" s="32" t="s">
        <v>5</v>
      </c>
      <c r="S5" s="30">
        <v>0.33333333333333331</v>
      </c>
      <c r="T5" s="31">
        <v>0.69791666666666663</v>
      </c>
      <c r="U5" s="83">
        <f t="shared" ref="U5:U15" si="0">(T5-S5)*24</f>
        <v>8.75</v>
      </c>
      <c r="X5" s="156" t="s">
        <v>38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38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>
        <v>12512</v>
      </c>
      <c r="C6" s="58" t="s">
        <v>39</v>
      </c>
      <c r="D6" s="190" t="s">
        <v>40</v>
      </c>
      <c r="E6" s="171" t="s">
        <v>36</v>
      </c>
      <c r="F6" s="161">
        <v>915</v>
      </c>
      <c r="G6" s="109" t="s">
        <v>41</v>
      </c>
      <c r="H6" s="82"/>
      <c r="I6" s="115">
        <v>180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5</v>
      </c>
      <c r="O6" s="328"/>
      <c r="P6" s="329"/>
      <c r="Q6" s="330"/>
      <c r="R6" s="122" t="s">
        <v>42</v>
      </c>
      <c r="S6" s="30">
        <v>0.35416666666666669</v>
      </c>
      <c r="T6" s="31">
        <v>0.69791666666666663</v>
      </c>
      <c r="U6" s="83">
        <f t="shared" si="0"/>
        <v>8.2499999999999982</v>
      </c>
      <c r="W6" s="14" t="s">
        <v>43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249">
        <v>12513</v>
      </c>
      <c r="C7" s="250" t="s">
        <v>44</v>
      </c>
      <c r="D7" s="251" t="s">
        <v>45</v>
      </c>
      <c r="E7" s="252" t="s">
        <v>43</v>
      </c>
      <c r="F7" s="253">
        <v>930</v>
      </c>
      <c r="G7" s="249" t="s">
        <v>46</v>
      </c>
      <c r="H7" s="254"/>
      <c r="I7" s="254"/>
      <c r="J7" s="254" t="str">
        <f t="shared" si="1"/>
        <v>0</v>
      </c>
      <c r="K7" s="254">
        <v>125</v>
      </c>
      <c r="L7" s="255"/>
      <c r="M7" s="255">
        <v>750</v>
      </c>
      <c r="N7" s="256" t="s">
        <v>5</v>
      </c>
      <c r="O7" s="371" t="s">
        <v>47</v>
      </c>
      <c r="P7" s="372"/>
      <c r="Q7" s="378"/>
      <c r="R7" s="124" t="s">
        <v>48</v>
      </c>
      <c r="S7" s="30">
        <v>0.35416666666666669</v>
      </c>
      <c r="T7" s="31">
        <v>0.58333333333333337</v>
      </c>
      <c r="U7" s="83">
        <f t="shared" si="0"/>
        <v>5.5</v>
      </c>
      <c r="W7" s="14" t="s">
        <v>36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>
        <v>12514</v>
      </c>
      <c r="C8" s="26" t="s">
        <v>49</v>
      </c>
      <c r="D8" s="190" t="s">
        <v>50</v>
      </c>
      <c r="E8" s="171" t="s">
        <v>36</v>
      </c>
      <c r="F8" s="161">
        <v>940</v>
      </c>
      <c r="G8" s="109" t="s">
        <v>37</v>
      </c>
      <c r="H8" s="82"/>
      <c r="I8" s="115">
        <v>75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5</v>
      </c>
      <c r="O8" s="331"/>
      <c r="P8" s="332"/>
      <c r="Q8" s="333"/>
      <c r="R8" s="25" t="s">
        <v>51</v>
      </c>
      <c r="S8" s="30">
        <v>0.46875</v>
      </c>
      <c r="T8" s="31">
        <v>0.69791666666666663</v>
      </c>
      <c r="U8" s="83">
        <f t="shared" si="0"/>
        <v>5.4999999999999991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>
        <v>12515</v>
      </c>
      <c r="C9" s="54" t="s">
        <v>52</v>
      </c>
      <c r="D9" s="191" t="s">
        <v>53</v>
      </c>
      <c r="E9" s="171" t="s">
        <v>36</v>
      </c>
      <c r="F9" s="162">
        <v>1045</v>
      </c>
      <c r="G9" s="110" t="s">
        <v>54</v>
      </c>
      <c r="H9" s="82"/>
      <c r="I9" s="82">
        <v>75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5</v>
      </c>
      <c r="O9" s="331"/>
      <c r="P9" s="332"/>
      <c r="Q9" s="333"/>
      <c r="R9" s="25" t="s">
        <v>55</v>
      </c>
      <c r="S9" s="30">
        <v>0.375</v>
      </c>
      <c r="T9" s="31">
        <v>0.5</v>
      </c>
      <c r="U9" s="83">
        <f t="shared" si="0"/>
        <v>3</v>
      </c>
      <c r="X9" s="14" t="s">
        <v>56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>
        <v>12516</v>
      </c>
      <c r="C10" s="27" t="s">
        <v>57</v>
      </c>
      <c r="D10" s="192" t="s">
        <v>58</v>
      </c>
      <c r="E10" s="171" t="s">
        <v>36</v>
      </c>
      <c r="F10" s="163">
        <v>1050</v>
      </c>
      <c r="G10" s="111" t="s">
        <v>37</v>
      </c>
      <c r="H10" s="114"/>
      <c r="I10" s="116">
        <v>75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5</v>
      </c>
      <c r="O10" s="323"/>
      <c r="P10" s="324"/>
      <c r="Q10" s="325"/>
      <c r="R10" s="25" t="s">
        <v>59</v>
      </c>
      <c r="S10" s="30">
        <v>0.375</v>
      </c>
      <c r="T10" s="31">
        <v>0.69791666666666663</v>
      </c>
      <c r="U10" s="83">
        <f t="shared" si="0"/>
        <v>7.7499999999999991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>
        <v>12517</v>
      </c>
      <c r="C11" s="17" t="s">
        <v>60</v>
      </c>
      <c r="D11" s="193" t="s">
        <v>61</v>
      </c>
      <c r="E11" s="171" t="s">
        <v>36</v>
      </c>
      <c r="F11" s="57">
        <v>1130</v>
      </c>
      <c r="G11" s="112" t="s">
        <v>37</v>
      </c>
      <c r="H11" s="114"/>
      <c r="I11" s="115">
        <v>90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5</v>
      </c>
      <c r="O11" s="301"/>
      <c r="P11" s="300"/>
      <c r="Q11" s="30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>
        <v>12518</v>
      </c>
      <c r="C12" s="55" t="s">
        <v>62</v>
      </c>
      <c r="D12" s="194" t="s">
        <v>63</v>
      </c>
      <c r="E12" s="171" t="s">
        <v>43</v>
      </c>
      <c r="F12" s="163">
        <v>1145</v>
      </c>
      <c r="G12" s="110" t="s">
        <v>37</v>
      </c>
      <c r="H12" s="114"/>
      <c r="I12" s="116">
        <v>75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5</v>
      </c>
      <c r="O12" s="301"/>
      <c r="P12" s="300"/>
      <c r="Q12" s="30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19">
        <v>12519</v>
      </c>
      <c r="C13" s="55" t="s">
        <v>64</v>
      </c>
      <c r="D13" s="194" t="s">
        <v>65</v>
      </c>
      <c r="E13" s="171" t="s">
        <v>36</v>
      </c>
      <c r="F13" s="163">
        <v>1145</v>
      </c>
      <c r="G13" s="110" t="s">
        <v>20</v>
      </c>
      <c r="H13" s="159"/>
      <c r="I13" s="158"/>
      <c r="J13" s="120" t="str">
        <f t="shared" si="1"/>
        <v>55</v>
      </c>
      <c r="K13" s="120" t="str">
        <f t="shared" si="2"/>
        <v>0</v>
      </c>
      <c r="L13" s="121"/>
      <c r="M13" s="121"/>
      <c r="N13" s="124" t="s">
        <v>5</v>
      </c>
      <c r="O13" s="301" t="s">
        <v>66</v>
      </c>
      <c r="P13" s="300"/>
      <c r="Q13" s="30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>
        <v>12520</v>
      </c>
      <c r="C14" s="56" t="s">
        <v>67</v>
      </c>
      <c r="D14" s="195" t="s">
        <v>68</v>
      </c>
      <c r="E14" s="171" t="s">
        <v>43</v>
      </c>
      <c r="F14" s="164">
        <v>1205</v>
      </c>
      <c r="G14" s="113" t="s">
        <v>37</v>
      </c>
      <c r="H14" s="114"/>
      <c r="I14" s="116">
        <v>95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5</v>
      </c>
      <c r="O14" s="301"/>
      <c r="P14" s="300"/>
      <c r="Q14" s="30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>
        <v>12521</v>
      </c>
      <c r="C15" s="56" t="s">
        <v>69</v>
      </c>
      <c r="D15" s="195" t="s">
        <v>70</v>
      </c>
      <c r="E15" s="171" t="s">
        <v>43</v>
      </c>
      <c r="F15" s="164">
        <v>1240</v>
      </c>
      <c r="G15" s="113" t="s">
        <v>37</v>
      </c>
      <c r="H15" s="114"/>
      <c r="I15" s="115">
        <v>95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5</v>
      </c>
      <c r="O15" s="301"/>
      <c r="P15" s="300"/>
      <c r="Q15" s="30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>
        <v>12522</v>
      </c>
      <c r="C16" s="56" t="s">
        <v>71</v>
      </c>
      <c r="D16" s="195" t="s">
        <v>72</v>
      </c>
      <c r="E16" s="171" t="s">
        <v>43</v>
      </c>
      <c r="F16" s="164">
        <v>1240</v>
      </c>
      <c r="G16" s="113" t="s">
        <v>54</v>
      </c>
      <c r="H16" s="114"/>
      <c r="I16" s="115">
        <v>55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5</v>
      </c>
      <c r="O16" s="301"/>
      <c r="P16" s="300"/>
      <c r="Q16" s="302"/>
      <c r="R16" s="73">
        <f>H32/U16</f>
        <v>0.49032258064516127</v>
      </c>
      <c r="S16" s="74">
        <f>H32/(U16-U5)</f>
        <v>0.6333333333333333</v>
      </c>
      <c r="T16" s="74">
        <f>C32/U16</f>
        <v>42.258064516129032</v>
      </c>
      <c r="U16" s="74">
        <f>SUM(U5:U15)</f>
        <v>38.75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>
        <v>12523</v>
      </c>
      <c r="C17" s="17" t="s">
        <v>73</v>
      </c>
      <c r="D17" s="193" t="s">
        <v>74</v>
      </c>
      <c r="E17" s="171" t="s">
        <v>36</v>
      </c>
      <c r="F17" s="57">
        <v>1245</v>
      </c>
      <c r="G17" s="112" t="s">
        <v>37</v>
      </c>
      <c r="H17" s="114">
        <v>75</v>
      </c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5</v>
      </c>
      <c r="O17" s="301"/>
      <c r="P17" s="300"/>
      <c r="Q17" s="302"/>
      <c r="R17" s="75" t="s">
        <v>75</v>
      </c>
      <c r="S17" s="76" t="s">
        <v>76</v>
      </c>
      <c r="T17" s="76" t="s">
        <v>77</v>
      </c>
      <c r="U17" s="74" t="s">
        <v>78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>
        <v>12524</v>
      </c>
      <c r="C18" s="17" t="s">
        <v>79</v>
      </c>
      <c r="D18" s="193" t="s">
        <v>80</v>
      </c>
      <c r="E18" s="171" t="s">
        <v>36</v>
      </c>
      <c r="F18" s="57">
        <v>1315</v>
      </c>
      <c r="G18" s="19" t="s">
        <v>37</v>
      </c>
      <c r="H18" s="114">
        <v>95</v>
      </c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5</v>
      </c>
      <c r="O18" s="301"/>
      <c r="P18" s="300"/>
      <c r="Q18" s="302"/>
      <c r="R18" s="77" t="s">
        <v>81</v>
      </c>
      <c r="S18" s="78" t="s">
        <v>82</v>
      </c>
      <c r="T18" s="78" t="s">
        <v>83</v>
      </c>
      <c r="U18" s="79" t="s">
        <v>84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19">
        <v>12525</v>
      </c>
      <c r="C19" s="17" t="s">
        <v>85</v>
      </c>
      <c r="D19" s="193" t="s">
        <v>86</v>
      </c>
      <c r="E19" s="171" t="s">
        <v>36</v>
      </c>
      <c r="F19" s="57">
        <v>1320</v>
      </c>
      <c r="G19" s="112" t="s">
        <v>37</v>
      </c>
      <c r="H19" s="114"/>
      <c r="I19" s="115">
        <v>95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5</v>
      </c>
      <c r="O19" s="301"/>
      <c r="P19" s="300"/>
      <c r="Q19" s="300"/>
      <c r="R19" s="84" t="s">
        <v>21</v>
      </c>
      <c r="S19" s="85">
        <f>COUNT(L5:M29,L37:M61,L69:M93)</f>
        <v>2</v>
      </c>
      <c r="T19" s="107">
        <f>SUM(L5:M29,L37:M61,L69:M93)</f>
        <v>1125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>
        <v>12526</v>
      </c>
      <c r="C20" s="17" t="s">
        <v>87</v>
      </c>
      <c r="D20" s="193" t="s">
        <v>88</v>
      </c>
      <c r="E20" s="171" t="s">
        <v>36</v>
      </c>
      <c r="F20" s="57">
        <v>1350</v>
      </c>
      <c r="G20" s="112" t="s">
        <v>37</v>
      </c>
      <c r="H20" s="114"/>
      <c r="I20" s="209">
        <v>95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5</v>
      </c>
      <c r="O20" s="369"/>
      <c r="P20" s="370"/>
      <c r="Q20" s="37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249">
        <v>12527</v>
      </c>
      <c r="C21" s="257" t="s">
        <v>89</v>
      </c>
      <c r="D21" s="258" t="s">
        <v>90</v>
      </c>
      <c r="E21" s="252" t="s">
        <v>36</v>
      </c>
      <c r="F21" s="259">
        <v>1420</v>
      </c>
      <c r="G21" s="260" t="s">
        <v>91</v>
      </c>
      <c r="H21" s="261"/>
      <c r="I21" s="254"/>
      <c r="J21" s="254" t="str">
        <f t="shared" si="1"/>
        <v>0</v>
      </c>
      <c r="K21" s="254">
        <v>62.5</v>
      </c>
      <c r="L21" s="255"/>
      <c r="M21" s="255">
        <v>375</v>
      </c>
      <c r="N21" s="256" t="s">
        <v>5</v>
      </c>
      <c r="O21" s="371" t="s">
        <v>92</v>
      </c>
      <c r="P21" s="372"/>
      <c r="Q21" s="372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>
        <v>12528</v>
      </c>
      <c r="C22" s="21" t="s">
        <v>93</v>
      </c>
      <c r="D22" s="196" t="s">
        <v>94</v>
      </c>
      <c r="E22" s="171" t="s">
        <v>36</v>
      </c>
      <c r="F22" s="165">
        <v>1500</v>
      </c>
      <c r="G22" s="204" t="s">
        <v>95</v>
      </c>
      <c r="H22" s="80"/>
      <c r="I22" s="131">
        <v>50</v>
      </c>
      <c r="J22" s="120" t="str">
        <f t="shared" si="1"/>
        <v>0</v>
      </c>
      <c r="K22" s="120" t="str">
        <f t="shared" si="2"/>
        <v>0</v>
      </c>
      <c r="L22" s="60"/>
      <c r="M22" s="60"/>
      <c r="N22" s="122" t="s">
        <v>42</v>
      </c>
      <c r="O22" s="301"/>
      <c r="P22" s="300"/>
      <c r="Q22" s="302"/>
      <c r="R22" s="104"/>
      <c r="S22" s="105"/>
      <c r="T22" s="105"/>
      <c r="U22" s="106"/>
      <c r="AD22" s="14" t="s">
        <v>96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96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>
        <v>12529</v>
      </c>
      <c r="C23" s="126" t="s">
        <v>97</v>
      </c>
      <c r="D23" s="197" t="s">
        <v>98</v>
      </c>
      <c r="E23" s="171" t="s">
        <v>36</v>
      </c>
      <c r="F23" s="166">
        <v>1515</v>
      </c>
      <c r="G23" s="155" t="s">
        <v>37</v>
      </c>
      <c r="H23" s="80">
        <v>95</v>
      </c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262" t="s">
        <v>5</v>
      </c>
      <c r="O23" s="153"/>
      <c r="P23" s="154"/>
      <c r="Q23" s="149"/>
      <c r="R23" s="104"/>
      <c r="S23" s="105"/>
      <c r="T23" s="105"/>
      <c r="U23" s="106"/>
      <c r="X23" s="367"/>
      <c r="Y23" s="368"/>
      <c r="Z23" s="368"/>
    </row>
    <row r="24" spans="1:44" ht="16.5" customHeight="1" thickBot="1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301"/>
      <c r="P24" s="300"/>
      <c r="Q24" s="302"/>
      <c r="R24" s="133" t="s">
        <v>99</v>
      </c>
      <c r="S24" s="134" t="s">
        <v>100</v>
      </c>
      <c r="T24" s="134" t="s">
        <v>101</v>
      </c>
      <c r="U24" s="135" t="s">
        <v>102</v>
      </c>
      <c r="X24" s="38"/>
      <c r="AD24" s="23" t="s">
        <v>103</v>
      </c>
      <c r="AE24" s="21" t="s">
        <v>30</v>
      </c>
      <c r="AF24" s="21" t="s">
        <v>33</v>
      </c>
      <c r="AG24" s="21" t="s">
        <v>31</v>
      </c>
      <c r="AH24" s="21" t="s">
        <v>104</v>
      </c>
      <c r="AI24" s="21" t="s">
        <v>105</v>
      </c>
    </row>
    <row r="25" spans="1:44" ht="16.5" customHeight="1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301"/>
      <c r="P25" s="300"/>
      <c r="Q25" s="30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73">
        <f>((C32+(R26+S26+T26)*0.5))</f>
        <v>1637.5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01"/>
      <c r="P26" s="300"/>
      <c r="Q26" s="302"/>
      <c r="R26" s="103">
        <f>R25*37.5</f>
        <v>0</v>
      </c>
      <c r="S26" s="93">
        <f>S25*41.5</f>
        <v>0</v>
      </c>
      <c r="T26" s="93">
        <f>T25*50</f>
        <v>0</v>
      </c>
      <c r="U26" s="374"/>
      <c r="X26" s="41" t="s">
        <v>106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01"/>
      <c r="P27" s="300"/>
      <c r="Q27" s="302"/>
      <c r="R27" s="364" t="s">
        <v>107</v>
      </c>
      <c r="S27" s="365"/>
      <c r="T27" s="365"/>
      <c r="U27" s="366"/>
      <c r="V27" s="14" t="s">
        <v>108</v>
      </c>
      <c r="W27" s="14" t="s">
        <v>108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01"/>
      <c r="P28" s="300"/>
      <c r="Q28" s="302"/>
      <c r="R28" s="357" t="s">
        <v>109</v>
      </c>
      <c r="S28" s="358"/>
      <c r="T28" s="359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44"/>
      <c r="P29" s="345"/>
      <c r="Q29" s="346"/>
      <c r="R29" s="347"/>
      <c r="S29" s="348"/>
      <c r="T29" s="349"/>
      <c r="U29" s="140"/>
      <c r="X29" s="14">
        <v>3</v>
      </c>
      <c r="Z29" s="45"/>
      <c r="AE29" s="39"/>
    </row>
    <row r="30" spans="1:44" ht="16.5" customHeight="1" thickBot="1">
      <c r="A30" s="350" t="s">
        <v>110</v>
      </c>
      <c r="B30" s="351"/>
      <c r="C30" s="351"/>
      <c r="D30" s="351"/>
      <c r="E30" s="352"/>
      <c r="F30" s="351"/>
      <c r="G30" s="351"/>
      <c r="H30" s="201">
        <f t="shared" ref="H30:M30" si="3">SUM(H5:H29)</f>
        <v>340</v>
      </c>
      <c r="I30" s="96">
        <f>SUM(I5:I29)</f>
        <v>1055</v>
      </c>
      <c r="J30" s="96">
        <f>J5+J6+J7+J8+J9+J10+J11+J12+J13+J14+J15+J16+J18+J19+J17+J20+J22+J23+J21+J24+J25+J26+J27+J28+J29</f>
        <v>55</v>
      </c>
      <c r="K30" s="96">
        <f>K5+K6+K7+K8+K9+K10+K11+K12+K13+K14+K15+K16+K18+K19+K17+K20+K22+K23+K21+K24+K25+K26+K27+K28+K29</f>
        <v>187.5</v>
      </c>
      <c r="L30" s="97">
        <f t="shared" si="3"/>
        <v>0</v>
      </c>
      <c r="M30" s="97">
        <f t="shared" si="3"/>
        <v>1125</v>
      </c>
      <c r="N30" s="206" t="s">
        <v>111</v>
      </c>
      <c r="O30" s="206" t="s">
        <v>19</v>
      </c>
      <c r="P30" s="206" t="s">
        <v>21</v>
      </c>
      <c r="Q30" s="87" t="s">
        <v>20</v>
      </c>
      <c r="R30" s="353"/>
      <c r="S30" s="353"/>
      <c r="T30" s="354"/>
      <c r="U30" s="141"/>
      <c r="X30" s="14">
        <v>4</v>
      </c>
      <c r="Z30" s="45"/>
      <c r="AD30" s="46"/>
    </row>
    <row r="31" spans="1:44">
      <c r="A31" s="355" t="s">
        <v>112</v>
      </c>
      <c r="B31" s="356"/>
      <c r="C31" s="356"/>
      <c r="D31" s="356"/>
      <c r="E31" s="356"/>
      <c r="F31" s="356"/>
      <c r="G31" s="356"/>
      <c r="H31" s="202">
        <f t="shared" ref="H31:J31" si="4">H30+H62+H94</f>
        <v>340</v>
      </c>
      <c r="I31" s="94">
        <f t="shared" si="4"/>
        <v>1055</v>
      </c>
      <c r="J31" s="94">
        <f t="shared" si="4"/>
        <v>55</v>
      </c>
      <c r="K31" s="94">
        <f>K30+K62+K94</f>
        <v>187.5</v>
      </c>
      <c r="L31" s="88">
        <f>L30+L62+L94</f>
        <v>0</v>
      </c>
      <c r="M31" s="88">
        <f>M30+M62+M94</f>
        <v>1125</v>
      </c>
      <c r="N31" s="207">
        <f>COUNT(H5:H29,H37:H61,H69:H93)</f>
        <v>4</v>
      </c>
      <c r="O31" s="95">
        <f>COUNT(I5:I29,I37:I61,I69:I93)</f>
        <v>12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1</v>
      </c>
      <c r="R31" s="89" t="s">
        <v>113</v>
      </c>
      <c r="S31" s="102">
        <f>H31+L31-U28-U29-U30</f>
        <v>340</v>
      </c>
      <c r="T31" s="340">
        <f>H31+I31+L31+M31</f>
        <v>2520</v>
      </c>
      <c r="U31" s="341"/>
      <c r="X31" s="47" t="s">
        <v>114</v>
      </c>
      <c r="Y31" s="47"/>
      <c r="Z31" s="47">
        <f>SUM(Z27:Z30)</f>
        <v>-2745</v>
      </c>
      <c r="AE31" s="39"/>
    </row>
    <row r="32" spans="1:44" ht="17.25" thickBot="1">
      <c r="A32" s="360" t="s">
        <v>115</v>
      </c>
      <c r="B32" s="361"/>
      <c r="C32" s="98">
        <f>H31+I31+J31+K31</f>
        <v>1637.5</v>
      </c>
      <c r="D32" s="186"/>
      <c r="E32" s="98"/>
      <c r="F32" s="362" t="s">
        <v>116</v>
      </c>
      <c r="G32" s="362"/>
      <c r="H32" s="100">
        <f>COUNT(B5:B29,B37:B61,B69:B93)</f>
        <v>19</v>
      </c>
      <c r="I32" s="363" t="s">
        <v>117</v>
      </c>
      <c r="J32" s="363"/>
      <c r="K32" s="99">
        <f>C32/H32</f>
        <v>86.184210526315795</v>
      </c>
      <c r="L32" s="208"/>
      <c r="M32" s="208"/>
      <c r="N32" s="208">
        <f>H31/C32</f>
        <v>0.20763358778625954</v>
      </c>
      <c r="O32" s="208">
        <f>I31/C32</f>
        <v>0.64427480916030533</v>
      </c>
      <c r="P32" s="208">
        <f>K31/C32</f>
        <v>0.11450381679389313</v>
      </c>
      <c r="Q32" s="101">
        <f>J31/C32</f>
        <v>3.3587786259541987E-2</v>
      </c>
      <c r="R32" s="90" t="s">
        <v>118</v>
      </c>
      <c r="S32" s="203">
        <f>I31+M31</f>
        <v>2180</v>
      </c>
      <c r="T32" s="342"/>
      <c r="U32" s="343"/>
      <c r="V32" s="39"/>
      <c r="W32" s="39"/>
      <c r="X32" s="48" t="s">
        <v>119</v>
      </c>
      <c r="Y32" s="48"/>
      <c r="Z32" s="47">
        <f>I31</f>
        <v>1055</v>
      </c>
    </row>
    <row r="33" spans="1:33" ht="17.25" thickBot="1">
      <c r="A33" s="294" t="s">
        <v>120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49" t="s">
        <v>121</v>
      </c>
      <c r="Y33" s="49"/>
      <c r="Z33" s="50">
        <f>SUM(Z31:Z32)</f>
        <v>-1690</v>
      </c>
      <c r="AG33" s="35"/>
    </row>
    <row r="34" spans="1:33" ht="17.25" thickBot="1">
      <c r="A34" s="334" t="str">
        <f>A2</f>
        <v>28-11-2022</v>
      </c>
      <c r="B34" s="335"/>
      <c r="C34" s="335"/>
      <c r="D34" s="335"/>
      <c r="E34" s="335"/>
      <c r="F34" s="335"/>
      <c r="G34" s="336"/>
      <c r="H34" s="337" t="s">
        <v>2</v>
      </c>
      <c r="I34" s="338"/>
      <c r="J34" s="334" t="str">
        <f>J2</f>
        <v>CLOUDY</v>
      </c>
      <c r="K34" s="336"/>
      <c r="L34" s="338" t="s">
        <v>122</v>
      </c>
      <c r="M34" s="339"/>
      <c r="N34" s="337"/>
      <c r="O34" s="335" t="str">
        <f>O2</f>
        <v>JOHN</v>
      </c>
      <c r="P34" s="335"/>
      <c r="Q34" s="336"/>
      <c r="R34" s="338" t="s">
        <v>6</v>
      </c>
      <c r="S34" s="337"/>
      <c r="T34" s="326">
        <f>T2</f>
        <v>6</v>
      </c>
      <c r="U34" s="326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44" t="s">
        <v>11</v>
      </c>
      <c r="B36" s="205" t="s">
        <v>12</v>
      </c>
      <c r="C36" s="157" t="s">
        <v>13</v>
      </c>
      <c r="D36" s="184" t="s">
        <v>14</v>
      </c>
      <c r="E36" s="157" t="s">
        <v>15</v>
      </c>
      <c r="F36" s="205" t="s">
        <v>16</v>
      </c>
      <c r="G36" s="205" t="s">
        <v>17</v>
      </c>
      <c r="H36" s="205" t="s">
        <v>18</v>
      </c>
      <c r="I36" s="205" t="s">
        <v>19</v>
      </c>
      <c r="J36" s="205" t="s">
        <v>20</v>
      </c>
      <c r="K36" s="205" t="s">
        <v>21</v>
      </c>
      <c r="L36" s="205" t="s">
        <v>22</v>
      </c>
      <c r="M36" s="205" t="s">
        <v>23</v>
      </c>
      <c r="N36" s="205" t="s">
        <v>24</v>
      </c>
      <c r="O36" s="327" t="s">
        <v>25</v>
      </c>
      <c r="P36" s="327"/>
      <c r="Q36" s="327"/>
      <c r="R36" s="205" t="s">
        <v>26</v>
      </c>
      <c r="S36" s="145" t="s">
        <v>27</v>
      </c>
      <c r="T36" s="145" t="s">
        <v>28</v>
      </c>
      <c r="U36" s="146" t="s">
        <v>29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01"/>
      <c r="P37" s="300"/>
      <c r="Q37" s="302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28"/>
      <c r="P38" s="329"/>
      <c r="Q38" s="330"/>
      <c r="R38" s="69"/>
      <c r="S38" s="62"/>
      <c r="T38" s="16"/>
      <c r="U38" s="63"/>
    </row>
    <row r="39" spans="1:3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01"/>
      <c r="P39" s="300"/>
      <c r="Q39" s="302"/>
      <c r="R39" s="70"/>
      <c r="S39" s="13"/>
      <c r="T39" s="12"/>
      <c r="U39" s="63"/>
    </row>
    <row r="40" spans="1:3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31"/>
      <c r="P40" s="332"/>
      <c r="Q40" s="333"/>
      <c r="R40" s="69"/>
      <c r="S40" s="62"/>
      <c r="T40" s="62"/>
      <c r="U40" s="63"/>
    </row>
    <row r="41" spans="1:3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31"/>
      <c r="P41" s="332"/>
      <c r="Q41" s="333"/>
      <c r="R41" s="71"/>
      <c r="S41" s="64"/>
      <c r="T41" s="64"/>
      <c r="U41" s="65"/>
    </row>
    <row r="42" spans="1:3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23"/>
      <c r="P42" s="324"/>
      <c r="Q42" s="325"/>
      <c r="R42" s="71"/>
      <c r="S42" s="64"/>
      <c r="T42" s="64"/>
      <c r="U42" s="65"/>
    </row>
    <row r="43" spans="1:3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01"/>
      <c r="P43" s="300"/>
      <c r="Q43" s="302"/>
      <c r="R43" s="69"/>
      <c r="S43" s="62"/>
      <c r="T43" s="62"/>
      <c r="U43" s="63"/>
    </row>
    <row r="44" spans="1:3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01"/>
      <c r="P44" s="300"/>
      <c r="Q44" s="302"/>
      <c r="R44" s="5"/>
      <c r="S44" s="62"/>
      <c r="T44" s="62"/>
      <c r="U44" s="63"/>
    </row>
    <row r="45" spans="1:3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01"/>
      <c r="P45" s="300"/>
      <c r="Q45" s="302"/>
      <c r="R45" s="5"/>
      <c r="S45" s="62"/>
      <c r="T45" s="62"/>
      <c r="U45" s="63"/>
    </row>
    <row r="46" spans="1:3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01"/>
      <c r="P46" s="300"/>
      <c r="Q46" s="302"/>
      <c r="R46" s="5"/>
      <c r="S46" s="62"/>
      <c r="T46" s="62"/>
      <c r="U46" s="63"/>
    </row>
    <row r="47" spans="1:3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01"/>
      <c r="P47" s="300"/>
      <c r="Q47" s="302"/>
      <c r="R47" s="5"/>
      <c r="S47" s="62"/>
      <c r="T47" s="62"/>
      <c r="U47" s="63"/>
    </row>
    <row r="48" spans="1:3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01"/>
      <c r="P48" s="300"/>
      <c r="Q48" s="302"/>
      <c r="R48" s="5"/>
      <c r="S48" s="62"/>
      <c r="T48" s="62"/>
      <c r="U48" s="63"/>
    </row>
    <row r="49" spans="1:21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01"/>
      <c r="P49" s="300"/>
      <c r="Q49" s="302"/>
      <c r="R49" s="5"/>
      <c r="S49" s="62"/>
      <c r="T49" s="66"/>
      <c r="U49" s="63"/>
    </row>
    <row r="50" spans="1:21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01"/>
      <c r="P50" s="300"/>
      <c r="Q50" s="302"/>
      <c r="R50" s="5"/>
      <c r="S50" s="62"/>
      <c r="T50" s="66"/>
      <c r="U50" s="63"/>
    </row>
    <row r="51" spans="1:21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01"/>
      <c r="P51" s="300"/>
      <c r="Q51" s="300"/>
      <c r="R51" s="5"/>
      <c r="S51" s="62"/>
      <c r="T51" s="66"/>
      <c r="U51" s="63"/>
    </row>
    <row r="52" spans="1:21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01"/>
      <c r="P52" s="300"/>
      <c r="Q52" s="300"/>
      <c r="R52" s="72"/>
      <c r="S52" s="59"/>
      <c r="T52" s="67"/>
      <c r="U52" s="68"/>
    </row>
    <row r="53" spans="1:21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22"/>
      <c r="P53" s="301"/>
      <c r="Q53" s="301"/>
      <c r="R53" s="72"/>
      <c r="S53" s="59"/>
      <c r="T53" s="67"/>
      <c r="U53" s="68"/>
    </row>
    <row r="54" spans="1:21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22"/>
      <c r="P54" s="301"/>
      <c r="Q54" s="301"/>
      <c r="R54" s="72"/>
      <c r="S54" s="59"/>
      <c r="T54" s="67"/>
      <c r="U54" s="68"/>
    </row>
    <row r="55" spans="1:21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22"/>
      <c r="P55" s="301"/>
      <c r="Q55" s="301"/>
      <c r="R55" s="72"/>
      <c r="S55" s="59"/>
      <c r="T55" s="67"/>
      <c r="U55" s="68"/>
    </row>
    <row r="56" spans="1:21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00"/>
      <c r="P56" s="300"/>
      <c r="Q56" s="300"/>
      <c r="R56" s="72"/>
      <c r="S56" s="59"/>
      <c r="T56" s="67"/>
      <c r="U56" s="68"/>
    </row>
    <row r="57" spans="1:21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01"/>
      <c r="P57" s="300"/>
      <c r="Q57" s="300"/>
      <c r="R57" s="72"/>
      <c r="S57" s="59"/>
      <c r="T57" s="59"/>
      <c r="U57" s="68"/>
    </row>
    <row r="58" spans="1:21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00"/>
      <c r="P58" s="300"/>
      <c r="Q58" s="300"/>
      <c r="R58" s="72"/>
      <c r="S58" s="59"/>
      <c r="T58" s="59"/>
      <c r="U58" s="68"/>
    </row>
    <row r="59" spans="1:21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00"/>
      <c r="P59" s="300"/>
      <c r="Q59" s="300"/>
      <c r="R59" s="72"/>
      <c r="S59" s="59"/>
      <c r="T59" s="59"/>
      <c r="U59" s="68"/>
    </row>
    <row r="60" spans="1:21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01"/>
      <c r="P60" s="300"/>
      <c r="Q60" s="302"/>
      <c r="R60" s="72"/>
      <c r="S60" s="59"/>
      <c r="T60" s="59"/>
      <c r="U60" s="68"/>
    </row>
    <row r="61" spans="1:21" ht="17.25" thickBot="1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03"/>
      <c r="P61" s="304"/>
      <c r="Q61" s="305"/>
      <c r="R61" s="72"/>
      <c r="S61" s="59"/>
      <c r="T61" s="59"/>
      <c r="U61" s="68"/>
    </row>
    <row r="62" spans="1:21">
      <c r="A62" s="306" t="s">
        <v>110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7.25" thickBot="1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7.25" thickBot="1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123</v>
      </c>
      <c r="S64" s="298"/>
      <c r="T64" s="298"/>
      <c r="U64" s="299"/>
    </row>
    <row r="65" spans="1:21" ht="17.25" thickBot="1">
      <c r="A65" s="334" t="s">
        <v>120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7.25" thickBot="1">
      <c r="A66" s="334" t="str">
        <f>A34</f>
        <v>28-11-2022</v>
      </c>
      <c r="B66" s="335"/>
      <c r="C66" s="335"/>
      <c r="D66" s="335"/>
      <c r="E66" s="335"/>
      <c r="F66" s="335"/>
      <c r="G66" s="336"/>
      <c r="H66" s="337" t="s">
        <v>2</v>
      </c>
      <c r="I66" s="338"/>
      <c r="J66" s="334" t="str">
        <f>J34</f>
        <v>CLOUDY</v>
      </c>
      <c r="K66" s="336"/>
      <c r="L66" s="338" t="s">
        <v>122</v>
      </c>
      <c r="M66" s="339"/>
      <c r="N66" s="337"/>
      <c r="O66" s="335" t="str">
        <f>O34</f>
        <v>JOHN</v>
      </c>
      <c r="P66" s="335"/>
      <c r="Q66" s="336"/>
      <c r="R66" s="338" t="s">
        <v>6</v>
      </c>
      <c r="S66" s="337"/>
      <c r="T66" s="326">
        <f>T34</f>
        <v>6</v>
      </c>
      <c r="U66" s="326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44" t="s">
        <v>11</v>
      </c>
      <c r="B68" s="205" t="s">
        <v>12</v>
      </c>
      <c r="C68" s="157" t="s">
        <v>13</v>
      </c>
      <c r="D68" s="184" t="s">
        <v>14</v>
      </c>
      <c r="E68" s="157" t="s">
        <v>15</v>
      </c>
      <c r="F68" s="205" t="s">
        <v>16</v>
      </c>
      <c r="G68" s="205" t="s">
        <v>17</v>
      </c>
      <c r="H68" s="205" t="s">
        <v>18</v>
      </c>
      <c r="I68" s="205" t="s">
        <v>19</v>
      </c>
      <c r="J68" s="205" t="s">
        <v>20</v>
      </c>
      <c r="K68" s="205" t="s">
        <v>21</v>
      </c>
      <c r="L68" s="205" t="s">
        <v>22</v>
      </c>
      <c r="M68" s="205" t="s">
        <v>23</v>
      </c>
      <c r="N68" s="205" t="s">
        <v>24</v>
      </c>
      <c r="O68" s="327" t="s">
        <v>25</v>
      </c>
      <c r="P68" s="327"/>
      <c r="Q68" s="327"/>
      <c r="R68" s="205" t="s">
        <v>26</v>
      </c>
      <c r="S68" s="145" t="s">
        <v>27</v>
      </c>
      <c r="T68" s="145" t="s">
        <v>28</v>
      </c>
      <c r="U68" s="146" t="s">
        <v>29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01"/>
      <c r="P69" s="300"/>
      <c r="Q69" s="302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28"/>
      <c r="P70" s="329"/>
      <c r="Q70" s="330"/>
      <c r="R70" s="69"/>
      <c r="S70" s="62"/>
      <c r="T70" s="16"/>
      <c r="U70" s="63"/>
    </row>
    <row r="71" spans="1:21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01"/>
      <c r="P71" s="300"/>
      <c r="Q71" s="302"/>
      <c r="R71" s="70"/>
      <c r="S71" s="13"/>
      <c r="T71" s="12"/>
      <c r="U71" s="63"/>
    </row>
    <row r="72" spans="1:21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31"/>
      <c r="P72" s="332"/>
      <c r="Q72" s="333"/>
      <c r="R72" s="69"/>
      <c r="S72" s="62"/>
      <c r="T72" s="62"/>
      <c r="U72" s="63"/>
    </row>
    <row r="73" spans="1:21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31"/>
      <c r="P73" s="332"/>
      <c r="Q73" s="333"/>
      <c r="R73" s="71"/>
      <c r="S73" s="64"/>
      <c r="T73" s="64"/>
      <c r="U73" s="65"/>
    </row>
    <row r="74" spans="1:21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23"/>
      <c r="P74" s="324"/>
      <c r="Q74" s="325"/>
      <c r="R74" s="71"/>
      <c r="S74" s="64"/>
      <c r="T74" s="64"/>
      <c r="U74" s="65"/>
    </row>
    <row r="75" spans="1:21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01"/>
      <c r="P75" s="300"/>
      <c r="Q75" s="302"/>
      <c r="R75" s="69"/>
      <c r="S75" s="62"/>
      <c r="T75" s="62"/>
      <c r="U75" s="63"/>
    </row>
    <row r="76" spans="1:21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01"/>
      <c r="P76" s="300"/>
      <c r="Q76" s="302"/>
      <c r="R76" s="5"/>
      <c r="S76" s="62"/>
      <c r="T76" s="62"/>
      <c r="U76" s="63"/>
    </row>
    <row r="77" spans="1:21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01"/>
      <c r="P77" s="300"/>
      <c r="Q77" s="302"/>
      <c r="R77" s="5"/>
      <c r="S77" s="62"/>
      <c r="T77" s="62"/>
      <c r="U77" s="63"/>
    </row>
    <row r="78" spans="1:21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01"/>
      <c r="P78" s="300"/>
      <c r="Q78" s="302"/>
      <c r="R78" s="5"/>
      <c r="S78" s="62"/>
      <c r="T78" s="62"/>
      <c r="U78" s="63"/>
    </row>
    <row r="79" spans="1:21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01"/>
      <c r="P79" s="300"/>
      <c r="Q79" s="302"/>
      <c r="R79" s="5"/>
      <c r="S79" s="62"/>
      <c r="T79" s="62"/>
      <c r="U79" s="63"/>
    </row>
    <row r="80" spans="1:21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01"/>
      <c r="P80" s="300"/>
      <c r="Q80" s="302"/>
      <c r="R80" s="5"/>
      <c r="S80" s="62"/>
      <c r="T80" s="62"/>
      <c r="U80" s="63"/>
    </row>
    <row r="81" spans="1:21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01"/>
      <c r="P81" s="300"/>
      <c r="Q81" s="302"/>
      <c r="R81" s="5"/>
      <c r="S81" s="62"/>
      <c r="T81" s="66"/>
      <c r="U81" s="63"/>
    </row>
    <row r="82" spans="1:21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01"/>
      <c r="P82" s="300"/>
      <c r="Q82" s="302"/>
      <c r="R82" s="5"/>
      <c r="S82" s="62"/>
      <c r="T82" s="66"/>
      <c r="U82" s="63"/>
    </row>
    <row r="83" spans="1:21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01"/>
      <c r="P83" s="300"/>
      <c r="Q83" s="300"/>
      <c r="R83" s="5"/>
      <c r="S83" s="62"/>
      <c r="T83" s="66"/>
      <c r="U83" s="63"/>
    </row>
    <row r="84" spans="1:21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01"/>
      <c r="P84" s="300"/>
      <c r="Q84" s="300"/>
      <c r="R84" s="72"/>
      <c r="S84" s="59"/>
      <c r="T84" s="67"/>
      <c r="U84" s="68"/>
    </row>
    <row r="85" spans="1:21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22"/>
      <c r="P85" s="301"/>
      <c r="Q85" s="301"/>
      <c r="R85" s="72"/>
      <c r="S85" s="59"/>
      <c r="T85" s="67"/>
      <c r="U85" s="68"/>
    </row>
    <row r="86" spans="1:21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22"/>
      <c r="P86" s="301"/>
      <c r="Q86" s="301"/>
      <c r="R86" s="72"/>
      <c r="S86" s="59"/>
      <c r="T86" s="67"/>
      <c r="U86" s="68"/>
    </row>
    <row r="87" spans="1:21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22"/>
      <c r="P87" s="301"/>
      <c r="Q87" s="301"/>
      <c r="R87" s="72"/>
      <c r="S87" s="59"/>
      <c r="T87" s="67"/>
      <c r="U87" s="68"/>
    </row>
    <row r="88" spans="1:21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00"/>
      <c r="P88" s="300"/>
      <c r="Q88" s="300"/>
      <c r="R88" s="72"/>
      <c r="S88" s="59"/>
      <c r="T88" s="67"/>
      <c r="U88" s="68"/>
    </row>
    <row r="89" spans="1:21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01"/>
      <c r="P89" s="300"/>
      <c r="Q89" s="300"/>
      <c r="R89" s="72"/>
      <c r="S89" s="59"/>
      <c r="T89" s="59"/>
      <c r="U89" s="68"/>
    </row>
    <row r="90" spans="1:21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00"/>
      <c r="P90" s="300"/>
      <c r="Q90" s="300"/>
      <c r="R90" s="72"/>
      <c r="S90" s="59"/>
      <c r="T90" s="59"/>
      <c r="U90" s="68"/>
    </row>
    <row r="91" spans="1:21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00"/>
      <c r="P91" s="300"/>
      <c r="Q91" s="300"/>
      <c r="R91" s="72"/>
      <c r="S91" s="59"/>
      <c r="T91" s="59"/>
      <c r="U91" s="68"/>
    </row>
    <row r="92" spans="1:21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01"/>
      <c r="P92" s="300"/>
      <c r="Q92" s="302"/>
      <c r="R92" s="72"/>
      <c r="S92" s="59"/>
      <c r="T92" s="59"/>
      <c r="U92" s="68"/>
    </row>
    <row r="93" spans="1:21" ht="17.25" thickBot="1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03"/>
      <c r="P93" s="304"/>
      <c r="Q93" s="305"/>
      <c r="R93" s="72"/>
      <c r="S93" s="59"/>
      <c r="T93" s="59"/>
      <c r="U93" s="68"/>
    </row>
    <row r="94" spans="1:21">
      <c r="A94" s="306" t="s">
        <v>110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7.25" thickBot="1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7.25" thickBot="1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124</v>
      </c>
      <c r="S96" s="298"/>
      <c r="T96" s="298"/>
      <c r="U96" s="299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3" type="noConversion"/>
  <dataValidations disablePrompts="1"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U13" sqref="U13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7.25" thickBot="1">
      <c r="A2" s="334" t="s">
        <v>125</v>
      </c>
      <c r="B2" s="335"/>
      <c r="C2" s="335"/>
      <c r="D2" s="335"/>
      <c r="E2" s="335"/>
      <c r="F2" s="335"/>
      <c r="G2" s="336"/>
      <c r="H2" s="337" t="s">
        <v>2</v>
      </c>
      <c r="I2" s="338"/>
      <c r="J2" s="334" t="s">
        <v>126</v>
      </c>
      <c r="K2" s="336"/>
      <c r="L2" s="338" t="s">
        <v>4</v>
      </c>
      <c r="M2" s="339"/>
      <c r="N2" s="337"/>
      <c r="O2" s="335" t="s">
        <v>42</v>
      </c>
      <c r="P2" s="335"/>
      <c r="Q2" s="336"/>
      <c r="R2" s="338" t="s">
        <v>6</v>
      </c>
      <c r="S2" s="337"/>
      <c r="T2" s="326">
        <v>6</v>
      </c>
      <c r="U2" s="326"/>
      <c r="X2" s="34" t="s">
        <v>7</v>
      </c>
      <c r="Y2" s="34"/>
      <c r="Z2" s="34"/>
      <c r="AA2" s="34" t="s">
        <v>8</v>
      </c>
      <c r="AB2" s="34"/>
      <c r="AI2" s="147" t="s">
        <v>9</v>
      </c>
      <c r="AJ2" s="147"/>
      <c r="AK2" s="147"/>
      <c r="AL2" s="147" t="s">
        <v>8</v>
      </c>
      <c r="AM2" s="147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44" t="s">
        <v>11</v>
      </c>
      <c r="B4" s="205" t="s">
        <v>12</v>
      </c>
      <c r="C4" s="157" t="s">
        <v>13</v>
      </c>
      <c r="D4" s="184" t="s">
        <v>14</v>
      </c>
      <c r="E4" s="157" t="s">
        <v>15</v>
      </c>
      <c r="F4" s="205" t="s">
        <v>16</v>
      </c>
      <c r="G4" s="205" t="s">
        <v>17</v>
      </c>
      <c r="H4" s="205" t="s">
        <v>18</v>
      </c>
      <c r="I4" s="205" t="s">
        <v>19</v>
      </c>
      <c r="J4" s="205" t="s">
        <v>20</v>
      </c>
      <c r="K4" s="205" t="s">
        <v>21</v>
      </c>
      <c r="L4" s="205" t="s">
        <v>22</v>
      </c>
      <c r="M4" s="205" t="s">
        <v>23</v>
      </c>
      <c r="N4" s="205" t="s">
        <v>24</v>
      </c>
      <c r="O4" s="327" t="s">
        <v>25</v>
      </c>
      <c r="P4" s="327"/>
      <c r="Q4" s="327"/>
      <c r="R4" s="205" t="s">
        <v>26</v>
      </c>
      <c r="S4" s="145" t="s">
        <v>27</v>
      </c>
      <c r="T4" s="145" t="s">
        <v>28</v>
      </c>
      <c r="U4" s="146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8">
        <v>1</v>
      </c>
      <c r="B5" s="119">
        <v>12530</v>
      </c>
      <c r="C5" s="59" t="s">
        <v>127</v>
      </c>
      <c r="D5" s="190" t="s">
        <v>128</v>
      </c>
      <c r="E5" s="171" t="s">
        <v>36</v>
      </c>
      <c r="F5" s="160">
        <v>925</v>
      </c>
      <c r="G5" s="109" t="s">
        <v>37</v>
      </c>
      <c r="H5" s="82">
        <v>95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42</v>
      </c>
      <c r="O5" s="375"/>
      <c r="P5" s="376"/>
      <c r="Q5" s="377"/>
      <c r="R5" s="122" t="s">
        <v>42</v>
      </c>
      <c r="S5" s="30">
        <v>0.33333333333333331</v>
      </c>
      <c r="T5" s="31">
        <v>0.71875</v>
      </c>
      <c r="U5" s="83">
        <f t="shared" ref="U5:U15" si="0">(T5-S5)*24</f>
        <v>9.25</v>
      </c>
      <c r="X5" s="156" t="s">
        <v>38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38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>
        <v>12531</v>
      </c>
      <c r="C6" s="58" t="s">
        <v>129</v>
      </c>
      <c r="D6" s="190" t="s">
        <v>130</v>
      </c>
      <c r="E6" s="171" t="s">
        <v>43</v>
      </c>
      <c r="F6" s="161">
        <v>930</v>
      </c>
      <c r="G6" s="109" t="s">
        <v>131</v>
      </c>
      <c r="H6" s="82">
        <v>135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42</v>
      </c>
      <c r="O6" s="328" t="s">
        <v>132</v>
      </c>
      <c r="P6" s="329"/>
      <c r="Q6" s="330"/>
      <c r="R6" s="124" t="s">
        <v>48</v>
      </c>
      <c r="S6" s="30">
        <v>0.36458333333333331</v>
      </c>
      <c r="T6" s="31">
        <v>0.625</v>
      </c>
      <c r="U6" s="83">
        <f t="shared" si="0"/>
        <v>6.25</v>
      </c>
      <c r="W6" s="14" t="s">
        <v>43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19">
        <v>12532</v>
      </c>
      <c r="C7" s="58" t="s">
        <v>133</v>
      </c>
      <c r="D7" s="190" t="s">
        <v>134</v>
      </c>
      <c r="E7" s="171" t="s">
        <v>43</v>
      </c>
      <c r="F7" s="161">
        <v>930</v>
      </c>
      <c r="G7" s="109" t="s">
        <v>37</v>
      </c>
      <c r="H7" s="82"/>
      <c r="I7" s="115">
        <v>95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42</v>
      </c>
      <c r="O7" s="301" t="s">
        <v>135</v>
      </c>
      <c r="P7" s="300"/>
      <c r="Q7" s="302"/>
      <c r="R7" s="25" t="s">
        <v>51</v>
      </c>
      <c r="S7" s="30">
        <v>0.4375</v>
      </c>
      <c r="T7" s="31">
        <v>0.70833333333333337</v>
      </c>
      <c r="U7" s="83">
        <f t="shared" si="0"/>
        <v>6.5000000000000009</v>
      </c>
      <c r="W7" s="14" t="s">
        <v>36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>
        <v>12533</v>
      </c>
      <c r="C8" s="26" t="s">
        <v>136</v>
      </c>
      <c r="D8" s="190" t="s">
        <v>137</v>
      </c>
      <c r="E8" s="171" t="s">
        <v>36</v>
      </c>
      <c r="F8" s="161">
        <v>1000</v>
      </c>
      <c r="G8" s="109" t="s">
        <v>37</v>
      </c>
      <c r="H8" s="82">
        <v>95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42</v>
      </c>
      <c r="O8" s="331"/>
      <c r="P8" s="332"/>
      <c r="Q8" s="333"/>
      <c r="R8" s="25" t="s">
        <v>138</v>
      </c>
      <c r="S8" s="30">
        <v>0.35416666666666669</v>
      </c>
      <c r="T8" s="31">
        <v>0.48958333333333331</v>
      </c>
      <c r="U8" s="83">
        <f t="shared" si="0"/>
        <v>3.2499999999999991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>
        <v>12534</v>
      </c>
      <c r="C9" s="54" t="s">
        <v>139</v>
      </c>
      <c r="D9" s="191" t="s">
        <v>140</v>
      </c>
      <c r="E9" s="171" t="s">
        <v>36</v>
      </c>
      <c r="F9" s="162">
        <v>1030</v>
      </c>
      <c r="G9" s="110" t="s">
        <v>41</v>
      </c>
      <c r="H9" s="82">
        <v>120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42</v>
      </c>
      <c r="O9" s="331"/>
      <c r="P9" s="332"/>
      <c r="Q9" s="333"/>
      <c r="R9" s="25"/>
      <c r="S9" s="30">
        <v>0.53125</v>
      </c>
      <c r="T9" s="31">
        <v>0.625</v>
      </c>
      <c r="U9" s="83">
        <f t="shared" si="0"/>
        <v>2.25</v>
      </c>
      <c r="X9" s="14" t="s">
        <v>56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>
        <v>12535</v>
      </c>
      <c r="C10" s="26" t="s">
        <v>141</v>
      </c>
      <c r="D10" s="190" t="s">
        <v>142</v>
      </c>
      <c r="E10" s="171" t="s">
        <v>36</v>
      </c>
      <c r="F10" s="161">
        <v>1040</v>
      </c>
      <c r="G10" s="109" t="s">
        <v>54</v>
      </c>
      <c r="H10" s="82">
        <v>75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42</v>
      </c>
      <c r="O10" s="323"/>
      <c r="P10" s="324"/>
      <c r="Q10" s="325"/>
      <c r="R10" s="25" t="s">
        <v>59</v>
      </c>
      <c r="S10" s="30">
        <v>0.375</v>
      </c>
      <c r="T10" s="31">
        <v>0.48958333333333331</v>
      </c>
      <c r="U10" s="83">
        <f t="shared" si="0"/>
        <v>2.7499999999999996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>
        <v>12536</v>
      </c>
      <c r="C11" s="17" t="s">
        <v>143</v>
      </c>
      <c r="D11" s="193" t="s">
        <v>144</v>
      </c>
      <c r="E11" s="171" t="s">
        <v>36</v>
      </c>
      <c r="F11" s="57">
        <v>1150</v>
      </c>
      <c r="G11" s="112" t="s">
        <v>145</v>
      </c>
      <c r="H11" s="114"/>
      <c r="I11" s="115">
        <v>250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42</v>
      </c>
      <c r="O11" s="301"/>
      <c r="P11" s="300"/>
      <c r="Q11" s="302"/>
      <c r="R11" s="25"/>
      <c r="S11" s="30">
        <v>0.53125</v>
      </c>
      <c r="T11" s="31">
        <v>0.71875</v>
      </c>
      <c r="U11" s="83">
        <f t="shared" si="0"/>
        <v>4.5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>
        <v>12537</v>
      </c>
      <c r="C12" s="55" t="s">
        <v>146</v>
      </c>
      <c r="D12" s="194" t="s">
        <v>147</v>
      </c>
      <c r="E12" s="171" t="s">
        <v>43</v>
      </c>
      <c r="F12" s="163">
        <v>1210</v>
      </c>
      <c r="G12" s="110" t="s">
        <v>37</v>
      </c>
      <c r="H12" s="114"/>
      <c r="I12" s="116">
        <v>95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42</v>
      </c>
      <c r="O12" s="301"/>
      <c r="P12" s="300"/>
      <c r="Q12" s="302"/>
      <c r="R12" s="25" t="s">
        <v>148</v>
      </c>
      <c r="S12" s="30">
        <v>0.375</v>
      </c>
      <c r="T12" s="31">
        <v>0.71875</v>
      </c>
      <c r="U12" s="83">
        <f t="shared" si="0"/>
        <v>8.25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19">
        <v>12538</v>
      </c>
      <c r="C13" s="55" t="s">
        <v>149</v>
      </c>
      <c r="D13" s="194" t="s">
        <v>150</v>
      </c>
      <c r="E13" s="171" t="s">
        <v>43</v>
      </c>
      <c r="F13" s="163">
        <v>1215</v>
      </c>
      <c r="G13" s="110" t="s">
        <v>46</v>
      </c>
      <c r="H13" s="159"/>
      <c r="I13" s="158"/>
      <c r="J13" s="120" t="str">
        <f t="shared" si="1"/>
        <v>0</v>
      </c>
      <c r="K13" s="120">
        <v>79.16</v>
      </c>
      <c r="L13" s="121"/>
      <c r="M13" s="121"/>
      <c r="N13" s="124" t="s">
        <v>42</v>
      </c>
      <c r="O13" s="301" t="s">
        <v>151</v>
      </c>
      <c r="P13" s="300"/>
      <c r="Q13" s="302"/>
      <c r="R13" s="32" t="s">
        <v>152</v>
      </c>
      <c r="S13" s="30">
        <v>0.70833333333333337</v>
      </c>
      <c r="T13" s="31">
        <v>0.71875</v>
      </c>
      <c r="U13" s="83">
        <f t="shared" si="0"/>
        <v>0.24999999999999911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>
        <v>12539</v>
      </c>
      <c r="C14" s="56" t="s">
        <v>153</v>
      </c>
      <c r="D14" s="195" t="s">
        <v>154</v>
      </c>
      <c r="E14" s="171" t="s">
        <v>43</v>
      </c>
      <c r="F14" s="164">
        <v>1255</v>
      </c>
      <c r="G14" s="113" t="s">
        <v>41</v>
      </c>
      <c r="H14" s="114">
        <v>130</v>
      </c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138</v>
      </c>
      <c r="O14" s="301"/>
      <c r="P14" s="300"/>
      <c r="Q14" s="302"/>
      <c r="R14" s="25" t="s">
        <v>155</v>
      </c>
      <c r="S14" s="30">
        <v>0.70833333333333337</v>
      </c>
      <c r="T14" s="31">
        <v>0.71875</v>
      </c>
      <c r="U14" s="83">
        <f t="shared" si="0"/>
        <v>0.24999999999999911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>
        <v>12540</v>
      </c>
      <c r="C15" s="56" t="s">
        <v>156</v>
      </c>
      <c r="D15" s="195" t="s">
        <v>157</v>
      </c>
      <c r="E15" s="171" t="s">
        <v>36</v>
      </c>
      <c r="F15" s="164">
        <v>1315</v>
      </c>
      <c r="G15" s="113" t="s">
        <v>37</v>
      </c>
      <c r="H15" s="114"/>
      <c r="I15" s="115">
        <v>95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42</v>
      </c>
      <c r="O15" s="301"/>
      <c r="P15" s="300"/>
      <c r="Q15" s="30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>
        <v>12541</v>
      </c>
      <c r="C16" s="56" t="s">
        <v>158</v>
      </c>
      <c r="D16" s="195" t="s">
        <v>159</v>
      </c>
      <c r="E16" s="171" t="s">
        <v>36</v>
      </c>
      <c r="F16" s="164">
        <v>1345</v>
      </c>
      <c r="G16" s="113" t="s">
        <v>37</v>
      </c>
      <c r="H16" s="114"/>
      <c r="I16" s="115">
        <v>75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42</v>
      </c>
      <c r="O16" s="301"/>
      <c r="P16" s="300"/>
      <c r="Q16" s="302"/>
      <c r="R16" s="73">
        <f>H32/U16</f>
        <v>0.34482758620689657</v>
      </c>
      <c r="S16" s="74">
        <f>H32/(U16-U5)</f>
        <v>0.43795620437956206</v>
      </c>
      <c r="T16" s="74">
        <f>C32/U16</f>
        <v>36.704827586206896</v>
      </c>
      <c r="U16" s="74">
        <f>SUM(U5:U15)</f>
        <v>43.5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>
        <v>12542</v>
      </c>
      <c r="C17" s="17" t="s">
        <v>160</v>
      </c>
      <c r="D17" s="193" t="s">
        <v>161</v>
      </c>
      <c r="E17" s="171" t="s">
        <v>36</v>
      </c>
      <c r="F17" s="57">
        <v>1500</v>
      </c>
      <c r="G17" s="112" t="s">
        <v>91</v>
      </c>
      <c r="H17" s="114"/>
      <c r="I17" s="115"/>
      <c r="J17" s="120" t="str">
        <f t="shared" si="1"/>
        <v>0</v>
      </c>
      <c r="K17" s="120">
        <v>62.5</v>
      </c>
      <c r="L17" s="121"/>
      <c r="M17" s="121"/>
      <c r="N17" s="124" t="s">
        <v>42</v>
      </c>
      <c r="O17" s="301" t="s">
        <v>162</v>
      </c>
      <c r="P17" s="300"/>
      <c r="Q17" s="302"/>
      <c r="R17" s="75" t="s">
        <v>75</v>
      </c>
      <c r="S17" s="76" t="s">
        <v>76</v>
      </c>
      <c r="T17" s="76" t="s">
        <v>77</v>
      </c>
      <c r="U17" s="74" t="s">
        <v>78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>
        <v>12543</v>
      </c>
      <c r="C18" s="17" t="s">
        <v>163</v>
      </c>
      <c r="D18" s="193" t="s">
        <v>164</v>
      </c>
      <c r="E18" s="171" t="s">
        <v>43</v>
      </c>
      <c r="F18" s="57">
        <v>1520</v>
      </c>
      <c r="G18" s="19" t="s">
        <v>41</v>
      </c>
      <c r="H18" s="114"/>
      <c r="I18" s="115">
        <v>120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42</v>
      </c>
      <c r="O18" s="301"/>
      <c r="P18" s="300"/>
      <c r="Q18" s="302"/>
      <c r="R18" s="77" t="s">
        <v>81</v>
      </c>
      <c r="S18" s="78" t="s">
        <v>82</v>
      </c>
      <c r="T18" s="78" t="s">
        <v>83</v>
      </c>
      <c r="U18" s="79" t="s">
        <v>84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19">
        <v>12544</v>
      </c>
      <c r="C19" s="17" t="s">
        <v>165</v>
      </c>
      <c r="D19" s="193" t="s">
        <v>166</v>
      </c>
      <c r="E19" s="171" t="s">
        <v>43</v>
      </c>
      <c r="F19" s="57">
        <v>1545</v>
      </c>
      <c r="G19" s="112" t="s">
        <v>54</v>
      </c>
      <c r="H19" s="114">
        <v>75</v>
      </c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42</v>
      </c>
      <c r="O19" s="301"/>
      <c r="P19" s="300"/>
      <c r="Q19" s="300"/>
      <c r="R19" s="84" t="s">
        <v>21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69"/>
      <c r="P20" s="370"/>
      <c r="Q20" s="37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301"/>
      <c r="P21" s="300"/>
      <c r="Q21" s="300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301"/>
      <c r="P22" s="300"/>
      <c r="Q22" s="302"/>
      <c r="R22" s="104"/>
      <c r="S22" s="105"/>
      <c r="T22" s="105"/>
      <c r="U22" s="106"/>
      <c r="AD22" s="14" t="s">
        <v>96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96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67"/>
      <c r="Y23" s="368"/>
      <c r="Z23" s="368"/>
    </row>
    <row r="24" spans="1:44" ht="16.5" customHeight="1" thickBot="1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301"/>
      <c r="P24" s="300"/>
      <c r="Q24" s="302"/>
      <c r="R24" s="133" t="s">
        <v>99</v>
      </c>
      <c r="S24" s="134" t="s">
        <v>100</v>
      </c>
      <c r="T24" s="134" t="s">
        <v>101</v>
      </c>
      <c r="U24" s="135" t="s">
        <v>102</v>
      </c>
      <c r="X24" s="38"/>
      <c r="AD24" s="23" t="s">
        <v>103</v>
      </c>
      <c r="AE24" s="21" t="s">
        <v>30</v>
      </c>
      <c r="AF24" s="21" t="s">
        <v>33</v>
      </c>
      <c r="AG24" s="21" t="s">
        <v>31</v>
      </c>
      <c r="AH24" s="21" t="s">
        <v>104</v>
      </c>
      <c r="AI24" s="21" t="s">
        <v>105</v>
      </c>
    </row>
    <row r="25" spans="1:44" ht="16.5" customHeight="1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301"/>
      <c r="P25" s="300"/>
      <c r="Q25" s="30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73">
        <f>((C32+(R26+S26+T26)*0.5))</f>
        <v>1596.66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01"/>
      <c r="P26" s="300"/>
      <c r="Q26" s="302"/>
      <c r="R26" s="103">
        <f>R25*37.5</f>
        <v>0</v>
      </c>
      <c r="S26" s="93">
        <f>S25*41.5</f>
        <v>0</v>
      </c>
      <c r="T26" s="93">
        <f>T25*50</f>
        <v>0</v>
      </c>
      <c r="U26" s="374"/>
      <c r="X26" s="41" t="s">
        <v>106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01"/>
      <c r="P27" s="300"/>
      <c r="Q27" s="302"/>
      <c r="R27" s="364" t="s">
        <v>107</v>
      </c>
      <c r="S27" s="365"/>
      <c r="T27" s="365"/>
      <c r="U27" s="366"/>
      <c r="V27" s="14" t="s">
        <v>108</v>
      </c>
      <c r="W27" s="14" t="s">
        <v>108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01"/>
      <c r="P28" s="300"/>
      <c r="Q28" s="302"/>
      <c r="R28" s="357"/>
      <c r="S28" s="358"/>
      <c r="T28" s="359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44"/>
      <c r="P29" s="345"/>
      <c r="Q29" s="346"/>
      <c r="R29" s="347"/>
      <c r="S29" s="348"/>
      <c r="T29" s="349"/>
      <c r="U29" s="140"/>
      <c r="X29" s="14">
        <v>3</v>
      </c>
      <c r="Z29" s="45"/>
      <c r="AE29" s="39"/>
    </row>
    <row r="30" spans="1:44" ht="16.5" customHeight="1" thickBot="1">
      <c r="A30" s="350" t="s">
        <v>110</v>
      </c>
      <c r="B30" s="351"/>
      <c r="C30" s="351"/>
      <c r="D30" s="351"/>
      <c r="E30" s="352"/>
      <c r="F30" s="351"/>
      <c r="G30" s="351"/>
      <c r="H30" s="201">
        <f t="shared" ref="H30:M30" si="3">SUM(H5:H29)</f>
        <v>725</v>
      </c>
      <c r="I30" s="96">
        <f>SUM(I5:I29)</f>
        <v>730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141.66</v>
      </c>
      <c r="L30" s="97">
        <f t="shared" si="3"/>
        <v>0</v>
      </c>
      <c r="M30" s="97">
        <f t="shared" si="3"/>
        <v>0</v>
      </c>
      <c r="N30" s="206" t="s">
        <v>111</v>
      </c>
      <c r="O30" s="206" t="s">
        <v>19</v>
      </c>
      <c r="P30" s="206" t="s">
        <v>21</v>
      </c>
      <c r="Q30" s="87" t="s">
        <v>20</v>
      </c>
      <c r="R30" s="353"/>
      <c r="S30" s="353"/>
      <c r="T30" s="354"/>
      <c r="U30" s="141"/>
      <c r="X30" s="14">
        <v>4</v>
      </c>
      <c r="Z30" s="45"/>
      <c r="AD30" s="46"/>
    </row>
    <row r="31" spans="1:44">
      <c r="A31" s="355" t="s">
        <v>112</v>
      </c>
      <c r="B31" s="356"/>
      <c r="C31" s="356"/>
      <c r="D31" s="356"/>
      <c r="E31" s="356"/>
      <c r="F31" s="356"/>
      <c r="G31" s="356"/>
      <c r="H31" s="202">
        <f t="shared" ref="H31:J31" si="4">H30+H62+H94</f>
        <v>725</v>
      </c>
      <c r="I31" s="94">
        <f t="shared" si="4"/>
        <v>730</v>
      </c>
      <c r="J31" s="94">
        <f t="shared" si="4"/>
        <v>0</v>
      </c>
      <c r="K31" s="94">
        <f>K30+K62+K94</f>
        <v>141.66</v>
      </c>
      <c r="L31" s="88">
        <f>L30+L62+L94</f>
        <v>0</v>
      </c>
      <c r="M31" s="88">
        <f>M30+M62+M94</f>
        <v>0</v>
      </c>
      <c r="N31" s="207">
        <f>COUNT(H5:H29,H37:H61,H69:H93)</f>
        <v>7</v>
      </c>
      <c r="O31" s="95">
        <f>COUNT(I5:I29,I37:I61,I69:I93)</f>
        <v>6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0</v>
      </c>
      <c r="R31" s="89" t="s">
        <v>113</v>
      </c>
      <c r="S31" s="102">
        <f>H31+L31-U28-U29-U30</f>
        <v>725</v>
      </c>
      <c r="T31" s="340">
        <f>H31+I31+L31+M31</f>
        <v>1455</v>
      </c>
      <c r="U31" s="341"/>
      <c r="X31" s="47" t="s">
        <v>114</v>
      </c>
      <c r="Y31" s="47"/>
      <c r="Z31" s="47">
        <f>SUM(Z27:Z30)</f>
        <v>-2745</v>
      </c>
      <c r="AE31" s="39"/>
    </row>
    <row r="32" spans="1:44" ht="17.25" thickBot="1">
      <c r="A32" s="360" t="s">
        <v>115</v>
      </c>
      <c r="B32" s="361"/>
      <c r="C32" s="98">
        <f>H31+I31+J31+K31</f>
        <v>1596.66</v>
      </c>
      <c r="D32" s="186"/>
      <c r="E32" s="98"/>
      <c r="F32" s="362" t="s">
        <v>116</v>
      </c>
      <c r="G32" s="362"/>
      <c r="H32" s="100">
        <f>COUNT(B5:B29,B37:B61,B69:B93)</f>
        <v>15</v>
      </c>
      <c r="I32" s="363" t="s">
        <v>117</v>
      </c>
      <c r="J32" s="363"/>
      <c r="K32" s="99">
        <f>C32/H32</f>
        <v>106.444</v>
      </c>
      <c r="L32" s="208"/>
      <c r="M32" s="208"/>
      <c r="N32" s="208">
        <f>H31/C32</f>
        <v>0.45407287713101097</v>
      </c>
      <c r="O32" s="208">
        <f>I31/C32</f>
        <v>0.45720441421467312</v>
      </c>
      <c r="P32" s="208">
        <f>K31/C32</f>
        <v>8.8722708654315877E-2</v>
      </c>
      <c r="Q32" s="101">
        <f>J31/C32</f>
        <v>0</v>
      </c>
      <c r="R32" s="90" t="s">
        <v>118</v>
      </c>
      <c r="S32" s="203">
        <f>I31+M31</f>
        <v>730</v>
      </c>
      <c r="T32" s="342"/>
      <c r="U32" s="343"/>
      <c r="V32" s="39"/>
      <c r="W32" s="39"/>
      <c r="X32" s="48" t="s">
        <v>119</v>
      </c>
      <c r="Y32" s="48"/>
      <c r="Z32" s="47">
        <f>I31</f>
        <v>730</v>
      </c>
    </row>
    <row r="33" spans="1:33" ht="17.25" thickBot="1">
      <c r="A33" s="294" t="s">
        <v>120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49" t="s">
        <v>121</v>
      </c>
      <c r="Y33" s="49"/>
      <c r="Z33" s="50">
        <f>SUM(Z31:Z32)</f>
        <v>-2015</v>
      </c>
      <c r="AG33" s="35"/>
    </row>
    <row r="34" spans="1:33" ht="17.25" thickBot="1">
      <c r="A34" s="334" t="str">
        <f>A2</f>
        <v>29-11-2022</v>
      </c>
      <c r="B34" s="335"/>
      <c r="C34" s="335"/>
      <c r="D34" s="335"/>
      <c r="E34" s="335"/>
      <c r="F34" s="335"/>
      <c r="G34" s="336"/>
      <c r="H34" s="337" t="s">
        <v>2</v>
      </c>
      <c r="I34" s="338"/>
      <c r="J34" s="334" t="str">
        <f>J2</f>
        <v>SUNNY</v>
      </c>
      <c r="K34" s="336"/>
      <c r="L34" s="338" t="s">
        <v>122</v>
      </c>
      <c r="M34" s="339"/>
      <c r="N34" s="337"/>
      <c r="O34" s="335" t="str">
        <f>O2</f>
        <v>HENDRA</v>
      </c>
      <c r="P34" s="335"/>
      <c r="Q34" s="336"/>
      <c r="R34" s="338" t="s">
        <v>6</v>
      </c>
      <c r="S34" s="337"/>
      <c r="T34" s="326">
        <f>T2</f>
        <v>6</v>
      </c>
      <c r="U34" s="326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44" t="s">
        <v>11</v>
      </c>
      <c r="B36" s="205" t="s">
        <v>12</v>
      </c>
      <c r="C36" s="157" t="s">
        <v>13</v>
      </c>
      <c r="D36" s="184" t="s">
        <v>14</v>
      </c>
      <c r="E36" s="157" t="s">
        <v>15</v>
      </c>
      <c r="F36" s="205" t="s">
        <v>16</v>
      </c>
      <c r="G36" s="205" t="s">
        <v>17</v>
      </c>
      <c r="H36" s="205" t="s">
        <v>18</v>
      </c>
      <c r="I36" s="205" t="s">
        <v>19</v>
      </c>
      <c r="J36" s="205" t="s">
        <v>20</v>
      </c>
      <c r="K36" s="205" t="s">
        <v>21</v>
      </c>
      <c r="L36" s="205" t="s">
        <v>22</v>
      </c>
      <c r="M36" s="205" t="s">
        <v>23</v>
      </c>
      <c r="N36" s="205" t="s">
        <v>24</v>
      </c>
      <c r="O36" s="327" t="s">
        <v>25</v>
      </c>
      <c r="P36" s="327"/>
      <c r="Q36" s="327"/>
      <c r="R36" s="205" t="s">
        <v>26</v>
      </c>
      <c r="S36" s="145" t="s">
        <v>27</v>
      </c>
      <c r="T36" s="145" t="s">
        <v>28</v>
      </c>
      <c r="U36" s="146" t="s">
        <v>29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01"/>
      <c r="P37" s="300"/>
      <c r="Q37" s="302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28"/>
      <c r="P38" s="329"/>
      <c r="Q38" s="330"/>
      <c r="R38" s="69"/>
      <c r="S38" s="62"/>
      <c r="T38" s="16"/>
      <c r="U38" s="63"/>
    </row>
    <row r="39" spans="1:3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01"/>
      <c r="P39" s="300"/>
      <c r="Q39" s="302"/>
      <c r="R39" s="70"/>
      <c r="S39" s="13"/>
      <c r="T39" s="12"/>
      <c r="U39" s="63"/>
    </row>
    <row r="40" spans="1:3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31"/>
      <c r="P40" s="332"/>
      <c r="Q40" s="333"/>
      <c r="R40" s="69"/>
      <c r="S40" s="62"/>
      <c r="T40" s="62"/>
      <c r="U40" s="63"/>
    </row>
    <row r="41" spans="1:3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31"/>
      <c r="P41" s="332"/>
      <c r="Q41" s="333"/>
      <c r="R41" s="71"/>
      <c r="S41" s="64"/>
      <c r="T41" s="64"/>
      <c r="U41" s="65"/>
    </row>
    <row r="42" spans="1:3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23"/>
      <c r="P42" s="324"/>
      <c r="Q42" s="325"/>
      <c r="R42" s="71"/>
      <c r="S42" s="64"/>
      <c r="T42" s="64"/>
      <c r="U42" s="65"/>
    </row>
    <row r="43" spans="1:3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01"/>
      <c r="P43" s="300"/>
      <c r="Q43" s="302"/>
      <c r="R43" s="69"/>
      <c r="S43" s="62"/>
      <c r="T43" s="62"/>
      <c r="U43" s="63"/>
    </row>
    <row r="44" spans="1:3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01"/>
      <c r="P44" s="300"/>
      <c r="Q44" s="302"/>
      <c r="R44" s="5"/>
      <c r="S44" s="62"/>
      <c r="T44" s="62"/>
      <c r="U44" s="63"/>
    </row>
    <row r="45" spans="1:3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01"/>
      <c r="P45" s="300"/>
      <c r="Q45" s="302"/>
      <c r="R45" s="5"/>
      <c r="S45" s="62"/>
      <c r="T45" s="62"/>
      <c r="U45" s="63"/>
    </row>
    <row r="46" spans="1:3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01"/>
      <c r="P46" s="300"/>
      <c r="Q46" s="302"/>
      <c r="R46" s="5"/>
      <c r="S46" s="62"/>
      <c r="T46" s="62"/>
      <c r="U46" s="63"/>
    </row>
    <row r="47" spans="1:3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01"/>
      <c r="P47" s="300"/>
      <c r="Q47" s="302"/>
      <c r="R47" s="5"/>
      <c r="S47" s="62"/>
      <c r="T47" s="62"/>
      <c r="U47" s="63"/>
    </row>
    <row r="48" spans="1:3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01"/>
      <c r="P48" s="300"/>
      <c r="Q48" s="302"/>
      <c r="R48" s="5"/>
      <c r="S48" s="62"/>
      <c r="T48" s="62"/>
      <c r="U48" s="63"/>
    </row>
    <row r="49" spans="1:21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01"/>
      <c r="P49" s="300"/>
      <c r="Q49" s="302"/>
      <c r="R49" s="5"/>
      <c r="S49" s="62"/>
      <c r="T49" s="66"/>
      <c r="U49" s="63"/>
    </row>
    <row r="50" spans="1:21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01"/>
      <c r="P50" s="300"/>
      <c r="Q50" s="302"/>
      <c r="R50" s="5"/>
      <c r="S50" s="62"/>
      <c r="T50" s="66"/>
      <c r="U50" s="63"/>
    </row>
    <row r="51" spans="1:21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01"/>
      <c r="P51" s="300"/>
      <c r="Q51" s="300"/>
      <c r="R51" s="5"/>
      <c r="S51" s="62"/>
      <c r="T51" s="66"/>
      <c r="U51" s="63"/>
    </row>
    <row r="52" spans="1:21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01"/>
      <c r="P52" s="300"/>
      <c r="Q52" s="300"/>
      <c r="R52" s="72"/>
      <c r="S52" s="59"/>
      <c r="T52" s="67"/>
      <c r="U52" s="68"/>
    </row>
    <row r="53" spans="1:21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22"/>
      <c r="P53" s="301"/>
      <c r="Q53" s="301"/>
      <c r="R53" s="72"/>
      <c r="S53" s="59"/>
      <c r="T53" s="67"/>
      <c r="U53" s="68"/>
    </row>
    <row r="54" spans="1:21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22"/>
      <c r="P54" s="301"/>
      <c r="Q54" s="301"/>
      <c r="R54" s="72"/>
      <c r="S54" s="59"/>
      <c r="T54" s="67"/>
      <c r="U54" s="68"/>
    </row>
    <row r="55" spans="1:21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22"/>
      <c r="P55" s="301"/>
      <c r="Q55" s="301"/>
      <c r="R55" s="72"/>
      <c r="S55" s="59"/>
      <c r="T55" s="67"/>
      <c r="U55" s="68"/>
    </row>
    <row r="56" spans="1:21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00"/>
      <c r="P56" s="300"/>
      <c r="Q56" s="300"/>
      <c r="R56" s="72"/>
      <c r="S56" s="59"/>
      <c r="T56" s="67"/>
      <c r="U56" s="68"/>
    </row>
    <row r="57" spans="1:21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01"/>
      <c r="P57" s="300"/>
      <c r="Q57" s="300"/>
      <c r="R57" s="72"/>
      <c r="S57" s="59"/>
      <c r="T57" s="59"/>
      <c r="U57" s="68"/>
    </row>
    <row r="58" spans="1:21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00"/>
      <c r="P58" s="300"/>
      <c r="Q58" s="300"/>
      <c r="R58" s="72"/>
      <c r="S58" s="59"/>
      <c r="T58" s="59"/>
      <c r="U58" s="68"/>
    </row>
    <row r="59" spans="1:21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00"/>
      <c r="P59" s="300"/>
      <c r="Q59" s="300"/>
      <c r="R59" s="72"/>
      <c r="S59" s="59"/>
      <c r="T59" s="59"/>
      <c r="U59" s="68"/>
    </row>
    <row r="60" spans="1:21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01"/>
      <c r="P60" s="300"/>
      <c r="Q60" s="302"/>
      <c r="R60" s="72"/>
      <c r="S60" s="59"/>
      <c r="T60" s="59"/>
      <c r="U60" s="68"/>
    </row>
    <row r="61" spans="1:21" ht="17.25" thickBot="1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03"/>
      <c r="P61" s="304"/>
      <c r="Q61" s="305"/>
      <c r="R61" s="72"/>
      <c r="S61" s="59"/>
      <c r="T61" s="59"/>
      <c r="U61" s="68"/>
    </row>
    <row r="62" spans="1:21">
      <c r="A62" s="306" t="s">
        <v>110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7.25" thickBot="1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7.25" thickBot="1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123</v>
      </c>
      <c r="S64" s="298"/>
      <c r="T64" s="298"/>
      <c r="U64" s="299"/>
    </row>
    <row r="65" spans="1:21" ht="17.25" thickBot="1">
      <c r="A65" s="334" t="s">
        <v>120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7.25" thickBot="1">
      <c r="A66" s="334" t="str">
        <f>A34</f>
        <v>29-11-2022</v>
      </c>
      <c r="B66" s="335"/>
      <c r="C66" s="335"/>
      <c r="D66" s="335"/>
      <c r="E66" s="335"/>
      <c r="F66" s="335"/>
      <c r="G66" s="336"/>
      <c r="H66" s="337" t="s">
        <v>2</v>
      </c>
      <c r="I66" s="338"/>
      <c r="J66" s="334" t="str">
        <f>J34</f>
        <v>SUNNY</v>
      </c>
      <c r="K66" s="336"/>
      <c r="L66" s="338" t="s">
        <v>122</v>
      </c>
      <c r="M66" s="339"/>
      <c r="N66" s="337"/>
      <c r="O66" s="335" t="str">
        <f>O34</f>
        <v>HENDRA</v>
      </c>
      <c r="P66" s="335"/>
      <c r="Q66" s="336"/>
      <c r="R66" s="338" t="s">
        <v>6</v>
      </c>
      <c r="S66" s="337"/>
      <c r="T66" s="326">
        <f>T34</f>
        <v>6</v>
      </c>
      <c r="U66" s="326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44" t="s">
        <v>11</v>
      </c>
      <c r="B68" s="205" t="s">
        <v>12</v>
      </c>
      <c r="C68" s="157" t="s">
        <v>13</v>
      </c>
      <c r="D68" s="184" t="s">
        <v>14</v>
      </c>
      <c r="E68" s="157" t="s">
        <v>15</v>
      </c>
      <c r="F68" s="205" t="s">
        <v>16</v>
      </c>
      <c r="G68" s="205" t="s">
        <v>17</v>
      </c>
      <c r="H68" s="205" t="s">
        <v>18</v>
      </c>
      <c r="I68" s="205" t="s">
        <v>19</v>
      </c>
      <c r="J68" s="205" t="s">
        <v>20</v>
      </c>
      <c r="K68" s="205" t="s">
        <v>21</v>
      </c>
      <c r="L68" s="205" t="s">
        <v>22</v>
      </c>
      <c r="M68" s="205" t="s">
        <v>23</v>
      </c>
      <c r="N68" s="205" t="s">
        <v>24</v>
      </c>
      <c r="O68" s="327" t="s">
        <v>25</v>
      </c>
      <c r="P68" s="327"/>
      <c r="Q68" s="327"/>
      <c r="R68" s="205" t="s">
        <v>26</v>
      </c>
      <c r="S68" s="145" t="s">
        <v>27</v>
      </c>
      <c r="T68" s="145" t="s">
        <v>28</v>
      </c>
      <c r="U68" s="146" t="s">
        <v>29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01"/>
      <c r="P69" s="300"/>
      <c r="Q69" s="302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28"/>
      <c r="P70" s="329"/>
      <c r="Q70" s="330"/>
      <c r="R70" s="69"/>
      <c r="S70" s="62"/>
      <c r="T70" s="16"/>
      <c r="U70" s="63"/>
    </row>
    <row r="71" spans="1:21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01"/>
      <c r="P71" s="300"/>
      <c r="Q71" s="302"/>
      <c r="R71" s="70"/>
      <c r="S71" s="13"/>
      <c r="T71" s="12"/>
      <c r="U71" s="63"/>
    </row>
    <row r="72" spans="1:21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31"/>
      <c r="P72" s="332"/>
      <c r="Q72" s="333"/>
      <c r="R72" s="69"/>
      <c r="S72" s="62"/>
      <c r="T72" s="62"/>
      <c r="U72" s="63"/>
    </row>
    <row r="73" spans="1:21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31"/>
      <c r="P73" s="332"/>
      <c r="Q73" s="333"/>
      <c r="R73" s="71"/>
      <c r="S73" s="64"/>
      <c r="T73" s="64"/>
      <c r="U73" s="65"/>
    </row>
    <row r="74" spans="1:21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23"/>
      <c r="P74" s="324"/>
      <c r="Q74" s="325"/>
      <c r="R74" s="71"/>
      <c r="S74" s="64"/>
      <c r="T74" s="64"/>
      <c r="U74" s="65"/>
    </row>
    <row r="75" spans="1:21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01"/>
      <c r="P75" s="300"/>
      <c r="Q75" s="302"/>
      <c r="R75" s="69"/>
      <c r="S75" s="62"/>
      <c r="T75" s="62"/>
      <c r="U75" s="63"/>
    </row>
    <row r="76" spans="1:21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01"/>
      <c r="P76" s="300"/>
      <c r="Q76" s="302"/>
      <c r="R76" s="5"/>
      <c r="S76" s="62"/>
      <c r="T76" s="62"/>
      <c r="U76" s="63"/>
    </row>
    <row r="77" spans="1:21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01"/>
      <c r="P77" s="300"/>
      <c r="Q77" s="302"/>
      <c r="R77" s="5"/>
      <c r="S77" s="62"/>
      <c r="T77" s="62"/>
      <c r="U77" s="63"/>
    </row>
    <row r="78" spans="1:21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01"/>
      <c r="P78" s="300"/>
      <c r="Q78" s="302"/>
      <c r="R78" s="5"/>
      <c r="S78" s="62"/>
      <c r="T78" s="62"/>
      <c r="U78" s="63"/>
    </row>
    <row r="79" spans="1:21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01"/>
      <c r="P79" s="300"/>
      <c r="Q79" s="302"/>
      <c r="R79" s="5"/>
      <c r="S79" s="62"/>
      <c r="T79" s="62"/>
      <c r="U79" s="63"/>
    </row>
    <row r="80" spans="1:21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01"/>
      <c r="P80" s="300"/>
      <c r="Q80" s="302"/>
      <c r="R80" s="5"/>
      <c r="S80" s="62"/>
      <c r="T80" s="62"/>
      <c r="U80" s="63"/>
    </row>
    <row r="81" spans="1:21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01"/>
      <c r="P81" s="300"/>
      <c r="Q81" s="302"/>
      <c r="R81" s="5"/>
      <c r="S81" s="62"/>
      <c r="T81" s="66"/>
      <c r="U81" s="63"/>
    </row>
    <row r="82" spans="1:21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01"/>
      <c r="P82" s="300"/>
      <c r="Q82" s="302"/>
      <c r="R82" s="5"/>
      <c r="S82" s="62"/>
      <c r="T82" s="66"/>
      <c r="U82" s="63"/>
    </row>
    <row r="83" spans="1:21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01"/>
      <c r="P83" s="300"/>
      <c r="Q83" s="300"/>
      <c r="R83" s="5"/>
      <c r="S83" s="62"/>
      <c r="T83" s="66"/>
      <c r="U83" s="63"/>
    </row>
    <row r="84" spans="1:21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01"/>
      <c r="P84" s="300"/>
      <c r="Q84" s="300"/>
      <c r="R84" s="72"/>
      <c r="S84" s="59"/>
      <c r="T84" s="67"/>
      <c r="U84" s="68"/>
    </row>
    <row r="85" spans="1:21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22"/>
      <c r="P85" s="301"/>
      <c r="Q85" s="301"/>
      <c r="R85" s="72"/>
      <c r="S85" s="59"/>
      <c r="T85" s="67"/>
      <c r="U85" s="68"/>
    </row>
    <row r="86" spans="1:21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22"/>
      <c r="P86" s="301"/>
      <c r="Q86" s="301"/>
      <c r="R86" s="72"/>
      <c r="S86" s="59"/>
      <c r="T86" s="67"/>
      <c r="U86" s="68"/>
    </row>
    <row r="87" spans="1:21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22"/>
      <c r="P87" s="301"/>
      <c r="Q87" s="301"/>
      <c r="R87" s="72"/>
      <c r="S87" s="59"/>
      <c r="T87" s="67"/>
      <c r="U87" s="68"/>
    </row>
    <row r="88" spans="1:21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00"/>
      <c r="P88" s="300"/>
      <c r="Q88" s="300"/>
      <c r="R88" s="72"/>
      <c r="S88" s="59"/>
      <c r="T88" s="67"/>
      <c r="U88" s="68"/>
    </row>
    <row r="89" spans="1:21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01"/>
      <c r="P89" s="300"/>
      <c r="Q89" s="300"/>
      <c r="R89" s="72"/>
      <c r="S89" s="59"/>
      <c r="T89" s="59"/>
      <c r="U89" s="68"/>
    </row>
    <row r="90" spans="1:21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00"/>
      <c r="P90" s="300"/>
      <c r="Q90" s="300"/>
      <c r="R90" s="72"/>
      <c r="S90" s="59"/>
      <c r="T90" s="59"/>
      <c r="U90" s="68"/>
    </row>
    <row r="91" spans="1:21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00"/>
      <c r="P91" s="300"/>
      <c r="Q91" s="300"/>
      <c r="R91" s="72"/>
      <c r="S91" s="59"/>
      <c r="T91" s="59"/>
      <c r="U91" s="68"/>
    </row>
    <row r="92" spans="1:21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01"/>
      <c r="P92" s="300"/>
      <c r="Q92" s="302"/>
      <c r="R92" s="72"/>
      <c r="S92" s="59"/>
      <c r="T92" s="59"/>
      <c r="U92" s="68"/>
    </row>
    <row r="93" spans="1:21" ht="17.25" thickBot="1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03"/>
      <c r="P93" s="304"/>
      <c r="Q93" s="305"/>
      <c r="R93" s="72"/>
      <c r="S93" s="59"/>
      <c r="T93" s="59"/>
      <c r="U93" s="68"/>
    </row>
    <row r="94" spans="1:21">
      <c r="A94" s="306" t="s">
        <v>110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7.25" thickBot="1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7.25" thickBot="1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124</v>
      </c>
      <c r="S96" s="298"/>
      <c r="T96" s="298"/>
      <c r="U96" s="299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3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R8" sqref="R8:R10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7.25" thickBot="1">
      <c r="A2" s="334" t="s">
        <v>167</v>
      </c>
      <c r="B2" s="335"/>
      <c r="C2" s="335"/>
      <c r="D2" s="335"/>
      <c r="E2" s="335"/>
      <c r="F2" s="335"/>
      <c r="G2" s="336"/>
      <c r="H2" s="337" t="s">
        <v>2</v>
      </c>
      <c r="I2" s="338"/>
      <c r="J2" s="334" t="s">
        <v>126</v>
      </c>
      <c r="K2" s="336"/>
      <c r="L2" s="338" t="s">
        <v>4</v>
      </c>
      <c r="M2" s="339"/>
      <c r="N2" s="337"/>
      <c r="O2" s="335" t="s">
        <v>5</v>
      </c>
      <c r="P2" s="335"/>
      <c r="Q2" s="336"/>
      <c r="R2" s="338" t="s">
        <v>6</v>
      </c>
      <c r="S2" s="337"/>
      <c r="T2" s="326">
        <v>5</v>
      </c>
      <c r="U2" s="326"/>
      <c r="X2" s="34" t="s">
        <v>7</v>
      </c>
      <c r="Y2" s="34"/>
      <c r="Z2" s="34"/>
      <c r="AA2" s="34" t="s">
        <v>8</v>
      </c>
      <c r="AB2" s="34"/>
      <c r="AI2" s="147" t="s">
        <v>9</v>
      </c>
      <c r="AJ2" s="147"/>
      <c r="AK2" s="147"/>
      <c r="AL2" s="147" t="s">
        <v>8</v>
      </c>
      <c r="AM2" s="147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44" t="s">
        <v>11</v>
      </c>
      <c r="B4" s="205" t="s">
        <v>12</v>
      </c>
      <c r="C4" s="157" t="s">
        <v>13</v>
      </c>
      <c r="D4" s="184" t="s">
        <v>14</v>
      </c>
      <c r="E4" s="157" t="s">
        <v>15</v>
      </c>
      <c r="F4" s="205" t="s">
        <v>16</v>
      </c>
      <c r="G4" s="205" t="s">
        <v>17</v>
      </c>
      <c r="H4" s="205" t="s">
        <v>18</v>
      </c>
      <c r="I4" s="205" t="s">
        <v>19</v>
      </c>
      <c r="J4" s="205" t="s">
        <v>20</v>
      </c>
      <c r="K4" s="205" t="s">
        <v>21</v>
      </c>
      <c r="L4" s="205" t="s">
        <v>22</v>
      </c>
      <c r="M4" s="205" t="s">
        <v>23</v>
      </c>
      <c r="N4" s="205" t="s">
        <v>24</v>
      </c>
      <c r="O4" s="327" t="s">
        <v>25</v>
      </c>
      <c r="P4" s="327"/>
      <c r="Q4" s="327"/>
      <c r="R4" s="205" t="s">
        <v>26</v>
      </c>
      <c r="S4" s="145" t="s">
        <v>27</v>
      </c>
      <c r="T4" s="145" t="s">
        <v>28</v>
      </c>
      <c r="U4" s="146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8">
        <v>1</v>
      </c>
      <c r="B5" s="119">
        <v>12545</v>
      </c>
      <c r="C5" s="59" t="s">
        <v>168</v>
      </c>
      <c r="D5" s="190" t="s">
        <v>169</v>
      </c>
      <c r="E5" s="171" t="s">
        <v>43</v>
      </c>
      <c r="F5" s="160">
        <v>910</v>
      </c>
      <c r="G5" s="109" t="s">
        <v>46</v>
      </c>
      <c r="H5" s="82"/>
      <c r="I5" s="115"/>
      <c r="J5" s="120" t="str">
        <f>IF(G5="RSL","55","0")</f>
        <v>0</v>
      </c>
      <c r="K5" s="120">
        <v>79.099999999999994</v>
      </c>
      <c r="L5" s="121"/>
      <c r="M5" s="121"/>
      <c r="N5" s="124" t="s">
        <v>5</v>
      </c>
      <c r="O5" s="375" t="s">
        <v>170</v>
      </c>
      <c r="P5" s="376"/>
      <c r="Q5" s="377"/>
      <c r="R5" s="32" t="s">
        <v>5</v>
      </c>
      <c r="S5" s="30">
        <v>0.33333333333333331</v>
      </c>
      <c r="T5" s="31">
        <v>0.72916666666666663</v>
      </c>
      <c r="U5" s="83">
        <f t="shared" ref="U5:U15" si="0">(T5-S5)*24</f>
        <v>9.5</v>
      </c>
      <c r="X5" s="156" t="s">
        <v>38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38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>
        <v>12546</v>
      </c>
      <c r="C6" s="58" t="s">
        <v>171</v>
      </c>
      <c r="D6" s="190" t="s">
        <v>172</v>
      </c>
      <c r="E6" s="171" t="s">
        <v>43</v>
      </c>
      <c r="F6" s="161">
        <v>915</v>
      </c>
      <c r="G6" s="109" t="s">
        <v>20</v>
      </c>
      <c r="H6" s="82"/>
      <c r="I6" s="115"/>
      <c r="J6" s="120" t="str">
        <f t="shared" ref="J6:J29" si="1">IF(G6="RSL","55","0")</f>
        <v>55</v>
      </c>
      <c r="K6" s="120" t="str">
        <f t="shared" ref="K6:K28" si="2">IF(G6="GVS","37.5",IF(G6="GVM","41.5",IF(G6="GVL","50",IF(G6="PCS","45.8",IF(G6="PCM","50",IF(G6="PCL","58.3","0"))))))</f>
        <v>0</v>
      </c>
      <c r="L6" s="121"/>
      <c r="M6" s="121"/>
      <c r="N6" s="124" t="s">
        <v>5</v>
      </c>
      <c r="O6" s="328" t="s">
        <v>173</v>
      </c>
      <c r="P6" s="329"/>
      <c r="Q6" s="330"/>
      <c r="R6" s="122" t="s">
        <v>42</v>
      </c>
      <c r="S6" s="30">
        <v>0.33333333333333331</v>
      </c>
      <c r="T6" s="31">
        <v>0.72916666666666663</v>
      </c>
      <c r="U6" s="83">
        <f t="shared" si="0"/>
        <v>9.5</v>
      </c>
      <c r="W6" s="14" t="s">
        <v>43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249">
        <v>12547</v>
      </c>
      <c r="C7" s="250" t="s">
        <v>174</v>
      </c>
      <c r="D7" s="251" t="s">
        <v>175</v>
      </c>
      <c r="E7" s="252" t="s">
        <v>43</v>
      </c>
      <c r="F7" s="253">
        <v>930</v>
      </c>
      <c r="G7" s="249" t="s">
        <v>46</v>
      </c>
      <c r="H7" s="254"/>
      <c r="I7" s="254"/>
      <c r="J7" s="254" t="str">
        <f t="shared" si="1"/>
        <v>0</v>
      </c>
      <c r="K7" s="254">
        <v>79.16</v>
      </c>
      <c r="L7" s="255"/>
      <c r="M7" s="255">
        <v>475</v>
      </c>
      <c r="N7" s="256" t="s">
        <v>5</v>
      </c>
      <c r="O7" s="371" t="s">
        <v>176</v>
      </c>
      <c r="P7" s="372"/>
      <c r="Q7" s="378"/>
      <c r="R7" s="124" t="s">
        <v>48</v>
      </c>
      <c r="S7" s="30">
        <v>0.35416666666666669</v>
      </c>
      <c r="T7" s="31">
        <v>0.625</v>
      </c>
      <c r="U7" s="83">
        <f t="shared" si="0"/>
        <v>6.5</v>
      </c>
      <c r="W7" s="14" t="s">
        <v>36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>
        <v>12548</v>
      </c>
      <c r="C8" s="26" t="s">
        <v>177</v>
      </c>
      <c r="D8" s="190" t="s">
        <v>178</v>
      </c>
      <c r="E8" s="171" t="s">
        <v>36</v>
      </c>
      <c r="F8" s="161">
        <v>930</v>
      </c>
      <c r="G8" s="109" t="s">
        <v>37</v>
      </c>
      <c r="H8" s="82">
        <v>95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5</v>
      </c>
      <c r="O8" s="331"/>
      <c r="P8" s="332"/>
      <c r="Q8" s="333"/>
      <c r="R8" s="25" t="s">
        <v>179</v>
      </c>
      <c r="S8" s="30">
        <v>0.35416666666666669</v>
      </c>
      <c r="T8" s="31">
        <v>0.72916666666666663</v>
      </c>
      <c r="U8" s="83">
        <f t="shared" si="0"/>
        <v>8.9999999999999982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>
        <v>12549</v>
      </c>
      <c r="C9" s="54" t="s">
        <v>180</v>
      </c>
      <c r="D9" s="191" t="s">
        <v>181</v>
      </c>
      <c r="E9" s="171" t="s">
        <v>36</v>
      </c>
      <c r="F9" s="162">
        <v>940</v>
      </c>
      <c r="G9" s="110" t="s">
        <v>54</v>
      </c>
      <c r="H9" s="82">
        <v>75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5</v>
      </c>
      <c r="O9" s="331"/>
      <c r="P9" s="332"/>
      <c r="Q9" s="333"/>
      <c r="R9" s="25" t="s">
        <v>182</v>
      </c>
      <c r="S9" s="30">
        <v>0.42708333333333331</v>
      </c>
      <c r="T9" s="31">
        <v>0.52083333333333337</v>
      </c>
      <c r="U9" s="83">
        <f t="shared" si="0"/>
        <v>2.2500000000000013</v>
      </c>
      <c r="X9" s="14" t="s">
        <v>56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>
        <v>12550</v>
      </c>
      <c r="C10" s="27" t="s">
        <v>183</v>
      </c>
      <c r="D10" s="192" t="s">
        <v>184</v>
      </c>
      <c r="E10" s="171" t="s">
        <v>36</v>
      </c>
      <c r="F10" s="163">
        <v>945</v>
      </c>
      <c r="G10" s="111" t="s">
        <v>37</v>
      </c>
      <c r="H10" s="114">
        <v>75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5</v>
      </c>
      <c r="O10" s="323"/>
      <c r="P10" s="324"/>
      <c r="Q10" s="325"/>
      <c r="R10" s="25" t="s">
        <v>185</v>
      </c>
      <c r="S10" s="30">
        <v>0.44791666666666669</v>
      </c>
      <c r="T10" s="31">
        <v>0.72916666666666663</v>
      </c>
      <c r="U10" s="83">
        <f t="shared" si="0"/>
        <v>6.7499999999999982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>
        <v>12551</v>
      </c>
      <c r="C11" s="17" t="s">
        <v>186</v>
      </c>
      <c r="D11" s="193" t="s">
        <v>187</v>
      </c>
      <c r="E11" s="171" t="s">
        <v>36</v>
      </c>
      <c r="F11" s="57">
        <v>1015</v>
      </c>
      <c r="G11" s="112" t="s">
        <v>37</v>
      </c>
      <c r="H11" s="114"/>
      <c r="I11" s="115">
        <v>75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5</v>
      </c>
      <c r="O11" s="301"/>
      <c r="P11" s="300"/>
      <c r="Q11" s="30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>
        <v>12552</v>
      </c>
      <c r="C12" s="17" t="s">
        <v>188</v>
      </c>
      <c r="D12" s="193" t="s">
        <v>189</v>
      </c>
      <c r="E12" s="171" t="s">
        <v>36</v>
      </c>
      <c r="F12" s="57">
        <v>1030</v>
      </c>
      <c r="G12" s="112" t="s">
        <v>41</v>
      </c>
      <c r="H12" s="114">
        <v>115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5</v>
      </c>
      <c r="O12" s="301"/>
      <c r="P12" s="300"/>
      <c r="Q12" s="30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19">
        <v>12553</v>
      </c>
      <c r="C13" s="55" t="s">
        <v>190</v>
      </c>
      <c r="D13" s="194" t="s">
        <v>191</v>
      </c>
      <c r="E13" s="171" t="s">
        <v>43</v>
      </c>
      <c r="F13" s="163">
        <v>1035</v>
      </c>
      <c r="G13" s="110" t="s">
        <v>46</v>
      </c>
      <c r="H13" s="159"/>
      <c r="I13" s="158"/>
      <c r="J13" s="120" t="str">
        <f t="shared" si="1"/>
        <v>0</v>
      </c>
      <c r="K13" s="120">
        <v>79.16</v>
      </c>
      <c r="L13" s="121"/>
      <c r="M13" s="121"/>
      <c r="N13" s="124" t="s">
        <v>5</v>
      </c>
      <c r="O13" s="301" t="s">
        <v>192</v>
      </c>
      <c r="P13" s="300"/>
      <c r="Q13" s="30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>
        <v>12554</v>
      </c>
      <c r="C14" s="56" t="s">
        <v>193</v>
      </c>
      <c r="D14" s="190" t="s">
        <v>172</v>
      </c>
      <c r="E14" s="171" t="s">
        <v>43</v>
      </c>
      <c r="F14" s="164">
        <v>1045</v>
      </c>
      <c r="G14" s="113" t="s">
        <v>20</v>
      </c>
      <c r="H14" s="114"/>
      <c r="I14" s="116"/>
      <c r="J14" s="120" t="str">
        <f t="shared" si="1"/>
        <v>55</v>
      </c>
      <c r="K14" s="120" t="str">
        <f t="shared" si="2"/>
        <v>0</v>
      </c>
      <c r="L14" s="121"/>
      <c r="M14" s="121"/>
      <c r="N14" s="124" t="s">
        <v>5</v>
      </c>
      <c r="O14" s="301" t="s">
        <v>194</v>
      </c>
      <c r="P14" s="300"/>
      <c r="Q14" s="30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>
        <v>12555</v>
      </c>
      <c r="C15" s="56" t="s">
        <v>195</v>
      </c>
      <c r="D15" s="195" t="s">
        <v>196</v>
      </c>
      <c r="E15" s="171" t="s">
        <v>36</v>
      </c>
      <c r="F15" s="164">
        <v>1105</v>
      </c>
      <c r="G15" s="113" t="s">
        <v>37</v>
      </c>
      <c r="H15" s="114"/>
      <c r="I15" s="115">
        <v>130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5</v>
      </c>
      <c r="O15" s="301"/>
      <c r="P15" s="300"/>
      <c r="Q15" s="30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>
        <v>12556</v>
      </c>
      <c r="C16" s="56" t="s">
        <v>197</v>
      </c>
      <c r="D16" s="195" t="s">
        <v>198</v>
      </c>
      <c r="E16" s="171" t="s">
        <v>36</v>
      </c>
      <c r="F16" s="164">
        <v>1110</v>
      </c>
      <c r="G16" s="113" t="s">
        <v>20</v>
      </c>
      <c r="H16" s="114">
        <v>20</v>
      </c>
      <c r="I16" s="115"/>
      <c r="J16" s="120" t="str">
        <f t="shared" si="1"/>
        <v>55</v>
      </c>
      <c r="K16" s="120" t="str">
        <f t="shared" si="2"/>
        <v>0</v>
      </c>
      <c r="L16" s="121"/>
      <c r="M16" s="121"/>
      <c r="N16" s="124" t="s">
        <v>5</v>
      </c>
      <c r="O16" s="301" t="s">
        <v>199</v>
      </c>
      <c r="P16" s="300"/>
      <c r="Q16" s="302"/>
      <c r="R16" s="73">
        <f>H32/U16</f>
        <v>0.57471264367816088</v>
      </c>
      <c r="S16" s="74">
        <f>H32/(U16-U5)</f>
        <v>0.73529411764705888</v>
      </c>
      <c r="T16" s="74">
        <f>C32/U16</f>
        <v>56.37747126436782</v>
      </c>
      <c r="U16" s="74">
        <f>SUM(U5:U15)</f>
        <v>43.5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>
        <v>12557</v>
      </c>
      <c r="C17" s="17" t="s">
        <v>200</v>
      </c>
      <c r="D17" s="193" t="s">
        <v>201</v>
      </c>
      <c r="E17" s="171" t="s">
        <v>43</v>
      </c>
      <c r="F17" s="57">
        <v>1120</v>
      </c>
      <c r="G17" s="112" t="s">
        <v>41</v>
      </c>
      <c r="H17" s="114">
        <v>120</v>
      </c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5</v>
      </c>
      <c r="O17" s="301"/>
      <c r="P17" s="300"/>
      <c r="Q17" s="302"/>
      <c r="R17" s="75" t="s">
        <v>75</v>
      </c>
      <c r="S17" s="76" t="s">
        <v>76</v>
      </c>
      <c r="T17" s="76" t="s">
        <v>77</v>
      </c>
      <c r="U17" s="74" t="s">
        <v>78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>
        <v>12558</v>
      </c>
      <c r="C18" s="17" t="s">
        <v>202</v>
      </c>
      <c r="D18" s="193" t="s">
        <v>203</v>
      </c>
      <c r="E18" s="171" t="s">
        <v>36</v>
      </c>
      <c r="F18" s="57">
        <v>1145</v>
      </c>
      <c r="G18" s="19" t="s">
        <v>20</v>
      </c>
      <c r="H18" s="114">
        <v>20</v>
      </c>
      <c r="I18" s="115"/>
      <c r="J18" s="120" t="str">
        <f t="shared" si="1"/>
        <v>55</v>
      </c>
      <c r="K18" s="120" t="str">
        <f t="shared" si="2"/>
        <v>0</v>
      </c>
      <c r="L18" s="121"/>
      <c r="M18" s="121"/>
      <c r="N18" s="124" t="s">
        <v>5</v>
      </c>
      <c r="O18" s="301" t="s">
        <v>204</v>
      </c>
      <c r="P18" s="300"/>
      <c r="Q18" s="302"/>
      <c r="R18" s="77" t="s">
        <v>81</v>
      </c>
      <c r="S18" s="78" t="s">
        <v>82</v>
      </c>
      <c r="T18" s="78" t="s">
        <v>83</v>
      </c>
      <c r="U18" s="79" t="s">
        <v>84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19">
        <v>12559</v>
      </c>
      <c r="C19" s="17" t="s">
        <v>205</v>
      </c>
      <c r="D19" s="193" t="s">
        <v>206</v>
      </c>
      <c r="E19" s="171" t="s">
        <v>43</v>
      </c>
      <c r="F19" s="57">
        <v>1200</v>
      </c>
      <c r="G19" s="112" t="s">
        <v>41</v>
      </c>
      <c r="H19" s="114"/>
      <c r="I19" s="115">
        <v>150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5</v>
      </c>
      <c r="O19" s="301"/>
      <c r="P19" s="300"/>
      <c r="Q19" s="300"/>
      <c r="R19" s="84" t="s">
        <v>21</v>
      </c>
      <c r="S19" s="85">
        <f>COUNT(L5:M29,L37:M61,L69:M93)</f>
        <v>2</v>
      </c>
      <c r="T19" s="107">
        <f>SUM(L5:M29,L37:M61,L69:M93)</f>
        <v>1375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>
        <v>12560</v>
      </c>
      <c r="C20" s="17" t="s">
        <v>207</v>
      </c>
      <c r="D20" s="193" t="s">
        <v>208</v>
      </c>
      <c r="E20" s="171" t="s">
        <v>36</v>
      </c>
      <c r="F20" s="57">
        <v>1200</v>
      </c>
      <c r="G20" s="112" t="s">
        <v>37</v>
      </c>
      <c r="H20" s="114">
        <v>95</v>
      </c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5</v>
      </c>
      <c r="O20" s="369"/>
      <c r="P20" s="370"/>
      <c r="Q20" s="37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19">
        <v>12561</v>
      </c>
      <c r="C21" s="17" t="s">
        <v>209</v>
      </c>
      <c r="D21" s="193" t="s">
        <v>210</v>
      </c>
      <c r="E21" s="171" t="s">
        <v>36</v>
      </c>
      <c r="F21" s="57">
        <v>1215</v>
      </c>
      <c r="G21" s="19" t="s">
        <v>41</v>
      </c>
      <c r="H21" s="114">
        <v>150</v>
      </c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5</v>
      </c>
      <c r="O21" s="301"/>
      <c r="P21" s="300"/>
      <c r="Q21" s="300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>
        <v>12562</v>
      </c>
      <c r="C22" s="21" t="s">
        <v>211</v>
      </c>
      <c r="D22" s="196" t="s">
        <v>212</v>
      </c>
      <c r="E22" s="171" t="s">
        <v>36</v>
      </c>
      <c r="F22" s="165">
        <v>1220</v>
      </c>
      <c r="G22" s="204" t="s">
        <v>37</v>
      </c>
      <c r="H22" s="80">
        <v>75</v>
      </c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5</v>
      </c>
      <c r="O22" s="301"/>
      <c r="P22" s="300"/>
      <c r="Q22" s="302"/>
      <c r="R22" s="104"/>
      <c r="S22" s="105"/>
      <c r="T22" s="105"/>
      <c r="U22" s="106"/>
      <c r="AD22" s="14" t="s">
        <v>96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96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>
        <v>12563</v>
      </c>
      <c r="C23" s="126" t="s">
        <v>213</v>
      </c>
      <c r="D23" s="197" t="s">
        <v>214</v>
      </c>
      <c r="E23" s="171" t="s">
        <v>36</v>
      </c>
      <c r="F23" s="166">
        <v>1250</v>
      </c>
      <c r="G23" s="155" t="s">
        <v>37</v>
      </c>
      <c r="H23" s="80">
        <v>75</v>
      </c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5</v>
      </c>
      <c r="O23" s="153"/>
      <c r="P23" s="154"/>
      <c r="Q23" s="149"/>
      <c r="R23" s="104"/>
      <c r="S23" s="105"/>
      <c r="T23" s="105"/>
      <c r="U23" s="106"/>
      <c r="X23" s="367"/>
      <c r="Y23" s="368"/>
      <c r="Z23" s="368"/>
    </row>
    <row r="24" spans="1:44" ht="16.5" customHeight="1" thickBot="1">
      <c r="A24" s="125">
        <v>20</v>
      </c>
      <c r="B24" s="123">
        <v>12564</v>
      </c>
      <c r="C24" s="21" t="s">
        <v>215</v>
      </c>
      <c r="D24" s="196" t="s">
        <v>216</v>
      </c>
      <c r="E24" s="171" t="s">
        <v>36</v>
      </c>
      <c r="F24" s="165">
        <v>1330</v>
      </c>
      <c r="G24" s="204" t="s">
        <v>54</v>
      </c>
      <c r="H24" s="80">
        <v>75</v>
      </c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5</v>
      </c>
      <c r="O24" s="301"/>
      <c r="P24" s="300"/>
      <c r="Q24" s="302"/>
      <c r="R24" s="133" t="s">
        <v>99</v>
      </c>
      <c r="S24" s="134" t="s">
        <v>100</v>
      </c>
      <c r="T24" s="134" t="s">
        <v>101</v>
      </c>
      <c r="U24" s="135" t="s">
        <v>102</v>
      </c>
      <c r="X24" s="38"/>
      <c r="AD24" s="23" t="s">
        <v>103</v>
      </c>
      <c r="AE24" s="21" t="s">
        <v>30</v>
      </c>
      <c r="AF24" s="21" t="s">
        <v>33</v>
      </c>
      <c r="AG24" s="21" t="s">
        <v>31</v>
      </c>
      <c r="AH24" s="21" t="s">
        <v>104</v>
      </c>
      <c r="AI24" s="21" t="s">
        <v>105</v>
      </c>
    </row>
    <row r="25" spans="1:44" ht="16.5" customHeight="1">
      <c r="A25" s="125">
        <v>21</v>
      </c>
      <c r="B25" s="119">
        <v>12565</v>
      </c>
      <c r="C25" s="122" t="s">
        <v>217</v>
      </c>
      <c r="D25" s="198" t="s">
        <v>218</v>
      </c>
      <c r="E25" s="171" t="s">
        <v>36</v>
      </c>
      <c r="F25" s="165">
        <v>1400</v>
      </c>
      <c r="G25" s="204" t="s">
        <v>41</v>
      </c>
      <c r="H25" s="81">
        <v>150</v>
      </c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5</v>
      </c>
      <c r="O25" s="301"/>
      <c r="P25" s="300"/>
      <c r="Q25" s="30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73">
        <f>((C32+(R26+S26+T26)*0.5))</f>
        <v>2452.42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>
        <v>12566</v>
      </c>
      <c r="C26" s="26" t="s">
        <v>219</v>
      </c>
      <c r="D26" s="199" t="s">
        <v>220</v>
      </c>
      <c r="E26" s="171" t="s">
        <v>43</v>
      </c>
      <c r="F26" s="167">
        <v>1410</v>
      </c>
      <c r="G26" s="19" t="s">
        <v>41</v>
      </c>
      <c r="H26" s="80">
        <v>150</v>
      </c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 t="s">
        <v>5</v>
      </c>
      <c r="O26" s="301"/>
      <c r="P26" s="300"/>
      <c r="Q26" s="302"/>
      <c r="R26" s="103">
        <f>R25*37.5</f>
        <v>0</v>
      </c>
      <c r="S26" s="93">
        <f>S25*41.5</f>
        <v>0</v>
      </c>
      <c r="T26" s="93">
        <f>T25*50</f>
        <v>0</v>
      </c>
      <c r="U26" s="374"/>
      <c r="X26" s="41" t="s">
        <v>106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>
        <v>12567</v>
      </c>
      <c r="C27" s="26" t="s">
        <v>221</v>
      </c>
      <c r="D27" s="199" t="s">
        <v>222</v>
      </c>
      <c r="E27" s="171" t="s">
        <v>43</v>
      </c>
      <c r="F27" s="167">
        <v>1440</v>
      </c>
      <c r="G27" s="19" t="s">
        <v>223</v>
      </c>
      <c r="H27" s="80"/>
      <c r="I27" s="131">
        <v>50</v>
      </c>
      <c r="J27" s="120" t="str">
        <f t="shared" si="1"/>
        <v>0</v>
      </c>
      <c r="K27" s="120" t="str">
        <f t="shared" si="2"/>
        <v>0</v>
      </c>
      <c r="L27" s="60"/>
      <c r="M27" s="60"/>
      <c r="N27" s="124" t="s">
        <v>5</v>
      </c>
      <c r="O27" s="301"/>
      <c r="P27" s="300"/>
      <c r="Q27" s="302"/>
      <c r="R27" s="364" t="s">
        <v>107</v>
      </c>
      <c r="S27" s="365"/>
      <c r="T27" s="365"/>
      <c r="U27" s="366"/>
      <c r="V27" s="14" t="s">
        <v>108</v>
      </c>
      <c r="W27" s="14" t="s">
        <v>108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>
        <v>12568</v>
      </c>
      <c r="C28" s="26" t="s">
        <v>224</v>
      </c>
      <c r="D28" s="199" t="s">
        <v>225</v>
      </c>
      <c r="E28" s="171" t="s">
        <v>43</v>
      </c>
      <c r="F28" s="167">
        <v>1515</v>
      </c>
      <c r="G28" s="19" t="s">
        <v>41</v>
      </c>
      <c r="H28" s="80">
        <v>150</v>
      </c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 t="s">
        <v>5</v>
      </c>
      <c r="O28" s="301"/>
      <c r="P28" s="300"/>
      <c r="Q28" s="302"/>
      <c r="R28" s="357" t="s">
        <v>226</v>
      </c>
      <c r="S28" s="358"/>
      <c r="T28" s="359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249">
        <v>12569</v>
      </c>
      <c r="C29" s="263" t="s">
        <v>227</v>
      </c>
      <c r="D29" s="264" t="s">
        <v>228</v>
      </c>
      <c r="E29" s="265" t="s">
        <v>43</v>
      </c>
      <c r="F29" s="266">
        <v>1615</v>
      </c>
      <c r="G29" s="260" t="s">
        <v>46</v>
      </c>
      <c r="H29" s="261"/>
      <c r="I29" s="261"/>
      <c r="J29" s="254" t="str">
        <f t="shared" si="1"/>
        <v>0</v>
      </c>
      <c r="K29" s="254">
        <v>150</v>
      </c>
      <c r="L29" s="254"/>
      <c r="M29" s="254">
        <v>900</v>
      </c>
      <c r="N29" s="256" t="s">
        <v>5</v>
      </c>
      <c r="O29" s="379" t="s">
        <v>229</v>
      </c>
      <c r="P29" s="380"/>
      <c r="Q29" s="381"/>
      <c r="R29" s="347"/>
      <c r="S29" s="348"/>
      <c r="T29" s="349"/>
      <c r="U29" s="140"/>
      <c r="X29" s="14">
        <v>3</v>
      </c>
      <c r="Z29" s="45"/>
      <c r="AE29" s="39"/>
    </row>
    <row r="30" spans="1:44" ht="16.5" customHeight="1" thickBot="1">
      <c r="A30" s="350" t="s">
        <v>110</v>
      </c>
      <c r="B30" s="351"/>
      <c r="C30" s="351"/>
      <c r="D30" s="351"/>
      <c r="E30" s="352"/>
      <c r="F30" s="351"/>
      <c r="G30" s="351"/>
      <c r="H30" s="201">
        <f t="shared" ref="H30:M30" si="3">SUM(H5:H29)</f>
        <v>1440</v>
      </c>
      <c r="I30" s="96">
        <f>SUM(I5:I29)</f>
        <v>405</v>
      </c>
      <c r="J30" s="96">
        <f>J5+J6+J7+J8+J9+J10+J11+J12+J13+J14+J15+J16+J18+J19+J17+J20+J22+J23+J21+J24+J25+J26+J27+J28+J29</f>
        <v>220</v>
      </c>
      <c r="K30" s="96">
        <f>K5+K6+K7+K8+K9+K10+K11+K12+K13+K14+K15+K16+K18+K19+K17+K20+K22+K23+K21+K24+K25+K26+K27+K28+K29</f>
        <v>387.41999999999996</v>
      </c>
      <c r="L30" s="97">
        <f t="shared" si="3"/>
        <v>0</v>
      </c>
      <c r="M30" s="97">
        <f t="shared" si="3"/>
        <v>1375</v>
      </c>
      <c r="N30" s="206" t="s">
        <v>111</v>
      </c>
      <c r="O30" s="206" t="s">
        <v>19</v>
      </c>
      <c r="P30" s="206" t="s">
        <v>21</v>
      </c>
      <c r="Q30" s="87" t="s">
        <v>20</v>
      </c>
      <c r="R30" s="353"/>
      <c r="S30" s="353"/>
      <c r="T30" s="354"/>
      <c r="U30" s="141"/>
      <c r="X30" s="14">
        <v>4</v>
      </c>
      <c r="Z30" s="45"/>
      <c r="AD30" s="46"/>
    </row>
    <row r="31" spans="1:44">
      <c r="A31" s="355" t="s">
        <v>112</v>
      </c>
      <c r="B31" s="356"/>
      <c r="C31" s="356"/>
      <c r="D31" s="356"/>
      <c r="E31" s="356"/>
      <c r="F31" s="356"/>
      <c r="G31" s="356"/>
      <c r="H31" s="202">
        <f t="shared" ref="H31:J31" si="4">H30+H62+H94</f>
        <v>1440</v>
      </c>
      <c r="I31" s="94">
        <f t="shared" si="4"/>
        <v>405</v>
      </c>
      <c r="J31" s="94">
        <f t="shared" si="4"/>
        <v>220</v>
      </c>
      <c r="K31" s="94">
        <f>K30+K62+K94</f>
        <v>387.41999999999996</v>
      </c>
      <c r="L31" s="88">
        <f>L30+L62+L94</f>
        <v>0</v>
      </c>
      <c r="M31" s="88">
        <f>M30+M62+M94</f>
        <v>1375</v>
      </c>
      <c r="N31" s="207">
        <f>COUNT(H5:H29,H37:H61,H69:H93)</f>
        <v>15</v>
      </c>
      <c r="O31" s="95">
        <f>COUNT(I5:I29,I37:I61,I69:I93)</f>
        <v>4</v>
      </c>
      <c r="P31" s="95">
        <f>COUNTIF(G5:G29,"G*")+COUNTIF(G37:G61,"G*")+COUNTIF(G69:G93,"G*")+COUNTIF(G5:G29,"P*")+COUNTIF(G37:G61,"P*")+COUNTIF(G69:G93,"P*")</f>
        <v>4</v>
      </c>
      <c r="Q31" s="108">
        <f>COUNTIF(G5:G29,"RSL")+COUNTIF(G37:G61,"RSL")+COUNTIF(G69:G93,"RSL")</f>
        <v>4</v>
      </c>
      <c r="R31" s="89" t="s">
        <v>113</v>
      </c>
      <c r="S31" s="102">
        <f>H31+L31-U28-U29-U30</f>
        <v>1440</v>
      </c>
      <c r="T31" s="340">
        <f>H31+I31+L31+M31</f>
        <v>3220</v>
      </c>
      <c r="U31" s="341"/>
      <c r="X31" s="47" t="s">
        <v>114</v>
      </c>
      <c r="Y31" s="47"/>
      <c r="Z31" s="47">
        <f>SUM(Z27:Z30)</f>
        <v>-2745</v>
      </c>
      <c r="AE31" s="39"/>
    </row>
    <row r="32" spans="1:44" ht="17.25" thickBot="1">
      <c r="A32" s="360" t="s">
        <v>115</v>
      </c>
      <c r="B32" s="361"/>
      <c r="C32" s="98">
        <f>H31+I31+J31+K31</f>
        <v>2452.42</v>
      </c>
      <c r="D32" s="186"/>
      <c r="E32" s="98"/>
      <c r="F32" s="362" t="s">
        <v>116</v>
      </c>
      <c r="G32" s="362"/>
      <c r="H32" s="100">
        <f>COUNT(B5:B29,B37:B61,B69:B93)</f>
        <v>25</v>
      </c>
      <c r="I32" s="363" t="s">
        <v>117</v>
      </c>
      <c r="J32" s="363"/>
      <c r="K32" s="99">
        <f>C32/H32</f>
        <v>98.096800000000002</v>
      </c>
      <c r="L32" s="208"/>
      <c r="M32" s="208"/>
      <c r="N32" s="208">
        <f>H31/C32</f>
        <v>0.58717511682338264</v>
      </c>
      <c r="O32" s="208">
        <f>I31/C32</f>
        <v>0.16514300160657636</v>
      </c>
      <c r="P32" s="208">
        <f>K31/C32</f>
        <v>0.15797457205535753</v>
      </c>
      <c r="Q32" s="101">
        <f>J31/C32</f>
        <v>8.9707309514683448E-2</v>
      </c>
      <c r="R32" s="90" t="s">
        <v>118</v>
      </c>
      <c r="S32" s="203">
        <f>I31+M31</f>
        <v>1780</v>
      </c>
      <c r="T32" s="342"/>
      <c r="U32" s="343"/>
      <c r="V32" s="39"/>
      <c r="W32" s="39"/>
      <c r="X32" s="48" t="s">
        <v>119</v>
      </c>
      <c r="Y32" s="48"/>
      <c r="Z32" s="47">
        <f>I31</f>
        <v>405</v>
      </c>
    </row>
    <row r="33" spans="1:33" ht="17.25" thickBot="1">
      <c r="A33" s="294" t="s">
        <v>120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49" t="s">
        <v>121</v>
      </c>
      <c r="Y33" s="49"/>
      <c r="Z33" s="50">
        <f>SUM(Z31:Z32)</f>
        <v>-2340</v>
      </c>
      <c r="AG33" s="35"/>
    </row>
    <row r="34" spans="1:33" ht="17.25" thickBot="1">
      <c r="A34" s="334" t="str">
        <f>A2</f>
        <v>30 - 11 - 2022</v>
      </c>
      <c r="B34" s="335"/>
      <c r="C34" s="335"/>
      <c r="D34" s="335"/>
      <c r="E34" s="335"/>
      <c r="F34" s="335"/>
      <c r="G34" s="336"/>
      <c r="H34" s="337" t="s">
        <v>2</v>
      </c>
      <c r="I34" s="338"/>
      <c r="J34" s="334" t="str">
        <f>J2</f>
        <v>SUNNY</v>
      </c>
      <c r="K34" s="336"/>
      <c r="L34" s="338" t="s">
        <v>122</v>
      </c>
      <c r="M34" s="339"/>
      <c r="N34" s="337"/>
      <c r="O34" s="335" t="str">
        <f>O2</f>
        <v>JOHN</v>
      </c>
      <c r="P34" s="335"/>
      <c r="Q34" s="336"/>
      <c r="R34" s="338" t="s">
        <v>6</v>
      </c>
      <c r="S34" s="337"/>
      <c r="T34" s="326">
        <f>T2</f>
        <v>5</v>
      </c>
      <c r="U34" s="326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44" t="s">
        <v>11</v>
      </c>
      <c r="B36" s="205" t="s">
        <v>12</v>
      </c>
      <c r="C36" s="157" t="s">
        <v>13</v>
      </c>
      <c r="D36" s="184" t="s">
        <v>14</v>
      </c>
      <c r="E36" s="157" t="s">
        <v>15</v>
      </c>
      <c r="F36" s="205" t="s">
        <v>16</v>
      </c>
      <c r="G36" s="205" t="s">
        <v>17</v>
      </c>
      <c r="H36" s="205" t="s">
        <v>18</v>
      </c>
      <c r="I36" s="205" t="s">
        <v>19</v>
      </c>
      <c r="J36" s="205" t="s">
        <v>20</v>
      </c>
      <c r="K36" s="205" t="s">
        <v>21</v>
      </c>
      <c r="L36" s="205" t="s">
        <v>22</v>
      </c>
      <c r="M36" s="205" t="s">
        <v>23</v>
      </c>
      <c r="N36" s="205" t="s">
        <v>24</v>
      </c>
      <c r="O36" s="327" t="s">
        <v>25</v>
      </c>
      <c r="P36" s="327"/>
      <c r="Q36" s="327"/>
      <c r="R36" s="205" t="s">
        <v>26</v>
      </c>
      <c r="S36" s="145" t="s">
        <v>27</v>
      </c>
      <c r="T36" s="145" t="s">
        <v>28</v>
      </c>
      <c r="U36" s="146" t="s">
        <v>29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01"/>
      <c r="P37" s="300"/>
      <c r="Q37" s="302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28"/>
      <c r="P38" s="329"/>
      <c r="Q38" s="330"/>
      <c r="R38" s="69"/>
      <c r="S38" s="62"/>
      <c r="T38" s="16"/>
      <c r="U38" s="63"/>
    </row>
    <row r="39" spans="1:3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01"/>
      <c r="P39" s="300"/>
      <c r="Q39" s="302"/>
      <c r="R39" s="70"/>
      <c r="S39" s="13"/>
      <c r="T39" s="12"/>
      <c r="U39" s="63"/>
    </row>
    <row r="40" spans="1:3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31"/>
      <c r="P40" s="332"/>
      <c r="Q40" s="333"/>
      <c r="R40" s="69"/>
      <c r="S40" s="62"/>
      <c r="T40" s="62"/>
      <c r="U40" s="63"/>
    </row>
    <row r="41" spans="1:3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31"/>
      <c r="P41" s="332"/>
      <c r="Q41" s="333"/>
      <c r="R41" s="71"/>
      <c r="S41" s="64"/>
      <c r="T41" s="64"/>
      <c r="U41" s="65"/>
    </row>
    <row r="42" spans="1:3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23"/>
      <c r="P42" s="324"/>
      <c r="Q42" s="325"/>
      <c r="R42" s="71"/>
      <c r="S42" s="64"/>
      <c r="T42" s="64"/>
      <c r="U42" s="65"/>
    </row>
    <row r="43" spans="1:3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01"/>
      <c r="P43" s="300"/>
      <c r="Q43" s="302"/>
      <c r="R43" s="69"/>
      <c r="S43" s="62"/>
      <c r="T43" s="62"/>
      <c r="U43" s="63"/>
    </row>
    <row r="44" spans="1:3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01"/>
      <c r="P44" s="300"/>
      <c r="Q44" s="302"/>
      <c r="R44" s="5"/>
      <c r="S44" s="62"/>
      <c r="T44" s="62"/>
      <c r="U44" s="63"/>
    </row>
    <row r="45" spans="1:3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01"/>
      <c r="P45" s="300"/>
      <c r="Q45" s="302"/>
      <c r="R45" s="5"/>
      <c r="S45" s="62"/>
      <c r="T45" s="62"/>
      <c r="U45" s="63"/>
    </row>
    <row r="46" spans="1:3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01"/>
      <c r="P46" s="300"/>
      <c r="Q46" s="302"/>
      <c r="R46" s="5"/>
      <c r="S46" s="62"/>
      <c r="T46" s="62"/>
      <c r="U46" s="63"/>
    </row>
    <row r="47" spans="1:3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01"/>
      <c r="P47" s="300"/>
      <c r="Q47" s="302"/>
      <c r="R47" s="5"/>
      <c r="S47" s="62"/>
      <c r="T47" s="62"/>
      <c r="U47" s="63"/>
    </row>
    <row r="48" spans="1:3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01"/>
      <c r="P48" s="300"/>
      <c r="Q48" s="302"/>
      <c r="R48" s="5"/>
      <c r="S48" s="62"/>
      <c r="T48" s="62"/>
      <c r="U48" s="63"/>
    </row>
    <row r="49" spans="1:21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01"/>
      <c r="P49" s="300"/>
      <c r="Q49" s="302"/>
      <c r="R49" s="5"/>
      <c r="S49" s="62"/>
      <c r="T49" s="66"/>
      <c r="U49" s="63"/>
    </row>
    <row r="50" spans="1:21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01"/>
      <c r="P50" s="300"/>
      <c r="Q50" s="302"/>
      <c r="R50" s="5"/>
      <c r="S50" s="62"/>
      <c r="T50" s="66"/>
      <c r="U50" s="63"/>
    </row>
    <row r="51" spans="1:21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01"/>
      <c r="P51" s="300"/>
      <c r="Q51" s="300"/>
      <c r="R51" s="5"/>
      <c r="S51" s="62"/>
      <c r="T51" s="66"/>
      <c r="U51" s="63"/>
    </row>
    <row r="52" spans="1:21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01"/>
      <c r="P52" s="300"/>
      <c r="Q52" s="300"/>
      <c r="R52" s="72"/>
      <c r="S52" s="59"/>
      <c r="T52" s="67"/>
      <c r="U52" s="68"/>
    </row>
    <row r="53" spans="1:21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22"/>
      <c r="P53" s="301"/>
      <c r="Q53" s="301"/>
      <c r="R53" s="72"/>
      <c r="S53" s="59"/>
      <c r="T53" s="67"/>
      <c r="U53" s="68"/>
    </row>
    <row r="54" spans="1:21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22"/>
      <c r="P54" s="301"/>
      <c r="Q54" s="301"/>
      <c r="R54" s="72"/>
      <c r="S54" s="59"/>
      <c r="T54" s="67"/>
      <c r="U54" s="68"/>
    </row>
    <row r="55" spans="1:21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22"/>
      <c r="P55" s="301"/>
      <c r="Q55" s="301"/>
      <c r="R55" s="72"/>
      <c r="S55" s="59"/>
      <c r="T55" s="67"/>
      <c r="U55" s="68"/>
    </row>
    <row r="56" spans="1:21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00"/>
      <c r="P56" s="300"/>
      <c r="Q56" s="300"/>
      <c r="R56" s="72"/>
      <c r="S56" s="59"/>
      <c r="T56" s="67"/>
      <c r="U56" s="68"/>
    </row>
    <row r="57" spans="1:21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01"/>
      <c r="P57" s="300"/>
      <c r="Q57" s="300"/>
      <c r="R57" s="72"/>
      <c r="S57" s="59"/>
      <c r="T57" s="59"/>
      <c r="U57" s="68"/>
    </row>
    <row r="58" spans="1:21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00"/>
      <c r="P58" s="300"/>
      <c r="Q58" s="300"/>
      <c r="R58" s="72"/>
      <c r="S58" s="59"/>
      <c r="T58" s="59"/>
      <c r="U58" s="68"/>
    </row>
    <row r="59" spans="1:21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00"/>
      <c r="P59" s="300"/>
      <c r="Q59" s="300"/>
      <c r="R59" s="72"/>
      <c r="S59" s="59"/>
      <c r="T59" s="59"/>
      <c r="U59" s="68"/>
    </row>
    <row r="60" spans="1:21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01"/>
      <c r="P60" s="300"/>
      <c r="Q60" s="302"/>
      <c r="R60" s="72"/>
      <c r="S60" s="59"/>
      <c r="T60" s="59"/>
      <c r="U60" s="68"/>
    </row>
    <row r="61" spans="1:21" ht="17.25" thickBot="1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03"/>
      <c r="P61" s="304"/>
      <c r="Q61" s="305"/>
      <c r="R61" s="72"/>
      <c r="S61" s="59"/>
      <c r="T61" s="59"/>
      <c r="U61" s="68"/>
    </row>
    <row r="62" spans="1:21">
      <c r="A62" s="306" t="s">
        <v>110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7.25" thickBot="1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7.25" thickBot="1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123</v>
      </c>
      <c r="S64" s="298"/>
      <c r="T64" s="298"/>
      <c r="U64" s="299"/>
    </row>
    <row r="65" spans="1:21" ht="17.25" thickBot="1">
      <c r="A65" s="334" t="s">
        <v>120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7.25" thickBot="1">
      <c r="A66" s="334" t="str">
        <f>A34</f>
        <v>30 - 11 - 2022</v>
      </c>
      <c r="B66" s="335"/>
      <c r="C66" s="335"/>
      <c r="D66" s="335"/>
      <c r="E66" s="335"/>
      <c r="F66" s="335"/>
      <c r="G66" s="336"/>
      <c r="H66" s="337" t="s">
        <v>2</v>
      </c>
      <c r="I66" s="338"/>
      <c r="J66" s="334" t="str">
        <f>J34</f>
        <v>SUNNY</v>
      </c>
      <c r="K66" s="336"/>
      <c r="L66" s="338" t="s">
        <v>122</v>
      </c>
      <c r="M66" s="339"/>
      <c r="N66" s="337"/>
      <c r="O66" s="335" t="str">
        <f>O34</f>
        <v>JOHN</v>
      </c>
      <c r="P66" s="335"/>
      <c r="Q66" s="336"/>
      <c r="R66" s="338" t="s">
        <v>6</v>
      </c>
      <c r="S66" s="337"/>
      <c r="T66" s="326">
        <f>T34</f>
        <v>5</v>
      </c>
      <c r="U66" s="326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44" t="s">
        <v>11</v>
      </c>
      <c r="B68" s="205" t="s">
        <v>12</v>
      </c>
      <c r="C68" s="157" t="s">
        <v>13</v>
      </c>
      <c r="D68" s="184" t="s">
        <v>14</v>
      </c>
      <c r="E68" s="157" t="s">
        <v>15</v>
      </c>
      <c r="F68" s="205" t="s">
        <v>16</v>
      </c>
      <c r="G68" s="205" t="s">
        <v>17</v>
      </c>
      <c r="H68" s="205" t="s">
        <v>18</v>
      </c>
      <c r="I68" s="205" t="s">
        <v>19</v>
      </c>
      <c r="J68" s="205" t="s">
        <v>20</v>
      </c>
      <c r="K68" s="205" t="s">
        <v>21</v>
      </c>
      <c r="L68" s="205" t="s">
        <v>22</v>
      </c>
      <c r="M68" s="205" t="s">
        <v>23</v>
      </c>
      <c r="N68" s="205" t="s">
        <v>24</v>
      </c>
      <c r="O68" s="327" t="s">
        <v>25</v>
      </c>
      <c r="P68" s="327"/>
      <c r="Q68" s="327"/>
      <c r="R68" s="205" t="s">
        <v>26</v>
      </c>
      <c r="S68" s="145" t="s">
        <v>27</v>
      </c>
      <c r="T68" s="145" t="s">
        <v>28</v>
      </c>
      <c r="U68" s="146" t="s">
        <v>29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01"/>
      <c r="P69" s="300"/>
      <c r="Q69" s="302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28"/>
      <c r="P70" s="329"/>
      <c r="Q70" s="330"/>
      <c r="R70" s="69"/>
      <c r="S70" s="62"/>
      <c r="T70" s="16"/>
      <c r="U70" s="63"/>
    </row>
    <row r="71" spans="1:21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01"/>
      <c r="P71" s="300"/>
      <c r="Q71" s="302"/>
      <c r="R71" s="70"/>
      <c r="S71" s="13"/>
      <c r="T71" s="12"/>
      <c r="U71" s="63"/>
    </row>
    <row r="72" spans="1:21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31"/>
      <c r="P72" s="332"/>
      <c r="Q72" s="333"/>
      <c r="R72" s="69"/>
      <c r="S72" s="62"/>
      <c r="T72" s="62"/>
      <c r="U72" s="63"/>
    </row>
    <row r="73" spans="1:21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31"/>
      <c r="P73" s="332"/>
      <c r="Q73" s="333"/>
      <c r="R73" s="71"/>
      <c r="S73" s="64"/>
      <c r="T73" s="64"/>
      <c r="U73" s="65"/>
    </row>
    <row r="74" spans="1:21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23"/>
      <c r="P74" s="324"/>
      <c r="Q74" s="325"/>
      <c r="R74" s="71"/>
      <c r="S74" s="64"/>
      <c r="T74" s="64"/>
      <c r="U74" s="65"/>
    </row>
    <row r="75" spans="1:21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01"/>
      <c r="P75" s="300"/>
      <c r="Q75" s="302"/>
      <c r="R75" s="69"/>
      <c r="S75" s="62"/>
      <c r="T75" s="62"/>
      <c r="U75" s="63"/>
    </row>
    <row r="76" spans="1:21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01"/>
      <c r="P76" s="300"/>
      <c r="Q76" s="302"/>
      <c r="R76" s="5"/>
      <c r="S76" s="62"/>
      <c r="T76" s="62"/>
      <c r="U76" s="63"/>
    </row>
    <row r="77" spans="1:21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01"/>
      <c r="P77" s="300"/>
      <c r="Q77" s="302"/>
      <c r="R77" s="5"/>
      <c r="S77" s="62"/>
      <c r="T77" s="62"/>
      <c r="U77" s="63"/>
    </row>
    <row r="78" spans="1:21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01"/>
      <c r="P78" s="300"/>
      <c r="Q78" s="302"/>
      <c r="R78" s="5"/>
      <c r="S78" s="62"/>
      <c r="T78" s="62"/>
      <c r="U78" s="63"/>
    </row>
    <row r="79" spans="1:21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01"/>
      <c r="P79" s="300"/>
      <c r="Q79" s="302"/>
      <c r="R79" s="5"/>
      <c r="S79" s="62"/>
      <c r="T79" s="62"/>
      <c r="U79" s="63"/>
    </row>
    <row r="80" spans="1:21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01"/>
      <c r="P80" s="300"/>
      <c r="Q80" s="302"/>
      <c r="R80" s="5"/>
      <c r="S80" s="62"/>
      <c r="T80" s="62"/>
      <c r="U80" s="63"/>
    </row>
    <row r="81" spans="1:21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01"/>
      <c r="P81" s="300"/>
      <c r="Q81" s="302"/>
      <c r="R81" s="5"/>
      <c r="S81" s="62"/>
      <c r="T81" s="66"/>
      <c r="U81" s="63"/>
    </row>
    <row r="82" spans="1:21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01"/>
      <c r="P82" s="300"/>
      <c r="Q82" s="302"/>
      <c r="R82" s="5"/>
      <c r="S82" s="62"/>
      <c r="T82" s="66"/>
      <c r="U82" s="63"/>
    </row>
    <row r="83" spans="1:21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01"/>
      <c r="P83" s="300"/>
      <c r="Q83" s="300"/>
      <c r="R83" s="5"/>
      <c r="S83" s="62"/>
      <c r="T83" s="66"/>
      <c r="U83" s="63"/>
    </row>
    <row r="84" spans="1:21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01"/>
      <c r="P84" s="300"/>
      <c r="Q84" s="300"/>
      <c r="R84" s="72"/>
      <c r="S84" s="59"/>
      <c r="T84" s="67"/>
      <c r="U84" s="68"/>
    </row>
    <row r="85" spans="1:21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22"/>
      <c r="P85" s="301"/>
      <c r="Q85" s="301"/>
      <c r="R85" s="72"/>
      <c r="S85" s="59"/>
      <c r="T85" s="67"/>
      <c r="U85" s="68"/>
    </row>
    <row r="86" spans="1:21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22"/>
      <c r="P86" s="301"/>
      <c r="Q86" s="301"/>
      <c r="R86" s="72"/>
      <c r="S86" s="59"/>
      <c r="T86" s="67"/>
      <c r="U86" s="68"/>
    </row>
    <row r="87" spans="1:21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22"/>
      <c r="P87" s="301"/>
      <c r="Q87" s="301"/>
      <c r="R87" s="72"/>
      <c r="S87" s="59"/>
      <c r="T87" s="67"/>
      <c r="U87" s="68"/>
    </row>
    <row r="88" spans="1:21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00"/>
      <c r="P88" s="300"/>
      <c r="Q88" s="300"/>
      <c r="R88" s="72"/>
      <c r="S88" s="59"/>
      <c r="T88" s="67"/>
      <c r="U88" s="68"/>
    </row>
    <row r="89" spans="1:21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01"/>
      <c r="P89" s="300"/>
      <c r="Q89" s="300"/>
      <c r="R89" s="72"/>
      <c r="S89" s="59"/>
      <c r="T89" s="59"/>
      <c r="U89" s="68"/>
    </row>
    <row r="90" spans="1:21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00"/>
      <c r="P90" s="300"/>
      <c r="Q90" s="300"/>
      <c r="R90" s="72"/>
      <c r="S90" s="59"/>
      <c r="T90" s="59"/>
      <c r="U90" s="68"/>
    </row>
    <row r="91" spans="1:21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00"/>
      <c r="P91" s="300"/>
      <c r="Q91" s="300"/>
      <c r="R91" s="72"/>
      <c r="S91" s="59"/>
      <c r="T91" s="59"/>
      <c r="U91" s="68"/>
    </row>
    <row r="92" spans="1:21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01"/>
      <c r="P92" s="300"/>
      <c r="Q92" s="302"/>
      <c r="R92" s="72"/>
      <c r="S92" s="59"/>
      <c r="T92" s="59"/>
      <c r="U92" s="68"/>
    </row>
    <row r="93" spans="1:21" ht="17.25" thickBot="1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03"/>
      <c r="P93" s="304"/>
      <c r="Q93" s="305"/>
      <c r="R93" s="72"/>
      <c r="S93" s="59"/>
      <c r="T93" s="59"/>
      <c r="U93" s="68"/>
    </row>
    <row r="94" spans="1:21">
      <c r="A94" s="306" t="s">
        <v>110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7.25" thickBot="1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7.25" thickBot="1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124</v>
      </c>
      <c r="S96" s="298"/>
      <c r="T96" s="298"/>
      <c r="U96" s="29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disablePrompts="1"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R9" sqref="R9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7.25" thickBot="1">
      <c r="A2" s="334" t="s">
        <v>230</v>
      </c>
      <c r="B2" s="335"/>
      <c r="C2" s="335"/>
      <c r="D2" s="335"/>
      <c r="E2" s="335"/>
      <c r="F2" s="335"/>
      <c r="G2" s="336"/>
      <c r="H2" s="337" t="s">
        <v>2</v>
      </c>
      <c r="I2" s="338"/>
      <c r="J2" s="334" t="s">
        <v>3</v>
      </c>
      <c r="K2" s="336"/>
      <c r="L2" s="338" t="s">
        <v>4</v>
      </c>
      <c r="M2" s="339"/>
      <c r="N2" s="337"/>
      <c r="O2" s="335" t="s">
        <v>5</v>
      </c>
      <c r="P2" s="335"/>
      <c r="Q2" s="336"/>
      <c r="R2" s="338" t="s">
        <v>6</v>
      </c>
      <c r="S2" s="337"/>
      <c r="T2" s="326">
        <v>7</v>
      </c>
      <c r="U2" s="326"/>
      <c r="X2" s="34" t="s">
        <v>7</v>
      </c>
      <c r="Y2" s="34"/>
      <c r="Z2" s="34"/>
      <c r="AA2" s="34" t="s">
        <v>8</v>
      </c>
      <c r="AB2" s="34"/>
      <c r="AI2" s="147" t="s">
        <v>9</v>
      </c>
      <c r="AJ2" s="147"/>
      <c r="AK2" s="147"/>
      <c r="AL2" s="147" t="s">
        <v>8</v>
      </c>
      <c r="AM2" s="147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44" t="s">
        <v>11</v>
      </c>
      <c r="B4" s="205" t="s">
        <v>12</v>
      </c>
      <c r="C4" s="157" t="s">
        <v>13</v>
      </c>
      <c r="D4" s="184" t="s">
        <v>14</v>
      </c>
      <c r="E4" s="157" t="s">
        <v>15</v>
      </c>
      <c r="F4" s="205" t="s">
        <v>16</v>
      </c>
      <c r="G4" s="205" t="s">
        <v>17</v>
      </c>
      <c r="H4" s="205" t="s">
        <v>18</v>
      </c>
      <c r="I4" s="205" t="s">
        <v>19</v>
      </c>
      <c r="J4" s="205" t="s">
        <v>20</v>
      </c>
      <c r="K4" s="205" t="s">
        <v>21</v>
      </c>
      <c r="L4" s="205" t="s">
        <v>22</v>
      </c>
      <c r="M4" s="205" t="s">
        <v>23</v>
      </c>
      <c r="N4" s="205" t="s">
        <v>24</v>
      </c>
      <c r="O4" s="327" t="s">
        <v>25</v>
      </c>
      <c r="P4" s="327"/>
      <c r="Q4" s="327"/>
      <c r="R4" s="205" t="s">
        <v>26</v>
      </c>
      <c r="S4" s="145" t="s">
        <v>27</v>
      </c>
      <c r="T4" s="145" t="s">
        <v>28</v>
      </c>
      <c r="U4" s="146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8">
        <v>1</v>
      </c>
      <c r="B5" s="119">
        <v>12570</v>
      </c>
      <c r="C5" s="59" t="s">
        <v>231</v>
      </c>
      <c r="D5" s="190" t="s">
        <v>232</v>
      </c>
      <c r="E5" s="171" t="s">
        <v>43</v>
      </c>
      <c r="F5" s="160">
        <v>810</v>
      </c>
      <c r="G5" s="109" t="s">
        <v>41</v>
      </c>
      <c r="H5" s="82">
        <v>115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5</v>
      </c>
      <c r="O5" s="375"/>
      <c r="P5" s="376"/>
      <c r="Q5" s="377"/>
      <c r="R5" s="32" t="s">
        <v>5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38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38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>
        <v>12571</v>
      </c>
      <c r="C6" s="58" t="s">
        <v>233</v>
      </c>
      <c r="D6" s="190" t="s">
        <v>234</v>
      </c>
      <c r="E6" s="171" t="s">
        <v>36</v>
      </c>
      <c r="F6" s="161">
        <v>830</v>
      </c>
      <c r="G6" s="109" t="s">
        <v>37</v>
      </c>
      <c r="H6" s="82">
        <v>75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5</v>
      </c>
      <c r="O6" s="328"/>
      <c r="P6" s="329"/>
      <c r="Q6" s="330"/>
      <c r="R6" s="122" t="s">
        <v>42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43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19">
        <v>12572</v>
      </c>
      <c r="C7" s="58" t="s">
        <v>235</v>
      </c>
      <c r="D7" s="190" t="s">
        <v>236</v>
      </c>
      <c r="E7" s="171" t="s">
        <v>43</v>
      </c>
      <c r="F7" s="161">
        <v>900</v>
      </c>
      <c r="G7" s="109" t="s">
        <v>37</v>
      </c>
      <c r="H7" s="82">
        <v>95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5</v>
      </c>
      <c r="O7" s="301"/>
      <c r="P7" s="300"/>
      <c r="Q7" s="302"/>
      <c r="R7" s="124" t="s">
        <v>48</v>
      </c>
      <c r="S7" s="30">
        <v>0.38541666666666669</v>
      </c>
      <c r="T7" s="31">
        <v>0.64583333333333337</v>
      </c>
      <c r="U7" s="83">
        <f t="shared" si="0"/>
        <v>6.25</v>
      </c>
      <c r="W7" s="14" t="s">
        <v>36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>
        <v>12573</v>
      </c>
      <c r="C8" s="26" t="s">
        <v>237</v>
      </c>
      <c r="D8" s="190" t="s">
        <v>238</v>
      </c>
      <c r="E8" s="171" t="s">
        <v>43</v>
      </c>
      <c r="F8" s="161">
        <v>910</v>
      </c>
      <c r="G8" s="109" t="s">
        <v>46</v>
      </c>
      <c r="H8" s="82"/>
      <c r="I8" s="115"/>
      <c r="J8" s="120" t="str">
        <f t="shared" si="1"/>
        <v>0</v>
      </c>
      <c r="K8" s="120">
        <v>79.16</v>
      </c>
      <c r="L8" s="121"/>
      <c r="M8" s="121"/>
      <c r="N8" s="124" t="s">
        <v>5</v>
      </c>
      <c r="O8" s="331" t="s">
        <v>239</v>
      </c>
      <c r="P8" s="332"/>
      <c r="Q8" s="333"/>
      <c r="R8" s="25" t="s">
        <v>51</v>
      </c>
      <c r="S8" s="30">
        <v>0.41666666666666669</v>
      </c>
      <c r="T8" s="31">
        <v>0.70833333333333337</v>
      </c>
      <c r="U8" s="83">
        <f t="shared" si="0"/>
        <v>7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>
        <v>12574</v>
      </c>
      <c r="C9" s="54" t="s">
        <v>240</v>
      </c>
      <c r="D9" s="191" t="s">
        <v>241</v>
      </c>
      <c r="E9" s="171" t="s">
        <v>36</v>
      </c>
      <c r="F9" s="162">
        <v>930</v>
      </c>
      <c r="G9" s="110" t="s">
        <v>242</v>
      </c>
      <c r="H9" s="82"/>
      <c r="I9" s="82">
        <v>480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5</v>
      </c>
      <c r="O9" s="331"/>
      <c r="P9" s="332"/>
      <c r="Q9" s="333"/>
      <c r="R9" s="25" t="s">
        <v>55</v>
      </c>
      <c r="S9" s="30">
        <v>0.375</v>
      </c>
      <c r="T9" s="31">
        <v>0.41666666666666669</v>
      </c>
      <c r="U9" s="83">
        <f t="shared" si="0"/>
        <v>1.0000000000000004</v>
      </c>
      <c r="X9" s="14" t="s">
        <v>56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>
        <v>12575</v>
      </c>
      <c r="C10" s="27" t="s">
        <v>243</v>
      </c>
      <c r="D10" s="192" t="s">
        <v>244</v>
      </c>
      <c r="E10" s="171" t="s">
        <v>36</v>
      </c>
      <c r="F10" s="163">
        <v>950</v>
      </c>
      <c r="G10" s="111" t="s">
        <v>95</v>
      </c>
      <c r="H10" s="114"/>
      <c r="I10" s="116">
        <v>60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5</v>
      </c>
      <c r="O10" s="323" t="s">
        <v>245</v>
      </c>
      <c r="P10" s="324"/>
      <c r="Q10" s="325"/>
      <c r="R10" s="25"/>
      <c r="S10" s="30">
        <v>0.47916666666666669</v>
      </c>
      <c r="T10" s="31">
        <v>0.70833333333333337</v>
      </c>
      <c r="U10" s="83">
        <f t="shared" si="0"/>
        <v>5.5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>
        <v>12576</v>
      </c>
      <c r="C11" s="17" t="s">
        <v>246</v>
      </c>
      <c r="D11" s="193" t="s">
        <v>247</v>
      </c>
      <c r="E11" s="171" t="s">
        <v>36</v>
      </c>
      <c r="F11" s="57">
        <v>1000</v>
      </c>
      <c r="G11" s="112" t="s">
        <v>37</v>
      </c>
      <c r="H11" s="114"/>
      <c r="I11" s="115">
        <v>95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5</v>
      </c>
      <c r="O11" s="301"/>
      <c r="P11" s="300"/>
      <c r="Q11" s="302"/>
      <c r="R11" s="14" t="s">
        <v>248</v>
      </c>
      <c r="S11" s="30">
        <v>0.33333333333333331</v>
      </c>
      <c r="T11" s="31">
        <v>0.70833333333333337</v>
      </c>
      <c r="U11" s="83">
        <f t="shared" si="0"/>
        <v>9.0000000000000018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>
        <v>12577</v>
      </c>
      <c r="C12" s="55" t="s">
        <v>249</v>
      </c>
      <c r="D12" s="194" t="s">
        <v>250</v>
      </c>
      <c r="E12" s="171" t="s">
        <v>36</v>
      </c>
      <c r="F12" s="163">
        <v>1000</v>
      </c>
      <c r="G12" s="110" t="s">
        <v>41</v>
      </c>
      <c r="H12" s="114">
        <v>150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5</v>
      </c>
      <c r="O12" s="301"/>
      <c r="P12" s="300"/>
      <c r="Q12" s="302"/>
      <c r="R12" s="25" t="s">
        <v>59</v>
      </c>
      <c r="S12" s="30">
        <v>0.47916666666666669</v>
      </c>
      <c r="T12" s="31">
        <v>0.70833333333333337</v>
      </c>
      <c r="U12" s="83">
        <f t="shared" si="0"/>
        <v>5.5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19">
        <v>12578</v>
      </c>
      <c r="C13" s="55" t="s">
        <v>251</v>
      </c>
      <c r="D13" s="194" t="s">
        <v>252</v>
      </c>
      <c r="E13" s="171" t="s">
        <v>36</v>
      </c>
      <c r="F13" s="163">
        <v>1010</v>
      </c>
      <c r="G13" s="110" t="s">
        <v>95</v>
      </c>
      <c r="H13" s="159"/>
      <c r="I13" s="158">
        <v>65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5</v>
      </c>
      <c r="O13" s="301"/>
      <c r="P13" s="300"/>
      <c r="Q13" s="302"/>
      <c r="R13" s="267" t="s">
        <v>253</v>
      </c>
      <c r="S13" s="30">
        <v>0.33333333333333331</v>
      </c>
      <c r="T13" s="31">
        <v>0.60416666666666663</v>
      </c>
      <c r="U13" s="83">
        <f t="shared" si="0"/>
        <v>6.5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>
        <v>12579</v>
      </c>
      <c r="C14" s="56" t="s">
        <v>254</v>
      </c>
      <c r="D14" s="195" t="s">
        <v>255</v>
      </c>
      <c r="E14" s="171" t="s">
        <v>36</v>
      </c>
      <c r="F14" s="164">
        <v>1110</v>
      </c>
      <c r="G14" s="113" t="s">
        <v>37</v>
      </c>
      <c r="H14" s="114">
        <v>95</v>
      </c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5</v>
      </c>
      <c r="O14" s="301"/>
      <c r="P14" s="300"/>
      <c r="Q14" s="30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>
        <v>12580</v>
      </c>
      <c r="C15" s="56" t="s">
        <v>256</v>
      </c>
      <c r="D15" s="195" t="s">
        <v>257</v>
      </c>
      <c r="E15" s="171" t="s">
        <v>36</v>
      </c>
      <c r="F15" s="164">
        <v>1200</v>
      </c>
      <c r="G15" s="113" t="s">
        <v>41</v>
      </c>
      <c r="H15" s="114">
        <v>150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5</v>
      </c>
      <c r="O15" s="301"/>
      <c r="P15" s="300"/>
      <c r="Q15" s="30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>
        <v>12581</v>
      </c>
      <c r="C16" s="56" t="s">
        <v>258</v>
      </c>
      <c r="D16" s="195" t="s">
        <v>259</v>
      </c>
      <c r="E16" s="171" t="s">
        <v>43</v>
      </c>
      <c r="F16" s="164">
        <v>1215</v>
      </c>
      <c r="G16" s="113" t="s">
        <v>131</v>
      </c>
      <c r="H16" s="114">
        <v>200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5</v>
      </c>
      <c r="O16" s="301"/>
      <c r="P16" s="300"/>
      <c r="Q16" s="302"/>
      <c r="R16" s="73">
        <f>H32/U16</f>
        <v>0.37446808510638291</v>
      </c>
      <c r="S16" s="74">
        <f>H32/(U16-U5)</f>
        <v>0.44221105527638183</v>
      </c>
      <c r="T16" s="74">
        <f>C32/U16</f>
        <v>45.475063829787224</v>
      </c>
      <c r="U16" s="74">
        <f>SUM(U5:U15)</f>
        <v>58.750000000000007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>
        <v>12582</v>
      </c>
      <c r="C17" s="17" t="s">
        <v>260</v>
      </c>
      <c r="D17" s="193" t="s">
        <v>261</v>
      </c>
      <c r="E17" s="171" t="s">
        <v>36</v>
      </c>
      <c r="F17" s="57">
        <v>1230</v>
      </c>
      <c r="G17" s="112" t="s">
        <v>54</v>
      </c>
      <c r="H17" s="114"/>
      <c r="I17" s="115">
        <v>55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5</v>
      </c>
      <c r="O17" s="301"/>
      <c r="P17" s="300"/>
      <c r="Q17" s="302"/>
      <c r="R17" s="75" t="s">
        <v>75</v>
      </c>
      <c r="S17" s="76" t="s">
        <v>76</v>
      </c>
      <c r="T17" s="76" t="s">
        <v>77</v>
      </c>
      <c r="U17" s="74" t="s">
        <v>78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>
        <v>12583</v>
      </c>
      <c r="C18" s="17" t="s">
        <v>262</v>
      </c>
      <c r="D18" s="193" t="s">
        <v>263</v>
      </c>
      <c r="E18" s="171" t="s">
        <v>43</v>
      </c>
      <c r="F18" s="57">
        <v>1250</v>
      </c>
      <c r="G18" s="19" t="s">
        <v>37</v>
      </c>
      <c r="H18" s="114"/>
      <c r="I18" s="115">
        <v>95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5</v>
      </c>
      <c r="O18" s="301"/>
      <c r="P18" s="300"/>
      <c r="Q18" s="302"/>
      <c r="R18" s="77" t="s">
        <v>81</v>
      </c>
      <c r="S18" s="78" t="s">
        <v>82</v>
      </c>
      <c r="T18" s="78" t="s">
        <v>83</v>
      </c>
      <c r="U18" s="79" t="s">
        <v>84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19">
        <v>12584</v>
      </c>
      <c r="C19" s="17" t="s">
        <v>264</v>
      </c>
      <c r="D19" s="193" t="s">
        <v>265</v>
      </c>
      <c r="E19" s="171" t="s">
        <v>36</v>
      </c>
      <c r="F19" s="57">
        <v>1315</v>
      </c>
      <c r="G19" s="112" t="s">
        <v>37</v>
      </c>
      <c r="H19" s="114"/>
      <c r="I19" s="115">
        <v>95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5</v>
      </c>
      <c r="O19" s="301"/>
      <c r="P19" s="300"/>
      <c r="Q19" s="300"/>
      <c r="R19" s="84" t="s">
        <v>21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>
        <v>12585</v>
      </c>
      <c r="C20" s="17" t="s">
        <v>266</v>
      </c>
      <c r="D20" s="193" t="s">
        <v>267</v>
      </c>
      <c r="E20" s="171" t="s">
        <v>36</v>
      </c>
      <c r="F20" s="57">
        <v>1320</v>
      </c>
      <c r="G20" s="112" t="s">
        <v>54</v>
      </c>
      <c r="H20" s="114"/>
      <c r="I20" s="115">
        <v>75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5</v>
      </c>
      <c r="O20" s="369"/>
      <c r="P20" s="370"/>
      <c r="Q20" s="37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19">
        <v>12586</v>
      </c>
      <c r="C21" s="17" t="s">
        <v>268</v>
      </c>
      <c r="D21" s="193" t="s">
        <v>269</v>
      </c>
      <c r="E21" s="171" t="s">
        <v>36</v>
      </c>
      <c r="F21" s="57">
        <v>1320</v>
      </c>
      <c r="G21" s="19" t="s">
        <v>54</v>
      </c>
      <c r="H21" s="114"/>
      <c r="I21" s="115">
        <v>75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5</v>
      </c>
      <c r="O21" s="301"/>
      <c r="P21" s="300"/>
      <c r="Q21" s="300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>
        <v>12587</v>
      </c>
      <c r="C22" s="21" t="s">
        <v>270</v>
      </c>
      <c r="D22" s="196" t="s">
        <v>271</v>
      </c>
      <c r="E22" s="171" t="s">
        <v>36</v>
      </c>
      <c r="F22" s="165">
        <v>1330</v>
      </c>
      <c r="G22" s="204" t="s">
        <v>37</v>
      </c>
      <c r="H22" s="80"/>
      <c r="I22" s="131">
        <v>75</v>
      </c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5</v>
      </c>
      <c r="O22" s="301"/>
      <c r="P22" s="300"/>
      <c r="Q22" s="302"/>
      <c r="R22" s="104"/>
      <c r="S22" s="105"/>
      <c r="T22" s="105"/>
      <c r="U22" s="106"/>
      <c r="AD22" s="14" t="s">
        <v>96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96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>
        <v>12588</v>
      </c>
      <c r="C23" s="126" t="s">
        <v>272</v>
      </c>
      <c r="D23" s="197" t="s">
        <v>273</v>
      </c>
      <c r="E23" s="171" t="s">
        <v>36</v>
      </c>
      <c r="F23" s="166">
        <v>1330</v>
      </c>
      <c r="G23" s="155" t="s">
        <v>41</v>
      </c>
      <c r="H23" s="80"/>
      <c r="I23" s="131">
        <v>150</v>
      </c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5</v>
      </c>
      <c r="O23" s="153"/>
      <c r="P23" s="154"/>
      <c r="Q23" s="149"/>
      <c r="R23" s="104"/>
      <c r="S23" s="105"/>
      <c r="T23" s="105"/>
      <c r="U23" s="106"/>
      <c r="X23" s="367"/>
      <c r="Y23" s="368"/>
      <c r="Z23" s="368"/>
    </row>
    <row r="24" spans="1:44" ht="16.5" customHeight="1" thickBot="1">
      <c r="A24" s="125">
        <v>20</v>
      </c>
      <c r="B24" s="123">
        <v>12589</v>
      </c>
      <c r="C24" s="21" t="s">
        <v>274</v>
      </c>
      <c r="D24" s="196" t="s">
        <v>275</v>
      </c>
      <c r="E24" s="171" t="s">
        <v>43</v>
      </c>
      <c r="F24" s="165">
        <v>1510</v>
      </c>
      <c r="G24" s="204" t="s">
        <v>91</v>
      </c>
      <c r="H24" s="80"/>
      <c r="I24" s="131"/>
      <c r="J24" s="120" t="str">
        <f t="shared" si="1"/>
        <v>0</v>
      </c>
      <c r="K24" s="120">
        <v>62.5</v>
      </c>
      <c r="L24" s="60"/>
      <c r="M24" s="60"/>
      <c r="N24" s="124" t="s">
        <v>42</v>
      </c>
      <c r="O24" s="301" t="s">
        <v>276</v>
      </c>
      <c r="P24" s="300"/>
      <c r="Q24" s="302"/>
      <c r="R24" s="133" t="s">
        <v>99</v>
      </c>
      <c r="S24" s="134" t="s">
        <v>100</v>
      </c>
      <c r="T24" s="134" t="s">
        <v>101</v>
      </c>
      <c r="U24" s="135" t="s">
        <v>102</v>
      </c>
      <c r="X24" s="38"/>
      <c r="AD24" s="23" t="s">
        <v>103</v>
      </c>
      <c r="AE24" s="21" t="s">
        <v>30</v>
      </c>
      <c r="AF24" s="21" t="s">
        <v>33</v>
      </c>
      <c r="AG24" s="21" t="s">
        <v>31</v>
      </c>
      <c r="AH24" s="21" t="s">
        <v>104</v>
      </c>
      <c r="AI24" s="21" t="s">
        <v>105</v>
      </c>
    </row>
    <row r="25" spans="1:44" ht="16.5" customHeight="1">
      <c r="A25" s="125">
        <v>21</v>
      </c>
      <c r="B25" s="119">
        <v>12590</v>
      </c>
      <c r="C25" s="122" t="s">
        <v>277</v>
      </c>
      <c r="D25" s="198" t="s">
        <v>278</v>
      </c>
      <c r="E25" s="171" t="s">
        <v>36</v>
      </c>
      <c r="F25" s="165">
        <v>1540</v>
      </c>
      <c r="G25" s="204" t="s">
        <v>279</v>
      </c>
      <c r="H25" s="81"/>
      <c r="I25" s="81">
        <v>100</v>
      </c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5</v>
      </c>
      <c r="O25" s="301"/>
      <c r="P25" s="300"/>
      <c r="Q25" s="30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73">
        <f>((C32+(R26+S26+T26)*0.5))</f>
        <v>2671.66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>
        <v>12591</v>
      </c>
      <c r="C26" s="26" t="s">
        <v>280</v>
      </c>
      <c r="D26" s="199" t="s">
        <v>281</v>
      </c>
      <c r="E26" s="171" t="s">
        <v>36</v>
      </c>
      <c r="F26" s="167">
        <v>1550</v>
      </c>
      <c r="G26" s="19" t="s">
        <v>282</v>
      </c>
      <c r="H26" s="80"/>
      <c r="I26" s="131">
        <v>230</v>
      </c>
      <c r="J26" s="120" t="str">
        <f t="shared" si="1"/>
        <v>0</v>
      </c>
      <c r="K26" s="120" t="str">
        <f t="shared" si="2"/>
        <v>0</v>
      </c>
      <c r="L26" s="60"/>
      <c r="M26" s="60"/>
      <c r="N26" s="124" t="s">
        <v>5</v>
      </c>
      <c r="O26" s="301"/>
      <c r="P26" s="300"/>
      <c r="Q26" s="302"/>
      <c r="R26" s="103">
        <f>R25*37.5</f>
        <v>0</v>
      </c>
      <c r="S26" s="93">
        <f>S25*41.5</f>
        <v>0</v>
      </c>
      <c r="T26" s="93">
        <f>T25*50</f>
        <v>0</v>
      </c>
      <c r="U26" s="374"/>
      <c r="X26" s="41" t="s">
        <v>106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01"/>
      <c r="P27" s="300"/>
      <c r="Q27" s="302"/>
      <c r="R27" s="364" t="s">
        <v>107</v>
      </c>
      <c r="S27" s="365"/>
      <c r="T27" s="365"/>
      <c r="U27" s="366"/>
      <c r="V27" s="14" t="s">
        <v>108</v>
      </c>
      <c r="W27" s="14" t="s">
        <v>108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01"/>
      <c r="P28" s="300"/>
      <c r="Q28" s="302"/>
      <c r="R28" s="357"/>
      <c r="S28" s="358"/>
      <c r="T28" s="359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44"/>
      <c r="P29" s="345"/>
      <c r="Q29" s="346"/>
      <c r="R29" s="347"/>
      <c r="S29" s="348"/>
      <c r="T29" s="349"/>
      <c r="U29" s="140"/>
      <c r="X29" s="14">
        <v>3</v>
      </c>
      <c r="Z29" s="45"/>
      <c r="AE29" s="39"/>
    </row>
    <row r="30" spans="1:44" ht="16.5" customHeight="1" thickBot="1">
      <c r="A30" s="350" t="s">
        <v>110</v>
      </c>
      <c r="B30" s="351"/>
      <c r="C30" s="351"/>
      <c r="D30" s="351"/>
      <c r="E30" s="352"/>
      <c r="F30" s="351"/>
      <c r="G30" s="351"/>
      <c r="H30" s="201">
        <f t="shared" ref="H30:M30" si="3">SUM(H5:H29)</f>
        <v>880</v>
      </c>
      <c r="I30" s="96">
        <f>SUM(I5:I29)</f>
        <v>1650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141.66</v>
      </c>
      <c r="L30" s="97">
        <f t="shared" si="3"/>
        <v>0</v>
      </c>
      <c r="M30" s="97">
        <f t="shared" si="3"/>
        <v>0</v>
      </c>
      <c r="N30" s="206" t="s">
        <v>111</v>
      </c>
      <c r="O30" s="206" t="s">
        <v>19</v>
      </c>
      <c r="P30" s="206" t="s">
        <v>21</v>
      </c>
      <c r="Q30" s="87" t="s">
        <v>20</v>
      </c>
      <c r="R30" s="353"/>
      <c r="S30" s="353"/>
      <c r="T30" s="354"/>
      <c r="U30" s="141"/>
      <c r="X30" s="14">
        <v>4</v>
      </c>
      <c r="Z30" s="45"/>
      <c r="AD30" s="46"/>
    </row>
    <row r="31" spans="1:44">
      <c r="A31" s="355" t="s">
        <v>112</v>
      </c>
      <c r="B31" s="356"/>
      <c r="C31" s="356"/>
      <c r="D31" s="356"/>
      <c r="E31" s="356"/>
      <c r="F31" s="356"/>
      <c r="G31" s="356"/>
      <c r="H31" s="202">
        <f t="shared" ref="H31:J31" si="4">H30+H62+H94</f>
        <v>880</v>
      </c>
      <c r="I31" s="94">
        <f t="shared" si="4"/>
        <v>1650</v>
      </c>
      <c r="J31" s="94">
        <f t="shared" si="4"/>
        <v>0</v>
      </c>
      <c r="K31" s="94">
        <f>K30+K62+K94</f>
        <v>141.66</v>
      </c>
      <c r="L31" s="88">
        <f>L30+L62+L94</f>
        <v>0</v>
      </c>
      <c r="M31" s="88">
        <f>M30+M62+M94</f>
        <v>0</v>
      </c>
      <c r="N31" s="207">
        <f>COUNT(H5:H29,H37:H61,H69:H93)</f>
        <v>7</v>
      </c>
      <c r="O31" s="95">
        <f>COUNT(I5:I29,I37:I61,I69:I93)</f>
        <v>13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0</v>
      </c>
      <c r="R31" s="89" t="s">
        <v>113</v>
      </c>
      <c r="S31" s="102">
        <f>H31+L31-U28-U29-U30</f>
        <v>880</v>
      </c>
      <c r="T31" s="340">
        <f>H31+I31+L31+M31</f>
        <v>2530</v>
      </c>
      <c r="U31" s="341"/>
      <c r="X31" s="47" t="s">
        <v>114</v>
      </c>
      <c r="Y31" s="47"/>
      <c r="Z31" s="47">
        <f>SUM(Z27:Z30)</f>
        <v>-2745</v>
      </c>
      <c r="AE31" s="39"/>
    </row>
    <row r="32" spans="1:44" ht="17.25" thickBot="1">
      <c r="A32" s="360" t="s">
        <v>115</v>
      </c>
      <c r="B32" s="361"/>
      <c r="C32" s="98">
        <f>H31+I31+J31+K31</f>
        <v>2671.66</v>
      </c>
      <c r="D32" s="186"/>
      <c r="E32" s="98"/>
      <c r="F32" s="362" t="s">
        <v>116</v>
      </c>
      <c r="G32" s="362"/>
      <c r="H32" s="100">
        <f>COUNT(B5:B29,B37:B61,B69:B93)</f>
        <v>22</v>
      </c>
      <c r="I32" s="363" t="s">
        <v>117</v>
      </c>
      <c r="J32" s="363"/>
      <c r="K32" s="99">
        <f>C32/H32</f>
        <v>121.43909090909091</v>
      </c>
      <c r="L32" s="208"/>
      <c r="M32" s="208"/>
      <c r="N32" s="208">
        <f>H31/C32</f>
        <v>0.32938322990200852</v>
      </c>
      <c r="O32" s="208">
        <f>I31/C32</f>
        <v>0.61759355606626598</v>
      </c>
      <c r="P32" s="208">
        <f>K31/C32</f>
        <v>5.3023214031725593E-2</v>
      </c>
      <c r="Q32" s="101">
        <f>J31/C32</f>
        <v>0</v>
      </c>
      <c r="R32" s="90" t="s">
        <v>118</v>
      </c>
      <c r="S32" s="203">
        <f>I31+M31</f>
        <v>1650</v>
      </c>
      <c r="T32" s="342"/>
      <c r="U32" s="343"/>
      <c r="V32" s="39"/>
      <c r="W32" s="39"/>
      <c r="X32" s="48" t="s">
        <v>119</v>
      </c>
      <c r="Y32" s="48"/>
      <c r="Z32" s="47">
        <f>I31</f>
        <v>1650</v>
      </c>
    </row>
    <row r="33" spans="1:33" ht="17.25" thickBot="1">
      <c r="A33" s="294" t="s">
        <v>120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49" t="s">
        <v>121</v>
      </c>
      <c r="Y33" s="49"/>
      <c r="Z33" s="50">
        <f>SUM(Z31:Z32)</f>
        <v>-1095</v>
      </c>
      <c r="AG33" s="35"/>
    </row>
    <row r="34" spans="1:33" ht="17.25" thickBot="1">
      <c r="A34" s="334" t="str">
        <f>A2</f>
        <v>01-12-2022</v>
      </c>
      <c r="B34" s="335"/>
      <c r="C34" s="335"/>
      <c r="D34" s="335"/>
      <c r="E34" s="335"/>
      <c r="F34" s="335"/>
      <c r="G34" s="336"/>
      <c r="H34" s="337" t="s">
        <v>2</v>
      </c>
      <c r="I34" s="338"/>
      <c r="J34" s="334" t="str">
        <f>J2</f>
        <v>CLOUDY</v>
      </c>
      <c r="K34" s="336"/>
      <c r="L34" s="338" t="s">
        <v>122</v>
      </c>
      <c r="M34" s="339"/>
      <c r="N34" s="337"/>
      <c r="O34" s="335" t="str">
        <f>O2</f>
        <v>JOHN</v>
      </c>
      <c r="P34" s="335"/>
      <c r="Q34" s="336"/>
      <c r="R34" s="338" t="s">
        <v>6</v>
      </c>
      <c r="S34" s="337"/>
      <c r="T34" s="326">
        <f>T2</f>
        <v>7</v>
      </c>
      <c r="U34" s="326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44" t="s">
        <v>11</v>
      </c>
      <c r="B36" s="205" t="s">
        <v>12</v>
      </c>
      <c r="C36" s="157" t="s">
        <v>13</v>
      </c>
      <c r="D36" s="184" t="s">
        <v>14</v>
      </c>
      <c r="E36" s="157" t="s">
        <v>15</v>
      </c>
      <c r="F36" s="205" t="s">
        <v>16</v>
      </c>
      <c r="G36" s="205" t="s">
        <v>17</v>
      </c>
      <c r="H36" s="205" t="s">
        <v>18</v>
      </c>
      <c r="I36" s="205" t="s">
        <v>19</v>
      </c>
      <c r="J36" s="205" t="s">
        <v>20</v>
      </c>
      <c r="K36" s="205" t="s">
        <v>21</v>
      </c>
      <c r="L36" s="205" t="s">
        <v>22</v>
      </c>
      <c r="M36" s="205" t="s">
        <v>23</v>
      </c>
      <c r="N36" s="205" t="s">
        <v>24</v>
      </c>
      <c r="O36" s="327" t="s">
        <v>25</v>
      </c>
      <c r="P36" s="327"/>
      <c r="Q36" s="327"/>
      <c r="R36" s="205" t="s">
        <v>26</v>
      </c>
      <c r="S36" s="145" t="s">
        <v>27</v>
      </c>
      <c r="T36" s="145" t="s">
        <v>28</v>
      </c>
      <c r="U36" s="146" t="s">
        <v>29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01"/>
      <c r="P37" s="300"/>
      <c r="Q37" s="302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28"/>
      <c r="P38" s="329"/>
      <c r="Q38" s="330"/>
      <c r="R38" s="69"/>
      <c r="S38" s="62"/>
      <c r="T38" s="16"/>
      <c r="U38" s="63"/>
    </row>
    <row r="39" spans="1:3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01"/>
      <c r="P39" s="300"/>
      <c r="Q39" s="302"/>
      <c r="R39" s="70"/>
      <c r="S39" s="13"/>
      <c r="T39" s="12"/>
      <c r="U39" s="63"/>
    </row>
    <row r="40" spans="1:3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31"/>
      <c r="P40" s="332"/>
      <c r="Q40" s="333"/>
      <c r="R40" s="69"/>
      <c r="S40" s="62"/>
      <c r="T40" s="62"/>
      <c r="U40" s="63"/>
    </row>
    <row r="41" spans="1:3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31"/>
      <c r="P41" s="332"/>
      <c r="Q41" s="333"/>
      <c r="R41" s="71"/>
      <c r="S41" s="64"/>
      <c r="T41" s="64"/>
      <c r="U41" s="65"/>
    </row>
    <row r="42" spans="1:3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23"/>
      <c r="P42" s="324"/>
      <c r="Q42" s="325"/>
      <c r="R42" s="71"/>
      <c r="S42" s="64"/>
      <c r="T42" s="64"/>
      <c r="U42" s="65"/>
    </row>
    <row r="43" spans="1:3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01"/>
      <c r="P43" s="300"/>
      <c r="Q43" s="302"/>
      <c r="R43" s="69"/>
      <c r="S43" s="62"/>
      <c r="T43" s="62"/>
      <c r="U43" s="63"/>
    </row>
    <row r="44" spans="1:3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01"/>
      <c r="P44" s="300"/>
      <c r="Q44" s="302"/>
      <c r="R44" s="5"/>
      <c r="S44" s="62"/>
      <c r="T44" s="62"/>
      <c r="U44" s="63"/>
    </row>
    <row r="45" spans="1:3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01"/>
      <c r="P45" s="300"/>
      <c r="Q45" s="302"/>
      <c r="R45" s="5"/>
      <c r="S45" s="62"/>
      <c r="T45" s="62"/>
      <c r="U45" s="63"/>
    </row>
    <row r="46" spans="1:3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01"/>
      <c r="P46" s="300"/>
      <c r="Q46" s="302"/>
      <c r="R46" s="5"/>
      <c r="S46" s="62"/>
      <c r="T46" s="62"/>
      <c r="U46" s="63"/>
    </row>
    <row r="47" spans="1:3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01"/>
      <c r="P47" s="300"/>
      <c r="Q47" s="302"/>
      <c r="R47" s="5"/>
      <c r="S47" s="62"/>
      <c r="T47" s="62"/>
      <c r="U47" s="63"/>
    </row>
    <row r="48" spans="1:3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01"/>
      <c r="P48" s="300"/>
      <c r="Q48" s="302"/>
      <c r="R48" s="5"/>
      <c r="S48" s="62"/>
      <c r="T48" s="62"/>
      <c r="U48" s="63"/>
    </row>
    <row r="49" spans="1:21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01"/>
      <c r="P49" s="300"/>
      <c r="Q49" s="302"/>
      <c r="R49" s="5"/>
      <c r="S49" s="62"/>
      <c r="T49" s="66"/>
      <c r="U49" s="63"/>
    </row>
    <row r="50" spans="1:21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01"/>
      <c r="P50" s="300"/>
      <c r="Q50" s="302"/>
      <c r="R50" s="5"/>
      <c r="S50" s="62"/>
      <c r="T50" s="66"/>
      <c r="U50" s="63"/>
    </row>
    <row r="51" spans="1:21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01"/>
      <c r="P51" s="300"/>
      <c r="Q51" s="300"/>
      <c r="R51" s="5"/>
      <c r="S51" s="62"/>
      <c r="T51" s="66"/>
      <c r="U51" s="63"/>
    </row>
    <row r="52" spans="1:21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01"/>
      <c r="P52" s="300"/>
      <c r="Q52" s="300"/>
      <c r="R52" s="72"/>
      <c r="S52" s="59"/>
      <c r="T52" s="67"/>
      <c r="U52" s="68"/>
    </row>
    <row r="53" spans="1:21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22"/>
      <c r="P53" s="301"/>
      <c r="Q53" s="301"/>
      <c r="R53" s="72"/>
      <c r="S53" s="59"/>
      <c r="T53" s="67"/>
      <c r="U53" s="68"/>
    </row>
    <row r="54" spans="1:21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22"/>
      <c r="P54" s="301"/>
      <c r="Q54" s="301"/>
      <c r="R54" s="72"/>
      <c r="S54" s="59"/>
      <c r="T54" s="67"/>
      <c r="U54" s="68"/>
    </row>
    <row r="55" spans="1:21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22"/>
      <c r="P55" s="301"/>
      <c r="Q55" s="301"/>
      <c r="R55" s="72"/>
      <c r="S55" s="59"/>
      <c r="T55" s="67"/>
      <c r="U55" s="68"/>
    </row>
    <row r="56" spans="1:21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00"/>
      <c r="P56" s="300"/>
      <c r="Q56" s="300"/>
      <c r="R56" s="72"/>
      <c r="S56" s="59"/>
      <c r="T56" s="67"/>
      <c r="U56" s="68"/>
    </row>
    <row r="57" spans="1:21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01"/>
      <c r="P57" s="300"/>
      <c r="Q57" s="300"/>
      <c r="R57" s="72"/>
      <c r="S57" s="59"/>
      <c r="T57" s="59"/>
      <c r="U57" s="68"/>
    </row>
    <row r="58" spans="1:21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00"/>
      <c r="P58" s="300"/>
      <c r="Q58" s="300"/>
      <c r="R58" s="72"/>
      <c r="S58" s="59"/>
      <c r="T58" s="59"/>
      <c r="U58" s="68"/>
    </row>
    <row r="59" spans="1:21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00"/>
      <c r="P59" s="300"/>
      <c r="Q59" s="300"/>
      <c r="R59" s="72"/>
      <c r="S59" s="59"/>
      <c r="T59" s="59"/>
      <c r="U59" s="68"/>
    </row>
    <row r="60" spans="1:21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01"/>
      <c r="P60" s="300"/>
      <c r="Q60" s="302"/>
      <c r="R60" s="72"/>
      <c r="S60" s="59"/>
      <c r="T60" s="59"/>
      <c r="U60" s="68"/>
    </row>
    <row r="61" spans="1:21" ht="17.25" thickBot="1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03"/>
      <c r="P61" s="304"/>
      <c r="Q61" s="305"/>
      <c r="R61" s="72"/>
      <c r="S61" s="59"/>
      <c r="T61" s="59"/>
      <c r="U61" s="68"/>
    </row>
    <row r="62" spans="1:21">
      <c r="A62" s="306" t="s">
        <v>110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7.25" thickBot="1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7.25" thickBot="1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123</v>
      </c>
      <c r="S64" s="298"/>
      <c r="T64" s="298"/>
      <c r="U64" s="299"/>
    </row>
    <row r="65" spans="1:21" ht="17.25" thickBot="1">
      <c r="A65" s="334" t="s">
        <v>120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7.25" thickBot="1">
      <c r="A66" s="334" t="str">
        <f>A34</f>
        <v>01-12-2022</v>
      </c>
      <c r="B66" s="335"/>
      <c r="C66" s="335"/>
      <c r="D66" s="335"/>
      <c r="E66" s="335"/>
      <c r="F66" s="335"/>
      <c r="G66" s="336"/>
      <c r="H66" s="337" t="s">
        <v>2</v>
      </c>
      <c r="I66" s="338"/>
      <c r="J66" s="334" t="str">
        <f>J34</f>
        <v>CLOUDY</v>
      </c>
      <c r="K66" s="336"/>
      <c r="L66" s="338" t="s">
        <v>122</v>
      </c>
      <c r="M66" s="339"/>
      <c r="N66" s="337"/>
      <c r="O66" s="335" t="str">
        <f>O34</f>
        <v>JOHN</v>
      </c>
      <c r="P66" s="335"/>
      <c r="Q66" s="336"/>
      <c r="R66" s="338" t="s">
        <v>6</v>
      </c>
      <c r="S66" s="337"/>
      <c r="T66" s="326">
        <f>T34</f>
        <v>7</v>
      </c>
      <c r="U66" s="326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44" t="s">
        <v>11</v>
      </c>
      <c r="B68" s="205" t="s">
        <v>12</v>
      </c>
      <c r="C68" s="157" t="s">
        <v>13</v>
      </c>
      <c r="D68" s="184" t="s">
        <v>14</v>
      </c>
      <c r="E68" s="157" t="s">
        <v>15</v>
      </c>
      <c r="F68" s="205" t="s">
        <v>16</v>
      </c>
      <c r="G68" s="205" t="s">
        <v>17</v>
      </c>
      <c r="H68" s="205" t="s">
        <v>18</v>
      </c>
      <c r="I68" s="205" t="s">
        <v>19</v>
      </c>
      <c r="J68" s="205" t="s">
        <v>20</v>
      </c>
      <c r="K68" s="205" t="s">
        <v>21</v>
      </c>
      <c r="L68" s="205" t="s">
        <v>22</v>
      </c>
      <c r="M68" s="205" t="s">
        <v>23</v>
      </c>
      <c r="N68" s="205" t="s">
        <v>24</v>
      </c>
      <c r="O68" s="327" t="s">
        <v>25</v>
      </c>
      <c r="P68" s="327"/>
      <c r="Q68" s="327"/>
      <c r="R68" s="205" t="s">
        <v>26</v>
      </c>
      <c r="S68" s="145" t="s">
        <v>27</v>
      </c>
      <c r="T68" s="145" t="s">
        <v>28</v>
      </c>
      <c r="U68" s="146" t="s">
        <v>29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01"/>
      <c r="P69" s="300"/>
      <c r="Q69" s="302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28"/>
      <c r="P70" s="329"/>
      <c r="Q70" s="330"/>
      <c r="R70" s="69"/>
      <c r="S70" s="62"/>
      <c r="T70" s="16"/>
      <c r="U70" s="63"/>
    </row>
    <row r="71" spans="1:21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01"/>
      <c r="P71" s="300"/>
      <c r="Q71" s="302"/>
      <c r="R71" s="70"/>
      <c r="S71" s="13"/>
      <c r="T71" s="12"/>
      <c r="U71" s="63"/>
    </row>
    <row r="72" spans="1:21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31"/>
      <c r="P72" s="332"/>
      <c r="Q72" s="333"/>
      <c r="R72" s="69"/>
      <c r="S72" s="62"/>
      <c r="T72" s="62"/>
      <c r="U72" s="63"/>
    </row>
    <row r="73" spans="1:21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31"/>
      <c r="P73" s="332"/>
      <c r="Q73" s="333"/>
      <c r="R73" s="71"/>
      <c r="S73" s="64"/>
      <c r="T73" s="64"/>
      <c r="U73" s="65"/>
    </row>
    <row r="74" spans="1:21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23"/>
      <c r="P74" s="324"/>
      <c r="Q74" s="325"/>
      <c r="R74" s="71"/>
      <c r="S74" s="64"/>
      <c r="T74" s="64"/>
      <c r="U74" s="65"/>
    </row>
    <row r="75" spans="1:21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01"/>
      <c r="P75" s="300"/>
      <c r="Q75" s="302"/>
      <c r="R75" s="69"/>
      <c r="S75" s="62"/>
      <c r="T75" s="62"/>
      <c r="U75" s="63"/>
    </row>
    <row r="76" spans="1:21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01"/>
      <c r="P76" s="300"/>
      <c r="Q76" s="302"/>
      <c r="R76" s="5"/>
      <c r="S76" s="62"/>
      <c r="T76" s="62"/>
      <c r="U76" s="63"/>
    </row>
    <row r="77" spans="1:21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01"/>
      <c r="P77" s="300"/>
      <c r="Q77" s="302"/>
      <c r="R77" s="5"/>
      <c r="S77" s="62"/>
      <c r="T77" s="62"/>
      <c r="U77" s="63"/>
    </row>
    <row r="78" spans="1:21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01"/>
      <c r="P78" s="300"/>
      <c r="Q78" s="302"/>
      <c r="R78" s="5"/>
      <c r="S78" s="62"/>
      <c r="T78" s="62"/>
      <c r="U78" s="63"/>
    </row>
    <row r="79" spans="1:21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01"/>
      <c r="P79" s="300"/>
      <c r="Q79" s="302"/>
      <c r="R79" s="5"/>
      <c r="S79" s="62"/>
      <c r="T79" s="62"/>
      <c r="U79" s="63"/>
    </row>
    <row r="80" spans="1:21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01"/>
      <c r="P80" s="300"/>
      <c r="Q80" s="302"/>
      <c r="R80" s="5"/>
      <c r="S80" s="62"/>
      <c r="T80" s="62"/>
      <c r="U80" s="63"/>
    </row>
    <row r="81" spans="1:21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01"/>
      <c r="P81" s="300"/>
      <c r="Q81" s="302"/>
      <c r="R81" s="5"/>
      <c r="S81" s="62"/>
      <c r="T81" s="66"/>
      <c r="U81" s="63"/>
    </row>
    <row r="82" spans="1:21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01"/>
      <c r="P82" s="300"/>
      <c r="Q82" s="302"/>
      <c r="R82" s="5"/>
      <c r="S82" s="62"/>
      <c r="T82" s="66"/>
      <c r="U82" s="63"/>
    </row>
    <row r="83" spans="1:21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01"/>
      <c r="P83" s="300"/>
      <c r="Q83" s="300"/>
      <c r="R83" s="5"/>
      <c r="S83" s="62"/>
      <c r="T83" s="66"/>
      <c r="U83" s="63"/>
    </row>
    <row r="84" spans="1:21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01"/>
      <c r="P84" s="300"/>
      <c r="Q84" s="300"/>
      <c r="R84" s="72"/>
      <c r="S84" s="59"/>
      <c r="T84" s="67"/>
      <c r="U84" s="68"/>
    </row>
    <row r="85" spans="1:21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22"/>
      <c r="P85" s="301"/>
      <c r="Q85" s="301"/>
      <c r="R85" s="72"/>
      <c r="S85" s="59"/>
      <c r="T85" s="67"/>
      <c r="U85" s="68"/>
    </row>
    <row r="86" spans="1:21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22"/>
      <c r="P86" s="301"/>
      <c r="Q86" s="301"/>
      <c r="R86" s="72"/>
      <c r="S86" s="59"/>
      <c r="T86" s="67"/>
      <c r="U86" s="68"/>
    </row>
    <row r="87" spans="1:21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22"/>
      <c r="P87" s="301"/>
      <c r="Q87" s="301"/>
      <c r="R87" s="72"/>
      <c r="S87" s="59"/>
      <c r="T87" s="67"/>
      <c r="U87" s="68"/>
    </row>
    <row r="88" spans="1:21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00"/>
      <c r="P88" s="300"/>
      <c r="Q88" s="300"/>
      <c r="R88" s="72"/>
      <c r="S88" s="59"/>
      <c r="T88" s="67"/>
      <c r="U88" s="68"/>
    </row>
    <row r="89" spans="1:21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01"/>
      <c r="P89" s="300"/>
      <c r="Q89" s="300"/>
      <c r="R89" s="72"/>
      <c r="S89" s="59"/>
      <c r="T89" s="59"/>
      <c r="U89" s="68"/>
    </row>
    <row r="90" spans="1:21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00"/>
      <c r="P90" s="300"/>
      <c r="Q90" s="300"/>
      <c r="R90" s="72"/>
      <c r="S90" s="59"/>
      <c r="T90" s="59"/>
      <c r="U90" s="68"/>
    </row>
    <row r="91" spans="1:21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00"/>
      <c r="P91" s="300"/>
      <c r="Q91" s="300"/>
      <c r="R91" s="72"/>
      <c r="S91" s="59"/>
      <c r="T91" s="59"/>
      <c r="U91" s="68"/>
    </row>
    <row r="92" spans="1:21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01"/>
      <c r="P92" s="300"/>
      <c r="Q92" s="302"/>
      <c r="R92" s="72"/>
      <c r="S92" s="59"/>
      <c r="T92" s="59"/>
      <c r="U92" s="68"/>
    </row>
    <row r="93" spans="1:21" ht="17.25" thickBot="1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03"/>
      <c r="P93" s="304"/>
      <c r="Q93" s="305"/>
      <c r="R93" s="72"/>
      <c r="S93" s="59"/>
      <c r="T93" s="59"/>
      <c r="U93" s="68"/>
    </row>
    <row r="94" spans="1:21">
      <c r="A94" s="306" t="s">
        <v>110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7.25" thickBot="1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7.25" thickBot="1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124</v>
      </c>
      <c r="S96" s="298"/>
      <c r="T96" s="298"/>
      <c r="U96" s="29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3" type="noConversion"/>
  <dataValidations disablePrompts="1"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U12" sqref="U12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7.25" thickBot="1">
      <c r="A2" s="334" t="s">
        <v>283</v>
      </c>
      <c r="B2" s="335"/>
      <c r="C2" s="335"/>
      <c r="D2" s="335"/>
      <c r="E2" s="335"/>
      <c r="F2" s="335"/>
      <c r="G2" s="336"/>
      <c r="H2" s="337" t="s">
        <v>2</v>
      </c>
      <c r="I2" s="338"/>
      <c r="J2" s="334" t="s">
        <v>126</v>
      </c>
      <c r="K2" s="336"/>
      <c r="L2" s="338" t="s">
        <v>4</v>
      </c>
      <c r="M2" s="339"/>
      <c r="N2" s="337"/>
      <c r="O2" s="335" t="s">
        <v>284</v>
      </c>
      <c r="P2" s="335"/>
      <c r="Q2" s="336"/>
      <c r="R2" s="338" t="s">
        <v>6</v>
      </c>
      <c r="S2" s="337"/>
      <c r="T2" s="326">
        <v>9</v>
      </c>
      <c r="U2" s="326"/>
      <c r="X2" s="34" t="s">
        <v>7</v>
      </c>
      <c r="Y2" s="34"/>
      <c r="Z2" s="34"/>
      <c r="AA2" s="34" t="s">
        <v>8</v>
      </c>
      <c r="AB2" s="34"/>
      <c r="AI2" s="147" t="s">
        <v>9</v>
      </c>
      <c r="AJ2" s="147"/>
      <c r="AK2" s="147"/>
      <c r="AL2" s="147" t="s">
        <v>8</v>
      </c>
      <c r="AM2" s="147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44" t="s">
        <v>11</v>
      </c>
      <c r="B4" s="205" t="s">
        <v>12</v>
      </c>
      <c r="C4" s="157" t="s">
        <v>13</v>
      </c>
      <c r="D4" s="184" t="s">
        <v>14</v>
      </c>
      <c r="E4" s="157" t="s">
        <v>15</v>
      </c>
      <c r="F4" s="205" t="s">
        <v>16</v>
      </c>
      <c r="G4" s="205" t="s">
        <v>17</v>
      </c>
      <c r="H4" s="205" t="s">
        <v>18</v>
      </c>
      <c r="I4" s="205" t="s">
        <v>19</v>
      </c>
      <c r="J4" s="205" t="s">
        <v>20</v>
      </c>
      <c r="K4" s="205" t="s">
        <v>21</v>
      </c>
      <c r="L4" s="205" t="s">
        <v>22</v>
      </c>
      <c r="M4" s="205" t="s">
        <v>23</v>
      </c>
      <c r="N4" s="205" t="s">
        <v>24</v>
      </c>
      <c r="O4" s="327" t="s">
        <v>25</v>
      </c>
      <c r="P4" s="327"/>
      <c r="Q4" s="327"/>
      <c r="R4" s="205" t="s">
        <v>26</v>
      </c>
      <c r="S4" s="145" t="s">
        <v>27</v>
      </c>
      <c r="T4" s="145" t="s">
        <v>28</v>
      </c>
      <c r="U4" s="146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8">
        <v>1</v>
      </c>
      <c r="B5" s="119">
        <v>12592</v>
      </c>
      <c r="C5" s="59" t="s">
        <v>285</v>
      </c>
      <c r="D5" s="190" t="s">
        <v>286</v>
      </c>
      <c r="E5" s="171" t="s">
        <v>36</v>
      </c>
      <c r="F5" s="160">
        <v>800</v>
      </c>
      <c r="G5" s="109" t="s">
        <v>54</v>
      </c>
      <c r="H5" s="82">
        <v>55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42</v>
      </c>
      <c r="O5" s="375"/>
      <c r="P5" s="376"/>
      <c r="Q5" s="377"/>
      <c r="R5" s="122" t="s">
        <v>42</v>
      </c>
      <c r="S5" s="30">
        <v>0.33333333333333331</v>
      </c>
      <c r="T5" s="31">
        <v>0.6875</v>
      </c>
      <c r="U5" s="83">
        <f t="shared" ref="U5:U15" si="0">(T5-S5)*24</f>
        <v>8.5</v>
      </c>
      <c r="X5" s="156" t="s">
        <v>38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38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>
        <v>12593</v>
      </c>
      <c r="C6" s="58" t="s">
        <v>287</v>
      </c>
      <c r="D6" s="190" t="s">
        <v>288</v>
      </c>
      <c r="E6" s="171" t="s">
        <v>36</v>
      </c>
      <c r="F6" s="161">
        <v>850</v>
      </c>
      <c r="G6" s="109" t="s">
        <v>37</v>
      </c>
      <c r="H6" s="82"/>
      <c r="I6" s="115">
        <v>75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42</v>
      </c>
      <c r="O6" s="328"/>
      <c r="P6" s="329"/>
      <c r="Q6" s="330"/>
      <c r="R6" s="124" t="s">
        <v>248</v>
      </c>
      <c r="S6" s="30">
        <v>0.34375</v>
      </c>
      <c r="T6" s="31">
        <v>0.6875</v>
      </c>
      <c r="U6" s="83">
        <f t="shared" si="0"/>
        <v>8.25</v>
      </c>
      <c r="W6" s="14" t="s">
        <v>43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19">
        <v>12594</v>
      </c>
      <c r="C7" s="58" t="s">
        <v>289</v>
      </c>
      <c r="D7" s="190" t="s">
        <v>290</v>
      </c>
      <c r="E7" s="171" t="s">
        <v>36</v>
      </c>
      <c r="F7" s="161">
        <v>910</v>
      </c>
      <c r="G7" s="109" t="s">
        <v>54</v>
      </c>
      <c r="H7" s="82">
        <v>75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42</v>
      </c>
      <c r="O7" s="301"/>
      <c r="P7" s="300"/>
      <c r="Q7" s="302"/>
      <c r="R7" s="25" t="s">
        <v>51</v>
      </c>
      <c r="S7" s="30">
        <v>0.42708333333333331</v>
      </c>
      <c r="T7" s="31">
        <v>0.6875</v>
      </c>
      <c r="U7" s="83">
        <f t="shared" si="0"/>
        <v>6.25</v>
      </c>
      <c r="W7" s="14" t="s">
        <v>36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>
        <v>12595</v>
      </c>
      <c r="C8" s="26" t="s">
        <v>291</v>
      </c>
      <c r="D8" s="190" t="s">
        <v>292</v>
      </c>
      <c r="E8" s="171" t="s">
        <v>36</v>
      </c>
      <c r="F8" s="161">
        <v>930</v>
      </c>
      <c r="G8" s="109" t="s">
        <v>54</v>
      </c>
      <c r="H8" s="82"/>
      <c r="I8" s="115">
        <v>75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42</v>
      </c>
      <c r="O8" s="331"/>
      <c r="P8" s="332"/>
      <c r="Q8" s="333"/>
      <c r="R8" s="25" t="s">
        <v>179</v>
      </c>
      <c r="S8" s="30">
        <v>0.35416666666666669</v>
      </c>
      <c r="T8" s="31">
        <v>0.64583333333333337</v>
      </c>
      <c r="U8" s="83">
        <f t="shared" si="0"/>
        <v>7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>
        <v>12596</v>
      </c>
      <c r="C9" s="54" t="s">
        <v>293</v>
      </c>
      <c r="D9" s="191" t="s">
        <v>294</v>
      </c>
      <c r="E9" s="171" t="s">
        <v>36</v>
      </c>
      <c r="F9" s="162">
        <v>930</v>
      </c>
      <c r="G9" s="110" t="s">
        <v>46</v>
      </c>
      <c r="H9" s="82"/>
      <c r="I9" s="82"/>
      <c r="J9" s="120" t="str">
        <f t="shared" si="1"/>
        <v>0</v>
      </c>
      <c r="K9" s="120">
        <v>79.16</v>
      </c>
      <c r="L9" s="121"/>
      <c r="M9" s="121"/>
      <c r="N9" s="124" t="s">
        <v>42</v>
      </c>
      <c r="O9" s="331" t="s">
        <v>295</v>
      </c>
      <c r="P9" s="332"/>
      <c r="Q9" s="333"/>
      <c r="R9" s="25" t="s">
        <v>138</v>
      </c>
      <c r="S9" s="30">
        <v>0.35416666666666669</v>
      </c>
      <c r="T9" s="31">
        <v>0.625</v>
      </c>
      <c r="U9" s="83">
        <f t="shared" si="0"/>
        <v>6.5</v>
      </c>
      <c r="X9" s="14" t="s">
        <v>56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>
        <v>12597</v>
      </c>
      <c r="C10" s="27" t="s">
        <v>296</v>
      </c>
      <c r="D10" s="192" t="s">
        <v>297</v>
      </c>
      <c r="E10" s="171" t="s">
        <v>36</v>
      </c>
      <c r="F10" s="163">
        <v>935</v>
      </c>
      <c r="G10" s="111" t="s">
        <v>41</v>
      </c>
      <c r="H10" s="114">
        <v>150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42</v>
      </c>
      <c r="O10" s="323"/>
      <c r="P10" s="324"/>
      <c r="Q10" s="325"/>
      <c r="R10" s="25" t="s">
        <v>59</v>
      </c>
      <c r="S10" s="30">
        <v>0.375</v>
      </c>
      <c r="T10" s="31">
        <v>0.6875</v>
      </c>
      <c r="U10" s="83">
        <f t="shared" si="0"/>
        <v>7.5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>
        <v>12598</v>
      </c>
      <c r="C11" s="17" t="s">
        <v>298</v>
      </c>
      <c r="D11" s="193" t="s">
        <v>299</v>
      </c>
      <c r="E11" s="171" t="s">
        <v>36</v>
      </c>
      <c r="F11" s="57">
        <v>950</v>
      </c>
      <c r="G11" s="112" t="s">
        <v>46</v>
      </c>
      <c r="H11" s="114"/>
      <c r="I11" s="115"/>
      <c r="J11" s="120" t="str">
        <f t="shared" si="1"/>
        <v>0</v>
      </c>
      <c r="K11" s="120">
        <v>125</v>
      </c>
      <c r="L11" s="121"/>
      <c r="M11" s="121"/>
      <c r="N11" s="124" t="s">
        <v>138</v>
      </c>
      <c r="O11" s="301" t="s">
        <v>300</v>
      </c>
      <c r="P11" s="300"/>
      <c r="Q11" s="302"/>
      <c r="R11" s="14" t="s">
        <v>301</v>
      </c>
      <c r="S11" s="30">
        <v>0.41666666666666669</v>
      </c>
      <c r="T11" s="31">
        <v>0.625</v>
      </c>
      <c r="U11" s="83">
        <f t="shared" si="0"/>
        <v>5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>
        <v>12599</v>
      </c>
      <c r="C12" s="55" t="s">
        <v>302</v>
      </c>
      <c r="D12" s="194" t="s">
        <v>303</v>
      </c>
      <c r="E12" s="171" t="s">
        <v>36</v>
      </c>
      <c r="F12" s="163">
        <v>1005</v>
      </c>
      <c r="G12" s="110" t="s">
        <v>54</v>
      </c>
      <c r="H12" s="114"/>
      <c r="I12" s="116">
        <v>55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138</v>
      </c>
      <c r="O12" s="301"/>
      <c r="P12" s="300"/>
      <c r="Q12" s="302"/>
      <c r="R12" s="25" t="s">
        <v>304</v>
      </c>
      <c r="S12" s="30">
        <v>0.41666666666666669</v>
      </c>
      <c r="T12" s="31">
        <v>0.53125</v>
      </c>
      <c r="U12" s="83">
        <f t="shared" si="0"/>
        <v>2.7499999999999996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269">
        <v>9</v>
      </c>
      <c r="B13" s="249">
        <v>12600</v>
      </c>
      <c r="C13" s="270" t="s">
        <v>305</v>
      </c>
      <c r="D13" s="271" t="s">
        <v>306</v>
      </c>
      <c r="E13" s="252" t="s">
        <v>43</v>
      </c>
      <c r="F13" s="266">
        <v>1015</v>
      </c>
      <c r="G13" s="260" t="s">
        <v>46</v>
      </c>
      <c r="H13" s="272"/>
      <c r="I13" s="273"/>
      <c r="J13" s="254" t="str">
        <f t="shared" si="1"/>
        <v>0</v>
      </c>
      <c r="K13" s="254">
        <v>79.16</v>
      </c>
      <c r="L13" s="255"/>
      <c r="M13" s="255">
        <v>475</v>
      </c>
      <c r="N13" s="256" t="s">
        <v>42</v>
      </c>
      <c r="O13" s="371" t="s">
        <v>307</v>
      </c>
      <c r="P13" s="372"/>
      <c r="Q13" s="378"/>
      <c r="R13" s="268" t="s">
        <v>308</v>
      </c>
      <c r="S13" s="30">
        <v>0.55208333333333337</v>
      </c>
      <c r="T13" s="31">
        <v>0.64583333333333337</v>
      </c>
      <c r="U13" s="83">
        <f t="shared" si="0"/>
        <v>2.25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>
        <v>12601</v>
      </c>
      <c r="C14" s="56" t="s">
        <v>309</v>
      </c>
      <c r="D14" s="195" t="s">
        <v>306</v>
      </c>
      <c r="E14" s="171" t="s">
        <v>43</v>
      </c>
      <c r="F14" s="164">
        <v>1015</v>
      </c>
      <c r="G14" s="113" t="s">
        <v>46</v>
      </c>
      <c r="H14" s="114"/>
      <c r="I14" s="116"/>
      <c r="J14" s="120" t="str">
        <f t="shared" si="1"/>
        <v>0</v>
      </c>
      <c r="K14" s="120">
        <v>79.16</v>
      </c>
      <c r="L14" s="121"/>
      <c r="M14" s="121"/>
      <c r="N14" s="124" t="s">
        <v>42</v>
      </c>
      <c r="O14" s="301" t="s">
        <v>310</v>
      </c>
      <c r="P14" s="300"/>
      <c r="Q14" s="30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>
        <v>12602</v>
      </c>
      <c r="C15" s="56" t="s">
        <v>311</v>
      </c>
      <c r="D15" s="195" t="s">
        <v>312</v>
      </c>
      <c r="E15" s="171" t="s">
        <v>36</v>
      </c>
      <c r="F15" s="164">
        <v>1030</v>
      </c>
      <c r="G15" s="113" t="s">
        <v>37</v>
      </c>
      <c r="H15" s="114"/>
      <c r="I15" s="115">
        <v>95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42</v>
      </c>
      <c r="O15" s="301"/>
      <c r="P15" s="300"/>
      <c r="Q15" s="30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>
        <v>12603</v>
      </c>
      <c r="C16" s="56" t="s">
        <v>313</v>
      </c>
      <c r="D16" s="195" t="s">
        <v>314</v>
      </c>
      <c r="E16" s="171" t="s">
        <v>43</v>
      </c>
      <c r="F16" s="164">
        <v>1115</v>
      </c>
      <c r="G16" s="113" t="s">
        <v>54</v>
      </c>
      <c r="H16" s="114"/>
      <c r="I16" s="115">
        <v>75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42</v>
      </c>
      <c r="O16" s="301"/>
      <c r="P16" s="300"/>
      <c r="Q16" s="302"/>
      <c r="R16" s="73">
        <f>H32/U16</f>
        <v>0.37037037037037035</v>
      </c>
      <c r="S16" s="74">
        <f>H32/(U16-U5)</f>
        <v>0.43956043956043955</v>
      </c>
      <c r="T16" s="74">
        <f>C32/U16</f>
        <v>29.907037037037039</v>
      </c>
      <c r="U16" s="74">
        <f>SUM(U5:U15)</f>
        <v>54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>
        <v>12604</v>
      </c>
      <c r="C17" s="17" t="s">
        <v>315</v>
      </c>
      <c r="D17" s="193" t="s">
        <v>316</v>
      </c>
      <c r="E17" s="171" t="s">
        <v>36</v>
      </c>
      <c r="F17" s="57">
        <v>1200</v>
      </c>
      <c r="G17" s="112" t="s">
        <v>54</v>
      </c>
      <c r="H17" s="114"/>
      <c r="I17" s="115">
        <v>75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42</v>
      </c>
      <c r="O17" s="301"/>
      <c r="P17" s="300"/>
      <c r="Q17" s="302"/>
      <c r="R17" s="75" t="s">
        <v>75</v>
      </c>
      <c r="S17" s="76" t="s">
        <v>76</v>
      </c>
      <c r="T17" s="76" t="s">
        <v>77</v>
      </c>
      <c r="U17" s="74" t="s">
        <v>78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>
        <v>12605</v>
      </c>
      <c r="C18" s="17" t="s">
        <v>317</v>
      </c>
      <c r="D18" s="193" t="s">
        <v>318</v>
      </c>
      <c r="E18" s="171" t="s">
        <v>36</v>
      </c>
      <c r="F18" s="57">
        <v>1255</v>
      </c>
      <c r="G18" s="19" t="s">
        <v>54</v>
      </c>
      <c r="H18" s="114">
        <v>55</v>
      </c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138</v>
      </c>
      <c r="O18" s="301"/>
      <c r="P18" s="300"/>
      <c r="Q18" s="302"/>
      <c r="R18" s="77" t="s">
        <v>81</v>
      </c>
      <c r="S18" s="78" t="s">
        <v>82</v>
      </c>
      <c r="T18" s="78" t="s">
        <v>83</v>
      </c>
      <c r="U18" s="79" t="s">
        <v>84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269">
        <v>15</v>
      </c>
      <c r="B19" s="249">
        <v>12606</v>
      </c>
      <c r="C19" s="257" t="s">
        <v>319</v>
      </c>
      <c r="D19" s="258" t="s">
        <v>320</v>
      </c>
      <c r="E19" s="252" t="s">
        <v>36</v>
      </c>
      <c r="F19" s="259">
        <v>1215</v>
      </c>
      <c r="G19" s="274" t="s">
        <v>91</v>
      </c>
      <c r="H19" s="261"/>
      <c r="I19" s="254"/>
      <c r="J19" s="254" t="str">
        <f t="shared" si="1"/>
        <v>0</v>
      </c>
      <c r="K19" s="254">
        <v>62.5</v>
      </c>
      <c r="L19" s="255"/>
      <c r="M19" s="255">
        <v>375</v>
      </c>
      <c r="N19" s="256" t="s">
        <v>42</v>
      </c>
      <c r="O19" s="371" t="s">
        <v>321</v>
      </c>
      <c r="P19" s="372"/>
      <c r="Q19" s="372"/>
      <c r="R19" s="84" t="s">
        <v>21</v>
      </c>
      <c r="S19" s="85">
        <f>COUNT(L5:M29,L37:M61,L69:M93)</f>
        <v>2</v>
      </c>
      <c r="T19" s="107">
        <f>SUM(L5:M29,L37:M61,L69:M93)</f>
        <v>850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>
        <v>12607</v>
      </c>
      <c r="C20" s="17" t="s">
        <v>322</v>
      </c>
      <c r="D20" s="193" t="s">
        <v>323</v>
      </c>
      <c r="E20" s="171" t="s">
        <v>43</v>
      </c>
      <c r="F20" s="57">
        <v>1300</v>
      </c>
      <c r="G20" s="112" t="s">
        <v>54</v>
      </c>
      <c r="H20" s="114"/>
      <c r="I20" s="209">
        <v>75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42</v>
      </c>
      <c r="O20" s="369"/>
      <c r="P20" s="370"/>
      <c r="Q20" s="37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19">
        <v>12608</v>
      </c>
      <c r="C21" s="17" t="s">
        <v>324</v>
      </c>
      <c r="D21" s="193" t="s">
        <v>325</v>
      </c>
      <c r="E21" s="171" t="s">
        <v>36</v>
      </c>
      <c r="F21" s="57">
        <v>1300</v>
      </c>
      <c r="G21" s="19" t="s">
        <v>54</v>
      </c>
      <c r="H21" s="114"/>
      <c r="I21" s="115">
        <v>75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42</v>
      </c>
      <c r="O21" s="301"/>
      <c r="P21" s="300"/>
      <c r="Q21" s="300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>
        <v>12609</v>
      </c>
      <c r="C22" s="21" t="s">
        <v>326</v>
      </c>
      <c r="D22" s="196" t="s">
        <v>327</v>
      </c>
      <c r="E22" s="171" t="s">
        <v>36</v>
      </c>
      <c r="F22" s="165">
        <v>1325</v>
      </c>
      <c r="G22" s="204" t="s">
        <v>328</v>
      </c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42</v>
      </c>
      <c r="O22" s="301" t="s">
        <v>329</v>
      </c>
      <c r="P22" s="300"/>
      <c r="Q22" s="302"/>
      <c r="R22" s="104"/>
      <c r="S22" s="105"/>
      <c r="T22" s="105"/>
      <c r="U22" s="106"/>
      <c r="AD22" s="14" t="s">
        <v>96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96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>
        <v>12610</v>
      </c>
      <c r="C23" s="126" t="s">
        <v>330</v>
      </c>
      <c r="D23" s="195" t="s">
        <v>259</v>
      </c>
      <c r="E23" s="171" t="s">
        <v>43</v>
      </c>
      <c r="F23" s="166">
        <v>1430</v>
      </c>
      <c r="G23" s="155" t="s">
        <v>131</v>
      </c>
      <c r="H23" s="80">
        <v>180</v>
      </c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 t="s">
        <v>42</v>
      </c>
      <c r="O23" s="153"/>
      <c r="P23" s="154"/>
      <c r="Q23" s="149"/>
      <c r="R23" s="104"/>
      <c r="S23" s="105"/>
      <c r="T23" s="105"/>
      <c r="U23" s="106"/>
      <c r="X23" s="367"/>
      <c r="Y23" s="368"/>
      <c r="Z23" s="368"/>
    </row>
    <row r="24" spans="1:44" ht="16.5" customHeight="1" thickBot="1">
      <c r="A24" s="125">
        <v>20</v>
      </c>
      <c r="B24" s="123">
        <v>12611</v>
      </c>
      <c r="C24" s="21" t="s">
        <v>331</v>
      </c>
      <c r="D24" s="196" t="s">
        <v>332</v>
      </c>
      <c r="E24" s="171" t="s">
        <v>36</v>
      </c>
      <c r="F24" s="165">
        <v>1550</v>
      </c>
      <c r="G24" s="204" t="s">
        <v>54</v>
      </c>
      <c r="H24" s="80">
        <v>75</v>
      </c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42</v>
      </c>
      <c r="O24" s="301"/>
      <c r="P24" s="300"/>
      <c r="Q24" s="302"/>
      <c r="R24" s="133" t="s">
        <v>99</v>
      </c>
      <c r="S24" s="134" t="s">
        <v>100</v>
      </c>
      <c r="T24" s="134" t="s">
        <v>101</v>
      </c>
      <c r="U24" s="135" t="s">
        <v>102</v>
      </c>
      <c r="X24" s="38"/>
      <c r="AD24" s="23" t="s">
        <v>103</v>
      </c>
      <c r="AE24" s="21" t="s">
        <v>30</v>
      </c>
      <c r="AF24" s="21" t="s">
        <v>33</v>
      </c>
      <c r="AG24" s="21" t="s">
        <v>31</v>
      </c>
      <c r="AH24" s="21" t="s">
        <v>104</v>
      </c>
      <c r="AI24" s="21" t="s">
        <v>105</v>
      </c>
    </row>
    <row r="25" spans="1:44" ht="16.5" customHeight="1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301"/>
      <c r="P25" s="300"/>
      <c r="Q25" s="302"/>
      <c r="R25" s="91">
        <f>COUNTIF(G5:G29,"GV1")+COUNTIF(G37:G61,"GV1")+COUNTIF(G69:G93,"GV1")</f>
        <v>0</v>
      </c>
      <c r="S25" s="92">
        <f>COUNTIF(G5:G29,"GV2")+COUNTIF(G37:G61,"GV2")+COUNTIF(G69:G93,"GV2")</f>
        <v>1</v>
      </c>
      <c r="T25" s="92">
        <f>COUNTIF(G5:G29,"GV3")+COUNTIF(G37:G61,"GV3")+COUNTIF(G69:G93,"GV3")</f>
        <v>0</v>
      </c>
      <c r="U25" s="373">
        <f>((C32+(R26+S26+T26)*0.5))</f>
        <v>1635.73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01"/>
      <c r="P26" s="300"/>
      <c r="Q26" s="302"/>
      <c r="R26" s="103">
        <f>R25*37.5</f>
        <v>0</v>
      </c>
      <c r="S26" s="93">
        <f>S25*41.5</f>
        <v>41.5</v>
      </c>
      <c r="T26" s="93">
        <f>T25*50</f>
        <v>0</v>
      </c>
      <c r="U26" s="374"/>
      <c r="X26" s="41" t="s">
        <v>106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01"/>
      <c r="P27" s="300"/>
      <c r="Q27" s="302"/>
      <c r="R27" s="364" t="s">
        <v>107</v>
      </c>
      <c r="S27" s="365"/>
      <c r="T27" s="365"/>
      <c r="U27" s="366"/>
      <c r="V27" s="14" t="s">
        <v>108</v>
      </c>
      <c r="W27" s="14" t="s">
        <v>108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01"/>
      <c r="P28" s="300"/>
      <c r="Q28" s="302"/>
      <c r="R28" s="357"/>
      <c r="S28" s="358"/>
      <c r="T28" s="359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44"/>
      <c r="P29" s="345"/>
      <c r="Q29" s="346"/>
      <c r="R29" s="347"/>
      <c r="S29" s="348"/>
      <c r="T29" s="349"/>
      <c r="U29" s="140"/>
      <c r="X29" s="14">
        <v>3</v>
      </c>
      <c r="Z29" s="45"/>
      <c r="AE29" s="39"/>
    </row>
    <row r="30" spans="1:44" ht="16.5" customHeight="1" thickBot="1">
      <c r="A30" s="350" t="s">
        <v>110</v>
      </c>
      <c r="B30" s="351"/>
      <c r="C30" s="351"/>
      <c r="D30" s="351"/>
      <c r="E30" s="352"/>
      <c r="F30" s="351"/>
      <c r="G30" s="351"/>
      <c r="H30" s="201">
        <f t="shared" ref="H30:M30" si="3">SUM(H5:H29)</f>
        <v>590</v>
      </c>
      <c r="I30" s="96">
        <f>SUM(I5:I29)</f>
        <v>600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424.98</v>
      </c>
      <c r="L30" s="97">
        <f t="shared" si="3"/>
        <v>0</v>
      </c>
      <c r="M30" s="97">
        <f t="shared" si="3"/>
        <v>850</v>
      </c>
      <c r="N30" s="206" t="s">
        <v>111</v>
      </c>
      <c r="O30" s="206" t="s">
        <v>19</v>
      </c>
      <c r="P30" s="206" t="s">
        <v>21</v>
      </c>
      <c r="Q30" s="87" t="s">
        <v>20</v>
      </c>
      <c r="R30" s="353"/>
      <c r="S30" s="353"/>
      <c r="T30" s="354"/>
      <c r="U30" s="141"/>
      <c r="X30" s="14">
        <v>4</v>
      </c>
      <c r="Z30" s="45"/>
      <c r="AD30" s="46"/>
    </row>
    <row r="31" spans="1:44">
      <c r="A31" s="355" t="s">
        <v>112</v>
      </c>
      <c r="B31" s="356"/>
      <c r="C31" s="356"/>
      <c r="D31" s="356"/>
      <c r="E31" s="356"/>
      <c r="F31" s="356"/>
      <c r="G31" s="356"/>
      <c r="H31" s="202">
        <f t="shared" ref="H31:J31" si="4">H30+H62+H94</f>
        <v>590</v>
      </c>
      <c r="I31" s="94">
        <f t="shared" si="4"/>
        <v>600</v>
      </c>
      <c r="J31" s="94">
        <f t="shared" si="4"/>
        <v>0</v>
      </c>
      <c r="K31" s="94">
        <f>K30+K62+K94</f>
        <v>424.98</v>
      </c>
      <c r="L31" s="88">
        <f>L30+L62+L94</f>
        <v>0</v>
      </c>
      <c r="M31" s="88">
        <f>M30+M62+M94</f>
        <v>850</v>
      </c>
      <c r="N31" s="207">
        <f>COUNT(H5:H29,H37:H61,H69:H93)</f>
        <v>6</v>
      </c>
      <c r="O31" s="95">
        <f>COUNT(I5:I29,I37:I61,I69:I93)</f>
        <v>8</v>
      </c>
      <c r="P31" s="95">
        <f>COUNTIF(G5:G29,"G*")+COUNTIF(G37:G61,"G*")+COUNTIF(G69:G93,"G*")+COUNTIF(G5:G29,"P*")+COUNTIF(G37:G61,"P*")+COUNTIF(G69:G93,"P*")</f>
        <v>6</v>
      </c>
      <c r="Q31" s="108">
        <f>COUNTIF(G5:G29,"RSL")+COUNTIF(G37:G61,"RSL")+COUNTIF(G69:G93,"RSL")</f>
        <v>0</v>
      </c>
      <c r="R31" s="89" t="s">
        <v>113</v>
      </c>
      <c r="S31" s="102">
        <f>H31+L31-U28-U29-U30</f>
        <v>590</v>
      </c>
      <c r="T31" s="340">
        <f>H31+I31+L31+M31</f>
        <v>2040</v>
      </c>
      <c r="U31" s="341"/>
      <c r="X31" s="47" t="s">
        <v>114</v>
      </c>
      <c r="Y31" s="47"/>
      <c r="Z31" s="47">
        <f>SUM(Z27:Z30)</f>
        <v>-2745</v>
      </c>
      <c r="AE31" s="39"/>
    </row>
    <row r="32" spans="1:44" ht="17.25" thickBot="1">
      <c r="A32" s="360" t="s">
        <v>115</v>
      </c>
      <c r="B32" s="361"/>
      <c r="C32" s="98">
        <f>H31+I31+J31+K31</f>
        <v>1614.98</v>
      </c>
      <c r="D32" s="186"/>
      <c r="E32" s="98"/>
      <c r="F32" s="362" t="s">
        <v>116</v>
      </c>
      <c r="G32" s="362"/>
      <c r="H32" s="100">
        <f>COUNT(B5:B29,B37:B61,B69:B93)</f>
        <v>20</v>
      </c>
      <c r="I32" s="363" t="s">
        <v>117</v>
      </c>
      <c r="J32" s="363"/>
      <c r="K32" s="99">
        <f>C32/H32</f>
        <v>80.748999999999995</v>
      </c>
      <c r="L32" s="208"/>
      <c r="M32" s="208"/>
      <c r="N32" s="208">
        <f>H31/C32</f>
        <v>0.36532960160497341</v>
      </c>
      <c r="O32" s="208">
        <f>I31/C32</f>
        <v>0.37152162875082045</v>
      </c>
      <c r="P32" s="208">
        <f>K31/C32</f>
        <v>0.26314876964420614</v>
      </c>
      <c r="Q32" s="101">
        <f>J31/C32</f>
        <v>0</v>
      </c>
      <c r="R32" s="90" t="s">
        <v>118</v>
      </c>
      <c r="S32" s="203">
        <f>I31+M31</f>
        <v>1450</v>
      </c>
      <c r="T32" s="342"/>
      <c r="U32" s="343"/>
      <c r="V32" s="39"/>
      <c r="W32" s="39"/>
      <c r="X32" s="48" t="s">
        <v>119</v>
      </c>
      <c r="Y32" s="48"/>
      <c r="Z32" s="47">
        <f>I31</f>
        <v>600</v>
      </c>
    </row>
    <row r="33" spans="1:33" ht="17.25" thickBot="1">
      <c r="A33" s="294" t="s">
        <v>120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49" t="s">
        <v>121</v>
      </c>
      <c r="Y33" s="49"/>
      <c r="Z33" s="50">
        <f>SUM(Z31:Z32)</f>
        <v>-2145</v>
      </c>
      <c r="AG33" s="35"/>
    </row>
    <row r="34" spans="1:33" ht="17.25" thickBot="1">
      <c r="A34" s="334" t="str">
        <f>A2</f>
        <v>02-12-2022</v>
      </c>
      <c r="B34" s="335"/>
      <c r="C34" s="335"/>
      <c r="D34" s="335"/>
      <c r="E34" s="335"/>
      <c r="F34" s="335"/>
      <c r="G34" s="336"/>
      <c r="H34" s="337" t="s">
        <v>2</v>
      </c>
      <c r="I34" s="338"/>
      <c r="J34" s="334" t="str">
        <f>J2</f>
        <v>SUNNY</v>
      </c>
      <c r="K34" s="336"/>
      <c r="L34" s="338" t="s">
        <v>122</v>
      </c>
      <c r="M34" s="339"/>
      <c r="N34" s="337"/>
      <c r="O34" s="335" t="str">
        <f>O2</f>
        <v>HENDRA</v>
      </c>
      <c r="P34" s="335"/>
      <c r="Q34" s="336"/>
      <c r="R34" s="338" t="s">
        <v>6</v>
      </c>
      <c r="S34" s="337"/>
      <c r="T34" s="326">
        <f>T2</f>
        <v>9</v>
      </c>
      <c r="U34" s="326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44" t="s">
        <v>11</v>
      </c>
      <c r="B36" s="205" t="s">
        <v>12</v>
      </c>
      <c r="C36" s="157" t="s">
        <v>13</v>
      </c>
      <c r="D36" s="184" t="s">
        <v>14</v>
      </c>
      <c r="E36" s="157" t="s">
        <v>15</v>
      </c>
      <c r="F36" s="205" t="s">
        <v>16</v>
      </c>
      <c r="G36" s="205" t="s">
        <v>17</v>
      </c>
      <c r="H36" s="205" t="s">
        <v>18</v>
      </c>
      <c r="I36" s="205" t="s">
        <v>19</v>
      </c>
      <c r="J36" s="205" t="s">
        <v>20</v>
      </c>
      <c r="K36" s="205" t="s">
        <v>21</v>
      </c>
      <c r="L36" s="205" t="s">
        <v>22</v>
      </c>
      <c r="M36" s="205" t="s">
        <v>23</v>
      </c>
      <c r="N36" s="205" t="s">
        <v>24</v>
      </c>
      <c r="O36" s="327" t="s">
        <v>25</v>
      </c>
      <c r="P36" s="327"/>
      <c r="Q36" s="327"/>
      <c r="R36" s="205" t="s">
        <v>26</v>
      </c>
      <c r="S36" s="145" t="s">
        <v>27</v>
      </c>
      <c r="T36" s="145" t="s">
        <v>28</v>
      </c>
      <c r="U36" s="146" t="s">
        <v>29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01"/>
      <c r="P37" s="300"/>
      <c r="Q37" s="302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28"/>
      <c r="P38" s="329"/>
      <c r="Q38" s="330"/>
      <c r="R38" s="69"/>
      <c r="S38" s="62"/>
      <c r="T38" s="16"/>
      <c r="U38" s="63"/>
    </row>
    <row r="39" spans="1:3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01"/>
      <c r="P39" s="300"/>
      <c r="Q39" s="302"/>
      <c r="R39" s="70"/>
      <c r="S39" s="13"/>
      <c r="T39" s="12"/>
      <c r="U39" s="63"/>
    </row>
    <row r="40" spans="1:3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31"/>
      <c r="P40" s="332"/>
      <c r="Q40" s="333"/>
      <c r="R40" s="69"/>
      <c r="S40" s="62"/>
      <c r="T40" s="62"/>
      <c r="U40" s="63"/>
    </row>
    <row r="41" spans="1:3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31"/>
      <c r="P41" s="332"/>
      <c r="Q41" s="333"/>
      <c r="R41" s="71"/>
      <c r="S41" s="64"/>
      <c r="T41" s="64"/>
      <c r="U41" s="65"/>
    </row>
    <row r="42" spans="1:3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23"/>
      <c r="P42" s="324"/>
      <c r="Q42" s="325"/>
      <c r="R42" s="71"/>
      <c r="S42" s="64"/>
      <c r="T42" s="64"/>
      <c r="U42" s="65"/>
    </row>
    <row r="43" spans="1:3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01"/>
      <c r="P43" s="300"/>
      <c r="Q43" s="302"/>
      <c r="R43" s="69"/>
      <c r="S43" s="62"/>
      <c r="T43" s="62"/>
      <c r="U43" s="63"/>
    </row>
    <row r="44" spans="1:3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01"/>
      <c r="P44" s="300"/>
      <c r="Q44" s="302"/>
      <c r="R44" s="5"/>
      <c r="S44" s="62"/>
      <c r="T44" s="62"/>
      <c r="U44" s="63"/>
    </row>
    <row r="45" spans="1:3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01"/>
      <c r="P45" s="300"/>
      <c r="Q45" s="302"/>
      <c r="R45" s="5"/>
      <c r="S45" s="62"/>
      <c r="T45" s="62"/>
      <c r="U45" s="63"/>
    </row>
    <row r="46" spans="1:3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01"/>
      <c r="P46" s="300"/>
      <c r="Q46" s="302"/>
      <c r="R46" s="5"/>
      <c r="S46" s="62"/>
      <c r="T46" s="62"/>
      <c r="U46" s="63"/>
    </row>
    <row r="47" spans="1:3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01"/>
      <c r="P47" s="300"/>
      <c r="Q47" s="302"/>
      <c r="R47" s="5"/>
      <c r="S47" s="62"/>
      <c r="T47" s="62"/>
      <c r="U47" s="63"/>
    </row>
    <row r="48" spans="1:3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01"/>
      <c r="P48" s="300"/>
      <c r="Q48" s="302"/>
      <c r="R48" s="5"/>
      <c r="S48" s="62"/>
      <c r="T48" s="62"/>
      <c r="U48" s="63"/>
    </row>
    <row r="49" spans="1:21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01"/>
      <c r="P49" s="300"/>
      <c r="Q49" s="302"/>
      <c r="R49" s="5"/>
      <c r="S49" s="62"/>
      <c r="T49" s="66"/>
      <c r="U49" s="63"/>
    </row>
    <row r="50" spans="1:21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01"/>
      <c r="P50" s="300"/>
      <c r="Q50" s="302"/>
      <c r="R50" s="5"/>
      <c r="S50" s="62"/>
      <c r="T50" s="66"/>
      <c r="U50" s="63"/>
    </row>
    <row r="51" spans="1:21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01"/>
      <c r="P51" s="300"/>
      <c r="Q51" s="300"/>
      <c r="R51" s="5"/>
      <c r="S51" s="62"/>
      <c r="T51" s="66"/>
      <c r="U51" s="63"/>
    </row>
    <row r="52" spans="1:21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01"/>
      <c r="P52" s="300"/>
      <c r="Q52" s="300"/>
      <c r="R52" s="72"/>
      <c r="S52" s="59"/>
      <c r="T52" s="67"/>
      <c r="U52" s="68"/>
    </row>
    <row r="53" spans="1:21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22"/>
      <c r="P53" s="301"/>
      <c r="Q53" s="301"/>
      <c r="R53" s="72"/>
      <c r="S53" s="59"/>
      <c r="T53" s="67"/>
      <c r="U53" s="68"/>
    </row>
    <row r="54" spans="1:21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22"/>
      <c r="P54" s="301"/>
      <c r="Q54" s="301"/>
      <c r="R54" s="72"/>
      <c r="S54" s="59"/>
      <c r="T54" s="67"/>
      <c r="U54" s="68"/>
    </row>
    <row r="55" spans="1:21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22"/>
      <c r="P55" s="301"/>
      <c r="Q55" s="301"/>
      <c r="R55" s="72"/>
      <c r="S55" s="59"/>
      <c r="T55" s="67"/>
      <c r="U55" s="68"/>
    </row>
    <row r="56" spans="1:21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00"/>
      <c r="P56" s="300"/>
      <c r="Q56" s="300"/>
      <c r="R56" s="72"/>
      <c r="S56" s="59"/>
      <c r="T56" s="67"/>
      <c r="U56" s="68"/>
    </row>
    <row r="57" spans="1:21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01"/>
      <c r="P57" s="300"/>
      <c r="Q57" s="300"/>
      <c r="R57" s="72"/>
      <c r="S57" s="59"/>
      <c r="T57" s="59"/>
      <c r="U57" s="68"/>
    </row>
    <row r="58" spans="1:21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00"/>
      <c r="P58" s="300"/>
      <c r="Q58" s="300"/>
      <c r="R58" s="72"/>
      <c r="S58" s="59"/>
      <c r="T58" s="59"/>
      <c r="U58" s="68"/>
    </row>
    <row r="59" spans="1:21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00"/>
      <c r="P59" s="300"/>
      <c r="Q59" s="300"/>
      <c r="R59" s="72"/>
      <c r="S59" s="59"/>
      <c r="T59" s="59"/>
      <c r="U59" s="68"/>
    </row>
    <row r="60" spans="1:21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01"/>
      <c r="P60" s="300"/>
      <c r="Q60" s="302"/>
      <c r="R60" s="72"/>
      <c r="S60" s="59"/>
      <c r="T60" s="59"/>
      <c r="U60" s="68"/>
    </row>
    <row r="61" spans="1:21" ht="17.25" thickBot="1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03"/>
      <c r="P61" s="304"/>
      <c r="Q61" s="305"/>
      <c r="R61" s="72"/>
      <c r="S61" s="59"/>
      <c r="T61" s="59"/>
      <c r="U61" s="68"/>
    </row>
    <row r="62" spans="1:21">
      <c r="A62" s="306" t="s">
        <v>110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7.25" thickBot="1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7.25" thickBot="1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123</v>
      </c>
      <c r="S64" s="298"/>
      <c r="T64" s="298"/>
      <c r="U64" s="299"/>
    </row>
    <row r="65" spans="1:21" ht="17.25" thickBot="1">
      <c r="A65" s="334" t="s">
        <v>120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7.25" thickBot="1">
      <c r="A66" s="334" t="str">
        <f>A34</f>
        <v>02-12-2022</v>
      </c>
      <c r="B66" s="335"/>
      <c r="C66" s="335"/>
      <c r="D66" s="335"/>
      <c r="E66" s="335"/>
      <c r="F66" s="335"/>
      <c r="G66" s="336"/>
      <c r="H66" s="337" t="s">
        <v>2</v>
      </c>
      <c r="I66" s="338"/>
      <c r="J66" s="334" t="str">
        <f>J34</f>
        <v>SUNNY</v>
      </c>
      <c r="K66" s="336"/>
      <c r="L66" s="338" t="s">
        <v>122</v>
      </c>
      <c r="M66" s="339"/>
      <c r="N66" s="337"/>
      <c r="O66" s="335" t="str">
        <f>O34</f>
        <v>HENDRA</v>
      </c>
      <c r="P66" s="335"/>
      <c r="Q66" s="336"/>
      <c r="R66" s="338" t="s">
        <v>6</v>
      </c>
      <c r="S66" s="337"/>
      <c r="T66" s="326">
        <f>T34</f>
        <v>9</v>
      </c>
      <c r="U66" s="326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44" t="s">
        <v>11</v>
      </c>
      <c r="B68" s="205" t="s">
        <v>12</v>
      </c>
      <c r="C68" s="157" t="s">
        <v>13</v>
      </c>
      <c r="D68" s="184" t="s">
        <v>14</v>
      </c>
      <c r="E68" s="157" t="s">
        <v>15</v>
      </c>
      <c r="F68" s="205" t="s">
        <v>16</v>
      </c>
      <c r="G68" s="205" t="s">
        <v>17</v>
      </c>
      <c r="H68" s="205" t="s">
        <v>18</v>
      </c>
      <c r="I68" s="205" t="s">
        <v>19</v>
      </c>
      <c r="J68" s="205" t="s">
        <v>20</v>
      </c>
      <c r="K68" s="205" t="s">
        <v>21</v>
      </c>
      <c r="L68" s="205" t="s">
        <v>22</v>
      </c>
      <c r="M68" s="205" t="s">
        <v>23</v>
      </c>
      <c r="N68" s="205" t="s">
        <v>24</v>
      </c>
      <c r="O68" s="327" t="s">
        <v>25</v>
      </c>
      <c r="P68" s="327"/>
      <c r="Q68" s="327"/>
      <c r="R68" s="205" t="s">
        <v>26</v>
      </c>
      <c r="S68" s="145" t="s">
        <v>27</v>
      </c>
      <c r="T68" s="145" t="s">
        <v>28</v>
      </c>
      <c r="U68" s="146" t="s">
        <v>29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01"/>
      <c r="P69" s="300"/>
      <c r="Q69" s="302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28"/>
      <c r="P70" s="329"/>
      <c r="Q70" s="330"/>
      <c r="R70" s="69"/>
      <c r="S70" s="62"/>
      <c r="T70" s="16"/>
      <c r="U70" s="63"/>
    </row>
    <row r="71" spans="1:21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01"/>
      <c r="P71" s="300"/>
      <c r="Q71" s="302"/>
      <c r="R71" s="70"/>
      <c r="S71" s="13"/>
      <c r="T71" s="12"/>
      <c r="U71" s="63"/>
    </row>
    <row r="72" spans="1:21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31"/>
      <c r="P72" s="332"/>
      <c r="Q72" s="333"/>
      <c r="R72" s="69"/>
      <c r="S72" s="62"/>
      <c r="T72" s="62"/>
      <c r="U72" s="63"/>
    </row>
    <row r="73" spans="1:21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31"/>
      <c r="P73" s="332"/>
      <c r="Q73" s="333"/>
      <c r="R73" s="71"/>
      <c r="S73" s="64"/>
      <c r="T73" s="64"/>
      <c r="U73" s="65"/>
    </row>
    <row r="74" spans="1:21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23"/>
      <c r="P74" s="324"/>
      <c r="Q74" s="325"/>
      <c r="R74" s="71"/>
      <c r="S74" s="64"/>
      <c r="T74" s="64"/>
      <c r="U74" s="65"/>
    </row>
    <row r="75" spans="1:21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01"/>
      <c r="P75" s="300"/>
      <c r="Q75" s="302"/>
      <c r="R75" s="69"/>
      <c r="S75" s="62"/>
      <c r="T75" s="62"/>
      <c r="U75" s="63"/>
    </row>
    <row r="76" spans="1:21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01"/>
      <c r="P76" s="300"/>
      <c r="Q76" s="302"/>
      <c r="R76" s="5"/>
      <c r="S76" s="62"/>
      <c r="T76" s="62"/>
      <c r="U76" s="63"/>
    </row>
    <row r="77" spans="1:21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01"/>
      <c r="P77" s="300"/>
      <c r="Q77" s="302"/>
      <c r="R77" s="5"/>
      <c r="S77" s="62"/>
      <c r="T77" s="62"/>
      <c r="U77" s="63"/>
    </row>
    <row r="78" spans="1:21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01"/>
      <c r="P78" s="300"/>
      <c r="Q78" s="302"/>
      <c r="R78" s="5"/>
      <c r="S78" s="62"/>
      <c r="T78" s="62"/>
      <c r="U78" s="63"/>
    </row>
    <row r="79" spans="1:21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01"/>
      <c r="P79" s="300"/>
      <c r="Q79" s="302"/>
      <c r="R79" s="5"/>
      <c r="S79" s="62"/>
      <c r="T79" s="62"/>
      <c r="U79" s="63"/>
    </row>
    <row r="80" spans="1:21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01"/>
      <c r="P80" s="300"/>
      <c r="Q80" s="302"/>
      <c r="R80" s="5"/>
      <c r="S80" s="62"/>
      <c r="T80" s="62"/>
      <c r="U80" s="63"/>
    </row>
    <row r="81" spans="1:21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01"/>
      <c r="P81" s="300"/>
      <c r="Q81" s="302"/>
      <c r="R81" s="5"/>
      <c r="S81" s="62"/>
      <c r="T81" s="66"/>
      <c r="U81" s="63"/>
    </row>
    <row r="82" spans="1:21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01"/>
      <c r="P82" s="300"/>
      <c r="Q82" s="302"/>
      <c r="R82" s="5"/>
      <c r="S82" s="62"/>
      <c r="T82" s="66"/>
      <c r="U82" s="63"/>
    </row>
    <row r="83" spans="1:21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01"/>
      <c r="P83" s="300"/>
      <c r="Q83" s="300"/>
      <c r="R83" s="5"/>
      <c r="S83" s="62"/>
      <c r="T83" s="66"/>
      <c r="U83" s="63"/>
    </row>
    <row r="84" spans="1:21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01"/>
      <c r="P84" s="300"/>
      <c r="Q84" s="300"/>
      <c r="R84" s="72"/>
      <c r="S84" s="59"/>
      <c r="T84" s="67"/>
      <c r="U84" s="68"/>
    </row>
    <row r="85" spans="1:21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22"/>
      <c r="P85" s="301"/>
      <c r="Q85" s="301"/>
      <c r="R85" s="72"/>
      <c r="S85" s="59"/>
      <c r="T85" s="67"/>
      <c r="U85" s="68"/>
    </row>
    <row r="86" spans="1:21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22"/>
      <c r="P86" s="301"/>
      <c r="Q86" s="301"/>
      <c r="R86" s="72"/>
      <c r="S86" s="59"/>
      <c r="T86" s="67"/>
      <c r="U86" s="68"/>
    </row>
    <row r="87" spans="1:21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22"/>
      <c r="P87" s="301"/>
      <c r="Q87" s="301"/>
      <c r="R87" s="72"/>
      <c r="S87" s="59"/>
      <c r="T87" s="67"/>
      <c r="U87" s="68"/>
    </row>
    <row r="88" spans="1:21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00"/>
      <c r="P88" s="300"/>
      <c r="Q88" s="300"/>
      <c r="R88" s="72"/>
      <c r="S88" s="59"/>
      <c r="T88" s="67"/>
      <c r="U88" s="68"/>
    </row>
    <row r="89" spans="1:21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01"/>
      <c r="P89" s="300"/>
      <c r="Q89" s="300"/>
      <c r="R89" s="72"/>
      <c r="S89" s="59"/>
      <c r="T89" s="59"/>
      <c r="U89" s="68"/>
    </row>
    <row r="90" spans="1:21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00"/>
      <c r="P90" s="300"/>
      <c r="Q90" s="300"/>
      <c r="R90" s="72"/>
      <c r="S90" s="59"/>
      <c r="T90" s="59"/>
      <c r="U90" s="68"/>
    </row>
    <row r="91" spans="1:21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00"/>
      <c r="P91" s="300"/>
      <c r="Q91" s="300"/>
      <c r="R91" s="72"/>
      <c r="S91" s="59"/>
      <c r="T91" s="59"/>
      <c r="U91" s="68"/>
    </row>
    <row r="92" spans="1:21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01"/>
      <c r="P92" s="300"/>
      <c r="Q92" s="302"/>
      <c r="R92" s="72"/>
      <c r="S92" s="59"/>
      <c r="T92" s="59"/>
      <c r="U92" s="68"/>
    </row>
    <row r="93" spans="1:21" ht="17.25" thickBot="1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03"/>
      <c r="P93" s="304"/>
      <c r="Q93" s="305"/>
      <c r="R93" s="72"/>
      <c r="S93" s="59"/>
      <c r="T93" s="59"/>
      <c r="U93" s="68"/>
    </row>
    <row r="94" spans="1:21">
      <c r="A94" s="306" t="s">
        <v>110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7.25" thickBot="1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7.25" thickBot="1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124</v>
      </c>
      <c r="S96" s="298"/>
      <c r="T96" s="298"/>
      <c r="U96" s="29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disablePrompts="1"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B3" sqref="B3:D3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7.25" thickBot="1">
      <c r="A2" s="334" t="s">
        <v>333</v>
      </c>
      <c r="B2" s="335"/>
      <c r="C2" s="335"/>
      <c r="D2" s="335"/>
      <c r="E2" s="335"/>
      <c r="F2" s="335"/>
      <c r="G2" s="336"/>
      <c r="H2" s="337" t="s">
        <v>2</v>
      </c>
      <c r="I2" s="338"/>
      <c r="J2" s="334" t="s">
        <v>126</v>
      </c>
      <c r="K2" s="336"/>
      <c r="L2" s="338" t="s">
        <v>4</v>
      </c>
      <c r="M2" s="339"/>
      <c r="N2" s="337"/>
      <c r="O2" s="335" t="s">
        <v>5</v>
      </c>
      <c r="P2" s="335"/>
      <c r="Q2" s="336"/>
      <c r="R2" s="338" t="s">
        <v>6</v>
      </c>
      <c r="S2" s="337"/>
      <c r="T2" s="326">
        <v>8</v>
      </c>
      <c r="U2" s="326"/>
      <c r="X2" s="34" t="s">
        <v>7</v>
      </c>
      <c r="Y2" s="34"/>
      <c r="Z2" s="34"/>
      <c r="AA2" s="34" t="s">
        <v>8</v>
      </c>
      <c r="AB2" s="34"/>
      <c r="AI2" s="147" t="s">
        <v>9</v>
      </c>
      <c r="AJ2" s="147"/>
      <c r="AK2" s="147"/>
      <c r="AL2" s="147" t="s">
        <v>8</v>
      </c>
      <c r="AM2" s="147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44" t="s">
        <v>11</v>
      </c>
      <c r="B4" s="205" t="s">
        <v>12</v>
      </c>
      <c r="C4" s="157" t="s">
        <v>13</v>
      </c>
      <c r="D4" s="184" t="s">
        <v>14</v>
      </c>
      <c r="E4" s="157" t="s">
        <v>15</v>
      </c>
      <c r="F4" s="205" t="s">
        <v>16</v>
      </c>
      <c r="G4" s="205" t="s">
        <v>17</v>
      </c>
      <c r="H4" s="205" t="s">
        <v>18</v>
      </c>
      <c r="I4" s="205" t="s">
        <v>19</v>
      </c>
      <c r="J4" s="205" t="s">
        <v>20</v>
      </c>
      <c r="K4" s="205" t="s">
        <v>21</v>
      </c>
      <c r="L4" s="205" t="s">
        <v>22</v>
      </c>
      <c r="M4" s="205" t="s">
        <v>23</v>
      </c>
      <c r="N4" s="205" t="s">
        <v>24</v>
      </c>
      <c r="O4" s="327" t="s">
        <v>25</v>
      </c>
      <c r="P4" s="327"/>
      <c r="Q4" s="327"/>
      <c r="R4" s="205" t="s">
        <v>26</v>
      </c>
      <c r="S4" s="145" t="s">
        <v>27</v>
      </c>
      <c r="T4" s="145" t="s">
        <v>28</v>
      </c>
      <c r="U4" s="146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8">
        <v>1</v>
      </c>
      <c r="B5" s="119">
        <v>12612</v>
      </c>
      <c r="C5" s="59" t="s">
        <v>334</v>
      </c>
      <c r="D5" s="190" t="s">
        <v>335</v>
      </c>
      <c r="E5" s="171" t="s">
        <v>43</v>
      </c>
      <c r="F5" s="160">
        <v>835</v>
      </c>
      <c r="G5" s="109" t="s">
        <v>37</v>
      </c>
      <c r="H5" s="82">
        <v>95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5</v>
      </c>
      <c r="O5" s="375"/>
      <c r="P5" s="376"/>
      <c r="Q5" s="377"/>
      <c r="R5" s="32" t="s">
        <v>5</v>
      </c>
      <c r="S5" s="30">
        <v>0.33333333333333331</v>
      </c>
      <c r="T5" s="31">
        <v>0.72916666666666663</v>
      </c>
      <c r="U5" s="83">
        <f t="shared" ref="U5:U15" si="0">(T5-S5)*24</f>
        <v>9.5</v>
      </c>
      <c r="X5" s="156" t="s">
        <v>38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38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>
        <v>12613</v>
      </c>
      <c r="C6" s="58" t="s">
        <v>336</v>
      </c>
      <c r="D6" s="190" t="s">
        <v>337</v>
      </c>
      <c r="E6" s="171" t="s">
        <v>43</v>
      </c>
      <c r="F6" s="161">
        <v>850</v>
      </c>
      <c r="G6" s="109" t="s">
        <v>46</v>
      </c>
      <c r="H6" s="82"/>
      <c r="I6" s="115"/>
      <c r="J6" s="120" t="str">
        <f t="shared" ref="J6:J29" si="1">IF(G6="RSL","55","0")</f>
        <v>0</v>
      </c>
      <c r="K6" s="120">
        <v>125</v>
      </c>
      <c r="L6" s="121"/>
      <c r="M6" s="121"/>
      <c r="N6" s="124" t="s">
        <v>5</v>
      </c>
      <c r="O6" s="328" t="s">
        <v>338</v>
      </c>
      <c r="P6" s="329"/>
      <c r="Q6" s="330"/>
      <c r="R6" s="122" t="s">
        <v>42</v>
      </c>
      <c r="S6" s="30">
        <v>0.33333333333333331</v>
      </c>
      <c r="T6" s="31">
        <v>0.72916666666666663</v>
      </c>
      <c r="U6" s="83">
        <f t="shared" si="0"/>
        <v>9.5</v>
      </c>
      <c r="W6" s="14" t="s">
        <v>43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19">
        <v>12614</v>
      </c>
      <c r="C7" s="58" t="s">
        <v>339</v>
      </c>
      <c r="D7" s="190" t="s">
        <v>340</v>
      </c>
      <c r="E7" s="171" t="s">
        <v>43</v>
      </c>
      <c r="F7" s="161">
        <v>910</v>
      </c>
      <c r="G7" s="109" t="s">
        <v>37</v>
      </c>
      <c r="H7" s="82"/>
      <c r="I7" s="115">
        <v>95</v>
      </c>
      <c r="J7" s="120" t="str">
        <f t="shared" si="1"/>
        <v>0</v>
      </c>
      <c r="K7" s="120" t="str">
        <f t="shared" ref="K7:K28" si="2">IF(G7="GVS","37.5",IF(G7="GVM","41.5",IF(G7="GVL","50",IF(G7="PCS","45.8",IF(G7="PCM","50",IF(G7="PCL","58.3","0"))))))</f>
        <v>0</v>
      </c>
      <c r="L7" s="121"/>
      <c r="M7" s="121"/>
      <c r="N7" s="124" t="s">
        <v>5</v>
      </c>
      <c r="O7" s="301"/>
      <c r="P7" s="300"/>
      <c r="Q7" s="302"/>
      <c r="R7" s="124" t="s">
        <v>179</v>
      </c>
      <c r="S7" s="30">
        <v>0.35416666666666669</v>
      </c>
      <c r="T7" s="31">
        <v>0.72916666666666663</v>
      </c>
      <c r="U7" s="83">
        <f t="shared" si="0"/>
        <v>8.9999999999999982</v>
      </c>
      <c r="W7" s="14" t="s">
        <v>36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>
        <v>12615</v>
      </c>
      <c r="C8" s="26" t="s">
        <v>341</v>
      </c>
      <c r="D8" s="190" t="s">
        <v>342</v>
      </c>
      <c r="E8" s="171" t="s">
        <v>36</v>
      </c>
      <c r="F8" s="161">
        <v>940</v>
      </c>
      <c r="G8" s="109" t="s">
        <v>242</v>
      </c>
      <c r="H8" s="82"/>
      <c r="I8" s="115">
        <v>380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5</v>
      </c>
      <c r="O8" s="331"/>
      <c r="P8" s="332"/>
      <c r="Q8" s="333"/>
      <c r="R8" s="25" t="s">
        <v>48</v>
      </c>
      <c r="S8" s="30">
        <v>0.36458333333333331</v>
      </c>
      <c r="T8" s="31">
        <v>0.60416666666666663</v>
      </c>
      <c r="U8" s="83">
        <f t="shared" si="0"/>
        <v>5.75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>
        <v>12616</v>
      </c>
      <c r="C9" s="54" t="s">
        <v>343</v>
      </c>
      <c r="D9" s="191" t="s">
        <v>344</v>
      </c>
      <c r="E9" s="171" t="s">
        <v>43</v>
      </c>
      <c r="F9" s="162">
        <v>945</v>
      </c>
      <c r="G9" s="110" t="s">
        <v>41</v>
      </c>
      <c r="H9" s="82"/>
      <c r="I9" s="82">
        <v>150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5</v>
      </c>
      <c r="O9" s="331"/>
      <c r="P9" s="332"/>
      <c r="Q9" s="333"/>
      <c r="R9" s="25" t="s">
        <v>248</v>
      </c>
      <c r="S9" s="30">
        <v>0.33333333333333331</v>
      </c>
      <c r="T9" s="31">
        <v>0.71875</v>
      </c>
      <c r="U9" s="83">
        <f t="shared" si="0"/>
        <v>9.25</v>
      </c>
      <c r="X9" s="14" t="s">
        <v>56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>
        <v>12617</v>
      </c>
      <c r="C10" s="27" t="s">
        <v>345</v>
      </c>
      <c r="D10" s="192" t="s">
        <v>346</v>
      </c>
      <c r="E10" s="171" t="s">
        <v>36</v>
      </c>
      <c r="F10" s="163">
        <v>1005</v>
      </c>
      <c r="G10" s="111" t="s">
        <v>41</v>
      </c>
      <c r="H10" s="114">
        <v>100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5</v>
      </c>
      <c r="O10" s="323"/>
      <c r="P10" s="324"/>
      <c r="Q10" s="325"/>
      <c r="R10" s="25" t="s">
        <v>51</v>
      </c>
      <c r="S10" s="30">
        <v>0.47916666666666669</v>
      </c>
      <c r="T10" s="31">
        <v>0.72916666666666663</v>
      </c>
      <c r="U10" s="83">
        <f t="shared" si="0"/>
        <v>5.9999999999999982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>
        <v>12618</v>
      </c>
      <c r="C11" s="17" t="s">
        <v>347</v>
      </c>
      <c r="D11" s="193" t="s">
        <v>348</v>
      </c>
      <c r="E11" s="171" t="s">
        <v>43</v>
      </c>
      <c r="F11" s="57">
        <v>1005</v>
      </c>
      <c r="G11" s="112" t="s">
        <v>54</v>
      </c>
      <c r="H11" s="114">
        <v>55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5</v>
      </c>
      <c r="O11" s="301"/>
      <c r="P11" s="300"/>
      <c r="Q11" s="302"/>
      <c r="R11" s="25" t="s">
        <v>59</v>
      </c>
      <c r="S11" s="30">
        <v>0.375</v>
      </c>
      <c r="T11" s="31">
        <v>0.72916666666666663</v>
      </c>
      <c r="U11" s="83">
        <f t="shared" si="0"/>
        <v>8.5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>
        <v>12619</v>
      </c>
      <c r="C12" s="55" t="s">
        <v>349</v>
      </c>
      <c r="D12" s="194" t="s">
        <v>350</v>
      </c>
      <c r="E12" s="171" t="s">
        <v>43</v>
      </c>
      <c r="F12" s="163">
        <v>1020</v>
      </c>
      <c r="G12" s="110" t="s">
        <v>41</v>
      </c>
      <c r="H12" s="114"/>
      <c r="I12" s="116">
        <v>150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5</v>
      </c>
      <c r="O12" s="301"/>
      <c r="P12" s="300"/>
      <c r="Q12" s="302"/>
      <c r="R12" s="25" t="s">
        <v>55</v>
      </c>
      <c r="S12" s="30">
        <v>0.375</v>
      </c>
      <c r="T12" s="31">
        <v>0.72916666666666663</v>
      </c>
      <c r="U12" s="83">
        <f t="shared" si="0"/>
        <v>8.5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19">
        <v>12620</v>
      </c>
      <c r="C13" s="55" t="s">
        <v>351</v>
      </c>
      <c r="D13" s="194" t="s">
        <v>352</v>
      </c>
      <c r="E13" s="171" t="s">
        <v>43</v>
      </c>
      <c r="F13" s="163">
        <v>1020</v>
      </c>
      <c r="G13" s="110" t="s">
        <v>37</v>
      </c>
      <c r="H13" s="159"/>
      <c r="I13" s="158">
        <v>75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5</v>
      </c>
      <c r="O13" s="301"/>
      <c r="P13" s="300"/>
      <c r="Q13" s="30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>
        <v>12621</v>
      </c>
      <c r="C14" s="56" t="s">
        <v>353</v>
      </c>
      <c r="D14" s="195" t="s">
        <v>354</v>
      </c>
      <c r="E14" s="171" t="s">
        <v>43</v>
      </c>
      <c r="F14" s="164">
        <v>1020</v>
      </c>
      <c r="G14" s="113" t="s">
        <v>37</v>
      </c>
      <c r="H14" s="114"/>
      <c r="I14" s="116">
        <v>75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5</v>
      </c>
      <c r="O14" s="301"/>
      <c r="P14" s="300"/>
      <c r="Q14" s="30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>
        <v>12622</v>
      </c>
      <c r="C15" s="56" t="s">
        <v>355</v>
      </c>
      <c r="D15" s="195" t="s">
        <v>356</v>
      </c>
      <c r="E15" s="171" t="s">
        <v>36</v>
      </c>
      <c r="F15" s="164">
        <v>1045</v>
      </c>
      <c r="G15" s="113" t="s">
        <v>37</v>
      </c>
      <c r="H15" s="114">
        <v>95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5</v>
      </c>
      <c r="O15" s="301"/>
      <c r="P15" s="300"/>
      <c r="Q15" s="30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>
        <v>12623</v>
      </c>
      <c r="C16" s="56" t="s">
        <v>357</v>
      </c>
      <c r="D16" s="195" t="s">
        <v>358</v>
      </c>
      <c r="E16" s="171" t="s">
        <v>43</v>
      </c>
      <c r="F16" s="164">
        <v>1130</v>
      </c>
      <c r="G16" s="113" t="s">
        <v>37</v>
      </c>
      <c r="H16" s="114">
        <v>95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5</v>
      </c>
      <c r="O16" s="301"/>
      <c r="P16" s="300"/>
      <c r="Q16" s="302"/>
      <c r="R16" s="73">
        <f>H32/U16</f>
        <v>0.40909090909090912</v>
      </c>
      <c r="S16" s="74">
        <f>H32/(U16-U5)</f>
        <v>0.47787610619469029</v>
      </c>
      <c r="T16" s="74">
        <f>C32/U16</f>
        <v>42.79</v>
      </c>
      <c r="U16" s="74">
        <f>SUM(U5:U15)</f>
        <v>66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>
        <v>12624</v>
      </c>
      <c r="C17" s="17" t="s">
        <v>359</v>
      </c>
      <c r="D17" s="193" t="s">
        <v>360</v>
      </c>
      <c r="E17" s="171" t="s">
        <v>36</v>
      </c>
      <c r="F17" s="57">
        <v>1230</v>
      </c>
      <c r="G17" s="112" t="s">
        <v>54</v>
      </c>
      <c r="H17" s="114">
        <v>75</v>
      </c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5</v>
      </c>
      <c r="O17" s="301"/>
      <c r="P17" s="300"/>
      <c r="Q17" s="302"/>
      <c r="R17" s="75" t="s">
        <v>75</v>
      </c>
      <c r="S17" s="76" t="s">
        <v>76</v>
      </c>
      <c r="T17" s="76" t="s">
        <v>77</v>
      </c>
      <c r="U17" s="74" t="s">
        <v>78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>
        <v>12625</v>
      </c>
      <c r="C18" s="17" t="s">
        <v>361</v>
      </c>
      <c r="D18" s="193" t="s">
        <v>362</v>
      </c>
      <c r="E18" s="171"/>
      <c r="F18" s="57">
        <v>1300</v>
      </c>
      <c r="G18" s="19" t="s">
        <v>37</v>
      </c>
      <c r="H18" s="114">
        <v>95</v>
      </c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2" t="s">
        <v>42</v>
      </c>
      <c r="O18" s="301"/>
      <c r="P18" s="300"/>
      <c r="Q18" s="302"/>
      <c r="R18" s="77" t="s">
        <v>81</v>
      </c>
      <c r="S18" s="78" t="s">
        <v>82</v>
      </c>
      <c r="T18" s="78" t="s">
        <v>83</v>
      </c>
      <c r="U18" s="79" t="s">
        <v>84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249">
        <v>12626</v>
      </c>
      <c r="C19" s="257" t="s">
        <v>363</v>
      </c>
      <c r="D19" s="258" t="s">
        <v>364</v>
      </c>
      <c r="E19" s="252" t="s">
        <v>36</v>
      </c>
      <c r="F19" s="259">
        <v>1310</v>
      </c>
      <c r="G19" s="274" t="s">
        <v>46</v>
      </c>
      <c r="H19" s="261"/>
      <c r="I19" s="254"/>
      <c r="J19" s="254" t="str">
        <f t="shared" si="1"/>
        <v>0</v>
      </c>
      <c r="K19" s="254">
        <v>79.16</v>
      </c>
      <c r="L19" s="255"/>
      <c r="M19" s="255">
        <v>475</v>
      </c>
      <c r="N19" s="256" t="s">
        <v>42</v>
      </c>
      <c r="O19" s="371" t="s">
        <v>365</v>
      </c>
      <c r="P19" s="372"/>
      <c r="Q19" s="372"/>
      <c r="R19" s="84" t="s">
        <v>21</v>
      </c>
      <c r="S19" s="85">
        <f>COUNT(L5:M29,L37:M61,L69:M93)</f>
        <v>3</v>
      </c>
      <c r="T19" s="107">
        <f>SUM(L5:M29,L37:M61,L69:M93)</f>
        <v>1425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>
        <v>12627</v>
      </c>
      <c r="C20" s="17" t="s">
        <v>366</v>
      </c>
      <c r="D20" s="193" t="s">
        <v>367</v>
      </c>
      <c r="E20" s="171" t="s">
        <v>36</v>
      </c>
      <c r="F20" s="57">
        <v>1310</v>
      </c>
      <c r="G20" s="112" t="s">
        <v>54</v>
      </c>
      <c r="H20" s="114"/>
      <c r="I20" s="116">
        <v>75</v>
      </c>
      <c r="J20" s="120" t="str">
        <f t="shared" si="1"/>
        <v>0</v>
      </c>
      <c r="K20" s="211" t="str">
        <f t="shared" si="2"/>
        <v>0</v>
      </c>
      <c r="L20" s="210"/>
      <c r="M20" s="210"/>
      <c r="N20" s="122" t="s">
        <v>42</v>
      </c>
      <c r="O20" s="369"/>
      <c r="P20" s="370"/>
      <c r="Q20" s="37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249">
        <v>12628</v>
      </c>
      <c r="C21" s="257" t="s">
        <v>368</v>
      </c>
      <c r="D21" s="258" t="s">
        <v>369</v>
      </c>
      <c r="E21" s="252" t="s">
        <v>36</v>
      </c>
      <c r="F21" s="259">
        <v>1317</v>
      </c>
      <c r="G21" s="260" t="s">
        <v>46</v>
      </c>
      <c r="H21" s="261"/>
      <c r="I21" s="254"/>
      <c r="J21" s="254" t="str">
        <f t="shared" si="1"/>
        <v>0</v>
      </c>
      <c r="K21" s="254">
        <v>79.16</v>
      </c>
      <c r="L21" s="255"/>
      <c r="M21" s="255">
        <v>475</v>
      </c>
      <c r="N21" s="256" t="s">
        <v>5</v>
      </c>
      <c r="O21" s="371" t="s">
        <v>370</v>
      </c>
      <c r="P21" s="372"/>
      <c r="Q21" s="372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>
        <v>12629</v>
      </c>
      <c r="C22" s="21" t="s">
        <v>371</v>
      </c>
      <c r="D22" s="196" t="s">
        <v>372</v>
      </c>
      <c r="E22" s="171" t="s">
        <v>43</v>
      </c>
      <c r="F22" s="165">
        <v>1340</v>
      </c>
      <c r="G22" s="204" t="s">
        <v>41</v>
      </c>
      <c r="H22" s="80">
        <v>150</v>
      </c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5</v>
      </c>
      <c r="O22" s="301"/>
      <c r="P22" s="300"/>
      <c r="Q22" s="302"/>
      <c r="R22" s="104"/>
      <c r="S22" s="105"/>
      <c r="T22" s="105"/>
      <c r="U22" s="106"/>
      <c r="AD22" s="14" t="s">
        <v>96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96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>
        <v>12630</v>
      </c>
      <c r="C23" s="126" t="s">
        <v>373</v>
      </c>
      <c r="D23" s="197" t="s">
        <v>374</v>
      </c>
      <c r="E23" s="171" t="s">
        <v>36</v>
      </c>
      <c r="F23" s="166">
        <v>1425</v>
      </c>
      <c r="G23" s="155" t="s">
        <v>37</v>
      </c>
      <c r="H23" s="80"/>
      <c r="I23" s="131">
        <v>95</v>
      </c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5</v>
      </c>
      <c r="O23" s="153"/>
      <c r="P23" s="154"/>
      <c r="Q23" s="149"/>
      <c r="R23" s="104"/>
      <c r="S23" s="105"/>
      <c r="T23" s="105"/>
      <c r="U23" s="106"/>
      <c r="X23" s="367"/>
      <c r="Y23" s="368"/>
      <c r="Z23" s="368"/>
    </row>
    <row r="24" spans="1:44" ht="16.5" customHeight="1" thickBot="1">
      <c r="A24" s="125">
        <v>20</v>
      </c>
      <c r="B24" s="123">
        <v>12631</v>
      </c>
      <c r="C24" s="21" t="s">
        <v>375</v>
      </c>
      <c r="D24" s="196" t="s">
        <v>376</v>
      </c>
      <c r="E24" s="171" t="s">
        <v>43</v>
      </c>
      <c r="F24" s="165">
        <v>1445</v>
      </c>
      <c r="G24" s="204" t="s">
        <v>91</v>
      </c>
      <c r="H24" s="80"/>
      <c r="I24" s="131"/>
      <c r="J24" s="120" t="str">
        <f t="shared" si="1"/>
        <v>0</v>
      </c>
      <c r="K24" s="120">
        <v>62.5</v>
      </c>
      <c r="L24" s="60"/>
      <c r="M24" s="60"/>
      <c r="N24" s="124" t="s">
        <v>5</v>
      </c>
      <c r="O24" s="301" t="s">
        <v>377</v>
      </c>
      <c r="P24" s="300"/>
      <c r="Q24" s="302"/>
      <c r="R24" s="133" t="s">
        <v>99</v>
      </c>
      <c r="S24" s="134" t="s">
        <v>100</v>
      </c>
      <c r="T24" s="134" t="s">
        <v>101</v>
      </c>
      <c r="U24" s="135" t="s">
        <v>102</v>
      </c>
      <c r="X24" s="38"/>
      <c r="AD24" s="23" t="s">
        <v>103</v>
      </c>
      <c r="AE24" s="21" t="s">
        <v>30</v>
      </c>
      <c r="AF24" s="21" t="s">
        <v>33</v>
      </c>
      <c r="AG24" s="21" t="s">
        <v>31</v>
      </c>
      <c r="AH24" s="21" t="s">
        <v>104</v>
      </c>
      <c r="AI24" s="21" t="s">
        <v>105</v>
      </c>
    </row>
    <row r="25" spans="1:44" ht="16.5" customHeight="1">
      <c r="A25" s="125">
        <v>21</v>
      </c>
      <c r="B25" s="119">
        <v>12632</v>
      </c>
      <c r="C25" s="122" t="s">
        <v>378</v>
      </c>
      <c r="D25" s="198" t="s">
        <v>379</v>
      </c>
      <c r="E25" s="171" t="s">
        <v>36</v>
      </c>
      <c r="F25" s="165">
        <v>1515</v>
      </c>
      <c r="G25" s="204" t="s">
        <v>54</v>
      </c>
      <c r="H25" s="81">
        <v>50</v>
      </c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5</v>
      </c>
      <c r="O25" s="301" t="s">
        <v>380</v>
      </c>
      <c r="P25" s="300"/>
      <c r="Q25" s="30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73">
        <f>((C32+(R26+S26+T26)*0.5))</f>
        <v>2824.14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269">
        <v>22</v>
      </c>
      <c r="B26" s="260">
        <v>12633</v>
      </c>
      <c r="C26" s="256" t="s">
        <v>381</v>
      </c>
      <c r="D26" s="275" t="s">
        <v>382</v>
      </c>
      <c r="E26" s="252" t="s">
        <v>36</v>
      </c>
      <c r="F26" s="266">
        <v>1600</v>
      </c>
      <c r="G26" s="260" t="s">
        <v>46</v>
      </c>
      <c r="H26" s="261"/>
      <c r="I26" s="261"/>
      <c r="J26" s="254" t="str">
        <f t="shared" si="1"/>
        <v>0</v>
      </c>
      <c r="K26" s="254">
        <v>79.16</v>
      </c>
      <c r="L26" s="254"/>
      <c r="M26" s="254">
        <v>475</v>
      </c>
      <c r="N26" s="256" t="s">
        <v>5</v>
      </c>
      <c r="O26" s="371" t="s">
        <v>383</v>
      </c>
      <c r="P26" s="372"/>
      <c r="Q26" s="378"/>
      <c r="R26" s="103">
        <f>R25*37.5</f>
        <v>0</v>
      </c>
      <c r="S26" s="93">
        <f>S25*41.5</f>
        <v>0</v>
      </c>
      <c r="T26" s="93">
        <f>T25*50</f>
        <v>0</v>
      </c>
      <c r="U26" s="374"/>
      <c r="X26" s="41" t="s">
        <v>106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>
        <v>12634</v>
      </c>
      <c r="C27" s="26" t="s">
        <v>384</v>
      </c>
      <c r="D27" s="199" t="s">
        <v>385</v>
      </c>
      <c r="E27" s="171" t="s">
        <v>36</v>
      </c>
      <c r="F27" s="167">
        <v>1600</v>
      </c>
      <c r="G27" s="19" t="s">
        <v>54</v>
      </c>
      <c r="H27" s="80">
        <v>75</v>
      </c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 t="s">
        <v>5</v>
      </c>
      <c r="O27" s="301"/>
      <c r="P27" s="300"/>
      <c r="Q27" s="302"/>
      <c r="R27" s="364" t="s">
        <v>107</v>
      </c>
      <c r="S27" s="365"/>
      <c r="T27" s="365"/>
      <c r="U27" s="366"/>
      <c r="V27" s="14" t="s">
        <v>108</v>
      </c>
      <c r="W27" s="14" t="s">
        <v>108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>
        <v>12635</v>
      </c>
      <c r="C28" s="26" t="s">
        <v>386</v>
      </c>
      <c r="D28" s="199" t="s">
        <v>387</v>
      </c>
      <c r="E28" s="171" t="s">
        <v>43</v>
      </c>
      <c r="F28" s="167">
        <v>1610</v>
      </c>
      <c r="G28" s="19" t="s">
        <v>37</v>
      </c>
      <c r="H28" s="80">
        <v>95</v>
      </c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 t="s">
        <v>5</v>
      </c>
      <c r="O28" s="301"/>
      <c r="P28" s="300"/>
      <c r="Q28" s="302"/>
      <c r="R28" s="357"/>
      <c r="S28" s="358"/>
      <c r="T28" s="359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>
        <v>12636</v>
      </c>
      <c r="C29" s="33" t="s">
        <v>388</v>
      </c>
      <c r="D29" s="200" t="s">
        <v>389</v>
      </c>
      <c r="E29" s="172" t="s">
        <v>36</v>
      </c>
      <c r="F29" s="167">
        <v>1615</v>
      </c>
      <c r="G29" s="19" t="s">
        <v>46</v>
      </c>
      <c r="H29" s="80"/>
      <c r="I29" s="80"/>
      <c r="J29" s="120" t="str">
        <f t="shared" si="1"/>
        <v>0</v>
      </c>
      <c r="K29" s="120">
        <v>79.16</v>
      </c>
      <c r="L29" s="60"/>
      <c r="M29" s="60"/>
      <c r="N29" s="124" t="s">
        <v>5</v>
      </c>
      <c r="O29" s="344" t="s">
        <v>390</v>
      </c>
      <c r="P29" s="345"/>
      <c r="Q29" s="346"/>
      <c r="R29" s="347"/>
      <c r="S29" s="348"/>
      <c r="T29" s="349"/>
      <c r="U29" s="140"/>
      <c r="X29" s="14">
        <v>3</v>
      </c>
      <c r="Z29" s="45"/>
      <c r="AE29" s="39"/>
    </row>
    <row r="30" spans="1:44" ht="16.5" customHeight="1" thickBot="1">
      <c r="A30" s="350" t="s">
        <v>110</v>
      </c>
      <c r="B30" s="351"/>
      <c r="C30" s="351"/>
      <c r="D30" s="351"/>
      <c r="E30" s="352"/>
      <c r="F30" s="351"/>
      <c r="G30" s="351"/>
      <c r="H30" s="201">
        <f t="shared" ref="H30:M30" si="3">SUM(H5:H29)</f>
        <v>980</v>
      </c>
      <c r="I30" s="96">
        <f>SUM(I5:I29)</f>
        <v>1095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504.14</v>
      </c>
      <c r="L30" s="97">
        <f t="shared" si="3"/>
        <v>0</v>
      </c>
      <c r="M30" s="97">
        <f t="shared" si="3"/>
        <v>1425</v>
      </c>
      <c r="N30" s="206" t="s">
        <v>111</v>
      </c>
      <c r="O30" s="206" t="s">
        <v>19</v>
      </c>
      <c r="P30" s="206" t="s">
        <v>21</v>
      </c>
      <c r="Q30" s="87" t="s">
        <v>20</v>
      </c>
      <c r="R30" s="353"/>
      <c r="S30" s="353"/>
      <c r="T30" s="354"/>
      <c r="U30" s="141"/>
      <c r="X30" s="14">
        <v>4</v>
      </c>
      <c r="Z30" s="45"/>
      <c r="AD30" s="46"/>
    </row>
    <row r="31" spans="1:44">
      <c r="A31" s="355" t="s">
        <v>112</v>
      </c>
      <c r="B31" s="356"/>
      <c r="C31" s="356"/>
      <c r="D31" s="356"/>
      <c r="E31" s="356"/>
      <c r="F31" s="356"/>
      <c r="G31" s="356"/>
      <c r="H31" s="202">
        <f t="shared" ref="H31:J31" si="4">H30+H62+H94</f>
        <v>1225</v>
      </c>
      <c r="I31" s="94">
        <f t="shared" si="4"/>
        <v>1095</v>
      </c>
      <c r="J31" s="94">
        <f t="shared" si="4"/>
        <v>0</v>
      </c>
      <c r="K31" s="94">
        <f>K30+K62+K94</f>
        <v>504.14</v>
      </c>
      <c r="L31" s="88">
        <f>L30+L62+L94</f>
        <v>0</v>
      </c>
      <c r="M31" s="88">
        <f>M30+M62+M94</f>
        <v>1425</v>
      </c>
      <c r="N31" s="207">
        <f>COUNT(H5:H29,H37:H61,H69:H93)</f>
        <v>13</v>
      </c>
      <c r="O31" s="95">
        <f>COUNT(I5:I29,I37:I61,I69:I93)</f>
        <v>8</v>
      </c>
      <c r="P31" s="95">
        <f>COUNTIF(G5:G29,"G*")+COUNTIF(G37:G61,"G*")+COUNTIF(G69:G93,"G*")+COUNTIF(G5:G29,"P*")+COUNTIF(G37:G61,"P*")+COUNTIF(G69:G93,"P*")</f>
        <v>6</v>
      </c>
      <c r="Q31" s="108">
        <f>COUNTIF(G5:G29,"RSL")+COUNTIF(G37:G61,"RSL")+COUNTIF(G69:G93,"RSL")</f>
        <v>0</v>
      </c>
      <c r="R31" s="89" t="s">
        <v>113</v>
      </c>
      <c r="S31" s="102">
        <f>H31+L31-U28-U29-U30</f>
        <v>1225</v>
      </c>
      <c r="T31" s="340">
        <f>H31+I31+L31+M31</f>
        <v>3745</v>
      </c>
      <c r="U31" s="341"/>
      <c r="X31" s="47" t="s">
        <v>114</v>
      </c>
      <c r="Y31" s="47"/>
      <c r="Z31" s="47">
        <f>SUM(Z27:Z30)</f>
        <v>-2745</v>
      </c>
      <c r="AE31" s="39"/>
    </row>
    <row r="32" spans="1:44" ht="17.25" thickBot="1">
      <c r="A32" s="360" t="s">
        <v>115</v>
      </c>
      <c r="B32" s="361"/>
      <c r="C32" s="98">
        <f>H31+I31+J31+K31</f>
        <v>2824.14</v>
      </c>
      <c r="D32" s="186"/>
      <c r="E32" s="98"/>
      <c r="F32" s="362" t="s">
        <v>116</v>
      </c>
      <c r="G32" s="362"/>
      <c r="H32" s="100">
        <f>COUNT(B5:B29,B37:B61,B69:B93)</f>
        <v>27</v>
      </c>
      <c r="I32" s="363" t="s">
        <v>117</v>
      </c>
      <c r="J32" s="363"/>
      <c r="K32" s="99">
        <f>C32/H32</f>
        <v>104.59777777777778</v>
      </c>
      <c r="L32" s="208"/>
      <c r="M32" s="208"/>
      <c r="N32" s="208">
        <f>H31/C32</f>
        <v>0.43376036598752188</v>
      </c>
      <c r="O32" s="208">
        <f>I31/C32</f>
        <v>0.38772865367864201</v>
      </c>
      <c r="P32" s="208">
        <f>K31/C32</f>
        <v>0.17851098033383614</v>
      </c>
      <c r="Q32" s="101">
        <f>J31/C32</f>
        <v>0</v>
      </c>
      <c r="R32" s="90" t="s">
        <v>118</v>
      </c>
      <c r="S32" s="203">
        <f>I31+M31</f>
        <v>2520</v>
      </c>
      <c r="T32" s="342"/>
      <c r="U32" s="343"/>
      <c r="V32" s="39"/>
      <c r="W32" s="39"/>
      <c r="X32" s="48" t="s">
        <v>119</v>
      </c>
      <c r="Y32" s="48"/>
      <c r="Z32" s="47">
        <f>I31</f>
        <v>1095</v>
      </c>
    </row>
    <row r="33" spans="1:33" ht="17.25" thickBot="1">
      <c r="A33" s="294" t="s">
        <v>120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49" t="s">
        <v>121</v>
      </c>
      <c r="Y33" s="49"/>
      <c r="Z33" s="50">
        <f>SUM(Z31:Z32)</f>
        <v>-1650</v>
      </c>
      <c r="AG33" s="35"/>
    </row>
    <row r="34" spans="1:33" ht="17.25" thickBot="1">
      <c r="A34" s="334" t="str">
        <f>A2</f>
        <v>3 - 12 - 2022</v>
      </c>
      <c r="B34" s="335"/>
      <c r="C34" s="335"/>
      <c r="D34" s="335"/>
      <c r="E34" s="335"/>
      <c r="F34" s="335"/>
      <c r="G34" s="336"/>
      <c r="H34" s="337" t="s">
        <v>2</v>
      </c>
      <c r="I34" s="338"/>
      <c r="J34" s="334" t="str">
        <f>J2</f>
        <v>SUNNY</v>
      </c>
      <c r="K34" s="336"/>
      <c r="L34" s="338" t="s">
        <v>122</v>
      </c>
      <c r="M34" s="339"/>
      <c r="N34" s="337"/>
      <c r="O34" s="335" t="str">
        <f>O2</f>
        <v>JOHN</v>
      </c>
      <c r="P34" s="335"/>
      <c r="Q34" s="336"/>
      <c r="R34" s="338" t="s">
        <v>6</v>
      </c>
      <c r="S34" s="337"/>
      <c r="T34" s="326">
        <f>T2</f>
        <v>8</v>
      </c>
      <c r="U34" s="326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44" t="s">
        <v>11</v>
      </c>
      <c r="B36" s="205" t="s">
        <v>12</v>
      </c>
      <c r="C36" s="157" t="s">
        <v>13</v>
      </c>
      <c r="D36" s="184" t="s">
        <v>14</v>
      </c>
      <c r="E36" s="157" t="s">
        <v>15</v>
      </c>
      <c r="F36" s="205" t="s">
        <v>16</v>
      </c>
      <c r="G36" s="205" t="s">
        <v>17</v>
      </c>
      <c r="H36" s="205" t="s">
        <v>18</v>
      </c>
      <c r="I36" s="205" t="s">
        <v>19</v>
      </c>
      <c r="J36" s="205" t="s">
        <v>20</v>
      </c>
      <c r="K36" s="205" t="s">
        <v>21</v>
      </c>
      <c r="L36" s="205" t="s">
        <v>22</v>
      </c>
      <c r="M36" s="205" t="s">
        <v>23</v>
      </c>
      <c r="N36" s="205" t="s">
        <v>24</v>
      </c>
      <c r="O36" s="327" t="s">
        <v>25</v>
      </c>
      <c r="P36" s="327"/>
      <c r="Q36" s="327"/>
      <c r="R36" s="205" t="s">
        <v>26</v>
      </c>
      <c r="S36" s="145" t="s">
        <v>27</v>
      </c>
      <c r="T36" s="145" t="s">
        <v>28</v>
      </c>
      <c r="U36" s="146" t="s">
        <v>29</v>
      </c>
    </row>
    <row r="37" spans="1:33">
      <c r="A37" s="142">
        <f>A29+1</f>
        <v>26</v>
      </c>
      <c r="B37" s="109">
        <v>12637</v>
      </c>
      <c r="C37" s="26" t="s">
        <v>391</v>
      </c>
      <c r="D37" s="199" t="s">
        <v>392</v>
      </c>
      <c r="E37" s="171" t="s">
        <v>43</v>
      </c>
      <c r="F37" s="276">
        <v>0.70833333333333337</v>
      </c>
      <c r="G37" s="109" t="s">
        <v>37</v>
      </c>
      <c r="H37" s="82">
        <v>150</v>
      </c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 t="s">
        <v>5</v>
      </c>
      <c r="O37" s="301"/>
      <c r="P37" s="300"/>
      <c r="Q37" s="302"/>
      <c r="R37" s="51"/>
      <c r="S37" s="52"/>
      <c r="T37" s="52"/>
      <c r="U37" s="61"/>
    </row>
    <row r="38" spans="1:33">
      <c r="A38" s="118">
        <f>A37+1</f>
        <v>27</v>
      </c>
      <c r="B38" s="204">
        <v>12638</v>
      </c>
      <c r="C38" s="58" t="s">
        <v>393</v>
      </c>
      <c r="D38" s="185" t="s">
        <v>394</v>
      </c>
      <c r="E38" s="171" t="s">
        <v>36</v>
      </c>
      <c r="F38" s="277">
        <v>0.75347222222222221</v>
      </c>
      <c r="G38" s="109" t="s">
        <v>37</v>
      </c>
      <c r="H38" s="82">
        <v>95</v>
      </c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 t="s">
        <v>5</v>
      </c>
      <c r="O38" s="328"/>
      <c r="P38" s="329"/>
      <c r="Q38" s="330"/>
      <c r="R38" s="69"/>
      <c r="S38" s="62"/>
      <c r="T38" s="16"/>
      <c r="U38" s="63"/>
    </row>
    <row r="39" spans="1:3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01"/>
      <c r="P39" s="300"/>
      <c r="Q39" s="302"/>
      <c r="R39" s="70"/>
      <c r="S39" s="13"/>
      <c r="T39" s="12"/>
      <c r="U39" s="63"/>
    </row>
    <row r="40" spans="1:3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31"/>
      <c r="P40" s="332"/>
      <c r="Q40" s="333"/>
      <c r="R40" s="69"/>
      <c r="S40" s="62"/>
      <c r="T40" s="62"/>
      <c r="U40" s="63"/>
    </row>
    <row r="41" spans="1:3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31"/>
      <c r="P41" s="332"/>
      <c r="Q41" s="333"/>
      <c r="R41" s="71"/>
      <c r="S41" s="64"/>
      <c r="T41" s="64"/>
      <c r="U41" s="65"/>
    </row>
    <row r="42" spans="1:3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23"/>
      <c r="P42" s="324"/>
      <c r="Q42" s="325"/>
      <c r="R42" s="71"/>
      <c r="S42" s="64"/>
      <c r="T42" s="64"/>
      <c r="U42" s="65"/>
    </row>
    <row r="43" spans="1:3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01"/>
      <c r="P43" s="300"/>
      <c r="Q43" s="302"/>
      <c r="R43" s="69"/>
      <c r="S43" s="62"/>
      <c r="T43" s="62"/>
      <c r="U43" s="63"/>
    </row>
    <row r="44" spans="1:3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01"/>
      <c r="P44" s="300"/>
      <c r="Q44" s="302"/>
      <c r="R44" s="5"/>
      <c r="S44" s="62"/>
      <c r="T44" s="62"/>
      <c r="U44" s="63"/>
    </row>
    <row r="45" spans="1:3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01"/>
      <c r="P45" s="300"/>
      <c r="Q45" s="302"/>
      <c r="R45" s="5"/>
      <c r="S45" s="62"/>
      <c r="T45" s="62"/>
      <c r="U45" s="63"/>
    </row>
    <row r="46" spans="1:3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01"/>
      <c r="P46" s="300"/>
      <c r="Q46" s="302"/>
      <c r="R46" s="5"/>
      <c r="S46" s="62"/>
      <c r="T46" s="62"/>
      <c r="U46" s="63"/>
    </row>
    <row r="47" spans="1:3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01"/>
      <c r="P47" s="300"/>
      <c r="Q47" s="302"/>
      <c r="R47" s="5"/>
      <c r="S47" s="62"/>
      <c r="T47" s="62"/>
      <c r="U47" s="63"/>
    </row>
    <row r="48" spans="1:3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01"/>
      <c r="P48" s="300"/>
      <c r="Q48" s="302"/>
      <c r="R48" s="5"/>
      <c r="S48" s="62"/>
      <c r="T48" s="62"/>
      <c r="U48" s="63"/>
    </row>
    <row r="49" spans="1:21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01"/>
      <c r="P49" s="300"/>
      <c r="Q49" s="302"/>
      <c r="R49" s="5"/>
      <c r="S49" s="62"/>
      <c r="T49" s="66"/>
      <c r="U49" s="63"/>
    </row>
    <row r="50" spans="1:21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01"/>
      <c r="P50" s="300"/>
      <c r="Q50" s="302"/>
      <c r="R50" s="5"/>
      <c r="S50" s="62"/>
      <c r="T50" s="66"/>
      <c r="U50" s="63"/>
    </row>
    <row r="51" spans="1:21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01"/>
      <c r="P51" s="300"/>
      <c r="Q51" s="300"/>
      <c r="R51" s="5"/>
      <c r="S51" s="62"/>
      <c r="T51" s="66"/>
      <c r="U51" s="63"/>
    </row>
    <row r="52" spans="1:21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01"/>
      <c r="P52" s="300"/>
      <c r="Q52" s="300"/>
      <c r="R52" s="72"/>
      <c r="S52" s="59"/>
      <c r="T52" s="67"/>
      <c r="U52" s="68"/>
    </row>
    <row r="53" spans="1:21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22"/>
      <c r="P53" s="301"/>
      <c r="Q53" s="301"/>
      <c r="R53" s="72"/>
      <c r="S53" s="59"/>
      <c r="T53" s="67"/>
      <c r="U53" s="68"/>
    </row>
    <row r="54" spans="1:21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22"/>
      <c r="P54" s="301"/>
      <c r="Q54" s="301"/>
      <c r="R54" s="72"/>
      <c r="S54" s="59"/>
      <c r="T54" s="67"/>
      <c r="U54" s="68"/>
    </row>
    <row r="55" spans="1:21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22"/>
      <c r="P55" s="301"/>
      <c r="Q55" s="301"/>
      <c r="R55" s="72"/>
      <c r="S55" s="59"/>
      <c r="T55" s="67"/>
      <c r="U55" s="68"/>
    </row>
    <row r="56" spans="1:21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00"/>
      <c r="P56" s="300"/>
      <c r="Q56" s="300"/>
      <c r="R56" s="72"/>
      <c r="S56" s="59"/>
      <c r="T56" s="67"/>
      <c r="U56" s="68"/>
    </row>
    <row r="57" spans="1:21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01"/>
      <c r="P57" s="300"/>
      <c r="Q57" s="300"/>
      <c r="R57" s="72"/>
      <c r="S57" s="59"/>
      <c r="T57" s="59"/>
      <c r="U57" s="68"/>
    </row>
    <row r="58" spans="1:21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00"/>
      <c r="P58" s="300"/>
      <c r="Q58" s="300"/>
      <c r="R58" s="72"/>
      <c r="S58" s="59"/>
      <c r="T58" s="59"/>
      <c r="U58" s="68"/>
    </row>
    <row r="59" spans="1:21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00"/>
      <c r="P59" s="300"/>
      <c r="Q59" s="300"/>
      <c r="R59" s="72"/>
      <c r="S59" s="59"/>
      <c r="T59" s="59"/>
      <c r="U59" s="68"/>
    </row>
    <row r="60" spans="1:21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01"/>
      <c r="P60" s="300"/>
      <c r="Q60" s="302"/>
      <c r="R60" s="72"/>
      <c r="S60" s="59"/>
      <c r="T60" s="59"/>
      <c r="U60" s="68"/>
    </row>
    <row r="61" spans="1:21" ht="17.25" thickBot="1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03"/>
      <c r="P61" s="304"/>
      <c r="Q61" s="305"/>
      <c r="R61" s="72"/>
      <c r="S61" s="59"/>
      <c r="T61" s="59"/>
      <c r="U61" s="68"/>
    </row>
    <row r="62" spans="1:21">
      <c r="A62" s="306" t="s">
        <v>110</v>
      </c>
      <c r="B62" s="307"/>
      <c r="C62" s="307"/>
      <c r="D62" s="307"/>
      <c r="E62" s="307"/>
      <c r="F62" s="307"/>
      <c r="G62" s="307"/>
      <c r="H62" s="307">
        <f t="shared" ref="H62:M62" si="8">SUM(H37:H61)</f>
        <v>245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7.25" thickBot="1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7.25" thickBot="1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123</v>
      </c>
      <c r="S64" s="298"/>
      <c r="T64" s="298"/>
      <c r="U64" s="299"/>
    </row>
    <row r="65" spans="1:21" ht="17.25" thickBot="1">
      <c r="A65" s="334" t="s">
        <v>120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7.25" thickBot="1">
      <c r="A66" s="334" t="str">
        <f>A34</f>
        <v>3 - 12 - 2022</v>
      </c>
      <c r="B66" s="335"/>
      <c r="C66" s="335"/>
      <c r="D66" s="335"/>
      <c r="E66" s="335"/>
      <c r="F66" s="335"/>
      <c r="G66" s="336"/>
      <c r="H66" s="337" t="s">
        <v>2</v>
      </c>
      <c r="I66" s="338"/>
      <c r="J66" s="334" t="str">
        <f>J34</f>
        <v>SUNNY</v>
      </c>
      <c r="K66" s="336"/>
      <c r="L66" s="338" t="s">
        <v>122</v>
      </c>
      <c r="M66" s="339"/>
      <c r="N66" s="337"/>
      <c r="O66" s="335" t="str">
        <f>O34</f>
        <v>JOHN</v>
      </c>
      <c r="P66" s="335"/>
      <c r="Q66" s="336"/>
      <c r="R66" s="338" t="s">
        <v>6</v>
      </c>
      <c r="S66" s="337"/>
      <c r="T66" s="326">
        <f>T34</f>
        <v>8</v>
      </c>
      <c r="U66" s="326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44" t="s">
        <v>11</v>
      </c>
      <c r="B68" s="205" t="s">
        <v>12</v>
      </c>
      <c r="C68" s="157" t="s">
        <v>13</v>
      </c>
      <c r="D68" s="184" t="s">
        <v>14</v>
      </c>
      <c r="E68" s="157" t="s">
        <v>15</v>
      </c>
      <c r="F68" s="205" t="s">
        <v>16</v>
      </c>
      <c r="G68" s="205" t="s">
        <v>17</v>
      </c>
      <c r="H68" s="205" t="s">
        <v>18</v>
      </c>
      <c r="I68" s="205" t="s">
        <v>19</v>
      </c>
      <c r="J68" s="205" t="s">
        <v>20</v>
      </c>
      <c r="K68" s="205" t="s">
        <v>21</v>
      </c>
      <c r="L68" s="205" t="s">
        <v>22</v>
      </c>
      <c r="M68" s="205" t="s">
        <v>23</v>
      </c>
      <c r="N68" s="205" t="s">
        <v>24</v>
      </c>
      <c r="O68" s="327" t="s">
        <v>25</v>
      </c>
      <c r="P68" s="327"/>
      <c r="Q68" s="327"/>
      <c r="R68" s="205" t="s">
        <v>26</v>
      </c>
      <c r="S68" s="145" t="s">
        <v>27</v>
      </c>
      <c r="T68" s="145" t="s">
        <v>28</v>
      </c>
      <c r="U68" s="146" t="s">
        <v>29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01"/>
      <c r="P69" s="300"/>
      <c r="Q69" s="302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28"/>
      <c r="P70" s="329"/>
      <c r="Q70" s="330"/>
      <c r="R70" s="69"/>
      <c r="S70" s="62"/>
      <c r="T70" s="16"/>
      <c r="U70" s="63"/>
    </row>
    <row r="71" spans="1:21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01"/>
      <c r="P71" s="300"/>
      <c r="Q71" s="302"/>
      <c r="R71" s="70"/>
      <c r="S71" s="13"/>
      <c r="T71" s="12"/>
      <c r="U71" s="63"/>
    </row>
    <row r="72" spans="1:21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31"/>
      <c r="P72" s="332"/>
      <c r="Q72" s="333"/>
      <c r="R72" s="69"/>
      <c r="S72" s="62"/>
      <c r="T72" s="62"/>
      <c r="U72" s="63"/>
    </row>
    <row r="73" spans="1:21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31"/>
      <c r="P73" s="332"/>
      <c r="Q73" s="333"/>
      <c r="R73" s="71"/>
      <c r="S73" s="64"/>
      <c r="T73" s="64"/>
      <c r="U73" s="65"/>
    </row>
    <row r="74" spans="1:21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23"/>
      <c r="P74" s="324"/>
      <c r="Q74" s="325"/>
      <c r="R74" s="71"/>
      <c r="S74" s="64"/>
      <c r="T74" s="64"/>
      <c r="U74" s="65"/>
    </row>
    <row r="75" spans="1:21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01"/>
      <c r="P75" s="300"/>
      <c r="Q75" s="302"/>
      <c r="R75" s="69"/>
      <c r="S75" s="62"/>
      <c r="T75" s="62"/>
      <c r="U75" s="63"/>
    </row>
    <row r="76" spans="1:21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01"/>
      <c r="P76" s="300"/>
      <c r="Q76" s="302"/>
      <c r="R76" s="5"/>
      <c r="S76" s="62"/>
      <c r="T76" s="62"/>
      <c r="U76" s="63"/>
    </row>
    <row r="77" spans="1:21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01"/>
      <c r="P77" s="300"/>
      <c r="Q77" s="302"/>
      <c r="R77" s="5"/>
      <c r="S77" s="62"/>
      <c r="T77" s="62"/>
      <c r="U77" s="63"/>
    </row>
    <row r="78" spans="1:21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01"/>
      <c r="P78" s="300"/>
      <c r="Q78" s="302"/>
      <c r="R78" s="5"/>
      <c r="S78" s="62"/>
      <c r="T78" s="62"/>
      <c r="U78" s="63"/>
    </row>
    <row r="79" spans="1:21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01"/>
      <c r="P79" s="300"/>
      <c r="Q79" s="302"/>
      <c r="R79" s="5"/>
      <c r="S79" s="62"/>
      <c r="T79" s="62"/>
      <c r="U79" s="63"/>
    </row>
    <row r="80" spans="1:21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01"/>
      <c r="P80" s="300"/>
      <c r="Q80" s="302"/>
      <c r="R80" s="5"/>
      <c r="S80" s="62"/>
      <c r="T80" s="62"/>
      <c r="U80" s="63"/>
    </row>
    <row r="81" spans="1:21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01"/>
      <c r="P81" s="300"/>
      <c r="Q81" s="302"/>
      <c r="R81" s="5"/>
      <c r="S81" s="62"/>
      <c r="T81" s="66"/>
      <c r="U81" s="63"/>
    </row>
    <row r="82" spans="1:21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01"/>
      <c r="P82" s="300"/>
      <c r="Q82" s="302"/>
      <c r="R82" s="5"/>
      <c r="S82" s="62"/>
      <c r="T82" s="66"/>
      <c r="U82" s="63"/>
    </row>
    <row r="83" spans="1:21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01"/>
      <c r="P83" s="300"/>
      <c r="Q83" s="300"/>
      <c r="R83" s="5"/>
      <c r="S83" s="62"/>
      <c r="T83" s="66"/>
      <c r="U83" s="63"/>
    </row>
    <row r="84" spans="1:21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01"/>
      <c r="P84" s="300"/>
      <c r="Q84" s="300"/>
      <c r="R84" s="72"/>
      <c r="S84" s="59"/>
      <c r="T84" s="67"/>
      <c r="U84" s="68"/>
    </row>
    <row r="85" spans="1:21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22"/>
      <c r="P85" s="301"/>
      <c r="Q85" s="301"/>
      <c r="R85" s="72"/>
      <c r="S85" s="59"/>
      <c r="T85" s="67"/>
      <c r="U85" s="68"/>
    </row>
    <row r="86" spans="1:21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22"/>
      <c r="P86" s="301"/>
      <c r="Q86" s="301"/>
      <c r="R86" s="72"/>
      <c r="S86" s="59"/>
      <c r="T86" s="67"/>
      <c r="U86" s="68"/>
    </row>
    <row r="87" spans="1:21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22"/>
      <c r="P87" s="301"/>
      <c r="Q87" s="301"/>
      <c r="R87" s="72"/>
      <c r="S87" s="59"/>
      <c r="T87" s="67"/>
      <c r="U87" s="68"/>
    </row>
    <row r="88" spans="1:21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00"/>
      <c r="P88" s="300"/>
      <c r="Q88" s="300"/>
      <c r="R88" s="72"/>
      <c r="S88" s="59"/>
      <c r="T88" s="67"/>
      <c r="U88" s="68"/>
    </row>
    <row r="89" spans="1:21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01"/>
      <c r="P89" s="300"/>
      <c r="Q89" s="300"/>
      <c r="R89" s="72"/>
      <c r="S89" s="59"/>
      <c r="T89" s="59"/>
      <c r="U89" s="68"/>
    </row>
    <row r="90" spans="1:21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00"/>
      <c r="P90" s="300"/>
      <c r="Q90" s="300"/>
      <c r="R90" s="72"/>
      <c r="S90" s="59"/>
      <c r="T90" s="59"/>
      <c r="U90" s="68"/>
    </row>
    <row r="91" spans="1:21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00"/>
      <c r="P91" s="300"/>
      <c r="Q91" s="300"/>
      <c r="R91" s="72"/>
      <c r="S91" s="59"/>
      <c r="T91" s="59"/>
      <c r="U91" s="68"/>
    </row>
    <row r="92" spans="1:21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01"/>
      <c r="P92" s="300"/>
      <c r="Q92" s="302"/>
      <c r="R92" s="72"/>
      <c r="S92" s="59"/>
      <c r="T92" s="59"/>
      <c r="U92" s="68"/>
    </row>
    <row r="93" spans="1:21" ht="17.25" thickBot="1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03"/>
      <c r="P93" s="304"/>
      <c r="Q93" s="305"/>
      <c r="R93" s="72"/>
      <c r="S93" s="59"/>
      <c r="T93" s="59"/>
      <c r="U93" s="68"/>
    </row>
    <row r="94" spans="1:21">
      <c r="A94" s="306" t="s">
        <v>110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7.25" thickBot="1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7.25" thickBot="1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124</v>
      </c>
      <c r="S96" s="298"/>
      <c r="T96" s="298"/>
      <c r="U96" s="299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3" type="noConversion"/>
  <dataValidations count="1">
    <dataValidation type="list" allowBlank="1" showInputMessage="1" showErrorMessage="1" sqref="X7 W5 E69:E93 E5:E29 E37:E61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B3" sqref="B3:D3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7.25" thickBot="1">
      <c r="A2" s="334" t="s">
        <v>395</v>
      </c>
      <c r="B2" s="335"/>
      <c r="C2" s="335"/>
      <c r="D2" s="335"/>
      <c r="E2" s="335"/>
      <c r="F2" s="335"/>
      <c r="G2" s="336"/>
      <c r="H2" s="337" t="s">
        <v>2</v>
      </c>
      <c r="I2" s="338"/>
      <c r="J2" s="334" t="s">
        <v>126</v>
      </c>
      <c r="K2" s="336"/>
      <c r="L2" s="338" t="s">
        <v>4</v>
      </c>
      <c r="M2" s="339"/>
      <c r="N2" s="337"/>
      <c r="O2" s="335" t="s">
        <v>5</v>
      </c>
      <c r="P2" s="335"/>
      <c r="Q2" s="336"/>
      <c r="R2" s="338" t="s">
        <v>6</v>
      </c>
      <c r="S2" s="337"/>
      <c r="T2" s="326">
        <v>8</v>
      </c>
      <c r="U2" s="326"/>
      <c r="X2" s="34" t="s">
        <v>7</v>
      </c>
      <c r="Y2" s="34"/>
      <c r="Z2" s="34"/>
      <c r="AA2" s="34" t="s">
        <v>8</v>
      </c>
      <c r="AB2" s="34"/>
      <c r="AI2" s="147" t="s">
        <v>9</v>
      </c>
      <c r="AJ2" s="147"/>
      <c r="AK2" s="147"/>
      <c r="AL2" s="147" t="s">
        <v>8</v>
      </c>
      <c r="AM2" s="147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44" t="s">
        <v>11</v>
      </c>
      <c r="B4" s="205" t="s">
        <v>12</v>
      </c>
      <c r="C4" s="157" t="s">
        <v>13</v>
      </c>
      <c r="D4" s="184" t="s">
        <v>14</v>
      </c>
      <c r="E4" s="157" t="s">
        <v>15</v>
      </c>
      <c r="F4" s="205" t="s">
        <v>16</v>
      </c>
      <c r="G4" s="205" t="s">
        <v>17</v>
      </c>
      <c r="H4" s="205" t="s">
        <v>18</v>
      </c>
      <c r="I4" s="205" t="s">
        <v>19</v>
      </c>
      <c r="J4" s="205" t="s">
        <v>20</v>
      </c>
      <c r="K4" s="205" t="s">
        <v>21</v>
      </c>
      <c r="L4" s="205" t="s">
        <v>22</v>
      </c>
      <c r="M4" s="205" t="s">
        <v>23</v>
      </c>
      <c r="N4" s="205" t="s">
        <v>24</v>
      </c>
      <c r="O4" s="327" t="s">
        <v>25</v>
      </c>
      <c r="P4" s="327"/>
      <c r="Q4" s="327"/>
      <c r="R4" s="205" t="s">
        <v>26</v>
      </c>
      <c r="S4" s="145" t="s">
        <v>27</v>
      </c>
      <c r="T4" s="145" t="s">
        <v>28</v>
      </c>
      <c r="U4" s="146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8">
        <v>1</v>
      </c>
      <c r="B5" s="123">
        <v>12639</v>
      </c>
      <c r="C5" s="59" t="s">
        <v>396</v>
      </c>
      <c r="D5" s="190" t="s">
        <v>397</v>
      </c>
      <c r="E5" s="171" t="s">
        <v>36</v>
      </c>
      <c r="F5" s="160">
        <v>750</v>
      </c>
      <c r="G5" s="109" t="s">
        <v>37</v>
      </c>
      <c r="H5" s="82"/>
      <c r="I5" s="115">
        <v>95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42</v>
      </c>
      <c r="O5" s="375"/>
      <c r="P5" s="376"/>
      <c r="Q5" s="377"/>
      <c r="R5" s="32" t="s">
        <v>5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38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38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19">
        <v>12640</v>
      </c>
      <c r="C6" s="58" t="s">
        <v>398</v>
      </c>
      <c r="D6" s="190" t="s">
        <v>399</v>
      </c>
      <c r="E6" s="171" t="s">
        <v>43</v>
      </c>
      <c r="F6" s="161">
        <v>808</v>
      </c>
      <c r="G6" s="109" t="s">
        <v>46</v>
      </c>
      <c r="H6" s="82"/>
      <c r="I6" s="115"/>
      <c r="J6" s="120" t="str">
        <f t="shared" ref="J6:J29" si="1">IF(G6="RSL","55","0")</f>
        <v>0</v>
      </c>
      <c r="K6" s="120">
        <v>79.16</v>
      </c>
      <c r="L6" s="121"/>
      <c r="M6" s="121"/>
      <c r="N6" s="124" t="s">
        <v>5</v>
      </c>
      <c r="O6" s="328" t="s">
        <v>400</v>
      </c>
      <c r="P6" s="329"/>
      <c r="Q6" s="330"/>
      <c r="R6" s="122" t="s">
        <v>42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43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23">
        <v>12641</v>
      </c>
      <c r="C7" s="58" t="s">
        <v>401</v>
      </c>
      <c r="D7" s="190" t="s">
        <v>402</v>
      </c>
      <c r="E7" s="171" t="s">
        <v>36</v>
      </c>
      <c r="F7" s="161">
        <v>900</v>
      </c>
      <c r="G7" s="109" t="s">
        <v>37</v>
      </c>
      <c r="H7" s="82"/>
      <c r="I7" s="115">
        <v>75</v>
      </c>
      <c r="J7" s="120" t="str">
        <f t="shared" si="1"/>
        <v>0</v>
      </c>
      <c r="K7" s="120" t="str">
        <f t="shared" ref="K7:K29" si="2">IF(G7="GVS","37.5",IF(G7="GVM","41.5",IF(G7="GVL","50",IF(G7="PCS","45.8",IF(G7="PCM","50",IF(G7="PCL","58.3","0"))))))</f>
        <v>0</v>
      </c>
      <c r="L7" s="121"/>
      <c r="M7" s="121"/>
      <c r="N7" s="124" t="s">
        <v>5</v>
      </c>
      <c r="O7" s="301"/>
      <c r="P7" s="300"/>
      <c r="Q7" s="302"/>
      <c r="R7" s="124" t="s">
        <v>248</v>
      </c>
      <c r="S7" s="30">
        <v>0.33333333333333331</v>
      </c>
      <c r="T7" s="31">
        <v>0.70833333333333337</v>
      </c>
      <c r="U7" s="83">
        <f t="shared" si="0"/>
        <v>9.0000000000000018</v>
      </c>
      <c r="W7" s="14" t="s">
        <v>36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19">
        <v>12642</v>
      </c>
      <c r="C8" s="26" t="s">
        <v>403</v>
      </c>
      <c r="D8" s="190" t="s">
        <v>404</v>
      </c>
      <c r="E8" s="171" t="s">
        <v>36</v>
      </c>
      <c r="F8" s="161">
        <v>910</v>
      </c>
      <c r="G8" s="109" t="s">
        <v>37</v>
      </c>
      <c r="H8" s="82"/>
      <c r="I8" s="115">
        <v>95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5</v>
      </c>
      <c r="O8" s="331"/>
      <c r="P8" s="332"/>
      <c r="Q8" s="333"/>
      <c r="R8" s="25" t="s">
        <v>179</v>
      </c>
      <c r="S8" s="30">
        <v>0.375</v>
      </c>
      <c r="T8" s="31">
        <v>0.70833333333333337</v>
      </c>
      <c r="U8" s="83">
        <f t="shared" si="0"/>
        <v>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23">
        <v>12643</v>
      </c>
      <c r="C9" s="54" t="s">
        <v>405</v>
      </c>
      <c r="D9" s="191" t="s">
        <v>406</v>
      </c>
      <c r="E9" s="171" t="s">
        <v>43</v>
      </c>
      <c r="F9" s="162">
        <v>950</v>
      </c>
      <c r="G9" s="110" t="s">
        <v>37</v>
      </c>
      <c r="H9" s="82"/>
      <c r="I9" s="82">
        <v>95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5</v>
      </c>
      <c r="O9" s="331"/>
      <c r="P9" s="332"/>
      <c r="Q9" s="333"/>
      <c r="R9" s="25" t="s">
        <v>51</v>
      </c>
      <c r="S9" s="30">
        <v>0.36458333333333331</v>
      </c>
      <c r="T9" s="31">
        <v>0.70833333333333337</v>
      </c>
      <c r="U9" s="83">
        <f t="shared" si="0"/>
        <v>8.2500000000000018</v>
      </c>
      <c r="X9" s="14" t="s">
        <v>56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19">
        <v>12644</v>
      </c>
      <c r="C10" s="27" t="s">
        <v>407</v>
      </c>
      <c r="D10" s="192" t="s">
        <v>408</v>
      </c>
      <c r="E10" s="171" t="s">
        <v>36</v>
      </c>
      <c r="F10" s="163">
        <v>1000</v>
      </c>
      <c r="G10" s="111" t="s">
        <v>37</v>
      </c>
      <c r="H10" s="114"/>
      <c r="I10" s="116">
        <v>95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5</v>
      </c>
      <c r="O10" s="323"/>
      <c r="P10" s="324"/>
      <c r="Q10" s="325"/>
      <c r="R10" s="25" t="s">
        <v>59</v>
      </c>
      <c r="S10" s="30">
        <v>0.375</v>
      </c>
      <c r="T10" s="31">
        <v>0.70833333333333337</v>
      </c>
      <c r="U10" s="83">
        <f t="shared" si="0"/>
        <v>8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23">
        <v>12645</v>
      </c>
      <c r="C11" s="17" t="s">
        <v>409</v>
      </c>
      <c r="D11" s="193" t="s">
        <v>175</v>
      </c>
      <c r="E11" s="171" t="s">
        <v>43</v>
      </c>
      <c r="F11" s="57">
        <v>1030</v>
      </c>
      <c r="G11" s="112" t="s">
        <v>46</v>
      </c>
      <c r="H11" s="114"/>
      <c r="I11" s="115"/>
      <c r="J11" s="120" t="str">
        <f t="shared" si="1"/>
        <v>0</v>
      </c>
      <c r="K11" s="120">
        <v>79.16</v>
      </c>
      <c r="L11" s="121"/>
      <c r="M11" s="121"/>
      <c r="N11" s="124" t="s">
        <v>5</v>
      </c>
      <c r="O11" s="301" t="s">
        <v>410</v>
      </c>
      <c r="P11" s="300"/>
      <c r="Q11" s="302"/>
      <c r="R11" s="25" t="s">
        <v>55</v>
      </c>
      <c r="S11" s="30">
        <v>0.375</v>
      </c>
      <c r="T11" s="31">
        <v>0.44791666666666669</v>
      </c>
      <c r="U11" s="83">
        <f t="shared" si="0"/>
        <v>1.7500000000000004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19">
        <v>12646</v>
      </c>
      <c r="C12" s="55" t="s">
        <v>411</v>
      </c>
      <c r="D12" s="194" t="s">
        <v>412</v>
      </c>
      <c r="E12" s="171" t="s">
        <v>36</v>
      </c>
      <c r="F12" s="163">
        <v>1040</v>
      </c>
      <c r="G12" s="110" t="s">
        <v>37</v>
      </c>
      <c r="H12" s="114"/>
      <c r="I12" s="116">
        <v>95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5</v>
      </c>
      <c r="O12" s="301"/>
      <c r="P12" s="300"/>
      <c r="Q12" s="302"/>
      <c r="R12" s="25"/>
      <c r="S12" s="30">
        <v>0.5625</v>
      </c>
      <c r="T12" s="31">
        <v>0.70833333333333337</v>
      </c>
      <c r="U12" s="83">
        <f t="shared" si="0"/>
        <v>3.5000000000000009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23">
        <v>12647</v>
      </c>
      <c r="C13" s="55" t="s">
        <v>413</v>
      </c>
      <c r="D13" s="194" t="s">
        <v>414</v>
      </c>
      <c r="E13" s="171" t="s">
        <v>36</v>
      </c>
      <c r="F13" s="163">
        <v>1050</v>
      </c>
      <c r="G13" s="110" t="s">
        <v>37</v>
      </c>
      <c r="H13" s="159">
        <v>95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5</v>
      </c>
      <c r="O13" s="301"/>
      <c r="P13" s="300"/>
      <c r="Q13" s="302"/>
      <c r="R13" s="32" t="s">
        <v>301</v>
      </c>
      <c r="S13" s="30">
        <v>0.41666666666666669</v>
      </c>
      <c r="T13" s="31">
        <v>0.44791666666666669</v>
      </c>
      <c r="U13" s="83">
        <f t="shared" si="0"/>
        <v>0.75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19">
        <v>12648</v>
      </c>
      <c r="C14" s="56" t="s">
        <v>415</v>
      </c>
      <c r="D14" s="195" t="s">
        <v>416</v>
      </c>
      <c r="E14" s="171" t="s">
        <v>36</v>
      </c>
      <c r="F14" s="164">
        <v>1130</v>
      </c>
      <c r="G14" s="113" t="s">
        <v>37</v>
      </c>
      <c r="H14" s="114"/>
      <c r="I14" s="116">
        <v>75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5</v>
      </c>
      <c r="O14" s="301"/>
      <c r="P14" s="300"/>
      <c r="Q14" s="302"/>
      <c r="R14" s="25"/>
      <c r="S14" s="30">
        <v>0.53125</v>
      </c>
      <c r="T14" s="31">
        <v>0.64583333333333337</v>
      </c>
      <c r="U14" s="83">
        <f t="shared" si="0"/>
        <v>2.7500000000000009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269">
        <v>11</v>
      </c>
      <c r="B15" s="260">
        <v>12649</v>
      </c>
      <c r="C15" s="278" t="s">
        <v>417</v>
      </c>
      <c r="D15" s="279" t="s">
        <v>418</v>
      </c>
      <c r="E15" s="252" t="s">
        <v>43</v>
      </c>
      <c r="F15" s="280">
        <v>1135</v>
      </c>
      <c r="G15" s="249" t="s">
        <v>91</v>
      </c>
      <c r="H15" s="261"/>
      <c r="I15" s="254"/>
      <c r="J15" s="254" t="str">
        <f t="shared" si="1"/>
        <v>0</v>
      </c>
      <c r="K15" s="254">
        <v>125</v>
      </c>
      <c r="L15" s="255"/>
      <c r="M15" s="255">
        <v>475</v>
      </c>
      <c r="N15" s="256" t="s">
        <v>5</v>
      </c>
      <c r="O15" s="371" t="s">
        <v>419</v>
      </c>
      <c r="P15" s="372"/>
      <c r="Q15" s="378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19">
        <v>12650</v>
      </c>
      <c r="C16" s="56">
        <v>979</v>
      </c>
      <c r="D16" s="195" t="s">
        <v>420</v>
      </c>
      <c r="E16" s="171" t="s">
        <v>36</v>
      </c>
      <c r="F16" s="164">
        <v>1200</v>
      </c>
      <c r="G16" s="113" t="s">
        <v>41</v>
      </c>
      <c r="H16" s="114"/>
      <c r="I16" s="115">
        <v>100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5</v>
      </c>
      <c r="O16" s="301"/>
      <c r="P16" s="300"/>
      <c r="Q16" s="302"/>
      <c r="R16" s="73">
        <f>H32/U16</f>
        <v>0.3833333333333333</v>
      </c>
      <c r="S16" s="74">
        <f>H32/(U16-U5)</f>
        <v>0.4509803921568627</v>
      </c>
      <c r="T16" s="74">
        <f>C32/U16</f>
        <v>39.888666666666666</v>
      </c>
      <c r="U16" s="74">
        <f>SUM(U5:U15)</f>
        <v>60.000000000000007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23">
        <v>12651</v>
      </c>
      <c r="C17" s="17" t="s">
        <v>421</v>
      </c>
      <c r="D17" s="193" t="s">
        <v>422</v>
      </c>
      <c r="E17" s="171" t="s">
        <v>43</v>
      </c>
      <c r="F17" s="57">
        <v>1215</v>
      </c>
      <c r="G17" s="112" t="s">
        <v>37</v>
      </c>
      <c r="H17" s="114"/>
      <c r="I17" s="115">
        <v>75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5</v>
      </c>
      <c r="O17" s="301"/>
      <c r="P17" s="300"/>
      <c r="Q17" s="302"/>
      <c r="R17" s="75" t="s">
        <v>75</v>
      </c>
      <c r="S17" s="76" t="s">
        <v>76</v>
      </c>
      <c r="T17" s="76" t="s">
        <v>77</v>
      </c>
      <c r="U17" s="74" t="s">
        <v>78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19">
        <v>12652</v>
      </c>
      <c r="C18" s="17" t="s">
        <v>423</v>
      </c>
      <c r="D18" s="193" t="s">
        <v>424</v>
      </c>
      <c r="E18" s="171" t="s">
        <v>43</v>
      </c>
      <c r="F18" s="57">
        <v>1245</v>
      </c>
      <c r="G18" s="19" t="s">
        <v>41</v>
      </c>
      <c r="H18" s="114">
        <v>150</v>
      </c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5</v>
      </c>
      <c r="O18" s="301"/>
      <c r="P18" s="300"/>
      <c r="Q18" s="302"/>
      <c r="R18" s="77" t="s">
        <v>81</v>
      </c>
      <c r="S18" s="78" t="s">
        <v>82</v>
      </c>
      <c r="T18" s="78" t="s">
        <v>83</v>
      </c>
      <c r="U18" s="79" t="s">
        <v>84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23">
        <v>12653</v>
      </c>
      <c r="C19" s="17" t="s">
        <v>425</v>
      </c>
      <c r="D19" s="193" t="s">
        <v>426</v>
      </c>
      <c r="E19" s="171" t="s">
        <v>43</v>
      </c>
      <c r="F19" s="57">
        <v>1245</v>
      </c>
      <c r="G19" s="112" t="s">
        <v>41</v>
      </c>
      <c r="H19" s="114">
        <v>50</v>
      </c>
      <c r="I19" s="115">
        <v>100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5</v>
      </c>
      <c r="O19" s="301"/>
      <c r="P19" s="300"/>
      <c r="Q19" s="300"/>
      <c r="R19" s="84" t="s">
        <v>21</v>
      </c>
      <c r="S19" s="85">
        <f>COUNT(L5:M29,L37:M61,L69:M93)</f>
        <v>1</v>
      </c>
      <c r="T19" s="107">
        <f>SUM(L5:M29,L37:M61,L69:M93)</f>
        <v>475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19">
        <v>12654</v>
      </c>
      <c r="C20" s="17" t="s">
        <v>427</v>
      </c>
      <c r="D20" s="193" t="s">
        <v>428</v>
      </c>
      <c r="E20" s="171" t="s">
        <v>36</v>
      </c>
      <c r="F20" s="57">
        <v>1300</v>
      </c>
      <c r="G20" s="112" t="s">
        <v>54</v>
      </c>
      <c r="H20" s="114"/>
      <c r="I20" s="116">
        <v>75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5</v>
      </c>
      <c r="O20" s="369"/>
      <c r="P20" s="370"/>
      <c r="Q20" s="37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23">
        <v>12655</v>
      </c>
      <c r="C21" s="17" t="s">
        <v>429</v>
      </c>
      <c r="D21" s="193" t="s">
        <v>430</v>
      </c>
      <c r="E21" s="171" t="s">
        <v>36</v>
      </c>
      <c r="F21" s="57">
        <v>1305</v>
      </c>
      <c r="G21" s="19" t="s">
        <v>37</v>
      </c>
      <c r="H21" s="114">
        <v>95</v>
      </c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5</v>
      </c>
      <c r="O21" s="301"/>
      <c r="P21" s="300"/>
      <c r="Q21" s="300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19">
        <v>12656</v>
      </c>
      <c r="C22" s="21" t="s">
        <v>431</v>
      </c>
      <c r="D22" s="196" t="s">
        <v>432</v>
      </c>
      <c r="E22" s="171" t="s">
        <v>36</v>
      </c>
      <c r="F22" s="165">
        <v>1320</v>
      </c>
      <c r="G22" s="204" t="s">
        <v>41</v>
      </c>
      <c r="H22" s="80">
        <v>140</v>
      </c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5</v>
      </c>
      <c r="O22" s="301"/>
      <c r="P22" s="300"/>
      <c r="Q22" s="302"/>
      <c r="R22" s="104"/>
      <c r="S22" s="105"/>
      <c r="T22" s="105"/>
      <c r="U22" s="106"/>
      <c r="AD22" s="14" t="s">
        <v>96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96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23">
        <v>12657</v>
      </c>
      <c r="C23" s="126" t="s">
        <v>433</v>
      </c>
      <c r="D23" s="197" t="s">
        <v>434</v>
      </c>
      <c r="E23" s="171" t="s">
        <v>43</v>
      </c>
      <c r="F23" s="166">
        <v>1320</v>
      </c>
      <c r="G23" s="155" t="s">
        <v>37</v>
      </c>
      <c r="H23" s="80">
        <v>75</v>
      </c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5</v>
      </c>
      <c r="O23" s="153"/>
      <c r="P23" s="154"/>
      <c r="Q23" s="149"/>
      <c r="R23" s="104"/>
      <c r="S23" s="105"/>
      <c r="T23" s="105"/>
      <c r="U23" s="106"/>
      <c r="X23" s="367"/>
      <c r="Y23" s="368"/>
      <c r="Z23" s="368"/>
    </row>
    <row r="24" spans="1:44" ht="16.5" customHeight="1" thickBot="1">
      <c r="A24" s="125">
        <v>20</v>
      </c>
      <c r="B24" s="119">
        <v>12658</v>
      </c>
      <c r="C24" s="21" t="s">
        <v>435</v>
      </c>
      <c r="D24" s="196" t="s">
        <v>436</v>
      </c>
      <c r="E24" s="171" t="s">
        <v>36</v>
      </c>
      <c r="F24" s="165">
        <v>1345</v>
      </c>
      <c r="G24" s="204" t="s">
        <v>37</v>
      </c>
      <c r="H24" s="80"/>
      <c r="I24" s="131">
        <v>75</v>
      </c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5</v>
      </c>
      <c r="O24" s="301"/>
      <c r="P24" s="300"/>
      <c r="Q24" s="302"/>
      <c r="R24" s="133" t="s">
        <v>99</v>
      </c>
      <c r="S24" s="134" t="s">
        <v>100</v>
      </c>
      <c r="T24" s="134" t="s">
        <v>101</v>
      </c>
      <c r="U24" s="135" t="s">
        <v>102</v>
      </c>
      <c r="X24" s="38"/>
      <c r="AD24" s="23" t="s">
        <v>103</v>
      </c>
      <c r="AE24" s="21" t="s">
        <v>30</v>
      </c>
      <c r="AF24" s="21" t="s">
        <v>33</v>
      </c>
      <c r="AG24" s="21" t="s">
        <v>31</v>
      </c>
      <c r="AH24" s="21" t="s">
        <v>104</v>
      </c>
      <c r="AI24" s="21" t="s">
        <v>105</v>
      </c>
    </row>
    <row r="25" spans="1:44" ht="16.5" customHeight="1">
      <c r="A25" s="125">
        <v>21</v>
      </c>
      <c r="B25" s="123">
        <v>12659</v>
      </c>
      <c r="C25" s="122" t="s">
        <v>437</v>
      </c>
      <c r="D25" s="198" t="s">
        <v>438</v>
      </c>
      <c r="E25" s="171" t="s">
        <v>36</v>
      </c>
      <c r="F25" s="165">
        <v>1400</v>
      </c>
      <c r="G25" s="204" t="s">
        <v>37</v>
      </c>
      <c r="H25" s="81"/>
      <c r="I25" s="81">
        <v>195</v>
      </c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5</v>
      </c>
      <c r="O25" s="301" t="s">
        <v>439</v>
      </c>
      <c r="P25" s="300"/>
      <c r="Q25" s="30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73">
        <f>((C32+(R26+S26+T26)*0.5))</f>
        <v>2393.3200000000002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19">
        <v>12660</v>
      </c>
      <c r="C26" s="26" t="s">
        <v>440</v>
      </c>
      <c r="D26" s="199" t="s">
        <v>441</v>
      </c>
      <c r="E26" s="171" t="s">
        <v>43</v>
      </c>
      <c r="F26" s="167">
        <v>1540</v>
      </c>
      <c r="G26" s="19" t="s">
        <v>41</v>
      </c>
      <c r="H26" s="80"/>
      <c r="I26" s="131">
        <v>130</v>
      </c>
      <c r="J26" s="120" t="str">
        <f t="shared" si="1"/>
        <v>0</v>
      </c>
      <c r="K26" s="120" t="str">
        <f t="shared" si="2"/>
        <v>0</v>
      </c>
      <c r="L26" s="60"/>
      <c r="M26" s="60"/>
      <c r="N26" s="124" t="s">
        <v>5</v>
      </c>
      <c r="O26" s="301"/>
      <c r="P26" s="300"/>
      <c r="Q26" s="302"/>
      <c r="R26" s="103">
        <f>R25*37.5</f>
        <v>0</v>
      </c>
      <c r="S26" s="93">
        <f>S25*41.5</f>
        <v>0</v>
      </c>
      <c r="T26" s="93">
        <f>T25*50</f>
        <v>0</v>
      </c>
      <c r="U26" s="374"/>
      <c r="X26" s="41" t="s">
        <v>106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23">
        <v>12661</v>
      </c>
      <c r="C27" s="26" t="s">
        <v>442</v>
      </c>
      <c r="D27" s="199" t="s">
        <v>443</v>
      </c>
      <c r="E27" s="171" t="s">
        <v>43</v>
      </c>
      <c r="F27" s="167">
        <v>1545</v>
      </c>
      <c r="G27" s="19" t="s">
        <v>41</v>
      </c>
      <c r="H27" s="80">
        <v>130</v>
      </c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 t="s">
        <v>5</v>
      </c>
      <c r="O27" s="301"/>
      <c r="P27" s="300"/>
      <c r="Q27" s="302"/>
      <c r="R27" s="364" t="s">
        <v>107</v>
      </c>
      <c r="S27" s="365"/>
      <c r="T27" s="365"/>
      <c r="U27" s="366"/>
      <c r="V27" s="14" t="s">
        <v>108</v>
      </c>
      <c r="W27" s="14" t="s">
        <v>108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19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01"/>
      <c r="P28" s="300"/>
      <c r="Q28" s="302"/>
      <c r="R28" s="357"/>
      <c r="S28" s="358"/>
      <c r="T28" s="359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23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44"/>
      <c r="P29" s="345"/>
      <c r="Q29" s="346"/>
      <c r="R29" s="347"/>
      <c r="S29" s="348"/>
      <c r="T29" s="349"/>
      <c r="U29" s="140"/>
      <c r="X29" s="14">
        <v>3</v>
      </c>
      <c r="Z29" s="45"/>
      <c r="AE29" s="39"/>
    </row>
    <row r="30" spans="1:44" ht="16.5" customHeight="1" thickBot="1">
      <c r="A30" s="350" t="s">
        <v>110</v>
      </c>
      <c r="B30" s="351"/>
      <c r="C30" s="351"/>
      <c r="D30" s="351"/>
      <c r="E30" s="352"/>
      <c r="F30" s="351"/>
      <c r="G30" s="351"/>
      <c r="H30" s="201">
        <f t="shared" ref="H30:M30" si="3">SUM(H5:H29)</f>
        <v>735</v>
      </c>
      <c r="I30" s="96">
        <f>SUM(I5:I29)</f>
        <v>1375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283.32</v>
      </c>
      <c r="L30" s="97">
        <f t="shared" si="3"/>
        <v>0</v>
      </c>
      <c r="M30" s="97">
        <f t="shared" si="3"/>
        <v>475</v>
      </c>
      <c r="N30" s="206" t="s">
        <v>111</v>
      </c>
      <c r="O30" s="206" t="s">
        <v>19</v>
      </c>
      <c r="P30" s="206" t="s">
        <v>21</v>
      </c>
      <c r="Q30" s="87" t="s">
        <v>20</v>
      </c>
      <c r="R30" s="353"/>
      <c r="S30" s="353"/>
      <c r="T30" s="354"/>
      <c r="U30" s="141"/>
      <c r="X30" s="14">
        <v>4</v>
      </c>
      <c r="Z30" s="45"/>
      <c r="AD30" s="46"/>
    </row>
    <row r="31" spans="1:44">
      <c r="A31" s="355" t="s">
        <v>112</v>
      </c>
      <c r="B31" s="356"/>
      <c r="C31" s="356"/>
      <c r="D31" s="356"/>
      <c r="E31" s="356"/>
      <c r="F31" s="356"/>
      <c r="G31" s="356"/>
      <c r="H31" s="202">
        <f t="shared" ref="H31:J31" si="4">H30+H62+H94</f>
        <v>735</v>
      </c>
      <c r="I31" s="94">
        <f t="shared" si="4"/>
        <v>1375</v>
      </c>
      <c r="J31" s="94">
        <f t="shared" si="4"/>
        <v>0</v>
      </c>
      <c r="K31" s="94">
        <f>K30+K62+K94</f>
        <v>283.32</v>
      </c>
      <c r="L31" s="88">
        <f>L30+L62+L94</f>
        <v>0</v>
      </c>
      <c r="M31" s="88">
        <f>M30+M62+M94</f>
        <v>475</v>
      </c>
      <c r="N31" s="207">
        <f>COUNT(H5:H29,H37:H61,H69:H93)</f>
        <v>7</v>
      </c>
      <c r="O31" s="95">
        <f>COUNT(I5:I29,I37:I61,I69:I93)</f>
        <v>14</v>
      </c>
      <c r="P31" s="95">
        <f>COUNTIF(G5:G29,"G*")+COUNTIF(G37:G61,"G*")+COUNTIF(G69:G93,"G*")+COUNTIF(G5:G29,"P*")+COUNTIF(G37:G61,"P*")+COUNTIF(G69:G93,"P*")</f>
        <v>3</v>
      </c>
      <c r="Q31" s="108">
        <f>COUNTIF(G5:G29,"RSL")+COUNTIF(G37:G61,"RSL")+COUNTIF(G69:G93,"RSL")</f>
        <v>0</v>
      </c>
      <c r="R31" s="89" t="s">
        <v>113</v>
      </c>
      <c r="S31" s="102">
        <f>H31+L31-U28-U29-U30</f>
        <v>735</v>
      </c>
      <c r="T31" s="340">
        <f>H31+I31+L31+M31</f>
        <v>2585</v>
      </c>
      <c r="U31" s="341"/>
      <c r="X31" s="47" t="s">
        <v>114</v>
      </c>
      <c r="Y31" s="47"/>
      <c r="Z31" s="47">
        <f>SUM(Z27:Z30)</f>
        <v>-2745</v>
      </c>
      <c r="AE31" s="39"/>
    </row>
    <row r="32" spans="1:44" ht="17.25" thickBot="1">
      <c r="A32" s="360" t="s">
        <v>115</v>
      </c>
      <c r="B32" s="361"/>
      <c r="C32" s="98">
        <f>H31+I31+J31+K31</f>
        <v>2393.3200000000002</v>
      </c>
      <c r="D32" s="186"/>
      <c r="E32" s="98"/>
      <c r="F32" s="362" t="s">
        <v>116</v>
      </c>
      <c r="G32" s="362"/>
      <c r="H32" s="100">
        <f>COUNT(B5:B29,B37:B61,B69:B93)</f>
        <v>23</v>
      </c>
      <c r="I32" s="363" t="s">
        <v>117</v>
      </c>
      <c r="J32" s="363"/>
      <c r="K32" s="99">
        <f>C32/H32</f>
        <v>104.05739130434783</v>
      </c>
      <c r="L32" s="208"/>
      <c r="M32" s="208"/>
      <c r="N32" s="208">
        <f>H31/C32</f>
        <v>0.30710477495696353</v>
      </c>
      <c r="O32" s="208">
        <f>I31/C32</f>
        <v>0.57451573546370727</v>
      </c>
      <c r="P32" s="208">
        <f>K31/C32</f>
        <v>0.11837948957932912</v>
      </c>
      <c r="Q32" s="101">
        <f>J31/C32</f>
        <v>0</v>
      </c>
      <c r="R32" s="90" t="s">
        <v>118</v>
      </c>
      <c r="S32" s="203">
        <f>I31+M31</f>
        <v>1850</v>
      </c>
      <c r="T32" s="342"/>
      <c r="U32" s="343"/>
      <c r="V32" s="39"/>
      <c r="W32" s="39"/>
      <c r="X32" s="48" t="s">
        <v>119</v>
      </c>
      <c r="Y32" s="48"/>
      <c r="Z32" s="47">
        <f>I31</f>
        <v>1375</v>
      </c>
    </row>
    <row r="33" spans="1:33" ht="17.25" thickBot="1">
      <c r="A33" s="294" t="s">
        <v>120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49" t="s">
        <v>121</v>
      </c>
      <c r="Y33" s="49"/>
      <c r="Z33" s="50">
        <f>SUM(Z31:Z32)</f>
        <v>-1370</v>
      </c>
      <c r="AG33" s="35"/>
    </row>
    <row r="34" spans="1:33" ht="17.25" thickBot="1">
      <c r="A34" s="334" t="str">
        <f>A2</f>
        <v>4 - 12 - 2022</v>
      </c>
      <c r="B34" s="335"/>
      <c r="C34" s="335"/>
      <c r="D34" s="335"/>
      <c r="E34" s="335"/>
      <c r="F34" s="335"/>
      <c r="G34" s="336"/>
      <c r="H34" s="337" t="s">
        <v>2</v>
      </c>
      <c r="I34" s="338"/>
      <c r="J34" s="334" t="str">
        <f>J2</f>
        <v>SUNNY</v>
      </c>
      <c r="K34" s="336"/>
      <c r="L34" s="338" t="s">
        <v>122</v>
      </c>
      <c r="M34" s="339"/>
      <c r="N34" s="337"/>
      <c r="O34" s="335" t="str">
        <f>O2</f>
        <v>JOHN</v>
      </c>
      <c r="P34" s="335"/>
      <c r="Q34" s="336"/>
      <c r="R34" s="338" t="s">
        <v>6</v>
      </c>
      <c r="S34" s="337"/>
      <c r="T34" s="326">
        <f>T2</f>
        <v>8</v>
      </c>
      <c r="U34" s="326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44" t="s">
        <v>11</v>
      </c>
      <c r="B36" s="205" t="s">
        <v>12</v>
      </c>
      <c r="C36" s="157" t="s">
        <v>13</v>
      </c>
      <c r="D36" s="184" t="s">
        <v>14</v>
      </c>
      <c r="E36" s="157" t="s">
        <v>15</v>
      </c>
      <c r="F36" s="205" t="s">
        <v>16</v>
      </c>
      <c r="G36" s="205" t="s">
        <v>17</v>
      </c>
      <c r="H36" s="205" t="s">
        <v>18</v>
      </c>
      <c r="I36" s="205" t="s">
        <v>19</v>
      </c>
      <c r="J36" s="205" t="s">
        <v>20</v>
      </c>
      <c r="K36" s="205" t="s">
        <v>21</v>
      </c>
      <c r="L36" s="205" t="s">
        <v>22</v>
      </c>
      <c r="M36" s="205" t="s">
        <v>23</v>
      </c>
      <c r="N36" s="205" t="s">
        <v>24</v>
      </c>
      <c r="O36" s="327" t="s">
        <v>25</v>
      </c>
      <c r="P36" s="327"/>
      <c r="Q36" s="327"/>
      <c r="R36" s="205" t="s">
        <v>26</v>
      </c>
      <c r="S36" s="145" t="s">
        <v>27</v>
      </c>
      <c r="T36" s="145" t="s">
        <v>28</v>
      </c>
      <c r="U36" s="146" t="s">
        <v>29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01"/>
      <c r="P37" s="300"/>
      <c r="Q37" s="302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28"/>
      <c r="P38" s="329"/>
      <c r="Q38" s="330"/>
      <c r="R38" s="69"/>
      <c r="S38" s="62"/>
      <c r="T38" s="16"/>
      <c r="U38" s="63"/>
    </row>
    <row r="39" spans="1:3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01"/>
      <c r="P39" s="300"/>
      <c r="Q39" s="302"/>
      <c r="R39" s="70"/>
      <c r="S39" s="13"/>
      <c r="T39" s="12"/>
      <c r="U39" s="63"/>
    </row>
    <row r="40" spans="1:3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31"/>
      <c r="P40" s="332"/>
      <c r="Q40" s="333"/>
      <c r="R40" s="69"/>
      <c r="S40" s="62"/>
      <c r="T40" s="62"/>
      <c r="U40" s="63"/>
    </row>
    <row r="41" spans="1:3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31"/>
      <c r="P41" s="332"/>
      <c r="Q41" s="333"/>
      <c r="R41" s="71"/>
      <c r="S41" s="64"/>
      <c r="T41" s="64"/>
      <c r="U41" s="65"/>
    </row>
    <row r="42" spans="1:3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23"/>
      <c r="P42" s="324"/>
      <c r="Q42" s="325"/>
      <c r="R42" s="71"/>
      <c r="S42" s="64"/>
      <c r="T42" s="64"/>
      <c r="U42" s="65"/>
    </row>
    <row r="43" spans="1:3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01"/>
      <c r="P43" s="300"/>
      <c r="Q43" s="302"/>
      <c r="R43" s="69"/>
      <c r="S43" s="62"/>
      <c r="T43" s="62"/>
      <c r="U43" s="63"/>
    </row>
    <row r="44" spans="1:3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01"/>
      <c r="P44" s="300"/>
      <c r="Q44" s="302"/>
      <c r="R44" s="5"/>
      <c r="S44" s="62"/>
      <c r="T44" s="62"/>
      <c r="U44" s="63"/>
    </row>
    <row r="45" spans="1:3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01"/>
      <c r="P45" s="300"/>
      <c r="Q45" s="302"/>
      <c r="R45" s="5"/>
      <c r="S45" s="62"/>
      <c r="T45" s="62"/>
      <c r="U45" s="63"/>
    </row>
    <row r="46" spans="1:3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01"/>
      <c r="P46" s="300"/>
      <c r="Q46" s="302"/>
      <c r="R46" s="5"/>
      <c r="S46" s="62"/>
      <c r="T46" s="62"/>
      <c r="U46" s="63"/>
    </row>
    <row r="47" spans="1:3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01"/>
      <c r="P47" s="300"/>
      <c r="Q47" s="302"/>
      <c r="R47" s="5"/>
      <c r="S47" s="62"/>
      <c r="T47" s="62"/>
      <c r="U47" s="63"/>
    </row>
    <row r="48" spans="1:3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01"/>
      <c r="P48" s="300"/>
      <c r="Q48" s="302"/>
      <c r="R48" s="5"/>
      <c r="S48" s="62"/>
      <c r="T48" s="62"/>
      <c r="U48" s="63"/>
    </row>
    <row r="49" spans="1:21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01"/>
      <c r="P49" s="300"/>
      <c r="Q49" s="302"/>
      <c r="R49" s="5"/>
      <c r="S49" s="62"/>
      <c r="T49" s="66"/>
      <c r="U49" s="63"/>
    </row>
    <row r="50" spans="1:21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01"/>
      <c r="P50" s="300"/>
      <c r="Q50" s="302"/>
      <c r="R50" s="5"/>
      <c r="S50" s="62"/>
      <c r="T50" s="66"/>
      <c r="U50" s="63"/>
    </row>
    <row r="51" spans="1:21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01"/>
      <c r="P51" s="300"/>
      <c r="Q51" s="300"/>
      <c r="R51" s="5"/>
      <c r="S51" s="62"/>
      <c r="T51" s="66"/>
      <c r="U51" s="63"/>
    </row>
    <row r="52" spans="1:21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01"/>
      <c r="P52" s="300"/>
      <c r="Q52" s="300"/>
      <c r="R52" s="72"/>
      <c r="S52" s="59"/>
      <c r="T52" s="67"/>
      <c r="U52" s="68"/>
    </row>
    <row r="53" spans="1:21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22"/>
      <c r="P53" s="301"/>
      <c r="Q53" s="301"/>
      <c r="R53" s="72"/>
      <c r="S53" s="59"/>
      <c r="T53" s="67"/>
      <c r="U53" s="68"/>
    </row>
    <row r="54" spans="1:21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22"/>
      <c r="P54" s="301"/>
      <c r="Q54" s="301"/>
      <c r="R54" s="72"/>
      <c r="S54" s="59"/>
      <c r="T54" s="67"/>
      <c r="U54" s="68"/>
    </row>
    <row r="55" spans="1:21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22"/>
      <c r="P55" s="301"/>
      <c r="Q55" s="301"/>
      <c r="R55" s="72"/>
      <c r="S55" s="59"/>
      <c r="T55" s="67"/>
      <c r="U55" s="68"/>
    </row>
    <row r="56" spans="1:21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00"/>
      <c r="P56" s="300"/>
      <c r="Q56" s="300"/>
      <c r="R56" s="72"/>
      <c r="S56" s="59"/>
      <c r="T56" s="67"/>
      <c r="U56" s="68"/>
    </row>
    <row r="57" spans="1:21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01"/>
      <c r="P57" s="300"/>
      <c r="Q57" s="300"/>
      <c r="R57" s="72"/>
      <c r="S57" s="59"/>
      <c r="T57" s="59"/>
      <c r="U57" s="68"/>
    </row>
    <row r="58" spans="1:21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00"/>
      <c r="P58" s="300"/>
      <c r="Q58" s="300"/>
      <c r="R58" s="72"/>
      <c r="S58" s="59"/>
      <c r="T58" s="59"/>
      <c r="U58" s="68"/>
    </row>
    <row r="59" spans="1:21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00"/>
      <c r="P59" s="300"/>
      <c r="Q59" s="300"/>
      <c r="R59" s="72"/>
      <c r="S59" s="59"/>
      <c r="T59" s="59"/>
      <c r="U59" s="68"/>
    </row>
    <row r="60" spans="1:21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01"/>
      <c r="P60" s="300"/>
      <c r="Q60" s="302"/>
      <c r="R60" s="72"/>
      <c r="S60" s="59"/>
      <c r="T60" s="59"/>
      <c r="U60" s="68"/>
    </row>
    <row r="61" spans="1:21" ht="17.25" thickBot="1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03"/>
      <c r="P61" s="304"/>
      <c r="Q61" s="305"/>
      <c r="R61" s="72"/>
      <c r="S61" s="59"/>
      <c r="T61" s="59"/>
      <c r="U61" s="68"/>
    </row>
    <row r="62" spans="1:21">
      <c r="A62" s="306" t="s">
        <v>110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7.25" thickBot="1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7.25" thickBot="1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123</v>
      </c>
      <c r="S64" s="298"/>
      <c r="T64" s="298"/>
      <c r="U64" s="299"/>
    </row>
    <row r="65" spans="1:21" ht="17.25" thickBot="1">
      <c r="A65" s="334" t="s">
        <v>120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7.25" thickBot="1">
      <c r="A66" s="334" t="str">
        <f>A34</f>
        <v>4 - 12 - 2022</v>
      </c>
      <c r="B66" s="335"/>
      <c r="C66" s="335"/>
      <c r="D66" s="335"/>
      <c r="E66" s="335"/>
      <c r="F66" s="335"/>
      <c r="G66" s="336"/>
      <c r="H66" s="337" t="s">
        <v>2</v>
      </c>
      <c r="I66" s="338"/>
      <c r="J66" s="334" t="str">
        <f>J34</f>
        <v>SUNNY</v>
      </c>
      <c r="K66" s="336"/>
      <c r="L66" s="338" t="s">
        <v>122</v>
      </c>
      <c r="M66" s="339"/>
      <c r="N66" s="337"/>
      <c r="O66" s="335" t="str">
        <f>O34</f>
        <v>JOHN</v>
      </c>
      <c r="P66" s="335"/>
      <c r="Q66" s="336"/>
      <c r="R66" s="338" t="s">
        <v>6</v>
      </c>
      <c r="S66" s="337"/>
      <c r="T66" s="326">
        <f>T34</f>
        <v>8</v>
      </c>
      <c r="U66" s="326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44" t="s">
        <v>11</v>
      </c>
      <c r="B68" s="205" t="s">
        <v>12</v>
      </c>
      <c r="C68" s="157" t="s">
        <v>13</v>
      </c>
      <c r="D68" s="184" t="s">
        <v>14</v>
      </c>
      <c r="E68" s="157" t="s">
        <v>15</v>
      </c>
      <c r="F68" s="205" t="s">
        <v>16</v>
      </c>
      <c r="G68" s="205" t="s">
        <v>17</v>
      </c>
      <c r="H68" s="205" t="s">
        <v>18</v>
      </c>
      <c r="I68" s="205" t="s">
        <v>19</v>
      </c>
      <c r="J68" s="205" t="s">
        <v>20</v>
      </c>
      <c r="K68" s="205" t="s">
        <v>21</v>
      </c>
      <c r="L68" s="205" t="s">
        <v>22</v>
      </c>
      <c r="M68" s="205" t="s">
        <v>23</v>
      </c>
      <c r="N68" s="205" t="s">
        <v>24</v>
      </c>
      <c r="O68" s="327" t="s">
        <v>25</v>
      </c>
      <c r="P68" s="327"/>
      <c r="Q68" s="327"/>
      <c r="R68" s="205" t="s">
        <v>26</v>
      </c>
      <c r="S68" s="145" t="s">
        <v>27</v>
      </c>
      <c r="T68" s="145" t="s">
        <v>28</v>
      </c>
      <c r="U68" s="146" t="s">
        <v>29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01"/>
      <c r="P69" s="300"/>
      <c r="Q69" s="302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28"/>
      <c r="P70" s="329"/>
      <c r="Q70" s="330"/>
      <c r="R70" s="69"/>
      <c r="S70" s="62"/>
      <c r="T70" s="16"/>
      <c r="U70" s="63"/>
    </row>
    <row r="71" spans="1:21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01"/>
      <c r="P71" s="300"/>
      <c r="Q71" s="302"/>
      <c r="R71" s="70"/>
      <c r="S71" s="13"/>
      <c r="T71" s="12"/>
      <c r="U71" s="63"/>
    </row>
    <row r="72" spans="1:21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31"/>
      <c r="P72" s="332"/>
      <c r="Q72" s="333"/>
      <c r="R72" s="69"/>
      <c r="S72" s="62"/>
      <c r="T72" s="62"/>
      <c r="U72" s="63"/>
    </row>
    <row r="73" spans="1:21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31"/>
      <c r="P73" s="332"/>
      <c r="Q73" s="333"/>
      <c r="R73" s="71"/>
      <c r="S73" s="64"/>
      <c r="T73" s="64"/>
      <c r="U73" s="65"/>
    </row>
    <row r="74" spans="1:21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23"/>
      <c r="P74" s="324"/>
      <c r="Q74" s="325"/>
      <c r="R74" s="71"/>
      <c r="S74" s="64"/>
      <c r="T74" s="64"/>
      <c r="U74" s="65"/>
    </row>
    <row r="75" spans="1:21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01"/>
      <c r="P75" s="300"/>
      <c r="Q75" s="302"/>
      <c r="R75" s="69"/>
      <c r="S75" s="62"/>
      <c r="T75" s="62"/>
      <c r="U75" s="63"/>
    </row>
    <row r="76" spans="1:21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01"/>
      <c r="P76" s="300"/>
      <c r="Q76" s="302"/>
      <c r="R76" s="5"/>
      <c r="S76" s="62"/>
      <c r="T76" s="62"/>
      <c r="U76" s="63"/>
    </row>
    <row r="77" spans="1:21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01"/>
      <c r="P77" s="300"/>
      <c r="Q77" s="302"/>
      <c r="R77" s="5"/>
      <c r="S77" s="62"/>
      <c r="T77" s="62"/>
      <c r="U77" s="63"/>
    </row>
    <row r="78" spans="1:21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01"/>
      <c r="P78" s="300"/>
      <c r="Q78" s="302"/>
      <c r="R78" s="5"/>
      <c r="S78" s="62"/>
      <c r="T78" s="62"/>
      <c r="U78" s="63"/>
    </row>
    <row r="79" spans="1:21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01"/>
      <c r="P79" s="300"/>
      <c r="Q79" s="302"/>
      <c r="R79" s="5"/>
      <c r="S79" s="62"/>
      <c r="T79" s="62"/>
      <c r="U79" s="63"/>
    </row>
    <row r="80" spans="1:21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01"/>
      <c r="P80" s="300"/>
      <c r="Q80" s="302"/>
      <c r="R80" s="5"/>
      <c r="S80" s="62"/>
      <c r="T80" s="62"/>
      <c r="U80" s="63"/>
    </row>
    <row r="81" spans="1:21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01"/>
      <c r="P81" s="300"/>
      <c r="Q81" s="302"/>
      <c r="R81" s="5"/>
      <c r="S81" s="62"/>
      <c r="T81" s="66"/>
      <c r="U81" s="63"/>
    </row>
    <row r="82" spans="1:21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01"/>
      <c r="P82" s="300"/>
      <c r="Q82" s="302"/>
      <c r="R82" s="5"/>
      <c r="S82" s="62"/>
      <c r="T82" s="66"/>
      <c r="U82" s="63"/>
    </row>
    <row r="83" spans="1:21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01"/>
      <c r="P83" s="300"/>
      <c r="Q83" s="300"/>
      <c r="R83" s="5"/>
      <c r="S83" s="62"/>
      <c r="T83" s="66"/>
      <c r="U83" s="63"/>
    </row>
    <row r="84" spans="1:21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01"/>
      <c r="P84" s="300"/>
      <c r="Q84" s="300"/>
      <c r="R84" s="72"/>
      <c r="S84" s="59"/>
      <c r="T84" s="67"/>
      <c r="U84" s="68"/>
    </row>
    <row r="85" spans="1:21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22"/>
      <c r="P85" s="301"/>
      <c r="Q85" s="301"/>
      <c r="R85" s="72"/>
      <c r="S85" s="59"/>
      <c r="T85" s="67"/>
      <c r="U85" s="68"/>
    </row>
    <row r="86" spans="1:21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22"/>
      <c r="P86" s="301"/>
      <c r="Q86" s="301"/>
      <c r="R86" s="72"/>
      <c r="S86" s="59"/>
      <c r="T86" s="67"/>
      <c r="U86" s="68"/>
    </row>
    <row r="87" spans="1:21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22"/>
      <c r="P87" s="301"/>
      <c r="Q87" s="301"/>
      <c r="R87" s="72"/>
      <c r="S87" s="59"/>
      <c r="T87" s="67"/>
      <c r="U87" s="68"/>
    </row>
    <row r="88" spans="1:21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00"/>
      <c r="P88" s="300"/>
      <c r="Q88" s="300"/>
      <c r="R88" s="72"/>
      <c r="S88" s="59"/>
      <c r="T88" s="67"/>
      <c r="U88" s="68"/>
    </row>
    <row r="89" spans="1:21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01"/>
      <c r="P89" s="300"/>
      <c r="Q89" s="300"/>
      <c r="R89" s="72"/>
      <c r="S89" s="59"/>
      <c r="T89" s="59"/>
      <c r="U89" s="68"/>
    </row>
    <row r="90" spans="1:21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00"/>
      <c r="P90" s="300"/>
      <c r="Q90" s="300"/>
      <c r="R90" s="72"/>
      <c r="S90" s="59"/>
      <c r="T90" s="59"/>
      <c r="U90" s="68"/>
    </row>
    <row r="91" spans="1:21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00"/>
      <c r="P91" s="300"/>
      <c r="Q91" s="300"/>
      <c r="R91" s="72"/>
      <c r="S91" s="59"/>
      <c r="T91" s="59"/>
      <c r="U91" s="68"/>
    </row>
    <row r="92" spans="1:21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01"/>
      <c r="P92" s="300"/>
      <c r="Q92" s="302"/>
      <c r="R92" s="72"/>
      <c r="S92" s="59"/>
      <c r="T92" s="59"/>
      <c r="U92" s="68"/>
    </row>
    <row r="93" spans="1:21" ht="17.25" thickBot="1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03"/>
      <c r="P93" s="304"/>
      <c r="Q93" s="305"/>
      <c r="R93" s="72"/>
      <c r="S93" s="59"/>
      <c r="T93" s="59"/>
      <c r="U93" s="68"/>
    </row>
    <row r="94" spans="1:21">
      <c r="A94" s="306" t="s">
        <v>110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7.25" thickBot="1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7.25" thickBot="1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124</v>
      </c>
      <c r="S96" s="298"/>
      <c r="T96" s="298"/>
      <c r="U96" s="299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3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workbookViewId="0">
      <selection activeCell="B3" sqref="B3:D3"/>
    </sheetView>
  </sheetViews>
  <sheetFormatPr defaultColWidth="9" defaultRowHeight="16.5"/>
  <cols>
    <col min="1" max="477" width="2.625" style="14" customWidth="1"/>
    <col min="478" max="16384" width="9" style="14"/>
  </cols>
  <sheetData>
    <row r="1" spans="1:30" ht="32.25" customHeight="1">
      <c r="A1" s="610"/>
      <c r="B1" s="610"/>
      <c r="C1" s="610"/>
      <c r="D1" s="610"/>
      <c r="E1" s="609" t="s">
        <v>444</v>
      </c>
      <c r="F1" s="609"/>
      <c r="G1" s="609"/>
      <c r="H1" s="609" t="s">
        <v>445</v>
      </c>
      <c r="I1" s="609"/>
      <c r="J1" s="609"/>
      <c r="K1" s="609"/>
      <c r="L1" s="609" t="s">
        <v>446</v>
      </c>
      <c r="M1" s="609"/>
      <c r="N1" s="609"/>
      <c r="O1" s="609"/>
      <c r="P1" s="609"/>
      <c r="Q1" s="609" t="s">
        <v>447</v>
      </c>
      <c r="R1" s="609"/>
      <c r="S1" s="609"/>
      <c r="T1" s="609"/>
      <c r="U1" s="609"/>
      <c r="V1" s="609" t="s">
        <v>448</v>
      </c>
      <c r="W1" s="609"/>
      <c r="X1" s="609"/>
      <c r="Y1" s="609"/>
      <c r="Z1" s="609"/>
      <c r="AA1" s="609" t="s">
        <v>449</v>
      </c>
      <c r="AB1" s="609"/>
      <c r="AC1" s="609"/>
      <c r="AD1" s="609"/>
    </row>
    <row r="2" spans="1:30" ht="20.100000000000001" customHeight="1">
      <c r="A2" s="690" t="s">
        <v>450</v>
      </c>
      <c r="B2" s="501" t="s">
        <v>451</v>
      </c>
      <c r="C2" s="501"/>
      <c r="D2" s="525"/>
      <c r="E2" s="525">
        <f>MON!N31</f>
        <v>4</v>
      </c>
      <c r="F2" s="525"/>
      <c r="G2" s="525"/>
      <c r="H2" s="494">
        <f>MON!S31</f>
        <v>340</v>
      </c>
      <c r="I2" s="494"/>
      <c r="J2" s="494"/>
      <c r="K2" s="494"/>
      <c r="L2" s="495">
        <f>MON!N32</f>
        <v>0.20763358778625954</v>
      </c>
      <c r="M2" s="495"/>
      <c r="N2" s="495"/>
      <c r="O2" s="495"/>
      <c r="P2" s="495"/>
      <c r="Q2" s="555">
        <f>SUM(E2:G5)</f>
        <v>19</v>
      </c>
      <c r="R2" s="556"/>
      <c r="S2" s="556"/>
      <c r="T2" s="556"/>
      <c r="U2" s="557"/>
      <c r="V2" s="620">
        <f>SUM(H2,H3,H5)</f>
        <v>2575</v>
      </c>
      <c r="W2" s="621"/>
      <c r="X2" s="621"/>
      <c r="Y2" s="621"/>
      <c r="Z2" s="622"/>
      <c r="AA2" s="629">
        <f>V2/Q2</f>
        <v>135.52631578947367</v>
      </c>
      <c r="AB2" s="630"/>
      <c r="AC2" s="630"/>
      <c r="AD2" s="631"/>
    </row>
    <row r="3" spans="1:30" ht="20.100000000000001" customHeight="1">
      <c r="A3" s="691"/>
      <c r="B3" s="501" t="s">
        <v>452</v>
      </c>
      <c r="C3" s="501"/>
      <c r="D3" s="525"/>
      <c r="E3" s="525">
        <f>MON!O31</f>
        <v>12</v>
      </c>
      <c r="F3" s="525"/>
      <c r="G3" s="525"/>
      <c r="H3" s="494">
        <f>MON!S32</f>
        <v>2180</v>
      </c>
      <c r="I3" s="494"/>
      <c r="J3" s="494"/>
      <c r="K3" s="494"/>
      <c r="L3" s="495">
        <f>MON!O32</f>
        <v>0.64427480916030533</v>
      </c>
      <c r="M3" s="495"/>
      <c r="N3" s="495"/>
      <c r="O3" s="495"/>
      <c r="P3" s="495"/>
      <c r="Q3" s="558"/>
      <c r="R3" s="559"/>
      <c r="S3" s="559"/>
      <c r="T3" s="559"/>
      <c r="U3" s="560"/>
      <c r="V3" s="623"/>
      <c r="W3" s="624"/>
      <c r="X3" s="624"/>
      <c r="Y3" s="624"/>
      <c r="Z3" s="625"/>
      <c r="AA3" s="632"/>
      <c r="AB3" s="633"/>
      <c r="AC3" s="633"/>
      <c r="AD3" s="634"/>
    </row>
    <row r="4" spans="1:30" ht="20.100000000000001" customHeight="1">
      <c r="A4" s="691"/>
      <c r="B4" s="501" t="s">
        <v>21</v>
      </c>
      <c r="C4" s="501"/>
      <c r="D4" s="525"/>
      <c r="E4" s="525">
        <f>MON!P31</f>
        <v>2</v>
      </c>
      <c r="F4" s="525"/>
      <c r="G4" s="525"/>
      <c r="H4" s="494">
        <f>MON!K31</f>
        <v>187.5</v>
      </c>
      <c r="I4" s="494"/>
      <c r="J4" s="494"/>
      <c r="K4" s="494"/>
      <c r="L4" s="495">
        <f>MON!P32</f>
        <v>0.11450381679389313</v>
      </c>
      <c r="M4" s="495"/>
      <c r="N4" s="495"/>
      <c r="O4" s="495"/>
      <c r="P4" s="495"/>
      <c r="Q4" s="558"/>
      <c r="R4" s="559"/>
      <c r="S4" s="559"/>
      <c r="T4" s="559"/>
      <c r="U4" s="560"/>
      <c r="V4" s="623"/>
      <c r="W4" s="624"/>
      <c r="X4" s="624"/>
      <c r="Y4" s="624"/>
      <c r="Z4" s="625"/>
      <c r="AA4" s="632"/>
      <c r="AB4" s="633"/>
      <c r="AC4" s="633"/>
      <c r="AD4" s="634"/>
    </row>
    <row r="5" spans="1:30" ht="20.100000000000001" customHeight="1">
      <c r="A5" s="691"/>
      <c r="B5" s="499" t="s">
        <v>20</v>
      </c>
      <c r="C5" s="500"/>
      <c r="D5" s="501"/>
      <c r="E5" s="499">
        <f>MON!Q31</f>
        <v>1</v>
      </c>
      <c r="F5" s="500"/>
      <c r="G5" s="501"/>
      <c r="H5" s="547">
        <f>MON!J31</f>
        <v>55</v>
      </c>
      <c r="I5" s="548"/>
      <c r="J5" s="548"/>
      <c r="K5" s="549"/>
      <c r="L5" s="550">
        <f>MON!Q32</f>
        <v>3.3587786259541987E-2</v>
      </c>
      <c r="M5" s="551"/>
      <c r="N5" s="551"/>
      <c r="O5" s="551"/>
      <c r="P5" s="552"/>
      <c r="Q5" s="561"/>
      <c r="R5" s="562"/>
      <c r="S5" s="562"/>
      <c r="T5" s="562"/>
      <c r="U5" s="563"/>
      <c r="V5" s="626"/>
      <c r="W5" s="627"/>
      <c r="X5" s="627"/>
      <c r="Y5" s="627"/>
      <c r="Z5" s="628"/>
      <c r="AA5" s="635"/>
      <c r="AB5" s="636"/>
      <c r="AC5" s="636"/>
      <c r="AD5" s="637"/>
    </row>
    <row r="6" spans="1:30" ht="20.100000000000001" customHeight="1">
      <c r="A6" s="692"/>
      <c r="B6" s="499" t="s">
        <v>453</v>
      </c>
      <c r="C6" s="500"/>
      <c r="D6" s="501"/>
      <c r="E6" s="499">
        <f>MON!U16</f>
        <v>38.75</v>
      </c>
      <c r="F6" s="500"/>
      <c r="G6" s="501"/>
      <c r="H6" s="547" t="s">
        <v>454</v>
      </c>
      <c r="I6" s="548"/>
      <c r="J6" s="548"/>
      <c r="K6" s="549"/>
      <c r="L6" s="603">
        <f>MON!T2</f>
        <v>6</v>
      </c>
      <c r="M6" s="604"/>
      <c r="N6" s="604"/>
      <c r="O6" s="604"/>
      <c r="P6" s="605"/>
      <c r="Q6" s="606"/>
      <c r="R6" s="607"/>
      <c r="S6" s="607"/>
      <c r="T6" s="607"/>
      <c r="U6" s="608"/>
      <c r="V6" s="711"/>
      <c r="W6" s="712"/>
      <c r="X6" s="712"/>
      <c r="Y6" s="712"/>
      <c r="Z6" s="713"/>
      <c r="AA6" s="714"/>
      <c r="AB6" s="715"/>
      <c r="AC6" s="715"/>
      <c r="AD6" s="716"/>
    </row>
    <row r="7" spans="1:30" ht="20.100000000000001" customHeight="1">
      <c r="A7" s="693" t="s">
        <v>455</v>
      </c>
      <c r="B7" s="517" t="s">
        <v>456</v>
      </c>
      <c r="C7" s="517"/>
      <c r="D7" s="518"/>
      <c r="E7" s="518">
        <f>TUE!N31</f>
        <v>7</v>
      </c>
      <c r="F7" s="518"/>
      <c r="G7" s="518"/>
      <c r="H7" s="496">
        <f>TUE!S31</f>
        <v>725</v>
      </c>
      <c r="I7" s="496"/>
      <c r="J7" s="496"/>
      <c r="K7" s="496"/>
      <c r="L7" s="509">
        <f>TUE!N32</f>
        <v>0.45407287713101097</v>
      </c>
      <c r="M7" s="510"/>
      <c r="N7" s="510"/>
      <c r="O7" s="510"/>
      <c r="P7" s="511"/>
      <c r="Q7" s="585">
        <f>SUM(E7:G10)</f>
        <v>15</v>
      </c>
      <c r="R7" s="586"/>
      <c r="S7" s="586"/>
      <c r="T7" s="586"/>
      <c r="U7" s="587"/>
      <c r="V7" s="611">
        <f>SUM(H7,H8,H10)</f>
        <v>1455</v>
      </c>
      <c r="W7" s="612"/>
      <c r="X7" s="612"/>
      <c r="Y7" s="612"/>
      <c r="Z7" s="613"/>
      <c r="AA7" s="638">
        <f>V7/Q7</f>
        <v>97</v>
      </c>
      <c r="AB7" s="639"/>
      <c r="AC7" s="639"/>
      <c r="AD7" s="640"/>
    </row>
    <row r="8" spans="1:30" ht="20.100000000000001" customHeight="1">
      <c r="A8" s="694"/>
      <c r="B8" s="517" t="s">
        <v>452</v>
      </c>
      <c r="C8" s="517"/>
      <c r="D8" s="518"/>
      <c r="E8" s="518">
        <f>TUE!O31</f>
        <v>6</v>
      </c>
      <c r="F8" s="518"/>
      <c r="G8" s="518"/>
      <c r="H8" s="496">
        <f>TUE!S32</f>
        <v>730</v>
      </c>
      <c r="I8" s="496"/>
      <c r="J8" s="496"/>
      <c r="K8" s="496"/>
      <c r="L8" s="509">
        <f>TUE!O32</f>
        <v>0.45720441421467312</v>
      </c>
      <c r="M8" s="510"/>
      <c r="N8" s="510"/>
      <c r="O8" s="510"/>
      <c r="P8" s="511"/>
      <c r="Q8" s="588"/>
      <c r="R8" s="589"/>
      <c r="S8" s="589"/>
      <c r="T8" s="589"/>
      <c r="U8" s="590"/>
      <c r="V8" s="614"/>
      <c r="W8" s="615"/>
      <c r="X8" s="615"/>
      <c r="Y8" s="615"/>
      <c r="Z8" s="616"/>
      <c r="AA8" s="641"/>
      <c r="AB8" s="642"/>
      <c r="AC8" s="642"/>
      <c r="AD8" s="643"/>
    </row>
    <row r="9" spans="1:30" ht="20.100000000000001" customHeight="1">
      <c r="A9" s="694"/>
      <c r="B9" s="517" t="s">
        <v>21</v>
      </c>
      <c r="C9" s="517"/>
      <c r="D9" s="518"/>
      <c r="E9" s="518">
        <f>TUE!P31</f>
        <v>2</v>
      </c>
      <c r="F9" s="518"/>
      <c r="G9" s="518"/>
      <c r="H9" s="496">
        <f>TUE!K31</f>
        <v>141.66</v>
      </c>
      <c r="I9" s="496"/>
      <c r="J9" s="496"/>
      <c r="K9" s="496"/>
      <c r="L9" s="509">
        <f>TUE!P32</f>
        <v>8.8722708654315877E-2</v>
      </c>
      <c r="M9" s="510"/>
      <c r="N9" s="510"/>
      <c r="O9" s="510"/>
      <c r="P9" s="511"/>
      <c r="Q9" s="588"/>
      <c r="R9" s="589"/>
      <c r="S9" s="589"/>
      <c r="T9" s="589"/>
      <c r="U9" s="590"/>
      <c r="V9" s="614"/>
      <c r="W9" s="615"/>
      <c r="X9" s="615"/>
      <c r="Y9" s="615"/>
      <c r="Z9" s="616"/>
      <c r="AA9" s="641"/>
      <c r="AB9" s="642"/>
      <c r="AC9" s="642"/>
      <c r="AD9" s="643"/>
    </row>
    <row r="10" spans="1:30" ht="20.100000000000001" customHeight="1">
      <c r="A10" s="694"/>
      <c r="B10" s="553" t="s">
        <v>20</v>
      </c>
      <c r="C10" s="554"/>
      <c r="D10" s="517"/>
      <c r="E10" s="553">
        <f>TUE!Q31</f>
        <v>0</v>
      </c>
      <c r="F10" s="554"/>
      <c r="G10" s="517"/>
      <c r="H10" s="526">
        <f>TUE!J31</f>
        <v>0</v>
      </c>
      <c r="I10" s="527"/>
      <c r="J10" s="527"/>
      <c r="K10" s="528"/>
      <c r="L10" s="509">
        <f>TUE!Q32</f>
        <v>0</v>
      </c>
      <c r="M10" s="510"/>
      <c r="N10" s="510"/>
      <c r="O10" s="510"/>
      <c r="P10" s="511"/>
      <c r="Q10" s="591"/>
      <c r="R10" s="592"/>
      <c r="S10" s="592"/>
      <c r="T10" s="592"/>
      <c r="U10" s="593"/>
      <c r="V10" s="617"/>
      <c r="W10" s="618"/>
      <c r="X10" s="618"/>
      <c r="Y10" s="618"/>
      <c r="Z10" s="619"/>
      <c r="AA10" s="644"/>
      <c r="AB10" s="645"/>
      <c r="AC10" s="645"/>
      <c r="AD10" s="646"/>
    </row>
    <row r="11" spans="1:30" ht="20.100000000000001" customHeight="1">
      <c r="A11" s="695"/>
      <c r="B11" s="553" t="s">
        <v>453</v>
      </c>
      <c r="C11" s="554"/>
      <c r="D11" s="517"/>
      <c r="E11" s="553">
        <f>TUE!U16</f>
        <v>43.5</v>
      </c>
      <c r="F11" s="554"/>
      <c r="G11" s="517"/>
      <c r="H11" s="526" t="s">
        <v>454</v>
      </c>
      <c r="I11" s="527"/>
      <c r="J11" s="527"/>
      <c r="K11" s="528"/>
      <c r="L11" s="717">
        <f>TUE!T2</f>
        <v>6</v>
      </c>
      <c r="M11" s="718"/>
      <c r="N11" s="718"/>
      <c r="O11" s="718"/>
      <c r="P11" s="719"/>
      <c r="Q11" s="720"/>
      <c r="R11" s="721"/>
      <c r="S11" s="721"/>
      <c r="T11" s="721"/>
      <c r="U11" s="722"/>
      <c r="V11" s="723"/>
      <c r="W11" s="724"/>
      <c r="X11" s="724"/>
      <c r="Y11" s="724"/>
      <c r="Z11" s="725"/>
      <c r="AA11" s="726"/>
      <c r="AB11" s="727"/>
      <c r="AC11" s="727"/>
      <c r="AD11" s="728"/>
    </row>
    <row r="12" spans="1:30" ht="20.100000000000001" customHeight="1">
      <c r="A12" s="696" t="s">
        <v>457</v>
      </c>
      <c r="B12" s="502" t="s">
        <v>456</v>
      </c>
      <c r="C12" s="502"/>
      <c r="D12" s="310"/>
      <c r="E12" s="310">
        <f>WED!N31</f>
        <v>15</v>
      </c>
      <c r="F12" s="310"/>
      <c r="G12" s="310"/>
      <c r="H12" s="503">
        <f>WED!S31</f>
        <v>1440</v>
      </c>
      <c r="I12" s="504"/>
      <c r="J12" s="504"/>
      <c r="K12" s="505"/>
      <c r="L12" s="506">
        <f>WED!N32</f>
        <v>0.58717511682338264</v>
      </c>
      <c r="M12" s="507"/>
      <c r="N12" s="507"/>
      <c r="O12" s="507"/>
      <c r="P12" s="508"/>
      <c r="Q12" s="564">
        <f>SUM(E12:G15)</f>
        <v>27</v>
      </c>
      <c r="R12" s="565"/>
      <c r="S12" s="565"/>
      <c r="T12" s="565"/>
      <c r="U12" s="566"/>
      <c r="V12" s="738">
        <f>SUM(H12,H13,H15)</f>
        <v>3440</v>
      </c>
      <c r="W12" s="739"/>
      <c r="X12" s="739"/>
      <c r="Y12" s="739"/>
      <c r="Z12" s="740"/>
      <c r="AA12" s="729">
        <f>V12/Q12</f>
        <v>127.4074074074074</v>
      </c>
      <c r="AB12" s="730"/>
      <c r="AC12" s="730"/>
      <c r="AD12" s="731"/>
    </row>
    <row r="13" spans="1:30" ht="20.100000000000001" customHeight="1">
      <c r="A13" s="697"/>
      <c r="B13" s="502" t="s">
        <v>452</v>
      </c>
      <c r="C13" s="502"/>
      <c r="D13" s="310"/>
      <c r="E13" s="310">
        <f>WED!O31</f>
        <v>4</v>
      </c>
      <c r="F13" s="310"/>
      <c r="G13" s="310"/>
      <c r="H13" s="503">
        <f>WED!S32</f>
        <v>1780</v>
      </c>
      <c r="I13" s="504"/>
      <c r="J13" s="504"/>
      <c r="K13" s="505"/>
      <c r="L13" s="506">
        <f>WED!O32</f>
        <v>0.16514300160657636</v>
      </c>
      <c r="M13" s="507"/>
      <c r="N13" s="507"/>
      <c r="O13" s="507"/>
      <c r="P13" s="508"/>
      <c r="Q13" s="567"/>
      <c r="R13" s="568"/>
      <c r="S13" s="568"/>
      <c r="T13" s="568"/>
      <c r="U13" s="569"/>
      <c r="V13" s="741"/>
      <c r="W13" s="742"/>
      <c r="X13" s="742"/>
      <c r="Y13" s="742"/>
      <c r="Z13" s="743"/>
      <c r="AA13" s="732"/>
      <c r="AB13" s="733"/>
      <c r="AC13" s="733"/>
      <c r="AD13" s="734"/>
    </row>
    <row r="14" spans="1:30" ht="20.100000000000001" customHeight="1">
      <c r="A14" s="697"/>
      <c r="B14" s="502" t="s">
        <v>21</v>
      </c>
      <c r="C14" s="502"/>
      <c r="D14" s="310"/>
      <c r="E14" s="310">
        <f>WED!P31</f>
        <v>4</v>
      </c>
      <c r="F14" s="310"/>
      <c r="G14" s="310"/>
      <c r="H14" s="503">
        <f>WED!K31</f>
        <v>387.41999999999996</v>
      </c>
      <c r="I14" s="504"/>
      <c r="J14" s="504"/>
      <c r="K14" s="505"/>
      <c r="L14" s="506">
        <f>WED!P32</f>
        <v>0.15797457205535753</v>
      </c>
      <c r="M14" s="507"/>
      <c r="N14" s="507"/>
      <c r="O14" s="507"/>
      <c r="P14" s="508"/>
      <c r="Q14" s="567"/>
      <c r="R14" s="568"/>
      <c r="S14" s="568"/>
      <c r="T14" s="568"/>
      <c r="U14" s="569"/>
      <c r="V14" s="741"/>
      <c r="W14" s="742"/>
      <c r="X14" s="742"/>
      <c r="Y14" s="742"/>
      <c r="Z14" s="743"/>
      <c r="AA14" s="732"/>
      <c r="AB14" s="733"/>
      <c r="AC14" s="733"/>
      <c r="AD14" s="734"/>
    </row>
    <row r="15" spans="1:30" ht="20.100000000000001" customHeight="1">
      <c r="A15" s="697"/>
      <c r="B15" s="519" t="s">
        <v>20</v>
      </c>
      <c r="C15" s="520"/>
      <c r="D15" s="502"/>
      <c r="E15" s="519">
        <f>WED!Q31</f>
        <v>4</v>
      </c>
      <c r="F15" s="520"/>
      <c r="G15" s="502"/>
      <c r="H15" s="503">
        <f>WED!J31</f>
        <v>220</v>
      </c>
      <c r="I15" s="504"/>
      <c r="J15" s="504"/>
      <c r="K15" s="505"/>
      <c r="L15" s="506">
        <f>WED!Q32</f>
        <v>8.9707309514683448E-2</v>
      </c>
      <c r="M15" s="507"/>
      <c r="N15" s="507"/>
      <c r="O15" s="507"/>
      <c r="P15" s="508"/>
      <c r="Q15" s="570"/>
      <c r="R15" s="571"/>
      <c r="S15" s="571"/>
      <c r="T15" s="571"/>
      <c r="U15" s="572"/>
      <c r="V15" s="744"/>
      <c r="W15" s="745"/>
      <c r="X15" s="745"/>
      <c r="Y15" s="745"/>
      <c r="Z15" s="746"/>
      <c r="AA15" s="735"/>
      <c r="AB15" s="736"/>
      <c r="AC15" s="736"/>
      <c r="AD15" s="737"/>
    </row>
    <row r="16" spans="1:30" ht="20.100000000000001" customHeight="1">
      <c r="A16" s="698"/>
      <c r="B16" s="519" t="s">
        <v>453</v>
      </c>
      <c r="C16" s="520"/>
      <c r="D16" s="502"/>
      <c r="E16" s="519">
        <f>WED!U16</f>
        <v>43.5</v>
      </c>
      <c r="F16" s="520"/>
      <c r="G16" s="502"/>
      <c r="H16" s="503" t="s">
        <v>454</v>
      </c>
      <c r="I16" s="504"/>
      <c r="J16" s="504"/>
      <c r="K16" s="505"/>
      <c r="L16" s="522">
        <f>WED!T2</f>
        <v>5</v>
      </c>
      <c r="M16" s="523"/>
      <c r="N16" s="523"/>
      <c r="O16" s="523"/>
      <c r="P16" s="524"/>
      <c r="Q16" s="224"/>
      <c r="R16" s="225"/>
      <c r="S16" s="225"/>
      <c r="T16" s="225"/>
      <c r="U16" s="226"/>
      <c r="V16" s="215"/>
      <c r="W16" s="216"/>
      <c r="X16" s="216"/>
      <c r="Y16" s="216"/>
      <c r="Z16" s="217"/>
      <c r="AA16" s="212"/>
      <c r="AB16" s="213"/>
      <c r="AC16" s="213"/>
      <c r="AD16" s="214"/>
    </row>
    <row r="17" spans="1:30" ht="20.100000000000001" customHeight="1">
      <c r="A17" s="699" t="s">
        <v>458</v>
      </c>
      <c r="B17" s="466" t="s">
        <v>456</v>
      </c>
      <c r="C17" s="466"/>
      <c r="D17" s="513"/>
      <c r="E17" s="513">
        <f>THU!N31</f>
        <v>7</v>
      </c>
      <c r="F17" s="513"/>
      <c r="G17" s="513"/>
      <c r="H17" s="521">
        <f>THU!S31</f>
        <v>880</v>
      </c>
      <c r="I17" s="521"/>
      <c r="J17" s="521"/>
      <c r="K17" s="521"/>
      <c r="L17" s="512">
        <f>THU!N32</f>
        <v>0.32938322990200852</v>
      </c>
      <c r="M17" s="512"/>
      <c r="N17" s="512"/>
      <c r="O17" s="512"/>
      <c r="P17" s="512"/>
      <c r="Q17" s="594">
        <f>SUM(E17:G20)</f>
        <v>22</v>
      </c>
      <c r="R17" s="595"/>
      <c r="S17" s="595"/>
      <c r="T17" s="595"/>
      <c r="U17" s="596"/>
      <c r="V17" s="538">
        <f>SUM(H17,H18,H20)</f>
        <v>2530</v>
      </c>
      <c r="W17" s="539"/>
      <c r="X17" s="539"/>
      <c r="Y17" s="539"/>
      <c r="Z17" s="540"/>
      <c r="AA17" s="529">
        <f>V17/Q17</f>
        <v>115</v>
      </c>
      <c r="AB17" s="530"/>
      <c r="AC17" s="530"/>
      <c r="AD17" s="531"/>
    </row>
    <row r="18" spans="1:30" ht="20.100000000000001" customHeight="1">
      <c r="A18" s="700"/>
      <c r="B18" s="466" t="s">
        <v>452</v>
      </c>
      <c r="C18" s="466"/>
      <c r="D18" s="513"/>
      <c r="E18" s="513">
        <f>THU!O31</f>
        <v>13</v>
      </c>
      <c r="F18" s="513"/>
      <c r="G18" s="513"/>
      <c r="H18" s="521">
        <f>THU!S32</f>
        <v>1650</v>
      </c>
      <c r="I18" s="521"/>
      <c r="J18" s="521"/>
      <c r="K18" s="521"/>
      <c r="L18" s="512">
        <f>THU!O32</f>
        <v>0.61759355606626598</v>
      </c>
      <c r="M18" s="512"/>
      <c r="N18" s="512"/>
      <c r="O18" s="512"/>
      <c r="P18" s="512"/>
      <c r="Q18" s="597"/>
      <c r="R18" s="598"/>
      <c r="S18" s="598"/>
      <c r="T18" s="598"/>
      <c r="U18" s="599"/>
      <c r="V18" s="541"/>
      <c r="W18" s="542"/>
      <c r="X18" s="542"/>
      <c r="Y18" s="542"/>
      <c r="Z18" s="543"/>
      <c r="AA18" s="532"/>
      <c r="AB18" s="533"/>
      <c r="AC18" s="533"/>
      <c r="AD18" s="534"/>
    </row>
    <row r="19" spans="1:30" ht="20.100000000000001" customHeight="1">
      <c r="A19" s="700"/>
      <c r="B19" s="466" t="s">
        <v>21</v>
      </c>
      <c r="C19" s="466"/>
      <c r="D19" s="513"/>
      <c r="E19" s="513">
        <f>THU!P31</f>
        <v>2</v>
      </c>
      <c r="F19" s="513"/>
      <c r="G19" s="513"/>
      <c r="H19" s="521">
        <f>THU!K31</f>
        <v>141.66</v>
      </c>
      <c r="I19" s="521"/>
      <c r="J19" s="521"/>
      <c r="K19" s="521"/>
      <c r="L19" s="512">
        <f>THU!P32</f>
        <v>5.3023214031725593E-2</v>
      </c>
      <c r="M19" s="512"/>
      <c r="N19" s="512"/>
      <c r="O19" s="512"/>
      <c r="P19" s="512"/>
      <c r="Q19" s="597"/>
      <c r="R19" s="598"/>
      <c r="S19" s="598"/>
      <c r="T19" s="598"/>
      <c r="U19" s="599"/>
      <c r="V19" s="541"/>
      <c r="W19" s="542"/>
      <c r="X19" s="542"/>
      <c r="Y19" s="542"/>
      <c r="Z19" s="543"/>
      <c r="AA19" s="532"/>
      <c r="AB19" s="533"/>
      <c r="AC19" s="533"/>
      <c r="AD19" s="534"/>
    </row>
    <row r="20" spans="1:30" ht="20.100000000000001" customHeight="1">
      <c r="A20" s="700"/>
      <c r="B20" s="464" t="s">
        <v>20</v>
      </c>
      <c r="C20" s="465"/>
      <c r="D20" s="466"/>
      <c r="E20" s="464">
        <f>THU!Q31</f>
        <v>0</v>
      </c>
      <c r="F20" s="465"/>
      <c r="G20" s="466"/>
      <c r="H20" s="458">
        <f>THU!J31</f>
        <v>0</v>
      </c>
      <c r="I20" s="459"/>
      <c r="J20" s="459"/>
      <c r="K20" s="460"/>
      <c r="L20" s="514">
        <f>THU!Q32</f>
        <v>0</v>
      </c>
      <c r="M20" s="515"/>
      <c r="N20" s="515"/>
      <c r="O20" s="515"/>
      <c r="P20" s="516"/>
      <c r="Q20" s="600"/>
      <c r="R20" s="601"/>
      <c r="S20" s="601"/>
      <c r="T20" s="601"/>
      <c r="U20" s="602"/>
      <c r="V20" s="544"/>
      <c r="W20" s="545"/>
      <c r="X20" s="545"/>
      <c r="Y20" s="545"/>
      <c r="Z20" s="546"/>
      <c r="AA20" s="535"/>
      <c r="AB20" s="536"/>
      <c r="AC20" s="536"/>
      <c r="AD20" s="537"/>
    </row>
    <row r="21" spans="1:30" ht="20.100000000000001" customHeight="1">
      <c r="A21" s="701"/>
      <c r="B21" s="464" t="s">
        <v>453</v>
      </c>
      <c r="C21" s="465"/>
      <c r="D21" s="466"/>
      <c r="E21" s="464">
        <f>THU!U16</f>
        <v>58.750000000000007</v>
      </c>
      <c r="F21" s="465"/>
      <c r="G21" s="466"/>
      <c r="H21" s="458" t="s">
        <v>454</v>
      </c>
      <c r="I21" s="459"/>
      <c r="J21" s="459"/>
      <c r="K21" s="460"/>
      <c r="L21" s="423">
        <f>THU!T2</f>
        <v>7</v>
      </c>
      <c r="M21" s="424"/>
      <c r="N21" s="424"/>
      <c r="O21" s="424"/>
      <c r="P21" s="425"/>
      <c r="Q21" s="230"/>
      <c r="R21" s="231"/>
      <c r="S21" s="231"/>
      <c r="T21" s="231"/>
      <c r="U21" s="232"/>
      <c r="V21" s="221"/>
      <c r="W21" s="222"/>
      <c r="X21" s="222"/>
      <c r="Y21" s="222"/>
      <c r="Z21" s="223"/>
      <c r="AA21" s="218"/>
      <c r="AB21" s="219"/>
      <c r="AC21" s="219"/>
      <c r="AD21" s="220"/>
    </row>
    <row r="22" spans="1:30" ht="20.100000000000001" customHeight="1">
      <c r="A22" s="702" t="s">
        <v>459</v>
      </c>
      <c r="B22" s="421" t="s">
        <v>456</v>
      </c>
      <c r="C22" s="421"/>
      <c r="D22" s="422"/>
      <c r="E22" s="422">
        <f>FRI!N31</f>
        <v>6</v>
      </c>
      <c r="F22" s="422"/>
      <c r="G22" s="422"/>
      <c r="H22" s="497">
        <f>FRI!S31</f>
        <v>590</v>
      </c>
      <c r="I22" s="497"/>
      <c r="J22" s="497"/>
      <c r="K22" s="497"/>
      <c r="L22" s="498">
        <f>FRI!N32</f>
        <v>0.36532960160497341</v>
      </c>
      <c r="M22" s="498"/>
      <c r="N22" s="498"/>
      <c r="O22" s="498"/>
      <c r="P22" s="498"/>
      <c r="Q22" s="476">
        <f>SUM(E22:G25)</f>
        <v>20</v>
      </c>
      <c r="R22" s="477"/>
      <c r="S22" s="477"/>
      <c r="T22" s="477"/>
      <c r="U22" s="478"/>
      <c r="V22" s="485">
        <f>SUM(H22,H23,H25)</f>
        <v>2040</v>
      </c>
      <c r="W22" s="486"/>
      <c r="X22" s="486"/>
      <c r="Y22" s="486"/>
      <c r="Z22" s="487"/>
      <c r="AA22" s="429">
        <f>V22/Q22</f>
        <v>102</v>
      </c>
      <c r="AB22" s="430"/>
      <c r="AC22" s="430"/>
      <c r="AD22" s="431"/>
    </row>
    <row r="23" spans="1:30" ht="20.100000000000001" customHeight="1">
      <c r="A23" s="703"/>
      <c r="B23" s="421" t="s">
        <v>452</v>
      </c>
      <c r="C23" s="421"/>
      <c r="D23" s="422"/>
      <c r="E23" s="422">
        <f>FRI!O31</f>
        <v>8</v>
      </c>
      <c r="F23" s="422"/>
      <c r="G23" s="422"/>
      <c r="H23" s="497">
        <f>FRI!S32</f>
        <v>1450</v>
      </c>
      <c r="I23" s="497"/>
      <c r="J23" s="497"/>
      <c r="K23" s="497"/>
      <c r="L23" s="498">
        <f>FRI!O32</f>
        <v>0.37152162875082045</v>
      </c>
      <c r="M23" s="498"/>
      <c r="N23" s="498"/>
      <c r="O23" s="498"/>
      <c r="P23" s="498"/>
      <c r="Q23" s="479"/>
      <c r="R23" s="480"/>
      <c r="S23" s="480"/>
      <c r="T23" s="480"/>
      <c r="U23" s="481"/>
      <c r="V23" s="488"/>
      <c r="W23" s="489"/>
      <c r="X23" s="489"/>
      <c r="Y23" s="489"/>
      <c r="Z23" s="490"/>
      <c r="AA23" s="432"/>
      <c r="AB23" s="433"/>
      <c r="AC23" s="433"/>
      <c r="AD23" s="434"/>
    </row>
    <row r="24" spans="1:30" ht="20.100000000000001" customHeight="1">
      <c r="A24" s="703"/>
      <c r="B24" s="421" t="s">
        <v>21</v>
      </c>
      <c r="C24" s="421"/>
      <c r="D24" s="422"/>
      <c r="E24" s="422">
        <f>FRI!P31</f>
        <v>6</v>
      </c>
      <c r="F24" s="422"/>
      <c r="G24" s="422"/>
      <c r="H24" s="497">
        <f>FRI!K31</f>
        <v>424.98</v>
      </c>
      <c r="I24" s="497"/>
      <c r="J24" s="497"/>
      <c r="K24" s="497"/>
      <c r="L24" s="498">
        <f>FRI!P32</f>
        <v>0.26314876964420614</v>
      </c>
      <c r="M24" s="498"/>
      <c r="N24" s="498"/>
      <c r="O24" s="498"/>
      <c r="P24" s="498"/>
      <c r="Q24" s="479"/>
      <c r="R24" s="480"/>
      <c r="S24" s="480"/>
      <c r="T24" s="480"/>
      <c r="U24" s="481"/>
      <c r="V24" s="488"/>
      <c r="W24" s="489"/>
      <c r="X24" s="489"/>
      <c r="Y24" s="489"/>
      <c r="Z24" s="490"/>
      <c r="AA24" s="432"/>
      <c r="AB24" s="433"/>
      <c r="AC24" s="433"/>
      <c r="AD24" s="434"/>
    </row>
    <row r="25" spans="1:30" ht="20.100000000000001" customHeight="1">
      <c r="A25" s="703"/>
      <c r="B25" s="467" t="s">
        <v>20</v>
      </c>
      <c r="C25" s="468"/>
      <c r="D25" s="421"/>
      <c r="E25" s="467">
        <f>FRI!Q31</f>
        <v>0</v>
      </c>
      <c r="F25" s="468"/>
      <c r="G25" s="421"/>
      <c r="H25" s="461">
        <f>FRI!J31</f>
        <v>0</v>
      </c>
      <c r="I25" s="462"/>
      <c r="J25" s="462"/>
      <c r="K25" s="463"/>
      <c r="L25" s="473">
        <f>FRI!Q32</f>
        <v>0</v>
      </c>
      <c r="M25" s="474"/>
      <c r="N25" s="474"/>
      <c r="O25" s="474"/>
      <c r="P25" s="475"/>
      <c r="Q25" s="482"/>
      <c r="R25" s="483"/>
      <c r="S25" s="483"/>
      <c r="T25" s="483"/>
      <c r="U25" s="484"/>
      <c r="V25" s="491"/>
      <c r="W25" s="492"/>
      <c r="X25" s="492"/>
      <c r="Y25" s="492"/>
      <c r="Z25" s="493"/>
      <c r="AA25" s="435"/>
      <c r="AB25" s="436"/>
      <c r="AC25" s="436"/>
      <c r="AD25" s="437"/>
    </row>
    <row r="26" spans="1:30" ht="20.100000000000001" customHeight="1">
      <c r="A26" s="704"/>
      <c r="B26" s="467" t="s">
        <v>453</v>
      </c>
      <c r="C26" s="468"/>
      <c r="D26" s="421"/>
      <c r="E26" s="467">
        <f>FRI!U16</f>
        <v>54</v>
      </c>
      <c r="F26" s="468"/>
      <c r="G26" s="421"/>
      <c r="H26" s="461" t="s">
        <v>454</v>
      </c>
      <c r="I26" s="462"/>
      <c r="J26" s="462"/>
      <c r="K26" s="463"/>
      <c r="L26" s="426">
        <f>FRI!T2</f>
        <v>9</v>
      </c>
      <c r="M26" s="427"/>
      <c r="N26" s="427"/>
      <c r="O26" s="427"/>
      <c r="P26" s="428"/>
      <c r="Q26" s="233"/>
      <c r="R26" s="234"/>
      <c r="S26" s="234"/>
      <c r="T26" s="234"/>
      <c r="U26" s="235"/>
      <c r="V26" s="236"/>
      <c r="W26" s="237"/>
      <c r="X26" s="237"/>
      <c r="Y26" s="237"/>
      <c r="Z26" s="238"/>
      <c r="AA26" s="239"/>
      <c r="AB26" s="240"/>
      <c r="AC26" s="240"/>
      <c r="AD26" s="241"/>
    </row>
    <row r="27" spans="1:30" ht="20.100000000000001" customHeight="1">
      <c r="A27" s="705" t="s">
        <v>460</v>
      </c>
      <c r="B27" s="471" t="s">
        <v>456</v>
      </c>
      <c r="C27" s="471"/>
      <c r="D27" s="456"/>
      <c r="E27" s="456">
        <f>SAT!N31</f>
        <v>13</v>
      </c>
      <c r="F27" s="456"/>
      <c r="G27" s="456"/>
      <c r="H27" s="457">
        <f>SAT!S31</f>
        <v>1225</v>
      </c>
      <c r="I27" s="457"/>
      <c r="J27" s="457"/>
      <c r="K27" s="457"/>
      <c r="L27" s="472">
        <f>SAT!N32</f>
        <v>0.43376036598752188</v>
      </c>
      <c r="M27" s="472"/>
      <c r="N27" s="472"/>
      <c r="O27" s="472"/>
      <c r="P27" s="472"/>
      <c r="Q27" s="573">
        <f>SUM(E27:G30)</f>
        <v>27</v>
      </c>
      <c r="R27" s="574"/>
      <c r="S27" s="574"/>
      <c r="T27" s="574"/>
      <c r="U27" s="575"/>
      <c r="V27" s="447">
        <f>SUM(H27,H28,H30)</f>
        <v>3745</v>
      </c>
      <c r="W27" s="448"/>
      <c r="X27" s="448"/>
      <c r="Y27" s="448"/>
      <c r="Z27" s="449"/>
      <c r="AA27" s="438">
        <f>V27/Q27</f>
        <v>138.7037037037037</v>
      </c>
      <c r="AB27" s="439"/>
      <c r="AC27" s="439"/>
      <c r="AD27" s="440"/>
    </row>
    <row r="28" spans="1:30" ht="20.100000000000001" customHeight="1">
      <c r="A28" s="706"/>
      <c r="B28" s="471" t="s">
        <v>452</v>
      </c>
      <c r="C28" s="471"/>
      <c r="D28" s="456"/>
      <c r="E28" s="456">
        <f>SAT!O31</f>
        <v>8</v>
      </c>
      <c r="F28" s="456"/>
      <c r="G28" s="456"/>
      <c r="H28" s="457">
        <f>SAT!S32</f>
        <v>2520</v>
      </c>
      <c r="I28" s="457"/>
      <c r="J28" s="457"/>
      <c r="K28" s="457"/>
      <c r="L28" s="472">
        <f>SAT!O32</f>
        <v>0.38772865367864201</v>
      </c>
      <c r="M28" s="472"/>
      <c r="N28" s="472"/>
      <c r="O28" s="472"/>
      <c r="P28" s="472"/>
      <c r="Q28" s="576"/>
      <c r="R28" s="577"/>
      <c r="S28" s="577"/>
      <c r="T28" s="577"/>
      <c r="U28" s="578"/>
      <c r="V28" s="450"/>
      <c r="W28" s="451"/>
      <c r="X28" s="451"/>
      <c r="Y28" s="451"/>
      <c r="Z28" s="452"/>
      <c r="AA28" s="441"/>
      <c r="AB28" s="442"/>
      <c r="AC28" s="442"/>
      <c r="AD28" s="443"/>
    </row>
    <row r="29" spans="1:30" ht="20.100000000000001" customHeight="1">
      <c r="A29" s="706"/>
      <c r="B29" s="471" t="s">
        <v>21</v>
      </c>
      <c r="C29" s="471"/>
      <c r="D29" s="456"/>
      <c r="E29" s="456">
        <f>SAT!P31</f>
        <v>6</v>
      </c>
      <c r="F29" s="456"/>
      <c r="G29" s="456"/>
      <c r="H29" s="457">
        <f>SAT!K31</f>
        <v>504.14</v>
      </c>
      <c r="I29" s="457"/>
      <c r="J29" s="457"/>
      <c r="K29" s="457"/>
      <c r="L29" s="472">
        <f>SAT!P32</f>
        <v>0.17851098033383614</v>
      </c>
      <c r="M29" s="472"/>
      <c r="N29" s="472"/>
      <c r="O29" s="472"/>
      <c r="P29" s="472"/>
      <c r="Q29" s="576"/>
      <c r="R29" s="577"/>
      <c r="S29" s="577"/>
      <c r="T29" s="577"/>
      <c r="U29" s="578"/>
      <c r="V29" s="450"/>
      <c r="W29" s="451"/>
      <c r="X29" s="451"/>
      <c r="Y29" s="451"/>
      <c r="Z29" s="452"/>
      <c r="AA29" s="441"/>
      <c r="AB29" s="442"/>
      <c r="AC29" s="442"/>
      <c r="AD29" s="443"/>
    </row>
    <row r="30" spans="1:30" ht="20.100000000000001" customHeight="1">
      <c r="A30" s="706"/>
      <c r="B30" s="469" t="s">
        <v>20</v>
      </c>
      <c r="C30" s="470"/>
      <c r="D30" s="471"/>
      <c r="E30" s="469">
        <f>SAT!Q31</f>
        <v>0</v>
      </c>
      <c r="F30" s="470"/>
      <c r="G30" s="471"/>
      <c r="H30" s="750">
        <f>SAT!J31</f>
        <v>0</v>
      </c>
      <c r="I30" s="751"/>
      <c r="J30" s="751"/>
      <c r="K30" s="752"/>
      <c r="L30" s="582">
        <f>SAT!Q32</f>
        <v>0</v>
      </c>
      <c r="M30" s="583"/>
      <c r="N30" s="583"/>
      <c r="O30" s="583"/>
      <c r="P30" s="584"/>
      <c r="Q30" s="579"/>
      <c r="R30" s="580"/>
      <c r="S30" s="580"/>
      <c r="T30" s="580"/>
      <c r="U30" s="581"/>
      <c r="V30" s="453"/>
      <c r="W30" s="454"/>
      <c r="X30" s="454"/>
      <c r="Y30" s="454"/>
      <c r="Z30" s="455"/>
      <c r="AA30" s="444"/>
      <c r="AB30" s="445"/>
      <c r="AC30" s="445"/>
      <c r="AD30" s="446"/>
    </row>
    <row r="31" spans="1:30" ht="20.100000000000001" customHeight="1">
      <c r="A31" s="707"/>
      <c r="B31" s="469" t="s">
        <v>453</v>
      </c>
      <c r="C31" s="470"/>
      <c r="D31" s="471"/>
      <c r="E31" s="469">
        <f>SAT!U16</f>
        <v>66</v>
      </c>
      <c r="F31" s="470"/>
      <c r="G31" s="471"/>
      <c r="H31" s="750" t="s">
        <v>454</v>
      </c>
      <c r="I31" s="751"/>
      <c r="J31" s="751"/>
      <c r="K31" s="752"/>
      <c r="L31" s="747">
        <f>SAT!T2</f>
        <v>8</v>
      </c>
      <c r="M31" s="748"/>
      <c r="N31" s="748"/>
      <c r="O31" s="748"/>
      <c r="P31" s="749"/>
      <c r="Q31" s="227"/>
      <c r="R31" s="228"/>
      <c r="S31" s="228"/>
      <c r="T31" s="228"/>
      <c r="U31" s="229"/>
      <c r="V31" s="245"/>
      <c r="W31" s="246"/>
      <c r="X31" s="246"/>
      <c r="Y31" s="246"/>
      <c r="Z31" s="247"/>
      <c r="AA31" s="242"/>
      <c r="AB31" s="243"/>
      <c r="AC31" s="243"/>
      <c r="AD31" s="244"/>
    </row>
    <row r="32" spans="1:30" ht="20.100000000000001" customHeight="1">
      <c r="A32" s="708" t="s">
        <v>461</v>
      </c>
      <c r="B32" s="392" t="s">
        <v>456</v>
      </c>
      <c r="C32" s="393"/>
      <c r="D32" s="393"/>
      <c r="E32" s="393">
        <f>SUN!N31</f>
        <v>7</v>
      </c>
      <c r="F32" s="393"/>
      <c r="G32" s="393"/>
      <c r="H32" s="418">
        <f>SUN!S31</f>
        <v>735</v>
      </c>
      <c r="I32" s="418"/>
      <c r="J32" s="418"/>
      <c r="K32" s="418"/>
      <c r="L32" s="419">
        <f>SUN!N32</f>
        <v>0.30710477495696353</v>
      </c>
      <c r="M32" s="419"/>
      <c r="N32" s="419"/>
      <c r="O32" s="419"/>
      <c r="P32" s="419"/>
      <c r="Q32" s="420">
        <f>SUM(E32:G35)</f>
        <v>24</v>
      </c>
      <c r="R32" s="420"/>
      <c r="S32" s="420"/>
      <c r="T32" s="420"/>
      <c r="U32" s="420"/>
      <c r="V32" s="391">
        <f>SUM(H32,H33,H35)</f>
        <v>2585</v>
      </c>
      <c r="W32" s="391"/>
      <c r="X32" s="391"/>
      <c r="Y32" s="391"/>
      <c r="Z32" s="391"/>
      <c r="AA32" s="410">
        <f>V32/Q32</f>
        <v>107.70833333333333</v>
      </c>
      <c r="AB32" s="411"/>
      <c r="AC32" s="411"/>
      <c r="AD32" s="411"/>
    </row>
    <row r="33" spans="1:30" ht="20.100000000000001" customHeight="1">
      <c r="A33" s="709"/>
      <c r="B33" s="392" t="s">
        <v>452</v>
      </c>
      <c r="C33" s="393"/>
      <c r="D33" s="393"/>
      <c r="E33" s="393">
        <f>SUN!O31</f>
        <v>14</v>
      </c>
      <c r="F33" s="393"/>
      <c r="G33" s="393"/>
      <c r="H33" s="418">
        <f>SUN!S32</f>
        <v>1850</v>
      </c>
      <c r="I33" s="418"/>
      <c r="J33" s="418"/>
      <c r="K33" s="418"/>
      <c r="L33" s="419">
        <f>SUN!O32</f>
        <v>0.57451573546370727</v>
      </c>
      <c r="M33" s="419"/>
      <c r="N33" s="419"/>
      <c r="O33" s="419"/>
      <c r="P33" s="419"/>
      <c r="Q33" s="420"/>
      <c r="R33" s="420"/>
      <c r="S33" s="420"/>
      <c r="T33" s="420"/>
      <c r="U33" s="420"/>
      <c r="V33" s="391"/>
      <c r="W33" s="391"/>
      <c r="X33" s="391"/>
      <c r="Y33" s="391"/>
      <c r="Z33" s="391"/>
      <c r="AA33" s="411"/>
      <c r="AB33" s="411"/>
      <c r="AC33" s="411"/>
      <c r="AD33" s="411"/>
    </row>
    <row r="34" spans="1:30" ht="20.100000000000001" customHeight="1">
      <c r="A34" s="709"/>
      <c r="B34" s="392" t="s">
        <v>21</v>
      </c>
      <c r="C34" s="393"/>
      <c r="D34" s="393"/>
      <c r="E34" s="393">
        <f>SUN!P31</f>
        <v>3</v>
      </c>
      <c r="F34" s="393"/>
      <c r="G34" s="393"/>
      <c r="H34" s="418">
        <f>SUN!K31</f>
        <v>283.32</v>
      </c>
      <c r="I34" s="418"/>
      <c r="J34" s="418"/>
      <c r="K34" s="418"/>
      <c r="L34" s="419">
        <f>SUN!P32</f>
        <v>0.11837948957932912</v>
      </c>
      <c r="M34" s="419"/>
      <c r="N34" s="419"/>
      <c r="O34" s="419"/>
      <c r="P34" s="419"/>
      <c r="Q34" s="420"/>
      <c r="R34" s="420"/>
      <c r="S34" s="420"/>
      <c r="T34" s="420"/>
      <c r="U34" s="420"/>
      <c r="V34" s="391"/>
      <c r="W34" s="391"/>
      <c r="X34" s="391"/>
      <c r="Y34" s="391"/>
      <c r="Z34" s="391"/>
      <c r="AA34" s="411"/>
      <c r="AB34" s="411"/>
      <c r="AC34" s="411"/>
      <c r="AD34" s="411"/>
    </row>
    <row r="35" spans="1:30" ht="20.100000000000001" customHeight="1">
      <c r="A35" s="709"/>
      <c r="B35" s="392" t="s">
        <v>20</v>
      </c>
      <c r="C35" s="393"/>
      <c r="D35" s="393"/>
      <c r="E35" s="393">
        <f>SUN!Q31</f>
        <v>0</v>
      </c>
      <c r="F35" s="393"/>
      <c r="G35" s="393"/>
      <c r="H35" s="418">
        <f>SUN!J31</f>
        <v>0</v>
      </c>
      <c r="I35" s="418"/>
      <c r="J35" s="418"/>
      <c r="K35" s="418"/>
      <c r="L35" s="419">
        <f>SUN!Q32</f>
        <v>0</v>
      </c>
      <c r="M35" s="419"/>
      <c r="N35" s="419"/>
      <c r="O35" s="419"/>
      <c r="P35" s="419"/>
      <c r="Q35" s="420"/>
      <c r="R35" s="420"/>
      <c r="S35" s="420"/>
      <c r="T35" s="420"/>
      <c r="U35" s="420"/>
      <c r="V35" s="391"/>
      <c r="W35" s="391"/>
      <c r="X35" s="391"/>
      <c r="Y35" s="391"/>
      <c r="Z35" s="391"/>
      <c r="AA35" s="411"/>
      <c r="AB35" s="411"/>
      <c r="AC35" s="411"/>
      <c r="AD35" s="411"/>
    </row>
    <row r="36" spans="1:30" ht="20.100000000000001" customHeight="1" thickBot="1">
      <c r="A36" s="710"/>
      <c r="B36" s="396" t="s">
        <v>453</v>
      </c>
      <c r="C36" s="397"/>
      <c r="D36" s="398"/>
      <c r="E36" s="396">
        <f>SUN!U16</f>
        <v>60.000000000000007</v>
      </c>
      <c r="F36" s="397"/>
      <c r="G36" s="398"/>
      <c r="H36" s="396" t="s">
        <v>454</v>
      </c>
      <c r="I36" s="397"/>
      <c r="J36" s="397"/>
      <c r="K36" s="398"/>
      <c r="L36" s="412">
        <f>SUN!T2</f>
        <v>8</v>
      </c>
      <c r="M36" s="413"/>
      <c r="N36" s="413"/>
      <c r="O36" s="413"/>
      <c r="P36" s="414"/>
      <c r="Q36" s="415"/>
      <c r="R36" s="416"/>
      <c r="S36" s="416"/>
      <c r="T36" s="416"/>
      <c r="U36" s="417"/>
      <c r="V36" s="399"/>
      <c r="W36" s="400"/>
      <c r="X36" s="400"/>
      <c r="Y36" s="400"/>
      <c r="Z36" s="401"/>
      <c r="AA36" s="402"/>
      <c r="AB36" s="403"/>
      <c r="AC36" s="403"/>
      <c r="AD36" s="404"/>
    </row>
    <row r="37" spans="1:30" ht="16.5" customHeight="1">
      <c r="A37" s="382" t="s">
        <v>462</v>
      </c>
      <c r="B37" s="383"/>
      <c r="C37" s="383"/>
      <c r="D37" s="383"/>
      <c r="E37" s="383" t="s">
        <v>115</v>
      </c>
      <c r="F37" s="383"/>
      <c r="G37" s="383"/>
      <c r="H37" s="383"/>
      <c r="I37" s="383"/>
      <c r="J37" s="383"/>
      <c r="K37" s="383" t="s">
        <v>449</v>
      </c>
      <c r="L37" s="383"/>
      <c r="M37" s="383"/>
      <c r="N37" s="383"/>
      <c r="O37" s="383" t="s">
        <v>20</v>
      </c>
      <c r="P37" s="383"/>
      <c r="Q37" s="383"/>
      <c r="R37" s="383"/>
      <c r="S37" s="383"/>
      <c r="T37" s="383" t="s">
        <v>21</v>
      </c>
      <c r="U37" s="383"/>
      <c r="V37" s="383"/>
      <c r="W37" s="383"/>
      <c r="X37" s="383"/>
      <c r="Y37" s="383" t="s">
        <v>463</v>
      </c>
      <c r="Z37" s="383"/>
      <c r="AA37" s="383"/>
      <c r="AB37" s="383"/>
      <c r="AC37" s="383"/>
      <c r="AD37" s="394"/>
    </row>
    <row r="38" spans="1:30" ht="16.5" customHeight="1">
      <c r="A38" s="384"/>
      <c r="B38" s="385"/>
      <c r="C38" s="385"/>
      <c r="D38" s="385"/>
      <c r="E38" s="385"/>
      <c r="F38" s="385"/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385"/>
      <c r="X38" s="385"/>
      <c r="Y38" s="385"/>
      <c r="Z38" s="385"/>
      <c r="AA38" s="385"/>
      <c r="AB38" s="385"/>
      <c r="AC38" s="385"/>
      <c r="AD38" s="395"/>
    </row>
    <row r="39" spans="1:30" ht="16.5" customHeight="1">
      <c r="A39" s="386">
        <f>SUM(Q2:U35)</f>
        <v>154</v>
      </c>
      <c r="B39" s="387"/>
      <c r="C39" s="387"/>
      <c r="D39" s="387"/>
      <c r="E39" s="390">
        <f>SUM(V2:Z35)</f>
        <v>18370</v>
      </c>
      <c r="F39" s="387"/>
      <c r="G39" s="387"/>
      <c r="H39" s="387"/>
      <c r="I39" s="387"/>
      <c r="J39" s="387"/>
      <c r="K39" s="390">
        <f>E39/A39</f>
        <v>119.28571428571429</v>
      </c>
      <c r="L39" s="387"/>
      <c r="M39" s="387"/>
      <c r="N39" s="387"/>
      <c r="O39" s="387">
        <f>SUM(MON:SUN!Q31)</f>
        <v>5</v>
      </c>
      <c r="P39" s="387"/>
      <c r="Q39" s="387"/>
      <c r="R39" s="387"/>
      <c r="S39" s="387"/>
      <c r="T39" s="387">
        <f>SUM(MON:SUN!P31)</f>
        <v>25</v>
      </c>
      <c r="U39" s="387"/>
      <c r="V39" s="387"/>
      <c r="W39" s="387"/>
      <c r="X39" s="387"/>
      <c r="Y39" s="387">
        <f>SUM(MON:SUN!S19)</f>
        <v>10</v>
      </c>
      <c r="Z39" s="387"/>
      <c r="AA39" s="387"/>
      <c r="AB39" s="387"/>
      <c r="AC39" s="387"/>
      <c r="AD39" s="407"/>
    </row>
    <row r="40" spans="1:30" ht="16.5" customHeight="1">
      <c r="A40" s="386"/>
      <c r="B40" s="387"/>
      <c r="C40" s="387"/>
      <c r="D40" s="387"/>
      <c r="E40" s="387"/>
      <c r="F40" s="387"/>
      <c r="G40" s="387"/>
      <c r="H40" s="387"/>
      <c r="I40" s="387"/>
      <c r="J40" s="387"/>
      <c r="K40" s="387"/>
      <c r="L40" s="387"/>
      <c r="M40" s="387"/>
      <c r="N40" s="387"/>
      <c r="O40" s="387"/>
      <c r="P40" s="387"/>
      <c r="Q40" s="387"/>
      <c r="R40" s="387"/>
      <c r="S40" s="387"/>
      <c r="T40" s="387"/>
      <c r="U40" s="387"/>
      <c r="V40" s="387"/>
      <c r="W40" s="387"/>
      <c r="X40" s="387"/>
      <c r="Y40" s="387"/>
      <c r="Z40" s="387"/>
      <c r="AA40" s="387"/>
      <c r="AB40" s="387"/>
      <c r="AC40" s="387"/>
      <c r="AD40" s="407"/>
    </row>
    <row r="41" spans="1:30" ht="16.5" customHeight="1">
      <c r="A41" s="386"/>
      <c r="B41" s="387"/>
      <c r="C41" s="387"/>
      <c r="D41" s="387"/>
      <c r="E41" s="387"/>
      <c r="F41" s="387"/>
      <c r="G41" s="387"/>
      <c r="H41" s="387"/>
      <c r="I41" s="387"/>
      <c r="J41" s="387"/>
      <c r="K41" s="387"/>
      <c r="L41" s="387"/>
      <c r="M41" s="387"/>
      <c r="N41" s="387"/>
      <c r="O41" s="405">
        <f>SUM(MON:SUN!J31)</f>
        <v>275</v>
      </c>
      <c r="P41" s="405"/>
      <c r="Q41" s="405"/>
      <c r="R41" s="405"/>
      <c r="S41" s="405"/>
      <c r="T41" s="405">
        <f>SUM(MON:SUN!K31)</f>
        <v>2070.6799999999998</v>
      </c>
      <c r="U41" s="405"/>
      <c r="V41" s="405"/>
      <c r="W41" s="405"/>
      <c r="X41" s="405"/>
      <c r="Y41" s="405">
        <f>SUM(MON:SUN!T19)</f>
        <v>5250</v>
      </c>
      <c r="Z41" s="405"/>
      <c r="AA41" s="405"/>
      <c r="AB41" s="405"/>
      <c r="AC41" s="405"/>
      <c r="AD41" s="408"/>
    </row>
    <row r="42" spans="1:30" ht="16.5" customHeight="1" thickBot="1">
      <c r="A42" s="388"/>
      <c r="B42" s="389"/>
      <c r="C42" s="389"/>
      <c r="D42" s="389"/>
      <c r="E42" s="389"/>
      <c r="F42" s="389"/>
      <c r="G42" s="389"/>
      <c r="H42" s="389"/>
      <c r="I42" s="389"/>
      <c r="J42" s="389"/>
      <c r="K42" s="389"/>
      <c r="L42" s="389"/>
      <c r="M42" s="389"/>
      <c r="N42" s="389"/>
      <c r="O42" s="406"/>
      <c r="P42" s="406"/>
      <c r="Q42" s="406"/>
      <c r="R42" s="406"/>
      <c r="S42" s="406"/>
      <c r="T42" s="406"/>
      <c r="U42" s="406"/>
      <c r="V42" s="406"/>
      <c r="W42" s="406"/>
      <c r="X42" s="406"/>
      <c r="Y42" s="406"/>
      <c r="Z42" s="406"/>
      <c r="AA42" s="406"/>
      <c r="AB42" s="406"/>
      <c r="AC42" s="406"/>
      <c r="AD42" s="409"/>
    </row>
    <row r="43" spans="1:30" ht="17.45" customHeight="1">
      <c r="A43" s="665" t="s">
        <v>464</v>
      </c>
      <c r="B43" s="666"/>
      <c r="C43" s="666"/>
      <c r="D43" s="666"/>
      <c r="E43" s="667"/>
      <c r="F43" s="665" t="s">
        <v>465</v>
      </c>
      <c r="G43" s="666"/>
      <c r="H43" s="666"/>
      <c r="I43" s="666"/>
      <c r="J43" s="667"/>
      <c r="K43" s="665" t="s">
        <v>466</v>
      </c>
      <c r="L43" s="666"/>
      <c r="M43" s="666"/>
      <c r="N43" s="666"/>
      <c r="O43" s="667"/>
      <c r="P43" s="665"/>
      <c r="Q43" s="666"/>
      <c r="R43" s="666"/>
      <c r="S43" s="666"/>
      <c r="T43" s="667"/>
      <c r="U43" s="665" t="s">
        <v>467</v>
      </c>
      <c r="V43" s="666"/>
      <c r="W43" s="666"/>
      <c r="X43" s="666"/>
      <c r="Y43" s="667"/>
      <c r="Z43" s="671" t="s">
        <v>454</v>
      </c>
      <c r="AA43" s="672"/>
      <c r="AB43" s="672"/>
      <c r="AC43" s="672"/>
      <c r="AD43" s="673"/>
    </row>
    <row r="44" spans="1:30" ht="17.45" customHeight="1">
      <c r="A44" s="668"/>
      <c r="B44" s="669"/>
      <c r="C44" s="669"/>
      <c r="D44" s="669"/>
      <c r="E44" s="670"/>
      <c r="F44" s="668"/>
      <c r="G44" s="669"/>
      <c r="H44" s="669"/>
      <c r="I44" s="669"/>
      <c r="J44" s="670"/>
      <c r="K44" s="668"/>
      <c r="L44" s="669"/>
      <c r="M44" s="669"/>
      <c r="N44" s="669"/>
      <c r="O44" s="670"/>
      <c r="P44" s="668"/>
      <c r="Q44" s="669"/>
      <c r="R44" s="669"/>
      <c r="S44" s="669"/>
      <c r="T44" s="670"/>
      <c r="U44" s="668"/>
      <c r="V44" s="669"/>
      <c r="W44" s="669"/>
      <c r="X44" s="669"/>
      <c r="Y44" s="670"/>
      <c r="Z44" s="674"/>
      <c r="AA44" s="675"/>
      <c r="AB44" s="675"/>
      <c r="AC44" s="675"/>
      <c r="AD44" s="676"/>
    </row>
    <row r="45" spans="1:30">
      <c r="A45" s="677">
        <f>SUM(H2,H7,H12,H17,H22,H27,H32)</f>
        <v>5935</v>
      </c>
      <c r="B45" s="678"/>
      <c r="C45" s="678"/>
      <c r="D45" s="678"/>
      <c r="E45" s="679"/>
      <c r="F45" s="677">
        <f>SUM(,H3,H8,H13,H18,H23,H28,H33)</f>
        <v>12160</v>
      </c>
      <c r="G45" s="678"/>
      <c r="H45" s="678"/>
      <c r="I45" s="678"/>
      <c r="J45" s="679"/>
      <c r="K45" s="677">
        <f>SUM(H5,H10,H15,H20,H25,H30,H35)</f>
        <v>275</v>
      </c>
      <c r="L45" s="678"/>
      <c r="M45" s="678"/>
      <c r="N45" s="678"/>
      <c r="O45" s="679"/>
      <c r="P45" s="677">
        <f>SUM(H4,H9,H14,H19,H24,H29,H34)</f>
        <v>2070.6799999999998</v>
      </c>
      <c r="Q45" s="678"/>
      <c r="R45" s="678"/>
      <c r="S45" s="678"/>
      <c r="T45" s="679"/>
      <c r="U45" s="686">
        <f>SUM(E6,E11,E16,E21,E26,E31,E36)</f>
        <v>364.5</v>
      </c>
      <c r="V45" s="678"/>
      <c r="W45" s="678"/>
      <c r="X45" s="678"/>
      <c r="Y45" s="679"/>
      <c r="Z45" s="686">
        <f>SUM(L6,L11,L16,L21,L26,L31,L36)</f>
        <v>49</v>
      </c>
      <c r="AA45" s="678"/>
      <c r="AB45" s="678"/>
      <c r="AC45" s="678"/>
      <c r="AD45" s="687"/>
    </row>
    <row r="46" spans="1:30">
      <c r="A46" s="680"/>
      <c r="B46" s="681"/>
      <c r="C46" s="681"/>
      <c r="D46" s="681"/>
      <c r="E46" s="682"/>
      <c r="F46" s="680"/>
      <c r="G46" s="681"/>
      <c r="H46" s="681"/>
      <c r="I46" s="681"/>
      <c r="J46" s="682"/>
      <c r="K46" s="680"/>
      <c r="L46" s="681"/>
      <c r="M46" s="681"/>
      <c r="N46" s="681"/>
      <c r="O46" s="682"/>
      <c r="P46" s="680"/>
      <c r="Q46" s="681"/>
      <c r="R46" s="681"/>
      <c r="S46" s="681"/>
      <c r="T46" s="682"/>
      <c r="U46" s="680"/>
      <c r="V46" s="681"/>
      <c r="W46" s="681"/>
      <c r="X46" s="681"/>
      <c r="Y46" s="682"/>
      <c r="Z46" s="680"/>
      <c r="AA46" s="681"/>
      <c r="AB46" s="681"/>
      <c r="AC46" s="681"/>
      <c r="AD46" s="688"/>
    </row>
    <row r="47" spans="1:30">
      <c r="A47" s="680"/>
      <c r="B47" s="681"/>
      <c r="C47" s="681"/>
      <c r="D47" s="681"/>
      <c r="E47" s="682"/>
      <c r="F47" s="680"/>
      <c r="G47" s="681"/>
      <c r="H47" s="681"/>
      <c r="I47" s="681"/>
      <c r="J47" s="682"/>
      <c r="K47" s="680"/>
      <c r="L47" s="681"/>
      <c r="M47" s="681"/>
      <c r="N47" s="681"/>
      <c r="O47" s="682"/>
      <c r="P47" s="680"/>
      <c r="Q47" s="681"/>
      <c r="R47" s="681"/>
      <c r="S47" s="681"/>
      <c r="T47" s="682"/>
      <c r="U47" s="680"/>
      <c r="V47" s="681"/>
      <c r="W47" s="681"/>
      <c r="X47" s="681"/>
      <c r="Y47" s="682"/>
      <c r="Z47" s="680"/>
      <c r="AA47" s="681"/>
      <c r="AB47" s="681"/>
      <c r="AC47" s="681"/>
      <c r="AD47" s="688"/>
    </row>
    <row r="48" spans="1:30" ht="17.25" thickBot="1">
      <c r="A48" s="683"/>
      <c r="B48" s="684"/>
      <c r="C48" s="684"/>
      <c r="D48" s="684"/>
      <c r="E48" s="685"/>
      <c r="F48" s="683"/>
      <c r="G48" s="684"/>
      <c r="H48" s="684"/>
      <c r="I48" s="684"/>
      <c r="J48" s="685"/>
      <c r="K48" s="683"/>
      <c r="L48" s="684"/>
      <c r="M48" s="684"/>
      <c r="N48" s="684"/>
      <c r="O48" s="685"/>
      <c r="P48" s="683"/>
      <c r="Q48" s="684"/>
      <c r="R48" s="684"/>
      <c r="S48" s="684"/>
      <c r="T48" s="685"/>
      <c r="U48" s="683"/>
      <c r="V48" s="684"/>
      <c r="W48" s="684"/>
      <c r="X48" s="684"/>
      <c r="Y48" s="685"/>
      <c r="Z48" s="683"/>
      <c r="AA48" s="684"/>
      <c r="AB48" s="684"/>
      <c r="AC48" s="684"/>
      <c r="AD48" s="689"/>
    </row>
    <row r="49" spans="1:30" ht="17.45" customHeight="1">
      <c r="A49" s="647">
        <f>A45/E39</f>
        <v>0.32308111050626021</v>
      </c>
      <c r="B49" s="648"/>
      <c r="C49" s="648"/>
      <c r="D49" s="648"/>
      <c r="E49" s="649"/>
      <c r="F49" s="647">
        <f>F45/E39</f>
        <v>0.66194882961350032</v>
      </c>
      <c r="G49" s="648"/>
      <c r="H49" s="648"/>
      <c r="I49" s="648"/>
      <c r="J49" s="649"/>
      <c r="K49" s="647">
        <f>K45/E39</f>
        <v>1.4970059880239521E-2</v>
      </c>
      <c r="L49" s="648"/>
      <c r="M49" s="648"/>
      <c r="N49" s="648"/>
      <c r="O49" s="649"/>
      <c r="P49" s="647">
        <f>P45/E39</f>
        <v>0.1127207403375068</v>
      </c>
      <c r="Q49" s="648"/>
      <c r="R49" s="648"/>
      <c r="S49" s="648"/>
      <c r="T49" s="649"/>
      <c r="U49" s="656">
        <f>U45/7</f>
        <v>52.071428571428569</v>
      </c>
      <c r="V49" s="657"/>
      <c r="W49" s="657"/>
      <c r="X49" s="657"/>
      <c r="Y49" s="658"/>
      <c r="Z49" s="656">
        <f>U45/Z45</f>
        <v>7.4387755102040813</v>
      </c>
      <c r="AA49" s="657"/>
      <c r="AB49" s="657"/>
      <c r="AC49" s="657"/>
      <c r="AD49" s="658"/>
    </row>
    <row r="50" spans="1:30" ht="17.45" customHeight="1">
      <c r="A50" s="650"/>
      <c r="B50" s="651"/>
      <c r="C50" s="651"/>
      <c r="D50" s="651"/>
      <c r="E50" s="652"/>
      <c r="F50" s="650"/>
      <c r="G50" s="651"/>
      <c r="H50" s="651"/>
      <c r="I50" s="651"/>
      <c r="J50" s="652"/>
      <c r="K50" s="650"/>
      <c r="L50" s="651"/>
      <c r="M50" s="651"/>
      <c r="N50" s="651"/>
      <c r="O50" s="652"/>
      <c r="P50" s="650"/>
      <c r="Q50" s="651"/>
      <c r="R50" s="651"/>
      <c r="S50" s="651"/>
      <c r="T50" s="652"/>
      <c r="U50" s="659"/>
      <c r="V50" s="660"/>
      <c r="W50" s="660"/>
      <c r="X50" s="660"/>
      <c r="Y50" s="661"/>
      <c r="Z50" s="659"/>
      <c r="AA50" s="660"/>
      <c r="AB50" s="660"/>
      <c r="AC50" s="660"/>
      <c r="AD50" s="661"/>
    </row>
    <row r="51" spans="1:30" ht="17.45" customHeight="1">
      <c r="A51" s="650"/>
      <c r="B51" s="651"/>
      <c r="C51" s="651"/>
      <c r="D51" s="651"/>
      <c r="E51" s="652"/>
      <c r="F51" s="650"/>
      <c r="G51" s="651"/>
      <c r="H51" s="651"/>
      <c r="I51" s="651"/>
      <c r="J51" s="652"/>
      <c r="K51" s="650"/>
      <c r="L51" s="651"/>
      <c r="M51" s="651"/>
      <c r="N51" s="651"/>
      <c r="O51" s="652"/>
      <c r="P51" s="650"/>
      <c r="Q51" s="651"/>
      <c r="R51" s="651"/>
      <c r="S51" s="651"/>
      <c r="T51" s="652"/>
      <c r="U51" s="659"/>
      <c r="V51" s="660"/>
      <c r="W51" s="660"/>
      <c r="X51" s="660"/>
      <c r="Y51" s="661"/>
      <c r="Z51" s="659"/>
      <c r="AA51" s="660"/>
      <c r="AB51" s="660"/>
      <c r="AC51" s="660"/>
      <c r="AD51" s="661"/>
    </row>
    <row r="52" spans="1:30" ht="18" customHeight="1" thickBot="1">
      <c r="A52" s="653"/>
      <c r="B52" s="654"/>
      <c r="C52" s="654"/>
      <c r="D52" s="654"/>
      <c r="E52" s="655"/>
      <c r="F52" s="653"/>
      <c r="G52" s="654"/>
      <c r="H52" s="654"/>
      <c r="I52" s="654"/>
      <c r="J52" s="655"/>
      <c r="K52" s="653"/>
      <c r="L52" s="654"/>
      <c r="M52" s="654"/>
      <c r="N52" s="654"/>
      <c r="O52" s="655"/>
      <c r="P52" s="653"/>
      <c r="Q52" s="654"/>
      <c r="R52" s="654"/>
      <c r="S52" s="654"/>
      <c r="T52" s="655"/>
      <c r="U52" s="662"/>
      <c r="V52" s="663"/>
      <c r="W52" s="663"/>
      <c r="X52" s="663"/>
      <c r="Y52" s="664"/>
      <c r="Z52" s="662"/>
      <c r="AA52" s="663"/>
      <c r="AB52" s="663"/>
      <c r="AC52" s="663"/>
      <c r="AD52" s="664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C064-A057-4D0D-83F9-CAFCA50FE3AC}">
  <dimension ref="A1:N18"/>
  <sheetViews>
    <sheetView tabSelected="1" workbookViewId="0">
      <selection activeCell="F2" sqref="F2:I2"/>
    </sheetView>
  </sheetViews>
  <sheetFormatPr defaultColWidth="9" defaultRowHeight="16.5"/>
  <cols>
    <col min="1" max="1" width="2.625" style="14" customWidth="1"/>
    <col min="2" max="2" width="17" style="14" customWidth="1"/>
    <col min="3" max="8" width="2.625" style="14" customWidth="1"/>
    <col min="9" max="9" width="13.375" style="14" customWidth="1"/>
    <col min="10" max="461" width="2.625" style="14" customWidth="1"/>
    <col min="462" max="16384" width="9" style="14"/>
  </cols>
  <sheetData>
    <row r="1" spans="1:14" ht="32.25" customHeight="1">
      <c r="A1" s="610"/>
      <c r="B1" s="610"/>
      <c r="C1" s="609" t="s">
        <v>468</v>
      </c>
      <c r="D1" s="609"/>
      <c r="E1" s="609"/>
      <c r="F1" s="609" t="s">
        <v>445</v>
      </c>
      <c r="G1" s="609"/>
      <c r="H1" s="609"/>
      <c r="I1" s="609"/>
      <c r="J1" s="609" t="s">
        <v>446</v>
      </c>
      <c r="K1" s="609"/>
      <c r="L1" s="609"/>
      <c r="M1" s="609"/>
      <c r="N1" s="609"/>
    </row>
    <row r="2" spans="1:14" ht="20.100000000000001" customHeight="1">
      <c r="A2" s="690"/>
      <c r="B2" s="287" t="s">
        <v>5</v>
      </c>
      <c r="C2" s="525"/>
      <c r="D2" s="525"/>
      <c r="E2" s="525"/>
      <c r="F2" s="494">
        <f>SUM(MON!U5+WED!U5+THU!U5+SAT!T5+SUN!U5)</f>
        <v>36.979166666666671</v>
      </c>
      <c r="G2" s="494"/>
      <c r="H2" s="494"/>
      <c r="I2" s="494"/>
      <c r="J2" s="495"/>
      <c r="K2" s="495"/>
      <c r="L2" s="495"/>
      <c r="M2" s="495"/>
      <c r="N2" s="495"/>
    </row>
    <row r="3" spans="1:14" ht="20.100000000000001" customHeight="1">
      <c r="A3" s="691"/>
      <c r="B3" s="122" t="s">
        <v>42</v>
      </c>
      <c r="C3" s="525"/>
      <c r="D3" s="525"/>
      <c r="E3" s="525"/>
      <c r="F3" s="494">
        <f>SUM(MON!U6+TUE!U5+WED!U6+THU!U6+FRI!U5+SAT!U6+SUN!U6)</f>
        <v>63</v>
      </c>
      <c r="G3" s="494"/>
      <c r="H3" s="494"/>
      <c r="I3" s="494"/>
      <c r="J3" s="495"/>
      <c r="K3" s="495"/>
      <c r="L3" s="495"/>
      <c r="M3" s="495"/>
      <c r="N3" s="495"/>
    </row>
    <row r="4" spans="1:14" ht="20.100000000000001" customHeight="1">
      <c r="A4" s="691"/>
      <c r="B4" s="124" t="s">
        <v>48</v>
      </c>
      <c r="C4" s="525"/>
      <c r="D4" s="525"/>
      <c r="E4" s="525"/>
      <c r="F4" s="494">
        <f>SUM(MON!U7+TUE!U6+WED!U7+THU!U7+SAT!U8)</f>
        <v>30.25</v>
      </c>
      <c r="G4" s="494"/>
      <c r="H4" s="494"/>
      <c r="I4" s="494"/>
      <c r="J4" s="495"/>
      <c r="K4" s="495"/>
      <c r="L4" s="495"/>
      <c r="M4" s="495"/>
      <c r="N4" s="495"/>
    </row>
    <row r="5" spans="1:14" ht="20.100000000000001" customHeight="1">
      <c r="A5" s="691"/>
      <c r="B5" s="25" t="s">
        <v>51</v>
      </c>
      <c r="C5" s="499"/>
      <c r="D5" s="500"/>
      <c r="E5" s="501"/>
      <c r="F5" s="547">
        <f>SUM(MON!U8+TUE!U7+THU!U8+FRI!U7+SAT!U10+SUN!U9)</f>
        <v>39.5</v>
      </c>
      <c r="G5" s="548"/>
      <c r="H5" s="548"/>
      <c r="I5" s="549"/>
      <c r="J5" s="550"/>
      <c r="K5" s="551"/>
      <c r="L5" s="551"/>
      <c r="M5" s="551"/>
      <c r="N5" s="552"/>
    </row>
    <row r="6" spans="1:14" ht="20.100000000000001" customHeight="1">
      <c r="A6" s="692"/>
      <c r="B6" s="25" t="s">
        <v>55</v>
      </c>
      <c r="C6" s="499"/>
      <c r="D6" s="500"/>
      <c r="E6" s="501"/>
      <c r="F6" s="547">
        <f>SUM(MON!U9+THU!U9+THU!U10+SAT!U12+SUN!U11+SUN!U12)</f>
        <v>23.25</v>
      </c>
      <c r="G6" s="548"/>
      <c r="H6" s="548"/>
      <c r="I6" s="549"/>
      <c r="J6" s="603"/>
      <c r="K6" s="604"/>
      <c r="L6" s="604"/>
      <c r="M6" s="604"/>
      <c r="N6" s="605"/>
    </row>
    <row r="7" spans="1:14" ht="20.100000000000001" customHeight="1">
      <c r="A7" s="693"/>
      <c r="B7" s="25" t="s">
        <v>59</v>
      </c>
      <c r="C7" s="518"/>
      <c r="D7" s="518"/>
      <c r="E7" s="518"/>
      <c r="F7" s="496">
        <f>SUM(MON!U10+TUE!U10+TUE!U11+THU!U12+FRI!U10+SAT!U11+SUN!U10)</f>
        <v>44.5</v>
      </c>
      <c r="G7" s="496"/>
      <c r="H7" s="496"/>
      <c r="I7" s="496"/>
      <c r="J7" s="509"/>
      <c r="K7" s="510"/>
      <c r="L7" s="510"/>
      <c r="M7" s="510"/>
      <c r="N7" s="511"/>
    </row>
    <row r="8" spans="1:14" ht="20.100000000000001" customHeight="1">
      <c r="A8" s="694"/>
      <c r="B8" s="25" t="s">
        <v>148</v>
      </c>
      <c r="C8" s="518"/>
      <c r="D8" s="518"/>
      <c r="E8" s="518"/>
      <c r="F8" s="496">
        <f>SUM(TUE!U12)</f>
        <v>8.25</v>
      </c>
      <c r="G8" s="496"/>
      <c r="H8" s="496"/>
      <c r="I8" s="496"/>
      <c r="J8" s="509"/>
      <c r="K8" s="510"/>
      <c r="L8" s="510"/>
      <c r="M8" s="510"/>
      <c r="N8" s="511"/>
    </row>
    <row r="9" spans="1:14" ht="20.100000000000001" customHeight="1">
      <c r="A9" s="694"/>
      <c r="B9" s="32" t="s">
        <v>152</v>
      </c>
      <c r="C9" s="518"/>
      <c r="D9" s="518"/>
      <c r="E9" s="518"/>
      <c r="F9" s="496">
        <v>0.25</v>
      </c>
      <c r="G9" s="496"/>
      <c r="H9" s="496"/>
      <c r="I9" s="496"/>
      <c r="J9" s="509"/>
      <c r="K9" s="510"/>
      <c r="L9" s="510"/>
      <c r="M9" s="510"/>
      <c r="N9" s="511"/>
    </row>
    <row r="10" spans="1:14" ht="20.100000000000001" customHeight="1">
      <c r="A10" s="694"/>
      <c r="B10" s="25" t="s">
        <v>155</v>
      </c>
      <c r="C10" s="553"/>
      <c r="D10" s="554"/>
      <c r="E10" s="517"/>
      <c r="F10" s="526">
        <v>0.25</v>
      </c>
      <c r="G10" s="527"/>
      <c r="H10" s="527"/>
      <c r="I10" s="528"/>
      <c r="J10" s="509"/>
      <c r="K10" s="510"/>
      <c r="L10" s="510"/>
      <c r="M10" s="510"/>
      <c r="N10" s="511"/>
    </row>
    <row r="11" spans="1:14" ht="20.100000000000001" customHeight="1">
      <c r="A11" s="695"/>
      <c r="B11" s="25" t="s">
        <v>179</v>
      </c>
      <c r="C11" s="553"/>
      <c r="D11" s="554"/>
      <c r="E11" s="517"/>
      <c r="F11" s="526">
        <f>SUM(WED!U8+FRI!U8+SAT!U7+SUN!U8)</f>
        <v>33</v>
      </c>
      <c r="G11" s="527"/>
      <c r="H11" s="527"/>
      <c r="I11" s="528"/>
      <c r="J11" s="717"/>
      <c r="K11" s="718"/>
      <c r="L11" s="718"/>
      <c r="M11" s="718"/>
      <c r="N11" s="719"/>
    </row>
    <row r="12" spans="1:14" ht="20.100000000000001" customHeight="1">
      <c r="A12" s="696"/>
      <c r="B12" s="25" t="s">
        <v>182</v>
      </c>
      <c r="C12" s="310"/>
      <c r="D12" s="310"/>
      <c r="E12" s="310"/>
      <c r="F12" s="503">
        <f>SUM(WED!U9)</f>
        <v>2.2500000000000013</v>
      </c>
      <c r="G12" s="504"/>
      <c r="H12" s="504"/>
      <c r="I12" s="505"/>
      <c r="J12" s="506"/>
      <c r="K12" s="507"/>
      <c r="L12" s="507"/>
      <c r="M12" s="507"/>
      <c r="N12" s="508"/>
    </row>
    <row r="13" spans="1:14" ht="20.100000000000001" customHeight="1">
      <c r="A13" s="697"/>
      <c r="B13" s="25" t="s">
        <v>185</v>
      </c>
      <c r="C13" s="310"/>
      <c r="D13" s="310"/>
      <c r="E13" s="310"/>
      <c r="F13" s="503">
        <v>6.75</v>
      </c>
      <c r="G13" s="504"/>
      <c r="H13" s="504"/>
      <c r="I13" s="505"/>
      <c r="J13" s="506"/>
      <c r="K13" s="507"/>
      <c r="L13" s="507"/>
      <c r="M13" s="507"/>
      <c r="N13" s="508"/>
    </row>
    <row r="14" spans="1:14" ht="20.100000000000001" customHeight="1">
      <c r="A14" s="697"/>
      <c r="B14" s="14" t="s">
        <v>301</v>
      </c>
      <c r="C14" s="310"/>
      <c r="D14" s="310"/>
      <c r="E14" s="310"/>
      <c r="F14" s="503">
        <f>SUM(FRI!U11+SUN!U13+SUN!U14)</f>
        <v>8.5</v>
      </c>
      <c r="G14" s="504"/>
      <c r="H14" s="504"/>
      <c r="I14" s="505"/>
      <c r="J14" s="506"/>
      <c r="K14" s="507"/>
      <c r="L14" s="507"/>
      <c r="M14" s="507"/>
      <c r="N14" s="508"/>
    </row>
    <row r="15" spans="1:14" ht="20.100000000000001" customHeight="1">
      <c r="A15" s="697"/>
      <c r="B15" s="14" t="s">
        <v>248</v>
      </c>
      <c r="C15" s="285"/>
      <c r="D15" s="286"/>
      <c r="E15" s="281"/>
      <c r="F15" s="503">
        <f>SUM(THU!U11+FRI!U6+SAT!U9+SUN!U7)</f>
        <v>35.5</v>
      </c>
      <c r="G15" s="504"/>
      <c r="H15" s="504"/>
      <c r="I15" s="505"/>
      <c r="J15" s="282"/>
      <c r="K15" s="283"/>
      <c r="L15" s="283"/>
      <c r="M15" s="283"/>
      <c r="N15" s="284"/>
    </row>
    <row r="16" spans="1:14" ht="20.100000000000001" customHeight="1">
      <c r="A16" s="697"/>
      <c r="B16" s="14" t="s">
        <v>138</v>
      </c>
      <c r="C16" s="285"/>
      <c r="D16" s="286"/>
      <c r="E16" s="281"/>
      <c r="F16" s="503">
        <f>SUM(TUE!U8+TUE!U9+FRI!U9)</f>
        <v>12</v>
      </c>
      <c r="G16" s="504"/>
      <c r="H16" s="504"/>
      <c r="I16" s="505"/>
      <c r="J16" s="282"/>
      <c r="K16" s="283"/>
      <c r="L16" s="283"/>
      <c r="M16" s="283"/>
      <c r="N16" s="284"/>
    </row>
    <row r="17" spans="1:14" ht="20.100000000000001" customHeight="1">
      <c r="A17" s="697"/>
      <c r="B17" s="25" t="s">
        <v>304</v>
      </c>
      <c r="C17" s="519"/>
      <c r="D17" s="520"/>
      <c r="E17" s="502"/>
      <c r="F17" s="503">
        <v>2.75</v>
      </c>
      <c r="G17" s="504"/>
      <c r="H17" s="504"/>
      <c r="I17" s="505"/>
      <c r="J17" s="506"/>
      <c r="K17" s="507"/>
      <c r="L17" s="507"/>
      <c r="M17" s="507"/>
      <c r="N17" s="508"/>
    </row>
    <row r="18" spans="1:14" ht="20.100000000000001" customHeight="1">
      <c r="A18" s="698"/>
      <c r="B18" s="268" t="s">
        <v>308</v>
      </c>
      <c r="C18" s="519"/>
      <c r="D18" s="520"/>
      <c r="E18" s="502"/>
      <c r="F18" s="503">
        <f>SUM(THU!U13+FRI!U13)</f>
        <v>8.75</v>
      </c>
      <c r="G18" s="504"/>
      <c r="H18" s="504"/>
      <c r="I18" s="505"/>
      <c r="J18" s="522"/>
      <c r="K18" s="523"/>
      <c r="L18" s="523"/>
      <c r="M18" s="523"/>
      <c r="N18" s="524"/>
    </row>
  </sheetData>
  <mergeCells count="54">
    <mergeCell ref="A2:A6"/>
    <mergeCell ref="C2:E2"/>
    <mergeCell ref="F2:I2"/>
    <mergeCell ref="J2:N2"/>
    <mergeCell ref="A1:B1"/>
    <mergeCell ref="C1:E1"/>
    <mergeCell ref="F1:I1"/>
    <mergeCell ref="J1:N1"/>
    <mergeCell ref="C3:E3"/>
    <mergeCell ref="F3:I3"/>
    <mergeCell ref="J3:N3"/>
    <mergeCell ref="C4:E4"/>
    <mergeCell ref="F4:I4"/>
    <mergeCell ref="J4:N4"/>
    <mergeCell ref="C5:E5"/>
    <mergeCell ref="F5:I5"/>
    <mergeCell ref="J5:N5"/>
    <mergeCell ref="C6:E6"/>
    <mergeCell ref="F6:I6"/>
    <mergeCell ref="J6:N6"/>
    <mergeCell ref="C8:E8"/>
    <mergeCell ref="F8:I8"/>
    <mergeCell ref="J8:N8"/>
    <mergeCell ref="C9:E9"/>
    <mergeCell ref="F9:I9"/>
    <mergeCell ref="J9:N9"/>
    <mergeCell ref="A12:A18"/>
    <mergeCell ref="C12:E12"/>
    <mergeCell ref="F12:I12"/>
    <mergeCell ref="J12:N12"/>
    <mergeCell ref="C10:E10"/>
    <mergeCell ref="F10:I10"/>
    <mergeCell ref="J10:N10"/>
    <mergeCell ref="C11:E11"/>
    <mergeCell ref="F11:I11"/>
    <mergeCell ref="J11:N11"/>
    <mergeCell ref="A7:A11"/>
    <mergeCell ref="C7:E7"/>
    <mergeCell ref="F7:I7"/>
    <mergeCell ref="J7:N7"/>
    <mergeCell ref="C18:E18"/>
    <mergeCell ref="F18:I18"/>
    <mergeCell ref="J18:N18"/>
    <mergeCell ref="C13:E13"/>
    <mergeCell ref="F13:I13"/>
    <mergeCell ref="J13:N13"/>
    <mergeCell ref="C14:E14"/>
    <mergeCell ref="F14:I14"/>
    <mergeCell ref="J14:N14"/>
    <mergeCell ref="F15:I15"/>
    <mergeCell ref="F16:I16"/>
    <mergeCell ref="C17:E17"/>
    <mergeCell ref="F17:I17"/>
    <mergeCell ref="J17:N17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7862BD-7FEA-4654-9D94-C6DF8CBC4663}"/>
</file>

<file path=customXml/itemProps2.xml><?xml version="1.0" encoding="utf-8"?>
<ds:datastoreItem xmlns:ds="http://schemas.openxmlformats.org/officeDocument/2006/customXml" ds:itemID="{DEEC899D-6A18-4B7D-8097-A0FE163CA348}"/>
</file>

<file path=customXml/itemProps3.xml><?xml version="1.0" encoding="utf-8"?>
<ds:datastoreItem xmlns:ds="http://schemas.openxmlformats.org/officeDocument/2006/customXml" ds:itemID="{B105F027-EF68-4530-8279-729D9F1252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Wonstop B2 Chase</cp:lastModifiedBy>
  <cp:revision/>
  <dcterms:created xsi:type="dcterms:W3CDTF">2011-11-24T03:16:40Z</dcterms:created>
  <dcterms:modified xsi:type="dcterms:W3CDTF">2024-12-11T01:33:05Z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  <property fmtid="{D5CDD505-2E9C-101B-9397-08002B2CF9AE}" pid="3" name="MediaServiceImageTags">
    <vt:lpwstr/>
  </property>
</Properties>
</file>