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"/>
    </mc:Choice>
  </mc:AlternateContent>
  <xr:revisionPtr revIDLastSave="0" documentId="13_ncr:1_{5A85C499-0271-4B4C-AFCE-FD411450F431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U11" i="6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H32" i="2"/>
  <c r="Z31" i="2"/>
  <c r="Q31" i="2"/>
  <c r="P31" i="2"/>
  <c r="O31" i="2"/>
  <c r="N31" i="2"/>
  <c r="L31" i="2"/>
  <c r="M30" i="2"/>
  <c r="M31" i="2" s="1"/>
  <c r="L30" i="2"/>
  <c r="I30" i="2"/>
  <c r="I31" i="2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J16" i="2"/>
  <c r="U15" i="2"/>
  <c r="K15" i="2"/>
  <c r="J15" i="2"/>
  <c r="U14" i="2"/>
  <c r="J14" i="2"/>
  <c r="U13" i="2"/>
  <c r="K13" i="2"/>
  <c r="J13" i="2"/>
  <c r="U12" i="2"/>
  <c r="J12" i="2"/>
  <c r="U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H30" i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J26" i="3"/>
  <c r="AH25" i="3"/>
  <c r="T25" i="3"/>
  <c r="T26" i="3" s="1"/>
  <c r="S25" i="3"/>
  <c r="S26" i="3" s="1"/>
  <c r="R25" i="3"/>
  <c r="R26" i="3" s="1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J21" i="4"/>
  <c r="K20" i="4"/>
  <c r="J20" i="4"/>
  <c r="T19" i="4"/>
  <c r="S19" i="4"/>
  <c r="K19" i="4"/>
  <c r="J19" i="4"/>
  <c r="K18" i="4"/>
  <c r="J18" i="4"/>
  <c r="J17" i="4"/>
  <c r="K16" i="4"/>
  <c r="J16" i="4"/>
  <c r="U15" i="4"/>
  <c r="K15" i="4"/>
  <c r="J15" i="4"/>
  <c r="U14" i="4"/>
  <c r="J14" i="4"/>
  <c r="U13" i="4"/>
  <c r="K13" i="4"/>
  <c r="J13" i="4"/>
  <c r="U12" i="4"/>
  <c r="K12" i="4"/>
  <c r="J12" i="4"/>
  <c r="U11" i="4"/>
  <c r="J11" i="4"/>
  <c r="U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T66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J7" i="5"/>
  <c r="U6" i="5"/>
  <c r="K6" i="5"/>
  <c r="J6" i="5"/>
  <c r="U5" i="5"/>
  <c r="K5" i="5"/>
  <c r="J5" i="5"/>
  <c r="M94" i="6"/>
  <c r="L94" i="6"/>
  <c r="I94" i="6"/>
  <c r="H94" i="6"/>
  <c r="K93" i="6"/>
  <c r="J93" i="6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J61" i="6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0" i="6"/>
  <c r="M31" i="6" s="1"/>
  <c r="L30" i="6"/>
  <c r="I30" i="6"/>
  <c r="I31" i="6" s="1"/>
  <c r="H30" i="6"/>
  <c r="K29" i="6"/>
  <c r="J29" i="6"/>
  <c r="K28" i="6"/>
  <c r="J28" i="6"/>
  <c r="K27" i="6"/>
  <c r="J27" i="6"/>
  <c r="J26" i="6"/>
  <c r="T25" i="6"/>
  <c r="T26" i="6" s="1"/>
  <c r="S25" i="6"/>
  <c r="S26" i="6" s="1"/>
  <c r="R25" i="6"/>
  <c r="R26" i="6" s="1"/>
  <c r="K25" i="6"/>
  <c r="J25" i="6"/>
  <c r="K24" i="6"/>
  <c r="J24" i="6"/>
  <c r="J23" i="6"/>
  <c r="AR22" i="6"/>
  <c r="AQ22" i="6"/>
  <c r="AP22" i="6"/>
  <c r="AF25" i="6" s="1"/>
  <c r="AG22" i="6"/>
  <c r="AH25" i="6" s="1"/>
  <c r="AF22" i="6"/>
  <c r="AE22" i="6"/>
  <c r="AE25" i="6" s="1"/>
  <c r="J22" i="6"/>
  <c r="J21" i="6"/>
  <c r="K20" i="6"/>
  <c r="J20" i="6"/>
  <c r="T19" i="6"/>
  <c r="S19" i="6"/>
  <c r="J19" i="6"/>
  <c r="K18" i="6"/>
  <c r="J18" i="6"/>
  <c r="J17" i="6"/>
  <c r="J16" i="6"/>
  <c r="U15" i="6"/>
  <c r="J15" i="6"/>
  <c r="U14" i="6"/>
  <c r="K14" i="6"/>
  <c r="J14" i="6"/>
  <c r="U13" i="6"/>
  <c r="J13" i="6"/>
  <c r="U12" i="6"/>
  <c r="J12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S32" i="2" l="1"/>
  <c r="H33" i="8" s="1"/>
  <c r="K30" i="2"/>
  <c r="K31" i="2" s="1"/>
  <c r="H34" i="8" s="1"/>
  <c r="J30" i="2"/>
  <c r="J31" i="2" s="1"/>
  <c r="U16" i="2"/>
  <c r="E36" i="8" s="1"/>
  <c r="I31" i="1"/>
  <c r="S32" i="1" s="1"/>
  <c r="H28" i="8" s="1"/>
  <c r="H31" i="1"/>
  <c r="K62" i="1"/>
  <c r="J62" i="1"/>
  <c r="J30" i="1"/>
  <c r="K30" i="1"/>
  <c r="U16" i="1"/>
  <c r="S16" i="1" s="1"/>
  <c r="J30" i="3"/>
  <c r="J31" i="3" s="1"/>
  <c r="K30" i="3"/>
  <c r="K31" i="3" s="1"/>
  <c r="U16" i="3"/>
  <c r="R16" i="3" s="1"/>
  <c r="S32" i="4"/>
  <c r="H18" i="8" s="1"/>
  <c r="K30" i="4"/>
  <c r="K31" i="4" s="1"/>
  <c r="J30" i="4"/>
  <c r="J31" i="4" s="1"/>
  <c r="U16" i="4"/>
  <c r="R16" i="4" s="1"/>
  <c r="J30" i="5"/>
  <c r="J31" i="5" s="1"/>
  <c r="K30" i="5"/>
  <c r="K31" i="5" s="1"/>
  <c r="U16" i="5"/>
  <c r="S16" i="5" s="1"/>
  <c r="S32" i="6"/>
  <c r="H8" i="8" s="1"/>
  <c r="L31" i="6"/>
  <c r="J94" i="6"/>
  <c r="K94" i="6"/>
  <c r="AG25" i="6"/>
  <c r="H31" i="6"/>
  <c r="S31" i="6" s="1"/>
  <c r="H7" i="8" s="1"/>
  <c r="J62" i="6"/>
  <c r="K62" i="6"/>
  <c r="K30" i="6"/>
  <c r="J30" i="6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AD25" i="3"/>
  <c r="AI25" i="3"/>
  <c r="S16" i="3"/>
  <c r="Z32" i="3"/>
  <c r="Z33" i="3" s="1"/>
  <c r="S31" i="3"/>
  <c r="H22" i="8" s="1"/>
  <c r="T31" i="3"/>
  <c r="AD25" i="4"/>
  <c r="AI25" i="4"/>
  <c r="S16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Z32" i="6"/>
  <c r="Z33" i="6" s="1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R16" i="2"/>
  <c r="H35" i="8"/>
  <c r="V32" i="8" s="1"/>
  <c r="S16" i="2"/>
  <c r="T31" i="1"/>
  <c r="J31" i="1"/>
  <c r="S31" i="1"/>
  <c r="H27" i="8" s="1"/>
  <c r="K31" i="1"/>
  <c r="E31" i="8"/>
  <c r="R16" i="1"/>
  <c r="C32" i="3"/>
  <c r="O32" i="3" s="1"/>
  <c r="E26" i="8"/>
  <c r="C32" i="4"/>
  <c r="K32" i="4" s="1"/>
  <c r="C32" i="5"/>
  <c r="P32" i="5" s="1"/>
  <c r="R16" i="5"/>
  <c r="T31" i="6"/>
  <c r="J31" i="6"/>
  <c r="K31" i="6"/>
  <c r="R16" i="6"/>
  <c r="S16" i="6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AI25" i="7"/>
  <c r="AD25" i="7"/>
  <c r="Z32" i="7"/>
  <c r="Z33" i="7" s="1"/>
  <c r="T31" i="7"/>
  <c r="U25" i="2" l="1"/>
  <c r="K32" i="2"/>
  <c r="P32" i="2"/>
  <c r="L34" i="8" s="1"/>
  <c r="N32" i="2"/>
  <c r="L32" i="8" s="1"/>
  <c r="Q32" i="2"/>
  <c r="L35" i="8" s="1"/>
  <c r="T16" i="2"/>
  <c r="C32" i="1"/>
  <c r="P32" i="1" s="1"/>
  <c r="Q32" i="3"/>
  <c r="L25" i="8" s="1"/>
  <c r="P32" i="3"/>
  <c r="L24" i="8" s="1"/>
  <c r="U25" i="3"/>
  <c r="K32" i="3"/>
  <c r="N32" i="3"/>
  <c r="L22" i="8" s="1"/>
  <c r="T16" i="3"/>
  <c r="O32" i="4"/>
  <c r="P32" i="4"/>
  <c r="U25" i="4"/>
  <c r="Q32" i="4"/>
  <c r="T16" i="4"/>
  <c r="N32" i="4"/>
  <c r="N32" i="5"/>
  <c r="T16" i="5"/>
  <c r="K32" i="5"/>
  <c r="O32" i="5"/>
  <c r="Q32" i="5"/>
  <c r="U25" i="5"/>
  <c r="C32" i="6"/>
  <c r="P32" i="6" s="1"/>
  <c r="L9" i="8" s="1"/>
  <c r="H10" i="8"/>
  <c r="V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E30" i="8"/>
  <c r="E29" i="8"/>
  <c r="E28" i="8"/>
  <c r="E27" i="8"/>
  <c r="U25" i="1" l="1"/>
  <c r="T16" i="1"/>
  <c r="O32" i="1"/>
  <c r="K32" i="1"/>
  <c r="N32" i="1"/>
  <c r="Q32" i="1"/>
  <c r="T16" i="6"/>
  <c r="K32" i="6"/>
  <c r="N32" i="6"/>
  <c r="L7" i="8" s="1"/>
  <c r="U25" i="6"/>
  <c r="O32" i="6"/>
  <c r="L8" i="8" s="1"/>
  <c r="Q32" i="6"/>
  <c r="L10" i="8" s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<sst xmlns="http://schemas.openxmlformats.org/spreadsheetml/2006/main" count="1800" uniqueCount="432">
  <si>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</si>
  <si>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</si>
  <si>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</si>
  <si>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</si>
  <si>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</si>
  <si>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</si>
  <si>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</si>
  <si>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</si>
  <si>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</si>
  <si>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</si>
  <si>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</si>
  <si>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</si>
  <si>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</si>
  <si>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</si>
  <si>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</si>
  <si>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</si>
  <si>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</si>
  <si>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</si>
  <si>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</si>
  <si>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</si>
  <si>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</si>
  <si>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</si>
  <si>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</si>
  <si>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</si>
  <si>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</si>
  <si>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</si>
  <si>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</si>
  <si>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</si>
  <si>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</si>
  <si>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</si>
  <si>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</si>
  <si>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</si>
  <si>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</si>
  <si>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</si>
  <si>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</si>
  <si>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</si>
  <si>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</si>
  <si>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</si>
  <si>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</si>
  <si>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</si>
  <si>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</si>
  <si>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</si>
  <si>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</si>
  <si>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</si>
  <si>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</si>
  <si>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</si>
  <si>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</si>
  <si>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</si>
  <si>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</si>
  <si>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</si>
  <si>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</si>
  <si>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</si>
  <si>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</si>
  <si>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</si>
  <si>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</si>
  <si>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</si>
  <si>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</si>
  <si>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</si>
  <si>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</si>
  <si>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</si>
  <si>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</si>
  <si>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</si>
  <si>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</si>
  <si>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</si>
  <si>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</si>
  <si>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</si>
  <si>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</si>
  <si>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</si>
  <si>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</si>
  <si>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</si>
  <si>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</si>
  <si>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</si>
  <si>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</si>
  <si>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</si>
  <si>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</si>
  <si>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</si>
  <si>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</si>
  <si>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</si>
  <si>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</si>
  <si>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</si>
  <si>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</si>
  <si>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</si>
  <si>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</si>
  <si>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</si>
  <si>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</si>
  <si>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</si>
  <si>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</si>
  <si>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</si>
  <si>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</si>
  <si>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</si>
  <si>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</si>
  <si>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</si>
  <si>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</si>
  <si>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</si>
  <si>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</si>
  <si>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</si>
  <si>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</si>
  <si>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12-12-2022</t>
    <phoneticPr fontId="4" type="noConversion"/>
  </si>
  <si>
    <t>JOHN</t>
    <phoneticPr fontId="4" type="noConversion"/>
  </si>
  <si>
    <t>HENDRA</t>
    <phoneticPr fontId="4" type="noConversion"/>
  </si>
  <si>
    <t>ARIANTO</t>
    <phoneticPr fontId="4" type="noConversion"/>
  </si>
  <si>
    <t>VINNY</t>
    <phoneticPr fontId="4" type="noConversion"/>
  </si>
  <si>
    <t>ROMAN</t>
    <phoneticPr fontId="4" type="noConversion"/>
  </si>
  <si>
    <t>GBI</t>
    <phoneticPr fontId="4" type="noConversion"/>
  </si>
  <si>
    <t>EMB51N</t>
    <phoneticPr fontId="4" type="noConversion"/>
  </si>
  <si>
    <t>0420813883</t>
    <phoneticPr fontId="4" type="noConversion"/>
  </si>
  <si>
    <t>D</t>
    <phoneticPr fontId="4" type="noConversion"/>
  </si>
  <si>
    <t>H</t>
    <phoneticPr fontId="4" type="noConversion"/>
  </si>
  <si>
    <t>CQB54T</t>
    <phoneticPr fontId="4" type="noConversion"/>
  </si>
  <si>
    <t>0425774597</t>
    <phoneticPr fontId="4" type="noConversion"/>
  </si>
  <si>
    <t>X</t>
    <phoneticPr fontId="4" type="noConversion"/>
  </si>
  <si>
    <t>CTO23E</t>
    <phoneticPr fontId="4" type="noConversion"/>
  </si>
  <si>
    <t>0424147704</t>
    <phoneticPr fontId="4" type="noConversion"/>
  </si>
  <si>
    <t>DYY55P</t>
    <phoneticPr fontId="4" type="noConversion"/>
  </si>
  <si>
    <t>0413703541</t>
    <phoneticPr fontId="4" type="noConversion"/>
  </si>
  <si>
    <t>CYU88Y</t>
    <phoneticPr fontId="4" type="noConversion"/>
  </si>
  <si>
    <t>0487739787</t>
    <phoneticPr fontId="4" type="noConversion"/>
  </si>
  <si>
    <t>CLOUDY&amp;RAIN</t>
    <phoneticPr fontId="4" type="noConversion"/>
  </si>
  <si>
    <t>DWA83A</t>
    <phoneticPr fontId="4" type="noConversion"/>
  </si>
  <si>
    <t>0414639490</t>
    <phoneticPr fontId="4" type="noConversion"/>
  </si>
  <si>
    <t>0415888891</t>
    <phoneticPr fontId="4" type="noConversion"/>
  </si>
  <si>
    <t>BPO24E</t>
    <phoneticPr fontId="4" type="noConversion"/>
  </si>
  <si>
    <t>0414351873</t>
    <phoneticPr fontId="4" type="noConversion"/>
  </si>
  <si>
    <t>PCL</t>
    <phoneticPr fontId="4" type="noConversion"/>
  </si>
  <si>
    <t>22161(1/6)</t>
    <phoneticPr fontId="4" type="noConversion"/>
  </si>
  <si>
    <t>CZR94K</t>
    <phoneticPr fontId="4" type="noConversion"/>
  </si>
  <si>
    <t>0406875678</t>
    <phoneticPr fontId="4" type="noConversion"/>
  </si>
  <si>
    <t>EBP42L</t>
    <phoneticPr fontId="4" type="noConversion"/>
  </si>
  <si>
    <t>0408808314</t>
    <phoneticPr fontId="4" type="noConversion"/>
  </si>
  <si>
    <t>13-12-2022</t>
    <phoneticPr fontId="4" type="noConversion"/>
  </si>
  <si>
    <t>LENI</t>
    <phoneticPr fontId="4" type="noConversion"/>
  </si>
  <si>
    <t>SUNNY</t>
    <phoneticPr fontId="4" type="noConversion"/>
  </si>
  <si>
    <t>KUROSH</t>
    <phoneticPr fontId="4" type="noConversion"/>
  </si>
  <si>
    <t>RB735</t>
    <phoneticPr fontId="4" type="noConversion"/>
  </si>
  <si>
    <t>0427138237</t>
    <phoneticPr fontId="4" type="noConversion"/>
  </si>
  <si>
    <t>ENA10J</t>
    <phoneticPr fontId="4" type="noConversion"/>
  </si>
  <si>
    <t>0431733876</t>
    <phoneticPr fontId="4" type="noConversion"/>
  </si>
  <si>
    <t>DWL73S</t>
    <phoneticPr fontId="4" type="noConversion"/>
  </si>
  <si>
    <t>0480153258</t>
    <phoneticPr fontId="4" type="noConversion"/>
  </si>
  <si>
    <t>CZB55R</t>
    <phoneticPr fontId="4" type="noConversion"/>
  </si>
  <si>
    <t>0430458428</t>
    <phoneticPr fontId="4" type="noConversion"/>
  </si>
  <si>
    <t>ELV90N</t>
    <phoneticPr fontId="4" type="noConversion"/>
  </si>
  <si>
    <t>0403488588</t>
    <phoneticPr fontId="4" type="noConversion"/>
  </si>
  <si>
    <t>NEED PERFECT</t>
    <phoneticPr fontId="4" type="noConversion"/>
  </si>
  <si>
    <t>AYH33J</t>
    <phoneticPr fontId="4" type="noConversion"/>
  </si>
  <si>
    <t>0410068700</t>
    <phoneticPr fontId="4" type="noConversion"/>
  </si>
  <si>
    <t>EML343</t>
    <phoneticPr fontId="4" type="noConversion"/>
  </si>
  <si>
    <t>0414660109</t>
    <phoneticPr fontId="4" type="noConversion"/>
  </si>
  <si>
    <t>YKX60V</t>
    <phoneticPr fontId="4" type="noConversion"/>
  </si>
  <si>
    <t>0438280980</t>
    <phoneticPr fontId="4" type="noConversion"/>
  </si>
  <si>
    <t>22104(2/6)</t>
    <phoneticPr fontId="4" type="noConversion"/>
  </si>
  <si>
    <t>EUR68J</t>
    <phoneticPr fontId="4" type="noConversion"/>
  </si>
  <si>
    <t>0435120884</t>
    <phoneticPr fontId="4" type="noConversion"/>
  </si>
  <si>
    <t>XD50-272(H) VIP BOS RSL</t>
    <phoneticPr fontId="4" type="noConversion"/>
  </si>
  <si>
    <t>DNW68E</t>
    <phoneticPr fontId="4" type="noConversion"/>
  </si>
  <si>
    <t>0411643574</t>
    <phoneticPr fontId="4" type="noConversion"/>
  </si>
  <si>
    <t>EAE28E</t>
    <phoneticPr fontId="4" type="noConversion"/>
  </si>
  <si>
    <t>0466816699</t>
    <phoneticPr fontId="4" type="noConversion"/>
  </si>
  <si>
    <t>22121(1/6)</t>
    <phoneticPr fontId="4" type="noConversion"/>
  </si>
  <si>
    <t>EIV90D</t>
    <phoneticPr fontId="4" type="noConversion"/>
  </si>
  <si>
    <t>0450090802</t>
    <phoneticPr fontId="4" type="noConversion"/>
  </si>
  <si>
    <t>CLZ</t>
    <phoneticPr fontId="4" type="noConversion"/>
  </si>
  <si>
    <t>0450671599</t>
    <phoneticPr fontId="4" type="noConversion"/>
  </si>
  <si>
    <t>22067(3/6)</t>
    <phoneticPr fontId="4" type="noConversion"/>
  </si>
  <si>
    <t>JC5151</t>
    <phoneticPr fontId="4" type="noConversion"/>
  </si>
  <si>
    <t>0424364690</t>
    <phoneticPr fontId="4" type="noConversion"/>
  </si>
  <si>
    <t>BOOKING ONLINE</t>
    <phoneticPr fontId="4" type="noConversion"/>
  </si>
  <si>
    <t>NDW022</t>
    <phoneticPr fontId="4" type="noConversion"/>
  </si>
  <si>
    <t>0448459711</t>
    <phoneticPr fontId="4" type="noConversion"/>
  </si>
  <si>
    <t>PCS</t>
    <phoneticPr fontId="4" type="noConversion"/>
  </si>
  <si>
    <t>22038(1/6)H</t>
    <phoneticPr fontId="4" type="noConversion"/>
  </si>
  <si>
    <t>DDX61R</t>
    <phoneticPr fontId="4" type="noConversion"/>
  </si>
  <si>
    <t>0418866093</t>
    <phoneticPr fontId="4" type="noConversion"/>
  </si>
  <si>
    <t>CQL74Q</t>
    <phoneticPr fontId="4" type="noConversion"/>
  </si>
  <si>
    <t>0428888046</t>
    <phoneticPr fontId="4" type="noConversion"/>
  </si>
  <si>
    <t>PCM</t>
    <phoneticPr fontId="4" type="noConversion"/>
  </si>
  <si>
    <t>22007(5/6)</t>
    <phoneticPr fontId="4" type="noConversion"/>
  </si>
  <si>
    <t>D11DX</t>
    <phoneticPr fontId="4" type="noConversion"/>
  </si>
  <si>
    <t>0433017205</t>
    <phoneticPr fontId="4" type="noConversion"/>
  </si>
  <si>
    <t>22077(6/6), 22162(NEW)</t>
    <phoneticPr fontId="4" type="noConversion"/>
  </si>
  <si>
    <t>EPV53A</t>
    <phoneticPr fontId="4" type="noConversion"/>
  </si>
  <si>
    <t>0408288123</t>
    <phoneticPr fontId="4" type="noConversion"/>
  </si>
  <si>
    <t>22016(3/6)</t>
    <phoneticPr fontId="4" type="noConversion"/>
  </si>
  <si>
    <t>DGA98Z</t>
    <phoneticPr fontId="4" type="noConversion"/>
  </si>
  <si>
    <t>0413996557</t>
    <phoneticPr fontId="4" type="noConversion"/>
  </si>
  <si>
    <t>D/ST</t>
    <phoneticPr fontId="4" type="noConversion"/>
  </si>
  <si>
    <t>DMT07E</t>
    <phoneticPr fontId="4" type="noConversion"/>
  </si>
  <si>
    <t>0412300010</t>
    <phoneticPr fontId="4" type="noConversion"/>
  </si>
  <si>
    <t>TAX</t>
    <phoneticPr fontId="4" type="noConversion"/>
  </si>
  <si>
    <t>KEN838</t>
    <phoneticPr fontId="4" type="noConversion"/>
  </si>
  <si>
    <t>0412038383</t>
    <phoneticPr fontId="4" type="noConversion"/>
  </si>
  <si>
    <t>22012(5/6)</t>
    <phoneticPr fontId="4" type="noConversion"/>
  </si>
  <si>
    <t>14-12-2022</t>
    <phoneticPr fontId="4" type="noConversion"/>
  </si>
  <si>
    <t>RINI</t>
    <phoneticPr fontId="4" type="noConversion"/>
  </si>
  <si>
    <t>DD06W</t>
    <phoneticPr fontId="4" type="noConversion"/>
  </si>
  <si>
    <t>0406769878</t>
    <phoneticPr fontId="4" type="noConversion"/>
  </si>
  <si>
    <t>DVL10H</t>
    <phoneticPr fontId="4" type="noConversion"/>
  </si>
  <si>
    <t>0413872431</t>
    <phoneticPr fontId="4" type="noConversion"/>
  </si>
  <si>
    <t>22038(3/6)</t>
    <phoneticPr fontId="4" type="noConversion"/>
  </si>
  <si>
    <t>OK00TB</t>
    <phoneticPr fontId="4" type="noConversion"/>
  </si>
  <si>
    <t>0415875402</t>
    <phoneticPr fontId="4" type="noConversion"/>
  </si>
  <si>
    <t>MARCUS</t>
    <phoneticPr fontId="4" type="noConversion"/>
  </si>
  <si>
    <t>x</t>
    <phoneticPr fontId="4" type="noConversion"/>
  </si>
  <si>
    <t>DGG50H</t>
    <phoneticPr fontId="4" type="noConversion"/>
  </si>
  <si>
    <t>0425360110</t>
    <phoneticPr fontId="4" type="noConversion"/>
  </si>
  <si>
    <t>BPC39K</t>
    <phoneticPr fontId="4" type="noConversion"/>
  </si>
  <si>
    <t>0423100672</t>
    <phoneticPr fontId="4" type="noConversion"/>
  </si>
  <si>
    <t>BKI56F</t>
    <phoneticPr fontId="4" type="noConversion"/>
  </si>
  <si>
    <t>0415523212</t>
    <phoneticPr fontId="4" type="noConversion"/>
  </si>
  <si>
    <t>DFM80H</t>
    <phoneticPr fontId="4" type="noConversion"/>
  </si>
  <si>
    <t>0433922505</t>
    <phoneticPr fontId="4" type="noConversion"/>
  </si>
  <si>
    <t>IN: SANITIZER</t>
    <phoneticPr fontId="4" type="noConversion"/>
  </si>
  <si>
    <t>BHP36B</t>
    <phoneticPr fontId="4" type="noConversion"/>
  </si>
  <si>
    <t>0433162002</t>
    <phoneticPr fontId="4" type="noConversion"/>
  </si>
  <si>
    <t>S/D</t>
    <phoneticPr fontId="4" type="noConversion"/>
  </si>
  <si>
    <t>ASX664</t>
    <phoneticPr fontId="4" type="noConversion"/>
  </si>
  <si>
    <t>0472536000</t>
    <phoneticPr fontId="4" type="noConversion"/>
  </si>
  <si>
    <t>EJW57Y</t>
    <phoneticPr fontId="4" type="noConversion"/>
  </si>
  <si>
    <t>0402929999</t>
    <phoneticPr fontId="4" type="noConversion"/>
  </si>
  <si>
    <t>IC82C</t>
    <phoneticPr fontId="4" type="noConversion"/>
  </si>
  <si>
    <t>0417445644</t>
    <phoneticPr fontId="4" type="noConversion"/>
  </si>
  <si>
    <t>88BMWM</t>
    <phoneticPr fontId="4" type="noConversion"/>
  </si>
  <si>
    <t>0479077545</t>
    <phoneticPr fontId="4" type="noConversion"/>
  </si>
  <si>
    <t>JLA011</t>
    <phoneticPr fontId="4" type="noConversion"/>
  </si>
  <si>
    <t>0408263623</t>
    <phoneticPr fontId="4" type="noConversion"/>
  </si>
  <si>
    <t>ENB33D</t>
    <phoneticPr fontId="4" type="noConversion"/>
  </si>
  <si>
    <t>0474455877</t>
    <phoneticPr fontId="4" type="noConversion"/>
  </si>
  <si>
    <t>W/O</t>
    <phoneticPr fontId="4" type="noConversion"/>
  </si>
  <si>
    <t>DNX64V</t>
    <phoneticPr fontId="4" type="noConversion"/>
  </si>
  <si>
    <t>0402833499</t>
    <phoneticPr fontId="4" type="noConversion"/>
  </si>
  <si>
    <t>NBL43N</t>
    <phoneticPr fontId="4" type="noConversion"/>
  </si>
  <si>
    <t>0408977173</t>
    <phoneticPr fontId="4" type="noConversion"/>
  </si>
  <si>
    <t>15 - 12 - 2022</t>
    <phoneticPr fontId="4" type="noConversion"/>
  </si>
  <si>
    <t>HENDRI</t>
    <phoneticPr fontId="4" type="noConversion"/>
  </si>
  <si>
    <t>VOY520</t>
    <phoneticPr fontId="4" type="noConversion"/>
  </si>
  <si>
    <t>0407927524</t>
    <phoneticPr fontId="4" type="noConversion"/>
  </si>
  <si>
    <t>BGB67F</t>
    <phoneticPr fontId="4" type="noConversion"/>
  </si>
  <si>
    <t>0412249439</t>
    <phoneticPr fontId="4" type="noConversion"/>
  </si>
  <si>
    <t>MSV333</t>
    <phoneticPr fontId="4" type="noConversion"/>
  </si>
  <si>
    <t>0447239698</t>
    <phoneticPr fontId="4" type="noConversion"/>
  </si>
  <si>
    <t>CGF75S</t>
    <phoneticPr fontId="4" type="noConversion"/>
  </si>
  <si>
    <t>0402216782</t>
    <phoneticPr fontId="4" type="noConversion"/>
  </si>
  <si>
    <t>EBK51S</t>
    <phoneticPr fontId="4" type="noConversion"/>
  </si>
  <si>
    <t>0403100709</t>
    <phoneticPr fontId="4" type="noConversion"/>
  </si>
  <si>
    <t>AEQ39N</t>
    <phoneticPr fontId="4" type="noConversion"/>
  </si>
  <si>
    <t>0403976363</t>
    <phoneticPr fontId="4" type="noConversion"/>
  </si>
  <si>
    <t>22068(2/6)</t>
    <phoneticPr fontId="4" type="noConversion"/>
  </si>
  <si>
    <t>DLJ96J</t>
    <phoneticPr fontId="4" type="noConversion"/>
  </si>
  <si>
    <t>0410051551</t>
    <phoneticPr fontId="4" type="noConversion"/>
  </si>
  <si>
    <t>22031(4/6)</t>
    <phoneticPr fontId="4" type="noConversion"/>
  </si>
  <si>
    <t>JB389</t>
    <phoneticPr fontId="4" type="noConversion"/>
  </si>
  <si>
    <t>0414395327</t>
    <phoneticPr fontId="4" type="noConversion"/>
  </si>
  <si>
    <t>CEO73T</t>
    <phoneticPr fontId="4" type="noConversion"/>
  </si>
  <si>
    <t>0419552388</t>
    <phoneticPr fontId="4" type="noConversion"/>
  </si>
  <si>
    <t>TS6888</t>
    <phoneticPr fontId="4" type="noConversion"/>
  </si>
  <si>
    <t>0417880888</t>
    <phoneticPr fontId="4" type="noConversion"/>
  </si>
  <si>
    <t>22002(5/6),22075(NEW)</t>
    <phoneticPr fontId="4" type="noConversion"/>
  </si>
  <si>
    <t>PR19CS</t>
    <phoneticPr fontId="4" type="noConversion"/>
  </si>
  <si>
    <t>0415822228</t>
    <phoneticPr fontId="4" type="noConversion"/>
  </si>
  <si>
    <t>SV212</t>
    <phoneticPr fontId="4" type="noConversion"/>
  </si>
  <si>
    <t>0403257868</t>
    <phoneticPr fontId="4" type="noConversion"/>
  </si>
  <si>
    <t>CYC85D</t>
    <phoneticPr fontId="4" type="noConversion"/>
  </si>
  <si>
    <t>0420536353</t>
    <phoneticPr fontId="4" type="noConversion"/>
  </si>
  <si>
    <t>21122822(5,6/6),PCL22163(NEW)</t>
    <phoneticPr fontId="4" type="noConversion"/>
  </si>
  <si>
    <t>EJL89X</t>
    <phoneticPr fontId="4" type="noConversion"/>
  </si>
  <si>
    <t>0402440082</t>
    <phoneticPr fontId="4" type="noConversion"/>
  </si>
  <si>
    <t>CAE70A</t>
    <phoneticPr fontId="4" type="noConversion"/>
  </si>
  <si>
    <t>21058(4/6)</t>
    <phoneticPr fontId="4" type="noConversion"/>
  </si>
  <si>
    <t>CYI98A</t>
    <phoneticPr fontId="4" type="noConversion"/>
  </si>
  <si>
    <t>0419239846</t>
    <phoneticPr fontId="4" type="noConversion"/>
  </si>
  <si>
    <t>W/H</t>
    <phoneticPr fontId="4" type="noConversion"/>
  </si>
  <si>
    <t>DPM18V</t>
    <phoneticPr fontId="4" type="noConversion"/>
  </si>
  <si>
    <t>0414986752</t>
    <phoneticPr fontId="4" type="noConversion"/>
  </si>
  <si>
    <t>?????</t>
    <phoneticPr fontId="4" type="noConversion"/>
  </si>
  <si>
    <t>BZY01E</t>
    <phoneticPr fontId="4" type="noConversion"/>
  </si>
  <si>
    <t>0414860745</t>
    <phoneticPr fontId="4" type="noConversion"/>
  </si>
  <si>
    <t>KADAM</t>
    <phoneticPr fontId="4" type="noConversion"/>
  </si>
  <si>
    <t>JAMES</t>
    <phoneticPr fontId="4" type="noConversion"/>
  </si>
  <si>
    <t>16-12-2022</t>
    <phoneticPr fontId="4" type="noConversion"/>
  </si>
  <si>
    <t>EHU87A</t>
    <phoneticPr fontId="4" type="noConversion"/>
  </si>
  <si>
    <t>0420694860</t>
    <phoneticPr fontId="4" type="noConversion"/>
  </si>
  <si>
    <t>22062(3/6)</t>
    <phoneticPr fontId="4" type="noConversion"/>
  </si>
  <si>
    <t>AVS168</t>
    <phoneticPr fontId="4" type="noConversion"/>
  </si>
  <si>
    <t>0405075465</t>
    <phoneticPr fontId="4" type="noConversion"/>
  </si>
  <si>
    <t>DYG52K</t>
    <phoneticPr fontId="4" type="noConversion"/>
  </si>
  <si>
    <t>0432792349</t>
    <phoneticPr fontId="4" type="noConversion"/>
  </si>
  <si>
    <t>17 - 12 - 2022</t>
    <phoneticPr fontId="4" type="noConversion"/>
  </si>
  <si>
    <t xml:space="preserve">VINNY </t>
    <phoneticPr fontId="4" type="noConversion"/>
  </si>
  <si>
    <t>18 - 12 - 2022</t>
    <phoneticPr fontId="4" type="noConversion"/>
  </si>
  <si>
    <t>ETY27Y</t>
    <phoneticPr fontId="4" type="noConversion"/>
  </si>
  <si>
    <t>0410587779</t>
    <phoneticPr fontId="4" type="noConversion"/>
  </si>
  <si>
    <t>22060(4/6)</t>
    <phoneticPr fontId="4" type="noConversion"/>
  </si>
  <si>
    <t>EOW31B</t>
    <phoneticPr fontId="4" type="noConversion"/>
  </si>
  <si>
    <t>0400902477</t>
    <phoneticPr fontId="4" type="noConversion"/>
  </si>
  <si>
    <t>DSU95H</t>
    <phoneticPr fontId="4" type="noConversion"/>
  </si>
  <si>
    <t>0420986119</t>
    <phoneticPr fontId="4" type="noConversion"/>
  </si>
  <si>
    <t>AKJ30P</t>
    <phoneticPr fontId="4" type="noConversion"/>
  </si>
  <si>
    <t>0413607286</t>
    <phoneticPr fontId="4" type="noConversion"/>
  </si>
  <si>
    <t>CZI80J</t>
    <phoneticPr fontId="4" type="noConversion"/>
  </si>
  <si>
    <t>0418234501</t>
    <phoneticPr fontId="4" type="noConversion"/>
  </si>
  <si>
    <t>DTK28X</t>
    <phoneticPr fontId="4" type="noConversion"/>
  </si>
  <si>
    <t>0411106862</t>
    <phoneticPr fontId="4" type="noConversion"/>
  </si>
  <si>
    <t>DLL81R</t>
    <phoneticPr fontId="4" type="noConversion"/>
  </si>
  <si>
    <t>0409077093</t>
    <phoneticPr fontId="4" type="noConversion"/>
  </si>
  <si>
    <t>DPE03U</t>
    <phoneticPr fontId="4" type="noConversion"/>
  </si>
  <si>
    <t>0434008212</t>
    <phoneticPr fontId="4" type="noConversion"/>
  </si>
  <si>
    <t>DHO888</t>
    <phoneticPr fontId="4" type="noConversion"/>
  </si>
  <si>
    <t>0419282828</t>
    <phoneticPr fontId="4" type="noConversion"/>
  </si>
  <si>
    <t>ROU13R</t>
    <phoneticPr fontId="4" type="noConversion"/>
  </si>
  <si>
    <t>0402138508</t>
    <phoneticPr fontId="4" type="noConversion"/>
  </si>
  <si>
    <t>DAH83G</t>
    <phoneticPr fontId="4" type="noConversion"/>
  </si>
  <si>
    <t>0408182800</t>
    <phoneticPr fontId="4" type="noConversion"/>
  </si>
  <si>
    <t>MC737</t>
    <phoneticPr fontId="4" type="noConversion"/>
  </si>
  <si>
    <t>0424312226</t>
    <phoneticPr fontId="4" type="noConversion"/>
  </si>
  <si>
    <t>CNH96S</t>
    <phoneticPr fontId="4" type="noConversion"/>
  </si>
  <si>
    <t>0438259204</t>
    <phoneticPr fontId="4" type="noConversion"/>
  </si>
  <si>
    <t>NCF28W</t>
    <phoneticPr fontId="4" type="noConversion"/>
  </si>
  <si>
    <t>0419258622</t>
    <phoneticPr fontId="4" type="noConversion"/>
  </si>
  <si>
    <t>ERH93W</t>
    <phoneticPr fontId="4" type="noConversion"/>
  </si>
  <si>
    <t>0402828030</t>
    <phoneticPr fontId="4" type="noConversion"/>
  </si>
  <si>
    <t>DGG20L</t>
    <phoneticPr fontId="4" type="noConversion"/>
  </si>
  <si>
    <t>0433138588</t>
    <phoneticPr fontId="4" type="noConversion"/>
  </si>
  <si>
    <t>CGQ80A</t>
    <phoneticPr fontId="4" type="noConversion"/>
  </si>
  <si>
    <t>0492482737</t>
    <phoneticPr fontId="4" type="noConversion"/>
  </si>
  <si>
    <t>22164(1/6)</t>
    <phoneticPr fontId="4" type="noConversion"/>
  </si>
  <si>
    <t>CST93G</t>
    <phoneticPr fontId="4" type="noConversion"/>
  </si>
  <si>
    <t>0419693309</t>
    <phoneticPr fontId="4" type="noConversion"/>
  </si>
  <si>
    <t>NBV70R</t>
    <phoneticPr fontId="4" type="noConversion"/>
  </si>
  <si>
    <t>0410949619</t>
    <phoneticPr fontId="4" type="noConversion"/>
  </si>
  <si>
    <t>22165(1/6)</t>
    <phoneticPr fontId="4" type="noConversion"/>
  </si>
  <si>
    <t>CJF22G</t>
    <phoneticPr fontId="4" type="noConversion"/>
  </si>
  <si>
    <t>0414293692</t>
    <phoneticPr fontId="4" type="noConversion"/>
  </si>
  <si>
    <t>CMO57R</t>
    <phoneticPr fontId="4" type="noConversion"/>
  </si>
  <si>
    <t>0416590988</t>
    <phoneticPr fontId="4" type="noConversion"/>
  </si>
  <si>
    <t>22110(1/6)</t>
    <phoneticPr fontId="4" type="noConversion"/>
  </si>
  <si>
    <t>DKP33L</t>
    <phoneticPr fontId="4" type="noConversion"/>
  </si>
  <si>
    <t>0410079883</t>
    <phoneticPr fontId="4" type="noConversion"/>
  </si>
  <si>
    <t>F</t>
  </si>
  <si>
    <t>EBP01A</t>
    <phoneticPr fontId="4" type="noConversion"/>
  </si>
  <si>
    <t>0491126888</t>
    <phoneticPr fontId="4" type="noConversion"/>
  </si>
  <si>
    <t>EPA92B</t>
    <phoneticPr fontId="4" type="noConversion"/>
  </si>
  <si>
    <t>0415888660</t>
    <phoneticPr fontId="4" type="noConversion"/>
  </si>
  <si>
    <t>HG1212</t>
    <phoneticPr fontId="4" type="noConversion"/>
  </si>
  <si>
    <t>0432983555</t>
    <phoneticPr fontId="4" type="noConversion"/>
  </si>
  <si>
    <t>DHQ86S</t>
    <phoneticPr fontId="4" type="noConversion"/>
  </si>
  <si>
    <t>0422144592</t>
    <phoneticPr fontId="4" type="noConversion"/>
  </si>
  <si>
    <t>EPM58S</t>
    <phoneticPr fontId="4" type="noConversion"/>
  </si>
  <si>
    <t>0402908726</t>
    <phoneticPr fontId="4" type="noConversion"/>
  </si>
  <si>
    <t>CSY87F</t>
    <phoneticPr fontId="4" type="noConversion"/>
  </si>
  <si>
    <t>0450540123</t>
    <phoneticPr fontId="4" type="noConversion"/>
  </si>
  <si>
    <t>EZK84Q</t>
    <phoneticPr fontId="4" type="noConversion"/>
  </si>
  <si>
    <t>0499777698</t>
    <phoneticPr fontId="4" type="noConversion"/>
  </si>
  <si>
    <t>EOK68A</t>
    <phoneticPr fontId="4" type="noConversion"/>
  </si>
  <si>
    <t>0419628573</t>
    <phoneticPr fontId="4" type="noConversion"/>
  </si>
  <si>
    <t>NBW72B</t>
    <phoneticPr fontId="4" type="noConversion"/>
  </si>
  <si>
    <t>0438002693</t>
    <phoneticPr fontId="4" type="noConversion"/>
  </si>
  <si>
    <t>BP</t>
    <phoneticPr fontId="4" type="noConversion"/>
  </si>
  <si>
    <t>EJS38E</t>
    <phoneticPr fontId="4" type="noConversion"/>
  </si>
  <si>
    <t>0459157121</t>
    <phoneticPr fontId="4" type="noConversion"/>
  </si>
  <si>
    <t>MP</t>
    <phoneticPr fontId="4" type="noConversion"/>
  </si>
  <si>
    <t>DDO45S</t>
    <phoneticPr fontId="4" type="noConversion"/>
  </si>
  <si>
    <t>0402043330</t>
    <phoneticPr fontId="4" type="noConversion"/>
  </si>
  <si>
    <t>EQB64Q</t>
    <phoneticPr fontId="4" type="noConversion"/>
  </si>
  <si>
    <t>0414981414</t>
    <phoneticPr fontId="4" type="noConversion"/>
  </si>
  <si>
    <t>S321</t>
    <phoneticPr fontId="4" type="noConversion"/>
  </si>
  <si>
    <t>0424100321</t>
    <phoneticPr fontId="4" type="noConversion"/>
  </si>
  <si>
    <t>EHL56D</t>
    <phoneticPr fontId="4" type="noConversion"/>
  </si>
  <si>
    <t>0433505876</t>
    <phoneticPr fontId="4" type="noConversion"/>
  </si>
  <si>
    <t>AHD41S</t>
    <phoneticPr fontId="4" type="noConversion"/>
  </si>
  <si>
    <t>043161.3715</t>
    <phoneticPr fontId="4" type="noConversion"/>
  </si>
  <si>
    <t>DVU83L</t>
    <phoneticPr fontId="4" type="noConversion"/>
  </si>
  <si>
    <t>0414356758</t>
    <phoneticPr fontId="4" type="noConversion"/>
  </si>
  <si>
    <t>CZJ95J</t>
    <phoneticPr fontId="4" type="noConversion"/>
  </si>
  <si>
    <t>0410437232</t>
    <phoneticPr fontId="4" type="noConversion"/>
  </si>
  <si>
    <t>DDA89U</t>
    <phoneticPr fontId="4" type="noConversion"/>
  </si>
  <si>
    <t>04083060258</t>
    <phoneticPr fontId="4" type="noConversion"/>
  </si>
  <si>
    <t>EPG54J</t>
    <phoneticPr fontId="4" type="noConversion"/>
  </si>
  <si>
    <t>0428783337</t>
    <phoneticPr fontId="4" type="noConversion"/>
  </si>
  <si>
    <t>BX71WH</t>
    <phoneticPr fontId="4" type="noConversion"/>
  </si>
  <si>
    <t>0408291196</t>
    <phoneticPr fontId="4" type="noConversion"/>
  </si>
  <si>
    <t>WH11SK</t>
    <phoneticPr fontId="4" type="noConversion"/>
  </si>
  <si>
    <t>0422576740</t>
    <phoneticPr fontId="4" type="noConversion"/>
  </si>
  <si>
    <t>DWR03S</t>
    <phoneticPr fontId="4" type="noConversion"/>
  </si>
  <si>
    <t>0438044888</t>
    <phoneticPr fontId="4" type="noConversion"/>
  </si>
  <si>
    <t>EJQ70F</t>
    <phoneticPr fontId="4" type="noConversion"/>
  </si>
  <si>
    <t>04110564931</t>
    <phoneticPr fontId="4" type="noConversion"/>
  </si>
  <si>
    <t>ETN60M</t>
    <phoneticPr fontId="4" type="noConversion"/>
  </si>
  <si>
    <t>0406447194</t>
    <phoneticPr fontId="4" type="noConversion"/>
  </si>
  <si>
    <t>DCY95Q</t>
    <phoneticPr fontId="4" type="noConversion"/>
  </si>
  <si>
    <t>0406178345</t>
    <phoneticPr fontId="4" type="noConversion"/>
  </si>
  <si>
    <t>CO64JG</t>
    <phoneticPr fontId="4" type="noConversion"/>
  </si>
  <si>
    <t>0490306221</t>
    <phoneticPr fontId="4" type="noConversion"/>
  </si>
  <si>
    <t>NBW27D</t>
    <phoneticPr fontId="4" type="noConversion"/>
  </si>
  <si>
    <t>0412345810</t>
    <phoneticPr fontId="4" type="noConversion"/>
  </si>
  <si>
    <t>DNZ97G</t>
    <phoneticPr fontId="4" type="noConversion"/>
  </si>
  <si>
    <t>CHN06N</t>
    <phoneticPr fontId="4" type="noConversion"/>
  </si>
  <si>
    <t>0417698810</t>
    <phoneticPr fontId="4" type="noConversion"/>
  </si>
  <si>
    <t>DNX81B</t>
    <phoneticPr fontId="4" type="noConversion"/>
  </si>
  <si>
    <t>0438260368</t>
    <phoneticPr fontId="4" type="noConversion"/>
  </si>
  <si>
    <t>0414987089</t>
    <phoneticPr fontId="4" type="noConversion"/>
  </si>
  <si>
    <t>RAINING</t>
    <phoneticPr fontId="4" type="noConversion"/>
  </si>
  <si>
    <t>DZL16P</t>
    <phoneticPr fontId="4" type="noConversion"/>
  </si>
  <si>
    <t>0411950042</t>
    <phoneticPr fontId="4" type="noConversion"/>
  </si>
  <si>
    <t>XX345</t>
    <phoneticPr fontId="4" type="noConversion"/>
  </si>
  <si>
    <t>0409981259</t>
    <phoneticPr fontId="4" type="noConversion"/>
  </si>
  <si>
    <t>22160(2/6)</t>
    <phoneticPr fontId="4" type="noConversion"/>
  </si>
  <si>
    <t>CMP68B</t>
    <phoneticPr fontId="4" type="noConversion"/>
  </si>
  <si>
    <t>0419297176</t>
    <phoneticPr fontId="4" type="noConversion"/>
  </si>
  <si>
    <t>DB16AS</t>
    <phoneticPr fontId="4" type="noConversion"/>
  </si>
  <si>
    <t>0409553919</t>
    <phoneticPr fontId="4" type="noConversion"/>
  </si>
  <si>
    <t>EPV62U</t>
    <phoneticPr fontId="4" type="noConversion"/>
  </si>
  <si>
    <t>0416153050</t>
    <phoneticPr fontId="4" type="noConversion"/>
  </si>
  <si>
    <t>DY049A</t>
    <phoneticPr fontId="4" type="noConversion"/>
  </si>
  <si>
    <t>0400226566</t>
    <phoneticPr fontId="4" type="noConversion"/>
  </si>
  <si>
    <t>DQK89D</t>
    <phoneticPr fontId="4" type="noConversion"/>
  </si>
  <si>
    <t>22166(1/6)</t>
    <phoneticPr fontId="4" type="noConversion"/>
  </si>
  <si>
    <t>0488888219</t>
    <phoneticPr fontId="4" type="noConversion"/>
  </si>
  <si>
    <t>EJC63B</t>
    <phoneticPr fontId="4" type="noConversion"/>
  </si>
  <si>
    <t>22166(2/6)</t>
    <phoneticPr fontId="4" type="noConversion"/>
  </si>
  <si>
    <t>EDA58E</t>
    <phoneticPr fontId="4" type="noConversion"/>
  </si>
  <si>
    <t>EAW43G</t>
    <phoneticPr fontId="4" type="noConversion"/>
  </si>
  <si>
    <t>0408306058</t>
    <phoneticPr fontId="4" type="noConversion"/>
  </si>
  <si>
    <t>EPJ30G</t>
    <phoneticPr fontId="4" type="noConversion"/>
  </si>
  <si>
    <t>0412833975</t>
    <phoneticPr fontId="4" type="noConversion"/>
  </si>
  <si>
    <t>22167(1/6)</t>
    <phoneticPr fontId="4" type="noConversion"/>
  </si>
  <si>
    <t>CLD41K</t>
    <phoneticPr fontId="4" type="noConversion"/>
  </si>
  <si>
    <t>0439488958</t>
    <phoneticPr fontId="4" type="noConversion"/>
  </si>
  <si>
    <t>YLH51F</t>
    <phoneticPr fontId="4" type="noConversion"/>
  </si>
  <si>
    <t>0413781678</t>
    <phoneticPr fontId="4" type="noConversion"/>
  </si>
  <si>
    <t>EOP67P</t>
    <phoneticPr fontId="4" type="noConversion"/>
  </si>
  <si>
    <t>0439344485</t>
    <phoneticPr fontId="4" type="noConversion"/>
  </si>
  <si>
    <t>RAIN&amp;CLOUDY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</si>
</sst>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</cellStyleXfs>
  <cellXfs count="751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2" fontId="0" fillId="0" borderId="0" xfId="0" applyNumberFormat="1" applyAlignment="1">
      <alignment shrinkToFit="1"/>
    </xf>
    <xf numFmtId="178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6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24" fillId="14" borderId="4" xfId="4" applyBorder="1" applyAlignment="1">
      <alignment horizontal="center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62" xfId="4" applyBorder="1" applyAlignment="1">
      <alignment horizontal="center" shrinkToFit="1"/>
    </xf>
    <xf numFmtId="0" fontId="24" fillId="14" borderId="26" xfId="4" applyBorder="1" applyAlignment="1">
      <alignment horizontal="left" shrinkToFit="1"/>
    </xf>
    <xf numFmtId="0" fontId="24" fillId="14" borderId="1" xfId="4" applyBorder="1" applyAlignment="1">
      <alignment horizontal="center" shrinkToFit="1"/>
    </xf>
    <xf numFmtId="178" fontId="24" fillId="14" borderId="61" xfId="4" applyNumberFormat="1" applyBorder="1" applyAlignment="1">
      <alignment horizontal="center" shrinkToFit="1"/>
    </xf>
    <xf numFmtId="178" fontId="24" fillId="14" borderId="26" xfId="4" applyNumberFormat="1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30" fillId="15" borderId="9" xfId="5" applyBorder="1" applyAlignment="1">
      <alignment horizontal="center" shrinkToFit="1"/>
    </xf>
    <xf numFmtId="0" fontId="30" fillId="15" borderId="1" xfId="5" applyBorder="1" applyAlignment="1">
      <alignment horizontal="center" shrinkToFit="1"/>
    </xf>
    <xf numFmtId="0" fontId="30" fillId="15" borderId="26" xfId="5" applyBorder="1" applyAlignment="1"/>
    <xf numFmtId="49" fontId="30" fillId="15" borderId="29" xfId="5" applyNumberFormat="1" applyBorder="1" applyAlignment="1"/>
    <xf numFmtId="0" fontId="30" fillId="15" borderId="62" xfId="5" applyBorder="1" applyAlignment="1">
      <alignment horizontal="center" shrinkToFit="1"/>
    </xf>
    <xf numFmtId="0" fontId="30" fillId="15" borderId="26" xfId="5" applyBorder="1" applyAlignment="1">
      <alignment horizontal="left"/>
    </xf>
    <xf numFmtId="0" fontId="30" fillId="15" borderId="1" xfId="5" applyBorder="1" applyAlignment="1">
      <alignment horizontal="center"/>
    </xf>
    <xf numFmtId="178" fontId="30" fillId="15" borderId="1" xfId="5" applyNumberFormat="1" applyBorder="1" applyAlignment="1">
      <alignment horizontal="center" shrinkToFit="1"/>
    </xf>
    <xf numFmtId="178" fontId="30" fillId="15" borderId="4" xfId="5" applyNumberFormat="1" applyBorder="1" applyAlignment="1">
      <alignment horizontal="center" shrinkToFit="1"/>
    </xf>
    <xf numFmtId="178" fontId="30" fillId="15" borderId="6" xfId="5" applyNumberFormat="1" applyBorder="1" applyAlignment="1">
      <alignment horizontal="center" shrinkToFit="1"/>
    </xf>
    <xf numFmtId="0" fontId="30" fillId="15" borderId="1" xfId="5" applyBorder="1" applyAlignment="1">
      <alignment horizontal="left" shrinkToFit="1"/>
    </xf>
    <xf numFmtId="0" fontId="24" fillId="14" borderId="9" xfId="4" applyBorder="1" applyAlignment="1">
      <alignment horizontal="center" shrinkToFit="1"/>
    </xf>
    <xf numFmtId="178" fontId="24" fillId="14" borderId="1" xfId="4" applyNumberFormat="1" applyBorder="1" applyAlignment="1">
      <alignment horizontal="center" shrinkToFit="1"/>
    </xf>
    <xf numFmtId="0" fontId="24" fillId="14" borderId="39" xfId="4" applyBorder="1" applyAlignment="1">
      <alignment horizontal="left" shrinkToFit="1"/>
    </xf>
    <xf numFmtId="49" fontId="24" fillId="14" borderId="37" xfId="4" applyNumberFormat="1" applyBorder="1" applyAlignment="1">
      <alignment horizontal="left" shrinkToFit="1"/>
    </xf>
    <xf numFmtId="0" fontId="24" fillId="14" borderId="39" xfId="4" applyBorder="1" applyAlignment="1">
      <alignment horizontal="left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26" xfId="4" applyBorder="1" applyAlignment="1">
      <alignment horizontal="left"/>
    </xf>
    <xf numFmtId="0" fontId="30" fillId="15" borderId="4" xfId="5" applyBorder="1" applyAlignment="1">
      <alignment horizontal="center" shrinkToFit="1"/>
    </xf>
    <xf numFmtId="49" fontId="30" fillId="15" borderId="2" xfId="5" applyNumberFormat="1" applyBorder="1" applyAlignment="1">
      <alignment horizontal="left" shrinkToFit="1"/>
    </xf>
    <xf numFmtId="179" fontId="30" fillId="15" borderId="26" xfId="5" applyNumberFormat="1" applyBorder="1" applyAlignment="1">
      <alignment horizontal="left"/>
    </xf>
    <xf numFmtId="178" fontId="16" fillId="2" borderId="4" xfId="0" applyNumberFormat="1" applyFont="1" applyFill="1" applyBorder="1" applyAlignment="1">
      <alignment horizontal="left" shrinkToFit="1"/>
    </xf>
    <xf numFmtId="0" fontId="24" fillId="14" borderId="1" xfId="4" applyBorder="1" applyAlignment="1">
      <alignment horizontal="center"/>
    </xf>
    <xf numFmtId="49" fontId="24" fillId="14" borderId="2" xfId="4" applyNumberFormat="1" applyBorder="1" applyAlignment="1">
      <alignment horizontal="left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176" fontId="14" fillId="0" borderId="0" xfId="0" applyNumberFormat="1" applyFont="1" applyAlignment="1">
      <alignment horizontal="center" shrinkToFit="1"/>
    </xf>
    <xf numFmtId="26" fontId="14" fillId="0" borderId="0" xfId="0" applyNumberFormat="1" applyFont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 shrinkToFit="1"/>
    </xf>
    <xf numFmtId="0" fontId="30" fillId="15" borderId="2" xfId="5" applyBorder="1" applyAlignment="1">
      <alignment horizontal="center" shrinkToFit="1"/>
    </xf>
    <xf numFmtId="0" fontId="30" fillId="15" borderId="29" xfId="5" applyBorder="1" applyAlignment="1">
      <alignment horizontal="center" shrinkToFit="1"/>
    </xf>
    <xf numFmtId="0" fontId="30" fillId="15" borderId="17" xfId="5" applyBorder="1" applyAlignment="1">
      <alignment horizont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178" fontId="1" fillId="6" borderId="4" xfId="0" applyNumberFormat="1" applyFont="1" applyFill="1" applyBorder="1" applyAlignment="1">
      <alignment horizontal="center" shrinkToFit="1"/>
    </xf>
  </cellXfs>
  <cellStyles count="6">
    <cellStyle name="Check Cell" xfId="1" builtinId="23"/>
    <cellStyle name="Currency [0]" xfId="2" builtinId="7"/>
    <cellStyle name="Good" xfId="4" builtinId="26"/>
    <cellStyle name="Neutral" xfId="5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H15" sqref="H15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97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117</v>
      </c>
      <c r="K2" s="287"/>
      <c r="L2" s="289" t="s">
        <v>96</v>
      </c>
      <c r="M2" s="290"/>
      <c r="N2" s="288"/>
      <c r="O2" s="286" t="s">
        <v>98</v>
      </c>
      <c r="P2" s="286"/>
      <c r="Q2" s="287"/>
      <c r="R2" s="289" t="s">
        <v>51</v>
      </c>
      <c r="S2" s="288"/>
      <c r="T2" s="291">
        <v>5</v>
      </c>
      <c r="U2" s="29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95" t="s">
        <v>8</v>
      </c>
      <c r="P4" s="295"/>
      <c r="Q4" s="295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12813</v>
      </c>
      <c r="C5" s="59" t="s">
        <v>103</v>
      </c>
      <c r="D5" s="190" t="s">
        <v>120</v>
      </c>
      <c r="E5" s="171" t="s">
        <v>91</v>
      </c>
      <c r="F5" s="160">
        <v>800</v>
      </c>
      <c r="G5" s="109" t="s">
        <v>107</v>
      </c>
      <c r="H5" s="82"/>
      <c r="I5" s="115">
        <v>150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296"/>
      <c r="P5" s="297"/>
      <c r="Q5" s="298"/>
      <c r="R5" s="32" t="s">
        <v>98</v>
      </c>
      <c r="S5" s="30">
        <v>0.33333333333333331</v>
      </c>
      <c r="T5" s="31">
        <v>0.66666666666666663</v>
      </c>
      <c r="U5" s="83">
        <f t="shared" ref="U5:U15" si="0">(T5-S5)*24</f>
        <v>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12814</v>
      </c>
      <c r="C6" s="58" t="s">
        <v>104</v>
      </c>
      <c r="D6" s="190" t="s">
        <v>105</v>
      </c>
      <c r="E6" s="171" t="s">
        <v>92</v>
      </c>
      <c r="F6" s="161">
        <v>845</v>
      </c>
      <c r="G6" s="109" t="s">
        <v>106</v>
      </c>
      <c r="H6" s="82"/>
      <c r="I6" s="115">
        <v>75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299"/>
      <c r="P6" s="300"/>
      <c r="Q6" s="301"/>
      <c r="R6" s="122" t="s">
        <v>99</v>
      </c>
      <c r="S6" s="30">
        <v>0.33333333333333331</v>
      </c>
      <c r="T6" s="31">
        <v>0.66666666666666663</v>
      </c>
      <c r="U6" s="83">
        <f t="shared" si="0"/>
        <v>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12815</v>
      </c>
      <c r="C7" s="58" t="s">
        <v>108</v>
      </c>
      <c r="D7" s="190" t="s">
        <v>109</v>
      </c>
      <c r="E7" s="171" t="s">
        <v>92</v>
      </c>
      <c r="F7" s="161">
        <v>935</v>
      </c>
      <c r="G7" s="109" t="s">
        <v>110</v>
      </c>
      <c r="H7" s="82"/>
      <c r="I7" s="115">
        <v>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98</v>
      </c>
      <c r="O7" s="302"/>
      <c r="P7" s="303"/>
      <c r="Q7" s="304"/>
      <c r="R7" s="124" t="s">
        <v>100</v>
      </c>
      <c r="S7" s="30">
        <v>0.38541666666666669</v>
      </c>
      <c r="T7" s="31">
        <v>0.625</v>
      </c>
      <c r="U7" s="83">
        <f t="shared" si="0"/>
        <v>5.75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12816</v>
      </c>
      <c r="C8" s="26" t="s">
        <v>115</v>
      </c>
      <c r="D8" s="190" t="s">
        <v>116</v>
      </c>
      <c r="E8" s="171" t="s">
        <v>92</v>
      </c>
      <c r="F8" s="161">
        <v>1000</v>
      </c>
      <c r="G8" s="109" t="s">
        <v>110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05"/>
      <c r="P8" s="306"/>
      <c r="Q8" s="307"/>
      <c r="R8" s="25" t="s">
        <v>101</v>
      </c>
      <c r="S8" s="30">
        <v>0.46875</v>
      </c>
      <c r="T8" s="31">
        <v>0.66666666666666663</v>
      </c>
      <c r="U8" s="83">
        <f t="shared" si="0"/>
        <v>4.7499999999999991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12817</v>
      </c>
      <c r="C9" s="54" t="s">
        <v>113</v>
      </c>
      <c r="D9" s="191" t="s">
        <v>114</v>
      </c>
      <c r="E9" s="171" t="s">
        <v>92</v>
      </c>
      <c r="F9" s="162">
        <v>1015</v>
      </c>
      <c r="G9" s="110" t="s">
        <v>106</v>
      </c>
      <c r="H9" s="82">
        <v>75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05"/>
      <c r="P9" s="306"/>
      <c r="Q9" s="307"/>
      <c r="R9" s="25" t="s">
        <v>102</v>
      </c>
      <c r="S9" s="30">
        <v>0.375</v>
      </c>
      <c r="T9" s="31">
        <v>0.66666666666666663</v>
      </c>
      <c r="U9" s="83">
        <f t="shared" si="0"/>
        <v>6.9999999999999991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12818</v>
      </c>
      <c r="C10" s="27" t="s">
        <v>111</v>
      </c>
      <c r="D10" s="192" t="s">
        <v>112</v>
      </c>
      <c r="E10" s="171" t="s">
        <v>92</v>
      </c>
      <c r="F10" s="163">
        <v>1045</v>
      </c>
      <c r="G10" s="111" t="s">
        <v>107</v>
      </c>
      <c r="H10" s="114">
        <v>150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292"/>
      <c r="P10" s="293"/>
      <c r="Q10" s="294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12819</v>
      </c>
      <c r="C11" s="17" t="s">
        <v>118</v>
      </c>
      <c r="D11" s="193" t="s">
        <v>119</v>
      </c>
      <c r="E11" s="171" t="s">
        <v>92</v>
      </c>
      <c r="F11" s="57">
        <v>1230</v>
      </c>
      <c r="G11" s="112" t="s">
        <v>110</v>
      </c>
      <c r="H11" s="114"/>
      <c r="I11" s="115">
        <v>75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02"/>
      <c r="P11" s="303"/>
      <c r="Q11" s="304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12820</v>
      </c>
      <c r="C12" s="55" t="s">
        <v>121</v>
      </c>
      <c r="D12" s="194" t="s">
        <v>122</v>
      </c>
      <c r="E12" s="171" t="s">
        <v>91</v>
      </c>
      <c r="F12" s="163">
        <v>1320</v>
      </c>
      <c r="G12" s="110" t="s">
        <v>110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02"/>
      <c r="P12" s="303"/>
      <c r="Q12" s="304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249">
        <v>12821</v>
      </c>
      <c r="C13" s="250" t="s">
        <v>125</v>
      </c>
      <c r="D13" s="251" t="s">
        <v>126</v>
      </c>
      <c r="E13" s="252" t="s">
        <v>91</v>
      </c>
      <c r="F13" s="253">
        <v>1335</v>
      </c>
      <c r="G13" s="254" t="s">
        <v>123</v>
      </c>
      <c r="H13" s="255"/>
      <c r="I13" s="256"/>
      <c r="J13" s="257" t="str">
        <f t="shared" si="1"/>
        <v>0</v>
      </c>
      <c r="K13" s="257">
        <v>79.099999999999994</v>
      </c>
      <c r="L13" s="258"/>
      <c r="M13" s="258">
        <v>475</v>
      </c>
      <c r="N13" s="259" t="s">
        <v>98</v>
      </c>
      <c r="O13" s="324" t="s">
        <v>124</v>
      </c>
      <c r="P13" s="325"/>
      <c r="Q13" s="326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12822</v>
      </c>
      <c r="C14" s="56" t="s">
        <v>127</v>
      </c>
      <c r="D14" s="195" t="s">
        <v>128</v>
      </c>
      <c r="E14" s="171" t="s">
        <v>92</v>
      </c>
      <c r="F14" s="164">
        <v>1505</v>
      </c>
      <c r="G14" s="113" t="s">
        <v>110</v>
      </c>
      <c r="H14" s="114">
        <v>75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302"/>
      <c r="P14" s="303"/>
      <c r="Q14" s="304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302"/>
      <c r="P15" s="303"/>
      <c r="Q15" s="304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302"/>
      <c r="P16" s="303"/>
      <c r="Q16" s="304"/>
      <c r="R16" s="73">
        <f>H32/U16</f>
        <v>0.29850746268656714</v>
      </c>
      <c r="S16" s="74">
        <f>H32/(U16-U5)</f>
        <v>0.39215686274509803</v>
      </c>
      <c r="T16" s="74">
        <f>C32/U16</f>
        <v>28.779104477611941</v>
      </c>
      <c r="U16" s="74">
        <f>SUM(U5:U15)</f>
        <v>33.5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302"/>
      <c r="P17" s="303"/>
      <c r="Q17" s="304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302"/>
      <c r="P18" s="303"/>
      <c r="Q18" s="304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302"/>
      <c r="P19" s="303"/>
      <c r="Q19" s="303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10"/>
      <c r="P20" s="311"/>
      <c r="Q20" s="31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302"/>
      <c r="P21" s="303"/>
      <c r="Q21" s="303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02"/>
      <c r="P22" s="303"/>
      <c r="Q22" s="304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08"/>
      <c r="Y23" s="309"/>
      <c r="Z23" s="30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02"/>
      <c r="P24" s="303"/>
      <c r="Q24" s="304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02"/>
      <c r="P25" s="303"/>
      <c r="Q25" s="304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12">
        <f>((C32+(R26+S26+T26)*0.5))</f>
        <v>964.1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02"/>
      <c r="P26" s="303"/>
      <c r="Q26" s="304"/>
      <c r="R26" s="103">
        <f>R25*37.5</f>
        <v>0</v>
      </c>
      <c r="S26" s="93">
        <f>S25*41.5</f>
        <v>0</v>
      </c>
      <c r="T26" s="93">
        <f>T25*50</f>
        <v>0</v>
      </c>
      <c r="U26" s="31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02"/>
      <c r="P27" s="303"/>
      <c r="Q27" s="304"/>
      <c r="R27" s="321" t="s">
        <v>56</v>
      </c>
      <c r="S27" s="322"/>
      <c r="T27" s="322"/>
      <c r="U27" s="32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2"/>
      <c r="P28" s="303"/>
      <c r="Q28" s="304"/>
      <c r="R28" s="314"/>
      <c r="S28" s="315"/>
      <c r="T28" s="31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3"/>
      <c r="P29" s="334"/>
      <c r="Q29" s="335"/>
      <c r="R29" s="336"/>
      <c r="S29" s="337"/>
      <c r="T29" s="338"/>
      <c r="U29" s="140"/>
      <c r="X29" s="14">
        <v>3</v>
      </c>
      <c r="Z29" s="45"/>
      <c r="AE29" s="39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01">
        <f t="shared" ref="H30:M30" si="3">SUM(H5:H29)</f>
        <v>300</v>
      </c>
      <c r="I30" s="96">
        <f>SUM(I5:I29)</f>
        <v>585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79.099999999999994</v>
      </c>
      <c r="L30" s="97">
        <f t="shared" si="3"/>
        <v>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2"/>
      <c r="S30" s="342"/>
      <c r="T30" s="343"/>
      <c r="U30" s="141"/>
      <c r="X30" s="14">
        <v>4</v>
      </c>
      <c r="Z30" s="45"/>
      <c r="AD30" s="46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02">
        <f t="shared" ref="H31:J31" si="4">H30+H62+H94</f>
        <v>300</v>
      </c>
      <c r="I31" s="94">
        <f t="shared" si="4"/>
        <v>585</v>
      </c>
      <c r="J31" s="94">
        <f t="shared" si="4"/>
        <v>0</v>
      </c>
      <c r="K31" s="94">
        <f>K30+K62+K94</f>
        <v>79.099999999999994</v>
      </c>
      <c r="L31" s="88">
        <f>L30+L62+L94</f>
        <v>0</v>
      </c>
      <c r="M31" s="88">
        <f>M30+M62+M94</f>
        <v>475</v>
      </c>
      <c r="N31" s="207">
        <f>COUNT(H5:H29,H37:H61,H69:H93)</f>
        <v>3</v>
      </c>
      <c r="O31" s="95">
        <f>COUNT(I5:I29,I37:I61,I69:I93)</f>
        <v>6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300</v>
      </c>
      <c r="T31" s="329">
        <f>H31+I31+L31+M31</f>
        <v>1360</v>
      </c>
      <c r="U31" s="330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7" t="s">
        <v>55</v>
      </c>
      <c r="B32" s="318"/>
      <c r="C32" s="98">
        <f>H31+I31+J31+K31</f>
        <v>964.1</v>
      </c>
      <c r="D32" s="186"/>
      <c r="E32" s="98"/>
      <c r="F32" s="319" t="s">
        <v>53</v>
      </c>
      <c r="G32" s="319"/>
      <c r="H32" s="100">
        <f>COUNT(B5:B29,B37:B61,B69:B93)</f>
        <v>10</v>
      </c>
      <c r="I32" s="320" t="s">
        <v>54</v>
      </c>
      <c r="J32" s="320"/>
      <c r="K32" s="99">
        <f>C32/H32</f>
        <v>96.41</v>
      </c>
      <c r="L32" s="208"/>
      <c r="M32" s="208"/>
      <c r="N32" s="208">
        <f>H31/C32</f>
        <v>0.31117104034851156</v>
      </c>
      <c r="O32" s="208">
        <f>I31/C32</f>
        <v>0.60678352867959751</v>
      </c>
      <c r="P32" s="208">
        <f>K31/C32</f>
        <v>8.2045430971890876E-2</v>
      </c>
      <c r="Q32" s="101">
        <f>J31/C32</f>
        <v>0</v>
      </c>
      <c r="R32" s="90" t="s">
        <v>82</v>
      </c>
      <c r="S32" s="203">
        <f>I31+M31</f>
        <v>1060</v>
      </c>
      <c r="T32" s="331"/>
      <c r="U32" s="332"/>
      <c r="V32" s="39"/>
      <c r="W32" s="39"/>
      <c r="X32" s="48" t="s">
        <v>27</v>
      </c>
      <c r="Y32" s="48"/>
      <c r="Z32" s="47">
        <f>I31</f>
        <v>585</v>
      </c>
    </row>
    <row r="33" spans="1:33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49" t="s">
        <v>29</v>
      </c>
      <c r="Y33" s="49"/>
      <c r="Z33" s="50">
        <f>SUM(Z31:Z32)</f>
        <v>-2160</v>
      </c>
      <c r="AG33" s="35"/>
    </row>
    <row r="34" spans="1:33" ht="17.25" thickBot="1" x14ac:dyDescent="0.35">
      <c r="A34" s="285" t="str">
        <f>A2</f>
        <v>12-12-2022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CLOUDY&amp;RAIN</v>
      </c>
      <c r="K34" s="287"/>
      <c r="L34" s="289" t="s">
        <v>50</v>
      </c>
      <c r="M34" s="290"/>
      <c r="N34" s="288"/>
      <c r="O34" s="286" t="str">
        <f>O2</f>
        <v>JOHN</v>
      </c>
      <c r="P34" s="286"/>
      <c r="Q34" s="287"/>
      <c r="R34" s="289" t="s">
        <v>51</v>
      </c>
      <c r="S34" s="288"/>
      <c r="T34" s="291">
        <f>T2</f>
        <v>5</v>
      </c>
      <c r="U34" s="29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95" t="s">
        <v>8</v>
      </c>
      <c r="P36" s="295"/>
      <c r="Q36" s="295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2"/>
      <c r="P37" s="303"/>
      <c r="Q37" s="304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99"/>
      <c r="P38" s="300"/>
      <c r="Q38" s="30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2"/>
      <c r="P39" s="303"/>
      <c r="Q39" s="304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05"/>
      <c r="P40" s="306"/>
      <c r="Q40" s="307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05"/>
      <c r="P41" s="306"/>
      <c r="Q41" s="307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2"/>
      <c r="P42" s="293"/>
      <c r="Q42" s="294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2"/>
      <c r="P43" s="303"/>
      <c r="Q43" s="304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2"/>
      <c r="P44" s="303"/>
      <c r="Q44" s="304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2"/>
      <c r="P45" s="303"/>
      <c r="Q45" s="304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2"/>
      <c r="P46" s="303"/>
      <c r="Q46" s="304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2"/>
      <c r="P47" s="303"/>
      <c r="Q47" s="304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2"/>
      <c r="P48" s="303"/>
      <c r="Q48" s="304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2"/>
      <c r="P49" s="303"/>
      <c r="Q49" s="304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2"/>
      <c r="P50" s="303"/>
      <c r="Q50" s="304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2"/>
      <c r="P51" s="303"/>
      <c r="Q51" s="303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2"/>
      <c r="P52" s="303"/>
      <c r="Q52" s="303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46"/>
      <c r="P53" s="302"/>
      <c r="Q53" s="30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46"/>
      <c r="P54" s="302"/>
      <c r="Q54" s="30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46"/>
      <c r="P55" s="302"/>
      <c r="Q55" s="30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3"/>
      <c r="P56" s="303"/>
      <c r="Q56" s="303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2"/>
      <c r="P57" s="303"/>
      <c r="Q57" s="303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3"/>
      <c r="P58" s="303"/>
      <c r="Q58" s="303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3"/>
      <c r="P59" s="303"/>
      <c r="Q59" s="303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2"/>
      <c r="P60" s="303"/>
      <c r="Q60" s="304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7"/>
      <c r="P61" s="348"/>
      <c r="Q61" s="349"/>
      <c r="R61" s="72"/>
      <c r="S61" s="59"/>
      <c r="T61" s="59"/>
      <c r="U61" s="68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12-12-2022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CLOUDY&amp;RAIN</v>
      </c>
      <c r="K66" s="287"/>
      <c r="L66" s="289" t="s">
        <v>50</v>
      </c>
      <c r="M66" s="290"/>
      <c r="N66" s="288"/>
      <c r="O66" s="286" t="str">
        <f>O34</f>
        <v>JOHN</v>
      </c>
      <c r="P66" s="286"/>
      <c r="Q66" s="287"/>
      <c r="R66" s="289" t="s">
        <v>51</v>
      </c>
      <c r="S66" s="288"/>
      <c r="T66" s="291">
        <f>T34</f>
        <v>5</v>
      </c>
      <c r="U66" s="29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95" t="s">
        <v>8</v>
      </c>
      <c r="P68" s="295"/>
      <c r="Q68" s="295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2"/>
      <c r="P69" s="303"/>
      <c r="Q69" s="304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99"/>
      <c r="P70" s="300"/>
      <c r="Q70" s="30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2"/>
      <c r="P71" s="303"/>
      <c r="Q71" s="304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05"/>
      <c r="P72" s="306"/>
      <c r="Q72" s="307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05"/>
      <c r="P73" s="306"/>
      <c r="Q73" s="307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2"/>
      <c r="P74" s="293"/>
      <c r="Q74" s="294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2"/>
      <c r="P75" s="303"/>
      <c r="Q75" s="304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2"/>
      <c r="P76" s="303"/>
      <c r="Q76" s="304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2"/>
      <c r="P77" s="303"/>
      <c r="Q77" s="304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2"/>
      <c r="P78" s="303"/>
      <c r="Q78" s="304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2"/>
      <c r="P79" s="303"/>
      <c r="Q79" s="304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2"/>
      <c r="P80" s="303"/>
      <c r="Q80" s="304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2"/>
      <c r="P81" s="303"/>
      <c r="Q81" s="304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2"/>
      <c r="P82" s="303"/>
      <c r="Q82" s="304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2"/>
      <c r="P83" s="303"/>
      <c r="Q83" s="303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2"/>
      <c r="P84" s="303"/>
      <c r="Q84" s="303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46"/>
      <c r="P85" s="302"/>
      <c r="Q85" s="30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46"/>
      <c r="P86" s="302"/>
      <c r="Q86" s="30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46"/>
      <c r="P87" s="302"/>
      <c r="Q87" s="30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3"/>
      <c r="P88" s="303"/>
      <c r="Q88" s="303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2"/>
      <c r="P89" s="303"/>
      <c r="Q89" s="303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3"/>
      <c r="P90" s="303"/>
      <c r="Q90" s="303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3"/>
      <c r="P91" s="303"/>
      <c r="Q91" s="303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2"/>
      <c r="P92" s="303"/>
      <c r="Q92" s="304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7"/>
      <c r="P93" s="348"/>
      <c r="Q93" s="349"/>
      <c r="R93" s="72"/>
      <c r="S93" s="59"/>
      <c r="T93" s="59"/>
      <c r="U93" s="68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9" sqref="R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129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131</v>
      </c>
      <c r="K2" s="287"/>
      <c r="L2" s="289" t="s">
        <v>96</v>
      </c>
      <c r="M2" s="290"/>
      <c r="N2" s="288"/>
      <c r="O2" s="286" t="s">
        <v>99</v>
      </c>
      <c r="P2" s="286"/>
      <c r="Q2" s="287"/>
      <c r="R2" s="289" t="s">
        <v>51</v>
      </c>
      <c r="S2" s="288"/>
      <c r="T2" s="291">
        <v>6</v>
      </c>
      <c r="U2" s="29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95" t="s">
        <v>8</v>
      </c>
      <c r="P4" s="295"/>
      <c r="Q4" s="295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12823</v>
      </c>
      <c r="C5" s="59" t="s">
        <v>133</v>
      </c>
      <c r="D5" s="190" t="s">
        <v>134</v>
      </c>
      <c r="E5" s="171" t="s">
        <v>91</v>
      </c>
      <c r="F5" s="160">
        <v>845</v>
      </c>
      <c r="G5" s="109" t="s">
        <v>107</v>
      </c>
      <c r="H5" s="82">
        <v>150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296"/>
      <c r="P5" s="297"/>
      <c r="Q5" s="298"/>
      <c r="R5" s="122" t="s">
        <v>99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12824</v>
      </c>
      <c r="C6" s="58" t="s">
        <v>135</v>
      </c>
      <c r="D6" s="190" t="s">
        <v>136</v>
      </c>
      <c r="E6" s="171" t="s">
        <v>92</v>
      </c>
      <c r="F6" s="161">
        <v>900</v>
      </c>
      <c r="G6" s="109" t="s">
        <v>106</v>
      </c>
      <c r="H6" s="82"/>
      <c r="I6" s="115">
        <v>75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299"/>
      <c r="P6" s="300"/>
      <c r="Q6" s="301"/>
      <c r="R6" s="124" t="s">
        <v>100</v>
      </c>
      <c r="S6" s="30">
        <v>0.35416666666666669</v>
      </c>
      <c r="T6" s="31">
        <v>0.625</v>
      </c>
      <c r="U6" s="83">
        <f t="shared" si="0"/>
        <v>6.5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12825</v>
      </c>
      <c r="C7" s="58" t="s">
        <v>137</v>
      </c>
      <c r="D7" s="190" t="s">
        <v>138</v>
      </c>
      <c r="E7" s="171" t="s">
        <v>91</v>
      </c>
      <c r="F7" s="161">
        <v>910</v>
      </c>
      <c r="G7" s="109" t="s">
        <v>107</v>
      </c>
      <c r="H7" s="82">
        <v>130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302"/>
      <c r="P7" s="303"/>
      <c r="Q7" s="304"/>
      <c r="R7" s="25" t="s">
        <v>101</v>
      </c>
      <c r="S7" s="30">
        <v>0.4375</v>
      </c>
      <c r="T7" s="31">
        <v>0.70833333333333337</v>
      </c>
      <c r="U7" s="83">
        <f t="shared" si="0"/>
        <v>6.5000000000000009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12826</v>
      </c>
      <c r="C8" s="26" t="s">
        <v>139</v>
      </c>
      <c r="D8" s="190" t="s">
        <v>140</v>
      </c>
      <c r="E8" s="171" t="s">
        <v>92</v>
      </c>
      <c r="F8" s="161">
        <v>920</v>
      </c>
      <c r="G8" s="109" t="s">
        <v>110</v>
      </c>
      <c r="H8" s="82">
        <v>95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05"/>
      <c r="P8" s="306"/>
      <c r="Q8" s="307"/>
      <c r="R8" s="25" t="s">
        <v>102</v>
      </c>
      <c r="S8" s="30">
        <v>0.375</v>
      </c>
      <c r="T8" s="31">
        <v>0.70833333333333337</v>
      </c>
      <c r="U8" s="83">
        <f t="shared" si="0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12827</v>
      </c>
      <c r="C9" s="54" t="s">
        <v>141</v>
      </c>
      <c r="D9" s="191" t="s">
        <v>142</v>
      </c>
      <c r="E9" s="171" t="s">
        <v>92</v>
      </c>
      <c r="F9" s="162">
        <v>945</v>
      </c>
      <c r="G9" s="110" t="s">
        <v>106</v>
      </c>
      <c r="H9" s="82">
        <v>55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05" t="s">
        <v>143</v>
      </c>
      <c r="P9" s="306"/>
      <c r="Q9" s="307"/>
      <c r="R9" s="25" t="s">
        <v>130</v>
      </c>
      <c r="S9" s="30">
        <v>0.375</v>
      </c>
      <c r="T9" s="31">
        <v>0.70833333333333337</v>
      </c>
      <c r="U9" s="83">
        <f t="shared" si="0"/>
        <v>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12828</v>
      </c>
      <c r="C10" s="27" t="s">
        <v>144</v>
      </c>
      <c r="D10" s="192" t="s">
        <v>145</v>
      </c>
      <c r="E10" s="171" t="s">
        <v>91</v>
      </c>
      <c r="F10" s="163">
        <v>945</v>
      </c>
      <c r="G10" s="111" t="s">
        <v>106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92"/>
      <c r="P10" s="293"/>
      <c r="Q10" s="294"/>
      <c r="R10" s="25" t="s">
        <v>132</v>
      </c>
      <c r="S10" s="30">
        <v>0.47916666666666669</v>
      </c>
      <c r="T10" s="31">
        <v>0.70833333333333337</v>
      </c>
      <c r="U10" s="83">
        <f t="shared" si="0"/>
        <v>5.5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12829</v>
      </c>
      <c r="C11" s="17" t="s">
        <v>146</v>
      </c>
      <c r="D11" s="193" t="s">
        <v>147</v>
      </c>
      <c r="E11" s="171" t="s">
        <v>92</v>
      </c>
      <c r="F11" s="57">
        <v>1000</v>
      </c>
      <c r="G11" s="112" t="s">
        <v>107</v>
      </c>
      <c r="H11" s="114">
        <v>150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302"/>
      <c r="P11" s="303"/>
      <c r="Q11" s="304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12830</v>
      </c>
      <c r="C12" s="55" t="s">
        <v>148</v>
      </c>
      <c r="D12" s="194" t="s">
        <v>149</v>
      </c>
      <c r="E12" s="171" t="s">
        <v>92</v>
      </c>
      <c r="F12" s="163">
        <v>1015</v>
      </c>
      <c r="G12" s="110" t="s">
        <v>123</v>
      </c>
      <c r="H12" s="114"/>
      <c r="I12" s="116"/>
      <c r="J12" s="120" t="str">
        <f t="shared" si="1"/>
        <v>0</v>
      </c>
      <c r="K12" s="120">
        <v>79.16</v>
      </c>
      <c r="L12" s="121"/>
      <c r="M12" s="121"/>
      <c r="N12" s="124" t="s">
        <v>99</v>
      </c>
      <c r="O12" s="302" t="s">
        <v>150</v>
      </c>
      <c r="P12" s="303"/>
      <c r="Q12" s="304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12831</v>
      </c>
      <c r="C13" s="55" t="s">
        <v>151</v>
      </c>
      <c r="D13" s="194" t="s">
        <v>152</v>
      </c>
      <c r="E13" s="171" t="s">
        <v>91</v>
      </c>
      <c r="F13" s="163">
        <v>1030</v>
      </c>
      <c r="G13" s="110" t="s">
        <v>107</v>
      </c>
      <c r="H13" s="159"/>
      <c r="I13" s="158"/>
      <c r="J13" s="120" t="str">
        <f t="shared" si="1"/>
        <v>0</v>
      </c>
      <c r="K13" s="120"/>
      <c r="L13" s="121"/>
      <c r="M13" s="121"/>
      <c r="N13" s="124" t="s">
        <v>99</v>
      </c>
      <c r="O13" s="302" t="s">
        <v>153</v>
      </c>
      <c r="P13" s="303"/>
      <c r="Q13" s="304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12832</v>
      </c>
      <c r="C14" s="56" t="s">
        <v>154</v>
      </c>
      <c r="D14" s="195" t="s">
        <v>155</v>
      </c>
      <c r="E14" s="171" t="s">
        <v>92</v>
      </c>
      <c r="F14" s="164">
        <v>1100</v>
      </c>
      <c r="G14" s="113" t="s">
        <v>106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302"/>
      <c r="P14" s="303"/>
      <c r="Q14" s="304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12833</v>
      </c>
      <c r="C15" s="56" t="s">
        <v>171</v>
      </c>
      <c r="D15" s="195" t="s">
        <v>172</v>
      </c>
      <c r="E15" s="171" t="s">
        <v>92</v>
      </c>
      <c r="F15" s="164">
        <v>1115</v>
      </c>
      <c r="G15" s="113" t="s">
        <v>110</v>
      </c>
      <c r="H15" s="114"/>
      <c r="I15" s="115">
        <v>75</v>
      </c>
      <c r="J15" s="120" t="str">
        <f t="shared" si="1"/>
        <v>0</v>
      </c>
      <c r="K15" s="120">
        <v>0</v>
      </c>
      <c r="L15" s="121"/>
      <c r="M15" s="121"/>
      <c r="N15" s="124" t="s">
        <v>99</v>
      </c>
      <c r="O15" s="302"/>
      <c r="P15" s="303"/>
      <c r="Q15" s="304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12834</v>
      </c>
      <c r="C16" s="56" t="s">
        <v>156</v>
      </c>
      <c r="D16" s="195" t="s">
        <v>157</v>
      </c>
      <c r="E16" s="171" t="s">
        <v>92</v>
      </c>
      <c r="F16" s="164">
        <v>1130</v>
      </c>
      <c r="G16" s="113" t="s">
        <v>123</v>
      </c>
      <c r="H16" s="114"/>
      <c r="I16" s="115"/>
      <c r="J16" s="120" t="str">
        <f t="shared" si="1"/>
        <v>0</v>
      </c>
      <c r="K16" s="120">
        <v>79.16</v>
      </c>
      <c r="L16" s="121"/>
      <c r="M16" s="121"/>
      <c r="N16" s="124" t="s">
        <v>99</v>
      </c>
      <c r="O16" s="302" t="s">
        <v>158</v>
      </c>
      <c r="P16" s="303"/>
      <c r="Q16" s="304"/>
      <c r="R16" s="73">
        <f>H32/U16</f>
        <v>0.50574712643678166</v>
      </c>
      <c r="S16" s="74">
        <f>H32/(U16-U5)</f>
        <v>0.6376811594202898</v>
      </c>
      <c r="T16" s="74">
        <f>C32/U16</f>
        <v>45.554712643678165</v>
      </c>
      <c r="U16" s="74">
        <f>SUM(U5:U15)</f>
        <v>43.5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12835</v>
      </c>
      <c r="C17" s="17" t="s">
        <v>173</v>
      </c>
      <c r="D17" s="193" t="s">
        <v>174</v>
      </c>
      <c r="E17" s="171" t="s">
        <v>92</v>
      </c>
      <c r="F17" s="57">
        <v>1150</v>
      </c>
      <c r="G17" s="112" t="s">
        <v>175</v>
      </c>
      <c r="H17" s="114"/>
      <c r="I17" s="115"/>
      <c r="J17" s="120" t="str">
        <f t="shared" si="1"/>
        <v>0</v>
      </c>
      <c r="K17" s="120">
        <v>70.83</v>
      </c>
      <c r="L17" s="121"/>
      <c r="M17" s="121"/>
      <c r="N17" s="124" t="s">
        <v>99</v>
      </c>
      <c r="O17" s="302" t="s">
        <v>176</v>
      </c>
      <c r="P17" s="303"/>
      <c r="Q17" s="304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12836</v>
      </c>
      <c r="C18" s="17" t="s">
        <v>159</v>
      </c>
      <c r="D18" s="193" t="s">
        <v>160</v>
      </c>
      <c r="E18" s="171" t="s">
        <v>92</v>
      </c>
      <c r="F18" s="57">
        <v>1200</v>
      </c>
      <c r="G18" s="19" t="s">
        <v>110</v>
      </c>
      <c r="H18" s="114">
        <v>75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101</v>
      </c>
      <c r="O18" s="302"/>
      <c r="P18" s="303"/>
      <c r="Q18" s="304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12837</v>
      </c>
      <c r="C19" s="17" t="s">
        <v>161</v>
      </c>
      <c r="D19" s="193" t="s">
        <v>162</v>
      </c>
      <c r="E19" s="171" t="s">
        <v>91</v>
      </c>
      <c r="F19" s="57">
        <v>1205</v>
      </c>
      <c r="G19" s="112" t="s">
        <v>123</v>
      </c>
      <c r="H19" s="114"/>
      <c r="I19" s="115"/>
      <c r="J19" s="120" t="str">
        <f t="shared" si="1"/>
        <v>0</v>
      </c>
      <c r="K19" s="120">
        <v>79.16</v>
      </c>
      <c r="L19" s="121"/>
      <c r="M19" s="121"/>
      <c r="N19" s="124" t="s">
        <v>101</v>
      </c>
      <c r="O19" s="302" t="s">
        <v>163</v>
      </c>
      <c r="P19" s="303"/>
      <c r="Q19" s="303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260">
        <v>16</v>
      </c>
      <c r="B20" s="261">
        <v>12838</v>
      </c>
      <c r="C20" s="262" t="s">
        <v>164</v>
      </c>
      <c r="D20" s="263" t="s">
        <v>165</v>
      </c>
      <c r="E20" s="264" t="s">
        <v>92</v>
      </c>
      <c r="F20" s="265">
        <v>1210</v>
      </c>
      <c r="G20" s="266" t="s">
        <v>106</v>
      </c>
      <c r="H20" s="267"/>
      <c r="I20" s="268">
        <v>55</v>
      </c>
      <c r="J20" s="268" t="str">
        <f t="shared" si="1"/>
        <v>0</v>
      </c>
      <c r="K20" s="268" t="str">
        <f t="shared" si="2"/>
        <v>0</v>
      </c>
      <c r="L20" s="269"/>
      <c r="M20" s="269"/>
      <c r="N20" s="270" t="s">
        <v>101</v>
      </c>
      <c r="O20" s="376" t="s">
        <v>166</v>
      </c>
      <c r="P20" s="377"/>
      <c r="Q20" s="377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12839</v>
      </c>
      <c r="C21" s="17" t="s">
        <v>167</v>
      </c>
      <c r="D21" s="193" t="s">
        <v>168</v>
      </c>
      <c r="E21" s="171" t="s">
        <v>91</v>
      </c>
      <c r="F21" s="57">
        <v>1215</v>
      </c>
      <c r="G21" s="19" t="s">
        <v>169</v>
      </c>
      <c r="H21" s="114"/>
      <c r="I21" s="115"/>
      <c r="J21" s="120" t="str">
        <f t="shared" si="1"/>
        <v>0</v>
      </c>
      <c r="K21" s="120">
        <v>62.5</v>
      </c>
      <c r="L21" s="121"/>
      <c r="M21" s="121"/>
      <c r="N21" s="124" t="s">
        <v>99</v>
      </c>
      <c r="O21" s="302" t="s">
        <v>170</v>
      </c>
      <c r="P21" s="303"/>
      <c r="Q21" s="303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271">
        <v>18</v>
      </c>
      <c r="B22" s="254">
        <v>12840</v>
      </c>
      <c r="C22" s="250" t="s">
        <v>177</v>
      </c>
      <c r="D22" s="251" t="s">
        <v>178</v>
      </c>
      <c r="E22" s="252" t="s">
        <v>91</v>
      </c>
      <c r="F22" s="253">
        <v>1320</v>
      </c>
      <c r="G22" s="254" t="s">
        <v>123</v>
      </c>
      <c r="H22" s="272"/>
      <c r="I22" s="272"/>
      <c r="J22" s="257" t="str">
        <f t="shared" si="1"/>
        <v>0</v>
      </c>
      <c r="K22" s="257">
        <v>79.16</v>
      </c>
      <c r="L22" s="257"/>
      <c r="M22" s="257">
        <v>475</v>
      </c>
      <c r="N22" s="259" t="s">
        <v>99</v>
      </c>
      <c r="O22" s="324" t="s">
        <v>179</v>
      </c>
      <c r="P22" s="325"/>
      <c r="Q22" s="326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12841</v>
      </c>
      <c r="C23" s="126" t="s">
        <v>180</v>
      </c>
      <c r="D23" s="197" t="s">
        <v>181</v>
      </c>
      <c r="E23" s="171" t="s">
        <v>91</v>
      </c>
      <c r="F23" s="166">
        <v>1435</v>
      </c>
      <c r="G23" s="155" t="s">
        <v>169</v>
      </c>
      <c r="H23" s="80"/>
      <c r="I23" s="131"/>
      <c r="J23" s="120" t="str">
        <f t="shared" si="1"/>
        <v>0</v>
      </c>
      <c r="K23" s="120">
        <v>62.5</v>
      </c>
      <c r="L23" s="117"/>
      <c r="M23" s="117"/>
      <c r="N23" s="117" t="s">
        <v>99</v>
      </c>
      <c r="O23" s="302" t="s">
        <v>182</v>
      </c>
      <c r="P23" s="303"/>
      <c r="Q23" s="304"/>
      <c r="R23" s="104"/>
      <c r="S23" s="105"/>
      <c r="T23" s="105"/>
      <c r="U23" s="106"/>
      <c r="X23" s="308"/>
      <c r="Y23" s="309"/>
      <c r="Z23" s="309"/>
    </row>
    <row r="24" spans="1:44" ht="16.5" customHeight="1" thickBot="1" x14ac:dyDescent="0.35">
      <c r="A24" s="125">
        <v>20</v>
      </c>
      <c r="B24" s="123">
        <v>12842</v>
      </c>
      <c r="C24" s="21" t="s">
        <v>183</v>
      </c>
      <c r="D24" s="196" t="s">
        <v>184</v>
      </c>
      <c r="E24" s="171" t="s">
        <v>92</v>
      </c>
      <c r="F24" s="165">
        <v>1500</v>
      </c>
      <c r="G24" s="204" t="s">
        <v>185</v>
      </c>
      <c r="H24" s="80">
        <v>230</v>
      </c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99</v>
      </c>
      <c r="O24" s="302"/>
      <c r="P24" s="303"/>
      <c r="Q24" s="304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12843</v>
      </c>
      <c r="C25" s="122" t="s">
        <v>186</v>
      </c>
      <c r="D25" s="198" t="s">
        <v>187</v>
      </c>
      <c r="E25" s="171" t="s">
        <v>92</v>
      </c>
      <c r="F25" s="165">
        <v>1540</v>
      </c>
      <c r="G25" s="204" t="s">
        <v>110</v>
      </c>
      <c r="H25" s="81">
        <v>150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99</v>
      </c>
      <c r="O25" s="302" t="s">
        <v>188</v>
      </c>
      <c r="P25" s="303"/>
      <c r="Q25" s="304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12">
        <f>((C32+(R26+S26+T26)*0.5))</f>
        <v>1981.63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12844</v>
      </c>
      <c r="C26" s="26" t="s">
        <v>189</v>
      </c>
      <c r="D26" s="199" t="s">
        <v>190</v>
      </c>
      <c r="E26" s="171" t="s">
        <v>91</v>
      </c>
      <c r="F26" s="167">
        <v>1600</v>
      </c>
      <c r="G26" s="19" t="s">
        <v>123</v>
      </c>
      <c r="H26" s="80"/>
      <c r="I26" s="131"/>
      <c r="J26" s="120" t="str">
        <f t="shared" si="1"/>
        <v>0</v>
      </c>
      <c r="K26" s="120">
        <v>79.16</v>
      </c>
      <c r="L26" s="60"/>
      <c r="M26" s="60"/>
      <c r="N26" s="124" t="s">
        <v>99</v>
      </c>
      <c r="O26" s="302" t="s">
        <v>191</v>
      </c>
      <c r="P26" s="303"/>
      <c r="Q26" s="304"/>
      <c r="R26" s="103">
        <f>R25*37.5</f>
        <v>0</v>
      </c>
      <c r="S26" s="93">
        <f>S25*41.5</f>
        <v>0</v>
      </c>
      <c r="T26" s="93">
        <f>T25*50</f>
        <v>0</v>
      </c>
      <c r="U26" s="31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02"/>
      <c r="P27" s="303"/>
      <c r="Q27" s="304"/>
      <c r="R27" s="321" t="s">
        <v>56</v>
      </c>
      <c r="S27" s="322"/>
      <c r="T27" s="322"/>
      <c r="U27" s="32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2"/>
      <c r="P28" s="303"/>
      <c r="Q28" s="304"/>
      <c r="R28" s="314"/>
      <c r="S28" s="315"/>
      <c r="T28" s="31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3"/>
      <c r="P29" s="334"/>
      <c r="Q29" s="335"/>
      <c r="R29" s="336"/>
      <c r="S29" s="337"/>
      <c r="T29" s="338"/>
      <c r="U29" s="140"/>
      <c r="X29" s="14">
        <v>3</v>
      </c>
      <c r="Z29" s="45"/>
      <c r="AE29" s="39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01">
        <f t="shared" ref="H30:M30" si="3">SUM(H5:H29)</f>
        <v>1035</v>
      </c>
      <c r="I30" s="96">
        <f>SUM(I5:I29)</f>
        <v>355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591.63</v>
      </c>
      <c r="L30" s="97">
        <f t="shared" si="3"/>
        <v>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2"/>
      <c r="S30" s="342"/>
      <c r="T30" s="343"/>
      <c r="U30" s="141"/>
      <c r="X30" s="14">
        <v>4</v>
      </c>
      <c r="Z30" s="45"/>
      <c r="AD30" s="46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02">
        <f t="shared" ref="H31:J31" si="4">H30+H62+H94</f>
        <v>1035</v>
      </c>
      <c r="I31" s="94">
        <f t="shared" si="4"/>
        <v>355</v>
      </c>
      <c r="J31" s="94">
        <f t="shared" si="4"/>
        <v>0</v>
      </c>
      <c r="K31" s="94">
        <f>K30+K62+K94</f>
        <v>591.63</v>
      </c>
      <c r="L31" s="88">
        <f>L30+L62+L94</f>
        <v>0</v>
      </c>
      <c r="M31" s="88">
        <f>M30+M62+M94</f>
        <v>475</v>
      </c>
      <c r="N31" s="207">
        <f>COUNT(H5:H29,H37:H61,H69:H93)</f>
        <v>8</v>
      </c>
      <c r="O31" s="95">
        <f>COUNT(I5:I29,I37:I61,I69:I93)</f>
        <v>5</v>
      </c>
      <c r="P31" s="95">
        <f>COUNTIF(G5:G29,"G*")+COUNTIF(G37:G61,"G*")+COUNTIF(G69:G93,"G*")+COUNTIF(G5:G29,"P*")+COUNTIF(G37:G61,"P*")+COUNTIF(G69:G93,"P*")</f>
        <v>8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1035</v>
      </c>
      <c r="T31" s="329">
        <f>H31+I31+L31+M31</f>
        <v>1865</v>
      </c>
      <c r="U31" s="330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7" t="s">
        <v>55</v>
      </c>
      <c r="B32" s="318"/>
      <c r="C32" s="98">
        <f>H31+I31+J31+K31</f>
        <v>1981.63</v>
      </c>
      <c r="D32" s="186"/>
      <c r="E32" s="98"/>
      <c r="F32" s="319" t="s">
        <v>53</v>
      </c>
      <c r="G32" s="319"/>
      <c r="H32" s="100">
        <f>COUNT(B5:B29,B37:B61,B69:B93)</f>
        <v>22</v>
      </c>
      <c r="I32" s="320" t="s">
        <v>54</v>
      </c>
      <c r="J32" s="320"/>
      <c r="K32" s="99">
        <f>C32/H32</f>
        <v>90.074090909090913</v>
      </c>
      <c r="L32" s="208"/>
      <c r="M32" s="208"/>
      <c r="N32" s="208">
        <f>H31/C32</f>
        <v>0.52229730070699376</v>
      </c>
      <c r="O32" s="208">
        <f>I31/C32</f>
        <v>0.17914545096713311</v>
      </c>
      <c r="P32" s="208">
        <f>K31/C32</f>
        <v>0.2985572483258731</v>
      </c>
      <c r="Q32" s="101">
        <f>J31/C32</f>
        <v>0</v>
      </c>
      <c r="R32" s="90" t="s">
        <v>82</v>
      </c>
      <c r="S32" s="203">
        <f>I31+M31</f>
        <v>830</v>
      </c>
      <c r="T32" s="331"/>
      <c r="U32" s="332"/>
      <c r="V32" s="39"/>
      <c r="W32" s="39"/>
      <c r="X32" s="48" t="s">
        <v>27</v>
      </c>
      <c r="Y32" s="48"/>
      <c r="Z32" s="47">
        <f>I31</f>
        <v>355</v>
      </c>
    </row>
    <row r="33" spans="1:33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49" t="s">
        <v>29</v>
      </c>
      <c r="Y33" s="49"/>
      <c r="Z33" s="50">
        <f>SUM(Z31:Z32)</f>
        <v>-2390</v>
      </c>
      <c r="AG33" s="35"/>
    </row>
    <row r="34" spans="1:33" ht="17.25" thickBot="1" x14ac:dyDescent="0.35">
      <c r="A34" s="285" t="str">
        <f>A2</f>
        <v>13-12-2022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SUNNY</v>
      </c>
      <c r="K34" s="287"/>
      <c r="L34" s="289" t="s">
        <v>50</v>
      </c>
      <c r="M34" s="290"/>
      <c r="N34" s="288"/>
      <c r="O34" s="286" t="str">
        <f>O2</f>
        <v>HENDRA</v>
      </c>
      <c r="P34" s="286"/>
      <c r="Q34" s="287"/>
      <c r="R34" s="289" t="s">
        <v>51</v>
      </c>
      <c r="S34" s="288"/>
      <c r="T34" s="291">
        <f>T2</f>
        <v>6</v>
      </c>
      <c r="U34" s="29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95" t="s">
        <v>8</v>
      </c>
      <c r="P36" s="295"/>
      <c r="Q36" s="295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2"/>
      <c r="P37" s="303"/>
      <c r="Q37" s="304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99"/>
      <c r="P38" s="300"/>
      <c r="Q38" s="30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2"/>
      <c r="P39" s="303"/>
      <c r="Q39" s="304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05"/>
      <c r="P40" s="306"/>
      <c r="Q40" s="307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05"/>
      <c r="P41" s="306"/>
      <c r="Q41" s="307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2"/>
      <c r="P42" s="293"/>
      <c r="Q42" s="294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2"/>
      <c r="P43" s="303"/>
      <c r="Q43" s="304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2"/>
      <c r="P44" s="303"/>
      <c r="Q44" s="304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2"/>
      <c r="P45" s="303"/>
      <c r="Q45" s="304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2"/>
      <c r="P46" s="303"/>
      <c r="Q46" s="304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2"/>
      <c r="P47" s="303"/>
      <c r="Q47" s="304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2"/>
      <c r="P48" s="303"/>
      <c r="Q48" s="304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2"/>
      <c r="P49" s="303"/>
      <c r="Q49" s="304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2"/>
      <c r="P50" s="303"/>
      <c r="Q50" s="304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2"/>
      <c r="P51" s="303"/>
      <c r="Q51" s="303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2"/>
      <c r="P52" s="303"/>
      <c r="Q52" s="303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46"/>
      <c r="P53" s="302"/>
      <c r="Q53" s="30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46"/>
      <c r="P54" s="302"/>
      <c r="Q54" s="30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46"/>
      <c r="P55" s="302"/>
      <c r="Q55" s="30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3"/>
      <c r="P56" s="303"/>
      <c r="Q56" s="303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2"/>
      <c r="P57" s="303"/>
      <c r="Q57" s="303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3"/>
      <c r="P58" s="303"/>
      <c r="Q58" s="303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3"/>
      <c r="P59" s="303"/>
      <c r="Q59" s="303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2"/>
      <c r="P60" s="303"/>
      <c r="Q60" s="304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7"/>
      <c r="P61" s="348"/>
      <c r="Q61" s="349"/>
      <c r="R61" s="72"/>
      <c r="S61" s="59"/>
      <c r="T61" s="59"/>
      <c r="U61" s="68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13-12-2022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SUNNY</v>
      </c>
      <c r="K66" s="287"/>
      <c r="L66" s="289" t="s">
        <v>50</v>
      </c>
      <c r="M66" s="290"/>
      <c r="N66" s="288"/>
      <c r="O66" s="286" t="str">
        <f>O34</f>
        <v>HENDRA</v>
      </c>
      <c r="P66" s="286"/>
      <c r="Q66" s="287"/>
      <c r="R66" s="289" t="s">
        <v>51</v>
      </c>
      <c r="S66" s="288"/>
      <c r="T66" s="291">
        <f>T34</f>
        <v>6</v>
      </c>
      <c r="U66" s="29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95" t="s">
        <v>8</v>
      </c>
      <c r="P68" s="295"/>
      <c r="Q68" s="295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2"/>
      <c r="P69" s="303"/>
      <c r="Q69" s="304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99"/>
      <c r="P70" s="300"/>
      <c r="Q70" s="30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2"/>
      <c r="P71" s="303"/>
      <c r="Q71" s="304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05"/>
      <c r="P72" s="306"/>
      <c r="Q72" s="307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05"/>
      <c r="P73" s="306"/>
      <c r="Q73" s="307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2"/>
      <c r="P74" s="293"/>
      <c r="Q74" s="294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2"/>
      <c r="P75" s="303"/>
      <c r="Q75" s="304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2"/>
      <c r="P76" s="303"/>
      <c r="Q76" s="304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2"/>
      <c r="P77" s="303"/>
      <c r="Q77" s="304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2"/>
      <c r="P78" s="303"/>
      <c r="Q78" s="304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2"/>
      <c r="P79" s="303"/>
      <c r="Q79" s="304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2"/>
      <c r="P80" s="303"/>
      <c r="Q80" s="304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2"/>
      <c r="P81" s="303"/>
      <c r="Q81" s="304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2"/>
      <c r="P82" s="303"/>
      <c r="Q82" s="304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2"/>
      <c r="P83" s="303"/>
      <c r="Q83" s="303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2"/>
      <c r="P84" s="303"/>
      <c r="Q84" s="303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46"/>
      <c r="P85" s="302"/>
      <c r="Q85" s="30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46"/>
      <c r="P86" s="302"/>
      <c r="Q86" s="30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46"/>
      <c r="P87" s="302"/>
      <c r="Q87" s="30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3"/>
      <c r="P88" s="303"/>
      <c r="Q88" s="303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2"/>
      <c r="P89" s="303"/>
      <c r="Q89" s="303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3"/>
      <c r="P90" s="303"/>
      <c r="Q90" s="303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3"/>
      <c r="P91" s="303"/>
      <c r="Q91" s="303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2"/>
      <c r="P92" s="303"/>
      <c r="Q92" s="304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7"/>
      <c r="P93" s="348"/>
      <c r="Q93" s="349"/>
      <c r="R93" s="72"/>
      <c r="S93" s="59"/>
      <c r="T93" s="59"/>
      <c r="U93" s="68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2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23:Q23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F25" sqref="F25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192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131</v>
      </c>
      <c r="K2" s="287"/>
      <c r="L2" s="289" t="s">
        <v>96</v>
      </c>
      <c r="M2" s="290"/>
      <c r="N2" s="288"/>
      <c r="O2" s="286" t="s">
        <v>98</v>
      </c>
      <c r="P2" s="286"/>
      <c r="Q2" s="287"/>
      <c r="R2" s="289" t="s">
        <v>51</v>
      </c>
      <c r="S2" s="288"/>
      <c r="T2" s="291">
        <v>6</v>
      </c>
      <c r="U2" s="29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95" t="s">
        <v>8</v>
      </c>
      <c r="P4" s="295"/>
      <c r="Q4" s="295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12845</v>
      </c>
      <c r="C5" s="59" t="s">
        <v>212</v>
      </c>
      <c r="D5" s="190" t="s">
        <v>213</v>
      </c>
      <c r="E5" s="171" t="s">
        <v>92</v>
      </c>
      <c r="F5" s="160">
        <v>845</v>
      </c>
      <c r="G5" s="109" t="s">
        <v>214</v>
      </c>
      <c r="H5" s="82">
        <v>300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296"/>
      <c r="P5" s="297"/>
      <c r="Q5" s="298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12846</v>
      </c>
      <c r="C6" s="58" t="s">
        <v>194</v>
      </c>
      <c r="D6" s="190" t="s">
        <v>195</v>
      </c>
      <c r="E6" s="171" t="s">
        <v>91</v>
      </c>
      <c r="F6" s="161">
        <v>845</v>
      </c>
      <c r="G6" s="109" t="s">
        <v>107</v>
      </c>
      <c r="H6" s="82">
        <v>110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299"/>
      <c r="P6" s="300"/>
      <c r="Q6" s="301"/>
      <c r="R6" s="122" t="s">
        <v>99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12847</v>
      </c>
      <c r="C7" s="58" t="s">
        <v>196</v>
      </c>
      <c r="D7" s="190" t="s">
        <v>197</v>
      </c>
      <c r="E7" s="171" t="s">
        <v>92</v>
      </c>
      <c r="F7" s="161">
        <v>850</v>
      </c>
      <c r="G7" s="109" t="s">
        <v>123</v>
      </c>
      <c r="H7" s="82"/>
      <c r="I7" s="115"/>
      <c r="J7" s="120" t="str">
        <f t="shared" si="1"/>
        <v>0</v>
      </c>
      <c r="K7" s="120">
        <v>79.099999999999994</v>
      </c>
      <c r="L7" s="121"/>
      <c r="M7" s="121"/>
      <c r="N7" s="124" t="s">
        <v>98</v>
      </c>
      <c r="O7" s="302" t="s">
        <v>198</v>
      </c>
      <c r="P7" s="303"/>
      <c r="Q7" s="304"/>
      <c r="R7" s="124" t="s">
        <v>100</v>
      </c>
      <c r="S7" s="30">
        <v>0.35416666666666669</v>
      </c>
      <c r="T7" s="31">
        <v>0.625</v>
      </c>
      <c r="U7" s="83">
        <f t="shared" si="0"/>
        <v>6.5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12848</v>
      </c>
      <c r="C8" s="26" t="s">
        <v>199</v>
      </c>
      <c r="D8" s="190" t="s">
        <v>200</v>
      </c>
      <c r="E8" s="171" t="s">
        <v>92</v>
      </c>
      <c r="F8" s="161">
        <v>905</v>
      </c>
      <c r="G8" s="109" t="s">
        <v>202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05"/>
      <c r="P8" s="306"/>
      <c r="Q8" s="307"/>
      <c r="R8" s="25" t="s">
        <v>102</v>
      </c>
      <c r="S8" s="30">
        <v>0.375</v>
      </c>
      <c r="T8" s="31">
        <v>0.60416666666666663</v>
      </c>
      <c r="U8" s="83">
        <f t="shared" si="0"/>
        <v>5.4999999999999991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12849</v>
      </c>
      <c r="C9" s="54" t="s">
        <v>203</v>
      </c>
      <c r="D9" s="191" t="s">
        <v>204</v>
      </c>
      <c r="E9" s="171" t="s">
        <v>92</v>
      </c>
      <c r="F9" s="162">
        <v>940</v>
      </c>
      <c r="G9" s="110" t="s">
        <v>107</v>
      </c>
      <c r="H9" s="82"/>
      <c r="I9" s="82">
        <v>150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05"/>
      <c r="P9" s="306"/>
      <c r="Q9" s="307"/>
      <c r="R9" s="25" t="s">
        <v>193</v>
      </c>
      <c r="S9" s="30">
        <v>0.375</v>
      </c>
      <c r="T9" s="31">
        <v>0.70833333333333337</v>
      </c>
      <c r="U9" s="83">
        <f t="shared" si="0"/>
        <v>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12850</v>
      </c>
      <c r="C10" s="27" t="s">
        <v>207</v>
      </c>
      <c r="D10" s="192" t="s">
        <v>208</v>
      </c>
      <c r="E10" s="171" t="s">
        <v>92</v>
      </c>
      <c r="F10" s="163">
        <v>945</v>
      </c>
      <c r="G10" s="111" t="s">
        <v>106</v>
      </c>
      <c r="H10" s="114">
        <v>55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292"/>
      <c r="P10" s="293"/>
      <c r="Q10" s="294"/>
      <c r="R10" s="25" t="s">
        <v>201</v>
      </c>
      <c r="S10" s="30">
        <v>0.5</v>
      </c>
      <c r="T10" s="31">
        <v>0.70833333333333337</v>
      </c>
      <c r="U10" s="83">
        <f t="shared" si="0"/>
        <v>5.0000000000000009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12851</v>
      </c>
      <c r="C11" s="27" t="s">
        <v>205</v>
      </c>
      <c r="D11" s="192" t="s">
        <v>206</v>
      </c>
      <c r="E11" s="171" t="s">
        <v>92</v>
      </c>
      <c r="F11" s="163">
        <v>1000</v>
      </c>
      <c r="G11" s="111" t="s">
        <v>110</v>
      </c>
      <c r="H11" s="114">
        <v>70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02"/>
      <c r="P11" s="303"/>
      <c r="Q11" s="304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12852</v>
      </c>
      <c r="C12" s="55" t="s">
        <v>103</v>
      </c>
      <c r="D12" s="194" t="s">
        <v>120</v>
      </c>
      <c r="E12" s="171" t="s">
        <v>91</v>
      </c>
      <c r="F12" s="163">
        <v>1035</v>
      </c>
      <c r="G12" s="110" t="s">
        <v>107</v>
      </c>
      <c r="H12" s="114"/>
      <c r="I12" s="116">
        <v>150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02"/>
      <c r="P12" s="303"/>
      <c r="Q12" s="304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12853</v>
      </c>
      <c r="C13" s="55" t="s">
        <v>215</v>
      </c>
      <c r="D13" s="194" t="s">
        <v>216</v>
      </c>
      <c r="E13" s="171" t="s">
        <v>91</v>
      </c>
      <c r="F13" s="163">
        <v>1140</v>
      </c>
      <c r="G13" s="110" t="s">
        <v>110</v>
      </c>
      <c r="H13" s="159">
        <v>95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302"/>
      <c r="P13" s="303"/>
      <c r="Q13" s="304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12854</v>
      </c>
      <c r="C14" s="56" t="s">
        <v>209</v>
      </c>
      <c r="D14" s="195" t="s">
        <v>210</v>
      </c>
      <c r="E14" s="171" t="s">
        <v>91</v>
      </c>
      <c r="F14" s="164">
        <v>1145</v>
      </c>
      <c r="G14" s="113" t="s">
        <v>110</v>
      </c>
      <c r="H14" s="114"/>
      <c r="I14" s="116">
        <v>115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302" t="s">
        <v>211</v>
      </c>
      <c r="P14" s="303"/>
      <c r="Q14" s="304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12855</v>
      </c>
      <c r="C15" s="56" t="s">
        <v>219</v>
      </c>
      <c r="D15" s="195" t="s">
        <v>220</v>
      </c>
      <c r="E15" s="171" t="s">
        <v>91</v>
      </c>
      <c r="F15" s="164">
        <v>1225</v>
      </c>
      <c r="G15" s="113" t="s">
        <v>107</v>
      </c>
      <c r="H15" s="114"/>
      <c r="I15" s="115">
        <v>100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302" t="s">
        <v>188</v>
      </c>
      <c r="P15" s="303"/>
      <c r="Q15" s="304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12856</v>
      </c>
      <c r="C16" s="56" t="s">
        <v>217</v>
      </c>
      <c r="D16" s="195" t="s">
        <v>218</v>
      </c>
      <c r="E16" s="171" t="s">
        <v>92</v>
      </c>
      <c r="F16" s="164">
        <v>1230</v>
      </c>
      <c r="G16" s="113" t="s">
        <v>110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302"/>
      <c r="P16" s="303"/>
      <c r="Q16" s="304"/>
      <c r="R16" s="73">
        <f>H32/U16</f>
        <v>0.39534883720930231</v>
      </c>
      <c r="S16" s="74">
        <f>H32/(U16-U5)</f>
        <v>0.5</v>
      </c>
      <c r="T16" s="74">
        <f>C32/U16</f>
        <v>42.653488372093022</v>
      </c>
      <c r="U16" s="74">
        <f>SUM(U5:U15)</f>
        <v>43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12857</v>
      </c>
      <c r="C17" s="17" t="s">
        <v>221</v>
      </c>
      <c r="D17" s="193" t="s">
        <v>222</v>
      </c>
      <c r="E17" s="171" t="s">
        <v>91</v>
      </c>
      <c r="F17" s="57">
        <v>1410</v>
      </c>
      <c r="G17" s="112" t="s">
        <v>106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302"/>
      <c r="P17" s="303"/>
      <c r="Q17" s="304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12858</v>
      </c>
      <c r="C18" s="17" t="s">
        <v>223</v>
      </c>
      <c r="D18" s="193" t="s">
        <v>224</v>
      </c>
      <c r="E18" s="171" t="s">
        <v>92</v>
      </c>
      <c r="F18" s="57">
        <v>1435</v>
      </c>
      <c r="G18" s="19" t="s">
        <v>107</v>
      </c>
      <c r="H18" s="114"/>
      <c r="I18" s="115">
        <v>120</v>
      </c>
      <c r="J18" s="120" t="str">
        <f t="shared" si="1"/>
        <v>0</v>
      </c>
      <c r="K18" s="120" t="str">
        <f t="shared" si="2"/>
        <v>0</v>
      </c>
      <c r="L18" s="121"/>
      <c r="M18" s="121"/>
      <c r="N18" s="122" t="s">
        <v>99</v>
      </c>
      <c r="O18" s="302"/>
      <c r="P18" s="303"/>
      <c r="Q18" s="304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12859</v>
      </c>
      <c r="C19" s="17" t="s">
        <v>228</v>
      </c>
      <c r="D19" s="193" t="s">
        <v>229</v>
      </c>
      <c r="E19" s="171" t="s">
        <v>92</v>
      </c>
      <c r="F19" s="57">
        <v>1435</v>
      </c>
      <c r="G19" s="112" t="s">
        <v>110</v>
      </c>
      <c r="H19" s="114"/>
      <c r="I19" s="115">
        <v>95</v>
      </c>
      <c r="J19" s="120" t="str">
        <f t="shared" si="1"/>
        <v>0</v>
      </c>
      <c r="K19" s="120" t="str">
        <f t="shared" si="2"/>
        <v>0</v>
      </c>
      <c r="L19" s="121"/>
      <c r="M19" s="121"/>
      <c r="N19" s="122" t="s">
        <v>99</v>
      </c>
      <c r="O19" s="302"/>
      <c r="P19" s="303"/>
      <c r="Q19" s="303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12860</v>
      </c>
      <c r="C20" s="17" t="s">
        <v>225</v>
      </c>
      <c r="D20" s="193" t="s">
        <v>226</v>
      </c>
      <c r="E20" s="171" t="s">
        <v>92</v>
      </c>
      <c r="F20" s="57">
        <v>1445</v>
      </c>
      <c r="G20" s="112" t="s">
        <v>227</v>
      </c>
      <c r="H20" s="114">
        <v>75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10"/>
      <c r="P20" s="311"/>
      <c r="Q20" s="31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12861</v>
      </c>
      <c r="C21" s="17" t="s">
        <v>230</v>
      </c>
      <c r="D21" s="193" t="s">
        <v>231</v>
      </c>
      <c r="E21" s="171" t="s">
        <v>92</v>
      </c>
      <c r="F21" s="57">
        <v>1610</v>
      </c>
      <c r="G21" s="19" t="s">
        <v>106</v>
      </c>
      <c r="H21" s="114"/>
      <c r="I21" s="115">
        <v>55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98</v>
      </c>
      <c r="O21" s="302"/>
      <c r="P21" s="303"/>
      <c r="Q21" s="303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02"/>
      <c r="P22" s="303"/>
      <c r="Q22" s="304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08"/>
      <c r="Y23" s="309"/>
      <c r="Z23" s="30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02"/>
      <c r="P24" s="303"/>
      <c r="Q24" s="304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02"/>
      <c r="P25" s="303"/>
      <c r="Q25" s="304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12">
        <f>((C32+(R26+S26+T26)*0.5))</f>
        <v>1834.1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02"/>
      <c r="P26" s="303"/>
      <c r="Q26" s="304"/>
      <c r="R26" s="103">
        <f>R25*37.5</f>
        <v>0</v>
      </c>
      <c r="S26" s="93">
        <f>S25*41.5</f>
        <v>0</v>
      </c>
      <c r="T26" s="93">
        <f>T25*50</f>
        <v>0</v>
      </c>
      <c r="U26" s="31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02"/>
      <c r="P27" s="303"/>
      <c r="Q27" s="304"/>
      <c r="R27" s="321" t="s">
        <v>56</v>
      </c>
      <c r="S27" s="322"/>
      <c r="T27" s="322"/>
      <c r="U27" s="32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2"/>
      <c r="P28" s="303"/>
      <c r="Q28" s="304"/>
      <c r="R28" s="314"/>
      <c r="S28" s="315"/>
      <c r="T28" s="31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3"/>
      <c r="P29" s="334"/>
      <c r="Q29" s="335"/>
      <c r="R29" s="336"/>
      <c r="S29" s="337"/>
      <c r="T29" s="338"/>
      <c r="U29" s="140"/>
      <c r="X29" s="14">
        <v>3</v>
      </c>
      <c r="Z29" s="45"/>
      <c r="AE29" s="39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01">
        <f t="shared" ref="H30:M30" si="3">SUM(H5:H29)</f>
        <v>800</v>
      </c>
      <c r="I30" s="96">
        <f>SUM(I5:I29)</f>
        <v>955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79.099999999999994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2"/>
      <c r="S30" s="342"/>
      <c r="T30" s="343"/>
      <c r="U30" s="141"/>
      <c r="X30" s="14">
        <v>4</v>
      </c>
      <c r="Z30" s="45"/>
      <c r="AD30" s="46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02">
        <f t="shared" ref="H31:J31" si="4">H30+H62+H94</f>
        <v>800</v>
      </c>
      <c r="I31" s="94">
        <f t="shared" si="4"/>
        <v>955</v>
      </c>
      <c r="J31" s="94">
        <f t="shared" si="4"/>
        <v>0</v>
      </c>
      <c r="K31" s="94">
        <f>K30+K62+K94</f>
        <v>79.099999999999994</v>
      </c>
      <c r="L31" s="88">
        <f>L30+L62+L94</f>
        <v>0</v>
      </c>
      <c r="M31" s="88">
        <f>M30+M62+M94</f>
        <v>0</v>
      </c>
      <c r="N31" s="207">
        <f>COUNT(H5:H29,H37:H61,H69:H93)</f>
        <v>7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800</v>
      </c>
      <c r="T31" s="329">
        <f>H31+I31+L31+M31</f>
        <v>1755</v>
      </c>
      <c r="U31" s="330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7" t="s">
        <v>55</v>
      </c>
      <c r="B32" s="318"/>
      <c r="C32" s="98">
        <f>H31+I31+J31+K31</f>
        <v>1834.1</v>
      </c>
      <c r="D32" s="186"/>
      <c r="E32" s="98"/>
      <c r="F32" s="319" t="s">
        <v>53</v>
      </c>
      <c r="G32" s="319"/>
      <c r="H32" s="100">
        <f>COUNT(B5:B29,B37:B61,B69:B93)</f>
        <v>17</v>
      </c>
      <c r="I32" s="320" t="s">
        <v>54</v>
      </c>
      <c r="J32" s="320"/>
      <c r="K32" s="99">
        <f>C32/H32</f>
        <v>107.88823529411764</v>
      </c>
      <c r="L32" s="208"/>
      <c r="M32" s="208"/>
      <c r="N32" s="208">
        <f>H31/C32</f>
        <v>0.43618123330243719</v>
      </c>
      <c r="O32" s="208">
        <f>I31/C32</f>
        <v>0.52069134725478439</v>
      </c>
      <c r="P32" s="208">
        <f>K31/C32</f>
        <v>4.3127419442778474E-2</v>
      </c>
      <c r="Q32" s="101">
        <f>J31/C32</f>
        <v>0</v>
      </c>
      <c r="R32" s="90" t="s">
        <v>82</v>
      </c>
      <c r="S32" s="203">
        <f>I31+M31</f>
        <v>955</v>
      </c>
      <c r="T32" s="331"/>
      <c r="U32" s="332"/>
      <c r="V32" s="39"/>
      <c r="W32" s="39"/>
      <c r="X32" s="48" t="s">
        <v>27</v>
      </c>
      <c r="Y32" s="48"/>
      <c r="Z32" s="47">
        <f>I31</f>
        <v>955</v>
      </c>
    </row>
    <row r="33" spans="1:33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49" t="s">
        <v>29</v>
      </c>
      <c r="Y33" s="49"/>
      <c r="Z33" s="50">
        <f>SUM(Z31:Z32)</f>
        <v>-1790</v>
      </c>
      <c r="AG33" s="35"/>
    </row>
    <row r="34" spans="1:33" ht="17.25" thickBot="1" x14ac:dyDescent="0.35">
      <c r="A34" s="285" t="str">
        <f>A2</f>
        <v>14-12-2022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SUNNY</v>
      </c>
      <c r="K34" s="287"/>
      <c r="L34" s="289" t="s">
        <v>50</v>
      </c>
      <c r="M34" s="290"/>
      <c r="N34" s="288"/>
      <c r="O34" s="286" t="str">
        <f>O2</f>
        <v>JOHN</v>
      </c>
      <c r="P34" s="286"/>
      <c r="Q34" s="287"/>
      <c r="R34" s="289" t="s">
        <v>51</v>
      </c>
      <c r="S34" s="288"/>
      <c r="T34" s="291">
        <f>T2</f>
        <v>6</v>
      </c>
      <c r="U34" s="29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95" t="s">
        <v>8</v>
      </c>
      <c r="P36" s="295"/>
      <c r="Q36" s="295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2"/>
      <c r="P37" s="303"/>
      <c r="Q37" s="304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99"/>
      <c r="P38" s="300"/>
      <c r="Q38" s="30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2"/>
      <c r="P39" s="303"/>
      <c r="Q39" s="304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05"/>
      <c r="P40" s="306"/>
      <c r="Q40" s="307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05"/>
      <c r="P41" s="306"/>
      <c r="Q41" s="307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2"/>
      <c r="P42" s="293"/>
      <c r="Q42" s="294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2"/>
      <c r="P43" s="303"/>
      <c r="Q43" s="304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2"/>
      <c r="P44" s="303"/>
      <c r="Q44" s="304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2"/>
      <c r="P45" s="303"/>
      <c r="Q45" s="304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2"/>
      <c r="P46" s="303"/>
      <c r="Q46" s="304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2"/>
      <c r="P47" s="303"/>
      <c r="Q47" s="304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2"/>
      <c r="P48" s="303"/>
      <c r="Q48" s="304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2"/>
      <c r="P49" s="303"/>
      <c r="Q49" s="304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2"/>
      <c r="P50" s="303"/>
      <c r="Q50" s="304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2"/>
      <c r="P51" s="303"/>
      <c r="Q51" s="303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2"/>
      <c r="P52" s="303"/>
      <c r="Q52" s="303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46"/>
      <c r="P53" s="302"/>
      <c r="Q53" s="30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46"/>
      <c r="P54" s="302"/>
      <c r="Q54" s="30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46"/>
      <c r="P55" s="302"/>
      <c r="Q55" s="30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3"/>
      <c r="P56" s="303"/>
      <c r="Q56" s="303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2"/>
      <c r="P57" s="303"/>
      <c r="Q57" s="303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3"/>
      <c r="P58" s="303"/>
      <c r="Q58" s="303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3"/>
      <c r="P59" s="303"/>
      <c r="Q59" s="303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2"/>
      <c r="P60" s="303"/>
      <c r="Q60" s="304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7"/>
      <c r="P61" s="348"/>
      <c r="Q61" s="349"/>
      <c r="R61" s="72"/>
      <c r="S61" s="59"/>
      <c r="T61" s="59"/>
      <c r="U61" s="68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14-12-2022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SUNNY</v>
      </c>
      <c r="K66" s="287"/>
      <c r="L66" s="289" t="s">
        <v>50</v>
      </c>
      <c r="M66" s="290"/>
      <c r="N66" s="288"/>
      <c r="O66" s="286" t="str">
        <f>O34</f>
        <v>JOHN</v>
      </c>
      <c r="P66" s="286"/>
      <c r="Q66" s="287"/>
      <c r="R66" s="289" t="s">
        <v>51</v>
      </c>
      <c r="S66" s="288"/>
      <c r="T66" s="291">
        <f>T34</f>
        <v>6</v>
      </c>
      <c r="U66" s="29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95" t="s">
        <v>8</v>
      </c>
      <c r="P68" s="295"/>
      <c r="Q68" s="295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2"/>
      <c r="P69" s="303"/>
      <c r="Q69" s="304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99"/>
      <c r="P70" s="300"/>
      <c r="Q70" s="30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2"/>
      <c r="P71" s="303"/>
      <c r="Q71" s="304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05"/>
      <c r="P72" s="306"/>
      <c r="Q72" s="307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05"/>
      <c r="P73" s="306"/>
      <c r="Q73" s="307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2"/>
      <c r="P74" s="293"/>
      <c r="Q74" s="294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2"/>
      <c r="P75" s="303"/>
      <c r="Q75" s="304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2"/>
      <c r="P76" s="303"/>
      <c r="Q76" s="304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2"/>
      <c r="P77" s="303"/>
      <c r="Q77" s="304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2"/>
      <c r="P78" s="303"/>
      <c r="Q78" s="304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2"/>
      <c r="P79" s="303"/>
      <c r="Q79" s="304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2"/>
      <c r="P80" s="303"/>
      <c r="Q80" s="304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2"/>
      <c r="P81" s="303"/>
      <c r="Q81" s="304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2"/>
      <c r="P82" s="303"/>
      <c r="Q82" s="304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2"/>
      <c r="P83" s="303"/>
      <c r="Q83" s="303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2"/>
      <c r="P84" s="303"/>
      <c r="Q84" s="303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46"/>
      <c r="P85" s="302"/>
      <c r="Q85" s="30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46"/>
      <c r="P86" s="302"/>
      <c r="Q86" s="30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46"/>
      <c r="P87" s="302"/>
      <c r="Q87" s="30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3"/>
      <c r="P88" s="303"/>
      <c r="Q88" s="303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2"/>
      <c r="P89" s="303"/>
      <c r="Q89" s="303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3"/>
      <c r="P90" s="303"/>
      <c r="Q90" s="303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3"/>
      <c r="P91" s="303"/>
      <c r="Q91" s="303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2"/>
      <c r="P92" s="303"/>
      <c r="Q92" s="304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7"/>
      <c r="P93" s="348"/>
      <c r="Q93" s="349"/>
      <c r="R93" s="72"/>
      <c r="S93" s="59"/>
      <c r="T93" s="59"/>
      <c r="U93" s="68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V30" sqref="V30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232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131</v>
      </c>
      <c r="K2" s="287"/>
      <c r="L2" s="289" t="s">
        <v>96</v>
      </c>
      <c r="M2" s="290"/>
      <c r="N2" s="288"/>
      <c r="O2" s="286" t="s">
        <v>98</v>
      </c>
      <c r="P2" s="286"/>
      <c r="Q2" s="287"/>
      <c r="R2" s="289" t="s">
        <v>51</v>
      </c>
      <c r="S2" s="288"/>
      <c r="T2" s="291">
        <v>6</v>
      </c>
      <c r="U2" s="29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95" t="s">
        <v>8</v>
      </c>
      <c r="P4" s="295"/>
      <c r="Q4" s="295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12862</v>
      </c>
      <c r="C5" s="59" t="s">
        <v>234</v>
      </c>
      <c r="D5" s="190" t="s">
        <v>235</v>
      </c>
      <c r="E5" s="171" t="s">
        <v>92</v>
      </c>
      <c r="F5" s="160">
        <v>845</v>
      </c>
      <c r="G5" s="109" t="s">
        <v>110</v>
      </c>
      <c r="H5" s="82"/>
      <c r="I5" s="115">
        <v>75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296"/>
      <c r="P5" s="297"/>
      <c r="Q5" s="298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12863</v>
      </c>
      <c r="C6" s="58" t="s">
        <v>236</v>
      </c>
      <c r="D6" s="190" t="s">
        <v>237</v>
      </c>
      <c r="E6" s="171" t="s">
        <v>92</v>
      </c>
      <c r="F6" s="161">
        <v>905</v>
      </c>
      <c r="G6" s="109" t="s">
        <v>227</v>
      </c>
      <c r="H6" s="82">
        <v>65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299"/>
      <c r="P6" s="300"/>
      <c r="Q6" s="301"/>
      <c r="R6" s="122" t="s">
        <v>99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12864</v>
      </c>
      <c r="C7" s="58" t="s">
        <v>238</v>
      </c>
      <c r="D7" s="190" t="s">
        <v>239</v>
      </c>
      <c r="E7" s="171" t="s">
        <v>92</v>
      </c>
      <c r="F7" s="161">
        <v>920</v>
      </c>
      <c r="G7" s="109" t="s">
        <v>107</v>
      </c>
      <c r="H7" s="82">
        <v>120</v>
      </c>
      <c r="I7" s="115">
        <v>30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98</v>
      </c>
      <c r="O7" s="302"/>
      <c r="P7" s="303"/>
      <c r="Q7" s="304"/>
      <c r="R7" s="124" t="s">
        <v>100</v>
      </c>
      <c r="S7" s="30">
        <v>0.375</v>
      </c>
      <c r="T7" s="31">
        <v>0.66666666666666663</v>
      </c>
      <c r="U7" s="83">
        <f t="shared" si="0"/>
        <v>6.9999999999999991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12865</v>
      </c>
      <c r="C8" s="26" t="s">
        <v>240</v>
      </c>
      <c r="D8" s="190" t="s">
        <v>241</v>
      </c>
      <c r="E8" s="171" t="s">
        <v>92</v>
      </c>
      <c r="F8" s="161">
        <v>920</v>
      </c>
      <c r="G8" s="109" t="s">
        <v>227</v>
      </c>
      <c r="H8" s="82"/>
      <c r="I8" s="115">
        <v>65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05"/>
      <c r="P8" s="306"/>
      <c r="Q8" s="307"/>
      <c r="R8" s="25" t="s">
        <v>101</v>
      </c>
      <c r="S8" s="30">
        <v>0.44791666666666669</v>
      </c>
      <c r="T8" s="31">
        <v>0.70833333333333337</v>
      </c>
      <c r="U8" s="83">
        <f t="shared" si="0"/>
        <v>6.25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260">
        <v>5</v>
      </c>
      <c r="B9" s="279">
        <v>12866</v>
      </c>
      <c r="C9" s="270" t="s">
        <v>242</v>
      </c>
      <c r="D9" s="280" t="s">
        <v>243</v>
      </c>
      <c r="E9" s="264" t="s">
        <v>92</v>
      </c>
      <c r="F9" s="281">
        <v>1000</v>
      </c>
      <c r="G9" s="261" t="s">
        <v>107</v>
      </c>
      <c r="H9" s="268"/>
      <c r="I9" s="268">
        <v>120</v>
      </c>
      <c r="J9" s="268" t="str">
        <f t="shared" si="1"/>
        <v>0</v>
      </c>
      <c r="K9" s="268" t="str">
        <f t="shared" si="2"/>
        <v>0</v>
      </c>
      <c r="L9" s="269"/>
      <c r="M9" s="269"/>
      <c r="N9" s="270" t="s">
        <v>99</v>
      </c>
      <c r="O9" s="376" t="s">
        <v>166</v>
      </c>
      <c r="P9" s="377"/>
      <c r="Q9" s="378"/>
      <c r="R9" s="25" t="s">
        <v>233</v>
      </c>
      <c r="S9" s="30">
        <v>0.375</v>
      </c>
      <c r="T9" s="31">
        <v>0.70833333333333337</v>
      </c>
      <c r="U9" s="83">
        <f t="shared" si="0"/>
        <v>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12867</v>
      </c>
      <c r="C10" s="27" t="s">
        <v>247</v>
      </c>
      <c r="D10" s="192" t="s">
        <v>248</v>
      </c>
      <c r="E10" s="171" t="s">
        <v>91</v>
      </c>
      <c r="F10" s="163">
        <v>1010</v>
      </c>
      <c r="G10" s="111" t="s">
        <v>169</v>
      </c>
      <c r="H10" s="114"/>
      <c r="I10" s="116"/>
      <c r="J10" s="120" t="str">
        <f t="shared" si="1"/>
        <v>0</v>
      </c>
      <c r="K10" s="120">
        <v>62.5</v>
      </c>
      <c r="L10" s="121"/>
      <c r="M10" s="121"/>
      <c r="N10" s="124" t="s">
        <v>98</v>
      </c>
      <c r="O10" s="292" t="s">
        <v>249</v>
      </c>
      <c r="P10" s="293"/>
      <c r="Q10" s="294"/>
      <c r="R10" s="25" t="s">
        <v>193</v>
      </c>
      <c r="S10" s="30">
        <v>0.375</v>
      </c>
      <c r="T10" s="31">
        <v>0.70833333333333337</v>
      </c>
      <c r="U10" s="83">
        <f t="shared" si="0"/>
        <v>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12868</v>
      </c>
      <c r="C11" s="17" t="s">
        <v>244</v>
      </c>
      <c r="D11" s="193" t="s">
        <v>245</v>
      </c>
      <c r="E11" s="171" t="s">
        <v>92</v>
      </c>
      <c r="F11" s="57">
        <v>1045</v>
      </c>
      <c r="G11" s="112" t="s">
        <v>169</v>
      </c>
      <c r="H11" s="114"/>
      <c r="I11" s="115"/>
      <c r="J11" s="120" t="str">
        <f t="shared" si="1"/>
        <v>0</v>
      </c>
      <c r="K11" s="120">
        <v>62.5</v>
      </c>
      <c r="L11" s="121"/>
      <c r="M11" s="121"/>
      <c r="N11" s="124" t="s">
        <v>98</v>
      </c>
      <c r="O11" s="302" t="s">
        <v>246</v>
      </c>
      <c r="P11" s="303"/>
      <c r="Q11" s="304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12869</v>
      </c>
      <c r="C12" s="55" t="s">
        <v>250</v>
      </c>
      <c r="D12" s="194" t="s">
        <v>251</v>
      </c>
      <c r="E12" s="171" t="s">
        <v>92</v>
      </c>
      <c r="F12" s="163">
        <v>1045</v>
      </c>
      <c r="G12" s="110" t="s">
        <v>110</v>
      </c>
      <c r="H12" s="114">
        <v>75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02"/>
      <c r="P12" s="303"/>
      <c r="Q12" s="304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12870</v>
      </c>
      <c r="C13" s="55" t="s">
        <v>252</v>
      </c>
      <c r="D13" s="194" t="s">
        <v>253</v>
      </c>
      <c r="E13" s="171" t="s">
        <v>91</v>
      </c>
      <c r="F13" s="163">
        <v>1100</v>
      </c>
      <c r="G13" s="110" t="s">
        <v>107</v>
      </c>
      <c r="H13" s="159">
        <v>120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302"/>
      <c r="P13" s="303"/>
      <c r="Q13" s="304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254">
        <v>12871</v>
      </c>
      <c r="C14" s="273" t="s">
        <v>254</v>
      </c>
      <c r="D14" s="274" t="s">
        <v>255</v>
      </c>
      <c r="E14" s="252" t="s">
        <v>91</v>
      </c>
      <c r="F14" s="275">
        <v>1130</v>
      </c>
      <c r="G14" s="249" t="s">
        <v>169</v>
      </c>
      <c r="H14" s="272"/>
      <c r="I14" s="272"/>
      <c r="J14" s="257" t="str">
        <f t="shared" si="1"/>
        <v>0</v>
      </c>
      <c r="K14" s="257">
        <v>62.5</v>
      </c>
      <c r="L14" s="258"/>
      <c r="M14" s="258">
        <v>375</v>
      </c>
      <c r="N14" s="259" t="s">
        <v>98</v>
      </c>
      <c r="O14" s="324" t="s">
        <v>256</v>
      </c>
      <c r="P14" s="325"/>
      <c r="Q14" s="326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12872</v>
      </c>
      <c r="C15" s="56" t="s">
        <v>257</v>
      </c>
      <c r="D15" s="195" t="s">
        <v>258</v>
      </c>
      <c r="E15" s="171" t="s">
        <v>92</v>
      </c>
      <c r="F15" s="164">
        <v>1150</v>
      </c>
      <c r="G15" s="113" t="s">
        <v>110</v>
      </c>
      <c r="H15" s="114">
        <v>95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302"/>
      <c r="P15" s="303"/>
      <c r="Q15" s="304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12873</v>
      </c>
      <c r="C16" s="56" t="s">
        <v>259</v>
      </c>
      <c r="D16" s="195" t="s">
        <v>260</v>
      </c>
      <c r="E16" s="171" t="s">
        <v>92</v>
      </c>
      <c r="F16" s="164">
        <v>1205</v>
      </c>
      <c r="G16" s="113" t="s">
        <v>106</v>
      </c>
      <c r="H16" s="114"/>
      <c r="I16" s="115">
        <v>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302"/>
      <c r="P16" s="303"/>
      <c r="Q16" s="304"/>
      <c r="R16" s="73">
        <f>H32/U16</f>
        <v>0.40211640211640209</v>
      </c>
      <c r="S16" s="74">
        <f>H32/(U16-U5)</f>
        <v>0.49673202614379086</v>
      </c>
      <c r="T16" s="74">
        <f>C32/U16</f>
        <v>38.571428571428569</v>
      </c>
      <c r="U16" s="74">
        <f>SUM(U5:U15)</f>
        <v>47.25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12874</v>
      </c>
      <c r="C17" s="17" t="s">
        <v>266</v>
      </c>
      <c r="D17" s="193" t="s">
        <v>273</v>
      </c>
      <c r="E17" s="171" t="s">
        <v>91</v>
      </c>
      <c r="F17" s="57">
        <v>1355</v>
      </c>
      <c r="G17" s="112" t="s">
        <v>123</v>
      </c>
      <c r="H17" s="114"/>
      <c r="I17" s="115"/>
      <c r="J17" s="120" t="str">
        <f t="shared" si="1"/>
        <v>0</v>
      </c>
      <c r="K17" s="120">
        <v>125</v>
      </c>
      <c r="L17" s="121"/>
      <c r="M17" s="121"/>
      <c r="N17" s="124" t="s">
        <v>98</v>
      </c>
      <c r="O17" s="302" t="s">
        <v>267</v>
      </c>
      <c r="P17" s="303"/>
      <c r="Q17" s="304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12875</v>
      </c>
      <c r="C18" s="17" t="s">
        <v>264</v>
      </c>
      <c r="D18" s="193" t="s">
        <v>265</v>
      </c>
      <c r="E18" s="171" t="s">
        <v>92</v>
      </c>
      <c r="F18" s="57">
        <v>1405</v>
      </c>
      <c r="G18" s="19" t="s">
        <v>110</v>
      </c>
      <c r="H18" s="114"/>
      <c r="I18" s="115">
        <v>95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302"/>
      <c r="P18" s="303"/>
      <c r="Q18" s="304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12876</v>
      </c>
      <c r="C19" s="17" t="s">
        <v>268</v>
      </c>
      <c r="D19" s="193" t="s">
        <v>269</v>
      </c>
      <c r="E19" s="171" t="s">
        <v>92</v>
      </c>
      <c r="F19" s="57">
        <v>1410</v>
      </c>
      <c r="G19" s="112" t="s">
        <v>270</v>
      </c>
      <c r="H19" s="114"/>
      <c r="I19" s="115">
        <v>100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302"/>
      <c r="P19" s="303"/>
      <c r="Q19" s="303"/>
      <c r="R19" s="84" t="s">
        <v>45</v>
      </c>
      <c r="S19" s="85">
        <f>COUNT(L5:M29,L37:M61,L69:M93)</f>
        <v>2</v>
      </c>
      <c r="T19" s="107">
        <f>SUM(L5:M29,L37:M61,L69:M93)</f>
        <v>850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12877</v>
      </c>
      <c r="C20" s="17" t="s">
        <v>271</v>
      </c>
      <c r="D20" s="193" t="s">
        <v>272</v>
      </c>
      <c r="E20" s="171" t="s">
        <v>92</v>
      </c>
      <c r="F20" s="57">
        <v>1440</v>
      </c>
      <c r="G20" s="112" t="s">
        <v>106</v>
      </c>
      <c r="H20" s="114"/>
      <c r="I20" s="115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10"/>
      <c r="P20" s="311"/>
      <c r="Q20" s="31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249">
        <v>12878</v>
      </c>
      <c r="C21" s="276" t="s">
        <v>261</v>
      </c>
      <c r="D21" s="277" t="s">
        <v>262</v>
      </c>
      <c r="E21" s="252" t="s">
        <v>91</v>
      </c>
      <c r="F21" s="278">
        <v>1440</v>
      </c>
      <c r="G21" s="254" t="s">
        <v>169</v>
      </c>
      <c r="H21" s="272"/>
      <c r="I21" s="257"/>
      <c r="J21" s="257" t="str">
        <f t="shared" si="1"/>
        <v>0</v>
      </c>
      <c r="K21" s="257">
        <v>125</v>
      </c>
      <c r="L21" s="258"/>
      <c r="M21" s="258">
        <v>475</v>
      </c>
      <c r="N21" s="259" t="s">
        <v>98</v>
      </c>
      <c r="O21" s="324" t="s">
        <v>263</v>
      </c>
      <c r="P21" s="325"/>
      <c r="Q21" s="32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12879</v>
      </c>
      <c r="C22" s="21" t="s">
        <v>274</v>
      </c>
      <c r="D22" s="196" t="s">
        <v>275</v>
      </c>
      <c r="E22" s="171" t="s">
        <v>92</v>
      </c>
      <c r="F22" s="165">
        <v>1550</v>
      </c>
      <c r="G22" s="204" t="s">
        <v>107</v>
      </c>
      <c r="H22" s="80">
        <v>150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98</v>
      </c>
      <c r="O22" s="302"/>
      <c r="P22" s="303"/>
      <c r="Q22" s="304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12880</v>
      </c>
      <c r="C23" s="126" t="s">
        <v>279</v>
      </c>
      <c r="D23" s="197" t="s">
        <v>280</v>
      </c>
      <c r="E23" s="171" t="s">
        <v>91</v>
      </c>
      <c r="F23" s="166">
        <v>1613</v>
      </c>
      <c r="G23" s="155" t="s">
        <v>123</v>
      </c>
      <c r="H23" s="80"/>
      <c r="I23" s="131"/>
      <c r="J23" s="120" t="str">
        <f t="shared" si="1"/>
        <v>0</v>
      </c>
      <c r="K23" s="120">
        <v>125</v>
      </c>
      <c r="L23" s="117"/>
      <c r="M23" s="117"/>
      <c r="N23" s="282" t="s">
        <v>98</v>
      </c>
      <c r="O23" s="302" t="s">
        <v>281</v>
      </c>
      <c r="P23" s="303"/>
      <c r="Q23" s="304"/>
      <c r="R23" s="104"/>
      <c r="S23" s="105"/>
      <c r="T23" s="105"/>
      <c r="U23" s="106"/>
      <c r="X23" s="308"/>
      <c r="Y23" s="309"/>
      <c r="Z23" s="30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02"/>
      <c r="P24" s="303"/>
      <c r="Q24" s="304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02"/>
      <c r="P25" s="303"/>
      <c r="Q25" s="304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12">
        <f>((C32+(R26+S26+T26)*0.5))</f>
        <v>1822.5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02"/>
      <c r="P26" s="303"/>
      <c r="Q26" s="304"/>
      <c r="R26" s="103">
        <f>R25*37.5</f>
        <v>0</v>
      </c>
      <c r="S26" s="93">
        <f>S25*41.5</f>
        <v>0</v>
      </c>
      <c r="T26" s="93">
        <f>T25*50</f>
        <v>0</v>
      </c>
      <c r="U26" s="31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02"/>
      <c r="P27" s="303"/>
      <c r="Q27" s="304"/>
      <c r="R27" s="321" t="s">
        <v>56</v>
      </c>
      <c r="S27" s="322"/>
      <c r="T27" s="322"/>
      <c r="U27" s="32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2"/>
      <c r="P28" s="303"/>
      <c r="Q28" s="304"/>
      <c r="R28" s="314"/>
      <c r="S28" s="315"/>
      <c r="T28" s="31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3"/>
      <c r="P29" s="334"/>
      <c r="Q29" s="335"/>
      <c r="R29" s="336"/>
      <c r="S29" s="337"/>
      <c r="T29" s="338"/>
      <c r="U29" s="140"/>
      <c r="X29" s="14">
        <v>3</v>
      </c>
      <c r="Z29" s="45"/>
      <c r="AE29" s="39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01">
        <f t="shared" ref="H30:M30" si="3">SUM(H5:H29)</f>
        <v>625</v>
      </c>
      <c r="I30" s="96">
        <f>SUM(I5:I29)</f>
        <v>635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562.5</v>
      </c>
      <c r="L30" s="97">
        <f t="shared" si="3"/>
        <v>0</v>
      </c>
      <c r="M30" s="97">
        <f t="shared" si="3"/>
        <v>850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2"/>
      <c r="S30" s="342"/>
      <c r="T30" s="343"/>
      <c r="U30" s="141"/>
      <c r="X30" s="14">
        <v>4</v>
      </c>
      <c r="Z30" s="45"/>
      <c r="AD30" s="46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02">
        <f t="shared" ref="H31:J31" si="4">H30+H62+H94</f>
        <v>625</v>
      </c>
      <c r="I31" s="94">
        <f t="shared" si="4"/>
        <v>635</v>
      </c>
      <c r="J31" s="94">
        <f t="shared" si="4"/>
        <v>0</v>
      </c>
      <c r="K31" s="94">
        <f>K30+K62+K94</f>
        <v>562.5</v>
      </c>
      <c r="L31" s="88">
        <f>L30+L62+L94</f>
        <v>0</v>
      </c>
      <c r="M31" s="88">
        <f>M30+M62+M94</f>
        <v>850</v>
      </c>
      <c r="N31" s="207">
        <f>COUNT(H5:H29,H37:H61,H69:H93)</f>
        <v>6</v>
      </c>
      <c r="O31" s="95">
        <f>COUNT(I5:I29,I37:I61,I69:I93)</f>
        <v>8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625</v>
      </c>
      <c r="T31" s="329">
        <f>H31+I31+L31+M31</f>
        <v>2110</v>
      </c>
      <c r="U31" s="330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7" t="s">
        <v>55</v>
      </c>
      <c r="B32" s="318"/>
      <c r="C32" s="98">
        <f>H31+I31+J31+K31</f>
        <v>1822.5</v>
      </c>
      <c r="D32" s="186"/>
      <c r="E32" s="98"/>
      <c r="F32" s="319" t="s">
        <v>53</v>
      </c>
      <c r="G32" s="319"/>
      <c r="H32" s="100">
        <f>COUNT(B5:B29,B37:B61,B69:B93)</f>
        <v>19</v>
      </c>
      <c r="I32" s="320" t="s">
        <v>54</v>
      </c>
      <c r="J32" s="320"/>
      <c r="K32" s="99">
        <f>C32/H32</f>
        <v>95.921052631578945</v>
      </c>
      <c r="L32" s="208"/>
      <c r="M32" s="208"/>
      <c r="N32" s="208">
        <f>H31/C32</f>
        <v>0.34293552812071332</v>
      </c>
      <c r="O32" s="208">
        <f>I31/C32</f>
        <v>0.34842249657064472</v>
      </c>
      <c r="P32" s="208">
        <f>K31/C32</f>
        <v>0.30864197530864196</v>
      </c>
      <c r="Q32" s="101">
        <f>J31/C32</f>
        <v>0</v>
      </c>
      <c r="R32" s="90" t="s">
        <v>82</v>
      </c>
      <c r="S32" s="203">
        <f>I31+M31</f>
        <v>1485</v>
      </c>
      <c r="T32" s="331"/>
      <c r="U32" s="332"/>
      <c r="V32" s="39"/>
      <c r="W32" s="39"/>
      <c r="X32" s="48" t="s">
        <v>27</v>
      </c>
      <c r="Y32" s="48"/>
      <c r="Z32" s="47">
        <f>I31</f>
        <v>635</v>
      </c>
    </row>
    <row r="33" spans="1:33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49" t="s">
        <v>29</v>
      </c>
      <c r="Y33" s="49"/>
      <c r="Z33" s="50">
        <f>SUM(Z31:Z32)</f>
        <v>-2110</v>
      </c>
      <c r="AG33" s="35"/>
    </row>
    <row r="34" spans="1:33" ht="17.25" thickBot="1" x14ac:dyDescent="0.35">
      <c r="A34" s="285" t="str">
        <f>A2</f>
        <v>15 - 12 - 2022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SUNNY</v>
      </c>
      <c r="K34" s="287"/>
      <c r="L34" s="289" t="s">
        <v>50</v>
      </c>
      <c r="M34" s="290"/>
      <c r="N34" s="288"/>
      <c r="O34" s="286" t="str">
        <f>O2</f>
        <v>JOHN</v>
      </c>
      <c r="P34" s="286"/>
      <c r="Q34" s="287"/>
      <c r="R34" s="289" t="s">
        <v>51</v>
      </c>
      <c r="S34" s="288"/>
      <c r="T34" s="291">
        <f>T2</f>
        <v>6</v>
      </c>
      <c r="U34" s="29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95" t="s">
        <v>8</v>
      </c>
      <c r="P36" s="295"/>
      <c r="Q36" s="295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2"/>
      <c r="P37" s="303"/>
      <c r="Q37" s="304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99"/>
      <c r="P38" s="300"/>
      <c r="Q38" s="30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2"/>
      <c r="P39" s="303"/>
      <c r="Q39" s="304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05"/>
      <c r="P40" s="306"/>
      <c r="Q40" s="307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05"/>
      <c r="P41" s="306"/>
      <c r="Q41" s="307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2"/>
      <c r="P42" s="293"/>
      <c r="Q42" s="294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2"/>
      <c r="P43" s="303"/>
      <c r="Q43" s="304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2"/>
      <c r="P44" s="303"/>
      <c r="Q44" s="304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2"/>
      <c r="P45" s="303"/>
      <c r="Q45" s="304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2"/>
      <c r="P46" s="303"/>
      <c r="Q46" s="304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2"/>
      <c r="P47" s="303"/>
      <c r="Q47" s="304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2"/>
      <c r="P48" s="303"/>
      <c r="Q48" s="304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2"/>
      <c r="P49" s="303"/>
      <c r="Q49" s="304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2"/>
      <c r="P50" s="303"/>
      <c r="Q50" s="304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2"/>
      <c r="P51" s="303"/>
      <c r="Q51" s="303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2"/>
      <c r="P52" s="303"/>
      <c r="Q52" s="303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46"/>
      <c r="P53" s="302"/>
      <c r="Q53" s="30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46"/>
      <c r="P54" s="302"/>
      <c r="Q54" s="30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46"/>
      <c r="P55" s="302"/>
      <c r="Q55" s="30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3"/>
      <c r="P56" s="303"/>
      <c r="Q56" s="303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2"/>
      <c r="P57" s="303"/>
      <c r="Q57" s="303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3"/>
      <c r="P58" s="303"/>
      <c r="Q58" s="303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3"/>
      <c r="P59" s="303"/>
      <c r="Q59" s="303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2"/>
      <c r="P60" s="303"/>
      <c r="Q60" s="304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7"/>
      <c r="P61" s="348"/>
      <c r="Q61" s="349"/>
      <c r="R61" s="72"/>
      <c r="S61" s="59"/>
      <c r="T61" s="59"/>
      <c r="U61" s="68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15 - 12 - 2022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SUNNY</v>
      </c>
      <c r="K66" s="287"/>
      <c r="L66" s="289" t="s">
        <v>50</v>
      </c>
      <c r="M66" s="290"/>
      <c r="N66" s="288"/>
      <c r="O66" s="286" t="str">
        <f>O34</f>
        <v>JOHN</v>
      </c>
      <c r="P66" s="286"/>
      <c r="Q66" s="287"/>
      <c r="R66" s="289" t="s">
        <v>51</v>
      </c>
      <c r="S66" s="288"/>
      <c r="T66" s="291">
        <f>T34</f>
        <v>6</v>
      </c>
      <c r="U66" s="29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95" t="s">
        <v>8</v>
      </c>
      <c r="P68" s="295"/>
      <c r="Q68" s="295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2"/>
      <c r="P69" s="303"/>
      <c r="Q69" s="304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99"/>
      <c r="P70" s="300"/>
      <c r="Q70" s="30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2"/>
      <c r="P71" s="303"/>
      <c r="Q71" s="304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05"/>
      <c r="P72" s="306"/>
      <c r="Q72" s="307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05"/>
      <c r="P73" s="306"/>
      <c r="Q73" s="307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2"/>
      <c r="P74" s="293"/>
      <c r="Q74" s="294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2"/>
      <c r="P75" s="303"/>
      <c r="Q75" s="304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2"/>
      <c r="P76" s="303"/>
      <c r="Q76" s="304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2"/>
      <c r="P77" s="303"/>
      <c r="Q77" s="304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2"/>
      <c r="P78" s="303"/>
      <c r="Q78" s="304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2"/>
      <c r="P79" s="303"/>
      <c r="Q79" s="304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2"/>
      <c r="P80" s="303"/>
      <c r="Q80" s="304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2"/>
      <c r="P81" s="303"/>
      <c r="Q81" s="304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2"/>
      <c r="P82" s="303"/>
      <c r="Q82" s="304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2"/>
      <c r="P83" s="303"/>
      <c r="Q83" s="303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2"/>
      <c r="P84" s="303"/>
      <c r="Q84" s="303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46"/>
      <c r="P85" s="302"/>
      <c r="Q85" s="30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46"/>
      <c r="P86" s="302"/>
      <c r="Q86" s="30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46"/>
      <c r="P87" s="302"/>
      <c r="Q87" s="30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3"/>
      <c r="P88" s="303"/>
      <c r="Q88" s="303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2"/>
      <c r="P89" s="303"/>
      <c r="Q89" s="303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3"/>
      <c r="P90" s="303"/>
      <c r="Q90" s="303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3"/>
      <c r="P91" s="303"/>
      <c r="Q91" s="303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2"/>
      <c r="P92" s="303"/>
      <c r="Q92" s="304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7"/>
      <c r="P93" s="348"/>
      <c r="Q93" s="349"/>
      <c r="R93" s="72"/>
      <c r="S93" s="59"/>
      <c r="T93" s="59"/>
      <c r="U93" s="68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2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23:Q23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S32" sqref="S32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278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131</v>
      </c>
      <c r="K2" s="287"/>
      <c r="L2" s="289" t="s">
        <v>96</v>
      </c>
      <c r="M2" s="290"/>
      <c r="N2" s="288"/>
      <c r="O2" s="286" t="s">
        <v>99</v>
      </c>
      <c r="P2" s="286"/>
      <c r="Q2" s="287"/>
      <c r="R2" s="289" t="s">
        <v>51</v>
      </c>
      <c r="S2" s="288"/>
      <c r="T2" s="291">
        <v>6</v>
      </c>
      <c r="U2" s="29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95" t="s">
        <v>8</v>
      </c>
      <c r="P4" s="295"/>
      <c r="Q4" s="295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12881</v>
      </c>
      <c r="C5" s="59" t="s">
        <v>282</v>
      </c>
      <c r="D5" s="190" t="s">
        <v>283</v>
      </c>
      <c r="E5" s="171" t="s">
        <v>92</v>
      </c>
      <c r="F5" s="160">
        <v>800</v>
      </c>
      <c r="G5" s="109" t="s">
        <v>110</v>
      </c>
      <c r="H5" s="82"/>
      <c r="I5" s="115">
        <v>95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277</v>
      </c>
      <c r="O5" s="296"/>
      <c r="P5" s="297"/>
      <c r="Q5" s="298"/>
      <c r="R5" s="122" t="s">
        <v>99</v>
      </c>
      <c r="S5" s="30">
        <v>0.375</v>
      </c>
      <c r="T5" s="31">
        <v>0.70833333333333337</v>
      </c>
      <c r="U5" s="83">
        <f t="shared" ref="U5:U15" si="0">(T5-S5)*24</f>
        <v>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12882</v>
      </c>
      <c r="C6" s="58" t="s">
        <v>289</v>
      </c>
      <c r="D6" s="190" t="s">
        <v>290</v>
      </c>
      <c r="E6" s="171" t="s">
        <v>92</v>
      </c>
      <c r="F6" s="161">
        <v>1000</v>
      </c>
      <c r="G6" s="109" t="s">
        <v>123</v>
      </c>
      <c r="H6" s="82"/>
      <c r="I6" s="115"/>
      <c r="J6" s="120" t="str">
        <f t="shared" ref="J6:J29" si="1">IF(G6="RSL","55","0")</f>
        <v>0</v>
      </c>
      <c r="K6" s="120">
        <v>79.16</v>
      </c>
      <c r="L6" s="121"/>
      <c r="M6" s="121"/>
      <c r="N6" s="124" t="s">
        <v>99</v>
      </c>
      <c r="O6" s="299" t="s">
        <v>291</v>
      </c>
      <c r="P6" s="300"/>
      <c r="Q6" s="301"/>
      <c r="R6" s="124" t="s">
        <v>132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12883</v>
      </c>
      <c r="C7" s="58" t="s">
        <v>284</v>
      </c>
      <c r="D7" s="190" t="s">
        <v>285</v>
      </c>
      <c r="E7" s="171" t="s">
        <v>91</v>
      </c>
      <c r="F7" s="161">
        <v>1000</v>
      </c>
      <c r="G7" s="109" t="s">
        <v>107</v>
      </c>
      <c r="H7" s="82">
        <v>130</v>
      </c>
      <c r="I7" s="115"/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99</v>
      </c>
      <c r="O7" s="302"/>
      <c r="P7" s="303"/>
      <c r="Q7" s="304"/>
      <c r="R7" s="124" t="s">
        <v>277</v>
      </c>
      <c r="S7" s="30">
        <v>0.33333333333333331</v>
      </c>
      <c r="T7" s="31">
        <v>0.70833333333333337</v>
      </c>
      <c r="U7" s="83">
        <f t="shared" si="0"/>
        <v>9.0000000000000018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12884</v>
      </c>
      <c r="C8" s="26" t="s">
        <v>292</v>
      </c>
      <c r="D8" s="190" t="s">
        <v>293</v>
      </c>
      <c r="E8" s="171" t="s">
        <v>92</v>
      </c>
      <c r="F8" s="161">
        <v>1000</v>
      </c>
      <c r="G8" s="109" t="s">
        <v>106</v>
      </c>
      <c r="H8" s="82">
        <v>75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05"/>
      <c r="P8" s="306"/>
      <c r="Q8" s="307"/>
      <c r="R8" s="25" t="s">
        <v>101</v>
      </c>
      <c r="S8" s="30">
        <v>0.41666666666666669</v>
      </c>
      <c r="T8" s="31">
        <v>0.70833333333333337</v>
      </c>
      <c r="U8" s="83">
        <f t="shared" si="0"/>
        <v>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12885</v>
      </c>
      <c r="C9" s="54" t="s">
        <v>294</v>
      </c>
      <c r="D9" s="191" t="s">
        <v>295</v>
      </c>
      <c r="E9" s="171" t="s">
        <v>92</v>
      </c>
      <c r="F9" s="162">
        <v>1015</v>
      </c>
      <c r="G9" s="110" t="s">
        <v>106</v>
      </c>
      <c r="H9" s="82"/>
      <c r="I9" s="82">
        <v>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05"/>
      <c r="P9" s="306"/>
      <c r="Q9" s="307"/>
      <c r="R9" s="25" t="s">
        <v>276</v>
      </c>
      <c r="S9" s="30">
        <v>0.375</v>
      </c>
      <c r="T9" s="31">
        <v>0.70833333333333337</v>
      </c>
      <c r="U9" s="83">
        <f t="shared" si="0"/>
        <v>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12886</v>
      </c>
      <c r="C10" s="27" t="s">
        <v>296</v>
      </c>
      <c r="D10" s="192" t="s">
        <v>297</v>
      </c>
      <c r="E10" s="171" t="s">
        <v>91</v>
      </c>
      <c r="F10" s="163">
        <v>1100</v>
      </c>
      <c r="G10" s="111" t="s">
        <v>107</v>
      </c>
      <c r="H10" s="114">
        <v>120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292"/>
      <c r="P10" s="293"/>
      <c r="Q10" s="294"/>
      <c r="R10" s="25" t="s">
        <v>233</v>
      </c>
      <c r="S10" s="30">
        <v>0.375</v>
      </c>
      <c r="T10" s="31">
        <v>0.70833333333333337</v>
      </c>
      <c r="U10" s="83">
        <f t="shared" si="0"/>
        <v>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12887</v>
      </c>
      <c r="C11" s="17" t="s">
        <v>300</v>
      </c>
      <c r="D11" s="193" t="s">
        <v>301</v>
      </c>
      <c r="E11" s="171" t="s">
        <v>91</v>
      </c>
      <c r="F11" s="57">
        <v>1115</v>
      </c>
      <c r="G11" s="112" t="s">
        <v>110</v>
      </c>
      <c r="H11" s="114">
        <v>95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302"/>
      <c r="P11" s="303"/>
      <c r="Q11" s="304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12888</v>
      </c>
      <c r="C12" s="55" t="s">
        <v>298</v>
      </c>
      <c r="D12" s="194" t="s">
        <v>299</v>
      </c>
      <c r="E12" s="171" t="s">
        <v>91</v>
      </c>
      <c r="F12" s="163">
        <v>1125</v>
      </c>
      <c r="G12" s="110" t="s">
        <v>106</v>
      </c>
      <c r="H12" s="114"/>
      <c r="I12" s="116">
        <v>75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302"/>
      <c r="P12" s="303"/>
      <c r="Q12" s="304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12889</v>
      </c>
      <c r="C13" s="55" t="s">
        <v>302</v>
      </c>
      <c r="D13" s="194" t="s">
        <v>303</v>
      </c>
      <c r="E13" s="171" t="s">
        <v>91</v>
      </c>
      <c r="F13" s="163">
        <v>1215</v>
      </c>
      <c r="G13" s="110" t="s">
        <v>106</v>
      </c>
      <c r="H13" s="159"/>
      <c r="I13" s="158">
        <v>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302"/>
      <c r="P13" s="303"/>
      <c r="Q13" s="304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12890</v>
      </c>
      <c r="C14" s="56" t="s">
        <v>304</v>
      </c>
      <c r="D14" s="195" t="s">
        <v>305</v>
      </c>
      <c r="E14" s="171" t="s">
        <v>92</v>
      </c>
      <c r="F14" s="164">
        <v>1215</v>
      </c>
      <c r="G14" s="113" t="s">
        <v>106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302"/>
      <c r="P14" s="303"/>
      <c r="Q14" s="304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12891</v>
      </c>
      <c r="C15" s="56" t="s">
        <v>306</v>
      </c>
      <c r="D15" s="195" t="s">
        <v>307</v>
      </c>
      <c r="E15" s="171" t="s">
        <v>92</v>
      </c>
      <c r="F15" s="164">
        <v>1230</v>
      </c>
      <c r="G15" s="113" t="s">
        <v>106</v>
      </c>
      <c r="H15" s="114">
        <v>75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302"/>
      <c r="P15" s="303"/>
      <c r="Q15" s="304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12892</v>
      </c>
      <c r="C16" s="56" t="s">
        <v>308</v>
      </c>
      <c r="D16" s="195" t="s">
        <v>309</v>
      </c>
      <c r="E16" s="171" t="s">
        <v>91</v>
      </c>
      <c r="F16" s="164">
        <v>1230</v>
      </c>
      <c r="G16" s="113" t="s">
        <v>110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302"/>
      <c r="P16" s="303"/>
      <c r="Q16" s="304"/>
      <c r="R16" s="73">
        <f>H32/U16</f>
        <v>0.46938775510204084</v>
      </c>
      <c r="S16" s="74">
        <f>H32/(U16-U5)</f>
        <v>0.56097560975609762</v>
      </c>
      <c r="T16" s="74">
        <f>C32/U16</f>
        <v>44.523265306122447</v>
      </c>
      <c r="U16" s="74">
        <f>SUM(U5:U15)</f>
        <v>49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12893</v>
      </c>
      <c r="C17" s="17" t="s">
        <v>310</v>
      </c>
      <c r="D17" s="193" t="s">
        <v>311</v>
      </c>
      <c r="E17" s="171" t="s">
        <v>92</v>
      </c>
      <c r="F17" s="57">
        <v>1230</v>
      </c>
      <c r="G17" s="112" t="s">
        <v>110</v>
      </c>
      <c r="H17" s="114">
        <v>95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302"/>
      <c r="P17" s="303"/>
      <c r="Q17" s="304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12894</v>
      </c>
      <c r="C18" s="17" t="s">
        <v>312</v>
      </c>
      <c r="D18" s="193" t="s">
        <v>313</v>
      </c>
      <c r="E18" s="171" t="s">
        <v>91</v>
      </c>
      <c r="F18" s="57">
        <v>1300</v>
      </c>
      <c r="G18" s="19" t="s">
        <v>107</v>
      </c>
      <c r="H18" s="114">
        <v>120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302"/>
      <c r="P18" s="303"/>
      <c r="Q18" s="304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12895</v>
      </c>
      <c r="C19" s="17" t="s">
        <v>314</v>
      </c>
      <c r="D19" s="193" t="s">
        <v>315</v>
      </c>
      <c r="E19" s="171" t="s">
        <v>92</v>
      </c>
      <c r="F19" s="57">
        <v>1300</v>
      </c>
      <c r="G19" s="112" t="s">
        <v>107</v>
      </c>
      <c r="H19" s="114"/>
      <c r="I19" s="115">
        <v>130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99</v>
      </c>
      <c r="O19" s="302"/>
      <c r="P19" s="303"/>
      <c r="Q19" s="303"/>
      <c r="R19" s="84" t="s">
        <v>45</v>
      </c>
      <c r="S19" s="85">
        <f>COUNT(L5:M29,L37:M61,L69:M93)</f>
        <v>2</v>
      </c>
      <c r="T19" s="107">
        <f>SUM(L5:M29,L37:M61,L69:M93)</f>
        <v>950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271">
        <v>16</v>
      </c>
      <c r="B20" s="254">
        <v>12896</v>
      </c>
      <c r="C20" s="276" t="s">
        <v>320</v>
      </c>
      <c r="D20" s="277" t="s">
        <v>321</v>
      </c>
      <c r="E20" s="252" t="s">
        <v>92</v>
      </c>
      <c r="F20" s="278">
        <v>1315</v>
      </c>
      <c r="G20" s="283" t="s">
        <v>123</v>
      </c>
      <c r="H20" s="272"/>
      <c r="I20" s="257"/>
      <c r="J20" s="257" t="str">
        <f t="shared" si="1"/>
        <v>0</v>
      </c>
      <c r="K20" s="257">
        <v>79.16</v>
      </c>
      <c r="L20" s="258"/>
      <c r="M20" s="258">
        <v>475</v>
      </c>
      <c r="N20" s="259" t="s">
        <v>101</v>
      </c>
      <c r="O20" s="324" t="s">
        <v>324</v>
      </c>
      <c r="P20" s="325"/>
      <c r="Q20" s="325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12897</v>
      </c>
      <c r="C21" s="17" t="s">
        <v>316</v>
      </c>
      <c r="D21" s="193" t="s">
        <v>317</v>
      </c>
      <c r="E21" s="171" t="s">
        <v>92</v>
      </c>
      <c r="F21" s="57">
        <v>1340</v>
      </c>
      <c r="G21" s="19" t="s">
        <v>110</v>
      </c>
      <c r="H21" s="114"/>
      <c r="I21" s="115">
        <v>95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99</v>
      </c>
      <c r="O21" s="302"/>
      <c r="P21" s="303"/>
      <c r="Q21" s="303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12898</v>
      </c>
      <c r="C22" s="21" t="s">
        <v>318</v>
      </c>
      <c r="D22" s="196" t="s">
        <v>319</v>
      </c>
      <c r="E22" s="171" t="s">
        <v>91</v>
      </c>
      <c r="F22" s="165">
        <v>1345</v>
      </c>
      <c r="G22" s="204" t="s">
        <v>110</v>
      </c>
      <c r="H22" s="80">
        <v>95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99</v>
      </c>
      <c r="O22" s="302"/>
      <c r="P22" s="303"/>
      <c r="Q22" s="304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12899</v>
      </c>
      <c r="C23" s="126" t="s">
        <v>322</v>
      </c>
      <c r="D23" s="197" t="s">
        <v>323</v>
      </c>
      <c r="E23" s="171" t="s">
        <v>92</v>
      </c>
      <c r="F23" s="166">
        <v>1350</v>
      </c>
      <c r="G23" s="155" t="s">
        <v>110</v>
      </c>
      <c r="H23" s="80"/>
      <c r="I23" s="131">
        <v>95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99</v>
      </c>
      <c r="O23" s="153"/>
      <c r="P23" s="154"/>
      <c r="Q23" s="149"/>
      <c r="R23" s="104"/>
      <c r="S23" s="105"/>
      <c r="T23" s="105"/>
      <c r="U23" s="106"/>
      <c r="X23" s="308"/>
      <c r="Y23" s="309"/>
      <c r="Z23" s="309"/>
    </row>
    <row r="24" spans="1:44" ht="16.5" customHeight="1" thickBot="1" x14ac:dyDescent="0.35">
      <c r="A24" s="125">
        <v>20</v>
      </c>
      <c r="B24" s="123">
        <v>12900</v>
      </c>
      <c r="C24" s="21" t="s">
        <v>325</v>
      </c>
      <c r="D24" s="196" t="s">
        <v>326</v>
      </c>
      <c r="E24" s="171" t="s">
        <v>92</v>
      </c>
      <c r="F24" s="165">
        <v>1415</v>
      </c>
      <c r="G24" s="204" t="s">
        <v>270</v>
      </c>
      <c r="H24" s="80">
        <v>100</v>
      </c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99</v>
      </c>
      <c r="O24" s="302"/>
      <c r="P24" s="303"/>
      <c r="Q24" s="304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12901</v>
      </c>
      <c r="C25" s="122" t="s">
        <v>332</v>
      </c>
      <c r="D25" s="198" t="s">
        <v>333</v>
      </c>
      <c r="E25" s="171" t="s">
        <v>92</v>
      </c>
      <c r="F25" s="165">
        <v>1430</v>
      </c>
      <c r="G25" s="204" t="s">
        <v>123</v>
      </c>
      <c r="H25" s="81"/>
      <c r="I25" s="81"/>
      <c r="J25" s="120" t="str">
        <f t="shared" si="1"/>
        <v>0</v>
      </c>
      <c r="K25" s="120">
        <v>79.16</v>
      </c>
      <c r="L25" s="60"/>
      <c r="M25" s="60"/>
      <c r="N25" s="124" t="s">
        <v>99</v>
      </c>
      <c r="O25" s="302" t="s">
        <v>334</v>
      </c>
      <c r="P25" s="303"/>
      <c r="Q25" s="304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12">
        <f>((C32+(R26+S26+T26)*0.5))</f>
        <v>2181.64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271">
        <v>22</v>
      </c>
      <c r="B26" s="254">
        <v>12902</v>
      </c>
      <c r="C26" s="259" t="s">
        <v>327</v>
      </c>
      <c r="D26" s="284" t="s">
        <v>328</v>
      </c>
      <c r="E26" s="252" t="s">
        <v>91</v>
      </c>
      <c r="F26" s="253">
        <v>1555</v>
      </c>
      <c r="G26" s="254" t="s">
        <v>123</v>
      </c>
      <c r="H26" s="272"/>
      <c r="I26" s="272"/>
      <c r="J26" s="257" t="str">
        <f t="shared" si="1"/>
        <v>0</v>
      </c>
      <c r="K26" s="257">
        <v>79.16</v>
      </c>
      <c r="L26" s="257"/>
      <c r="M26" s="257">
        <v>475</v>
      </c>
      <c r="N26" s="259" t="s">
        <v>99</v>
      </c>
      <c r="O26" s="324" t="s">
        <v>329</v>
      </c>
      <c r="P26" s="325"/>
      <c r="Q26" s="326"/>
      <c r="R26" s="103">
        <f>R25*37.5</f>
        <v>0</v>
      </c>
      <c r="S26" s="93">
        <f>S25*41.5</f>
        <v>0</v>
      </c>
      <c r="T26" s="93">
        <f>T25*50</f>
        <v>0</v>
      </c>
      <c r="U26" s="31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12903</v>
      </c>
      <c r="C27" s="26" t="s">
        <v>330</v>
      </c>
      <c r="D27" s="199" t="s">
        <v>331</v>
      </c>
      <c r="E27" s="171" t="s">
        <v>92</v>
      </c>
      <c r="F27" s="167">
        <v>1555</v>
      </c>
      <c r="G27" s="19" t="s">
        <v>107</v>
      </c>
      <c r="H27" s="80"/>
      <c r="I27" s="131">
        <v>150</v>
      </c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101</v>
      </c>
      <c r="O27" s="302"/>
      <c r="P27" s="303"/>
      <c r="Q27" s="304"/>
      <c r="R27" s="321" t="s">
        <v>56</v>
      </c>
      <c r="S27" s="322"/>
      <c r="T27" s="322"/>
      <c r="U27" s="32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2"/>
      <c r="P28" s="303"/>
      <c r="Q28" s="304"/>
      <c r="R28" s="314"/>
      <c r="S28" s="315"/>
      <c r="T28" s="31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3"/>
      <c r="P29" s="334"/>
      <c r="Q29" s="335"/>
      <c r="R29" s="336"/>
      <c r="S29" s="337"/>
      <c r="T29" s="338"/>
      <c r="U29" s="140"/>
      <c r="X29" s="14">
        <v>3</v>
      </c>
      <c r="Z29" s="45"/>
      <c r="AE29" s="39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01">
        <f t="shared" ref="H30:M30" si="3">SUM(H5:H29)</f>
        <v>1000</v>
      </c>
      <c r="I30" s="96">
        <f>SUM(I5:I29)</f>
        <v>865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316.64</v>
      </c>
      <c r="L30" s="97">
        <f t="shared" si="3"/>
        <v>0</v>
      </c>
      <c r="M30" s="97">
        <f t="shared" si="3"/>
        <v>950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2"/>
      <c r="S30" s="342"/>
      <c r="T30" s="343"/>
      <c r="U30" s="141"/>
      <c r="X30" s="14">
        <v>4</v>
      </c>
      <c r="Z30" s="45"/>
      <c r="AD30" s="46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02">
        <f t="shared" ref="H31:J31" si="4">H30+H62+H94</f>
        <v>1000</v>
      </c>
      <c r="I31" s="94">
        <f t="shared" si="4"/>
        <v>865</v>
      </c>
      <c r="J31" s="94">
        <f t="shared" si="4"/>
        <v>0</v>
      </c>
      <c r="K31" s="94">
        <f>K30+K62+K94</f>
        <v>316.64</v>
      </c>
      <c r="L31" s="88">
        <f>L30+L62+L94</f>
        <v>0</v>
      </c>
      <c r="M31" s="88">
        <f>M30+M62+M94</f>
        <v>950</v>
      </c>
      <c r="N31" s="207">
        <f>COUNT(H5:H29,H37:H61,H69:H93)</f>
        <v>10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1000</v>
      </c>
      <c r="T31" s="329">
        <f>H31+I31+L31+M31</f>
        <v>2815</v>
      </c>
      <c r="U31" s="330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7" t="s">
        <v>55</v>
      </c>
      <c r="B32" s="318"/>
      <c r="C32" s="98">
        <f>H31+I31+J31+K31</f>
        <v>2181.64</v>
      </c>
      <c r="D32" s="186"/>
      <c r="E32" s="98"/>
      <c r="F32" s="319" t="s">
        <v>53</v>
      </c>
      <c r="G32" s="319"/>
      <c r="H32" s="100">
        <f>COUNT(B5:B29,B37:B61,B69:B93)</f>
        <v>23</v>
      </c>
      <c r="I32" s="320" t="s">
        <v>54</v>
      </c>
      <c r="J32" s="320"/>
      <c r="K32" s="99">
        <f>C32/H32</f>
        <v>94.853913043478258</v>
      </c>
      <c r="L32" s="208"/>
      <c r="M32" s="208"/>
      <c r="N32" s="208">
        <f>H31/C32</f>
        <v>0.45837076694596729</v>
      </c>
      <c r="O32" s="208">
        <f>I31/C32</f>
        <v>0.3964907134082617</v>
      </c>
      <c r="P32" s="208">
        <f>K31/C32</f>
        <v>0.14513851964577107</v>
      </c>
      <c r="Q32" s="101">
        <f>J31/C32</f>
        <v>0</v>
      </c>
      <c r="R32" s="90" t="s">
        <v>82</v>
      </c>
      <c r="S32" s="203">
        <f>I31+M31</f>
        <v>1815</v>
      </c>
      <c r="T32" s="331"/>
      <c r="U32" s="332"/>
      <c r="V32" s="39"/>
      <c r="W32" s="39"/>
      <c r="X32" s="48" t="s">
        <v>27</v>
      </c>
      <c r="Y32" s="48"/>
      <c r="Z32" s="47">
        <f>I31</f>
        <v>865</v>
      </c>
    </row>
    <row r="33" spans="1:33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49" t="s">
        <v>29</v>
      </c>
      <c r="Y33" s="49"/>
      <c r="Z33" s="50">
        <f>SUM(Z31:Z32)</f>
        <v>-1880</v>
      </c>
      <c r="AG33" s="35"/>
    </row>
    <row r="34" spans="1:33" ht="17.25" thickBot="1" x14ac:dyDescent="0.35">
      <c r="A34" s="285" t="str">
        <f>A2</f>
        <v>16-12-2022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SUNNY</v>
      </c>
      <c r="K34" s="287"/>
      <c r="L34" s="289" t="s">
        <v>50</v>
      </c>
      <c r="M34" s="290"/>
      <c r="N34" s="288"/>
      <c r="O34" s="286" t="str">
        <f>O2</f>
        <v>HENDRA</v>
      </c>
      <c r="P34" s="286"/>
      <c r="Q34" s="287"/>
      <c r="R34" s="289" t="s">
        <v>51</v>
      </c>
      <c r="S34" s="288"/>
      <c r="T34" s="291">
        <f>T2</f>
        <v>6</v>
      </c>
      <c r="U34" s="29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95" t="s">
        <v>8</v>
      </c>
      <c r="P36" s="295"/>
      <c r="Q36" s="295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2"/>
      <c r="P37" s="303"/>
      <c r="Q37" s="304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99"/>
      <c r="P38" s="300"/>
      <c r="Q38" s="30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2"/>
      <c r="P39" s="303"/>
      <c r="Q39" s="304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05"/>
      <c r="P40" s="306"/>
      <c r="Q40" s="307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05"/>
      <c r="P41" s="306"/>
      <c r="Q41" s="307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2"/>
      <c r="P42" s="293"/>
      <c r="Q42" s="294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2"/>
      <c r="P43" s="303"/>
      <c r="Q43" s="304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2"/>
      <c r="P44" s="303"/>
      <c r="Q44" s="304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2"/>
      <c r="P45" s="303"/>
      <c r="Q45" s="304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2"/>
      <c r="P46" s="303"/>
      <c r="Q46" s="304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2"/>
      <c r="P47" s="303"/>
      <c r="Q47" s="304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2"/>
      <c r="P48" s="303"/>
      <c r="Q48" s="304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2"/>
      <c r="P49" s="303"/>
      <c r="Q49" s="304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2"/>
      <c r="P50" s="303"/>
      <c r="Q50" s="304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2"/>
      <c r="P51" s="303"/>
      <c r="Q51" s="303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2"/>
      <c r="P52" s="303"/>
      <c r="Q52" s="303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46"/>
      <c r="P53" s="302"/>
      <c r="Q53" s="30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46"/>
      <c r="P54" s="302"/>
      <c r="Q54" s="30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46"/>
      <c r="P55" s="302"/>
      <c r="Q55" s="30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3"/>
      <c r="P56" s="303"/>
      <c r="Q56" s="303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2"/>
      <c r="P57" s="303"/>
      <c r="Q57" s="303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3"/>
      <c r="P58" s="303"/>
      <c r="Q58" s="303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3"/>
      <c r="P59" s="303"/>
      <c r="Q59" s="303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2"/>
      <c r="P60" s="303"/>
      <c r="Q60" s="304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7"/>
      <c r="P61" s="348"/>
      <c r="Q61" s="349"/>
      <c r="R61" s="72"/>
      <c r="S61" s="59"/>
      <c r="T61" s="59"/>
      <c r="U61" s="68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16-12-2022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SUNNY</v>
      </c>
      <c r="K66" s="287"/>
      <c r="L66" s="289" t="s">
        <v>50</v>
      </c>
      <c r="M66" s="290"/>
      <c r="N66" s="288"/>
      <c r="O66" s="286" t="str">
        <f>O34</f>
        <v>HENDRA</v>
      </c>
      <c r="P66" s="286"/>
      <c r="Q66" s="287"/>
      <c r="R66" s="289" t="s">
        <v>51</v>
      </c>
      <c r="S66" s="288"/>
      <c r="T66" s="291">
        <f>T34</f>
        <v>6</v>
      </c>
      <c r="U66" s="29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95" t="s">
        <v>8</v>
      </c>
      <c r="P68" s="295"/>
      <c r="Q68" s="295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2"/>
      <c r="P69" s="303"/>
      <c r="Q69" s="304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99"/>
      <c r="P70" s="300"/>
      <c r="Q70" s="30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2"/>
      <c r="P71" s="303"/>
      <c r="Q71" s="304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05"/>
      <c r="P72" s="306"/>
      <c r="Q72" s="307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05"/>
      <c r="P73" s="306"/>
      <c r="Q73" s="307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2"/>
      <c r="P74" s="293"/>
      <c r="Q74" s="294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2"/>
      <c r="P75" s="303"/>
      <c r="Q75" s="304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2"/>
      <c r="P76" s="303"/>
      <c r="Q76" s="304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2"/>
      <c r="P77" s="303"/>
      <c r="Q77" s="304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2"/>
      <c r="P78" s="303"/>
      <c r="Q78" s="304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2"/>
      <c r="P79" s="303"/>
      <c r="Q79" s="304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2"/>
      <c r="P80" s="303"/>
      <c r="Q80" s="304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2"/>
      <c r="P81" s="303"/>
      <c r="Q81" s="304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2"/>
      <c r="P82" s="303"/>
      <c r="Q82" s="304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2"/>
      <c r="P83" s="303"/>
      <c r="Q83" s="303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2"/>
      <c r="P84" s="303"/>
      <c r="Q84" s="303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46"/>
      <c r="P85" s="302"/>
      <c r="Q85" s="30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46"/>
      <c r="P86" s="302"/>
      <c r="Q86" s="30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46"/>
      <c r="P87" s="302"/>
      <c r="Q87" s="30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3"/>
      <c r="P88" s="303"/>
      <c r="Q88" s="303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2"/>
      <c r="P89" s="303"/>
      <c r="Q89" s="303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3"/>
      <c r="P90" s="303"/>
      <c r="Q90" s="303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3"/>
      <c r="P91" s="303"/>
      <c r="Q91" s="303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2"/>
      <c r="P92" s="303"/>
      <c r="Q92" s="304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7"/>
      <c r="P93" s="348"/>
      <c r="Q93" s="349"/>
      <c r="R93" s="72"/>
      <c r="S93" s="59"/>
      <c r="T93" s="59"/>
      <c r="U93" s="68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O42" sqref="O42:Q42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286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131</v>
      </c>
      <c r="K2" s="287"/>
      <c r="L2" s="289" t="s">
        <v>96</v>
      </c>
      <c r="M2" s="290"/>
      <c r="N2" s="288"/>
      <c r="O2" s="286" t="s">
        <v>98</v>
      </c>
      <c r="P2" s="286"/>
      <c r="Q2" s="287"/>
      <c r="R2" s="289" t="s">
        <v>51</v>
      </c>
      <c r="S2" s="288"/>
      <c r="T2" s="291">
        <v>8</v>
      </c>
      <c r="U2" s="29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95" t="s">
        <v>8</v>
      </c>
      <c r="P4" s="295"/>
      <c r="Q4" s="295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12904</v>
      </c>
      <c r="C5" s="59" t="s">
        <v>335</v>
      </c>
      <c r="D5" s="190" t="s">
        <v>336</v>
      </c>
      <c r="E5" s="171" t="s">
        <v>92</v>
      </c>
      <c r="F5" s="160">
        <v>845</v>
      </c>
      <c r="G5" s="109" t="s">
        <v>106</v>
      </c>
      <c r="H5" s="82">
        <v>75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296"/>
      <c r="P5" s="297"/>
      <c r="Q5" s="298"/>
      <c r="R5" s="32" t="s">
        <v>98</v>
      </c>
      <c r="S5" s="30">
        <v>0.33333333333333331</v>
      </c>
      <c r="T5" s="31">
        <v>0.72916666666666663</v>
      </c>
      <c r="U5" s="83">
        <f t="shared" ref="U5:U15" si="0">(T5-S5)*24</f>
        <v>9.5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12905</v>
      </c>
      <c r="C6" s="58" t="s">
        <v>366</v>
      </c>
      <c r="D6" s="190" t="s">
        <v>367</v>
      </c>
      <c r="E6" s="171" t="s">
        <v>92</v>
      </c>
      <c r="F6" s="161">
        <v>910</v>
      </c>
      <c r="G6" s="109" t="s">
        <v>110</v>
      </c>
      <c r="H6" s="82">
        <v>115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299"/>
      <c r="P6" s="300"/>
      <c r="Q6" s="301"/>
      <c r="R6" s="122" t="s">
        <v>99</v>
      </c>
      <c r="S6" s="30">
        <v>0.34375</v>
      </c>
      <c r="T6" s="31">
        <v>0.72916666666666663</v>
      </c>
      <c r="U6" s="83">
        <f t="shared" si="0"/>
        <v>9.25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12906</v>
      </c>
      <c r="C7" s="58" t="s">
        <v>338</v>
      </c>
      <c r="D7" s="190" t="s">
        <v>339</v>
      </c>
      <c r="E7" s="171" t="s">
        <v>91</v>
      </c>
      <c r="F7" s="161">
        <v>915</v>
      </c>
      <c r="G7" s="109" t="s">
        <v>107</v>
      </c>
      <c r="H7" s="82">
        <v>120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98</v>
      </c>
      <c r="O7" s="302"/>
      <c r="P7" s="303"/>
      <c r="Q7" s="304"/>
      <c r="R7" s="124" t="s">
        <v>100</v>
      </c>
      <c r="S7" s="30">
        <v>0.36458333333333331</v>
      </c>
      <c r="T7" s="31">
        <v>0.72916666666666663</v>
      </c>
      <c r="U7" s="83">
        <f t="shared" si="0"/>
        <v>8.75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12907</v>
      </c>
      <c r="C8" s="26" t="s">
        <v>340</v>
      </c>
      <c r="D8" s="190" t="s">
        <v>341</v>
      </c>
      <c r="E8" s="171" t="s">
        <v>91</v>
      </c>
      <c r="F8" s="161">
        <v>935</v>
      </c>
      <c r="G8" s="109" t="s">
        <v>107</v>
      </c>
      <c r="H8" s="82">
        <v>150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05"/>
      <c r="P8" s="306"/>
      <c r="Q8" s="307"/>
      <c r="R8" s="25" t="s">
        <v>287</v>
      </c>
      <c r="S8" s="30">
        <v>0.45833333333333331</v>
      </c>
      <c r="T8" s="31">
        <v>0.72916666666666663</v>
      </c>
      <c r="U8" s="83">
        <f t="shared" si="0"/>
        <v>6.5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12908</v>
      </c>
      <c r="C9" s="54" t="s">
        <v>342</v>
      </c>
      <c r="D9" s="191" t="s">
        <v>343</v>
      </c>
      <c r="E9" s="171" t="s">
        <v>92</v>
      </c>
      <c r="F9" s="162">
        <v>945</v>
      </c>
      <c r="G9" s="110" t="s">
        <v>110</v>
      </c>
      <c r="H9" s="82">
        <v>95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05"/>
      <c r="P9" s="306"/>
      <c r="Q9" s="307"/>
      <c r="R9" s="25" t="s">
        <v>132</v>
      </c>
      <c r="S9" s="30">
        <v>0.36458333333333331</v>
      </c>
      <c r="T9" s="31">
        <v>0.72916666666666663</v>
      </c>
      <c r="U9" s="83">
        <f t="shared" si="0"/>
        <v>8.75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12909</v>
      </c>
      <c r="C10" s="27" t="s">
        <v>344</v>
      </c>
      <c r="D10" s="192" t="s">
        <v>345</v>
      </c>
      <c r="E10" s="171" t="s">
        <v>92</v>
      </c>
      <c r="F10" s="163">
        <v>1010</v>
      </c>
      <c r="G10" s="111" t="s">
        <v>107</v>
      </c>
      <c r="H10" s="114">
        <v>130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292"/>
      <c r="P10" s="293"/>
      <c r="Q10" s="294"/>
      <c r="R10" s="25" t="s">
        <v>276</v>
      </c>
      <c r="S10" s="30">
        <v>0.42708333333333331</v>
      </c>
      <c r="T10" s="31">
        <v>0.72916666666666663</v>
      </c>
      <c r="U10" s="83">
        <f t="shared" si="0"/>
        <v>7.25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12910</v>
      </c>
      <c r="C11" s="17" t="s">
        <v>346</v>
      </c>
      <c r="D11" s="193" t="s">
        <v>347</v>
      </c>
      <c r="E11" s="171" t="s">
        <v>91</v>
      </c>
      <c r="F11" s="57">
        <v>1015</v>
      </c>
      <c r="G11" s="112" t="s">
        <v>110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02"/>
      <c r="P11" s="303"/>
      <c r="Q11" s="304"/>
      <c r="R11" s="25" t="s">
        <v>233</v>
      </c>
      <c r="S11" s="30">
        <v>0.375</v>
      </c>
      <c r="T11" s="31">
        <v>0.72916666666666663</v>
      </c>
      <c r="U11" s="83">
        <f t="shared" si="0"/>
        <v>8.5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12911</v>
      </c>
      <c r="C12" s="55" t="s">
        <v>348</v>
      </c>
      <c r="D12" s="194" t="s">
        <v>349</v>
      </c>
      <c r="E12" s="171" t="s">
        <v>91</v>
      </c>
      <c r="F12" s="163">
        <v>1015</v>
      </c>
      <c r="G12" s="110" t="s">
        <v>110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02"/>
      <c r="P12" s="303"/>
      <c r="Q12" s="304"/>
      <c r="R12" s="25" t="s">
        <v>130</v>
      </c>
      <c r="S12" s="30">
        <v>0.375</v>
      </c>
      <c r="T12" s="31">
        <v>0.72916666666666663</v>
      </c>
      <c r="U12" s="83">
        <f t="shared" si="0"/>
        <v>8.5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12912</v>
      </c>
      <c r="C13" s="55" t="s">
        <v>350</v>
      </c>
      <c r="D13" s="194" t="s">
        <v>351</v>
      </c>
      <c r="E13" s="171" t="s">
        <v>92</v>
      </c>
      <c r="F13" s="163">
        <v>1100</v>
      </c>
      <c r="G13" s="110" t="s">
        <v>110</v>
      </c>
      <c r="H13" s="159">
        <v>95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302"/>
      <c r="P13" s="303"/>
      <c r="Q13" s="304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12913</v>
      </c>
      <c r="C14" s="56" t="s">
        <v>352</v>
      </c>
      <c r="D14" s="195" t="s">
        <v>353</v>
      </c>
      <c r="E14" s="171" t="s">
        <v>91</v>
      </c>
      <c r="F14" s="164">
        <v>1100</v>
      </c>
      <c r="G14" s="113" t="s">
        <v>106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302"/>
      <c r="P14" s="303"/>
      <c r="Q14" s="304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12914</v>
      </c>
      <c r="C15" s="56" t="s">
        <v>354</v>
      </c>
      <c r="D15" s="195" t="s">
        <v>355</v>
      </c>
      <c r="E15" s="171" t="s">
        <v>92</v>
      </c>
      <c r="F15" s="164">
        <v>1120</v>
      </c>
      <c r="G15" s="113" t="s">
        <v>356</v>
      </c>
      <c r="H15" s="114"/>
      <c r="I15" s="115">
        <v>300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302"/>
      <c r="P15" s="303"/>
      <c r="Q15" s="304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12915</v>
      </c>
      <c r="C16" s="56" t="s">
        <v>357</v>
      </c>
      <c r="D16" s="195" t="s">
        <v>358</v>
      </c>
      <c r="E16" s="171" t="s">
        <v>92</v>
      </c>
      <c r="F16" s="164">
        <v>1125</v>
      </c>
      <c r="G16" s="113" t="s">
        <v>359</v>
      </c>
      <c r="H16" s="114"/>
      <c r="I16" s="115">
        <v>250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302"/>
      <c r="P16" s="303"/>
      <c r="Q16" s="304"/>
      <c r="R16" s="73">
        <f>H32/U16</f>
        <v>0.46268656716417911</v>
      </c>
      <c r="S16" s="74">
        <f>H32/(U16-U5)</f>
        <v>0.53913043478260869</v>
      </c>
      <c r="T16" s="74">
        <f>C32/U16</f>
        <v>49.850746268656714</v>
      </c>
      <c r="U16" s="74">
        <f>SUM(U5:U15)</f>
        <v>67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12916</v>
      </c>
      <c r="C17" s="17" t="s">
        <v>360</v>
      </c>
      <c r="D17" s="193" t="s">
        <v>361</v>
      </c>
      <c r="E17" s="171" t="s">
        <v>91</v>
      </c>
      <c r="F17" s="57">
        <v>1140</v>
      </c>
      <c r="G17" s="112" t="s">
        <v>107</v>
      </c>
      <c r="H17" s="114">
        <v>120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302"/>
      <c r="P17" s="303"/>
      <c r="Q17" s="304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12917</v>
      </c>
      <c r="C18" s="17" t="s">
        <v>362</v>
      </c>
      <c r="D18" s="193" t="s">
        <v>363</v>
      </c>
      <c r="E18" s="171" t="s">
        <v>91</v>
      </c>
      <c r="F18" s="57">
        <v>1145</v>
      </c>
      <c r="G18" s="19" t="s">
        <v>110</v>
      </c>
      <c r="H18" s="114"/>
      <c r="I18" s="115">
        <v>75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302"/>
      <c r="P18" s="303"/>
      <c r="Q18" s="304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12918</v>
      </c>
      <c r="C19" s="17" t="s">
        <v>364</v>
      </c>
      <c r="D19" s="193" t="s">
        <v>365</v>
      </c>
      <c r="E19" s="171" t="s">
        <v>91</v>
      </c>
      <c r="F19" s="57">
        <v>1210</v>
      </c>
      <c r="G19" s="112" t="s">
        <v>107</v>
      </c>
      <c r="H19" s="114">
        <v>130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302"/>
      <c r="P19" s="303"/>
      <c r="Q19" s="303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12919</v>
      </c>
      <c r="C20" s="17" t="s">
        <v>368</v>
      </c>
      <c r="D20" s="193" t="s">
        <v>369</v>
      </c>
      <c r="E20" s="171" t="s">
        <v>92</v>
      </c>
      <c r="F20" s="57">
        <v>1230</v>
      </c>
      <c r="G20" s="112" t="s">
        <v>110</v>
      </c>
      <c r="H20" s="114"/>
      <c r="I20" s="115">
        <v>95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10"/>
      <c r="P20" s="311"/>
      <c r="Q20" s="31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12920</v>
      </c>
      <c r="C21" s="17" t="s">
        <v>370</v>
      </c>
      <c r="D21" s="193" t="s">
        <v>371</v>
      </c>
      <c r="E21" s="171" t="s">
        <v>92</v>
      </c>
      <c r="F21" s="57">
        <v>1240</v>
      </c>
      <c r="G21" s="19" t="s">
        <v>110</v>
      </c>
      <c r="H21" s="114"/>
      <c r="I21" s="115">
        <v>95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98</v>
      </c>
      <c r="O21" s="302"/>
      <c r="P21" s="303"/>
      <c r="Q21" s="303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12921</v>
      </c>
      <c r="C22" s="21" t="s">
        <v>372</v>
      </c>
      <c r="D22" s="196" t="s">
        <v>373</v>
      </c>
      <c r="E22" s="171" t="s">
        <v>91</v>
      </c>
      <c r="F22" s="165">
        <v>1300</v>
      </c>
      <c r="G22" s="204" t="s">
        <v>106</v>
      </c>
      <c r="H22" s="80">
        <v>55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98</v>
      </c>
      <c r="O22" s="302"/>
      <c r="P22" s="303"/>
      <c r="Q22" s="304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12922</v>
      </c>
      <c r="C23" s="126" t="s">
        <v>374</v>
      </c>
      <c r="D23" s="197" t="s">
        <v>375</v>
      </c>
      <c r="E23" s="171" t="s">
        <v>91</v>
      </c>
      <c r="F23" s="166">
        <v>1345</v>
      </c>
      <c r="G23" s="155" t="s">
        <v>110</v>
      </c>
      <c r="H23" s="80"/>
      <c r="I23" s="131">
        <v>95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98</v>
      </c>
      <c r="O23" s="153"/>
      <c r="P23" s="154"/>
      <c r="Q23" s="149"/>
      <c r="R23" s="104"/>
      <c r="S23" s="105"/>
      <c r="T23" s="105"/>
      <c r="U23" s="106"/>
      <c r="X23" s="308"/>
      <c r="Y23" s="309"/>
      <c r="Z23" s="309"/>
    </row>
    <row r="24" spans="1:44" ht="16.5" customHeight="1" thickBot="1" x14ac:dyDescent="0.35">
      <c r="A24" s="125">
        <v>20</v>
      </c>
      <c r="B24" s="123">
        <v>12923</v>
      </c>
      <c r="C24" s="21" t="s">
        <v>376</v>
      </c>
      <c r="D24" s="196" t="s">
        <v>377</v>
      </c>
      <c r="E24" s="171" t="s">
        <v>91</v>
      </c>
      <c r="F24" s="165">
        <v>1415</v>
      </c>
      <c r="G24" s="204" t="s">
        <v>110</v>
      </c>
      <c r="H24" s="80">
        <v>95</v>
      </c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98</v>
      </c>
      <c r="O24" s="302"/>
      <c r="P24" s="303"/>
      <c r="Q24" s="304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12924</v>
      </c>
      <c r="C25" s="122" t="s">
        <v>378</v>
      </c>
      <c r="D25" s="198" t="s">
        <v>379</v>
      </c>
      <c r="E25" s="171" t="s">
        <v>92</v>
      </c>
      <c r="F25" s="165">
        <v>1420</v>
      </c>
      <c r="G25" s="204" t="s">
        <v>110</v>
      </c>
      <c r="H25" s="81">
        <v>95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98</v>
      </c>
      <c r="O25" s="302"/>
      <c r="P25" s="303"/>
      <c r="Q25" s="304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12">
        <f>((C32+(R26+S26+T26)*0.5))</f>
        <v>3340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12925</v>
      </c>
      <c r="C26" s="26" t="s">
        <v>380</v>
      </c>
      <c r="D26" s="199" t="s">
        <v>381</v>
      </c>
      <c r="E26" s="171" t="s">
        <v>92</v>
      </c>
      <c r="F26" s="167">
        <v>1430</v>
      </c>
      <c r="G26" s="19" t="s">
        <v>110</v>
      </c>
      <c r="H26" s="80"/>
      <c r="I26" s="131">
        <v>95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98</v>
      </c>
      <c r="O26" s="302"/>
      <c r="P26" s="303"/>
      <c r="Q26" s="304"/>
      <c r="R26" s="103">
        <f>R25*37.5</f>
        <v>0</v>
      </c>
      <c r="S26" s="93">
        <f>S25*41.5</f>
        <v>0</v>
      </c>
      <c r="T26" s="93">
        <f>T25*50</f>
        <v>0</v>
      </c>
      <c r="U26" s="31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12926</v>
      </c>
      <c r="C27" s="26" t="s">
        <v>382</v>
      </c>
      <c r="D27" s="199" t="s">
        <v>383</v>
      </c>
      <c r="E27" s="171" t="s">
        <v>91</v>
      </c>
      <c r="F27" s="167">
        <v>1430</v>
      </c>
      <c r="G27" s="19" t="s">
        <v>110</v>
      </c>
      <c r="H27" s="80"/>
      <c r="I27" s="131">
        <v>95</v>
      </c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98</v>
      </c>
      <c r="O27" s="302"/>
      <c r="P27" s="303"/>
      <c r="Q27" s="304"/>
      <c r="R27" s="321" t="s">
        <v>56</v>
      </c>
      <c r="S27" s="322"/>
      <c r="T27" s="322"/>
      <c r="U27" s="32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12927</v>
      </c>
      <c r="C28" s="26" t="s">
        <v>384</v>
      </c>
      <c r="D28" s="199" t="s">
        <v>385</v>
      </c>
      <c r="E28" s="171" t="s">
        <v>91</v>
      </c>
      <c r="F28" s="167">
        <v>1430</v>
      </c>
      <c r="G28" s="19" t="s">
        <v>106</v>
      </c>
      <c r="H28" s="80"/>
      <c r="I28" s="131">
        <v>75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98</v>
      </c>
      <c r="O28" s="302"/>
      <c r="P28" s="303"/>
      <c r="Q28" s="304"/>
      <c r="R28" s="314"/>
      <c r="S28" s="315"/>
      <c r="T28" s="31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12928</v>
      </c>
      <c r="C29" s="33" t="s">
        <v>388</v>
      </c>
      <c r="D29" s="200" t="s">
        <v>389</v>
      </c>
      <c r="E29" s="172" t="s">
        <v>92</v>
      </c>
      <c r="F29" s="167">
        <v>1445</v>
      </c>
      <c r="G29" s="19" t="s">
        <v>106</v>
      </c>
      <c r="H29" s="80">
        <v>75</v>
      </c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98</v>
      </c>
      <c r="O29" s="333"/>
      <c r="P29" s="334"/>
      <c r="Q29" s="335"/>
      <c r="R29" s="336"/>
      <c r="S29" s="337"/>
      <c r="T29" s="338"/>
      <c r="U29" s="140"/>
      <c r="X29" s="14">
        <v>3</v>
      </c>
      <c r="Z29" s="45"/>
      <c r="AE29" s="39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01">
        <f t="shared" ref="H30:M30" si="3">SUM(H5:H29)</f>
        <v>1350</v>
      </c>
      <c r="I30" s="96">
        <f>SUM(I5:I29)</f>
        <v>1440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2"/>
      <c r="S30" s="342"/>
      <c r="T30" s="343"/>
      <c r="U30" s="141"/>
      <c r="X30" s="14">
        <v>4</v>
      </c>
      <c r="Z30" s="45"/>
      <c r="AD30" s="46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02">
        <f t="shared" ref="H31:J31" si="4">H30+H62+H94</f>
        <v>1615</v>
      </c>
      <c r="I31" s="94">
        <f t="shared" si="4"/>
        <v>1725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16</v>
      </c>
      <c r="O31" s="95">
        <f>COUNT(I5:I29,I37:I61,I69:I93)</f>
        <v>15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1615</v>
      </c>
      <c r="T31" s="329">
        <f>H31+I31+L31+M31</f>
        <v>3340</v>
      </c>
      <c r="U31" s="330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7" t="s">
        <v>55</v>
      </c>
      <c r="B32" s="318"/>
      <c r="C32" s="98">
        <f>H31+I31+J31+K31</f>
        <v>3340</v>
      </c>
      <c r="D32" s="186"/>
      <c r="E32" s="98"/>
      <c r="F32" s="319" t="s">
        <v>53</v>
      </c>
      <c r="G32" s="319"/>
      <c r="H32" s="100">
        <f>COUNT(B5:B29,B37:B61,B69:B93)</f>
        <v>31</v>
      </c>
      <c r="I32" s="320" t="s">
        <v>54</v>
      </c>
      <c r="J32" s="320"/>
      <c r="K32" s="99">
        <f>C32/H32</f>
        <v>107.74193548387096</v>
      </c>
      <c r="L32" s="208"/>
      <c r="M32" s="208"/>
      <c r="N32" s="208">
        <f>H31/C32</f>
        <v>0.48353293413173654</v>
      </c>
      <c r="O32" s="208">
        <f>I31/C32</f>
        <v>0.51646706586826352</v>
      </c>
      <c r="P32" s="208">
        <f>K31/C32</f>
        <v>0</v>
      </c>
      <c r="Q32" s="101">
        <f>J31/C32</f>
        <v>0</v>
      </c>
      <c r="R32" s="90" t="s">
        <v>82</v>
      </c>
      <c r="S32" s="203">
        <f>I31+M31</f>
        <v>1725</v>
      </c>
      <c r="T32" s="331"/>
      <c r="U32" s="332"/>
      <c r="V32" s="39"/>
      <c r="W32" s="39"/>
      <c r="X32" s="48" t="s">
        <v>27</v>
      </c>
      <c r="Y32" s="48"/>
      <c r="Z32" s="47">
        <f>I31</f>
        <v>1725</v>
      </c>
    </row>
    <row r="33" spans="1:33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49" t="s">
        <v>29</v>
      </c>
      <c r="Y33" s="49"/>
      <c r="Z33" s="50">
        <f>SUM(Z31:Z32)</f>
        <v>-1020</v>
      </c>
      <c r="AG33" s="35"/>
    </row>
    <row r="34" spans="1:33" ht="17.25" thickBot="1" x14ac:dyDescent="0.35">
      <c r="A34" s="285" t="str">
        <f>A2</f>
        <v>17 - 12 - 2022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SUNNY</v>
      </c>
      <c r="K34" s="287"/>
      <c r="L34" s="289" t="s">
        <v>50</v>
      </c>
      <c r="M34" s="290"/>
      <c r="N34" s="288"/>
      <c r="O34" s="286" t="str">
        <f>O2</f>
        <v>JOHN</v>
      </c>
      <c r="P34" s="286"/>
      <c r="Q34" s="287"/>
      <c r="R34" s="289" t="s">
        <v>51</v>
      </c>
      <c r="S34" s="288"/>
      <c r="T34" s="291">
        <f>T2</f>
        <v>8</v>
      </c>
      <c r="U34" s="29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95" t="s">
        <v>8</v>
      </c>
      <c r="P36" s="295"/>
      <c r="Q36" s="295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204">
        <v>12929</v>
      </c>
      <c r="C37" s="58" t="s">
        <v>394</v>
      </c>
      <c r="D37" s="185" t="s">
        <v>399</v>
      </c>
      <c r="E37" s="171" t="s">
        <v>92</v>
      </c>
      <c r="F37" s="169">
        <v>1515</v>
      </c>
      <c r="G37" s="109" t="s">
        <v>110</v>
      </c>
      <c r="H37" s="82">
        <v>95</v>
      </c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98</v>
      </c>
      <c r="O37" s="302"/>
      <c r="P37" s="303"/>
      <c r="Q37" s="304"/>
      <c r="R37" s="51"/>
      <c r="S37" s="52"/>
      <c r="T37" s="52"/>
      <c r="U37" s="61"/>
    </row>
    <row r="38" spans="1:33" x14ac:dyDescent="0.3">
      <c r="A38" s="118">
        <f>A37+1</f>
        <v>27</v>
      </c>
      <c r="B38" s="109">
        <v>12930</v>
      </c>
      <c r="C38" s="26" t="s">
        <v>386</v>
      </c>
      <c r="D38" s="173" t="s">
        <v>387</v>
      </c>
      <c r="E38" s="171" t="s">
        <v>92</v>
      </c>
      <c r="F38" s="169">
        <v>1530</v>
      </c>
      <c r="G38" s="109" t="s">
        <v>106</v>
      </c>
      <c r="H38" s="82">
        <v>75</v>
      </c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 t="s">
        <v>98</v>
      </c>
      <c r="O38" s="299"/>
      <c r="P38" s="300"/>
      <c r="Q38" s="301"/>
      <c r="R38" s="69"/>
      <c r="S38" s="62"/>
      <c r="T38" s="16"/>
      <c r="U38" s="63"/>
      <c r="X38" s="14">
        <v>75</v>
      </c>
    </row>
    <row r="39" spans="1:33" x14ac:dyDescent="0.3">
      <c r="A39" s="118">
        <f t="shared" ref="A39:A61" si="7">A38+1</f>
        <v>28</v>
      </c>
      <c r="B39" s="204">
        <v>12931</v>
      </c>
      <c r="C39" s="54" t="s">
        <v>390</v>
      </c>
      <c r="D39" s="174" t="s">
        <v>391</v>
      </c>
      <c r="E39" s="171" t="s">
        <v>92</v>
      </c>
      <c r="F39" s="170">
        <v>1545</v>
      </c>
      <c r="G39" s="110" t="s">
        <v>110</v>
      </c>
      <c r="H39" s="82">
        <v>95</v>
      </c>
      <c r="I39" s="82"/>
      <c r="J39" s="120" t="str">
        <f t="shared" si="6"/>
        <v>0</v>
      </c>
      <c r="K39" s="120" t="str">
        <f t="shared" si="5"/>
        <v>0</v>
      </c>
      <c r="L39" s="121"/>
      <c r="M39" s="121"/>
      <c r="N39" s="60" t="s">
        <v>98</v>
      </c>
      <c r="O39" s="302"/>
      <c r="P39" s="303"/>
      <c r="Q39" s="304"/>
      <c r="R39" s="70"/>
      <c r="S39" s="13"/>
      <c r="T39" s="12"/>
      <c r="U39" s="63"/>
      <c r="X39" s="14">
        <v>95</v>
      </c>
    </row>
    <row r="40" spans="1:33" x14ac:dyDescent="0.3">
      <c r="A40" s="118">
        <f t="shared" si="7"/>
        <v>29</v>
      </c>
      <c r="B40" s="109">
        <v>12932</v>
      </c>
      <c r="C40" s="54" t="s">
        <v>392</v>
      </c>
      <c r="D40" s="174" t="s">
        <v>393</v>
      </c>
      <c r="E40" s="171" t="s">
        <v>337</v>
      </c>
      <c r="F40" s="170">
        <v>1550</v>
      </c>
      <c r="G40" s="110" t="s">
        <v>110</v>
      </c>
      <c r="H40" s="82"/>
      <c r="I40" s="82">
        <v>95</v>
      </c>
      <c r="J40" s="120" t="str">
        <f t="shared" si="6"/>
        <v>0</v>
      </c>
      <c r="K40" s="120" t="str">
        <f t="shared" si="5"/>
        <v>0</v>
      </c>
      <c r="L40" s="121"/>
      <c r="M40" s="121"/>
      <c r="N40" s="60" t="s">
        <v>98</v>
      </c>
      <c r="O40" s="305"/>
      <c r="P40" s="306"/>
      <c r="Q40" s="307"/>
      <c r="R40" s="69"/>
      <c r="S40" s="62"/>
      <c r="T40" s="62"/>
      <c r="U40" s="63"/>
    </row>
    <row r="41" spans="1:33" x14ac:dyDescent="0.3">
      <c r="A41" s="118">
        <f t="shared" si="7"/>
        <v>30</v>
      </c>
      <c r="B41" s="204">
        <v>12933</v>
      </c>
      <c r="C41" s="27" t="s">
        <v>395</v>
      </c>
      <c r="D41" s="175" t="s">
        <v>396</v>
      </c>
      <c r="E41" s="171" t="s">
        <v>92</v>
      </c>
      <c r="F41" s="163">
        <v>1610</v>
      </c>
      <c r="G41" s="111" t="s">
        <v>110</v>
      </c>
      <c r="H41" s="114"/>
      <c r="I41" s="116">
        <v>95</v>
      </c>
      <c r="J41" s="120" t="str">
        <f t="shared" si="6"/>
        <v>0</v>
      </c>
      <c r="K41" s="120" t="str">
        <f t="shared" si="5"/>
        <v>0</v>
      </c>
      <c r="L41" s="121"/>
      <c r="M41" s="121"/>
      <c r="N41" s="60" t="s">
        <v>98</v>
      </c>
      <c r="O41" s="305"/>
      <c r="P41" s="306"/>
      <c r="Q41" s="307"/>
      <c r="R41" s="71"/>
      <c r="S41" s="64"/>
      <c r="T41" s="64"/>
      <c r="U41" s="65"/>
    </row>
    <row r="42" spans="1:33" x14ac:dyDescent="0.3">
      <c r="A42" s="118">
        <f t="shared" si="7"/>
        <v>31</v>
      </c>
      <c r="B42" s="109">
        <v>12934</v>
      </c>
      <c r="C42" s="17" t="s">
        <v>397</v>
      </c>
      <c r="D42" s="181" t="s">
        <v>398</v>
      </c>
      <c r="E42" s="171" t="s">
        <v>92</v>
      </c>
      <c r="F42" s="57">
        <v>1635</v>
      </c>
      <c r="G42" s="111" t="s">
        <v>110</v>
      </c>
      <c r="H42" s="114"/>
      <c r="I42" s="115">
        <v>95</v>
      </c>
      <c r="J42" s="120" t="str">
        <f t="shared" si="6"/>
        <v>0</v>
      </c>
      <c r="K42" s="120" t="str">
        <f t="shared" si="5"/>
        <v>0</v>
      </c>
      <c r="L42" s="121"/>
      <c r="M42" s="121"/>
      <c r="N42" s="60" t="s">
        <v>98</v>
      </c>
      <c r="O42" s="292"/>
      <c r="P42" s="293"/>
      <c r="Q42" s="294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11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2"/>
      <c r="P43" s="303"/>
      <c r="Q43" s="304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2"/>
      <c r="P44" s="303"/>
      <c r="Q44" s="304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2"/>
      <c r="P45" s="303"/>
      <c r="Q45" s="304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2"/>
      <c r="P46" s="303"/>
      <c r="Q46" s="304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2"/>
      <c r="P47" s="303"/>
      <c r="Q47" s="304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2"/>
      <c r="P48" s="303"/>
      <c r="Q48" s="304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2"/>
      <c r="P49" s="303"/>
      <c r="Q49" s="304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2"/>
      <c r="P50" s="303"/>
      <c r="Q50" s="304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2"/>
      <c r="P51" s="303"/>
      <c r="Q51" s="303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2"/>
      <c r="P52" s="303"/>
      <c r="Q52" s="303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46"/>
      <c r="P53" s="302"/>
      <c r="Q53" s="30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46"/>
      <c r="P54" s="302"/>
      <c r="Q54" s="30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46"/>
      <c r="P55" s="302"/>
      <c r="Q55" s="30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3"/>
      <c r="P56" s="303"/>
      <c r="Q56" s="303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2"/>
      <c r="P57" s="303"/>
      <c r="Q57" s="303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3"/>
      <c r="P58" s="303"/>
      <c r="Q58" s="303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3"/>
      <c r="P59" s="303"/>
      <c r="Q59" s="303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2"/>
      <c r="P60" s="303"/>
      <c r="Q60" s="304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7"/>
      <c r="P61" s="348"/>
      <c r="Q61" s="349"/>
      <c r="R61" s="72"/>
      <c r="S61" s="59"/>
      <c r="T61" s="59"/>
      <c r="U61" s="68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265</v>
      </c>
      <c r="I62" s="356">
        <f t="shared" si="8"/>
        <v>285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17 - 12 - 2022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SUNNY</v>
      </c>
      <c r="K66" s="287"/>
      <c r="L66" s="289" t="s">
        <v>50</v>
      </c>
      <c r="M66" s="290"/>
      <c r="N66" s="288"/>
      <c r="O66" s="286" t="str">
        <f>O34</f>
        <v>JOHN</v>
      </c>
      <c r="P66" s="286"/>
      <c r="Q66" s="287"/>
      <c r="R66" s="289" t="s">
        <v>51</v>
      </c>
      <c r="S66" s="288"/>
      <c r="T66" s="291">
        <f>T34</f>
        <v>8</v>
      </c>
      <c r="U66" s="29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95" t="s">
        <v>8</v>
      </c>
      <c r="P68" s="295"/>
      <c r="Q68" s="295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2"/>
      <c r="P69" s="303"/>
      <c r="Q69" s="304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99"/>
      <c r="P70" s="300"/>
      <c r="Q70" s="30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2"/>
      <c r="P71" s="303"/>
      <c r="Q71" s="304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05"/>
      <c r="P72" s="306"/>
      <c r="Q72" s="307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05"/>
      <c r="P73" s="306"/>
      <c r="Q73" s="307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2"/>
      <c r="P74" s="293"/>
      <c r="Q74" s="294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2"/>
      <c r="P75" s="303"/>
      <c r="Q75" s="304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2"/>
      <c r="P76" s="303"/>
      <c r="Q76" s="304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2"/>
      <c r="P77" s="303"/>
      <c r="Q77" s="304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2"/>
      <c r="P78" s="303"/>
      <c r="Q78" s="304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2"/>
      <c r="P79" s="303"/>
      <c r="Q79" s="304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2"/>
      <c r="P80" s="303"/>
      <c r="Q80" s="304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2"/>
      <c r="P81" s="303"/>
      <c r="Q81" s="304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2"/>
      <c r="P82" s="303"/>
      <c r="Q82" s="304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2"/>
      <c r="P83" s="303"/>
      <c r="Q83" s="303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2"/>
      <c r="P84" s="303"/>
      <c r="Q84" s="303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46"/>
      <c r="P85" s="302"/>
      <c r="Q85" s="30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46"/>
      <c r="P86" s="302"/>
      <c r="Q86" s="30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46"/>
      <c r="P87" s="302"/>
      <c r="Q87" s="30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3"/>
      <c r="P88" s="303"/>
      <c r="Q88" s="303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2"/>
      <c r="P89" s="303"/>
      <c r="Q89" s="303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3"/>
      <c r="P90" s="303"/>
      <c r="Q90" s="303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3"/>
      <c r="P91" s="303"/>
      <c r="Q91" s="303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2"/>
      <c r="P92" s="303"/>
      <c r="Q92" s="304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7"/>
      <c r="P93" s="348"/>
      <c r="Q93" s="349"/>
      <c r="R93" s="72"/>
      <c r="S93" s="59"/>
      <c r="T93" s="59"/>
      <c r="U93" s="68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4" type="noConversion"/>
  <dataValidations count="1">
    <dataValidation type="list" allowBlank="1" showInputMessage="1" showErrorMessage="1" sqref="X7 W5 E69:E93 E5:E29 E37:E61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K19" sqref="K1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288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400</v>
      </c>
      <c r="K2" s="287"/>
      <c r="L2" s="289" t="s">
        <v>96</v>
      </c>
      <c r="M2" s="290"/>
      <c r="N2" s="288"/>
      <c r="O2" s="286" t="s">
        <v>431</v>
      </c>
      <c r="P2" s="286"/>
      <c r="Q2" s="287"/>
      <c r="R2" s="289" t="s">
        <v>51</v>
      </c>
      <c r="S2" s="288"/>
      <c r="T2" s="291">
        <v>4</v>
      </c>
      <c r="U2" s="291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95" t="s">
        <v>8</v>
      </c>
      <c r="P4" s="295"/>
      <c r="Q4" s="295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12935</v>
      </c>
      <c r="C5" s="59" t="s">
        <v>401</v>
      </c>
      <c r="D5" s="190" t="s">
        <v>402</v>
      </c>
      <c r="E5" s="171" t="s">
        <v>91</v>
      </c>
      <c r="F5" s="160">
        <v>910</v>
      </c>
      <c r="G5" s="109" t="s">
        <v>110</v>
      </c>
      <c r="H5" s="82"/>
      <c r="I5" s="115">
        <v>75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296"/>
      <c r="P5" s="297"/>
      <c r="Q5" s="298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12936</v>
      </c>
      <c r="C6" s="58" t="s">
        <v>403</v>
      </c>
      <c r="D6" s="190" t="s">
        <v>404</v>
      </c>
      <c r="E6" s="171" t="s">
        <v>92</v>
      </c>
      <c r="F6" s="161">
        <v>940</v>
      </c>
      <c r="G6" s="109" t="s">
        <v>123</v>
      </c>
      <c r="H6" s="82"/>
      <c r="I6" s="115"/>
      <c r="J6" s="120" t="str">
        <f t="shared" ref="J6:J29" si="1">IF(G6="RSL","55","0")</f>
        <v>0</v>
      </c>
      <c r="K6" s="120">
        <v>79.16</v>
      </c>
      <c r="L6" s="121"/>
      <c r="M6" s="121"/>
      <c r="N6" s="124" t="s">
        <v>98</v>
      </c>
      <c r="O6" s="299" t="s">
        <v>405</v>
      </c>
      <c r="P6" s="300"/>
      <c r="Q6" s="301"/>
      <c r="R6" s="122" t="s">
        <v>99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12937</v>
      </c>
      <c r="C7" s="58" t="s">
        <v>406</v>
      </c>
      <c r="D7" s="190" t="s">
        <v>407</v>
      </c>
      <c r="E7" s="171" t="s">
        <v>91</v>
      </c>
      <c r="F7" s="161">
        <v>1010</v>
      </c>
      <c r="G7" s="109" t="s">
        <v>110</v>
      </c>
      <c r="H7" s="82"/>
      <c r="I7" s="115">
        <v>95</v>
      </c>
      <c r="J7" s="120" t="str">
        <f t="shared" si="1"/>
        <v>0</v>
      </c>
      <c r="K7" s="120" t="str">
        <f t="shared" ref="K6:K29" si="2">IF(G7="GVS","37.5",IF(G7="GVM","41.5",IF(G7="GVL","50",IF(G7="PCS","45.8",IF(G7="PCM","50",IF(G7="PCL","58.3","0"))))))</f>
        <v>0</v>
      </c>
      <c r="L7" s="121"/>
      <c r="M7" s="121"/>
      <c r="N7" s="124" t="s">
        <v>98</v>
      </c>
      <c r="O7" s="302"/>
      <c r="P7" s="303"/>
      <c r="Q7" s="304"/>
      <c r="R7" s="124" t="s">
        <v>101</v>
      </c>
      <c r="S7" s="30">
        <v>0.35416666666666669</v>
      </c>
      <c r="T7" s="31">
        <v>0.70833333333333337</v>
      </c>
      <c r="U7" s="83">
        <f t="shared" si="0"/>
        <v>8.5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12938</v>
      </c>
      <c r="C8" s="26" t="s">
        <v>408</v>
      </c>
      <c r="D8" s="190" t="s">
        <v>409</v>
      </c>
      <c r="E8" s="171" t="s">
        <v>91</v>
      </c>
      <c r="F8" s="161">
        <v>1050</v>
      </c>
      <c r="G8" s="109" t="s">
        <v>107</v>
      </c>
      <c r="H8" s="82">
        <v>130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05"/>
      <c r="P8" s="306"/>
      <c r="Q8" s="307"/>
      <c r="R8" s="25" t="s">
        <v>276</v>
      </c>
      <c r="S8" s="30">
        <v>0.44791666666666669</v>
      </c>
      <c r="T8" s="31">
        <v>0.70833333333333337</v>
      </c>
      <c r="U8" s="83">
        <f t="shared" si="0"/>
        <v>6.25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12939</v>
      </c>
      <c r="C9" s="54" t="s">
        <v>410</v>
      </c>
      <c r="D9" s="191" t="s">
        <v>411</v>
      </c>
      <c r="E9" s="171" t="s">
        <v>91</v>
      </c>
      <c r="F9" s="162">
        <v>1105</v>
      </c>
      <c r="G9" s="110" t="s">
        <v>107</v>
      </c>
      <c r="H9" s="82">
        <v>115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05"/>
      <c r="P9" s="306"/>
      <c r="Q9" s="307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12940</v>
      </c>
      <c r="C10" s="27" t="s">
        <v>412</v>
      </c>
      <c r="D10" s="192" t="s">
        <v>413</v>
      </c>
      <c r="E10" s="171" t="s">
        <v>92</v>
      </c>
      <c r="F10" s="163">
        <v>1130</v>
      </c>
      <c r="G10" s="111" t="s">
        <v>110</v>
      </c>
      <c r="H10" s="114"/>
      <c r="I10" s="116">
        <v>70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292"/>
      <c r="P10" s="293"/>
      <c r="Q10" s="294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12941</v>
      </c>
      <c r="C11" s="17" t="s">
        <v>414</v>
      </c>
      <c r="D11" s="193" t="s">
        <v>416</v>
      </c>
      <c r="E11" s="171" t="s">
        <v>92</v>
      </c>
      <c r="F11" s="57">
        <v>1146</v>
      </c>
      <c r="G11" s="112" t="s">
        <v>123</v>
      </c>
      <c r="H11" s="114"/>
      <c r="I11" s="115"/>
      <c r="J11" s="120" t="str">
        <f t="shared" si="1"/>
        <v>0</v>
      </c>
      <c r="K11" s="120">
        <v>79.16</v>
      </c>
      <c r="L11" s="121"/>
      <c r="M11" s="121"/>
      <c r="N11" s="124" t="s">
        <v>98</v>
      </c>
      <c r="O11" s="302" t="s">
        <v>415</v>
      </c>
      <c r="P11" s="303"/>
      <c r="Q11" s="304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271">
        <v>8</v>
      </c>
      <c r="B12" s="254">
        <v>12942</v>
      </c>
      <c r="C12" s="250" t="s">
        <v>417</v>
      </c>
      <c r="D12" s="251" t="s">
        <v>416</v>
      </c>
      <c r="E12" s="252" t="s">
        <v>91</v>
      </c>
      <c r="F12" s="253">
        <v>1146</v>
      </c>
      <c r="G12" s="254" t="s">
        <v>123</v>
      </c>
      <c r="H12" s="272"/>
      <c r="I12" s="272"/>
      <c r="J12" s="257" t="str">
        <f t="shared" si="1"/>
        <v>0</v>
      </c>
      <c r="K12" s="257">
        <v>79.16</v>
      </c>
      <c r="L12" s="258"/>
      <c r="M12" s="258">
        <v>475</v>
      </c>
      <c r="N12" s="259" t="s">
        <v>98</v>
      </c>
      <c r="O12" s="324" t="s">
        <v>418</v>
      </c>
      <c r="P12" s="325"/>
      <c r="Q12" s="326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12943</v>
      </c>
      <c r="C13" s="55" t="s">
        <v>425</v>
      </c>
      <c r="D13" s="194" t="s">
        <v>426</v>
      </c>
      <c r="E13" s="171" t="s">
        <v>92</v>
      </c>
      <c r="F13" s="163">
        <v>1200</v>
      </c>
      <c r="G13" s="110" t="s">
        <v>110</v>
      </c>
      <c r="H13" s="159"/>
      <c r="I13" s="158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302"/>
      <c r="P13" s="303"/>
      <c r="Q13" s="304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12944</v>
      </c>
      <c r="C14" s="56" t="s">
        <v>419</v>
      </c>
      <c r="D14" s="195" t="s">
        <v>416</v>
      </c>
      <c r="E14" s="171" t="s">
        <v>92</v>
      </c>
      <c r="F14" s="164">
        <v>1220</v>
      </c>
      <c r="G14" s="113" t="s">
        <v>123</v>
      </c>
      <c r="H14" s="114"/>
      <c r="I14" s="116">
        <v>75</v>
      </c>
      <c r="J14" s="120" t="str">
        <f t="shared" si="1"/>
        <v>0</v>
      </c>
      <c r="K14" s="750">
        <v>0</v>
      </c>
      <c r="L14" s="121"/>
      <c r="M14" s="121"/>
      <c r="N14" s="124" t="s">
        <v>98</v>
      </c>
      <c r="O14" s="302" t="s">
        <v>418</v>
      </c>
      <c r="P14" s="303"/>
      <c r="Q14" s="304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12945</v>
      </c>
      <c r="C15" s="56" t="s">
        <v>420</v>
      </c>
      <c r="D15" s="195" t="s">
        <v>421</v>
      </c>
      <c r="E15" s="171" t="s">
        <v>91</v>
      </c>
      <c r="F15" s="164">
        <v>1300</v>
      </c>
      <c r="G15" s="113" t="s">
        <v>110</v>
      </c>
      <c r="H15" s="114">
        <v>75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302"/>
      <c r="P15" s="303"/>
      <c r="Q15" s="304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271">
        <v>12</v>
      </c>
      <c r="B16" s="254">
        <v>12946</v>
      </c>
      <c r="C16" s="273" t="s">
        <v>422</v>
      </c>
      <c r="D16" s="274" t="s">
        <v>423</v>
      </c>
      <c r="E16" s="252" t="s">
        <v>92</v>
      </c>
      <c r="F16" s="275">
        <v>1300</v>
      </c>
      <c r="G16" s="249" t="s">
        <v>123</v>
      </c>
      <c r="H16" s="272"/>
      <c r="I16" s="257"/>
      <c r="J16" s="257" t="str">
        <f t="shared" si="1"/>
        <v>0</v>
      </c>
      <c r="K16" s="257">
        <v>79.16</v>
      </c>
      <c r="L16" s="258"/>
      <c r="M16" s="258">
        <v>475</v>
      </c>
      <c r="N16" s="259" t="s">
        <v>98</v>
      </c>
      <c r="O16" s="324" t="s">
        <v>424</v>
      </c>
      <c r="P16" s="325"/>
      <c r="Q16" s="326"/>
      <c r="R16" s="73">
        <f>H32/U16</f>
        <v>0.42748091603053434</v>
      </c>
      <c r="S16" s="74">
        <f>H32/(U16-U5)</f>
        <v>0.58947368421052626</v>
      </c>
      <c r="T16" s="74">
        <f>C32/U16</f>
        <v>39.439389312977099</v>
      </c>
      <c r="U16" s="74">
        <f>SUM(U5:U15)</f>
        <v>32.75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12947</v>
      </c>
      <c r="C17" s="17" t="s">
        <v>427</v>
      </c>
      <c r="D17" s="193" t="s">
        <v>428</v>
      </c>
      <c r="E17" s="171" t="s">
        <v>92</v>
      </c>
      <c r="F17" s="57">
        <v>1330</v>
      </c>
      <c r="G17" s="112" t="s">
        <v>107</v>
      </c>
      <c r="H17" s="114"/>
      <c r="I17" s="115">
        <v>150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302"/>
      <c r="P17" s="303"/>
      <c r="Q17" s="304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12948</v>
      </c>
      <c r="C18" s="17" t="s">
        <v>429</v>
      </c>
      <c r="D18" s="193" t="s">
        <v>430</v>
      </c>
      <c r="E18" s="171" t="s">
        <v>92</v>
      </c>
      <c r="F18" s="57">
        <v>1530</v>
      </c>
      <c r="G18" s="19" t="s">
        <v>110</v>
      </c>
      <c r="H18" s="114">
        <v>95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302"/>
      <c r="P18" s="303"/>
      <c r="Q18" s="304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302"/>
      <c r="P19" s="303"/>
      <c r="Q19" s="303"/>
      <c r="R19" s="84" t="s">
        <v>45</v>
      </c>
      <c r="S19" s="85">
        <f>COUNT(L5:M29,L37:M61,L69:M93)</f>
        <v>2</v>
      </c>
      <c r="T19" s="107">
        <f>SUM(L5:M29,L37:M61,L69:M93)</f>
        <v>950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10"/>
      <c r="P20" s="311"/>
      <c r="Q20" s="31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302"/>
      <c r="P21" s="303"/>
      <c r="Q21" s="303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02"/>
      <c r="P22" s="303"/>
      <c r="Q22" s="304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08"/>
      <c r="Y23" s="309"/>
      <c r="Z23" s="30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02"/>
      <c r="P24" s="303"/>
      <c r="Q24" s="304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02"/>
      <c r="P25" s="303"/>
      <c r="Q25" s="304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12">
        <f>((C32+(R26+S26+T26)*0.5))</f>
        <v>1291.6399999999999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02"/>
      <c r="P26" s="303"/>
      <c r="Q26" s="304"/>
      <c r="R26" s="103">
        <f>R25*37.5</f>
        <v>0</v>
      </c>
      <c r="S26" s="93">
        <f>S25*41.5</f>
        <v>0</v>
      </c>
      <c r="T26" s="93">
        <f>T25*50</f>
        <v>0</v>
      </c>
      <c r="U26" s="31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02"/>
      <c r="P27" s="303"/>
      <c r="Q27" s="304"/>
      <c r="R27" s="321" t="s">
        <v>56</v>
      </c>
      <c r="S27" s="322"/>
      <c r="T27" s="322"/>
      <c r="U27" s="323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02"/>
      <c r="P28" s="303"/>
      <c r="Q28" s="304"/>
      <c r="R28" s="314"/>
      <c r="S28" s="315"/>
      <c r="T28" s="316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3"/>
      <c r="P29" s="334"/>
      <c r="Q29" s="335"/>
      <c r="R29" s="336"/>
      <c r="S29" s="337"/>
      <c r="T29" s="338"/>
      <c r="U29" s="140"/>
      <c r="X29" s="14">
        <v>3</v>
      </c>
      <c r="Z29" s="45"/>
      <c r="AE29" s="39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01">
        <f t="shared" ref="H30:M30" si="3">SUM(H5:H29)</f>
        <v>415</v>
      </c>
      <c r="I30" s="96">
        <f>SUM(I5:I29)</f>
        <v>560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316.64</v>
      </c>
      <c r="L30" s="97">
        <f t="shared" si="3"/>
        <v>0</v>
      </c>
      <c r="M30" s="97">
        <f t="shared" si="3"/>
        <v>950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2"/>
      <c r="S30" s="342"/>
      <c r="T30" s="343"/>
      <c r="U30" s="141"/>
      <c r="X30" s="14">
        <v>4</v>
      </c>
      <c r="Z30" s="45"/>
      <c r="AD30" s="46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02">
        <f t="shared" ref="H31:J31" si="4">H30+H62+H94</f>
        <v>415</v>
      </c>
      <c r="I31" s="94">
        <f t="shared" si="4"/>
        <v>560</v>
      </c>
      <c r="J31" s="94">
        <f t="shared" si="4"/>
        <v>0</v>
      </c>
      <c r="K31" s="94">
        <f>K30+K62+K94</f>
        <v>316.64</v>
      </c>
      <c r="L31" s="88">
        <f>L30+L62+L94</f>
        <v>0</v>
      </c>
      <c r="M31" s="88">
        <f>M30+M62+M94</f>
        <v>950</v>
      </c>
      <c r="N31" s="207">
        <f>COUNT(H5:H29,H37:H61,H69:H93)</f>
        <v>4</v>
      </c>
      <c r="O31" s="95">
        <f>COUNT(I5:I29,I37:I61,I69:I93)</f>
        <v>6</v>
      </c>
      <c r="P31" s="95">
        <f>COUNTIF(G5:G29,"G*")+COUNTIF(G37:G61,"G*")+COUNTIF(G69:G93,"G*")+COUNTIF(G5:G29,"P*")+COUNTIF(G37:G61,"P*")+COUNTIF(G69:G93,"P*")</f>
        <v>5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415</v>
      </c>
      <c r="T31" s="329">
        <f>H31+I31+L31+M31</f>
        <v>1925</v>
      </c>
      <c r="U31" s="330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7" t="s">
        <v>55</v>
      </c>
      <c r="B32" s="318"/>
      <c r="C32" s="98">
        <f>H31+I31+J31+K31</f>
        <v>1291.6399999999999</v>
      </c>
      <c r="D32" s="186"/>
      <c r="E32" s="98"/>
      <c r="F32" s="319" t="s">
        <v>53</v>
      </c>
      <c r="G32" s="319"/>
      <c r="H32" s="100">
        <f>COUNT(B5:B29,B37:B61,B69:B93)</f>
        <v>14</v>
      </c>
      <c r="I32" s="320" t="s">
        <v>54</v>
      </c>
      <c r="J32" s="320"/>
      <c r="K32" s="99">
        <f>C32/H32</f>
        <v>92.259999999999991</v>
      </c>
      <c r="L32" s="208"/>
      <c r="M32" s="208"/>
      <c r="N32" s="208">
        <f>H31/C32</f>
        <v>0.32129695580811996</v>
      </c>
      <c r="O32" s="208">
        <f>I31/C32</f>
        <v>0.43355733795794499</v>
      </c>
      <c r="P32" s="208">
        <f>K31/C32</f>
        <v>0.24514570623393517</v>
      </c>
      <c r="Q32" s="101">
        <f>J31/C32</f>
        <v>0</v>
      </c>
      <c r="R32" s="90" t="s">
        <v>82</v>
      </c>
      <c r="S32" s="203">
        <f>I31+M31</f>
        <v>1510</v>
      </c>
      <c r="T32" s="331"/>
      <c r="U32" s="332"/>
      <c r="V32" s="39"/>
      <c r="W32" s="39"/>
      <c r="X32" s="48" t="s">
        <v>27</v>
      </c>
      <c r="Y32" s="48"/>
      <c r="Z32" s="47">
        <f>I31</f>
        <v>560</v>
      </c>
    </row>
    <row r="33" spans="1:33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49" t="s">
        <v>29</v>
      </c>
      <c r="Y33" s="49"/>
      <c r="Z33" s="50">
        <f>SUM(Z31:Z32)</f>
        <v>-2185</v>
      </c>
      <c r="AG33" s="35"/>
    </row>
    <row r="34" spans="1:33" ht="17.25" thickBot="1" x14ac:dyDescent="0.35">
      <c r="A34" s="285" t="str">
        <f>A2</f>
        <v>18 - 12 - 2022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RAINING</v>
      </c>
      <c r="K34" s="287"/>
      <c r="L34" s="289" t="s">
        <v>50</v>
      </c>
      <c r="M34" s="290"/>
      <c r="N34" s="288"/>
      <c r="O34" s="286" t="str">
        <f>O2</f>
        <v>RAIN&amp;CLOUDY</v>
      </c>
      <c r="P34" s="286"/>
      <c r="Q34" s="287"/>
      <c r="R34" s="289" t="s">
        <v>51</v>
      </c>
      <c r="S34" s="288"/>
      <c r="T34" s="291">
        <f>T2</f>
        <v>4</v>
      </c>
      <c r="U34" s="291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95" t="s">
        <v>8</v>
      </c>
      <c r="P36" s="295"/>
      <c r="Q36" s="295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02"/>
      <c r="P37" s="303"/>
      <c r="Q37" s="304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99"/>
      <c r="P38" s="300"/>
      <c r="Q38" s="30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02"/>
      <c r="P39" s="303"/>
      <c r="Q39" s="304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05"/>
      <c r="P40" s="306"/>
      <c r="Q40" s="307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05"/>
      <c r="P41" s="306"/>
      <c r="Q41" s="307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92"/>
      <c r="P42" s="293"/>
      <c r="Q42" s="294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02"/>
      <c r="P43" s="303"/>
      <c r="Q43" s="304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02"/>
      <c r="P44" s="303"/>
      <c r="Q44" s="304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02"/>
      <c r="P45" s="303"/>
      <c r="Q45" s="304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02"/>
      <c r="P46" s="303"/>
      <c r="Q46" s="304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02"/>
      <c r="P47" s="303"/>
      <c r="Q47" s="304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02"/>
      <c r="P48" s="303"/>
      <c r="Q48" s="304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02"/>
      <c r="P49" s="303"/>
      <c r="Q49" s="304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02"/>
      <c r="P50" s="303"/>
      <c r="Q50" s="304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02"/>
      <c r="P51" s="303"/>
      <c r="Q51" s="303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02"/>
      <c r="P52" s="303"/>
      <c r="Q52" s="303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46"/>
      <c r="P53" s="302"/>
      <c r="Q53" s="30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46"/>
      <c r="P54" s="302"/>
      <c r="Q54" s="30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46"/>
      <c r="P55" s="302"/>
      <c r="Q55" s="30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03"/>
      <c r="P56" s="303"/>
      <c r="Q56" s="303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02"/>
      <c r="P57" s="303"/>
      <c r="Q57" s="303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03"/>
      <c r="P58" s="303"/>
      <c r="Q58" s="303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03"/>
      <c r="P59" s="303"/>
      <c r="Q59" s="303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02"/>
      <c r="P60" s="303"/>
      <c r="Q60" s="304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7"/>
      <c r="P61" s="348"/>
      <c r="Q61" s="349"/>
      <c r="R61" s="72"/>
      <c r="S61" s="59"/>
      <c r="T61" s="59"/>
      <c r="U61" s="68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18 - 12 - 2022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RAINING</v>
      </c>
      <c r="K66" s="287"/>
      <c r="L66" s="289" t="s">
        <v>50</v>
      </c>
      <c r="M66" s="290"/>
      <c r="N66" s="288"/>
      <c r="O66" s="286" t="str">
        <f>O34</f>
        <v>RAIN&amp;CLOUDY</v>
      </c>
      <c r="P66" s="286"/>
      <c r="Q66" s="287"/>
      <c r="R66" s="289" t="s">
        <v>51</v>
      </c>
      <c r="S66" s="288"/>
      <c r="T66" s="291">
        <f>T34</f>
        <v>4</v>
      </c>
      <c r="U66" s="291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95" t="s">
        <v>8</v>
      </c>
      <c r="P68" s="295"/>
      <c r="Q68" s="295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02"/>
      <c r="P69" s="303"/>
      <c r="Q69" s="304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99"/>
      <c r="P70" s="300"/>
      <c r="Q70" s="30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02"/>
      <c r="P71" s="303"/>
      <c r="Q71" s="304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05"/>
      <c r="P72" s="306"/>
      <c r="Q72" s="307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05"/>
      <c r="P73" s="306"/>
      <c r="Q73" s="307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92"/>
      <c r="P74" s="293"/>
      <c r="Q74" s="294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02"/>
      <c r="P75" s="303"/>
      <c r="Q75" s="304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02"/>
      <c r="P76" s="303"/>
      <c r="Q76" s="304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02"/>
      <c r="P77" s="303"/>
      <c r="Q77" s="304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02"/>
      <c r="P78" s="303"/>
      <c r="Q78" s="304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02"/>
      <c r="P79" s="303"/>
      <c r="Q79" s="304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02"/>
      <c r="P80" s="303"/>
      <c r="Q80" s="304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02"/>
      <c r="P81" s="303"/>
      <c r="Q81" s="304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02"/>
      <c r="P82" s="303"/>
      <c r="Q82" s="304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02"/>
      <c r="P83" s="303"/>
      <c r="Q83" s="303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02"/>
      <c r="P84" s="303"/>
      <c r="Q84" s="303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46"/>
      <c r="P85" s="302"/>
      <c r="Q85" s="30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46"/>
      <c r="P86" s="302"/>
      <c r="Q86" s="30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46"/>
      <c r="P87" s="302"/>
      <c r="Q87" s="30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03"/>
      <c r="P88" s="303"/>
      <c r="Q88" s="303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02"/>
      <c r="P89" s="303"/>
      <c r="Q89" s="303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03"/>
      <c r="P90" s="303"/>
      <c r="Q90" s="303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03"/>
      <c r="P91" s="303"/>
      <c r="Q91" s="303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02"/>
      <c r="P92" s="303"/>
      <c r="Q92" s="304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7"/>
      <c r="P93" s="348"/>
      <c r="Q93" s="349"/>
      <c r="R93" s="72"/>
      <c r="S93" s="59"/>
      <c r="T93" s="59"/>
      <c r="U93" s="68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4" sqref="H24:K24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528"/>
      <c r="B1" s="528"/>
      <c r="C1" s="528"/>
      <c r="D1" s="528"/>
      <c r="E1" s="526" t="s">
        <v>59</v>
      </c>
      <c r="F1" s="526"/>
      <c r="G1" s="526"/>
      <c r="H1" s="526" t="s">
        <v>60</v>
      </c>
      <c r="I1" s="526"/>
      <c r="J1" s="526"/>
      <c r="K1" s="526"/>
      <c r="L1" s="526" t="s">
        <v>61</v>
      </c>
      <c r="M1" s="526"/>
      <c r="N1" s="526"/>
      <c r="O1" s="526"/>
      <c r="P1" s="526"/>
      <c r="Q1" s="526" t="s">
        <v>62</v>
      </c>
      <c r="R1" s="526"/>
      <c r="S1" s="526"/>
      <c r="T1" s="526"/>
      <c r="U1" s="526"/>
      <c r="V1" s="526" t="s">
        <v>63</v>
      </c>
      <c r="W1" s="526"/>
      <c r="X1" s="526"/>
      <c r="Y1" s="526"/>
      <c r="Z1" s="526"/>
      <c r="AA1" s="526" t="s">
        <v>64</v>
      </c>
      <c r="AB1" s="526"/>
      <c r="AC1" s="526"/>
      <c r="AD1" s="526"/>
    </row>
    <row r="2" spans="1:30" ht="20.100000000000001" customHeight="1" x14ac:dyDescent="0.3">
      <c r="A2" s="445" t="s">
        <v>66</v>
      </c>
      <c r="B2" s="468" t="s">
        <v>57</v>
      </c>
      <c r="C2" s="468"/>
      <c r="D2" s="527"/>
      <c r="E2" s="527">
        <f>MON!N31</f>
        <v>3</v>
      </c>
      <c r="F2" s="527"/>
      <c r="G2" s="527"/>
      <c r="H2" s="529">
        <f>MON!S31</f>
        <v>300</v>
      </c>
      <c r="I2" s="529"/>
      <c r="J2" s="529"/>
      <c r="K2" s="529"/>
      <c r="L2" s="530">
        <f>MON!N32</f>
        <v>0.31117104034851156</v>
      </c>
      <c r="M2" s="530"/>
      <c r="N2" s="530"/>
      <c r="O2" s="530"/>
      <c r="P2" s="530"/>
      <c r="Q2" s="598">
        <f>SUM(E2:G5)</f>
        <v>10</v>
      </c>
      <c r="R2" s="599"/>
      <c r="S2" s="599"/>
      <c r="T2" s="599"/>
      <c r="U2" s="600"/>
      <c r="V2" s="540">
        <f>SUM(H2,H3,H5)</f>
        <v>1360</v>
      </c>
      <c r="W2" s="541"/>
      <c r="X2" s="541"/>
      <c r="Y2" s="541"/>
      <c r="Z2" s="542"/>
      <c r="AA2" s="549">
        <f>V2/Q2</f>
        <v>136</v>
      </c>
      <c r="AB2" s="550"/>
      <c r="AC2" s="550"/>
      <c r="AD2" s="551"/>
    </row>
    <row r="3" spans="1:30" ht="20.100000000000001" customHeight="1" x14ac:dyDescent="0.3">
      <c r="A3" s="446"/>
      <c r="B3" s="468" t="s">
        <v>58</v>
      </c>
      <c r="C3" s="468"/>
      <c r="D3" s="527"/>
      <c r="E3" s="527">
        <f>MON!O31</f>
        <v>6</v>
      </c>
      <c r="F3" s="527"/>
      <c r="G3" s="527"/>
      <c r="H3" s="529">
        <f>MON!S32</f>
        <v>1060</v>
      </c>
      <c r="I3" s="529"/>
      <c r="J3" s="529"/>
      <c r="K3" s="529"/>
      <c r="L3" s="530">
        <f>MON!O32</f>
        <v>0.60678352867959751</v>
      </c>
      <c r="M3" s="530"/>
      <c r="N3" s="530"/>
      <c r="O3" s="530"/>
      <c r="P3" s="530"/>
      <c r="Q3" s="601"/>
      <c r="R3" s="602"/>
      <c r="S3" s="602"/>
      <c r="T3" s="602"/>
      <c r="U3" s="603"/>
      <c r="V3" s="543"/>
      <c r="W3" s="544"/>
      <c r="X3" s="544"/>
      <c r="Y3" s="544"/>
      <c r="Z3" s="545"/>
      <c r="AA3" s="552"/>
      <c r="AB3" s="553"/>
      <c r="AC3" s="553"/>
      <c r="AD3" s="554"/>
    </row>
    <row r="4" spans="1:30" ht="20.100000000000001" customHeight="1" x14ac:dyDescent="0.3">
      <c r="A4" s="446"/>
      <c r="B4" s="468" t="s">
        <v>45</v>
      </c>
      <c r="C4" s="468"/>
      <c r="D4" s="527"/>
      <c r="E4" s="527">
        <f>MON!P31</f>
        <v>1</v>
      </c>
      <c r="F4" s="527"/>
      <c r="G4" s="527"/>
      <c r="H4" s="529">
        <f>MON!K31</f>
        <v>79.099999999999994</v>
      </c>
      <c r="I4" s="529"/>
      <c r="J4" s="529"/>
      <c r="K4" s="529"/>
      <c r="L4" s="530">
        <f>MON!P32</f>
        <v>8.2045430971890876E-2</v>
      </c>
      <c r="M4" s="530"/>
      <c r="N4" s="530"/>
      <c r="O4" s="530"/>
      <c r="P4" s="530"/>
      <c r="Q4" s="601"/>
      <c r="R4" s="602"/>
      <c r="S4" s="602"/>
      <c r="T4" s="602"/>
      <c r="U4" s="603"/>
      <c r="V4" s="543"/>
      <c r="W4" s="544"/>
      <c r="X4" s="544"/>
      <c r="Y4" s="544"/>
      <c r="Z4" s="545"/>
      <c r="AA4" s="552"/>
      <c r="AB4" s="553"/>
      <c r="AC4" s="553"/>
      <c r="AD4" s="554"/>
    </row>
    <row r="5" spans="1:30" ht="20.100000000000001" customHeight="1" x14ac:dyDescent="0.3">
      <c r="A5" s="446"/>
      <c r="B5" s="466" t="s">
        <v>65</v>
      </c>
      <c r="C5" s="467"/>
      <c r="D5" s="468"/>
      <c r="E5" s="466">
        <f>MON!Q31</f>
        <v>0</v>
      </c>
      <c r="F5" s="467"/>
      <c r="G5" s="468"/>
      <c r="H5" s="586">
        <f>MON!J31</f>
        <v>0</v>
      </c>
      <c r="I5" s="587"/>
      <c r="J5" s="587"/>
      <c r="K5" s="588"/>
      <c r="L5" s="589">
        <f>MON!Q32</f>
        <v>0</v>
      </c>
      <c r="M5" s="590"/>
      <c r="N5" s="590"/>
      <c r="O5" s="590"/>
      <c r="P5" s="591"/>
      <c r="Q5" s="604"/>
      <c r="R5" s="605"/>
      <c r="S5" s="605"/>
      <c r="T5" s="605"/>
      <c r="U5" s="606"/>
      <c r="V5" s="546"/>
      <c r="W5" s="547"/>
      <c r="X5" s="547"/>
      <c r="Y5" s="547"/>
      <c r="Z5" s="548"/>
      <c r="AA5" s="555"/>
      <c r="AB5" s="556"/>
      <c r="AC5" s="556"/>
      <c r="AD5" s="557"/>
    </row>
    <row r="6" spans="1:30" ht="20.100000000000001" customHeight="1" x14ac:dyDescent="0.3">
      <c r="A6" s="447"/>
      <c r="B6" s="466" t="s">
        <v>94</v>
      </c>
      <c r="C6" s="467"/>
      <c r="D6" s="468"/>
      <c r="E6" s="466">
        <f>MON!U16</f>
        <v>33.5</v>
      </c>
      <c r="F6" s="467"/>
      <c r="G6" s="468"/>
      <c r="H6" s="586" t="s">
        <v>95</v>
      </c>
      <c r="I6" s="587"/>
      <c r="J6" s="587"/>
      <c r="K6" s="588"/>
      <c r="L6" s="646">
        <f>MON!T2</f>
        <v>5</v>
      </c>
      <c r="M6" s="647"/>
      <c r="N6" s="647"/>
      <c r="O6" s="647"/>
      <c r="P6" s="648"/>
      <c r="Q6" s="649"/>
      <c r="R6" s="650"/>
      <c r="S6" s="650"/>
      <c r="T6" s="650"/>
      <c r="U6" s="651"/>
      <c r="V6" s="416"/>
      <c r="W6" s="417"/>
      <c r="X6" s="417"/>
      <c r="Y6" s="417"/>
      <c r="Z6" s="418"/>
      <c r="AA6" s="419"/>
      <c r="AB6" s="420"/>
      <c r="AC6" s="420"/>
      <c r="AD6" s="421"/>
    </row>
    <row r="7" spans="1:30" ht="20.100000000000001" customHeight="1" x14ac:dyDescent="0.3">
      <c r="A7" s="448" t="s">
        <v>67</v>
      </c>
      <c r="B7" s="424" t="s">
        <v>57</v>
      </c>
      <c r="C7" s="424"/>
      <c r="D7" s="440"/>
      <c r="E7" s="440">
        <f>TUE!N31</f>
        <v>8</v>
      </c>
      <c r="F7" s="440"/>
      <c r="G7" s="440"/>
      <c r="H7" s="441">
        <f>TUE!S31</f>
        <v>1035</v>
      </c>
      <c r="I7" s="441"/>
      <c r="J7" s="441"/>
      <c r="K7" s="441"/>
      <c r="L7" s="442">
        <f>TUE!N32</f>
        <v>0.52229730070699376</v>
      </c>
      <c r="M7" s="443"/>
      <c r="N7" s="443"/>
      <c r="O7" s="443"/>
      <c r="P7" s="444"/>
      <c r="Q7" s="628">
        <f>SUM(E7:G10)</f>
        <v>21</v>
      </c>
      <c r="R7" s="629"/>
      <c r="S7" s="629"/>
      <c r="T7" s="629"/>
      <c r="U7" s="630"/>
      <c r="V7" s="531">
        <f>SUM(H7,H8,H10)</f>
        <v>1865</v>
      </c>
      <c r="W7" s="532"/>
      <c r="X7" s="532"/>
      <c r="Y7" s="532"/>
      <c r="Z7" s="533"/>
      <c r="AA7" s="558">
        <f>V7/Q7</f>
        <v>88.80952380952381</v>
      </c>
      <c r="AB7" s="559"/>
      <c r="AC7" s="559"/>
      <c r="AD7" s="560"/>
    </row>
    <row r="8" spans="1:30" ht="20.100000000000001" customHeight="1" x14ac:dyDescent="0.3">
      <c r="A8" s="449"/>
      <c r="B8" s="424" t="s">
        <v>58</v>
      </c>
      <c r="C8" s="424"/>
      <c r="D8" s="440"/>
      <c r="E8" s="440">
        <f>TUE!O31</f>
        <v>5</v>
      </c>
      <c r="F8" s="440"/>
      <c r="G8" s="440"/>
      <c r="H8" s="441">
        <f>TUE!S32</f>
        <v>830</v>
      </c>
      <c r="I8" s="441"/>
      <c r="J8" s="441"/>
      <c r="K8" s="441"/>
      <c r="L8" s="442">
        <f>TUE!O32</f>
        <v>0.17914545096713311</v>
      </c>
      <c r="M8" s="443"/>
      <c r="N8" s="443"/>
      <c r="O8" s="443"/>
      <c r="P8" s="444"/>
      <c r="Q8" s="631"/>
      <c r="R8" s="632"/>
      <c r="S8" s="632"/>
      <c r="T8" s="632"/>
      <c r="U8" s="633"/>
      <c r="V8" s="534"/>
      <c r="W8" s="535"/>
      <c r="X8" s="535"/>
      <c r="Y8" s="535"/>
      <c r="Z8" s="536"/>
      <c r="AA8" s="561"/>
      <c r="AB8" s="562"/>
      <c r="AC8" s="562"/>
      <c r="AD8" s="563"/>
    </row>
    <row r="9" spans="1:30" ht="20.100000000000001" customHeight="1" x14ac:dyDescent="0.3">
      <c r="A9" s="449"/>
      <c r="B9" s="424" t="s">
        <v>45</v>
      </c>
      <c r="C9" s="424"/>
      <c r="D9" s="440"/>
      <c r="E9" s="440">
        <f>TUE!P31</f>
        <v>8</v>
      </c>
      <c r="F9" s="440"/>
      <c r="G9" s="440"/>
      <c r="H9" s="441">
        <f>TUE!K31</f>
        <v>591.63</v>
      </c>
      <c r="I9" s="441"/>
      <c r="J9" s="441"/>
      <c r="K9" s="441"/>
      <c r="L9" s="442">
        <f>TUE!P32</f>
        <v>0.2985572483258731</v>
      </c>
      <c r="M9" s="443"/>
      <c r="N9" s="443"/>
      <c r="O9" s="443"/>
      <c r="P9" s="444"/>
      <c r="Q9" s="631"/>
      <c r="R9" s="632"/>
      <c r="S9" s="632"/>
      <c r="T9" s="632"/>
      <c r="U9" s="633"/>
      <c r="V9" s="534"/>
      <c r="W9" s="535"/>
      <c r="X9" s="535"/>
      <c r="Y9" s="535"/>
      <c r="Z9" s="536"/>
      <c r="AA9" s="561"/>
      <c r="AB9" s="562"/>
      <c r="AC9" s="562"/>
      <c r="AD9" s="563"/>
    </row>
    <row r="10" spans="1:30" ht="20.100000000000001" customHeight="1" x14ac:dyDescent="0.3">
      <c r="A10" s="449"/>
      <c r="B10" s="422" t="s">
        <v>65</v>
      </c>
      <c r="C10" s="423"/>
      <c r="D10" s="424"/>
      <c r="E10" s="422">
        <f>TUE!Q31</f>
        <v>0</v>
      </c>
      <c r="F10" s="423"/>
      <c r="G10" s="424"/>
      <c r="H10" s="425">
        <f>TUE!J31</f>
        <v>0</v>
      </c>
      <c r="I10" s="426"/>
      <c r="J10" s="426"/>
      <c r="K10" s="427"/>
      <c r="L10" s="442">
        <f>TUE!Q32</f>
        <v>0</v>
      </c>
      <c r="M10" s="443"/>
      <c r="N10" s="443"/>
      <c r="O10" s="443"/>
      <c r="P10" s="444"/>
      <c r="Q10" s="634"/>
      <c r="R10" s="635"/>
      <c r="S10" s="635"/>
      <c r="T10" s="635"/>
      <c r="U10" s="636"/>
      <c r="V10" s="537"/>
      <c r="W10" s="538"/>
      <c r="X10" s="538"/>
      <c r="Y10" s="538"/>
      <c r="Z10" s="539"/>
      <c r="AA10" s="564"/>
      <c r="AB10" s="565"/>
      <c r="AC10" s="565"/>
      <c r="AD10" s="566"/>
    </row>
    <row r="11" spans="1:30" ht="20.100000000000001" customHeight="1" x14ac:dyDescent="0.3">
      <c r="A11" s="450"/>
      <c r="B11" s="422" t="s">
        <v>94</v>
      </c>
      <c r="C11" s="423"/>
      <c r="D11" s="424"/>
      <c r="E11" s="422">
        <f>TUE!U16</f>
        <v>43.5</v>
      </c>
      <c r="F11" s="423"/>
      <c r="G11" s="424"/>
      <c r="H11" s="425" t="s">
        <v>95</v>
      </c>
      <c r="I11" s="426"/>
      <c r="J11" s="426"/>
      <c r="K11" s="427"/>
      <c r="L11" s="428">
        <f>TUE!T2</f>
        <v>6</v>
      </c>
      <c r="M11" s="429"/>
      <c r="N11" s="429"/>
      <c r="O11" s="429"/>
      <c r="P11" s="430"/>
      <c r="Q11" s="431"/>
      <c r="R11" s="432"/>
      <c r="S11" s="432"/>
      <c r="T11" s="432"/>
      <c r="U11" s="433"/>
      <c r="V11" s="434"/>
      <c r="W11" s="435"/>
      <c r="X11" s="435"/>
      <c r="Y11" s="435"/>
      <c r="Z11" s="436"/>
      <c r="AA11" s="437"/>
      <c r="AB11" s="438"/>
      <c r="AC11" s="438"/>
      <c r="AD11" s="439"/>
    </row>
    <row r="12" spans="1:30" ht="20.100000000000001" customHeight="1" x14ac:dyDescent="0.3">
      <c r="A12" s="451" t="s">
        <v>68</v>
      </c>
      <c r="B12" s="471" t="s">
        <v>57</v>
      </c>
      <c r="C12" s="471"/>
      <c r="D12" s="353"/>
      <c r="E12" s="353">
        <f>WED!N31</f>
        <v>7</v>
      </c>
      <c r="F12" s="353"/>
      <c r="G12" s="353"/>
      <c r="H12" s="592">
        <f>WED!S31</f>
        <v>800</v>
      </c>
      <c r="I12" s="593"/>
      <c r="J12" s="593"/>
      <c r="K12" s="594"/>
      <c r="L12" s="595">
        <f>WED!N32</f>
        <v>0.43618123330243719</v>
      </c>
      <c r="M12" s="596"/>
      <c r="N12" s="596"/>
      <c r="O12" s="596"/>
      <c r="P12" s="597"/>
      <c r="Q12" s="607">
        <f>SUM(E12:G15)</f>
        <v>17</v>
      </c>
      <c r="R12" s="608"/>
      <c r="S12" s="608"/>
      <c r="T12" s="608"/>
      <c r="U12" s="609"/>
      <c r="V12" s="388">
        <f>SUM(H12,H13,H15)</f>
        <v>1755</v>
      </c>
      <c r="W12" s="389"/>
      <c r="X12" s="389"/>
      <c r="Y12" s="389"/>
      <c r="Z12" s="390"/>
      <c r="AA12" s="379">
        <f>V12/Q12</f>
        <v>103.23529411764706</v>
      </c>
      <c r="AB12" s="380"/>
      <c r="AC12" s="380"/>
      <c r="AD12" s="381"/>
    </row>
    <row r="13" spans="1:30" ht="20.100000000000001" customHeight="1" x14ac:dyDescent="0.3">
      <c r="A13" s="452"/>
      <c r="B13" s="471" t="s">
        <v>58</v>
      </c>
      <c r="C13" s="471"/>
      <c r="D13" s="353"/>
      <c r="E13" s="353">
        <f>WED!O31</f>
        <v>9</v>
      </c>
      <c r="F13" s="353"/>
      <c r="G13" s="353"/>
      <c r="H13" s="592">
        <f>WED!S32</f>
        <v>955</v>
      </c>
      <c r="I13" s="593"/>
      <c r="J13" s="593"/>
      <c r="K13" s="594"/>
      <c r="L13" s="595">
        <f>WED!O32</f>
        <v>0.52069134725478439</v>
      </c>
      <c r="M13" s="596"/>
      <c r="N13" s="596"/>
      <c r="O13" s="596"/>
      <c r="P13" s="597"/>
      <c r="Q13" s="610"/>
      <c r="R13" s="611"/>
      <c r="S13" s="611"/>
      <c r="T13" s="611"/>
      <c r="U13" s="612"/>
      <c r="V13" s="391"/>
      <c r="W13" s="392"/>
      <c r="X13" s="392"/>
      <c r="Y13" s="392"/>
      <c r="Z13" s="393"/>
      <c r="AA13" s="382"/>
      <c r="AB13" s="383"/>
      <c r="AC13" s="383"/>
      <c r="AD13" s="384"/>
    </row>
    <row r="14" spans="1:30" ht="20.100000000000001" customHeight="1" x14ac:dyDescent="0.3">
      <c r="A14" s="452"/>
      <c r="B14" s="471" t="s">
        <v>45</v>
      </c>
      <c r="C14" s="471"/>
      <c r="D14" s="353"/>
      <c r="E14" s="353">
        <f>WED!P31</f>
        <v>1</v>
      </c>
      <c r="F14" s="353"/>
      <c r="G14" s="353"/>
      <c r="H14" s="592">
        <f>WED!K31</f>
        <v>79.099999999999994</v>
      </c>
      <c r="I14" s="593"/>
      <c r="J14" s="593"/>
      <c r="K14" s="594"/>
      <c r="L14" s="595">
        <f>WED!P32</f>
        <v>4.3127419442778474E-2</v>
      </c>
      <c r="M14" s="596"/>
      <c r="N14" s="596"/>
      <c r="O14" s="596"/>
      <c r="P14" s="597"/>
      <c r="Q14" s="610"/>
      <c r="R14" s="611"/>
      <c r="S14" s="611"/>
      <c r="T14" s="611"/>
      <c r="U14" s="612"/>
      <c r="V14" s="391"/>
      <c r="W14" s="392"/>
      <c r="X14" s="392"/>
      <c r="Y14" s="392"/>
      <c r="Z14" s="393"/>
      <c r="AA14" s="382"/>
      <c r="AB14" s="383"/>
      <c r="AC14" s="383"/>
      <c r="AD14" s="384"/>
    </row>
    <row r="15" spans="1:30" ht="20.100000000000001" customHeight="1" x14ac:dyDescent="0.3">
      <c r="A15" s="452"/>
      <c r="B15" s="469" t="s">
        <v>65</v>
      </c>
      <c r="C15" s="470"/>
      <c r="D15" s="471"/>
      <c r="E15" s="469">
        <f>WED!Q31</f>
        <v>0</v>
      </c>
      <c r="F15" s="470"/>
      <c r="G15" s="471"/>
      <c r="H15" s="592">
        <f>WED!J31</f>
        <v>0</v>
      </c>
      <c r="I15" s="593"/>
      <c r="J15" s="593"/>
      <c r="K15" s="594"/>
      <c r="L15" s="595">
        <f>WED!Q32</f>
        <v>0</v>
      </c>
      <c r="M15" s="596"/>
      <c r="N15" s="596"/>
      <c r="O15" s="596"/>
      <c r="P15" s="597"/>
      <c r="Q15" s="613"/>
      <c r="R15" s="614"/>
      <c r="S15" s="614"/>
      <c r="T15" s="614"/>
      <c r="U15" s="615"/>
      <c r="V15" s="394"/>
      <c r="W15" s="395"/>
      <c r="X15" s="395"/>
      <c r="Y15" s="395"/>
      <c r="Z15" s="396"/>
      <c r="AA15" s="385"/>
      <c r="AB15" s="386"/>
      <c r="AC15" s="386"/>
      <c r="AD15" s="387"/>
    </row>
    <row r="16" spans="1:30" ht="20.100000000000001" customHeight="1" x14ac:dyDescent="0.3">
      <c r="A16" s="453"/>
      <c r="B16" s="469" t="s">
        <v>94</v>
      </c>
      <c r="C16" s="470"/>
      <c r="D16" s="471"/>
      <c r="E16" s="469">
        <f>WED!U16</f>
        <v>43</v>
      </c>
      <c r="F16" s="470"/>
      <c r="G16" s="471"/>
      <c r="H16" s="592" t="s">
        <v>95</v>
      </c>
      <c r="I16" s="593"/>
      <c r="J16" s="593"/>
      <c r="K16" s="594"/>
      <c r="L16" s="652">
        <f>WED!T2</f>
        <v>6</v>
      </c>
      <c r="M16" s="653"/>
      <c r="N16" s="653"/>
      <c r="O16" s="653"/>
      <c r="P16" s="654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454" t="s">
        <v>69</v>
      </c>
      <c r="B17" s="474" t="s">
        <v>57</v>
      </c>
      <c r="C17" s="474"/>
      <c r="D17" s="401"/>
      <c r="E17" s="401">
        <f>THU!N31</f>
        <v>6</v>
      </c>
      <c r="F17" s="401"/>
      <c r="G17" s="401"/>
      <c r="H17" s="400">
        <f>THU!S31</f>
        <v>625</v>
      </c>
      <c r="I17" s="400"/>
      <c r="J17" s="400"/>
      <c r="K17" s="400"/>
      <c r="L17" s="410">
        <f>THU!N32</f>
        <v>0.34293552812071332</v>
      </c>
      <c r="M17" s="410"/>
      <c r="N17" s="410"/>
      <c r="O17" s="410"/>
      <c r="P17" s="410"/>
      <c r="Q17" s="637">
        <f>SUM(E17:G20)</f>
        <v>20</v>
      </c>
      <c r="R17" s="638"/>
      <c r="S17" s="638"/>
      <c r="T17" s="638"/>
      <c r="U17" s="639"/>
      <c r="V17" s="577">
        <f>SUM(H17,H18,H20)</f>
        <v>2110</v>
      </c>
      <c r="W17" s="578"/>
      <c r="X17" s="578"/>
      <c r="Y17" s="578"/>
      <c r="Z17" s="579"/>
      <c r="AA17" s="568">
        <f>V17/Q17</f>
        <v>105.5</v>
      </c>
      <c r="AB17" s="569"/>
      <c r="AC17" s="569"/>
      <c r="AD17" s="570"/>
    </row>
    <row r="18" spans="1:30" ht="20.100000000000001" customHeight="1" x14ac:dyDescent="0.3">
      <c r="A18" s="455"/>
      <c r="B18" s="474" t="s">
        <v>58</v>
      </c>
      <c r="C18" s="474"/>
      <c r="D18" s="401"/>
      <c r="E18" s="401">
        <f>THU!O31</f>
        <v>8</v>
      </c>
      <c r="F18" s="401"/>
      <c r="G18" s="401"/>
      <c r="H18" s="400">
        <f>THU!S32</f>
        <v>1485</v>
      </c>
      <c r="I18" s="400"/>
      <c r="J18" s="400"/>
      <c r="K18" s="400"/>
      <c r="L18" s="410">
        <f>THU!O32</f>
        <v>0.34842249657064472</v>
      </c>
      <c r="M18" s="410"/>
      <c r="N18" s="410"/>
      <c r="O18" s="410"/>
      <c r="P18" s="410"/>
      <c r="Q18" s="640"/>
      <c r="R18" s="641"/>
      <c r="S18" s="641"/>
      <c r="T18" s="641"/>
      <c r="U18" s="642"/>
      <c r="V18" s="580"/>
      <c r="W18" s="581"/>
      <c r="X18" s="581"/>
      <c r="Y18" s="581"/>
      <c r="Z18" s="582"/>
      <c r="AA18" s="571"/>
      <c r="AB18" s="572"/>
      <c r="AC18" s="572"/>
      <c r="AD18" s="573"/>
    </row>
    <row r="19" spans="1:30" ht="20.100000000000001" customHeight="1" x14ac:dyDescent="0.3">
      <c r="A19" s="455"/>
      <c r="B19" s="474" t="s">
        <v>45</v>
      </c>
      <c r="C19" s="474"/>
      <c r="D19" s="401"/>
      <c r="E19" s="401">
        <f>THU!P31</f>
        <v>6</v>
      </c>
      <c r="F19" s="401"/>
      <c r="G19" s="401"/>
      <c r="H19" s="400">
        <f>THU!K31</f>
        <v>562.5</v>
      </c>
      <c r="I19" s="400"/>
      <c r="J19" s="400"/>
      <c r="K19" s="400"/>
      <c r="L19" s="410">
        <f>THU!P32</f>
        <v>0.30864197530864196</v>
      </c>
      <c r="M19" s="410"/>
      <c r="N19" s="410"/>
      <c r="O19" s="410"/>
      <c r="P19" s="410"/>
      <c r="Q19" s="640"/>
      <c r="R19" s="641"/>
      <c r="S19" s="641"/>
      <c r="T19" s="641"/>
      <c r="U19" s="642"/>
      <c r="V19" s="580"/>
      <c r="W19" s="581"/>
      <c r="X19" s="581"/>
      <c r="Y19" s="581"/>
      <c r="Z19" s="582"/>
      <c r="AA19" s="571"/>
      <c r="AB19" s="572"/>
      <c r="AC19" s="572"/>
      <c r="AD19" s="573"/>
    </row>
    <row r="20" spans="1:30" ht="20.100000000000001" customHeight="1" x14ac:dyDescent="0.3">
      <c r="A20" s="455"/>
      <c r="B20" s="472" t="s">
        <v>65</v>
      </c>
      <c r="C20" s="473"/>
      <c r="D20" s="474"/>
      <c r="E20" s="472">
        <f>THU!Q31</f>
        <v>0</v>
      </c>
      <c r="F20" s="473"/>
      <c r="G20" s="474"/>
      <c r="H20" s="655">
        <f>THU!J31</f>
        <v>0</v>
      </c>
      <c r="I20" s="656"/>
      <c r="J20" s="656"/>
      <c r="K20" s="657"/>
      <c r="L20" s="667">
        <f>THU!Q32</f>
        <v>0</v>
      </c>
      <c r="M20" s="668"/>
      <c r="N20" s="668"/>
      <c r="O20" s="668"/>
      <c r="P20" s="669"/>
      <c r="Q20" s="643"/>
      <c r="R20" s="644"/>
      <c r="S20" s="644"/>
      <c r="T20" s="644"/>
      <c r="U20" s="645"/>
      <c r="V20" s="583"/>
      <c r="W20" s="584"/>
      <c r="X20" s="584"/>
      <c r="Y20" s="584"/>
      <c r="Z20" s="585"/>
      <c r="AA20" s="574"/>
      <c r="AB20" s="575"/>
      <c r="AC20" s="575"/>
      <c r="AD20" s="576"/>
    </row>
    <row r="21" spans="1:30" ht="20.100000000000001" customHeight="1" x14ac:dyDescent="0.3">
      <c r="A21" s="456"/>
      <c r="B21" s="472" t="s">
        <v>94</v>
      </c>
      <c r="C21" s="473"/>
      <c r="D21" s="474"/>
      <c r="E21" s="472">
        <f>THU!U16</f>
        <v>47.25</v>
      </c>
      <c r="F21" s="473"/>
      <c r="G21" s="474"/>
      <c r="H21" s="655" t="s">
        <v>95</v>
      </c>
      <c r="I21" s="656"/>
      <c r="J21" s="656"/>
      <c r="K21" s="657"/>
      <c r="L21" s="674">
        <f>THU!T2</f>
        <v>6</v>
      </c>
      <c r="M21" s="675"/>
      <c r="N21" s="675"/>
      <c r="O21" s="675"/>
      <c r="P21" s="676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457" t="s">
        <v>93</v>
      </c>
      <c r="B22" s="477" t="s">
        <v>57</v>
      </c>
      <c r="C22" s="477"/>
      <c r="D22" s="482"/>
      <c r="E22" s="482">
        <f>FRI!N31</f>
        <v>10</v>
      </c>
      <c r="F22" s="482"/>
      <c r="G22" s="482"/>
      <c r="H22" s="405">
        <f>FRI!S31</f>
        <v>1000</v>
      </c>
      <c r="I22" s="405"/>
      <c r="J22" s="405"/>
      <c r="K22" s="405"/>
      <c r="L22" s="406">
        <f>FRI!N32</f>
        <v>0.45837076694596729</v>
      </c>
      <c r="M22" s="406"/>
      <c r="N22" s="406"/>
      <c r="O22" s="406"/>
      <c r="P22" s="406"/>
      <c r="Q22" s="713">
        <f>SUM(E22:G25)</f>
        <v>23</v>
      </c>
      <c r="R22" s="714"/>
      <c r="S22" s="714"/>
      <c r="T22" s="714"/>
      <c r="U22" s="715"/>
      <c r="V22" s="658">
        <f>SUM(H22,H23,H25)</f>
        <v>2815</v>
      </c>
      <c r="W22" s="659"/>
      <c r="X22" s="659"/>
      <c r="Y22" s="659"/>
      <c r="Z22" s="660"/>
      <c r="AA22" s="680">
        <f>V22/Q22</f>
        <v>122.39130434782609</v>
      </c>
      <c r="AB22" s="681"/>
      <c r="AC22" s="681"/>
      <c r="AD22" s="682"/>
    </row>
    <row r="23" spans="1:30" ht="20.100000000000001" customHeight="1" x14ac:dyDescent="0.3">
      <c r="A23" s="458"/>
      <c r="B23" s="477" t="s">
        <v>58</v>
      </c>
      <c r="C23" s="477"/>
      <c r="D23" s="482"/>
      <c r="E23" s="482">
        <f>FRI!O31</f>
        <v>9</v>
      </c>
      <c r="F23" s="482"/>
      <c r="G23" s="482"/>
      <c r="H23" s="405">
        <f>FRI!S32</f>
        <v>1815</v>
      </c>
      <c r="I23" s="405"/>
      <c r="J23" s="405"/>
      <c r="K23" s="405"/>
      <c r="L23" s="406">
        <f>FRI!O32</f>
        <v>0.3964907134082617</v>
      </c>
      <c r="M23" s="406"/>
      <c r="N23" s="406"/>
      <c r="O23" s="406"/>
      <c r="P23" s="406"/>
      <c r="Q23" s="716"/>
      <c r="R23" s="717"/>
      <c r="S23" s="717"/>
      <c r="T23" s="717"/>
      <c r="U23" s="718"/>
      <c r="V23" s="661"/>
      <c r="W23" s="662"/>
      <c r="X23" s="662"/>
      <c r="Y23" s="662"/>
      <c r="Z23" s="663"/>
      <c r="AA23" s="683"/>
      <c r="AB23" s="684"/>
      <c r="AC23" s="684"/>
      <c r="AD23" s="685"/>
    </row>
    <row r="24" spans="1:30" ht="20.100000000000001" customHeight="1" x14ac:dyDescent="0.3">
      <c r="A24" s="458"/>
      <c r="B24" s="477" t="s">
        <v>45</v>
      </c>
      <c r="C24" s="477"/>
      <c r="D24" s="482"/>
      <c r="E24" s="482">
        <f>FRI!P31</f>
        <v>4</v>
      </c>
      <c r="F24" s="482"/>
      <c r="G24" s="482"/>
      <c r="H24" s="405">
        <f>FRI!K31</f>
        <v>316.64</v>
      </c>
      <c r="I24" s="405"/>
      <c r="J24" s="405"/>
      <c r="K24" s="405"/>
      <c r="L24" s="406">
        <f>FRI!P32</f>
        <v>0.14513851964577107</v>
      </c>
      <c r="M24" s="406"/>
      <c r="N24" s="406"/>
      <c r="O24" s="406"/>
      <c r="P24" s="406"/>
      <c r="Q24" s="716"/>
      <c r="R24" s="717"/>
      <c r="S24" s="717"/>
      <c r="T24" s="717"/>
      <c r="U24" s="718"/>
      <c r="V24" s="661"/>
      <c r="W24" s="662"/>
      <c r="X24" s="662"/>
      <c r="Y24" s="662"/>
      <c r="Z24" s="663"/>
      <c r="AA24" s="683"/>
      <c r="AB24" s="684"/>
      <c r="AC24" s="684"/>
      <c r="AD24" s="685"/>
    </row>
    <row r="25" spans="1:30" ht="20.100000000000001" customHeight="1" x14ac:dyDescent="0.3">
      <c r="A25" s="458"/>
      <c r="B25" s="475" t="s">
        <v>65</v>
      </c>
      <c r="C25" s="476"/>
      <c r="D25" s="477"/>
      <c r="E25" s="475">
        <f>FRI!Q31</f>
        <v>0</v>
      </c>
      <c r="F25" s="476"/>
      <c r="G25" s="477"/>
      <c r="H25" s="707">
        <f>FRI!J31</f>
        <v>0</v>
      </c>
      <c r="I25" s="708"/>
      <c r="J25" s="708"/>
      <c r="K25" s="709"/>
      <c r="L25" s="710">
        <f>FRI!Q32</f>
        <v>0</v>
      </c>
      <c r="M25" s="711"/>
      <c r="N25" s="711"/>
      <c r="O25" s="711"/>
      <c r="P25" s="712"/>
      <c r="Q25" s="719"/>
      <c r="R25" s="720"/>
      <c r="S25" s="720"/>
      <c r="T25" s="720"/>
      <c r="U25" s="721"/>
      <c r="V25" s="664"/>
      <c r="W25" s="665"/>
      <c r="X25" s="665"/>
      <c r="Y25" s="665"/>
      <c r="Z25" s="666"/>
      <c r="AA25" s="686"/>
      <c r="AB25" s="687"/>
      <c r="AC25" s="687"/>
      <c r="AD25" s="688"/>
    </row>
    <row r="26" spans="1:30" ht="20.100000000000001" customHeight="1" x14ac:dyDescent="0.3">
      <c r="A26" s="459"/>
      <c r="B26" s="475" t="s">
        <v>94</v>
      </c>
      <c r="C26" s="476"/>
      <c r="D26" s="477"/>
      <c r="E26" s="475">
        <f>FRI!U16</f>
        <v>49</v>
      </c>
      <c r="F26" s="476"/>
      <c r="G26" s="477"/>
      <c r="H26" s="707" t="s">
        <v>95</v>
      </c>
      <c r="I26" s="708"/>
      <c r="J26" s="708"/>
      <c r="K26" s="709"/>
      <c r="L26" s="677">
        <f>FRI!T2</f>
        <v>6</v>
      </c>
      <c r="M26" s="678"/>
      <c r="N26" s="678"/>
      <c r="O26" s="678"/>
      <c r="P26" s="679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460" t="s">
        <v>70</v>
      </c>
      <c r="B27" s="415" t="s">
        <v>57</v>
      </c>
      <c r="C27" s="415"/>
      <c r="D27" s="412"/>
      <c r="E27" s="412">
        <f>SAT!N31</f>
        <v>16</v>
      </c>
      <c r="F27" s="412"/>
      <c r="G27" s="412"/>
      <c r="H27" s="567">
        <f>SAT!S31</f>
        <v>1615</v>
      </c>
      <c r="I27" s="567"/>
      <c r="J27" s="567"/>
      <c r="K27" s="567"/>
      <c r="L27" s="411">
        <f>SAT!N32</f>
        <v>0.48353293413173654</v>
      </c>
      <c r="M27" s="411"/>
      <c r="N27" s="411"/>
      <c r="O27" s="411"/>
      <c r="P27" s="411"/>
      <c r="Q27" s="616">
        <f>SUM(E27:G30)</f>
        <v>31</v>
      </c>
      <c r="R27" s="617"/>
      <c r="S27" s="617"/>
      <c r="T27" s="617"/>
      <c r="U27" s="618"/>
      <c r="V27" s="698">
        <f>SUM(H27,H28,H30)</f>
        <v>3340</v>
      </c>
      <c r="W27" s="699"/>
      <c r="X27" s="699"/>
      <c r="Y27" s="699"/>
      <c r="Z27" s="700"/>
      <c r="AA27" s="689">
        <f>V27/Q27</f>
        <v>107.74193548387096</v>
      </c>
      <c r="AB27" s="690"/>
      <c r="AC27" s="690"/>
      <c r="AD27" s="691"/>
    </row>
    <row r="28" spans="1:30" ht="20.100000000000001" customHeight="1" x14ac:dyDescent="0.3">
      <c r="A28" s="461"/>
      <c r="B28" s="415" t="s">
        <v>58</v>
      </c>
      <c r="C28" s="415"/>
      <c r="D28" s="412"/>
      <c r="E28" s="412">
        <f>SAT!O31</f>
        <v>15</v>
      </c>
      <c r="F28" s="412"/>
      <c r="G28" s="412"/>
      <c r="H28" s="567">
        <f>SAT!S32</f>
        <v>1725</v>
      </c>
      <c r="I28" s="567"/>
      <c r="J28" s="567"/>
      <c r="K28" s="567"/>
      <c r="L28" s="411">
        <f>SAT!O32</f>
        <v>0.51646706586826352</v>
      </c>
      <c r="M28" s="411"/>
      <c r="N28" s="411"/>
      <c r="O28" s="411"/>
      <c r="P28" s="411"/>
      <c r="Q28" s="619"/>
      <c r="R28" s="620"/>
      <c r="S28" s="620"/>
      <c r="T28" s="620"/>
      <c r="U28" s="621"/>
      <c r="V28" s="701"/>
      <c r="W28" s="702"/>
      <c r="X28" s="702"/>
      <c r="Y28" s="702"/>
      <c r="Z28" s="703"/>
      <c r="AA28" s="692"/>
      <c r="AB28" s="693"/>
      <c r="AC28" s="693"/>
      <c r="AD28" s="694"/>
    </row>
    <row r="29" spans="1:30" ht="20.100000000000001" customHeight="1" x14ac:dyDescent="0.3">
      <c r="A29" s="461"/>
      <c r="B29" s="415" t="s">
        <v>45</v>
      </c>
      <c r="C29" s="415"/>
      <c r="D29" s="412"/>
      <c r="E29" s="412">
        <f>SAT!P31</f>
        <v>0</v>
      </c>
      <c r="F29" s="412"/>
      <c r="G29" s="412"/>
      <c r="H29" s="567">
        <f>SAT!K31</f>
        <v>0</v>
      </c>
      <c r="I29" s="567"/>
      <c r="J29" s="567"/>
      <c r="K29" s="567"/>
      <c r="L29" s="411">
        <f>SAT!P32</f>
        <v>0</v>
      </c>
      <c r="M29" s="411"/>
      <c r="N29" s="411"/>
      <c r="O29" s="411"/>
      <c r="P29" s="411"/>
      <c r="Q29" s="619"/>
      <c r="R29" s="620"/>
      <c r="S29" s="620"/>
      <c r="T29" s="620"/>
      <c r="U29" s="621"/>
      <c r="V29" s="701"/>
      <c r="W29" s="702"/>
      <c r="X29" s="702"/>
      <c r="Y29" s="702"/>
      <c r="Z29" s="703"/>
      <c r="AA29" s="692"/>
      <c r="AB29" s="693"/>
      <c r="AC29" s="693"/>
      <c r="AD29" s="694"/>
    </row>
    <row r="30" spans="1:30" ht="20.100000000000001" customHeight="1" x14ac:dyDescent="0.3">
      <c r="A30" s="461"/>
      <c r="B30" s="413" t="s">
        <v>65</v>
      </c>
      <c r="C30" s="414"/>
      <c r="D30" s="415"/>
      <c r="E30" s="413">
        <f>SAT!Q31</f>
        <v>0</v>
      </c>
      <c r="F30" s="414"/>
      <c r="G30" s="415"/>
      <c r="H30" s="407">
        <f>SAT!J31</f>
        <v>0</v>
      </c>
      <c r="I30" s="408"/>
      <c r="J30" s="408"/>
      <c r="K30" s="409"/>
      <c r="L30" s="625">
        <f>SAT!Q32</f>
        <v>0</v>
      </c>
      <c r="M30" s="626"/>
      <c r="N30" s="626"/>
      <c r="O30" s="626"/>
      <c r="P30" s="627"/>
      <c r="Q30" s="622"/>
      <c r="R30" s="623"/>
      <c r="S30" s="623"/>
      <c r="T30" s="623"/>
      <c r="U30" s="624"/>
      <c r="V30" s="704"/>
      <c r="W30" s="705"/>
      <c r="X30" s="705"/>
      <c r="Y30" s="705"/>
      <c r="Z30" s="706"/>
      <c r="AA30" s="695"/>
      <c r="AB30" s="696"/>
      <c r="AC30" s="696"/>
      <c r="AD30" s="697"/>
    </row>
    <row r="31" spans="1:30" ht="20.100000000000001" customHeight="1" x14ac:dyDescent="0.3">
      <c r="A31" s="462"/>
      <c r="B31" s="413" t="s">
        <v>94</v>
      </c>
      <c r="C31" s="414"/>
      <c r="D31" s="415"/>
      <c r="E31" s="413">
        <f>SAT!U16</f>
        <v>67</v>
      </c>
      <c r="F31" s="414"/>
      <c r="G31" s="415"/>
      <c r="H31" s="407" t="s">
        <v>95</v>
      </c>
      <c r="I31" s="408"/>
      <c r="J31" s="408"/>
      <c r="K31" s="409"/>
      <c r="L31" s="397">
        <f>SAT!T2</f>
        <v>8</v>
      </c>
      <c r="M31" s="398"/>
      <c r="N31" s="398"/>
      <c r="O31" s="398"/>
      <c r="P31" s="399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463" t="s">
        <v>71</v>
      </c>
      <c r="B32" s="481" t="s">
        <v>57</v>
      </c>
      <c r="C32" s="402"/>
      <c r="D32" s="402"/>
      <c r="E32" s="402">
        <f>SUN!N31</f>
        <v>4</v>
      </c>
      <c r="F32" s="402"/>
      <c r="G32" s="402"/>
      <c r="H32" s="403">
        <f>SUN!S31</f>
        <v>415</v>
      </c>
      <c r="I32" s="403"/>
      <c r="J32" s="403"/>
      <c r="K32" s="403"/>
      <c r="L32" s="404">
        <f>SUN!N32</f>
        <v>0.32129695580811996</v>
      </c>
      <c r="M32" s="404"/>
      <c r="N32" s="404"/>
      <c r="O32" s="404"/>
      <c r="P32" s="404"/>
      <c r="Q32" s="673">
        <f>SUM(E32:G35)</f>
        <v>15</v>
      </c>
      <c r="R32" s="673"/>
      <c r="S32" s="673"/>
      <c r="T32" s="673"/>
      <c r="U32" s="673"/>
      <c r="V32" s="731">
        <f>SUM(H32,H33,H35)</f>
        <v>1925</v>
      </c>
      <c r="W32" s="731"/>
      <c r="X32" s="731"/>
      <c r="Y32" s="731"/>
      <c r="Z32" s="731"/>
      <c r="AA32" s="745">
        <f>V32/Q32</f>
        <v>128.33333333333334</v>
      </c>
      <c r="AB32" s="746"/>
      <c r="AC32" s="746"/>
      <c r="AD32" s="746"/>
    </row>
    <row r="33" spans="1:30" ht="20.100000000000001" customHeight="1" x14ac:dyDescent="0.3">
      <c r="A33" s="464"/>
      <c r="B33" s="481" t="s">
        <v>58</v>
      </c>
      <c r="C33" s="402"/>
      <c r="D33" s="402"/>
      <c r="E33" s="402">
        <f>SUN!O31</f>
        <v>6</v>
      </c>
      <c r="F33" s="402"/>
      <c r="G33" s="402"/>
      <c r="H33" s="403">
        <f>SUN!S32</f>
        <v>1510</v>
      </c>
      <c r="I33" s="403"/>
      <c r="J33" s="403"/>
      <c r="K33" s="403"/>
      <c r="L33" s="404">
        <f>SUN!O32</f>
        <v>0.43355733795794499</v>
      </c>
      <c r="M33" s="404"/>
      <c r="N33" s="404"/>
      <c r="O33" s="404"/>
      <c r="P33" s="404"/>
      <c r="Q33" s="673"/>
      <c r="R33" s="673"/>
      <c r="S33" s="673"/>
      <c r="T33" s="673"/>
      <c r="U33" s="673"/>
      <c r="V33" s="731"/>
      <c r="W33" s="731"/>
      <c r="X33" s="731"/>
      <c r="Y33" s="731"/>
      <c r="Z33" s="731"/>
      <c r="AA33" s="746"/>
      <c r="AB33" s="746"/>
      <c r="AC33" s="746"/>
      <c r="AD33" s="746"/>
    </row>
    <row r="34" spans="1:30" ht="20.100000000000001" customHeight="1" x14ac:dyDescent="0.3">
      <c r="A34" s="464"/>
      <c r="B34" s="481" t="s">
        <v>45</v>
      </c>
      <c r="C34" s="402"/>
      <c r="D34" s="402"/>
      <c r="E34" s="402">
        <f>SUN!P31</f>
        <v>5</v>
      </c>
      <c r="F34" s="402"/>
      <c r="G34" s="402"/>
      <c r="H34" s="403">
        <f>SUN!K31</f>
        <v>316.64</v>
      </c>
      <c r="I34" s="403"/>
      <c r="J34" s="403"/>
      <c r="K34" s="403"/>
      <c r="L34" s="404">
        <f>SUN!P32</f>
        <v>0.24514570623393517</v>
      </c>
      <c r="M34" s="404"/>
      <c r="N34" s="404"/>
      <c r="O34" s="404"/>
      <c r="P34" s="404"/>
      <c r="Q34" s="673"/>
      <c r="R34" s="673"/>
      <c r="S34" s="673"/>
      <c r="T34" s="673"/>
      <c r="U34" s="673"/>
      <c r="V34" s="731"/>
      <c r="W34" s="731"/>
      <c r="X34" s="731"/>
      <c r="Y34" s="731"/>
      <c r="Z34" s="731"/>
      <c r="AA34" s="746"/>
      <c r="AB34" s="746"/>
      <c r="AC34" s="746"/>
      <c r="AD34" s="746"/>
    </row>
    <row r="35" spans="1:30" ht="20.100000000000001" customHeight="1" x14ac:dyDescent="0.3">
      <c r="A35" s="464"/>
      <c r="B35" s="481" t="s">
        <v>65</v>
      </c>
      <c r="C35" s="402"/>
      <c r="D35" s="402"/>
      <c r="E35" s="402">
        <f>SUN!Q31</f>
        <v>0</v>
      </c>
      <c r="F35" s="402"/>
      <c r="G35" s="402"/>
      <c r="H35" s="403">
        <f>SUN!J31</f>
        <v>0</v>
      </c>
      <c r="I35" s="403"/>
      <c r="J35" s="403"/>
      <c r="K35" s="403"/>
      <c r="L35" s="404">
        <f>SUN!Q32</f>
        <v>0</v>
      </c>
      <c r="M35" s="404"/>
      <c r="N35" s="404"/>
      <c r="O35" s="404"/>
      <c r="P35" s="404"/>
      <c r="Q35" s="673"/>
      <c r="R35" s="673"/>
      <c r="S35" s="673"/>
      <c r="T35" s="673"/>
      <c r="U35" s="673"/>
      <c r="V35" s="731"/>
      <c r="W35" s="731"/>
      <c r="X35" s="731"/>
      <c r="Y35" s="731"/>
      <c r="Z35" s="731"/>
      <c r="AA35" s="746"/>
      <c r="AB35" s="746"/>
      <c r="AC35" s="746"/>
      <c r="AD35" s="746"/>
    </row>
    <row r="36" spans="1:30" ht="20.100000000000001" customHeight="1" thickBot="1" x14ac:dyDescent="0.35">
      <c r="A36" s="465"/>
      <c r="B36" s="478" t="s">
        <v>94</v>
      </c>
      <c r="C36" s="479"/>
      <c r="D36" s="480"/>
      <c r="E36" s="478">
        <f>SUN!U16</f>
        <v>32.75</v>
      </c>
      <c r="F36" s="479"/>
      <c r="G36" s="480"/>
      <c r="H36" s="478" t="s">
        <v>95</v>
      </c>
      <c r="I36" s="479"/>
      <c r="J36" s="479"/>
      <c r="K36" s="480"/>
      <c r="L36" s="747">
        <f>SUN!T2</f>
        <v>4</v>
      </c>
      <c r="M36" s="748"/>
      <c r="N36" s="748"/>
      <c r="O36" s="748"/>
      <c r="P36" s="749"/>
      <c r="Q36" s="670"/>
      <c r="R36" s="671"/>
      <c r="S36" s="671"/>
      <c r="T36" s="671"/>
      <c r="U36" s="672"/>
      <c r="V36" s="734"/>
      <c r="W36" s="735"/>
      <c r="X36" s="735"/>
      <c r="Y36" s="735"/>
      <c r="Z36" s="736"/>
      <c r="AA36" s="737"/>
      <c r="AB36" s="738"/>
      <c r="AC36" s="738"/>
      <c r="AD36" s="739"/>
    </row>
    <row r="37" spans="1:30" ht="16.5" customHeight="1" x14ac:dyDescent="0.3">
      <c r="A37" s="722" t="s">
        <v>72</v>
      </c>
      <c r="B37" s="723"/>
      <c r="C37" s="723"/>
      <c r="D37" s="723"/>
      <c r="E37" s="723" t="s">
        <v>73</v>
      </c>
      <c r="F37" s="723"/>
      <c r="G37" s="723"/>
      <c r="H37" s="723"/>
      <c r="I37" s="723"/>
      <c r="J37" s="723"/>
      <c r="K37" s="723" t="s">
        <v>74</v>
      </c>
      <c r="L37" s="723"/>
      <c r="M37" s="723"/>
      <c r="N37" s="723"/>
      <c r="O37" s="723" t="s">
        <v>65</v>
      </c>
      <c r="P37" s="723"/>
      <c r="Q37" s="723"/>
      <c r="R37" s="723"/>
      <c r="S37" s="723"/>
      <c r="T37" s="723" t="s">
        <v>75</v>
      </c>
      <c r="U37" s="723"/>
      <c r="V37" s="723"/>
      <c r="W37" s="723"/>
      <c r="X37" s="723"/>
      <c r="Y37" s="723" t="s">
        <v>76</v>
      </c>
      <c r="Z37" s="723"/>
      <c r="AA37" s="723"/>
      <c r="AB37" s="723"/>
      <c r="AC37" s="723"/>
      <c r="AD37" s="732"/>
    </row>
    <row r="38" spans="1:30" ht="16.5" customHeight="1" x14ac:dyDescent="0.3">
      <c r="A38" s="724"/>
      <c r="B38" s="725"/>
      <c r="C38" s="725"/>
      <c r="D38" s="725"/>
      <c r="E38" s="725"/>
      <c r="F38" s="725"/>
      <c r="G38" s="725"/>
      <c r="H38" s="725"/>
      <c r="I38" s="725"/>
      <c r="J38" s="725"/>
      <c r="K38" s="725"/>
      <c r="L38" s="725"/>
      <c r="M38" s="725"/>
      <c r="N38" s="725"/>
      <c r="O38" s="725"/>
      <c r="P38" s="725"/>
      <c r="Q38" s="725"/>
      <c r="R38" s="725"/>
      <c r="S38" s="725"/>
      <c r="T38" s="725"/>
      <c r="U38" s="725"/>
      <c r="V38" s="725"/>
      <c r="W38" s="725"/>
      <c r="X38" s="725"/>
      <c r="Y38" s="725"/>
      <c r="Z38" s="725"/>
      <c r="AA38" s="725"/>
      <c r="AB38" s="725"/>
      <c r="AC38" s="725"/>
      <c r="AD38" s="733"/>
    </row>
    <row r="39" spans="1:30" ht="16.5" customHeight="1" x14ac:dyDescent="0.3">
      <c r="A39" s="726">
        <f>SUM(Q2:U35)</f>
        <v>137</v>
      </c>
      <c r="B39" s="727"/>
      <c r="C39" s="727"/>
      <c r="D39" s="727"/>
      <c r="E39" s="730">
        <f>SUM(V2:Z35)</f>
        <v>15170</v>
      </c>
      <c r="F39" s="727"/>
      <c r="G39" s="727"/>
      <c r="H39" s="727"/>
      <c r="I39" s="727"/>
      <c r="J39" s="727"/>
      <c r="K39" s="730">
        <f>E39/A39</f>
        <v>110.72992700729927</v>
      </c>
      <c r="L39" s="727"/>
      <c r="M39" s="727"/>
      <c r="N39" s="727"/>
      <c r="O39" s="727">
        <f>SUM(MON:SUN!Q31)</f>
        <v>0</v>
      </c>
      <c r="P39" s="727"/>
      <c r="Q39" s="727"/>
      <c r="R39" s="727"/>
      <c r="S39" s="727"/>
      <c r="T39" s="727">
        <f>SUM(MON:SUN!P31)</f>
        <v>25</v>
      </c>
      <c r="U39" s="727"/>
      <c r="V39" s="727"/>
      <c r="W39" s="727"/>
      <c r="X39" s="727"/>
      <c r="Y39" s="727">
        <f>SUM(MON:SUN!S19)</f>
        <v>8</v>
      </c>
      <c r="Z39" s="727"/>
      <c r="AA39" s="727"/>
      <c r="AB39" s="727"/>
      <c r="AC39" s="727"/>
      <c r="AD39" s="742"/>
    </row>
    <row r="40" spans="1:30" ht="16.5" customHeight="1" x14ac:dyDescent="0.3">
      <c r="A40" s="726"/>
      <c r="B40" s="727"/>
      <c r="C40" s="727"/>
      <c r="D40" s="727"/>
      <c r="E40" s="727"/>
      <c r="F40" s="727"/>
      <c r="G40" s="727"/>
      <c r="H40" s="727"/>
      <c r="I40" s="727"/>
      <c r="J40" s="727"/>
      <c r="K40" s="727"/>
      <c r="L40" s="727"/>
      <c r="M40" s="727"/>
      <c r="N40" s="727"/>
      <c r="O40" s="727"/>
      <c r="P40" s="727"/>
      <c r="Q40" s="727"/>
      <c r="R40" s="727"/>
      <c r="S40" s="727"/>
      <c r="T40" s="727"/>
      <c r="U40" s="727"/>
      <c r="V40" s="727"/>
      <c r="W40" s="727"/>
      <c r="X40" s="727"/>
      <c r="Y40" s="727"/>
      <c r="Z40" s="727"/>
      <c r="AA40" s="727"/>
      <c r="AB40" s="727"/>
      <c r="AC40" s="727"/>
      <c r="AD40" s="742"/>
    </row>
    <row r="41" spans="1:30" ht="16.5" customHeight="1" x14ac:dyDescent="0.3">
      <c r="A41" s="726"/>
      <c r="B41" s="727"/>
      <c r="C41" s="727"/>
      <c r="D41" s="727"/>
      <c r="E41" s="727"/>
      <c r="F41" s="727"/>
      <c r="G41" s="727"/>
      <c r="H41" s="727"/>
      <c r="I41" s="727"/>
      <c r="J41" s="727"/>
      <c r="K41" s="727"/>
      <c r="L41" s="727"/>
      <c r="M41" s="727"/>
      <c r="N41" s="727"/>
      <c r="O41" s="740">
        <f>SUM(MON:SUN!J31)</f>
        <v>0</v>
      </c>
      <c r="P41" s="740"/>
      <c r="Q41" s="740"/>
      <c r="R41" s="740"/>
      <c r="S41" s="740"/>
      <c r="T41" s="740">
        <f>SUM(MON:SUN!K31)</f>
        <v>1945.6099999999997</v>
      </c>
      <c r="U41" s="740"/>
      <c r="V41" s="740"/>
      <c r="W41" s="740"/>
      <c r="X41" s="740"/>
      <c r="Y41" s="740">
        <f>SUM(MON:SUN!T19)</f>
        <v>3700</v>
      </c>
      <c r="Z41" s="740"/>
      <c r="AA41" s="740"/>
      <c r="AB41" s="740"/>
      <c r="AC41" s="740"/>
      <c r="AD41" s="743"/>
    </row>
    <row r="42" spans="1:30" ht="16.5" customHeight="1" thickBot="1" x14ac:dyDescent="0.35">
      <c r="A42" s="728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41"/>
      <c r="P42" s="741"/>
      <c r="Q42" s="741"/>
      <c r="R42" s="741"/>
      <c r="S42" s="741"/>
      <c r="T42" s="741"/>
      <c r="U42" s="741"/>
      <c r="V42" s="741"/>
      <c r="W42" s="741"/>
      <c r="X42" s="741"/>
      <c r="Y42" s="741"/>
      <c r="Z42" s="741"/>
      <c r="AA42" s="741"/>
      <c r="AB42" s="741"/>
      <c r="AC42" s="741"/>
      <c r="AD42" s="744"/>
    </row>
    <row r="43" spans="1:30" ht="17.45" customHeight="1" x14ac:dyDescent="0.3">
      <c r="A43" s="501" t="s">
        <v>84</v>
      </c>
      <c r="B43" s="502"/>
      <c r="C43" s="502"/>
      <c r="D43" s="502"/>
      <c r="E43" s="503"/>
      <c r="F43" s="501" t="s">
        <v>85</v>
      </c>
      <c r="G43" s="502"/>
      <c r="H43" s="502"/>
      <c r="I43" s="502"/>
      <c r="J43" s="503"/>
      <c r="K43" s="501" t="s">
        <v>86</v>
      </c>
      <c r="L43" s="502"/>
      <c r="M43" s="502"/>
      <c r="N43" s="502"/>
      <c r="O43" s="503"/>
      <c r="P43" s="501" t="s">
        <v>87</v>
      </c>
      <c r="Q43" s="502"/>
      <c r="R43" s="502"/>
      <c r="S43" s="502"/>
      <c r="T43" s="503"/>
      <c r="U43" s="501" t="s">
        <v>90</v>
      </c>
      <c r="V43" s="502"/>
      <c r="W43" s="502"/>
      <c r="X43" s="502"/>
      <c r="Y43" s="503"/>
      <c r="Z43" s="507" t="s">
        <v>95</v>
      </c>
      <c r="AA43" s="508"/>
      <c r="AB43" s="508"/>
      <c r="AC43" s="508"/>
      <c r="AD43" s="509"/>
    </row>
    <row r="44" spans="1:30" ht="17.45" customHeight="1" x14ac:dyDescent="0.3">
      <c r="A44" s="504"/>
      <c r="B44" s="505"/>
      <c r="C44" s="505"/>
      <c r="D44" s="505"/>
      <c r="E44" s="506"/>
      <c r="F44" s="504"/>
      <c r="G44" s="505"/>
      <c r="H44" s="505"/>
      <c r="I44" s="505"/>
      <c r="J44" s="506"/>
      <c r="K44" s="504"/>
      <c r="L44" s="505"/>
      <c r="M44" s="505"/>
      <c r="N44" s="505"/>
      <c r="O44" s="506"/>
      <c r="P44" s="504"/>
      <c r="Q44" s="505"/>
      <c r="R44" s="505"/>
      <c r="S44" s="505"/>
      <c r="T44" s="506"/>
      <c r="U44" s="504"/>
      <c r="V44" s="505"/>
      <c r="W44" s="505"/>
      <c r="X44" s="505"/>
      <c r="Y44" s="506"/>
      <c r="Z44" s="510"/>
      <c r="AA44" s="511"/>
      <c r="AB44" s="511"/>
      <c r="AC44" s="511"/>
      <c r="AD44" s="512"/>
    </row>
    <row r="45" spans="1:30" x14ac:dyDescent="0.3">
      <c r="A45" s="513">
        <f>SUM(H2,H7,H12,H17,H22,H27,H32)</f>
        <v>5790</v>
      </c>
      <c r="B45" s="514"/>
      <c r="C45" s="514"/>
      <c r="D45" s="514"/>
      <c r="E45" s="515"/>
      <c r="F45" s="513">
        <f>SUM(,H3,H8,H13,H18,H23,H28,H33)</f>
        <v>9380</v>
      </c>
      <c r="G45" s="514"/>
      <c r="H45" s="514"/>
      <c r="I45" s="514"/>
      <c r="J45" s="515"/>
      <c r="K45" s="513">
        <f>SUM(H5,H10,H15,H20,H25,H30,H35)</f>
        <v>0</v>
      </c>
      <c r="L45" s="514"/>
      <c r="M45" s="514"/>
      <c r="N45" s="514"/>
      <c r="O45" s="515"/>
      <c r="P45" s="513">
        <f>SUM(H4,H9,H14,H19,H24,H29,H34)</f>
        <v>1945.6099999999997</v>
      </c>
      <c r="Q45" s="514"/>
      <c r="R45" s="514"/>
      <c r="S45" s="514"/>
      <c r="T45" s="515"/>
      <c r="U45" s="522">
        <f>SUM(E6,E11,E16,E21,E26,E31,E36)</f>
        <v>316</v>
      </c>
      <c r="V45" s="514"/>
      <c r="W45" s="514"/>
      <c r="X45" s="514"/>
      <c r="Y45" s="515"/>
      <c r="Z45" s="522">
        <f>SUM(L6,L11,L16,L21,L26,L31,L36)</f>
        <v>41</v>
      </c>
      <c r="AA45" s="514"/>
      <c r="AB45" s="514"/>
      <c r="AC45" s="514"/>
      <c r="AD45" s="523"/>
    </row>
    <row r="46" spans="1:30" x14ac:dyDescent="0.3">
      <c r="A46" s="516"/>
      <c r="B46" s="517"/>
      <c r="C46" s="517"/>
      <c r="D46" s="517"/>
      <c r="E46" s="518"/>
      <c r="F46" s="516"/>
      <c r="G46" s="517"/>
      <c r="H46" s="517"/>
      <c r="I46" s="517"/>
      <c r="J46" s="518"/>
      <c r="K46" s="516"/>
      <c r="L46" s="517"/>
      <c r="M46" s="517"/>
      <c r="N46" s="517"/>
      <c r="O46" s="518"/>
      <c r="P46" s="516"/>
      <c r="Q46" s="517"/>
      <c r="R46" s="517"/>
      <c r="S46" s="517"/>
      <c r="T46" s="518"/>
      <c r="U46" s="516"/>
      <c r="V46" s="517"/>
      <c r="W46" s="517"/>
      <c r="X46" s="517"/>
      <c r="Y46" s="518"/>
      <c r="Z46" s="516"/>
      <c r="AA46" s="517"/>
      <c r="AB46" s="517"/>
      <c r="AC46" s="517"/>
      <c r="AD46" s="524"/>
    </row>
    <row r="47" spans="1:30" x14ac:dyDescent="0.3">
      <c r="A47" s="516"/>
      <c r="B47" s="517"/>
      <c r="C47" s="517"/>
      <c r="D47" s="517"/>
      <c r="E47" s="518"/>
      <c r="F47" s="516"/>
      <c r="G47" s="517"/>
      <c r="H47" s="517"/>
      <c r="I47" s="517"/>
      <c r="J47" s="518"/>
      <c r="K47" s="516"/>
      <c r="L47" s="517"/>
      <c r="M47" s="517"/>
      <c r="N47" s="517"/>
      <c r="O47" s="518"/>
      <c r="P47" s="516"/>
      <c r="Q47" s="517"/>
      <c r="R47" s="517"/>
      <c r="S47" s="517"/>
      <c r="T47" s="518"/>
      <c r="U47" s="516"/>
      <c r="V47" s="517"/>
      <c r="W47" s="517"/>
      <c r="X47" s="517"/>
      <c r="Y47" s="518"/>
      <c r="Z47" s="516"/>
      <c r="AA47" s="517"/>
      <c r="AB47" s="517"/>
      <c r="AC47" s="517"/>
      <c r="AD47" s="524"/>
    </row>
    <row r="48" spans="1:30" ht="17.25" thickBot="1" x14ac:dyDescent="0.35">
      <c r="A48" s="519"/>
      <c r="B48" s="520"/>
      <c r="C48" s="520"/>
      <c r="D48" s="520"/>
      <c r="E48" s="521"/>
      <c r="F48" s="519"/>
      <c r="G48" s="520"/>
      <c r="H48" s="520"/>
      <c r="I48" s="520"/>
      <c r="J48" s="521"/>
      <c r="K48" s="519"/>
      <c r="L48" s="520"/>
      <c r="M48" s="520"/>
      <c r="N48" s="520"/>
      <c r="O48" s="521"/>
      <c r="P48" s="519"/>
      <c r="Q48" s="520"/>
      <c r="R48" s="520"/>
      <c r="S48" s="520"/>
      <c r="T48" s="521"/>
      <c r="U48" s="519"/>
      <c r="V48" s="520"/>
      <c r="W48" s="520"/>
      <c r="X48" s="520"/>
      <c r="Y48" s="521"/>
      <c r="Z48" s="519"/>
      <c r="AA48" s="520"/>
      <c r="AB48" s="520"/>
      <c r="AC48" s="520"/>
      <c r="AD48" s="525"/>
    </row>
    <row r="49" spans="1:30" ht="17.45" customHeight="1" x14ac:dyDescent="0.3">
      <c r="A49" s="483">
        <f>A45/E39</f>
        <v>0.38167435728411336</v>
      </c>
      <c r="B49" s="484"/>
      <c r="C49" s="484"/>
      <c r="D49" s="484"/>
      <c r="E49" s="485"/>
      <c r="F49" s="483">
        <f>F45/E39</f>
        <v>0.61832564271588664</v>
      </c>
      <c r="G49" s="484"/>
      <c r="H49" s="484"/>
      <c r="I49" s="484"/>
      <c r="J49" s="485"/>
      <c r="K49" s="483">
        <f>K45/E39</f>
        <v>0</v>
      </c>
      <c r="L49" s="484"/>
      <c r="M49" s="484"/>
      <c r="N49" s="484"/>
      <c r="O49" s="485"/>
      <c r="P49" s="483">
        <f>P45/E39</f>
        <v>0.12825379037574158</v>
      </c>
      <c r="Q49" s="484"/>
      <c r="R49" s="484"/>
      <c r="S49" s="484"/>
      <c r="T49" s="485"/>
      <c r="U49" s="492">
        <f>U45/7</f>
        <v>45.142857142857146</v>
      </c>
      <c r="V49" s="493"/>
      <c r="W49" s="493"/>
      <c r="X49" s="493"/>
      <c r="Y49" s="494"/>
      <c r="Z49" s="492">
        <f>U45/Z45</f>
        <v>7.7073170731707314</v>
      </c>
      <c r="AA49" s="493"/>
      <c r="AB49" s="493"/>
      <c r="AC49" s="493"/>
      <c r="AD49" s="494"/>
    </row>
    <row r="50" spans="1:30" ht="17.45" customHeight="1" x14ac:dyDescent="0.3">
      <c r="A50" s="486"/>
      <c r="B50" s="487"/>
      <c r="C50" s="487"/>
      <c r="D50" s="487"/>
      <c r="E50" s="488"/>
      <c r="F50" s="486"/>
      <c r="G50" s="487"/>
      <c r="H50" s="487"/>
      <c r="I50" s="487"/>
      <c r="J50" s="488"/>
      <c r="K50" s="486"/>
      <c r="L50" s="487"/>
      <c r="M50" s="487"/>
      <c r="N50" s="487"/>
      <c r="O50" s="488"/>
      <c r="P50" s="486"/>
      <c r="Q50" s="487"/>
      <c r="R50" s="487"/>
      <c r="S50" s="487"/>
      <c r="T50" s="488"/>
      <c r="U50" s="495"/>
      <c r="V50" s="496"/>
      <c r="W50" s="496"/>
      <c r="X50" s="496"/>
      <c r="Y50" s="497"/>
      <c r="Z50" s="495"/>
      <c r="AA50" s="496"/>
      <c r="AB50" s="496"/>
      <c r="AC50" s="496"/>
      <c r="AD50" s="497"/>
    </row>
    <row r="51" spans="1:30" ht="17.45" customHeight="1" x14ac:dyDescent="0.3">
      <c r="A51" s="486"/>
      <c r="B51" s="487"/>
      <c r="C51" s="487"/>
      <c r="D51" s="487"/>
      <c r="E51" s="488"/>
      <c r="F51" s="486"/>
      <c r="G51" s="487"/>
      <c r="H51" s="487"/>
      <c r="I51" s="487"/>
      <c r="J51" s="488"/>
      <c r="K51" s="486"/>
      <c r="L51" s="487"/>
      <c r="M51" s="487"/>
      <c r="N51" s="487"/>
      <c r="O51" s="488"/>
      <c r="P51" s="486"/>
      <c r="Q51" s="487"/>
      <c r="R51" s="487"/>
      <c r="S51" s="487"/>
      <c r="T51" s="488"/>
      <c r="U51" s="495"/>
      <c r="V51" s="496"/>
      <c r="W51" s="496"/>
      <c r="X51" s="496"/>
      <c r="Y51" s="497"/>
      <c r="Z51" s="495"/>
      <c r="AA51" s="496"/>
      <c r="AB51" s="496"/>
      <c r="AC51" s="496"/>
      <c r="AD51" s="497"/>
    </row>
    <row r="52" spans="1:30" ht="18" customHeight="1" thickBot="1" x14ac:dyDescent="0.35">
      <c r="A52" s="489"/>
      <c r="B52" s="490"/>
      <c r="C52" s="490"/>
      <c r="D52" s="490"/>
      <c r="E52" s="491"/>
      <c r="F52" s="489"/>
      <c r="G52" s="490"/>
      <c r="H52" s="490"/>
      <c r="I52" s="490"/>
      <c r="J52" s="491"/>
      <c r="K52" s="489"/>
      <c r="L52" s="490"/>
      <c r="M52" s="490"/>
      <c r="N52" s="490"/>
      <c r="O52" s="491"/>
      <c r="P52" s="489"/>
      <c r="Q52" s="490"/>
      <c r="R52" s="490"/>
      <c r="S52" s="490"/>
      <c r="T52" s="491"/>
      <c r="U52" s="498"/>
      <c r="V52" s="499"/>
      <c r="W52" s="499"/>
      <c r="X52" s="499"/>
      <c r="Y52" s="500"/>
      <c r="Z52" s="498"/>
      <c r="AA52" s="499"/>
      <c r="AB52" s="499"/>
      <c r="AC52" s="499"/>
      <c r="AD52" s="500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D69F7B3E-2B9E-464E-AA15-93999E871DB1}"/>
</file>

<file path=customXml/itemProps2.xml><?xml version="1.0" encoding="utf-8"?>
<ds:datastoreItem xmlns:ds="http://schemas.openxmlformats.org/officeDocument/2006/customXml" ds:itemID="{4499FEA1-A727-442A-8BF3-5B838AC0C63F}"/>
</file>

<file path=customXml/itemProps3.xml><?xml version="1.0" encoding="utf-8"?>
<ds:datastoreItem xmlns:ds="http://schemas.openxmlformats.org/officeDocument/2006/customXml" ds:itemID="{117C379B-52BB-4200-80C3-25373DAC10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2022-12-18T06:02:32Z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