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"/>
    </mc:Choice>
  </mc:AlternateContent>
  <xr:revisionPtr revIDLastSave="0" documentId="13_ncr:1_{BF815AAC-E6BB-494E-B034-C949B95FD953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K12" i="5"/>
  <c r="K9" i="6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H30" i="2"/>
  <c r="K29" i="2"/>
  <c r="J29" i="2"/>
  <c r="K28" i="2"/>
  <c r="J28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J22" i="2"/>
  <c r="K21" i="2"/>
  <c r="J21" i="2"/>
  <c r="K20" i="2"/>
  <c r="J20" i="2"/>
  <c r="T19" i="2"/>
  <c r="S19" i="2"/>
  <c r="J19" i="2"/>
  <c r="K18" i="2"/>
  <c r="J18" i="2"/>
  <c r="J17" i="2"/>
  <c r="K16" i="2"/>
  <c r="J16" i="2"/>
  <c r="U15" i="2"/>
  <c r="J15" i="2"/>
  <c r="U14" i="2"/>
  <c r="K14" i="2"/>
  <c r="J14" i="2"/>
  <c r="U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H30" i="1"/>
  <c r="K29" i="1"/>
  <c r="J29" i="1"/>
  <c r="K28" i="1"/>
  <c r="J28" i="1"/>
  <c r="K27" i="1"/>
  <c r="J27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J17" i="4"/>
  <c r="K16" i="4"/>
  <c r="J16" i="4"/>
  <c r="U15" i="4"/>
  <c r="J15" i="4"/>
  <c r="U14" i="4"/>
  <c r="J14" i="4"/>
  <c r="U13" i="4"/>
  <c r="K13" i="4"/>
  <c r="J13" i="4"/>
  <c r="U12" i="4"/>
  <c r="J12" i="4"/>
  <c r="U11" i="4"/>
  <c r="K11" i="4"/>
  <c r="J11" i="4"/>
  <c r="U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U16" i="4" s="1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J15" i="5"/>
  <c r="U14" i="5"/>
  <c r="J14" i="5"/>
  <c r="U13" i="5"/>
  <c r="J13" i="5"/>
  <c r="U12" i="5"/>
  <c r="J12" i="5"/>
  <c r="U11" i="5"/>
  <c r="K11" i="5"/>
  <c r="J11" i="5"/>
  <c r="U10" i="5"/>
  <c r="K10" i="5"/>
  <c r="J10" i="5"/>
  <c r="U9" i="5"/>
  <c r="J9" i="5"/>
  <c r="U8" i="5"/>
  <c r="K8" i="5"/>
  <c r="J8" i="5"/>
  <c r="U7" i="5"/>
  <c r="K7" i="5"/>
  <c r="J7" i="5"/>
  <c r="U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J19" i="6"/>
  <c r="K18" i="6"/>
  <c r="J18" i="6"/>
  <c r="K17" i="6"/>
  <c r="J17" i="6"/>
  <c r="K16" i="6"/>
  <c r="J16" i="6"/>
  <c r="U15" i="6"/>
  <c r="J15" i="6"/>
  <c r="U14" i="6"/>
  <c r="K14" i="6"/>
  <c r="J14" i="6"/>
  <c r="U13" i="6"/>
  <c r="K13" i="6"/>
  <c r="J13" i="6"/>
  <c r="U12" i="6"/>
  <c r="K12" i="6"/>
  <c r="J12" i="6"/>
  <c r="U11" i="6"/>
  <c r="J11" i="6"/>
  <c r="U10" i="6"/>
  <c r="K10" i="6"/>
  <c r="J10" i="6"/>
  <c r="U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I31" i="2" l="1"/>
  <c r="S32" i="2" s="1"/>
  <c r="H33" i="8" s="1"/>
  <c r="H31" i="2"/>
  <c r="S31" i="2" s="1"/>
  <c r="H32" i="8" s="1"/>
  <c r="J62" i="2"/>
  <c r="K62" i="2"/>
  <c r="K30" i="2"/>
  <c r="J30" i="2"/>
  <c r="U16" i="2"/>
  <c r="R16" i="2" s="1"/>
  <c r="I31" i="1"/>
  <c r="S32" i="1" s="1"/>
  <c r="H28" i="8" s="1"/>
  <c r="H31" i="1"/>
  <c r="S31" i="1" s="1"/>
  <c r="H27" i="8" s="1"/>
  <c r="K62" i="1"/>
  <c r="J62" i="1"/>
  <c r="J30" i="1"/>
  <c r="K30" i="1"/>
  <c r="U16" i="1"/>
  <c r="R16" i="1" s="1"/>
  <c r="J30" i="3"/>
  <c r="J31" i="3" s="1"/>
  <c r="K30" i="3"/>
  <c r="K31" i="3" s="1"/>
  <c r="U16" i="3"/>
  <c r="S16" i="3" s="1"/>
  <c r="S16" i="4"/>
  <c r="R16" i="4"/>
  <c r="K30" i="4"/>
  <c r="K31" i="4" s="1"/>
  <c r="J30" i="4"/>
  <c r="J31" i="4" s="1"/>
  <c r="S32" i="5"/>
  <c r="H13" i="8" s="1"/>
  <c r="K30" i="5"/>
  <c r="K31" i="5" s="1"/>
  <c r="J30" i="5"/>
  <c r="J31" i="5" s="1"/>
  <c r="U16" i="5"/>
  <c r="S16" i="5" s="1"/>
  <c r="K30" i="6"/>
  <c r="K31" i="6" s="1"/>
  <c r="S32" i="6"/>
  <c r="H8" i="8" s="1"/>
  <c r="J30" i="6"/>
  <c r="J31" i="6" s="1"/>
  <c r="U16" i="6"/>
  <c r="E11" i="8" s="1"/>
  <c r="AD25" i="2"/>
  <c r="AI25" i="2"/>
  <c r="AD25" i="1"/>
  <c r="AI25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M30" i="7"/>
  <c r="L30" i="7"/>
  <c r="L31" i="7" s="1"/>
  <c r="I30" i="7"/>
  <c r="I31" i="7" s="1"/>
  <c r="S32" i="7" s="1"/>
  <c r="H3" i="8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0" i="7"/>
  <c r="K19" i="7"/>
  <c r="K17" i="7"/>
  <c r="K16" i="7"/>
  <c r="U15" i="7"/>
  <c r="K15" i="7"/>
  <c r="U14" i="7"/>
  <c r="U13" i="7"/>
  <c r="K13" i="7"/>
  <c r="U12" i="7"/>
  <c r="U11" i="7"/>
  <c r="K11" i="7"/>
  <c r="U10" i="7"/>
  <c r="K10" i="7"/>
  <c r="U9" i="7"/>
  <c r="K9" i="7"/>
  <c r="U8" i="7"/>
  <c r="K8" i="7"/>
  <c r="U7" i="7"/>
  <c r="U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Z32" i="2" l="1"/>
  <c r="Z33" i="2" s="1"/>
  <c r="K31" i="2"/>
  <c r="H34" i="8" s="1"/>
  <c r="T31" i="2"/>
  <c r="J31" i="2"/>
  <c r="H35" i="8" s="1"/>
  <c r="V32" i="8" s="1"/>
  <c r="S16" i="2"/>
  <c r="E36" i="8"/>
  <c r="Z32" i="1"/>
  <c r="Z33" i="1" s="1"/>
  <c r="T31" i="1"/>
  <c r="K31" i="1"/>
  <c r="J31" i="1"/>
  <c r="E31" i="8"/>
  <c r="S16" i="1"/>
  <c r="C32" i="3"/>
  <c r="O32" i="3" s="1"/>
  <c r="E26" i="8"/>
  <c r="R16" i="3"/>
  <c r="C32" i="4"/>
  <c r="T16" i="4" s="1"/>
  <c r="R16" i="5"/>
  <c r="C32" i="5"/>
  <c r="P32" i="5" s="1"/>
  <c r="R16" i="6"/>
  <c r="S16" i="6"/>
  <c r="S31" i="7"/>
  <c r="H2" i="8" s="1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C32" i="2" l="1"/>
  <c r="O32" i="2" s="1"/>
  <c r="L33" i="8" s="1"/>
  <c r="T16" i="2"/>
  <c r="C32" i="1"/>
  <c r="P32" i="1" s="1"/>
  <c r="K32" i="3"/>
  <c r="Q32" i="3"/>
  <c r="L25" i="8" s="1"/>
  <c r="U25" i="3"/>
  <c r="P32" i="3"/>
  <c r="L24" i="8" s="1"/>
  <c r="N32" i="3"/>
  <c r="L22" i="8" s="1"/>
  <c r="T16" i="3"/>
  <c r="U25" i="4"/>
  <c r="O32" i="4"/>
  <c r="N32" i="4"/>
  <c r="K32" i="4"/>
  <c r="P32" i="4"/>
  <c r="Q32" i="4"/>
  <c r="K32" i="5"/>
  <c r="T16" i="5"/>
  <c r="N32" i="5"/>
  <c r="Q32" i="5"/>
  <c r="U25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Q32" i="2" l="1"/>
  <c r="L35" i="8" s="1"/>
  <c r="K32" i="2"/>
  <c r="P32" i="2"/>
  <c r="L34" i="8" s="1"/>
  <c r="U25" i="2"/>
  <c r="N32" i="2"/>
  <c r="L32" i="8" s="1"/>
  <c r="T16" i="1"/>
  <c r="U25" i="1"/>
  <c r="Q32" i="1"/>
  <c r="O32" i="1"/>
  <c r="N32" i="1"/>
  <c r="K32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<sst xmlns="http://schemas.openxmlformats.org/spreadsheetml/2006/main" count="1892" uniqueCount="473">
  <si>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</si>
  <si>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</si>
  <si>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</si>
  <si>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</si>
  <si>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</si>
  <si>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</si>
  <si>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</si>
  <si>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</si>
  <si>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</si>
  <si>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</si>
  <si>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</si>
  <si>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</si>
  <si>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</si>
  <si>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</si>
  <si>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</si>
  <si>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</si>
  <si>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</si>
  <si>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</si>
  <si>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</si>
  <si>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</si>
  <si>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</si>
  <si>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</si>
  <si>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</si>
  <si>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</si>
  <si>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</si>
  <si>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</si>
  <si>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</si>
  <si>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</si>
  <si>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</si>
  <si>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</si>
  <si>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</si>
  <si>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</si>
  <si>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</si>
  <si>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</si>
  <si>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</si>
  <si>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</si>
  <si>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</si>
  <si>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</si>
  <si>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</si>
  <si>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</si>
  <si>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</si>
  <si>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</si>
  <si>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</si>
  <si>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</si>
  <si>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</si>
  <si>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</si>
  <si>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</si>
  <si>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</si>
  <si>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</si>
  <si>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</si>
  <si>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</si>
  <si>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</si>
  <si>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</si>
  <si>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</si>
  <si>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</si>
  <si>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</si>
  <si>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</si>
  <si>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</si>
  <si>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</si>
  <si>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</si>
  <si>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</si>
  <si>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</si>
  <si>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</si>
  <si>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</si>
  <si>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</si>
  <si>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</si>
  <si>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</si>
  <si>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</si>
  <si>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</si>
  <si>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</si>
  <si>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</si>
  <si>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</si>
  <si>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</si>
  <si>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</si>
  <si>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</si>
  <si>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</si>
  <si>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</si>
  <si>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</si>
  <si>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</si>
  <si>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</si>
  <si>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</si>
  <si>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</si>
  <si>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</si>
  <si>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</si>
  <si>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</si>
  <si>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</si>
  <si>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</si>
  <si>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</si>
  <si>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</si>
  <si>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</si>
  <si>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</si>
  <si>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</si>
  <si>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</si>
  <si>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</si>
  <si>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</si>
  <si>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</si>
  <si>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</si>
  <si>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5 - 12 - 2022</t>
    <phoneticPr fontId="3" type="noConversion"/>
  </si>
  <si>
    <t>SUNNY</t>
    <phoneticPr fontId="3" type="noConversion"/>
  </si>
  <si>
    <t>JOHN</t>
    <phoneticPr fontId="3" type="noConversion"/>
  </si>
  <si>
    <t>\</t>
    <phoneticPr fontId="3" type="noConversion"/>
  </si>
  <si>
    <t>HENDRA</t>
    <phoneticPr fontId="3" type="noConversion"/>
  </si>
  <si>
    <t>ARIANTO</t>
    <phoneticPr fontId="3" type="noConversion"/>
  </si>
  <si>
    <t>KUROSH</t>
    <phoneticPr fontId="3" type="noConversion"/>
  </si>
  <si>
    <t>VINNY</t>
    <phoneticPr fontId="3" type="noConversion"/>
  </si>
  <si>
    <t>MARCUS</t>
    <phoneticPr fontId="3" type="noConversion"/>
  </si>
  <si>
    <t>GBI</t>
    <phoneticPr fontId="3" type="noConversion"/>
  </si>
  <si>
    <t>H</t>
    <phoneticPr fontId="3" type="noConversion"/>
  </si>
  <si>
    <t>JWL</t>
    <phoneticPr fontId="3" type="noConversion"/>
  </si>
  <si>
    <t>0404027162</t>
    <phoneticPr fontId="3" type="noConversion"/>
  </si>
  <si>
    <t>PCS</t>
    <phoneticPr fontId="3" type="noConversion"/>
  </si>
  <si>
    <t>21048(5/6)</t>
    <phoneticPr fontId="3" type="noConversion"/>
  </si>
  <si>
    <t>EMG85W</t>
    <phoneticPr fontId="3" type="noConversion"/>
  </si>
  <si>
    <t>0448004714</t>
    <phoneticPr fontId="3" type="noConversion"/>
  </si>
  <si>
    <t>PCL</t>
    <phoneticPr fontId="3" type="noConversion"/>
  </si>
  <si>
    <t>22036(6/6),22153(NEW)</t>
    <phoneticPr fontId="3" type="noConversion"/>
  </si>
  <si>
    <t>EAU81R</t>
    <phoneticPr fontId="3" type="noConversion"/>
  </si>
  <si>
    <t>0415901749</t>
    <phoneticPr fontId="3" type="noConversion"/>
  </si>
  <si>
    <t>X</t>
    <phoneticPr fontId="3" type="noConversion"/>
  </si>
  <si>
    <t>CPY94Y</t>
    <phoneticPr fontId="3" type="noConversion"/>
  </si>
  <si>
    <t>0430068899</t>
    <phoneticPr fontId="3" type="noConversion"/>
  </si>
  <si>
    <t>EGD12N</t>
    <phoneticPr fontId="3" type="noConversion"/>
  </si>
  <si>
    <t>0404730777</t>
    <phoneticPr fontId="3" type="noConversion"/>
  </si>
  <si>
    <t>DJN54M</t>
    <phoneticPr fontId="3" type="noConversion"/>
  </si>
  <si>
    <t>0414575257</t>
    <phoneticPr fontId="3" type="noConversion"/>
  </si>
  <si>
    <t>ETF65H</t>
    <phoneticPr fontId="3" type="noConversion"/>
  </si>
  <si>
    <t>0405591697</t>
    <phoneticPr fontId="3" type="noConversion"/>
  </si>
  <si>
    <t>22003(4/6)</t>
    <phoneticPr fontId="3" type="noConversion"/>
  </si>
  <si>
    <t>DQK61B</t>
    <phoneticPr fontId="3" type="noConversion"/>
  </si>
  <si>
    <t>0418430255</t>
    <phoneticPr fontId="3" type="noConversion"/>
  </si>
  <si>
    <t>DGF80A</t>
    <phoneticPr fontId="3" type="noConversion"/>
  </si>
  <si>
    <t>0478669768</t>
    <phoneticPr fontId="3" type="noConversion"/>
  </si>
  <si>
    <t>22154(1/6)</t>
    <phoneticPr fontId="3" type="noConversion"/>
  </si>
  <si>
    <t>EDS51B</t>
    <phoneticPr fontId="3" type="noConversion"/>
  </si>
  <si>
    <t>0434954785</t>
    <phoneticPr fontId="3" type="noConversion"/>
  </si>
  <si>
    <t>8W8</t>
    <phoneticPr fontId="3" type="noConversion"/>
  </si>
  <si>
    <t>0408756956</t>
    <phoneticPr fontId="3" type="noConversion"/>
  </si>
  <si>
    <t>21012(5,6/6),22156(NEW)</t>
    <phoneticPr fontId="3" type="noConversion"/>
  </si>
  <si>
    <t>CAE48M</t>
    <phoneticPr fontId="3" type="noConversion"/>
  </si>
  <si>
    <t>0410560790</t>
    <phoneticPr fontId="3" type="noConversion"/>
  </si>
  <si>
    <t>DCQ</t>
    <phoneticPr fontId="3" type="noConversion"/>
  </si>
  <si>
    <t>0410554616</t>
    <phoneticPr fontId="3" type="noConversion"/>
  </si>
  <si>
    <t>D</t>
    <phoneticPr fontId="3" type="noConversion"/>
  </si>
  <si>
    <t>ZZG640</t>
    <phoneticPr fontId="3" type="noConversion"/>
  </si>
  <si>
    <t>0420610170</t>
    <phoneticPr fontId="3" type="noConversion"/>
  </si>
  <si>
    <t>W/O</t>
    <phoneticPr fontId="3" type="noConversion"/>
  </si>
  <si>
    <t>CRT45T</t>
    <phoneticPr fontId="3" type="noConversion"/>
  </si>
  <si>
    <t>0403688691</t>
    <phoneticPr fontId="3" type="noConversion"/>
  </si>
  <si>
    <t>0415888891</t>
    <phoneticPr fontId="3" type="noConversion"/>
  </si>
  <si>
    <t>YBK23Y</t>
    <phoneticPr fontId="3" type="noConversion"/>
  </si>
  <si>
    <t>0413181450</t>
    <phoneticPr fontId="3" type="noConversion"/>
  </si>
  <si>
    <t>22011(6/6)</t>
    <phoneticPr fontId="3" type="noConversion"/>
  </si>
  <si>
    <t>06-12-2022</t>
    <phoneticPr fontId="3" type="noConversion"/>
  </si>
  <si>
    <t>JAMES</t>
    <phoneticPr fontId="3" type="noConversion"/>
  </si>
  <si>
    <t>BJQ34Y</t>
    <phoneticPr fontId="3" type="noConversion"/>
  </si>
  <si>
    <t>0419026658</t>
    <phoneticPr fontId="3" type="noConversion"/>
  </si>
  <si>
    <t>YZ777</t>
    <phoneticPr fontId="3" type="noConversion"/>
  </si>
  <si>
    <t>0433180400</t>
    <phoneticPr fontId="3" type="noConversion"/>
  </si>
  <si>
    <t>CXA58N</t>
    <phoneticPr fontId="3" type="noConversion"/>
  </si>
  <si>
    <t>0413826658</t>
    <phoneticPr fontId="3" type="noConversion"/>
  </si>
  <si>
    <t>D/ST</t>
    <phoneticPr fontId="3" type="noConversion"/>
  </si>
  <si>
    <t>CYD81N</t>
    <phoneticPr fontId="3" type="noConversion"/>
  </si>
  <si>
    <t>0412218659</t>
    <phoneticPr fontId="3" type="noConversion"/>
  </si>
  <si>
    <t>EGJ22G</t>
    <phoneticPr fontId="3" type="noConversion"/>
  </si>
  <si>
    <t>0401182000</t>
    <phoneticPr fontId="3" type="noConversion"/>
  </si>
  <si>
    <t>22157(1/6)</t>
    <phoneticPr fontId="3" type="noConversion"/>
  </si>
  <si>
    <t>EIS82L</t>
    <phoneticPr fontId="3" type="noConversion"/>
  </si>
  <si>
    <t>0417208202</t>
    <phoneticPr fontId="3" type="noConversion"/>
  </si>
  <si>
    <t>CUH54H</t>
    <phoneticPr fontId="3" type="noConversion"/>
  </si>
  <si>
    <t>0428059591</t>
    <phoneticPr fontId="3" type="noConversion"/>
  </si>
  <si>
    <t>BOOKING ONLINE</t>
    <phoneticPr fontId="3" type="noConversion"/>
  </si>
  <si>
    <t>EDF29J</t>
    <phoneticPr fontId="3" type="noConversion"/>
  </si>
  <si>
    <t>0412413644</t>
    <phoneticPr fontId="3" type="noConversion"/>
  </si>
  <si>
    <t>0438179748</t>
    <phoneticPr fontId="3" type="noConversion"/>
  </si>
  <si>
    <t>ERG16M</t>
    <phoneticPr fontId="3" type="noConversion"/>
  </si>
  <si>
    <t>0490242871</t>
    <phoneticPr fontId="3" type="noConversion"/>
  </si>
  <si>
    <t>CRU27V</t>
    <phoneticPr fontId="3" type="noConversion"/>
  </si>
  <si>
    <t>22003(5/6)</t>
    <phoneticPr fontId="3" type="noConversion"/>
  </si>
  <si>
    <t>NBW11S</t>
    <phoneticPr fontId="3" type="noConversion"/>
  </si>
  <si>
    <t>CGI60C</t>
    <phoneticPr fontId="3" type="noConversion"/>
  </si>
  <si>
    <t>0417446614</t>
    <phoneticPr fontId="3" type="noConversion"/>
  </si>
  <si>
    <t>DNF61V</t>
    <phoneticPr fontId="3" type="noConversion"/>
  </si>
  <si>
    <t>0410437199</t>
    <phoneticPr fontId="3" type="noConversion"/>
  </si>
  <si>
    <t>EUC62Y</t>
    <phoneticPr fontId="3" type="noConversion"/>
  </si>
  <si>
    <t>0417738188</t>
    <phoneticPr fontId="3" type="noConversion"/>
  </si>
  <si>
    <t>22158(1/6)</t>
    <phoneticPr fontId="3" type="noConversion"/>
  </si>
  <si>
    <t>AOH81J</t>
    <phoneticPr fontId="3" type="noConversion"/>
  </si>
  <si>
    <t>0405339494</t>
    <phoneticPr fontId="3" type="noConversion"/>
  </si>
  <si>
    <t>NBX05K</t>
    <phoneticPr fontId="3" type="noConversion"/>
  </si>
  <si>
    <t>0452531567</t>
    <phoneticPr fontId="3" type="noConversion"/>
  </si>
  <si>
    <t>7 - 12 - 2022</t>
    <phoneticPr fontId="3" type="noConversion"/>
  </si>
  <si>
    <t>HENDRI</t>
    <phoneticPr fontId="3" type="noConversion"/>
  </si>
  <si>
    <t>RINI</t>
    <phoneticPr fontId="3" type="noConversion"/>
  </si>
  <si>
    <t>8 - 12 - 2022</t>
    <phoneticPr fontId="3" type="noConversion"/>
  </si>
  <si>
    <t xml:space="preserve">VINNY </t>
    <phoneticPr fontId="3" type="noConversion"/>
  </si>
  <si>
    <t>9 - 12 - 2022</t>
    <phoneticPr fontId="3" type="noConversion"/>
  </si>
  <si>
    <t>10 - 12 - 2022</t>
    <phoneticPr fontId="3" type="noConversion"/>
  </si>
  <si>
    <t>11 - 12 - 2022</t>
    <phoneticPr fontId="3" type="noConversion"/>
  </si>
  <si>
    <t>HENDRA A</t>
    <phoneticPr fontId="3" type="noConversion"/>
  </si>
  <si>
    <t>VERONICA</t>
    <phoneticPr fontId="3" type="noConversion"/>
  </si>
  <si>
    <t>CWP60H</t>
    <phoneticPr fontId="3" type="noConversion"/>
  </si>
  <si>
    <t>YKG80E</t>
    <phoneticPr fontId="3" type="noConversion"/>
  </si>
  <si>
    <t>0468470183</t>
    <phoneticPr fontId="3" type="noConversion"/>
  </si>
  <si>
    <t>220414(4/6)</t>
    <phoneticPr fontId="3" type="noConversion"/>
  </si>
  <si>
    <t>DGE49D</t>
    <phoneticPr fontId="3" type="noConversion"/>
  </si>
  <si>
    <t>0407022320</t>
    <phoneticPr fontId="3" type="noConversion"/>
  </si>
  <si>
    <t>KML017</t>
    <phoneticPr fontId="3" type="noConversion"/>
  </si>
  <si>
    <t>0418275219</t>
    <phoneticPr fontId="3" type="noConversion"/>
  </si>
  <si>
    <t>DVP20J</t>
    <phoneticPr fontId="3" type="noConversion"/>
  </si>
  <si>
    <t>0433875588</t>
    <phoneticPr fontId="3" type="noConversion"/>
  </si>
  <si>
    <t>22030(2/6)</t>
    <phoneticPr fontId="3" type="noConversion"/>
  </si>
  <si>
    <t>NBR70A</t>
    <phoneticPr fontId="3" type="noConversion"/>
  </si>
  <si>
    <t>0408400671</t>
    <phoneticPr fontId="3" type="noConversion"/>
  </si>
  <si>
    <t>JB576</t>
    <phoneticPr fontId="3" type="noConversion"/>
  </si>
  <si>
    <t>0409360272</t>
    <phoneticPr fontId="3" type="noConversion"/>
  </si>
  <si>
    <t>SKY5</t>
    <phoneticPr fontId="3" type="noConversion"/>
  </si>
  <si>
    <t>0406222111</t>
    <phoneticPr fontId="3" type="noConversion"/>
  </si>
  <si>
    <t>22060(5/6)</t>
    <phoneticPr fontId="3" type="noConversion"/>
  </si>
  <si>
    <t>CXC37U</t>
    <phoneticPr fontId="3" type="noConversion"/>
  </si>
  <si>
    <t>0409921951</t>
    <phoneticPr fontId="3" type="noConversion"/>
  </si>
  <si>
    <t>CTS87Q</t>
    <phoneticPr fontId="3" type="noConversion"/>
  </si>
  <si>
    <t>0433437477</t>
    <phoneticPr fontId="3" type="noConversion"/>
  </si>
  <si>
    <t>22159(1/6)</t>
    <phoneticPr fontId="3" type="noConversion"/>
  </si>
  <si>
    <t>DDD88L</t>
    <phoneticPr fontId="3" type="noConversion"/>
  </si>
  <si>
    <t>0402555552</t>
    <phoneticPr fontId="3" type="noConversion"/>
  </si>
  <si>
    <t>22059(2/6)</t>
    <phoneticPr fontId="3" type="noConversion"/>
  </si>
  <si>
    <t>CAJ45W</t>
    <phoneticPr fontId="3" type="noConversion"/>
  </si>
  <si>
    <t>0449949120</t>
    <phoneticPr fontId="3" type="noConversion"/>
  </si>
  <si>
    <t>NBW72B</t>
    <phoneticPr fontId="3" type="noConversion"/>
  </si>
  <si>
    <t>0438002693</t>
    <phoneticPr fontId="3" type="noConversion"/>
  </si>
  <si>
    <t>DAR75R</t>
    <phoneticPr fontId="3" type="noConversion"/>
  </si>
  <si>
    <t>0414268437</t>
    <phoneticPr fontId="3" type="noConversion"/>
  </si>
  <si>
    <t>UG0068</t>
    <phoneticPr fontId="3" type="noConversion"/>
  </si>
  <si>
    <t>0417427606</t>
    <phoneticPr fontId="3" type="noConversion"/>
  </si>
  <si>
    <t>PAA333</t>
    <phoneticPr fontId="3" type="noConversion"/>
  </si>
  <si>
    <t>0414337333</t>
    <phoneticPr fontId="3" type="noConversion"/>
  </si>
  <si>
    <t>ROMAN</t>
    <phoneticPr fontId="3" type="noConversion"/>
  </si>
  <si>
    <t>ROMAN TRIAL NEW BOYS</t>
    <phoneticPr fontId="3" type="noConversion"/>
  </si>
  <si>
    <t>CTU62U</t>
    <phoneticPr fontId="3" type="noConversion"/>
  </si>
  <si>
    <t>0409708550</t>
    <phoneticPr fontId="3" type="noConversion"/>
  </si>
  <si>
    <t>DJ1818</t>
    <phoneticPr fontId="3" type="noConversion"/>
  </si>
  <si>
    <t>0404306994</t>
    <phoneticPr fontId="3" type="noConversion"/>
  </si>
  <si>
    <t>22081(2/6)</t>
    <phoneticPr fontId="3" type="noConversion"/>
  </si>
  <si>
    <t>ANDREW(OCTEC)</t>
    <phoneticPr fontId="3" type="noConversion"/>
  </si>
  <si>
    <t>EPO91D</t>
    <phoneticPr fontId="3" type="noConversion"/>
  </si>
  <si>
    <t>0419460470</t>
    <phoneticPr fontId="3" type="noConversion"/>
  </si>
  <si>
    <t>22051(4/6)</t>
    <phoneticPr fontId="3" type="noConversion"/>
  </si>
  <si>
    <t>JH2211</t>
    <phoneticPr fontId="3" type="noConversion"/>
  </si>
  <si>
    <t>0412771876</t>
    <phoneticPr fontId="3" type="noConversion"/>
  </si>
  <si>
    <t>ELY65W</t>
    <phoneticPr fontId="3" type="noConversion"/>
  </si>
  <si>
    <t>0418115044</t>
    <phoneticPr fontId="3" type="noConversion"/>
  </si>
  <si>
    <t>BPN02H</t>
    <phoneticPr fontId="3" type="noConversion"/>
  </si>
  <si>
    <t>0402758075</t>
    <phoneticPr fontId="3" type="noConversion"/>
  </si>
  <si>
    <t>DA21HC</t>
    <phoneticPr fontId="3" type="noConversion"/>
  </si>
  <si>
    <t>0416001712</t>
    <phoneticPr fontId="3" type="noConversion"/>
  </si>
  <si>
    <t>CT351</t>
    <phoneticPr fontId="3" type="noConversion"/>
  </si>
  <si>
    <t>22160(1/6)</t>
    <phoneticPr fontId="3" type="noConversion"/>
  </si>
  <si>
    <t>COM84M</t>
    <phoneticPr fontId="3" type="noConversion"/>
  </si>
  <si>
    <t>0405232880</t>
    <phoneticPr fontId="3" type="noConversion"/>
  </si>
  <si>
    <t>22022(4/6)</t>
    <phoneticPr fontId="3" type="noConversion"/>
  </si>
  <si>
    <t>DFG03B</t>
    <phoneticPr fontId="3" type="noConversion"/>
  </si>
  <si>
    <t>0412901222</t>
    <phoneticPr fontId="3" type="noConversion"/>
  </si>
  <si>
    <t>BWH45U</t>
    <phoneticPr fontId="3" type="noConversion"/>
  </si>
  <si>
    <t>0419484121</t>
    <phoneticPr fontId="3" type="noConversion"/>
  </si>
  <si>
    <t>F/D</t>
    <phoneticPr fontId="3" type="noConversion"/>
  </si>
  <si>
    <t>DZX89P</t>
    <phoneticPr fontId="3" type="noConversion"/>
  </si>
  <si>
    <t>0403017958</t>
    <phoneticPr fontId="3" type="noConversion"/>
  </si>
  <si>
    <t>CPT87W</t>
    <phoneticPr fontId="3" type="noConversion"/>
  </si>
  <si>
    <t>0414258028</t>
    <phoneticPr fontId="3" type="noConversion"/>
  </si>
  <si>
    <t>22021(4/6)</t>
    <phoneticPr fontId="3" type="noConversion"/>
  </si>
  <si>
    <t>NCB18D</t>
    <phoneticPr fontId="3" type="noConversion"/>
  </si>
  <si>
    <t>0412350177</t>
    <phoneticPr fontId="3" type="noConversion"/>
  </si>
  <si>
    <t>22014(2/6)</t>
    <phoneticPr fontId="3" type="noConversion"/>
  </si>
  <si>
    <t>EDX66Q</t>
    <phoneticPr fontId="3" type="noConversion"/>
  </si>
  <si>
    <t>0411051013</t>
    <phoneticPr fontId="3" type="noConversion"/>
  </si>
  <si>
    <t>CDS89H</t>
    <phoneticPr fontId="3" type="noConversion"/>
  </si>
  <si>
    <t>ENA10J</t>
    <phoneticPr fontId="3" type="noConversion"/>
  </si>
  <si>
    <t>0431733876</t>
    <phoneticPr fontId="3" type="noConversion"/>
  </si>
  <si>
    <t>NCA82M</t>
    <phoneticPr fontId="3" type="noConversion"/>
  </si>
  <si>
    <t>0439988228</t>
    <phoneticPr fontId="3" type="noConversion"/>
  </si>
  <si>
    <t>22079(3/6)</t>
    <phoneticPr fontId="3" type="noConversion"/>
  </si>
  <si>
    <t>0447514956</t>
    <phoneticPr fontId="3" type="noConversion"/>
  </si>
  <si>
    <t>EL3238</t>
    <phoneticPr fontId="3" type="noConversion"/>
  </si>
  <si>
    <t>0414740574</t>
    <phoneticPr fontId="3" type="noConversion"/>
  </si>
  <si>
    <t>DKY92Q</t>
    <phoneticPr fontId="3" type="noConversion"/>
  </si>
  <si>
    <t>0466367777</t>
    <phoneticPr fontId="3" type="noConversion"/>
  </si>
  <si>
    <t>DPH45L</t>
    <phoneticPr fontId="3" type="noConversion"/>
  </si>
  <si>
    <t>0430102583</t>
    <phoneticPr fontId="3" type="noConversion"/>
  </si>
  <si>
    <t>W/H</t>
    <phoneticPr fontId="3" type="noConversion"/>
  </si>
  <si>
    <t>AF21LS</t>
    <phoneticPr fontId="3" type="noConversion"/>
  </si>
  <si>
    <t>0458975559</t>
    <phoneticPr fontId="3" type="noConversion"/>
  </si>
  <si>
    <t>CLOUDY</t>
    <phoneticPr fontId="3" type="noConversion"/>
  </si>
  <si>
    <t>CPV66N</t>
    <phoneticPr fontId="3" type="noConversion"/>
  </si>
  <si>
    <t>0410426355</t>
    <phoneticPr fontId="3" type="noConversion"/>
  </si>
  <si>
    <t>CLC65A</t>
    <phoneticPr fontId="3" type="noConversion"/>
  </si>
  <si>
    <t>0401691245</t>
    <phoneticPr fontId="3" type="noConversion"/>
  </si>
  <si>
    <t>DZV95H</t>
    <phoneticPr fontId="3" type="noConversion"/>
  </si>
  <si>
    <t>0411599779</t>
    <phoneticPr fontId="3" type="noConversion"/>
  </si>
  <si>
    <t>YLZ75S</t>
    <phoneticPr fontId="3" type="noConversion"/>
  </si>
  <si>
    <t>0401236306</t>
    <phoneticPr fontId="3" type="noConversion"/>
  </si>
  <si>
    <t>EOT85U</t>
    <phoneticPr fontId="3" type="noConversion"/>
  </si>
  <si>
    <t>0448119991</t>
    <phoneticPr fontId="3" type="noConversion"/>
  </si>
  <si>
    <t>EHK77Q</t>
    <phoneticPr fontId="3" type="noConversion"/>
  </si>
  <si>
    <t>0412325473</t>
    <phoneticPr fontId="3" type="noConversion"/>
  </si>
  <si>
    <t>DMX75L</t>
    <phoneticPr fontId="3" type="noConversion"/>
  </si>
  <si>
    <t>0425241711</t>
    <phoneticPr fontId="3" type="noConversion"/>
  </si>
  <si>
    <t>DWG65Q</t>
    <phoneticPr fontId="3" type="noConversion"/>
  </si>
  <si>
    <t>0401234673</t>
    <phoneticPr fontId="3" type="noConversion"/>
  </si>
  <si>
    <t>DMT74C</t>
    <phoneticPr fontId="3" type="noConversion"/>
  </si>
  <si>
    <t>0410696194</t>
    <phoneticPr fontId="3" type="noConversion"/>
  </si>
  <si>
    <t>DKV84K</t>
    <phoneticPr fontId="3" type="noConversion"/>
  </si>
  <si>
    <t>0411852491</t>
    <phoneticPr fontId="3" type="noConversion"/>
  </si>
  <si>
    <t>ANDREW OCTEC</t>
    <phoneticPr fontId="3" type="noConversion"/>
  </si>
  <si>
    <t>BCI71Z</t>
    <phoneticPr fontId="3" type="noConversion"/>
  </si>
  <si>
    <t>0415366717</t>
    <phoneticPr fontId="3" type="noConversion"/>
  </si>
  <si>
    <t>CL96TU</t>
    <phoneticPr fontId="3" type="noConversion"/>
  </si>
  <si>
    <t>0407418981</t>
    <phoneticPr fontId="3" type="noConversion"/>
  </si>
  <si>
    <t>A60</t>
    <phoneticPr fontId="3" type="noConversion"/>
  </si>
  <si>
    <t>0432180139</t>
    <phoneticPr fontId="3" type="noConversion"/>
  </si>
  <si>
    <t>EAI54S</t>
    <phoneticPr fontId="3" type="noConversion"/>
  </si>
  <si>
    <t>0409512620</t>
    <phoneticPr fontId="3" type="noConversion"/>
  </si>
  <si>
    <t>S/D</t>
    <phoneticPr fontId="3" type="noConversion"/>
  </si>
  <si>
    <t>0413623130</t>
    <phoneticPr fontId="3" type="noConversion"/>
  </si>
  <si>
    <t>EB94AG</t>
    <phoneticPr fontId="3" type="noConversion"/>
  </si>
  <si>
    <t>EPL82P</t>
    <phoneticPr fontId="3" type="noConversion"/>
  </si>
  <si>
    <t>0421207569</t>
    <phoneticPr fontId="3" type="noConversion"/>
  </si>
  <si>
    <t>BCX37B</t>
    <phoneticPr fontId="3" type="noConversion"/>
  </si>
  <si>
    <t>0408080141</t>
    <phoneticPr fontId="3" type="noConversion"/>
  </si>
  <si>
    <t>BSU91J</t>
    <phoneticPr fontId="3" type="noConversion"/>
  </si>
  <si>
    <t>0416352171</t>
    <phoneticPr fontId="3" type="noConversion"/>
  </si>
  <si>
    <t>SUVASH</t>
    <phoneticPr fontId="3" type="noConversion"/>
  </si>
  <si>
    <t>KADAM</t>
    <phoneticPr fontId="3" type="noConversion"/>
  </si>
  <si>
    <t>DCO37Z</t>
    <phoneticPr fontId="3" type="noConversion"/>
  </si>
  <si>
    <t>0467711120</t>
    <phoneticPr fontId="3" type="noConversion"/>
  </si>
  <si>
    <t>0400167996</t>
    <phoneticPr fontId="3" type="noConversion"/>
  </si>
  <si>
    <t>22040(2/6)</t>
    <phoneticPr fontId="3" type="noConversion"/>
  </si>
  <si>
    <t>DSB59R</t>
    <phoneticPr fontId="3" type="noConversion"/>
  </si>
  <si>
    <t>0421284405</t>
    <phoneticPr fontId="3" type="noConversion"/>
  </si>
  <si>
    <t>ONLINE BOOKING</t>
    <phoneticPr fontId="3" type="noConversion"/>
  </si>
  <si>
    <t>EGR05G</t>
    <phoneticPr fontId="3" type="noConversion"/>
  </si>
  <si>
    <t>0421907374</t>
    <phoneticPr fontId="3" type="noConversion"/>
  </si>
  <si>
    <t>DJP71U</t>
    <phoneticPr fontId="3" type="noConversion"/>
  </si>
  <si>
    <t>0411269889</t>
    <phoneticPr fontId="3" type="noConversion"/>
  </si>
  <si>
    <t>DZU85F</t>
    <phoneticPr fontId="3" type="noConversion"/>
  </si>
  <si>
    <t>0481358834</t>
    <phoneticPr fontId="3" type="noConversion"/>
  </si>
  <si>
    <t>TAX</t>
    <phoneticPr fontId="3" type="noConversion"/>
  </si>
  <si>
    <t>EWF82C</t>
    <phoneticPr fontId="3" type="noConversion"/>
  </si>
  <si>
    <t>0413089789</t>
    <phoneticPr fontId="3" type="noConversion"/>
  </si>
  <si>
    <t>22080(4/6)</t>
    <phoneticPr fontId="3" type="noConversion"/>
  </si>
  <si>
    <t>EHR65M</t>
    <phoneticPr fontId="3" type="noConversion"/>
  </si>
  <si>
    <t>0423853123</t>
    <phoneticPr fontId="3" type="noConversion"/>
  </si>
  <si>
    <t>EKN63H</t>
    <phoneticPr fontId="3" type="noConversion"/>
  </si>
  <si>
    <t>0416738064</t>
    <phoneticPr fontId="3" type="noConversion"/>
  </si>
  <si>
    <t>CR70CE</t>
    <phoneticPr fontId="3" type="noConversion"/>
  </si>
  <si>
    <t>0402655154</t>
    <phoneticPr fontId="3" type="noConversion"/>
  </si>
  <si>
    <t>EDC37B</t>
    <phoneticPr fontId="3" type="noConversion"/>
  </si>
  <si>
    <t>0409582765</t>
    <phoneticPr fontId="3" type="noConversion"/>
  </si>
  <si>
    <t>G8</t>
    <phoneticPr fontId="3" type="noConversion"/>
  </si>
  <si>
    <t>0418868888</t>
    <phoneticPr fontId="3" type="noConversion"/>
  </si>
  <si>
    <t>BQ03MB</t>
    <phoneticPr fontId="3" type="noConversion"/>
  </si>
  <si>
    <t>0410586686</t>
    <phoneticPr fontId="3" type="noConversion"/>
  </si>
  <si>
    <t>DZ46P</t>
    <phoneticPr fontId="3" type="noConversion"/>
  </si>
  <si>
    <t>0411950042</t>
    <phoneticPr fontId="3" type="noConversion"/>
  </si>
  <si>
    <t>MISTAKE</t>
    <phoneticPr fontId="3" type="noConversion"/>
  </si>
  <si>
    <t>DXO64Z</t>
    <phoneticPr fontId="3" type="noConversion"/>
  </si>
  <si>
    <t>0402359189</t>
    <phoneticPr fontId="3" type="noConversion"/>
  </si>
  <si>
    <t>EQG93N</t>
    <phoneticPr fontId="3" type="noConversion"/>
  </si>
  <si>
    <t>0424822844</t>
    <phoneticPr fontId="3" type="noConversion"/>
  </si>
  <si>
    <t>EUF84P</t>
    <phoneticPr fontId="3" type="noConversion"/>
  </si>
  <si>
    <t>0450835114</t>
    <phoneticPr fontId="3" type="noConversion"/>
  </si>
  <si>
    <t>DAT009</t>
    <phoneticPr fontId="3" type="noConversion"/>
  </si>
  <si>
    <t>0417290447</t>
    <phoneticPr fontId="3" type="noConversion"/>
  </si>
  <si>
    <t>DNM75Q</t>
    <phoneticPr fontId="3" type="noConversion"/>
  </si>
  <si>
    <t>0406532060</t>
    <phoneticPr fontId="3" type="noConversion"/>
  </si>
  <si>
    <t>BRB46H</t>
    <phoneticPr fontId="3" type="noConversion"/>
  </si>
  <si>
    <t>0418459808</t>
    <phoneticPr fontId="3" type="noConversion"/>
  </si>
  <si>
    <t>CXH14M</t>
    <phoneticPr fontId="3" type="noConversion"/>
  </si>
  <si>
    <t>0423695244</t>
    <phoneticPr fontId="3" type="noConversion"/>
  </si>
  <si>
    <t>EPW65B</t>
    <phoneticPr fontId="3" type="noConversion"/>
  </si>
  <si>
    <t>0432565150</t>
    <phoneticPr fontId="3" type="noConversion"/>
  </si>
  <si>
    <t>22070(2/6)</t>
    <phoneticPr fontId="3" type="noConversion"/>
  </si>
  <si>
    <t>CTD96Y</t>
    <phoneticPr fontId="3" type="noConversion"/>
  </si>
  <si>
    <t>0412967330</t>
    <phoneticPr fontId="3" type="noConversion"/>
  </si>
  <si>
    <t>CXA57L</t>
    <phoneticPr fontId="3" type="noConversion"/>
  </si>
  <si>
    <t>0470567459</t>
    <phoneticPr fontId="3" type="noConversion"/>
  </si>
  <si>
    <t>DDU28K</t>
    <phoneticPr fontId="3" type="noConversion"/>
  </si>
  <si>
    <t>0415553963</t>
    <phoneticPr fontId="3" type="noConversion"/>
  </si>
  <si>
    <t>EPB65Y</t>
    <phoneticPr fontId="3" type="noConversion"/>
  </si>
  <si>
    <t>0416941122</t>
    <phoneticPr fontId="3" type="noConversion"/>
  </si>
  <si>
    <t>ST BABY SEAT</t>
    <phoneticPr fontId="3" type="noConversion"/>
  </si>
  <si>
    <t>MIK24F</t>
    <phoneticPr fontId="3" type="noConversion"/>
  </si>
  <si>
    <t>0425456792</t>
    <phoneticPr fontId="3" type="noConversion"/>
  </si>
  <si>
    <t>ETD09A</t>
    <phoneticPr fontId="3" type="noConversion"/>
  </si>
  <si>
    <t>0481973186</t>
    <phoneticPr fontId="3" type="noConversion"/>
  </si>
  <si>
    <t>GCY02L</t>
    <phoneticPr fontId="3" type="noConversion"/>
  </si>
  <si>
    <t>0421769980</t>
    <phoneticPr fontId="3" type="noConversion"/>
  </si>
  <si>
    <t>CSR24F</t>
    <phoneticPr fontId="3" type="noConversion"/>
  </si>
  <si>
    <t>0425902611</t>
    <phoneticPr fontId="3" type="noConversion"/>
  </si>
  <si>
    <t>EAV79J</t>
    <phoneticPr fontId="3" type="noConversion"/>
  </si>
  <si>
    <t>0403277039</t>
    <phoneticPr fontId="3" type="noConversion"/>
  </si>
  <si>
    <t>22061(1/6)</t>
    <phoneticPr fontId="3" type="noConversion"/>
  </si>
  <si>
    <t>DGH062</t>
    <phoneticPr fontId="3" type="noConversion"/>
  </si>
  <si>
    <t>0411853091</t>
    <phoneticPr fontId="3" type="noConversion"/>
  </si>
  <si>
    <t>DSD80P</t>
    <phoneticPr fontId="3" type="noConversion"/>
  </si>
  <si>
    <t>0421331403</t>
    <phoneticPr fontId="3" type="noConversion"/>
  </si>
  <si>
    <t>F</t>
  </si>
  <si>
    <t>JHS005</t>
    <phoneticPr fontId="3" type="noConversion"/>
  </si>
  <si>
    <t>0415629242</t>
    <phoneticPr fontId="3" type="noConversion"/>
  </si>
  <si>
    <t>ERR88Q</t>
    <phoneticPr fontId="3" type="noConversion"/>
  </si>
  <si>
    <t>0416212689</t>
    <phoneticPr fontId="3" type="noConversion"/>
  </si>
  <si>
    <t>CPH54E</t>
    <phoneticPr fontId="3" type="noConversion"/>
  </si>
  <si>
    <t>0400832193</t>
    <phoneticPr fontId="3" type="noConversion"/>
  </si>
  <si>
    <t>BWY66T</t>
    <phoneticPr fontId="3" type="noConversion"/>
  </si>
  <si>
    <t>0400311925</t>
    <phoneticPr fontId="3" type="noConversion"/>
  </si>
  <si>
    <t>ETT71L</t>
    <phoneticPr fontId="3" type="noConversion"/>
  </si>
  <si>
    <t>0421853500</t>
    <phoneticPr fontId="3" type="noConversion"/>
  </si>
  <si>
    <t>244ZFO</t>
    <phoneticPr fontId="3" type="noConversion"/>
  </si>
  <si>
    <t>0477076667</t>
    <phoneticPr fontId="3" type="noConversion"/>
  </si>
  <si>
    <t>ENX12C</t>
    <phoneticPr fontId="3" type="noConversion"/>
  </si>
  <si>
    <t>0433039533</t>
    <phoneticPr fontId="3" type="noConversion"/>
  </si>
  <si>
    <t>21122819(4/6)</t>
    <phoneticPr fontId="3" type="noConversion"/>
  </si>
  <si>
    <t>IDR11L</t>
    <phoneticPr fontId="3" type="noConversion"/>
  </si>
  <si>
    <t>0416105510</t>
    <phoneticPr fontId="3" type="noConversion"/>
  </si>
  <si>
    <t>ESC07C</t>
    <phoneticPr fontId="3" type="noConversion"/>
  </si>
  <si>
    <t>0404113366</t>
    <phoneticPr fontId="3" type="noConversion"/>
  </si>
  <si>
    <t>22052(4/6)</t>
    <phoneticPr fontId="3" type="noConversion"/>
  </si>
  <si>
    <t>DYR32X</t>
    <phoneticPr fontId="3" type="noConversion"/>
  </si>
  <si>
    <t>04165714660</t>
    <phoneticPr fontId="3" type="noConversion"/>
  </si>
  <si>
    <t>DNN54U</t>
    <phoneticPr fontId="3" type="noConversion"/>
  </si>
  <si>
    <t>0421529533</t>
    <phoneticPr fontId="3" type="noConversion"/>
  </si>
  <si>
    <t>XS66</t>
    <phoneticPr fontId="3" type="noConversion"/>
  </si>
  <si>
    <t>0431875858</t>
    <phoneticPr fontId="3" type="noConversion"/>
  </si>
  <si>
    <t>22106(4/6)</t>
    <phoneticPr fontId="3" type="noConversion"/>
  </si>
  <si>
    <t>CO37DL</t>
    <phoneticPr fontId="3" type="noConversion"/>
  </si>
  <si>
    <t>0420691130</t>
    <phoneticPr fontId="3" type="noConversion"/>
  </si>
  <si>
    <t>22062(1/6)</t>
    <phoneticPr fontId="3" type="noConversion"/>
  </si>
  <si>
    <t>NSZ899</t>
    <phoneticPr fontId="3" type="noConversion"/>
  </si>
  <si>
    <t>0422028291</t>
    <phoneticPr fontId="3" type="noConversion"/>
  </si>
  <si>
    <t>22087(2/6)</t>
    <phoneticPr fontId="3" type="noConversion"/>
  </si>
  <si>
    <t>BJS31A</t>
    <phoneticPr fontId="3" type="noConversion"/>
  </si>
  <si>
    <t>0408004888</t>
    <phoneticPr fontId="3" type="noConversion"/>
  </si>
  <si>
    <t>H/ST</t>
    <phoneticPr fontId="3" type="noConversion"/>
  </si>
  <si>
    <t>EAS53W</t>
    <phoneticPr fontId="3" type="noConversion"/>
  </si>
  <si>
    <t>0451161338</t>
    <phoneticPr fontId="3" type="noConversion"/>
  </si>
  <si>
    <t>EPJ60Y</t>
    <phoneticPr fontId="3" type="noConversion"/>
  </si>
  <si>
    <t>0498000441</t>
    <phoneticPr fontId="3" type="noConversion"/>
  </si>
  <si>
    <t>DPG98X</t>
    <phoneticPr fontId="3" type="noConversion"/>
  </si>
  <si>
    <t>0405535878</t>
    <phoneticPr fontId="3" type="noConversion"/>
  </si>
  <si>
    <t>TRX290</t>
    <phoneticPr fontId="3" type="noConversion"/>
  </si>
  <si>
    <t>0402883628</t>
    <phoneticPr fontId="3" type="noConversion"/>
  </si>
  <si>
    <t>AOS96R</t>
    <phoneticPr fontId="3" type="noConversion"/>
  </si>
  <si>
    <t>0490285292</t>
    <phoneticPr fontId="3" type="noConversion"/>
  </si>
  <si>
    <t>BKT0313</t>
    <phoneticPr fontId="3" type="noConversion"/>
  </si>
  <si>
    <t>0478847411</t>
    <phoneticPr fontId="3" type="noConversion"/>
  </si>
  <si>
    <t>EKQ11E</t>
    <phoneticPr fontId="3" type="noConversion"/>
  </si>
  <si>
    <t>0418414281</t>
    <phoneticPr fontId="3" type="noConversion"/>
  </si>
  <si>
    <t>DNX32J</t>
    <phoneticPr fontId="3" type="noConversion"/>
  </si>
  <si>
    <t>0430475688</t>
    <phoneticPr fontId="3" type="noConversion"/>
  </si>
  <si>
    <t>22010(5/6)</t>
    <phoneticPr fontId="3" type="noConversion"/>
  </si>
  <si>
    <t>EMAJIN</t>
    <phoneticPr fontId="3" type="noConversion"/>
  </si>
  <si>
    <t>0410660111</t>
    <phoneticPr fontId="3" type="noConversion"/>
  </si>
  <si>
    <t>EJS57W</t>
    <phoneticPr fontId="3" type="noConversion"/>
  </si>
  <si>
    <t>0474856142</t>
    <phoneticPr fontId="3" type="noConversion"/>
  </si>
  <si>
    <t>CLD84L</t>
    <phoneticPr fontId="3" type="noConversion"/>
  </si>
  <si>
    <t>0411236536</t>
    <phoneticPr fontId="3" type="noConversion"/>
  </si>
  <si>
    <t>CWK96Y</t>
    <phoneticPr fontId="3" type="noConversion"/>
  </si>
  <si>
    <t>0405380289</t>
    <phoneticPr fontId="3" type="noConversion"/>
  </si>
  <si>
    <t>CSW92J</t>
    <phoneticPr fontId="3" type="noConversion"/>
  </si>
  <si>
    <t>0403112344</t>
    <phoneticPr fontId="3" type="noConversion"/>
  </si>
  <si>
    <t>YIW54QA</t>
    <phoneticPr fontId="3" type="noConversion"/>
  </si>
  <si>
    <t>0435157750</t>
    <phoneticPr fontId="3" type="noConversion"/>
  </si>
  <si>
    <t>LENI</t>
    <phoneticPr fontId="3" type="noConversion"/>
  </si>
  <si>
    <t>LENI TRIAL NEW WOMAN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</si>
</sst>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</cellStyleXfs>
  <cellXfs count="76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2" fontId="0" fillId="0" borderId="0" xfId="0" applyNumberFormat="1" applyAlignment="1">
      <alignment shrinkToFit="1"/>
    </xf>
    <xf numFmtId="178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6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23" fillId="14" borderId="4" xfId="4" applyBorder="1" applyAlignment="1">
      <alignment horizontal="center" shrinkToFit="1"/>
    </xf>
    <xf numFmtId="0" fontId="23" fillId="14" borderId="1" xfId="4" applyBorder="1" applyAlignment="1">
      <alignment horizontal="left"/>
    </xf>
    <xf numFmtId="49" fontId="23" fillId="14" borderId="2" xfId="4" applyNumberFormat="1" applyBorder="1" applyAlignment="1">
      <alignment horizontal="left"/>
    </xf>
    <xf numFmtId="0" fontId="23" fillId="14" borderId="62" xfId="4" applyBorder="1" applyAlignment="1">
      <alignment horizontal="center" shrinkToFit="1"/>
    </xf>
    <xf numFmtId="179" fontId="23" fillId="14" borderId="26" xfId="4" applyNumberFormat="1" applyBorder="1" applyAlignment="1">
      <alignment horizontal="left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9" xfId="4" applyBorder="1" applyAlignment="1">
      <alignment horizontal="center" shrinkToFit="1"/>
    </xf>
    <xf numFmtId="0" fontId="23" fillId="14" borderId="1" xfId="4" applyBorder="1" applyAlignment="1">
      <alignment horizontal="center" shrinkToFit="1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178" fontId="23" fillId="14" borderId="1" xfId="4" applyNumberFormat="1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26" xfId="4" applyBorder="1" applyAlignment="1">
      <alignment horizontal="left"/>
    </xf>
    <xf numFmtId="0" fontId="23" fillId="14" borderId="1" xfId="4" applyBorder="1" applyAlignment="1">
      <alignment horizontal="center"/>
    </xf>
    <xf numFmtId="0" fontId="29" fillId="15" borderId="9" xfId="5" applyBorder="1" applyAlignment="1">
      <alignment horizontal="center" shrinkToFit="1"/>
    </xf>
    <xf numFmtId="0" fontId="29" fillId="15" borderId="4" xfId="5" applyBorder="1" applyAlignment="1">
      <alignment horizontal="center" shrinkToFit="1"/>
    </xf>
    <xf numFmtId="0" fontId="29" fillId="15" borderId="1" xfId="5" applyBorder="1" applyAlignment="1">
      <alignment shrinkToFit="1"/>
    </xf>
    <xf numFmtId="49" fontId="29" fillId="15" borderId="2" xfId="5" applyNumberFormat="1" applyBorder="1" applyAlignment="1">
      <alignment shrinkToFit="1"/>
    </xf>
    <xf numFmtId="0" fontId="29" fillId="15" borderId="62" xfId="5" applyBorder="1" applyAlignment="1">
      <alignment horizontal="center" shrinkToFit="1"/>
    </xf>
    <xf numFmtId="0" fontId="29" fillId="15" borderId="26" xfId="5" applyBorder="1" applyAlignment="1">
      <alignment horizontal="left" shrinkToFit="1"/>
    </xf>
    <xf numFmtId="0" fontId="29" fillId="15" borderId="1" xfId="5" applyBorder="1" applyAlignment="1">
      <alignment horizontal="center" shrinkToFit="1"/>
    </xf>
    <xf numFmtId="178" fontId="29" fillId="15" borderId="61" xfId="5" applyNumberFormat="1" applyBorder="1" applyAlignment="1">
      <alignment horizontal="center" shrinkToFit="1"/>
    </xf>
    <xf numFmtId="178" fontId="29" fillId="15" borderId="26" xfId="5" applyNumberFormat="1" applyBorder="1" applyAlignment="1">
      <alignment horizontal="center" shrinkToFit="1"/>
    </xf>
    <xf numFmtId="178" fontId="29" fillId="15" borderId="4" xfId="5" applyNumberFormat="1" applyBorder="1" applyAlignment="1">
      <alignment horizontal="center" shrinkToFit="1"/>
    </xf>
    <xf numFmtId="178" fontId="29" fillId="15" borderId="6" xfId="5" applyNumberFormat="1" applyBorder="1" applyAlignment="1">
      <alignment horizontal="center" shrinkToFit="1"/>
    </xf>
    <xf numFmtId="0" fontId="29" fillId="15" borderId="1" xfId="5" applyBorder="1" applyAlignment="1">
      <alignment horizontal="left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vertical="center" shrinkToFit="1"/>
    </xf>
    <xf numFmtId="0" fontId="30" fillId="2" borderId="9" xfId="0" applyFont="1" applyFill="1" applyBorder="1" applyAlignment="1">
      <alignment shrinkToFit="1"/>
    </xf>
    <xf numFmtId="0" fontId="29" fillId="15" borderId="19" xfId="5" applyBorder="1" applyAlignment="1">
      <alignment horizontal="center" shrinkToFit="1"/>
    </xf>
    <xf numFmtId="49" fontId="29" fillId="15" borderId="2" xfId="5" applyNumberFormat="1" applyBorder="1" applyAlignment="1">
      <alignment horizontal="left"/>
    </xf>
    <xf numFmtId="179" fontId="29" fillId="15" borderId="26" xfId="5" applyNumberFormat="1" applyBorder="1" applyAlignment="1">
      <alignment horizontal="left"/>
    </xf>
    <xf numFmtId="0" fontId="29" fillId="15" borderId="19" xfId="5" applyBorder="1" applyAlignment="1">
      <alignment shrinkToFit="1"/>
    </xf>
    <xf numFmtId="177" fontId="29" fillId="15" borderId="4" xfId="5" applyNumberFormat="1" applyBorder="1" applyAlignment="1">
      <alignment horizontal="center" shrinkToFit="1"/>
    </xf>
    <xf numFmtId="177" fontId="29" fillId="15" borderId="6" xfId="5" applyNumberFormat="1" applyBorder="1" applyAlignment="1">
      <alignment horizontal="center" shrinkToFit="1"/>
    </xf>
    <xf numFmtId="178" fontId="29" fillId="15" borderId="20" xfId="5" applyNumberFormat="1" applyBorder="1" applyAlignment="1">
      <alignment horizontal="center" shrinkToFit="1"/>
    </xf>
    <xf numFmtId="0" fontId="29" fillId="15" borderId="9" xfId="5" applyBorder="1" applyAlignment="1">
      <alignment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6" fontId="13" fillId="0" borderId="0" xfId="0" applyNumberFormat="1" applyFont="1" applyAlignment="1">
      <alignment horizontal="center" shrinkToFit="1"/>
    </xf>
    <xf numFmtId="26" fontId="13" fillId="0" borderId="0" xfId="0" applyNumberFormat="1" applyFont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0" fontId="29" fillId="15" borderId="2" xfId="5" applyBorder="1" applyAlignment="1">
      <alignment horizontal="center" shrinkToFit="1"/>
    </xf>
    <xf numFmtId="0" fontId="29" fillId="15" borderId="29" xfId="5" applyBorder="1" applyAlignment="1">
      <alignment horizontal="center" shrinkToFit="1"/>
    </xf>
    <xf numFmtId="0" fontId="29" fillId="15" borderId="17" xfId="5" applyBorder="1" applyAlignment="1">
      <alignment horizontal="center" shrinkToFit="1"/>
    </xf>
    <xf numFmtId="0" fontId="29" fillId="15" borderId="51" xfId="5" applyBorder="1" applyAlignment="1">
      <alignment horizontal="left" shrinkToFit="1"/>
    </xf>
    <xf numFmtId="0" fontId="29" fillId="15" borderId="37" xfId="5" applyBorder="1" applyAlignment="1">
      <alignment horizontal="left" shrinkToFit="1"/>
    </xf>
    <xf numFmtId="0" fontId="29" fillId="15" borderId="47" xfId="5" applyBorder="1" applyAlignment="1">
      <alignment horizontal="left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</cellXfs>
  <cellStyles count="6">
    <cellStyle name="Check Cell" xfId="1" builtinId="23"/>
    <cellStyle name="Currency [0]" xfId="2" builtinId="7"/>
    <cellStyle name="Good" xfId="4" builtinId="26"/>
    <cellStyle name="Neutral" xfId="5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T9" sqref="T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97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98</v>
      </c>
      <c r="K2" s="294"/>
      <c r="L2" s="296" t="s">
        <v>96</v>
      </c>
      <c r="M2" s="297"/>
      <c r="N2" s="295"/>
      <c r="O2" s="293" t="s">
        <v>99</v>
      </c>
      <c r="P2" s="293"/>
      <c r="Q2" s="294"/>
      <c r="R2" s="296" t="s">
        <v>51</v>
      </c>
      <c r="S2" s="295"/>
      <c r="T2" s="298">
        <v>6</v>
      </c>
      <c r="U2" s="298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 t="s">
        <v>100</v>
      </c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2" t="s">
        <v>8</v>
      </c>
      <c r="P4" s="302"/>
      <c r="Q4" s="30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12662</v>
      </c>
      <c r="C5" s="59" t="s">
        <v>106</v>
      </c>
      <c r="D5" s="190" t="s">
        <v>148</v>
      </c>
      <c r="E5" s="171" t="s">
        <v>91</v>
      </c>
      <c r="F5" s="160">
        <v>820</v>
      </c>
      <c r="G5" s="109" t="s">
        <v>107</v>
      </c>
      <c r="H5" s="82"/>
      <c r="I5" s="115">
        <v>150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303"/>
      <c r="P5" s="304"/>
      <c r="Q5" s="305"/>
      <c r="R5" s="32" t="s">
        <v>99</v>
      </c>
      <c r="S5" s="30">
        <v>0.33333333333333331</v>
      </c>
      <c r="T5" s="31">
        <v>0.6875</v>
      </c>
      <c r="U5" s="83">
        <f t="shared" ref="U5:U15" si="0">(T5-S5)*24</f>
        <v>8.5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12663</v>
      </c>
      <c r="C6" s="58" t="s">
        <v>108</v>
      </c>
      <c r="D6" s="190" t="s">
        <v>109</v>
      </c>
      <c r="E6" s="171" t="s">
        <v>91</v>
      </c>
      <c r="F6" s="161">
        <v>820</v>
      </c>
      <c r="G6" s="109" t="s">
        <v>110</v>
      </c>
      <c r="H6" s="82"/>
      <c r="I6" s="115"/>
      <c r="J6" s="120" t="str">
        <f t="shared" ref="J6:J29" si="1">IF(G6="RSL","55","0")</f>
        <v>0</v>
      </c>
      <c r="K6" s="120">
        <v>62.5</v>
      </c>
      <c r="L6" s="121"/>
      <c r="M6" s="121"/>
      <c r="N6" s="124" t="s">
        <v>99</v>
      </c>
      <c r="O6" s="306" t="s">
        <v>111</v>
      </c>
      <c r="P6" s="307"/>
      <c r="Q6" s="308"/>
      <c r="R6" s="122" t="s">
        <v>101</v>
      </c>
      <c r="S6" s="30">
        <v>0.33333333333333331</v>
      </c>
      <c r="T6" s="31">
        <v>0.6875</v>
      </c>
      <c r="U6" s="83">
        <f t="shared" si="0"/>
        <v>8.5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249">
        <v>12664</v>
      </c>
      <c r="C7" s="250" t="s">
        <v>112</v>
      </c>
      <c r="D7" s="251" t="s">
        <v>113</v>
      </c>
      <c r="E7" s="252" t="s">
        <v>92</v>
      </c>
      <c r="F7" s="253">
        <v>830</v>
      </c>
      <c r="G7" s="249" t="s">
        <v>114</v>
      </c>
      <c r="H7" s="254"/>
      <c r="I7" s="254"/>
      <c r="J7" s="254" t="str">
        <f t="shared" si="1"/>
        <v>0</v>
      </c>
      <c r="K7" s="254">
        <v>79.16</v>
      </c>
      <c r="L7" s="255"/>
      <c r="M7" s="255">
        <v>475</v>
      </c>
      <c r="N7" s="256" t="s">
        <v>99</v>
      </c>
      <c r="O7" s="309" t="s">
        <v>115</v>
      </c>
      <c r="P7" s="310"/>
      <c r="Q7" s="311"/>
      <c r="R7" s="124" t="s">
        <v>102</v>
      </c>
      <c r="S7" s="30">
        <v>0.375</v>
      </c>
      <c r="T7" s="31">
        <v>0.625</v>
      </c>
      <c r="U7" s="83">
        <f t="shared" si="0"/>
        <v>6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12665</v>
      </c>
      <c r="C8" s="26" t="s">
        <v>116</v>
      </c>
      <c r="D8" s="190" t="s">
        <v>117</v>
      </c>
      <c r="E8" s="171" t="s">
        <v>92</v>
      </c>
      <c r="F8" s="161">
        <v>900</v>
      </c>
      <c r="G8" s="109" t="s">
        <v>118</v>
      </c>
      <c r="H8" s="82"/>
      <c r="I8" s="115">
        <v>95</v>
      </c>
      <c r="J8" s="120" t="str">
        <f t="shared" si="1"/>
        <v>0</v>
      </c>
      <c r="K8" s="120" t="str">
        <f t="shared" ref="K8:K29" si="2">IF(G8="GVS","37.5",IF(G8="GVM","41.5",IF(G8="GVL","50",IF(G8="PCS","45.8",IF(G8="PCM","50",IF(G8="PCL","58.3","0"))))))</f>
        <v>0</v>
      </c>
      <c r="L8" s="121"/>
      <c r="M8" s="121"/>
      <c r="N8" s="124" t="s">
        <v>99</v>
      </c>
      <c r="O8" s="312"/>
      <c r="P8" s="313"/>
      <c r="Q8" s="314"/>
      <c r="R8" s="25" t="s">
        <v>103</v>
      </c>
      <c r="S8" s="30">
        <v>0.375</v>
      </c>
      <c r="T8" s="31">
        <v>0.6875</v>
      </c>
      <c r="U8" s="83">
        <f t="shared" si="0"/>
        <v>7.5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12666</v>
      </c>
      <c r="C9" s="54" t="s">
        <v>119</v>
      </c>
      <c r="D9" s="191" t="s">
        <v>120</v>
      </c>
      <c r="E9" s="171" t="s">
        <v>91</v>
      </c>
      <c r="F9" s="162">
        <v>930</v>
      </c>
      <c r="G9" s="110" t="s">
        <v>118</v>
      </c>
      <c r="H9" s="82">
        <v>95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12"/>
      <c r="P9" s="313"/>
      <c r="Q9" s="314"/>
      <c r="R9" s="25" t="s">
        <v>104</v>
      </c>
      <c r="S9" s="30">
        <v>0.45833333333333331</v>
      </c>
      <c r="T9" s="31">
        <v>0.6875</v>
      </c>
      <c r="U9" s="83">
        <f t="shared" si="0"/>
        <v>5.5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12667</v>
      </c>
      <c r="C10" s="27" t="s">
        <v>121</v>
      </c>
      <c r="D10" s="192" t="s">
        <v>122</v>
      </c>
      <c r="E10" s="171" t="s">
        <v>92</v>
      </c>
      <c r="F10" s="163">
        <v>1000</v>
      </c>
      <c r="G10" s="111" t="s">
        <v>118</v>
      </c>
      <c r="H10" s="114">
        <v>95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99"/>
      <c r="P10" s="300"/>
      <c r="Q10" s="301"/>
      <c r="R10" s="25" t="s">
        <v>105</v>
      </c>
      <c r="S10" s="30">
        <v>0.375</v>
      </c>
      <c r="T10" s="31">
        <v>0.47916666666666669</v>
      </c>
      <c r="U10" s="83">
        <f t="shared" si="0"/>
        <v>2.5000000000000004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12668</v>
      </c>
      <c r="C11" s="17" t="s">
        <v>123</v>
      </c>
      <c r="D11" s="193" t="s">
        <v>124</v>
      </c>
      <c r="E11" s="171" t="s">
        <v>91</v>
      </c>
      <c r="F11" s="57">
        <v>1000</v>
      </c>
      <c r="G11" s="112" t="s">
        <v>118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317"/>
      <c r="P11" s="318"/>
      <c r="Q11" s="319"/>
      <c r="R11" s="25"/>
      <c r="S11" s="30">
        <v>0.625</v>
      </c>
      <c r="T11" s="31">
        <v>0.6875</v>
      </c>
      <c r="U11" s="83">
        <f t="shared" si="0"/>
        <v>1.5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12669</v>
      </c>
      <c r="C12" s="55" t="s">
        <v>125</v>
      </c>
      <c r="D12" s="194" t="s">
        <v>126</v>
      </c>
      <c r="E12" s="171" t="s">
        <v>91</v>
      </c>
      <c r="F12" s="163">
        <v>1045</v>
      </c>
      <c r="G12" s="110" t="s">
        <v>114</v>
      </c>
      <c r="H12" s="114"/>
      <c r="I12" s="116"/>
      <c r="J12" s="120" t="str">
        <f t="shared" si="1"/>
        <v>0</v>
      </c>
      <c r="K12" s="120">
        <v>79.16</v>
      </c>
      <c r="L12" s="121"/>
      <c r="M12" s="121"/>
      <c r="N12" s="124" t="s">
        <v>99</v>
      </c>
      <c r="O12" s="317" t="s">
        <v>127</v>
      </c>
      <c r="P12" s="318"/>
      <c r="Q12" s="319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12670</v>
      </c>
      <c r="C13" s="55" t="s">
        <v>128</v>
      </c>
      <c r="D13" s="194" t="s">
        <v>129</v>
      </c>
      <c r="E13" s="171" t="s">
        <v>92</v>
      </c>
      <c r="F13" s="163">
        <v>1115</v>
      </c>
      <c r="G13" s="110" t="s">
        <v>118</v>
      </c>
      <c r="H13" s="159">
        <v>95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317"/>
      <c r="P13" s="318"/>
      <c r="Q13" s="319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257">
        <v>10</v>
      </c>
      <c r="B14" s="258">
        <v>12671</v>
      </c>
      <c r="C14" s="259" t="s">
        <v>130</v>
      </c>
      <c r="D14" s="260" t="s">
        <v>131</v>
      </c>
      <c r="E14" s="252" t="s">
        <v>91</v>
      </c>
      <c r="F14" s="261">
        <v>1130</v>
      </c>
      <c r="G14" s="249" t="s">
        <v>114</v>
      </c>
      <c r="H14" s="262"/>
      <c r="I14" s="262"/>
      <c r="J14" s="254" t="str">
        <f t="shared" si="1"/>
        <v>0</v>
      </c>
      <c r="K14" s="254">
        <v>79.16</v>
      </c>
      <c r="L14" s="255"/>
      <c r="M14" s="255">
        <v>475</v>
      </c>
      <c r="N14" s="256" t="s">
        <v>99</v>
      </c>
      <c r="O14" s="309" t="s">
        <v>132</v>
      </c>
      <c r="P14" s="310"/>
      <c r="Q14" s="311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12672</v>
      </c>
      <c r="C15" s="56" t="s">
        <v>138</v>
      </c>
      <c r="D15" s="195" t="s">
        <v>139</v>
      </c>
      <c r="E15" s="171" t="s">
        <v>92</v>
      </c>
      <c r="F15" s="164">
        <v>1130</v>
      </c>
      <c r="G15" s="113" t="s">
        <v>118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317"/>
      <c r="P15" s="318"/>
      <c r="Q15" s="319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12673</v>
      </c>
      <c r="C16" s="56" t="s">
        <v>133</v>
      </c>
      <c r="D16" s="195" t="s">
        <v>134</v>
      </c>
      <c r="E16" s="171" t="s">
        <v>92</v>
      </c>
      <c r="F16" s="164">
        <v>1150</v>
      </c>
      <c r="G16" s="113" t="s">
        <v>118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317"/>
      <c r="P16" s="318"/>
      <c r="Q16" s="319"/>
      <c r="R16" s="73">
        <f>H32/U16</f>
        <v>0.42499999999999999</v>
      </c>
      <c r="S16" s="74">
        <f>H32/(U16-U5)</f>
        <v>0.53968253968253965</v>
      </c>
      <c r="T16" s="74">
        <f>C32/U16</f>
        <v>37.601999999999997</v>
      </c>
      <c r="U16" s="74">
        <f>SUM(U5:U15)</f>
        <v>40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12674</v>
      </c>
      <c r="C17" s="17" t="s">
        <v>140</v>
      </c>
      <c r="D17" s="193" t="s">
        <v>141</v>
      </c>
      <c r="E17" s="171" t="s">
        <v>92</v>
      </c>
      <c r="F17" s="57">
        <v>1210</v>
      </c>
      <c r="G17" s="112" t="s">
        <v>142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317"/>
      <c r="P17" s="318"/>
      <c r="Q17" s="319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258">
        <v>12675</v>
      </c>
      <c r="C18" s="263" t="s">
        <v>135</v>
      </c>
      <c r="D18" s="264" t="s">
        <v>136</v>
      </c>
      <c r="E18" s="252" t="s">
        <v>91</v>
      </c>
      <c r="F18" s="265">
        <v>1215</v>
      </c>
      <c r="G18" s="258" t="s">
        <v>114</v>
      </c>
      <c r="H18" s="262"/>
      <c r="I18" s="254"/>
      <c r="J18" s="254" t="str">
        <f t="shared" si="1"/>
        <v>0</v>
      </c>
      <c r="K18" s="254">
        <v>116.6</v>
      </c>
      <c r="L18" s="255">
        <v>475</v>
      </c>
      <c r="M18" s="255"/>
      <c r="N18" s="256" t="s">
        <v>99</v>
      </c>
      <c r="O18" s="309" t="s">
        <v>137</v>
      </c>
      <c r="P18" s="310"/>
      <c r="Q18" s="311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12676</v>
      </c>
      <c r="C19" s="17" t="s">
        <v>146</v>
      </c>
      <c r="D19" s="193" t="s">
        <v>147</v>
      </c>
      <c r="E19" s="171" t="s">
        <v>91</v>
      </c>
      <c r="F19" s="57">
        <v>1300</v>
      </c>
      <c r="G19" s="112" t="s">
        <v>118</v>
      </c>
      <c r="H19" s="114">
        <v>75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317"/>
      <c r="P19" s="318"/>
      <c r="Q19" s="318"/>
      <c r="R19" s="84" t="s">
        <v>45</v>
      </c>
      <c r="S19" s="85">
        <f>COUNT(L5:M29,L37:M61,L69:M93)</f>
        <v>3</v>
      </c>
      <c r="T19" s="107">
        <f>SUM(L5:M29,L37:M61,L69:M93)</f>
        <v>1425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12677</v>
      </c>
      <c r="C20" s="17" t="s">
        <v>143</v>
      </c>
      <c r="D20" s="193" t="s">
        <v>144</v>
      </c>
      <c r="E20" s="171" t="s">
        <v>91</v>
      </c>
      <c r="F20" s="57">
        <v>1315</v>
      </c>
      <c r="G20" s="112" t="s">
        <v>145</v>
      </c>
      <c r="H20" s="114">
        <v>80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320"/>
      <c r="P20" s="321"/>
      <c r="Q20" s="32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12678</v>
      </c>
      <c r="C21" s="17" t="s">
        <v>149</v>
      </c>
      <c r="D21" s="193" t="s">
        <v>150</v>
      </c>
      <c r="E21" s="171" t="s">
        <v>92</v>
      </c>
      <c r="F21" s="57">
        <v>1430</v>
      </c>
      <c r="G21" s="19" t="s">
        <v>110</v>
      </c>
      <c r="H21" s="114"/>
      <c r="I21" s="115"/>
      <c r="J21" s="120" t="str">
        <f t="shared" si="1"/>
        <v>0</v>
      </c>
      <c r="K21" s="120">
        <v>62.5</v>
      </c>
      <c r="L21" s="121"/>
      <c r="M21" s="121"/>
      <c r="N21" s="124" t="s">
        <v>99</v>
      </c>
      <c r="O21" s="317" t="s">
        <v>151</v>
      </c>
      <c r="P21" s="318"/>
      <c r="Q21" s="318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17"/>
      <c r="P22" s="318"/>
      <c r="Q22" s="319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15"/>
      <c r="Y23" s="316"/>
      <c r="Z23" s="316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17"/>
      <c r="P24" s="318"/>
      <c r="Q24" s="319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7"/>
      <c r="P25" s="318"/>
      <c r="Q25" s="319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2">
        <f>((C32+(R26+S26+T26)*0.5))</f>
        <v>1504.08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7"/>
      <c r="P26" s="318"/>
      <c r="Q26" s="319"/>
      <c r="R26" s="103">
        <f>R25*37.5</f>
        <v>0</v>
      </c>
      <c r="S26" s="93">
        <f>S25*41.5</f>
        <v>0</v>
      </c>
      <c r="T26" s="93">
        <f>T25*50</f>
        <v>0</v>
      </c>
      <c r="U26" s="32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7"/>
      <c r="P27" s="318"/>
      <c r="Q27" s="319"/>
      <c r="R27" s="331" t="s">
        <v>56</v>
      </c>
      <c r="S27" s="332"/>
      <c r="T27" s="332"/>
      <c r="U27" s="33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7"/>
      <c r="P28" s="318"/>
      <c r="Q28" s="319"/>
      <c r="R28" s="324"/>
      <c r="S28" s="325"/>
      <c r="T28" s="32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0"/>
      <c r="P29" s="341"/>
      <c r="Q29" s="342"/>
      <c r="R29" s="343"/>
      <c r="S29" s="344"/>
      <c r="T29" s="345"/>
      <c r="U29" s="140"/>
      <c r="X29" s="14">
        <v>3</v>
      </c>
      <c r="Z29" s="45"/>
      <c r="AE29" s="39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01">
        <f t="shared" ref="H30:M30" si="3">SUM(H5:H29)</f>
        <v>610</v>
      </c>
      <c r="I30" s="96">
        <f>SUM(I5:I29)</f>
        <v>415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479.08000000000004</v>
      </c>
      <c r="L30" s="97">
        <f t="shared" si="3"/>
        <v>475</v>
      </c>
      <c r="M30" s="97">
        <f t="shared" si="3"/>
        <v>950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9"/>
      <c r="S30" s="349"/>
      <c r="T30" s="350"/>
      <c r="U30" s="141"/>
      <c r="X30" s="14">
        <v>4</v>
      </c>
      <c r="Z30" s="45"/>
      <c r="AD30" s="46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02">
        <f t="shared" ref="H31:J31" si="4">H30+H62+H94</f>
        <v>610</v>
      </c>
      <c r="I31" s="94">
        <f t="shared" si="4"/>
        <v>415</v>
      </c>
      <c r="J31" s="94">
        <f t="shared" si="4"/>
        <v>0</v>
      </c>
      <c r="K31" s="94">
        <f>K30+K62+K94</f>
        <v>479.08000000000004</v>
      </c>
      <c r="L31" s="88">
        <f>L30+L62+L94</f>
        <v>475</v>
      </c>
      <c r="M31" s="88">
        <f>M30+M62+M94</f>
        <v>950</v>
      </c>
      <c r="N31" s="207">
        <f>COUNT(H5:H29,H37:H61,H69:H93)</f>
        <v>7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1085</v>
      </c>
      <c r="T31" s="336">
        <f>H31+I31+L31+M31</f>
        <v>2450</v>
      </c>
      <c r="U31" s="337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7" t="s">
        <v>55</v>
      </c>
      <c r="B32" s="328"/>
      <c r="C32" s="98">
        <f>H31+I31+J31+K31</f>
        <v>1504.08</v>
      </c>
      <c r="D32" s="186"/>
      <c r="E32" s="98"/>
      <c r="F32" s="329" t="s">
        <v>53</v>
      </c>
      <c r="G32" s="329"/>
      <c r="H32" s="100">
        <f>COUNT(B5:B29,B37:B61,B69:B93)</f>
        <v>17</v>
      </c>
      <c r="I32" s="330" t="s">
        <v>54</v>
      </c>
      <c r="J32" s="330"/>
      <c r="K32" s="99">
        <f>C32/H32</f>
        <v>88.475294117647053</v>
      </c>
      <c r="L32" s="208"/>
      <c r="M32" s="208"/>
      <c r="N32" s="208">
        <f>H31/C32</f>
        <v>0.40556353385458221</v>
      </c>
      <c r="O32" s="208">
        <f>I31/C32</f>
        <v>0.27591617467156004</v>
      </c>
      <c r="P32" s="208">
        <f>K31/C32</f>
        <v>0.3185202914738578</v>
      </c>
      <c r="Q32" s="101">
        <f>J31/C32</f>
        <v>0</v>
      </c>
      <c r="R32" s="90" t="s">
        <v>82</v>
      </c>
      <c r="S32" s="203">
        <f>I31+M31</f>
        <v>1365</v>
      </c>
      <c r="T32" s="338"/>
      <c r="U32" s="339"/>
      <c r="V32" s="39"/>
      <c r="W32" s="39"/>
      <c r="X32" s="48" t="s">
        <v>27</v>
      </c>
      <c r="Y32" s="48"/>
      <c r="Z32" s="47">
        <f>I31</f>
        <v>415</v>
      </c>
    </row>
    <row r="33" spans="1:33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49" t="s">
        <v>29</v>
      </c>
      <c r="Y33" s="49"/>
      <c r="Z33" s="50">
        <f>SUM(Z31:Z32)</f>
        <v>-2330</v>
      </c>
      <c r="AG33" s="35"/>
    </row>
    <row r="34" spans="1:33" ht="17.25" thickBot="1" x14ac:dyDescent="0.35">
      <c r="A34" s="292" t="str">
        <f>A2</f>
        <v>5 - 12 - 2022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SUNNY</v>
      </c>
      <c r="K34" s="294"/>
      <c r="L34" s="296" t="s">
        <v>50</v>
      </c>
      <c r="M34" s="297"/>
      <c r="N34" s="295"/>
      <c r="O34" s="293" t="str">
        <f>O2</f>
        <v>JOHN</v>
      </c>
      <c r="P34" s="293"/>
      <c r="Q34" s="294"/>
      <c r="R34" s="296" t="s">
        <v>51</v>
      </c>
      <c r="S34" s="295"/>
      <c r="T34" s="298">
        <f>T2</f>
        <v>6</v>
      </c>
      <c r="U34" s="298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2" t="s">
        <v>8</v>
      </c>
      <c r="P36" s="302"/>
      <c r="Q36" s="30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7"/>
      <c r="P37" s="318"/>
      <c r="Q37" s="319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06"/>
      <c r="P38" s="307"/>
      <c r="Q38" s="308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7"/>
      <c r="P39" s="318"/>
      <c r="Q39" s="319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2"/>
      <c r="P40" s="313"/>
      <c r="Q40" s="31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2"/>
      <c r="P41" s="313"/>
      <c r="Q41" s="31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9"/>
      <c r="P42" s="300"/>
      <c r="Q42" s="301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7"/>
      <c r="P43" s="318"/>
      <c r="Q43" s="319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7"/>
      <c r="P44" s="318"/>
      <c r="Q44" s="319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7"/>
      <c r="P45" s="318"/>
      <c r="Q45" s="319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7"/>
      <c r="P46" s="318"/>
      <c r="Q46" s="319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7"/>
      <c r="P47" s="318"/>
      <c r="Q47" s="319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7"/>
      <c r="P48" s="318"/>
      <c r="Q48" s="319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7"/>
      <c r="P49" s="318"/>
      <c r="Q49" s="319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7"/>
      <c r="P50" s="318"/>
      <c r="Q50" s="319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7"/>
      <c r="P51" s="318"/>
      <c r="Q51" s="318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7"/>
      <c r="P52" s="318"/>
      <c r="Q52" s="318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53"/>
      <c r="P53" s="317"/>
      <c r="Q53" s="317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53"/>
      <c r="P54" s="317"/>
      <c r="Q54" s="317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53"/>
      <c r="P55" s="317"/>
      <c r="Q55" s="317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8"/>
      <c r="P56" s="318"/>
      <c r="Q56" s="318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7"/>
      <c r="P57" s="318"/>
      <c r="Q57" s="318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8"/>
      <c r="P58" s="318"/>
      <c r="Q58" s="318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8"/>
      <c r="P59" s="318"/>
      <c r="Q59" s="318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7"/>
      <c r="P60" s="318"/>
      <c r="Q60" s="319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54"/>
      <c r="P61" s="355"/>
      <c r="Q61" s="356"/>
      <c r="R61" s="72"/>
      <c r="S61" s="59"/>
      <c r="T61" s="59"/>
      <c r="U61" s="68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5 - 12 - 2022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SUNNY</v>
      </c>
      <c r="K66" s="294"/>
      <c r="L66" s="296" t="s">
        <v>50</v>
      </c>
      <c r="M66" s="297"/>
      <c r="N66" s="295"/>
      <c r="O66" s="293" t="str">
        <f>O34</f>
        <v>JOHN</v>
      </c>
      <c r="P66" s="293"/>
      <c r="Q66" s="294"/>
      <c r="R66" s="296" t="s">
        <v>51</v>
      </c>
      <c r="S66" s="295"/>
      <c r="T66" s="298">
        <f>T34</f>
        <v>6</v>
      </c>
      <c r="U66" s="298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2" t="s">
        <v>8</v>
      </c>
      <c r="P68" s="302"/>
      <c r="Q68" s="30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7"/>
      <c r="P69" s="318"/>
      <c r="Q69" s="319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06"/>
      <c r="P70" s="307"/>
      <c r="Q70" s="308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7"/>
      <c r="P71" s="318"/>
      <c r="Q71" s="319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2"/>
      <c r="P72" s="313"/>
      <c r="Q72" s="31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2"/>
      <c r="P73" s="313"/>
      <c r="Q73" s="31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9"/>
      <c r="P74" s="300"/>
      <c r="Q74" s="301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7"/>
      <c r="P75" s="318"/>
      <c r="Q75" s="319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7"/>
      <c r="P76" s="318"/>
      <c r="Q76" s="319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7"/>
      <c r="P77" s="318"/>
      <c r="Q77" s="319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7"/>
      <c r="P78" s="318"/>
      <c r="Q78" s="319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7"/>
      <c r="P79" s="318"/>
      <c r="Q79" s="319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7"/>
      <c r="P80" s="318"/>
      <c r="Q80" s="319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7"/>
      <c r="P81" s="318"/>
      <c r="Q81" s="319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7"/>
      <c r="P82" s="318"/>
      <c r="Q82" s="319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7"/>
      <c r="P83" s="318"/>
      <c r="Q83" s="318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7"/>
      <c r="P84" s="318"/>
      <c r="Q84" s="318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53"/>
      <c r="P85" s="317"/>
      <c r="Q85" s="317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53"/>
      <c r="P86" s="317"/>
      <c r="Q86" s="317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53"/>
      <c r="P87" s="317"/>
      <c r="Q87" s="317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8"/>
      <c r="P88" s="318"/>
      <c r="Q88" s="318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7"/>
      <c r="P89" s="318"/>
      <c r="Q89" s="318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8"/>
      <c r="P90" s="318"/>
      <c r="Q90" s="318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8"/>
      <c r="P91" s="318"/>
      <c r="Q91" s="318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7"/>
      <c r="P92" s="318"/>
      <c r="Q92" s="319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54"/>
      <c r="P93" s="355"/>
      <c r="Q93" s="356"/>
      <c r="R93" s="72"/>
      <c r="S93" s="59"/>
      <c r="T93" s="59"/>
      <c r="U93" s="68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S16" sqref="S1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152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98</v>
      </c>
      <c r="K2" s="294"/>
      <c r="L2" s="296" t="s">
        <v>96</v>
      </c>
      <c r="M2" s="297"/>
      <c r="N2" s="295"/>
      <c r="O2" s="293" t="s">
        <v>101</v>
      </c>
      <c r="P2" s="293"/>
      <c r="Q2" s="294"/>
      <c r="R2" s="296" t="s">
        <v>51</v>
      </c>
      <c r="S2" s="295"/>
      <c r="T2" s="298">
        <v>6</v>
      </c>
      <c r="U2" s="298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2" t="s">
        <v>8</v>
      </c>
      <c r="P4" s="302"/>
      <c r="Q4" s="30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12679</v>
      </c>
      <c r="C5" s="59" t="s">
        <v>154</v>
      </c>
      <c r="D5" s="190" t="s">
        <v>155</v>
      </c>
      <c r="E5" s="171" t="s">
        <v>91</v>
      </c>
      <c r="F5" s="160">
        <v>915</v>
      </c>
      <c r="G5" s="109" t="s">
        <v>107</v>
      </c>
      <c r="H5" s="82"/>
      <c r="I5" s="115">
        <v>120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101</v>
      </c>
      <c r="O5" s="303"/>
      <c r="P5" s="304"/>
      <c r="Q5" s="305"/>
      <c r="R5" s="122" t="s">
        <v>101</v>
      </c>
      <c r="S5" s="30">
        <v>0.33333333333333331</v>
      </c>
      <c r="T5" s="31">
        <v>0.6875</v>
      </c>
      <c r="U5" s="83">
        <f t="shared" ref="U5:U15" si="0">(T5-S5)*24</f>
        <v>8.5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12680</v>
      </c>
      <c r="C6" s="58" t="s">
        <v>156</v>
      </c>
      <c r="D6" s="190" t="s">
        <v>157</v>
      </c>
      <c r="E6" s="171" t="s">
        <v>91</v>
      </c>
      <c r="F6" s="161">
        <v>920</v>
      </c>
      <c r="G6" s="109" t="s">
        <v>118</v>
      </c>
      <c r="H6" s="82">
        <v>95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153</v>
      </c>
      <c r="O6" s="306"/>
      <c r="P6" s="307"/>
      <c r="Q6" s="308"/>
      <c r="R6" s="124" t="s">
        <v>102</v>
      </c>
      <c r="S6" s="30">
        <v>0.35416666666666669</v>
      </c>
      <c r="T6" s="31">
        <v>0.625</v>
      </c>
      <c r="U6" s="83">
        <f t="shared" si="0"/>
        <v>6.5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12681</v>
      </c>
      <c r="C7" s="58" t="s">
        <v>179</v>
      </c>
      <c r="D7" s="190" t="s">
        <v>180</v>
      </c>
      <c r="E7" s="171" t="s">
        <v>92</v>
      </c>
      <c r="F7" s="161">
        <v>930</v>
      </c>
      <c r="G7" s="109" t="s">
        <v>142</v>
      </c>
      <c r="H7" s="82"/>
      <c r="I7" s="115">
        <v>75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101</v>
      </c>
      <c r="O7" s="317"/>
      <c r="P7" s="318"/>
      <c r="Q7" s="319"/>
      <c r="R7" s="25" t="s">
        <v>104</v>
      </c>
      <c r="S7" s="30">
        <v>0.4375</v>
      </c>
      <c r="T7" s="31">
        <v>0.6875</v>
      </c>
      <c r="U7" s="83">
        <f t="shared" si="0"/>
        <v>6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12682</v>
      </c>
      <c r="C8" s="26" t="s">
        <v>158</v>
      </c>
      <c r="D8" s="190" t="s">
        <v>159</v>
      </c>
      <c r="E8" s="171" t="s">
        <v>92</v>
      </c>
      <c r="F8" s="161">
        <v>1000</v>
      </c>
      <c r="G8" s="109" t="s">
        <v>160</v>
      </c>
      <c r="H8" s="82">
        <v>220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101</v>
      </c>
      <c r="O8" s="312"/>
      <c r="P8" s="313"/>
      <c r="Q8" s="314"/>
      <c r="R8" s="25" t="s">
        <v>105</v>
      </c>
      <c r="S8" s="30">
        <v>0.375</v>
      </c>
      <c r="T8" s="31">
        <v>0.64583333333333337</v>
      </c>
      <c r="U8" s="83">
        <f t="shared" si="0"/>
        <v>6.5000000000000009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12683</v>
      </c>
      <c r="C9" s="54" t="s">
        <v>161</v>
      </c>
      <c r="D9" s="191" t="s">
        <v>162</v>
      </c>
      <c r="E9" s="171" t="s">
        <v>91</v>
      </c>
      <c r="F9" s="162">
        <v>1000</v>
      </c>
      <c r="G9" s="110" t="s">
        <v>107</v>
      </c>
      <c r="H9" s="82">
        <v>100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101</v>
      </c>
      <c r="O9" s="312"/>
      <c r="P9" s="313"/>
      <c r="Q9" s="314"/>
      <c r="R9" s="25" t="s">
        <v>153</v>
      </c>
      <c r="S9" s="30">
        <v>0.35416666666666669</v>
      </c>
      <c r="T9" s="31">
        <v>0.66666666666666663</v>
      </c>
      <c r="U9" s="83">
        <f t="shared" si="0"/>
        <v>7.4999999999999982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12684</v>
      </c>
      <c r="C10" s="27" t="s">
        <v>174</v>
      </c>
      <c r="D10" s="192" t="s">
        <v>175</v>
      </c>
      <c r="E10" s="171" t="s">
        <v>92</v>
      </c>
      <c r="F10" s="163">
        <v>1015</v>
      </c>
      <c r="G10" s="111" t="s">
        <v>118</v>
      </c>
      <c r="H10" s="114"/>
      <c r="I10" s="116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101</v>
      </c>
      <c r="O10" s="299"/>
      <c r="P10" s="300"/>
      <c r="Q10" s="301"/>
      <c r="R10" s="25" t="s">
        <v>198</v>
      </c>
      <c r="S10" s="30">
        <v>0.41666666666666669</v>
      </c>
      <c r="T10" s="31">
        <v>0.64583333333333337</v>
      </c>
      <c r="U10" s="83">
        <f t="shared" si="0"/>
        <v>5.5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257">
        <v>7</v>
      </c>
      <c r="B11" s="249">
        <v>12685</v>
      </c>
      <c r="C11" s="263" t="s">
        <v>163</v>
      </c>
      <c r="D11" s="264" t="s">
        <v>164</v>
      </c>
      <c r="E11" s="252" t="s">
        <v>92</v>
      </c>
      <c r="F11" s="265">
        <v>1030</v>
      </c>
      <c r="G11" s="266" t="s">
        <v>114</v>
      </c>
      <c r="H11" s="262"/>
      <c r="I11" s="254"/>
      <c r="J11" s="254" t="str">
        <f t="shared" si="1"/>
        <v>0</v>
      </c>
      <c r="K11" s="254">
        <v>79.16</v>
      </c>
      <c r="L11" s="255"/>
      <c r="M11" s="255">
        <v>475</v>
      </c>
      <c r="N11" s="256" t="s">
        <v>101</v>
      </c>
      <c r="O11" s="309" t="s">
        <v>165</v>
      </c>
      <c r="P11" s="310"/>
      <c r="Q11" s="311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12686</v>
      </c>
      <c r="C12" s="55" t="s">
        <v>166</v>
      </c>
      <c r="D12" s="194" t="s">
        <v>167</v>
      </c>
      <c r="E12" s="171" t="s">
        <v>91</v>
      </c>
      <c r="F12" s="163">
        <v>1030</v>
      </c>
      <c r="G12" s="110" t="s">
        <v>107</v>
      </c>
      <c r="H12" s="114">
        <v>100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101</v>
      </c>
      <c r="O12" s="317"/>
      <c r="P12" s="318"/>
      <c r="Q12" s="319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267">
        <v>9</v>
      </c>
      <c r="B13" s="268">
        <v>12687</v>
      </c>
      <c r="C13" s="269" t="s">
        <v>168</v>
      </c>
      <c r="D13" s="270" t="s">
        <v>169</v>
      </c>
      <c r="E13" s="271" t="s">
        <v>91</v>
      </c>
      <c r="F13" s="272">
        <v>1030</v>
      </c>
      <c r="G13" s="273" t="s">
        <v>107</v>
      </c>
      <c r="H13" s="274">
        <v>100</v>
      </c>
      <c r="I13" s="275"/>
      <c r="J13" s="276" t="str">
        <f t="shared" si="1"/>
        <v>0</v>
      </c>
      <c r="K13" s="276" t="str">
        <f t="shared" si="2"/>
        <v>0</v>
      </c>
      <c r="L13" s="277"/>
      <c r="M13" s="277"/>
      <c r="N13" s="278" t="s">
        <v>101</v>
      </c>
      <c r="O13" s="383" t="s">
        <v>170</v>
      </c>
      <c r="P13" s="384"/>
      <c r="Q13" s="385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12688</v>
      </c>
      <c r="C14" s="56" t="s">
        <v>171</v>
      </c>
      <c r="D14" s="195" t="s">
        <v>172</v>
      </c>
      <c r="E14" s="171" t="s">
        <v>92</v>
      </c>
      <c r="F14" s="164">
        <v>1045</v>
      </c>
      <c r="G14" s="113" t="s">
        <v>118</v>
      </c>
      <c r="H14" s="114">
        <v>95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101</v>
      </c>
      <c r="O14" s="317"/>
      <c r="P14" s="318"/>
      <c r="Q14" s="319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12689</v>
      </c>
      <c r="C15" s="56" t="s">
        <v>176</v>
      </c>
      <c r="D15" s="195" t="s">
        <v>126</v>
      </c>
      <c r="E15" s="171" t="s">
        <v>92</v>
      </c>
      <c r="F15" s="164">
        <v>1100</v>
      </c>
      <c r="G15" s="113" t="s">
        <v>114</v>
      </c>
      <c r="H15" s="114"/>
      <c r="I15" s="115"/>
      <c r="J15" s="120" t="str">
        <f t="shared" si="1"/>
        <v>0</v>
      </c>
      <c r="K15" s="120">
        <v>79.16</v>
      </c>
      <c r="L15" s="121"/>
      <c r="M15" s="121"/>
      <c r="N15" s="124" t="s">
        <v>101</v>
      </c>
      <c r="O15" s="317" t="s">
        <v>177</v>
      </c>
      <c r="P15" s="318"/>
      <c r="Q15" s="319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12690</v>
      </c>
      <c r="C16" s="56" t="s">
        <v>178</v>
      </c>
      <c r="D16" s="195" t="s">
        <v>173</v>
      </c>
      <c r="E16" s="171" t="s">
        <v>91</v>
      </c>
      <c r="F16" s="164">
        <v>1150</v>
      </c>
      <c r="G16" s="113" t="s">
        <v>118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101</v>
      </c>
      <c r="O16" s="317"/>
      <c r="P16" s="318"/>
      <c r="Q16" s="319"/>
      <c r="R16" s="73">
        <f>H32/U16</f>
        <v>0.39506172839506171</v>
      </c>
      <c r="S16" s="74">
        <f>H32/(U16-U5)</f>
        <v>0.5</v>
      </c>
      <c r="T16" s="74">
        <f>C32/U16</f>
        <v>37.592098765432098</v>
      </c>
      <c r="U16" s="74">
        <f>SUM(U5:U15)</f>
        <v>40.5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12691</v>
      </c>
      <c r="C17" s="17" t="s">
        <v>181</v>
      </c>
      <c r="D17" s="193" t="s">
        <v>182</v>
      </c>
      <c r="E17" s="171" t="s">
        <v>92</v>
      </c>
      <c r="F17" s="57">
        <v>1255</v>
      </c>
      <c r="G17" s="112" t="s">
        <v>142</v>
      </c>
      <c r="H17" s="114"/>
      <c r="I17" s="115">
        <v>55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153</v>
      </c>
      <c r="O17" s="317"/>
      <c r="P17" s="318"/>
      <c r="Q17" s="319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12692</v>
      </c>
      <c r="C18" s="17" t="s">
        <v>188</v>
      </c>
      <c r="D18" s="193" t="s">
        <v>189</v>
      </c>
      <c r="E18" s="171" t="s">
        <v>92</v>
      </c>
      <c r="F18" s="57">
        <v>1330</v>
      </c>
      <c r="G18" s="19" t="s">
        <v>142</v>
      </c>
      <c r="H18" s="114">
        <v>75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101</v>
      </c>
      <c r="O18" s="317"/>
      <c r="P18" s="318"/>
      <c r="Q18" s="319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257">
        <v>15</v>
      </c>
      <c r="B19" s="249">
        <v>12693</v>
      </c>
      <c r="C19" s="263" t="s">
        <v>183</v>
      </c>
      <c r="D19" s="264" t="s">
        <v>184</v>
      </c>
      <c r="E19" s="252" t="s">
        <v>91</v>
      </c>
      <c r="F19" s="265">
        <v>1355</v>
      </c>
      <c r="G19" s="266" t="s">
        <v>114</v>
      </c>
      <c r="H19" s="262"/>
      <c r="I19" s="254"/>
      <c r="J19" s="254" t="str">
        <f t="shared" si="1"/>
        <v>0</v>
      </c>
      <c r="K19" s="254">
        <v>79.16</v>
      </c>
      <c r="L19" s="255"/>
      <c r="M19" s="255">
        <v>475</v>
      </c>
      <c r="N19" s="256" t="s">
        <v>101</v>
      </c>
      <c r="O19" s="309" t="s">
        <v>185</v>
      </c>
      <c r="P19" s="310"/>
      <c r="Q19" s="310"/>
      <c r="R19" s="84" t="s">
        <v>45</v>
      </c>
      <c r="S19" s="85">
        <f>COUNT(L5:M29,L37:M61,L69:M93)</f>
        <v>2</v>
      </c>
      <c r="T19" s="107">
        <f>SUM(L5:M29,L37:M61,L69:M93)</f>
        <v>950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12694</v>
      </c>
      <c r="C20" s="17" t="s">
        <v>186</v>
      </c>
      <c r="D20" s="193" t="s">
        <v>187</v>
      </c>
      <c r="E20" s="171" t="s">
        <v>92</v>
      </c>
      <c r="F20" s="57">
        <v>1400</v>
      </c>
      <c r="G20" s="112" t="s">
        <v>145</v>
      </c>
      <c r="H20" s="114">
        <v>60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101</v>
      </c>
      <c r="O20" s="320"/>
      <c r="P20" s="321"/>
      <c r="Q20" s="32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317"/>
      <c r="P21" s="318"/>
      <c r="Q21" s="318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17"/>
      <c r="P22" s="318"/>
      <c r="Q22" s="319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15"/>
      <c r="Y23" s="316"/>
      <c r="Z23" s="316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17"/>
      <c r="P24" s="318"/>
      <c r="Q24" s="319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7"/>
      <c r="P25" s="318"/>
      <c r="Q25" s="319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2">
        <f>((C32+(R26+S26+T26)*0.5))</f>
        <v>1522.48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7"/>
      <c r="P26" s="318"/>
      <c r="Q26" s="319"/>
      <c r="R26" s="103">
        <f>R25*37.5</f>
        <v>0</v>
      </c>
      <c r="S26" s="93">
        <f>S25*41.5</f>
        <v>0</v>
      </c>
      <c r="T26" s="93">
        <f>T25*50</f>
        <v>0</v>
      </c>
      <c r="U26" s="32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7"/>
      <c r="P27" s="318"/>
      <c r="Q27" s="319"/>
      <c r="R27" s="331" t="s">
        <v>56</v>
      </c>
      <c r="S27" s="332"/>
      <c r="T27" s="332"/>
      <c r="U27" s="33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7"/>
      <c r="P28" s="318"/>
      <c r="Q28" s="319"/>
      <c r="R28" s="324"/>
      <c r="S28" s="325"/>
      <c r="T28" s="32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0"/>
      <c r="P29" s="341"/>
      <c r="Q29" s="342"/>
      <c r="R29" s="343"/>
      <c r="S29" s="344"/>
      <c r="T29" s="345"/>
      <c r="U29" s="140"/>
      <c r="X29" s="14">
        <v>3</v>
      </c>
      <c r="Z29" s="45"/>
      <c r="AE29" s="39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01">
        <f t="shared" ref="H30:M30" si="3">SUM(H5:H29)</f>
        <v>940</v>
      </c>
      <c r="I30" s="96">
        <f>SUM(I5:I29)</f>
        <v>345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237.48</v>
      </c>
      <c r="L30" s="97">
        <f t="shared" si="3"/>
        <v>0</v>
      </c>
      <c r="M30" s="97">
        <f t="shared" si="3"/>
        <v>950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9"/>
      <c r="S30" s="349"/>
      <c r="T30" s="350"/>
      <c r="U30" s="141"/>
      <c r="X30" s="14">
        <v>4</v>
      </c>
      <c r="Z30" s="45"/>
      <c r="AD30" s="46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02">
        <f t="shared" ref="H31:J31" si="4">H30+H62+H94</f>
        <v>940</v>
      </c>
      <c r="I31" s="94">
        <f t="shared" si="4"/>
        <v>345</v>
      </c>
      <c r="J31" s="94">
        <f t="shared" si="4"/>
        <v>0</v>
      </c>
      <c r="K31" s="94">
        <f>K30+K62+K94</f>
        <v>237.48</v>
      </c>
      <c r="L31" s="88">
        <f>L30+L62+L94</f>
        <v>0</v>
      </c>
      <c r="M31" s="88">
        <f>M30+M62+M94</f>
        <v>950</v>
      </c>
      <c r="N31" s="207">
        <f>COUNT(H5:H29,H37:H61,H69:H93)</f>
        <v>9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940</v>
      </c>
      <c r="T31" s="336">
        <f>H31+I31+L31+M31</f>
        <v>2235</v>
      </c>
      <c r="U31" s="337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7" t="s">
        <v>55</v>
      </c>
      <c r="B32" s="328"/>
      <c r="C32" s="98">
        <f>H31+I31+J31+K31</f>
        <v>1522.48</v>
      </c>
      <c r="D32" s="186"/>
      <c r="E32" s="98"/>
      <c r="F32" s="329" t="s">
        <v>53</v>
      </c>
      <c r="G32" s="329"/>
      <c r="H32" s="100">
        <f>COUNT(B5:B29,B37:B61,B69:B93)</f>
        <v>16</v>
      </c>
      <c r="I32" s="330" t="s">
        <v>54</v>
      </c>
      <c r="J32" s="330"/>
      <c r="K32" s="99">
        <f>C32/H32</f>
        <v>95.155000000000001</v>
      </c>
      <c r="L32" s="208"/>
      <c r="M32" s="208"/>
      <c r="N32" s="208">
        <f>H31/C32</f>
        <v>0.61741369344753294</v>
      </c>
      <c r="O32" s="208">
        <f>I31/C32</f>
        <v>0.22660396195680732</v>
      </c>
      <c r="P32" s="208">
        <f>K31/C32</f>
        <v>0.15598234459565971</v>
      </c>
      <c r="Q32" s="101">
        <f>J31/C32</f>
        <v>0</v>
      </c>
      <c r="R32" s="90" t="s">
        <v>82</v>
      </c>
      <c r="S32" s="203">
        <f>I31+M31</f>
        <v>1295</v>
      </c>
      <c r="T32" s="338"/>
      <c r="U32" s="339"/>
      <c r="V32" s="39"/>
      <c r="W32" s="39"/>
      <c r="X32" s="48" t="s">
        <v>27</v>
      </c>
      <c r="Y32" s="48"/>
      <c r="Z32" s="47">
        <f>I31</f>
        <v>345</v>
      </c>
    </row>
    <row r="33" spans="1:33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49" t="s">
        <v>29</v>
      </c>
      <c r="Y33" s="49"/>
      <c r="Z33" s="50">
        <f>SUM(Z31:Z32)</f>
        <v>-2400</v>
      </c>
      <c r="AG33" s="35"/>
    </row>
    <row r="34" spans="1:33" ht="17.25" thickBot="1" x14ac:dyDescent="0.35">
      <c r="A34" s="292" t="str">
        <f>A2</f>
        <v>06-12-2022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SUNNY</v>
      </c>
      <c r="K34" s="294"/>
      <c r="L34" s="296" t="s">
        <v>50</v>
      </c>
      <c r="M34" s="297"/>
      <c r="N34" s="295"/>
      <c r="O34" s="293" t="str">
        <f>O2</f>
        <v>HENDRA</v>
      </c>
      <c r="P34" s="293"/>
      <c r="Q34" s="294"/>
      <c r="R34" s="296" t="s">
        <v>51</v>
      </c>
      <c r="S34" s="295"/>
      <c r="T34" s="298">
        <f>T2</f>
        <v>6</v>
      </c>
      <c r="U34" s="298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2" t="s">
        <v>8</v>
      </c>
      <c r="P36" s="302"/>
      <c r="Q36" s="30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7"/>
      <c r="P37" s="318"/>
      <c r="Q37" s="319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06"/>
      <c r="P38" s="307"/>
      <c r="Q38" s="308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7"/>
      <c r="P39" s="318"/>
      <c r="Q39" s="319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2"/>
      <c r="P40" s="313"/>
      <c r="Q40" s="31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2"/>
      <c r="P41" s="313"/>
      <c r="Q41" s="31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9"/>
      <c r="P42" s="300"/>
      <c r="Q42" s="301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7"/>
      <c r="P43" s="318"/>
      <c r="Q43" s="319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7"/>
      <c r="P44" s="318"/>
      <c r="Q44" s="319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7"/>
      <c r="P45" s="318"/>
      <c r="Q45" s="319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7"/>
      <c r="P46" s="318"/>
      <c r="Q46" s="319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7"/>
      <c r="P47" s="318"/>
      <c r="Q47" s="319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7"/>
      <c r="P48" s="318"/>
      <c r="Q48" s="319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7"/>
      <c r="P49" s="318"/>
      <c r="Q49" s="319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7"/>
      <c r="P50" s="318"/>
      <c r="Q50" s="319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7"/>
      <c r="P51" s="318"/>
      <c r="Q51" s="318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7"/>
      <c r="P52" s="318"/>
      <c r="Q52" s="318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53"/>
      <c r="P53" s="317"/>
      <c r="Q53" s="317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53"/>
      <c r="P54" s="317"/>
      <c r="Q54" s="317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53"/>
      <c r="P55" s="317"/>
      <c r="Q55" s="317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8"/>
      <c r="P56" s="318"/>
      <c r="Q56" s="318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7"/>
      <c r="P57" s="318"/>
      <c r="Q57" s="318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8"/>
      <c r="P58" s="318"/>
      <c r="Q58" s="318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8"/>
      <c r="P59" s="318"/>
      <c r="Q59" s="318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7"/>
      <c r="P60" s="318"/>
      <c r="Q60" s="319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54"/>
      <c r="P61" s="355"/>
      <c r="Q61" s="356"/>
      <c r="R61" s="72"/>
      <c r="S61" s="59"/>
      <c r="T61" s="59"/>
      <c r="U61" s="68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06-12-2022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SUNNY</v>
      </c>
      <c r="K66" s="294"/>
      <c r="L66" s="296" t="s">
        <v>50</v>
      </c>
      <c r="M66" s="297"/>
      <c r="N66" s="295"/>
      <c r="O66" s="293" t="str">
        <f>O34</f>
        <v>HENDRA</v>
      </c>
      <c r="P66" s="293"/>
      <c r="Q66" s="294"/>
      <c r="R66" s="296" t="s">
        <v>51</v>
      </c>
      <c r="S66" s="295"/>
      <c r="T66" s="298">
        <f>T34</f>
        <v>6</v>
      </c>
      <c r="U66" s="298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2" t="s">
        <v>8</v>
      </c>
      <c r="P68" s="302"/>
      <c r="Q68" s="30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7"/>
      <c r="P69" s="318"/>
      <c r="Q69" s="319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06"/>
      <c r="P70" s="307"/>
      <c r="Q70" s="308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7"/>
      <c r="P71" s="318"/>
      <c r="Q71" s="319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2"/>
      <c r="P72" s="313"/>
      <c r="Q72" s="31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2"/>
      <c r="P73" s="313"/>
      <c r="Q73" s="31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9"/>
      <c r="P74" s="300"/>
      <c r="Q74" s="301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7"/>
      <c r="P75" s="318"/>
      <c r="Q75" s="319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7"/>
      <c r="P76" s="318"/>
      <c r="Q76" s="319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7"/>
      <c r="P77" s="318"/>
      <c r="Q77" s="319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7"/>
      <c r="P78" s="318"/>
      <c r="Q78" s="319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7"/>
      <c r="P79" s="318"/>
      <c r="Q79" s="319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7"/>
      <c r="P80" s="318"/>
      <c r="Q80" s="319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7"/>
      <c r="P81" s="318"/>
      <c r="Q81" s="319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7"/>
      <c r="P82" s="318"/>
      <c r="Q82" s="319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7"/>
      <c r="P83" s="318"/>
      <c r="Q83" s="318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7"/>
      <c r="P84" s="318"/>
      <c r="Q84" s="318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53"/>
      <c r="P85" s="317"/>
      <c r="Q85" s="317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53"/>
      <c r="P86" s="317"/>
      <c r="Q86" s="317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53"/>
      <c r="P87" s="317"/>
      <c r="Q87" s="317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8"/>
      <c r="P88" s="318"/>
      <c r="Q88" s="318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7"/>
      <c r="P89" s="318"/>
      <c r="Q89" s="318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8"/>
      <c r="P90" s="318"/>
      <c r="Q90" s="318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8"/>
      <c r="P91" s="318"/>
      <c r="Q91" s="318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7"/>
      <c r="P92" s="318"/>
      <c r="Q92" s="319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54"/>
      <c r="P93" s="355"/>
      <c r="Q93" s="356"/>
      <c r="R93" s="72"/>
      <c r="S93" s="59"/>
      <c r="T93" s="59"/>
      <c r="U93" s="68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11" sqref="R11:T11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190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98</v>
      </c>
      <c r="K2" s="294"/>
      <c r="L2" s="296" t="s">
        <v>96</v>
      </c>
      <c r="M2" s="297"/>
      <c r="N2" s="295"/>
      <c r="O2" s="293" t="s">
        <v>99</v>
      </c>
      <c r="P2" s="293"/>
      <c r="Q2" s="294"/>
      <c r="R2" s="296" t="s">
        <v>51</v>
      </c>
      <c r="S2" s="295"/>
      <c r="T2" s="298">
        <v>6</v>
      </c>
      <c r="U2" s="298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2" t="s">
        <v>8</v>
      </c>
      <c r="P4" s="302"/>
      <c r="Q4" s="30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12695</v>
      </c>
      <c r="C5" s="59" t="s">
        <v>200</v>
      </c>
      <c r="D5" s="190"/>
      <c r="E5" s="171" t="s">
        <v>92</v>
      </c>
      <c r="F5" s="160">
        <v>830</v>
      </c>
      <c r="G5" s="109" t="s">
        <v>160</v>
      </c>
      <c r="H5" s="82"/>
      <c r="I5" s="115">
        <v>230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303"/>
      <c r="P5" s="304"/>
      <c r="Q5" s="305"/>
      <c r="R5" s="32" t="s">
        <v>99</v>
      </c>
      <c r="S5" s="30">
        <v>0.33333333333333331</v>
      </c>
      <c r="T5" s="31">
        <v>0.6875</v>
      </c>
      <c r="U5" s="83">
        <f t="shared" ref="U5:U15" si="0">(T5-S5)*24</f>
        <v>8.5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12696</v>
      </c>
      <c r="C6" s="58" t="s">
        <v>201</v>
      </c>
      <c r="D6" s="190" t="s">
        <v>202</v>
      </c>
      <c r="E6" s="171" t="s">
        <v>92</v>
      </c>
      <c r="F6" s="161">
        <v>835</v>
      </c>
      <c r="G6" s="109" t="s">
        <v>114</v>
      </c>
      <c r="H6" s="82"/>
      <c r="I6" s="115"/>
      <c r="J6" s="120" t="str">
        <f t="shared" ref="J6:J29" si="1">IF(G6="RSL","55","0")</f>
        <v>0</v>
      </c>
      <c r="K6" s="120">
        <v>79.099999999999994</v>
      </c>
      <c r="L6" s="121"/>
      <c r="M6" s="121"/>
      <c r="N6" s="124" t="s">
        <v>99</v>
      </c>
      <c r="O6" s="306" t="s">
        <v>203</v>
      </c>
      <c r="P6" s="307"/>
      <c r="Q6" s="308"/>
      <c r="R6" s="122" t="s">
        <v>101</v>
      </c>
      <c r="S6" s="30">
        <v>0.34375</v>
      </c>
      <c r="T6" s="31">
        <v>0.6875</v>
      </c>
      <c r="U6" s="83">
        <f t="shared" si="0"/>
        <v>8.25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12697</v>
      </c>
      <c r="C7" s="58" t="s">
        <v>204</v>
      </c>
      <c r="D7" s="190" t="s">
        <v>205</v>
      </c>
      <c r="E7" s="171" t="s">
        <v>92</v>
      </c>
      <c r="F7" s="161">
        <v>900</v>
      </c>
      <c r="G7" s="109" t="s">
        <v>118</v>
      </c>
      <c r="H7" s="82"/>
      <c r="I7" s="115">
        <v>95</v>
      </c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99</v>
      </c>
      <c r="O7" s="317"/>
      <c r="P7" s="318"/>
      <c r="Q7" s="319"/>
      <c r="R7" s="124" t="s">
        <v>102</v>
      </c>
      <c r="S7" s="30">
        <v>0.35416666666666669</v>
      </c>
      <c r="T7" s="31">
        <v>0.625</v>
      </c>
      <c r="U7" s="83">
        <f t="shared" si="0"/>
        <v>6.5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12698</v>
      </c>
      <c r="C8" s="26" t="s">
        <v>206</v>
      </c>
      <c r="D8" s="190" t="s">
        <v>207</v>
      </c>
      <c r="E8" s="171" t="s">
        <v>92</v>
      </c>
      <c r="F8" s="161">
        <v>1000</v>
      </c>
      <c r="G8" s="109" t="s">
        <v>142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12"/>
      <c r="P8" s="313"/>
      <c r="Q8" s="314"/>
      <c r="R8" s="25" t="s">
        <v>105</v>
      </c>
      <c r="S8" s="30">
        <v>0.38541666666666669</v>
      </c>
      <c r="T8" s="31">
        <v>0.6875</v>
      </c>
      <c r="U8" s="83">
        <f t="shared" si="0"/>
        <v>7.25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12699</v>
      </c>
      <c r="C9" s="54" t="s">
        <v>208</v>
      </c>
      <c r="D9" s="191" t="s">
        <v>209</v>
      </c>
      <c r="E9" s="171" t="s">
        <v>92</v>
      </c>
      <c r="F9" s="162">
        <v>1000</v>
      </c>
      <c r="G9" s="110" t="s">
        <v>114</v>
      </c>
      <c r="H9" s="82"/>
      <c r="I9" s="82"/>
      <c r="J9" s="120" t="str">
        <f t="shared" si="1"/>
        <v>0</v>
      </c>
      <c r="K9" s="120">
        <v>79.099999999999994</v>
      </c>
      <c r="L9" s="121"/>
      <c r="M9" s="121"/>
      <c r="N9" s="124" t="s">
        <v>99</v>
      </c>
      <c r="O9" s="312" t="s">
        <v>210</v>
      </c>
      <c r="P9" s="313"/>
      <c r="Q9" s="314"/>
      <c r="R9" s="25" t="s">
        <v>192</v>
      </c>
      <c r="S9" s="30">
        <v>0.375</v>
      </c>
      <c r="T9" s="31">
        <v>0.6875</v>
      </c>
      <c r="U9" s="83">
        <f t="shared" si="0"/>
        <v>7.5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12700</v>
      </c>
      <c r="C10" s="27" t="s">
        <v>211</v>
      </c>
      <c r="D10" s="192" t="s">
        <v>212</v>
      </c>
      <c r="E10" s="171" t="s">
        <v>92</v>
      </c>
      <c r="F10" s="163">
        <v>1000</v>
      </c>
      <c r="G10" s="111" t="s">
        <v>107</v>
      </c>
      <c r="H10" s="114"/>
      <c r="I10" s="116">
        <v>150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99"/>
      <c r="P10" s="300"/>
      <c r="Q10" s="301"/>
      <c r="R10" s="25" t="s">
        <v>199</v>
      </c>
      <c r="S10" s="30">
        <v>0.375</v>
      </c>
      <c r="T10" s="31">
        <v>0.52083333333333337</v>
      </c>
      <c r="U10" s="83">
        <f t="shared" si="0"/>
        <v>3.5000000000000009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12701</v>
      </c>
      <c r="C11" s="17" t="s">
        <v>213</v>
      </c>
      <c r="D11" s="193" t="s">
        <v>214</v>
      </c>
      <c r="E11" s="171" t="s">
        <v>92</v>
      </c>
      <c r="F11" s="57">
        <v>1010</v>
      </c>
      <c r="G11" s="112" t="s">
        <v>118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317"/>
      <c r="P11" s="318"/>
      <c r="Q11" s="319"/>
      <c r="R11" s="291" t="s">
        <v>236</v>
      </c>
      <c r="S11" s="288">
        <v>0.42708333333333331</v>
      </c>
      <c r="T11" s="289">
        <v>0.64583333333333337</v>
      </c>
      <c r="U11" s="83">
        <f t="shared" si="0"/>
        <v>5.2500000000000018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12702</v>
      </c>
      <c r="C12" s="55" t="s">
        <v>218</v>
      </c>
      <c r="D12" s="194" t="s">
        <v>219</v>
      </c>
      <c r="E12" s="171" t="s">
        <v>91</v>
      </c>
      <c r="F12" s="163">
        <v>1100</v>
      </c>
      <c r="G12" s="110" t="s">
        <v>118</v>
      </c>
      <c r="H12" s="114">
        <v>95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317"/>
      <c r="P12" s="318"/>
      <c r="Q12" s="319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12703</v>
      </c>
      <c r="C13" s="55" t="s">
        <v>215</v>
      </c>
      <c r="D13" s="194" t="s">
        <v>216</v>
      </c>
      <c r="E13" s="171" t="s">
        <v>92</v>
      </c>
      <c r="F13" s="163">
        <v>1120</v>
      </c>
      <c r="G13" s="110" t="s">
        <v>110</v>
      </c>
      <c r="H13" s="159"/>
      <c r="I13" s="158"/>
      <c r="J13" s="120" t="str">
        <f t="shared" si="1"/>
        <v>0</v>
      </c>
      <c r="K13" s="120">
        <v>62.5</v>
      </c>
      <c r="L13" s="121"/>
      <c r="M13" s="121"/>
      <c r="N13" s="124" t="s">
        <v>99</v>
      </c>
      <c r="O13" s="317" t="s">
        <v>217</v>
      </c>
      <c r="P13" s="318"/>
      <c r="Q13" s="319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258">
        <v>12704</v>
      </c>
      <c r="C14" s="259" t="s">
        <v>220</v>
      </c>
      <c r="D14" s="260" t="s">
        <v>221</v>
      </c>
      <c r="E14" s="252" t="s">
        <v>91</v>
      </c>
      <c r="F14" s="261">
        <v>1130</v>
      </c>
      <c r="G14" s="249" t="s">
        <v>114</v>
      </c>
      <c r="H14" s="262"/>
      <c r="I14" s="262"/>
      <c r="J14" s="254" t="str">
        <f t="shared" si="1"/>
        <v>0</v>
      </c>
      <c r="K14" s="254">
        <v>125</v>
      </c>
      <c r="L14" s="255"/>
      <c r="M14" s="255">
        <v>750</v>
      </c>
      <c r="N14" s="256" t="s">
        <v>99</v>
      </c>
      <c r="O14" s="309" t="s">
        <v>222</v>
      </c>
      <c r="P14" s="310"/>
      <c r="Q14" s="311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12705</v>
      </c>
      <c r="C15" s="56" t="s">
        <v>223</v>
      </c>
      <c r="D15" s="195" t="s">
        <v>224</v>
      </c>
      <c r="E15" s="171" t="s">
        <v>91</v>
      </c>
      <c r="F15" s="164">
        <v>1130</v>
      </c>
      <c r="G15" s="113" t="s">
        <v>114</v>
      </c>
      <c r="H15" s="114"/>
      <c r="I15" s="115"/>
      <c r="J15" s="120" t="str">
        <f t="shared" si="1"/>
        <v>0</v>
      </c>
      <c r="K15" s="120">
        <v>133</v>
      </c>
      <c r="L15" s="121"/>
      <c r="M15" s="121"/>
      <c r="N15" s="124" t="s">
        <v>99</v>
      </c>
      <c r="O15" s="317" t="s">
        <v>225</v>
      </c>
      <c r="P15" s="318"/>
      <c r="Q15" s="319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12706</v>
      </c>
      <c r="C16" s="56" t="s">
        <v>234</v>
      </c>
      <c r="D16" s="195" t="s">
        <v>235</v>
      </c>
      <c r="E16" s="171" t="s">
        <v>92</v>
      </c>
      <c r="F16" s="164">
        <v>1145</v>
      </c>
      <c r="G16" s="113" t="s">
        <v>118</v>
      </c>
      <c r="H16" s="114"/>
      <c r="I16" s="115">
        <v>95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317"/>
      <c r="P16" s="318"/>
      <c r="Q16" s="319"/>
      <c r="R16" s="73">
        <f>H32/U16</f>
        <v>0.38502673796791442</v>
      </c>
      <c r="S16" s="74">
        <f>H32/(U16-U5)</f>
        <v>0.47058823529411764</v>
      </c>
      <c r="T16" s="74">
        <f>C32/U16</f>
        <v>40.079144385026737</v>
      </c>
      <c r="U16" s="74">
        <f>SUM(U5:U15)</f>
        <v>46.75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12707</v>
      </c>
      <c r="C17" s="17" t="s">
        <v>226</v>
      </c>
      <c r="D17" s="193" t="s">
        <v>227</v>
      </c>
      <c r="E17" s="171" t="s">
        <v>91</v>
      </c>
      <c r="F17" s="57">
        <v>1200</v>
      </c>
      <c r="G17" s="112" t="s">
        <v>142</v>
      </c>
      <c r="H17" s="114">
        <v>55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317"/>
      <c r="P17" s="318"/>
      <c r="Q17" s="319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12708</v>
      </c>
      <c r="C18" s="17" t="s">
        <v>228</v>
      </c>
      <c r="D18" s="193" t="s">
        <v>229</v>
      </c>
      <c r="E18" s="171" t="s">
        <v>92</v>
      </c>
      <c r="F18" s="57">
        <v>1200</v>
      </c>
      <c r="G18" s="19" t="s">
        <v>107</v>
      </c>
      <c r="H18" s="114">
        <v>150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317"/>
      <c r="P18" s="318"/>
      <c r="Q18" s="319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12709</v>
      </c>
      <c r="C19" s="17" t="s">
        <v>230</v>
      </c>
      <c r="D19" s="193" t="s">
        <v>231</v>
      </c>
      <c r="E19" s="171" t="s">
        <v>92</v>
      </c>
      <c r="F19" s="57">
        <v>1245</v>
      </c>
      <c r="G19" s="112" t="s">
        <v>118</v>
      </c>
      <c r="H19" s="114"/>
      <c r="I19" s="115">
        <v>95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317"/>
      <c r="P19" s="318"/>
      <c r="Q19" s="318"/>
      <c r="R19" s="84" t="s">
        <v>45</v>
      </c>
      <c r="S19" s="85">
        <f>COUNT(L5:M29,L37:M61,L69:M93)</f>
        <v>1</v>
      </c>
      <c r="T19" s="107">
        <f>SUM(L5:M29,L37:M61,L69:M93)</f>
        <v>750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12710</v>
      </c>
      <c r="C20" s="17" t="s">
        <v>232</v>
      </c>
      <c r="D20" s="193" t="s">
        <v>233</v>
      </c>
      <c r="E20" s="171" t="s">
        <v>91</v>
      </c>
      <c r="F20" s="57">
        <v>1220</v>
      </c>
      <c r="G20" s="112" t="s">
        <v>142</v>
      </c>
      <c r="H20" s="114"/>
      <c r="I20" s="115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320"/>
      <c r="P20" s="321"/>
      <c r="Q20" s="32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12711</v>
      </c>
      <c r="C21" s="17" t="s">
        <v>238</v>
      </c>
      <c r="D21" s="193" t="s">
        <v>239</v>
      </c>
      <c r="E21" s="171" t="s">
        <v>92</v>
      </c>
      <c r="F21" s="57">
        <v>1420</v>
      </c>
      <c r="G21" s="19" t="s">
        <v>142</v>
      </c>
      <c r="H21" s="114"/>
      <c r="I21" s="115">
        <v>80</v>
      </c>
      <c r="J21" s="120" t="str">
        <f t="shared" si="1"/>
        <v>0</v>
      </c>
      <c r="K21" s="120" t="str">
        <f t="shared" si="2"/>
        <v>0</v>
      </c>
      <c r="L21" s="121"/>
      <c r="M21" s="121"/>
      <c r="N21" s="122" t="s">
        <v>101</v>
      </c>
      <c r="O21" s="317"/>
      <c r="P21" s="318"/>
      <c r="Q21" s="318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12712</v>
      </c>
      <c r="C22" s="21" t="s">
        <v>240</v>
      </c>
      <c r="D22" s="196" t="s">
        <v>241</v>
      </c>
      <c r="E22" s="171" t="s">
        <v>92</v>
      </c>
      <c r="F22" s="165">
        <v>1535</v>
      </c>
      <c r="G22" s="204" t="s">
        <v>114</v>
      </c>
      <c r="H22" s="80"/>
      <c r="I22" s="131"/>
      <c r="J22" s="120" t="str">
        <f t="shared" si="1"/>
        <v>0</v>
      </c>
      <c r="K22" s="120">
        <v>125</v>
      </c>
      <c r="L22" s="60"/>
      <c r="M22" s="60"/>
      <c r="N22" s="124" t="s">
        <v>99</v>
      </c>
      <c r="O22" s="317" t="s">
        <v>242</v>
      </c>
      <c r="P22" s="318"/>
      <c r="Q22" s="319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15"/>
      <c r="Y23" s="316"/>
      <c r="Z23" s="316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17"/>
      <c r="P24" s="318"/>
      <c r="Q24" s="319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7"/>
      <c r="P25" s="318"/>
      <c r="Q25" s="319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2">
        <f>((C32+(R26+S26+T26)*0.5))</f>
        <v>1873.7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7"/>
      <c r="P26" s="318"/>
      <c r="Q26" s="319"/>
      <c r="R26" s="103">
        <f>R25*37.5</f>
        <v>0</v>
      </c>
      <c r="S26" s="93">
        <f>S25*41.5</f>
        <v>0</v>
      </c>
      <c r="T26" s="93">
        <f>T25*50</f>
        <v>0</v>
      </c>
      <c r="U26" s="32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7"/>
      <c r="P27" s="318"/>
      <c r="Q27" s="319"/>
      <c r="R27" s="331" t="s">
        <v>56</v>
      </c>
      <c r="S27" s="332"/>
      <c r="T27" s="332"/>
      <c r="U27" s="33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7"/>
      <c r="P28" s="318"/>
      <c r="Q28" s="319"/>
      <c r="R28" s="386" t="s">
        <v>237</v>
      </c>
      <c r="S28" s="387"/>
      <c r="T28" s="388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0"/>
      <c r="P29" s="341"/>
      <c r="Q29" s="342"/>
      <c r="R29" s="343"/>
      <c r="S29" s="344"/>
      <c r="T29" s="345"/>
      <c r="U29" s="140"/>
      <c r="X29" s="14">
        <v>3</v>
      </c>
      <c r="Z29" s="45"/>
      <c r="AE29" s="39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01">
        <f t="shared" ref="H30:M30" si="3">SUM(H5:H29)</f>
        <v>375</v>
      </c>
      <c r="I30" s="96">
        <f>SUM(I5:I29)</f>
        <v>895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603.70000000000005</v>
      </c>
      <c r="L30" s="97">
        <f t="shared" si="3"/>
        <v>0</v>
      </c>
      <c r="M30" s="97">
        <f t="shared" si="3"/>
        <v>750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9"/>
      <c r="S30" s="349"/>
      <c r="T30" s="350"/>
      <c r="U30" s="141"/>
      <c r="X30" s="14">
        <v>4</v>
      </c>
      <c r="Z30" s="45"/>
      <c r="AD30" s="46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02">
        <f t="shared" ref="H31:J31" si="4">H30+H62+H94</f>
        <v>375</v>
      </c>
      <c r="I31" s="94">
        <f t="shared" si="4"/>
        <v>895</v>
      </c>
      <c r="J31" s="94">
        <f t="shared" si="4"/>
        <v>0</v>
      </c>
      <c r="K31" s="94">
        <f>K30+K62+K94</f>
        <v>603.70000000000005</v>
      </c>
      <c r="L31" s="88">
        <f>L30+L62+L94</f>
        <v>0</v>
      </c>
      <c r="M31" s="88">
        <f>M30+M62+M94</f>
        <v>750</v>
      </c>
      <c r="N31" s="207">
        <f>COUNT(H5:H29,H37:H61,H69:H93)</f>
        <v>4</v>
      </c>
      <c r="O31" s="95">
        <f>COUNT(I5:I29,I37:I61,I69:I93)</f>
        <v>8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375</v>
      </c>
      <c r="T31" s="336">
        <f>H31+I31+L31+M31</f>
        <v>2020</v>
      </c>
      <c r="U31" s="337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7" t="s">
        <v>55</v>
      </c>
      <c r="B32" s="328"/>
      <c r="C32" s="98">
        <f>H31+I31+J31+K31</f>
        <v>1873.7</v>
      </c>
      <c r="D32" s="186"/>
      <c r="E32" s="98"/>
      <c r="F32" s="329" t="s">
        <v>53</v>
      </c>
      <c r="G32" s="329"/>
      <c r="H32" s="100">
        <f>COUNT(B5:B29,B37:B61,B69:B93)</f>
        <v>18</v>
      </c>
      <c r="I32" s="330" t="s">
        <v>54</v>
      </c>
      <c r="J32" s="330"/>
      <c r="K32" s="99">
        <f>C32/H32</f>
        <v>104.09444444444445</v>
      </c>
      <c r="L32" s="208"/>
      <c r="M32" s="208"/>
      <c r="N32" s="208">
        <f>H31/C32</f>
        <v>0.20013876287559373</v>
      </c>
      <c r="O32" s="208">
        <f>I31/C32</f>
        <v>0.47766451406308374</v>
      </c>
      <c r="P32" s="208">
        <f>K31/C32</f>
        <v>0.32219672306132252</v>
      </c>
      <c r="Q32" s="101">
        <f>J31/C32</f>
        <v>0</v>
      </c>
      <c r="R32" s="90" t="s">
        <v>82</v>
      </c>
      <c r="S32" s="203">
        <f>I31+M31</f>
        <v>1645</v>
      </c>
      <c r="T32" s="338"/>
      <c r="U32" s="339"/>
      <c r="V32" s="39"/>
      <c r="W32" s="39"/>
      <c r="X32" s="48" t="s">
        <v>27</v>
      </c>
      <c r="Y32" s="48"/>
      <c r="Z32" s="47">
        <f>I31</f>
        <v>895</v>
      </c>
    </row>
    <row r="33" spans="1:33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49" t="s">
        <v>29</v>
      </c>
      <c r="Y33" s="49"/>
      <c r="Z33" s="50">
        <f>SUM(Z31:Z32)</f>
        <v>-1850</v>
      </c>
      <c r="AG33" s="35"/>
    </row>
    <row r="34" spans="1:33" ht="17.25" thickBot="1" x14ac:dyDescent="0.35">
      <c r="A34" s="292" t="str">
        <f>A2</f>
        <v>7 - 12 - 2022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SUNNY</v>
      </c>
      <c r="K34" s="294"/>
      <c r="L34" s="296" t="s">
        <v>50</v>
      </c>
      <c r="M34" s="297"/>
      <c r="N34" s="295"/>
      <c r="O34" s="293" t="str">
        <f>O2</f>
        <v>JOHN</v>
      </c>
      <c r="P34" s="293"/>
      <c r="Q34" s="294"/>
      <c r="R34" s="296" t="s">
        <v>51</v>
      </c>
      <c r="S34" s="295"/>
      <c r="T34" s="298">
        <f>T2</f>
        <v>6</v>
      </c>
      <c r="U34" s="298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2" t="s">
        <v>8</v>
      </c>
      <c r="P36" s="302"/>
      <c r="Q36" s="30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7"/>
      <c r="P37" s="318"/>
      <c r="Q37" s="319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06"/>
      <c r="P38" s="307"/>
      <c r="Q38" s="308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7"/>
      <c r="P39" s="318"/>
      <c r="Q39" s="319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2"/>
      <c r="P40" s="313"/>
      <c r="Q40" s="31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2"/>
      <c r="P41" s="313"/>
      <c r="Q41" s="31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9"/>
      <c r="P42" s="300"/>
      <c r="Q42" s="301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7"/>
      <c r="P43" s="318"/>
      <c r="Q43" s="319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7"/>
      <c r="P44" s="318"/>
      <c r="Q44" s="319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7"/>
      <c r="P45" s="318"/>
      <c r="Q45" s="319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7"/>
      <c r="P46" s="318"/>
      <c r="Q46" s="319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7"/>
      <c r="P47" s="318"/>
      <c r="Q47" s="319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7"/>
      <c r="P48" s="318"/>
      <c r="Q48" s="319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7"/>
      <c r="P49" s="318"/>
      <c r="Q49" s="319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7"/>
      <c r="P50" s="318"/>
      <c r="Q50" s="319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7"/>
      <c r="P51" s="318"/>
      <c r="Q51" s="318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7"/>
      <c r="P52" s="318"/>
      <c r="Q52" s="318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53"/>
      <c r="P53" s="317"/>
      <c r="Q53" s="317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53"/>
      <c r="P54" s="317"/>
      <c r="Q54" s="317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53"/>
      <c r="P55" s="317"/>
      <c r="Q55" s="317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8"/>
      <c r="P56" s="318"/>
      <c r="Q56" s="318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7"/>
      <c r="P57" s="318"/>
      <c r="Q57" s="318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8"/>
      <c r="P58" s="318"/>
      <c r="Q58" s="318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8"/>
      <c r="P59" s="318"/>
      <c r="Q59" s="318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7"/>
      <c r="P60" s="318"/>
      <c r="Q60" s="319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54"/>
      <c r="P61" s="355"/>
      <c r="Q61" s="356"/>
      <c r="R61" s="72"/>
      <c r="S61" s="59"/>
      <c r="T61" s="59"/>
      <c r="U61" s="68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7 - 12 - 2022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SUNNY</v>
      </c>
      <c r="K66" s="294"/>
      <c r="L66" s="296" t="s">
        <v>50</v>
      </c>
      <c r="M66" s="297"/>
      <c r="N66" s="295"/>
      <c r="O66" s="293" t="str">
        <f>O34</f>
        <v>JOHN</v>
      </c>
      <c r="P66" s="293"/>
      <c r="Q66" s="294"/>
      <c r="R66" s="296" t="s">
        <v>51</v>
      </c>
      <c r="S66" s="295"/>
      <c r="T66" s="298">
        <f>T34</f>
        <v>6</v>
      </c>
      <c r="U66" s="298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2" t="s">
        <v>8</v>
      </c>
      <c r="P68" s="302"/>
      <c r="Q68" s="30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7"/>
      <c r="P69" s="318"/>
      <c r="Q69" s="319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06"/>
      <c r="P70" s="307"/>
      <c r="Q70" s="308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7"/>
      <c r="P71" s="318"/>
      <c r="Q71" s="319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2"/>
      <c r="P72" s="313"/>
      <c r="Q72" s="31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2"/>
      <c r="P73" s="313"/>
      <c r="Q73" s="31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9"/>
      <c r="P74" s="300"/>
      <c r="Q74" s="301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7"/>
      <c r="P75" s="318"/>
      <c r="Q75" s="319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7"/>
      <c r="P76" s="318"/>
      <c r="Q76" s="319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7"/>
      <c r="P77" s="318"/>
      <c r="Q77" s="319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7"/>
      <c r="P78" s="318"/>
      <c r="Q78" s="319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7"/>
      <c r="P79" s="318"/>
      <c r="Q79" s="319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7"/>
      <c r="P80" s="318"/>
      <c r="Q80" s="319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7"/>
      <c r="P81" s="318"/>
      <c r="Q81" s="319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7"/>
      <c r="P82" s="318"/>
      <c r="Q82" s="319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7"/>
      <c r="P83" s="318"/>
      <c r="Q83" s="318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7"/>
      <c r="P84" s="318"/>
      <c r="Q84" s="318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53"/>
      <c r="P85" s="317"/>
      <c r="Q85" s="317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53"/>
      <c r="P86" s="317"/>
      <c r="Q86" s="317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53"/>
      <c r="P87" s="317"/>
      <c r="Q87" s="317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8"/>
      <c r="P88" s="318"/>
      <c r="Q88" s="318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7"/>
      <c r="P89" s="318"/>
      <c r="Q89" s="318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8"/>
      <c r="P90" s="318"/>
      <c r="Q90" s="318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8"/>
      <c r="P91" s="318"/>
      <c r="Q91" s="318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7"/>
      <c r="P92" s="318"/>
      <c r="Q92" s="319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54"/>
      <c r="P93" s="355"/>
      <c r="Q93" s="356"/>
      <c r="R93" s="72"/>
      <c r="S93" s="59"/>
      <c r="T93" s="59"/>
      <c r="U93" s="68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="80" zoomScaleNormal="80" zoomScaleSheetLayoutView="77" workbookViewId="0">
      <selection activeCell="O26" sqref="O26:Q2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193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98</v>
      </c>
      <c r="K2" s="294"/>
      <c r="L2" s="296" t="s">
        <v>96</v>
      </c>
      <c r="M2" s="297"/>
      <c r="N2" s="295"/>
      <c r="O2" s="293" t="s">
        <v>99</v>
      </c>
      <c r="P2" s="293"/>
      <c r="Q2" s="294"/>
      <c r="R2" s="296" t="s">
        <v>51</v>
      </c>
      <c r="S2" s="295"/>
      <c r="T2" s="298">
        <v>7</v>
      </c>
      <c r="U2" s="298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2" t="s">
        <v>8</v>
      </c>
      <c r="P4" s="302"/>
      <c r="Q4" s="30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12713</v>
      </c>
      <c r="C5" s="59" t="s">
        <v>244</v>
      </c>
      <c r="D5" s="190" t="s">
        <v>245</v>
      </c>
      <c r="E5" s="171" t="s">
        <v>92</v>
      </c>
      <c r="F5" s="160">
        <v>840</v>
      </c>
      <c r="G5" s="109" t="s">
        <v>110</v>
      </c>
      <c r="H5" s="82"/>
      <c r="I5" s="115"/>
      <c r="J5" s="120" t="str">
        <f>IF(G5="RSL","55","0")</f>
        <v>0</v>
      </c>
      <c r="K5" s="120">
        <v>62.5</v>
      </c>
      <c r="L5" s="121"/>
      <c r="M5" s="121"/>
      <c r="N5" s="124" t="s">
        <v>99</v>
      </c>
      <c r="O5" s="303" t="s">
        <v>246</v>
      </c>
      <c r="P5" s="304"/>
      <c r="Q5" s="305"/>
      <c r="R5" s="32" t="s">
        <v>99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12714</v>
      </c>
      <c r="C6" s="58" t="s">
        <v>247</v>
      </c>
      <c r="D6" s="190" t="s">
        <v>248</v>
      </c>
      <c r="E6" s="171" t="s">
        <v>92</v>
      </c>
      <c r="F6" s="161">
        <v>930</v>
      </c>
      <c r="G6" s="109" t="s">
        <v>107</v>
      </c>
      <c r="H6" s="82"/>
      <c r="I6" s="115">
        <v>150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306"/>
      <c r="P6" s="307"/>
      <c r="Q6" s="308"/>
      <c r="R6" s="122" t="s">
        <v>101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12715</v>
      </c>
      <c r="C7" s="58" t="s">
        <v>249</v>
      </c>
      <c r="D7" s="190" t="s">
        <v>250</v>
      </c>
      <c r="E7" s="171" t="s">
        <v>92</v>
      </c>
      <c r="F7" s="161">
        <v>930</v>
      </c>
      <c r="G7" s="109" t="s">
        <v>118</v>
      </c>
      <c r="H7" s="82">
        <v>75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317"/>
      <c r="P7" s="318"/>
      <c r="Q7" s="319"/>
      <c r="R7" s="124" t="s">
        <v>102</v>
      </c>
      <c r="S7" s="30">
        <v>0.35416666666666669</v>
      </c>
      <c r="T7" s="31">
        <v>0.625</v>
      </c>
      <c r="U7" s="83">
        <f t="shared" si="0"/>
        <v>6.5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12716</v>
      </c>
      <c r="C8" s="26" t="s">
        <v>251</v>
      </c>
      <c r="D8" s="190" t="s">
        <v>252</v>
      </c>
      <c r="E8" s="171" t="s">
        <v>92</v>
      </c>
      <c r="F8" s="161">
        <v>930</v>
      </c>
      <c r="G8" s="109" t="s">
        <v>118</v>
      </c>
      <c r="H8" s="82">
        <v>75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12"/>
      <c r="P8" s="313"/>
      <c r="Q8" s="314"/>
      <c r="R8" s="25" t="s">
        <v>194</v>
      </c>
      <c r="S8" s="30">
        <v>0.44791666666666669</v>
      </c>
      <c r="T8" s="31">
        <v>0.70833333333333337</v>
      </c>
      <c r="U8" s="83">
        <f t="shared" si="0"/>
        <v>6.25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12717</v>
      </c>
      <c r="C9" s="54" t="s">
        <v>253</v>
      </c>
      <c r="D9" s="191" t="s">
        <v>254</v>
      </c>
      <c r="E9" s="171" t="s">
        <v>92</v>
      </c>
      <c r="F9" s="162">
        <v>935</v>
      </c>
      <c r="G9" s="110" t="s">
        <v>118</v>
      </c>
      <c r="H9" s="82"/>
      <c r="I9" s="82">
        <v>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12"/>
      <c r="P9" s="313"/>
      <c r="Q9" s="314"/>
      <c r="R9" s="25" t="s">
        <v>191</v>
      </c>
      <c r="S9" s="30">
        <v>0.375</v>
      </c>
      <c r="T9" s="31">
        <v>0.66666666666666663</v>
      </c>
      <c r="U9" s="83">
        <f t="shared" si="0"/>
        <v>6.9999999999999991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258">
        <v>12718</v>
      </c>
      <c r="C10" s="279" t="s">
        <v>255</v>
      </c>
      <c r="D10" s="280"/>
      <c r="E10" s="252" t="s">
        <v>92</v>
      </c>
      <c r="F10" s="281">
        <v>1000</v>
      </c>
      <c r="G10" s="282" t="s">
        <v>114</v>
      </c>
      <c r="H10" s="262"/>
      <c r="I10" s="262"/>
      <c r="J10" s="254" t="str">
        <f t="shared" si="1"/>
        <v>0</v>
      </c>
      <c r="K10" s="254">
        <v>79.099999999999994</v>
      </c>
      <c r="L10" s="255"/>
      <c r="M10" s="255">
        <v>475</v>
      </c>
      <c r="N10" s="256" t="s">
        <v>99</v>
      </c>
      <c r="O10" s="309" t="s">
        <v>256</v>
      </c>
      <c r="P10" s="310"/>
      <c r="Q10" s="311"/>
      <c r="R10" s="25" t="s">
        <v>192</v>
      </c>
      <c r="S10" s="30">
        <v>0.375</v>
      </c>
      <c r="T10" s="31">
        <v>0.66666666666666663</v>
      </c>
      <c r="U10" s="83">
        <f t="shared" si="0"/>
        <v>6.9999999999999991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12719</v>
      </c>
      <c r="C11" s="17" t="s">
        <v>260</v>
      </c>
      <c r="D11" s="193" t="s">
        <v>261</v>
      </c>
      <c r="E11" s="171" t="s">
        <v>92</v>
      </c>
      <c r="F11" s="57">
        <v>1015</v>
      </c>
      <c r="G11" s="112" t="s">
        <v>142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317"/>
      <c r="P11" s="318"/>
      <c r="Q11" s="319"/>
      <c r="R11" s="25" t="s">
        <v>236</v>
      </c>
      <c r="S11" s="30">
        <v>0.375</v>
      </c>
      <c r="T11" s="31">
        <v>0.66666666666666663</v>
      </c>
      <c r="U11" s="83">
        <f t="shared" si="0"/>
        <v>6.9999999999999991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12720</v>
      </c>
      <c r="C12" s="55" t="s">
        <v>257</v>
      </c>
      <c r="D12" s="194" t="s">
        <v>258</v>
      </c>
      <c r="E12" s="171" t="s">
        <v>92</v>
      </c>
      <c r="F12" s="163">
        <v>1020</v>
      </c>
      <c r="G12" s="110" t="s">
        <v>110</v>
      </c>
      <c r="H12" s="114"/>
      <c r="I12" s="116"/>
      <c r="J12" s="120" t="str">
        <f t="shared" si="1"/>
        <v>0</v>
      </c>
      <c r="K12" s="120">
        <v>62.5</v>
      </c>
      <c r="L12" s="121"/>
      <c r="M12" s="121"/>
      <c r="N12" s="124" t="s">
        <v>99</v>
      </c>
      <c r="O12" s="317" t="s">
        <v>259</v>
      </c>
      <c r="P12" s="318"/>
      <c r="Q12" s="319"/>
      <c r="R12" s="25" t="s">
        <v>243</v>
      </c>
      <c r="S12" s="30">
        <v>0.4375</v>
      </c>
      <c r="T12" s="31">
        <v>0.64583333333333337</v>
      </c>
      <c r="U12" s="83">
        <f t="shared" si="0"/>
        <v>5.0000000000000009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12721</v>
      </c>
      <c r="C13" s="55" t="s">
        <v>262</v>
      </c>
      <c r="D13" s="194" t="s">
        <v>263</v>
      </c>
      <c r="E13" s="171" t="s">
        <v>92</v>
      </c>
      <c r="F13" s="163">
        <v>1030</v>
      </c>
      <c r="G13" s="110" t="s">
        <v>264</v>
      </c>
      <c r="H13" s="159">
        <v>460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317"/>
      <c r="P13" s="318"/>
      <c r="Q13" s="319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12722</v>
      </c>
      <c r="C14" s="56" t="s">
        <v>267</v>
      </c>
      <c r="D14" s="195" t="s">
        <v>268</v>
      </c>
      <c r="E14" s="171" t="s">
        <v>92</v>
      </c>
      <c r="F14" s="164">
        <v>1040</v>
      </c>
      <c r="G14" s="113" t="s">
        <v>114</v>
      </c>
      <c r="H14" s="114"/>
      <c r="I14" s="116"/>
      <c r="J14" s="120" t="str">
        <f t="shared" si="1"/>
        <v>0</v>
      </c>
      <c r="K14" s="120">
        <v>79.099999999999994</v>
      </c>
      <c r="L14" s="121"/>
      <c r="M14" s="121"/>
      <c r="N14" s="124" t="s">
        <v>99</v>
      </c>
      <c r="O14" s="317" t="s">
        <v>269</v>
      </c>
      <c r="P14" s="318"/>
      <c r="Q14" s="319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12723</v>
      </c>
      <c r="C15" s="56" t="s">
        <v>278</v>
      </c>
      <c r="D15" s="195" t="s">
        <v>279</v>
      </c>
      <c r="E15" s="171" t="s">
        <v>92</v>
      </c>
      <c r="F15" s="164">
        <v>1113</v>
      </c>
      <c r="G15" s="113" t="s">
        <v>114</v>
      </c>
      <c r="H15" s="114"/>
      <c r="I15" s="115"/>
      <c r="J15" s="120" t="str">
        <f t="shared" si="1"/>
        <v>0</v>
      </c>
      <c r="K15" s="120">
        <v>108.3</v>
      </c>
      <c r="L15" s="121"/>
      <c r="M15" s="121"/>
      <c r="N15" s="124" t="s">
        <v>99</v>
      </c>
      <c r="O15" s="317" t="s">
        <v>280</v>
      </c>
      <c r="P15" s="318"/>
      <c r="Q15" s="319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12724</v>
      </c>
      <c r="C16" s="56" t="s">
        <v>265</v>
      </c>
      <c r="D16" s="195" t="s">
        <v>266</v>
      </c>
      <c r="E16" s="171" t="s">
        <v>92</v>
      </c>
      <c r="F16" s="164">
        <v>1130</v>
      </c>
      <c r="G16" s="113" t="s">
        <v>118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317"/>
      <c r="P16" s="318"/>
      <c r="Q16" s="319"/>
      <c r="R16" s="73">
        <f>H32/U16</f>
        <v>0.3524229074889868</v>
      </c>
      <c r="S16" s="74">
        <f>H32/(U16-U5)</f>
        <v>0.41884816753926701</v>
      </c>
      <c r="T16" s="74">
        <f>C32/U16</f>
        <v>36.105726872246699</v>
      </c>
      <c r="U16" s="74">
        <f>SUM(U5:U15)</f>
        <v>56.75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12725</v>
      </c>
      <c r="C17" s="17" t="s">
        <v>270</v>
      </c>
      <c r="D17" s="193" t="s">
        <v>271</v>
      </c>
      <c r="E17" s="171" t="s">
        <v>92</v>
      </c>
      <c r="F17" s="57">
        <v>1130</v>
      </c>
      <c r="G17" s="112" t="s">
        <v>110</v>
      </c>
      <c r="H17" s="114"/>
      <c r="I17" s="115"/>
      <c r="J17" s="120" t="str">
        <f t="shared" si="1"/>
        <v>0</v>
      </c>
      <c r="K17" s="120">
        <v>62.5</v>
      </c>
      <c r="L17" s="121"/>
      <c r="M17" s="121"/>
      <c r="N17" s="124" t="s">
        <v>99</v>
      </c>
      <c r="O17" s="317" t="s">
        <v>272</v>
      </c>
      <c r="P17" s="318"/>
      <c r="Q17" s="319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12726</v>
      </c>
      <c r="C18" s="17" t="s">
        <v>273</v>
      </c>
      <c r="D18" s="193" t="s">
        <v>274</v>
      </c>
      <c r="E18" s="171" t="s">
        <v>92</v>
      </c>
      <c r="F18" s="57">
        <v>1200</v>
      </c>
      <c r="G18" s="19" t="s">
        <v>118</v>
      </c>
      <c r="H18" s="114">
        <v>95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317"/>
      <c r="P18" s="318"/>
      <c r="Q18" s="319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12727</v>
      </c>
      <c r="C19" s="17" t="s">
        <v>275</v>
      </c>
      <c r="D19" s="193" t="s">
        <v>281</v>
      </c>
      <c r="E19" s="171" t="s">
        <v>91</v>
      </c>
      <c r="F19" s="57">
        <v>1230</v>
      </c>
      <c r="G19" s="112" t="s">
        <v>142</v>
      </c>
      <c r="H19" s="114"/>
      <c r="I19" s="115">
        <v>55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317"/>
      <c r="P19" s="318"/>
      <c r="Q19" s="318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12728</v>
      </c>
      <c r="C20" s="17" t="s">
        <v>276</v>
      </c>
      <c r="D20" s="193" t="s">
        <v>277</v>
      </c>
      <c r="E20" s="171" t="s">
        <v>92</v>
      </c>
      <c r="F20" s="57">
        <v>1230</v>
      </c>
      <c r="G20" s="112" t="s">
        <v>142</v>
      </c>
      <c r="H20" s="114">
        <v>75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320"/>
      <c r="P20" s="321"/>
      <c r="Q20" s="32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12729</v>
      </c>
      <c r="C21" s="17" t="s">
        <v>282</v>
      </c>
      <c r="D21" s="193" t="s">
        <v>283</v>
      </c>
      <c r="E21" s="171" t="s">
        <v>91</v>
      </c>
      <c r="F21" s="57">
        <v>1250</v>
      </c>
      <c r="G21" s="19" t="s">
        <v>118</v>
      </c>
      <c r="H21" s="114">
        <v>75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99</v>
      </c>
      <c r="O21" s="317"/>
      <c r="P21" s="318"/>
      <c r="Q21" s="318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12730</v>
      </c>
      <c r="C22" s="21" t="s">
        <v>284</v>
      </c>
      <c r="D22" s="196" t="s">
        <v>285</v>
      </c>
      <c r="E22" s="171" t="s">
        <v>91</v>
      </c>
      <c r="F22" s="165">
        <v>1250</v>
      </c>
      <c r="G22" s="204" t="s">
        <v>118</v>
      </c>
      <c r="H22" s="80">
        <v>95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99</v>
      </c>
      <c r="O22" s="317"/>
      <c r="P22" s="318"/>
      <c r="Q22" s="319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12731</v>
      </c>
      <c r="C23" s="126" t="s">
        <v>286</v>
      </c>
      <c r="D23" s="197" t="s">
        <v>287</v>
      </c>
      <c r="E23" s="171" t="s">
        <v>91</v>
      </c>
      <c r="F23" s="166">
        <v>1500</v>
      </c>
      <c r="G23" s="155" t="s">
        <v>288</v>
      </c>
      <c r="H23" s="80">
        <v>100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99</v>
      </c>
      <c r="O23" s="153"/>
      <c r="P23" s="154"/>
      <c r="Q23" s="149"/>
      <c r="R23" s="104"/>
      <c r="S23" s="105"/>
      <c r="T23" s="105"/>
      <c r="U23" s="106"/>
      <c r="X23" s="315"/>
      <c r="Y23" s="316"/>
      <c r="Z23" s="316"/>
    </row>
    <row r="24" spans="1:44" ht="16.5" customHeight="1" thickBot="1" x14ac:dyDescent="0.35">
      <c r="A24" s="125">
        <v>20</v>
      </c>
      <c r="B24" s="123">
        <v>12732</v>
      </c>
      <c r="C24" s="21" t="s">
        <v>289</v>
      </c>
      <c r="D24" s="196" t="s">
        <v>290</v>
      </c>
      <c r="E24" s="171" t="s">
        <v>92</v>
      </c>
      <c r="F24" s="165">
        <v>1620</v>
      </c>
      <c r="G24" s="204" t="s">
        <v>118</v>
      </c>
      <c r="H24" s="80"/>
      <c r="I24" s="131">
        <v>95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99</v>
      </c>
      <c r="O24" s="317"/>
      <c r="P24" s="318"/>
      <c r="Q24" s="319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7"/>
      <c r="P25" s="318"/>
      <c r="Q25" s="319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2">
        <f>((C32+(R26+S26+T26)*0.5))</f>
        <v>2049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7"/>
      <c r="P26" s="318"/>
      <c r="Q26" s="319"/>
      <c r="R26" s="103">
        <f>R25*37.5</f>
        <v>0</v>
      </c>
      <c r="S26" s="93">
        <f>S25*41.5</f>
        <v>0</v>
      </c>
      <c r="T26" s="93">
        <f>T25*50</f>
        <v>0</v>
      </c>
      <c r="U26" s="32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7"/>
      <c r="P27" s="318"/>
      <c r="Q27" s="319"/>
      <c r="R27" s="331" t="s">
        <v>56</v>
      </c>
      <c r="S27" s="332"/>
      <c r="T27" s="332"/>
      <c r="U27" s="33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7"/>
      <c r="P28" s="318"/>
      <c r="Q28" s="319"/>
      <c r="R28" s="324"/>
      <c r="S28" s="325"/>
      <c r="T28" s="32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0"/>
      <c r="P29" s="341"/>
      <c r="Q29" s="342"/>
      <c r="R29" s="343"/>
      <c r="S29" s="344"/>
      <c r="T29" s="345"/>
      <c r="U29" s="140"/>
      <c r="X29" s="14">
        <v>3</v>
      </c>
      <c r="Z29" s="45"/>
      <c r="AE29" s="39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01">
        <f t="shared" ref="H30:M30" si="3">SUM(H5:H29)</f>
        <v>1220</v>
      </c>
      <c r="I30" s="96">
        <f>SUM(I5:I29)</f>
        <v>375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454</v>
      </c>
      <c r="L30" s="97">
        <f t="shared" si="3"/>
        <v>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9"/>
      <c r="S30" s="349"/>
      <c r="T30" s="350"/>
      <c r="U30" s="141"/>
      <c r="X30" s="14">
        <v>4</v>
      </c>
      <c r="Z30" s="45"/>
      <c r="AD30" s="46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02">
        <f t="shared" ref="H31:J31" si="4">H30+H62+H94</f>
        <v>1220</v>
      </c>
      <c r="I31" s="94">
        <f t="shared" si="4"/>
        <v>375</v>
      </c>
      <c r="J31" s="94">
        <f t="shared" si="4"/>
        <v>0</v>
      </c>
      <c r="K31" s="94">
        <f>K30+K62+K94</f>
        <v>454</v>
      </c>
      <c r="L31" s="88">
        <f>L30+L62+L94</f>
        <v>0</v>
      </c>
      <c r="M31" s="88">
        <f>M30+M62+M94</f>
        <v>475</v>
      </c>
      <c r="N31" s="207">
        <f>COUNT(H5:H29,H37:H61,H69:H93)</f>
        <v>10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1220</v>
      </c>
      <c r="T31" s="336">
        <f>H31+I31+L31+M31</f>
        <v>2070</v>
      </c>
      <c r="U31" s="337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7" t="s">
        <v>55</v>
      </c>
      <c r="B32" s="328"/>
      <c r="C32" s="98">
        <f>H31+I31+J31+K31</f>
        <v>2049</v>
      </c>
      <c r="D32" s="186"/>
      <c r="E32" s="98"/>
      <c r="F32" s="329" t="s">
        <v>53</v>
      </c>
      <c r="G32" s="329"/>
      <c r="H32" s="100">
        <f>COUNT(B5:B29,B37:B61,B69:B93)</f>
        <v>20</v>
      </c>
      <c r="I32" s="330" t="s">
        <v>54</v>
      </c>
      <c r="J32" s="330"/>
      <c r="K32" s="99">
        <f>C32/H32</f>
        <v>102.45</v>
      </c>
      <c r="L32" s="208"/>
      <c r="M32" s="208"/>
      <c r="N32" s="208">
        <f>H31/C32</f>
        <v>0.59541239629087361</v>
      </c>
      <c r="O32" s="208">
        <f>I31/C32</f>
        <v>0.18301610541727673</v>
      </c>
      <c r="P32" s="208">
        <f>K31/C32</f>
        <v>0.22157149829184969</v>
      </c>
      <c r="Q32" s="101">
        <f>J31/C32</f>
        <v>0</v>
      </c>
      <c r="R32" s="90" t="s">
        <v>82</v>
      </c>
      <c r="S32" s="203">
        <f>I31+M31</f>
        <v>850</v>
      </c>
      <c r="T32" s="338"/>
      <c r="U32" s="339"/>
      <c r="V32" s="39"/>
      <c r="W32" s="39"/>
      <c r="X32" s="48" t="s">
        <v>27</v>
      </c>
      <c r="Y32" s="48"/>
      <c r="Z32" s="47">
        <f>I31</f>
        <v>375</v>
      </c>
    </row>
    <row r="33" spans="1:33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49" t="s">
        <v>29</v>
      </c>
      <c r="Y33" s="49"/>
      <c r="Z33" s="50">
        <f>SUM(Z31:Z32)</f>
        <v>-2370</v>
      </c>
      <c r="AG33" s="35"/>
    </row>
    <row r="34" spans="1:33" ht="17.25" thickBot="1" x14ac:dyDescent="0.35">
      <c r="A34" s="292" t="str">
        <f>A2</f>
        <v>8 - 12 - 2022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SUNNY</v>
      </c>
      <c r="K34" s="294"/>
      <c r="L34" s="296" t="s">
        <v>50</v>
      </c>
      <c r="M34" s="297"/>
      <c r="N34" s="295"/>
      <c r="O34" s="293" t="str">
        <f>O2</f>
        <v>JOHN</v>
      </c>
      <c r="P34" s="293"/>
      <c r="Q34" s="294"/>
      <c r="R34" s="296" t="s">
        <v>51</v>
      </c>
      <c r="S34" s="295"/>
      <c r="T34" s="298">
        <f>T2</f>
        <v>7</v>
      </c>
      <c r="U34" s="298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2" t="s">
        <v>8</v>
      </c>
      <c r="P36" s="302"/>
      <c r="Q36" s="30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7"/>
      <c r="P37" s="318"/>
      <c r="Q37" s="319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06"/>
      <c r="P38" s="307"/>
      <c r="Q38" s="308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7"/>
      <c r="P39" s="318"/>
      <c r="Q39" s="319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2"/>
      <c r="P40" s="313"/>
      <c r="Q40" s="31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2"/>
      <c r="P41" s="313"/>
      <c r="Q41" s="31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9"/>
      <c r="P42" s="300"/>
      <c r="Q42" s="301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7"/>
      <c r="P43" s="318"/>
      <c r="Q43" s="319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7"/>
      <c r="P44" s="318"/>
      <c r="Q44" s="319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7"/>
      <c r="P45" s="318"/>
      <c r="Q45" s="319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7"/>
      <c r="P46" s="318"/>
      <c r="Q46" s="319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7"/>
      <c r="P47" s="318"/>
      <c r="Q47" s="319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7"/>
      <c r="P48" s="318"/>
      <c r="Q48" s="319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7"/>
      <c r="P49" s="318"/>
      <c r="Q49" s="319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7"/>
      <c r="P50" s="318"/>
      <c r="Q50" s="319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7"/>
      <c r="P51" s="318"/>
      <c r="Q51" s="318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7"/>
      <c r="P52" s="318"/>
      <c r="Q52" s="318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53"/>
      <c r="P53" s="317"/>
      <c r="Q53" s="317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53"/>
      <c r="P54" s="317"/>
      <c r="Q54" s="317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53"/>
      <c r="P55" s="317"/>
      <c r="Q55" s="317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8"/>
      <c r="P56" s="318"/>
      <c r="Q56" s="318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7"/>
      <c r="P57" s="318"/>
      <c r="Q57" s="318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8"/>
      <c r="P58" s="318"/>
      <c r="Q58" s="318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8"/>
      <c r="P59" s="318"/>
      <c r="Q59" s="318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7"/>
      <c r="P60" s="318"/>
      <c r="Q60" s="319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54"/>
      <c r="P61" s="355"/>
      <c r="Q61" s="356"/>
      <c r="R61" s="72"/>
      <c r="S61" s="59"/>
      <c r="T61" s="59"/>
      <c r="U61" s="68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8 - 12 - 2022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SUNNY</v>
      </c>
      <c r="K66" s="294"/>
      <c r="L66" s="296" t="s">
        <v>50</v>
      </c>
      <c r="M66" s="297"/>
      <c r="N66" s="295"/>
      <c r="O66" s="293" t="str">
        <f>O34</f>
        <v>JOHN</v>
      </c>
      <c r="P66" s="293"/>
      <c r="Q66" s="294"/>
      <c r="R66" s="296" t="s">
        <v>51</v>
      </c>
      <c r="S66" s="295"/>
      <c r="T66" s="298">
        <f>T34</f>
        <v>7</v>
      </c>
      <c r="U66" s="298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2" t="s">
        <v>8</v>
      </c>
      <c r="P68" s="302"/>
      <c r="Q68" s="30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7"/>
      <c r="P69" s="318"/>
      <c r="Q69" s="319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06"/>
      <c r="P70" s="307"/>
      <c r="Q70" s="308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7"/>
      <c r="P71" s="318"/>
      <c r="Q71" s="319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2"/>
      <c r="P72" s="313"/>
      <c r="Q72" s="31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2"/>
      <c r="P73" s="313"/>
      <c r="Q73" s="31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9"/>
      <c r="P74" s="300"/>
      <c r="Q74" s="301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7"/>
      <c r="P75" s="318"/>
      <c r="Q75" s="319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7"/>
      <c r="P76" s="318"/>
      <c r="Q76" s="319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7"/>
      <c r="P77" s="318"/>
      <c r="Q77" s="319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7"/>
      <c r="P78" s="318"/>
      <c r="Q78" s="319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7"/>
      <c r="P79" s="318"/>
      <c r="Q79" s="319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7"/>
      <c r="P80" s="318"/>
      <c r="Q80" s="319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7"/>
      <c r="P81" s="318"/>
      <c r="Q81" s="319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7"/>
      <c r="P82" s="318"/>
      <c r="Q82" s="319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7"/>
      <c r="P83" s="318"/>
      <c r="Q83" s="318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7"/>
      <c r="P84" s="318"/>
      <c r="Q84" s="318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53"/>
      <c r="P85" s="317"/>
      <c r="Q85" s="317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53"/>
      <c r="P86" s="317"/>
      <c r="Q86" s="317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53"/>
      <c r="P87" s="317"/>
      <c r="Q87" s="317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8"/>
      <c r="P88" s="318"/>
      <c r="Q88" s="318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7"/>
      <c r="P89" s="318"/>
      <c r="Q89" s="318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8"/>
      <c r="P90" s="318"/>
      <c r="Q90" s="318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8"/>
      <c r="P91" s="318"/>
      <c r="Q91" s="318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7"/>
      <c r="P92" s="318"/>
      <c r="Q92" s="319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54"/>
      <c r="P93" s="355"/>
      <c r="Q93" s="356"/>
      <c r="R93" s="72"/>
      <c r="S93" s="59"/>
      <c r="T93" s="59"/>
      <c r="U93" s="68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="80" zoomScaleNormal="80" zoomScaleSheetLayoutView="77" workbookViewId="0">
      <selection activeCell="N26" sqref="N2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195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291</v>
      </c>
      <c r="K2" s="294"/>
      <c r="L2" s="296" t="s">
        <v>96</v>
      </c>
      <c r="M2" s="297"/>
      <c r="N2" s="295"/>
      <c r="O2" s="293" t="s">
        <v>101</v>
      </c>
      <c r="P2" s="293"/>
      <c r="Q2" s="294"/>
      <c r="R2" s="296" t="s">
        <v>51</v>
      </c>
      <c r="S2" s="295"/>
      <c r="T2" s="298">
        <v>8</v>
      </c>
      <c r="U2" s="298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2" t="s">
        <v>8</v>
      </c>
      <c r="P4" s="302"/>
      <c r="Q4" s="30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12733</v>
      </c>
      <c r="C5" s="59" t="s">
        <v>294</v>
      </c>
      <c r="D5" s="190" t="s">
        <v>295</v>
      </c>
      <c r="E5" s="171" t="s">
        <v>92</v>
      </c>
      <c r="F5" s="160">
        <v>900</v>
      </c>
      <c r="G5" s="109" t="s">
        <v>118</v>
      </c>
      <c r="H5" s="82"/>
      <c r="I5" s="115">
        <v>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101</v>
      </c>
      <c r="O5" s="303"/>
      <c r="P5" s="304"/>
      <c r="Q5" s="305"/>
      <c r="R5" s="32" t="s">
        <v>101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12734</v>
      </c>
      <c r="C6" s="58" t="s">
        <v>292</v>
      </c>
      <c r="D6" s="190" t="s">
        <v>293</v>
      </c>
      <c r="E6" s="171" t="s">
        <v>92</v>
      </c>
      <c r="F6" s="161">
        <v>940</v>
      </c>
      <c r="G6" s="109" t="s">
        <v>142</v>
      </c>
      <c r="H6" s="82"/>
      <c r="I6" s="115">
        <v>55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101</v>
      </c>
      <c r="O6" s="306"/>
      <c r="P6" s="307"/>
      <c r="Q6" s="308"/>
      <c r="R6" s="122" t="s">
        <v>103</v>
      </c>
      <c r="S6" s="30">
        <v>0.35416666666666669</v>
      </c>
      <c r="T6" s="31">
        <v>0.5625</v>
      </c>
      <c r="U6" s="83">
        <f t="shared" si="0"/>
        <v>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12735</v>
      </c>
      <c r="C7" s="58" t="s">
        <v>296</v>
      </c>
      <c r="D7" s="190" t="s">
        <v>297</v>
      </c>
      <c r="E7" s="171" t="s">
        <v>92</v>
      </c>
      <c r="F7" s="161">
        <v>1000</v>
      </c>
      <c r="G7" s="109" t="s">
        <v>142</v>
      </c>
      <c r="H7" s="82"/>
      <c r="I7" s="115">
        <v>75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101</v>
      </c>
      <c r="O7" s="317"/>
      <c r="P7" s="318"/>
      <c r="Q7" s="319"/>
      <c r="R7" s="124" t="s">
        <v>153</v>
      </c>
      <c r="S7" s="30">
        <v>0.35416666666666669</v>
      </c>
      <c r="T7" s="31">
        <v>0.67708333333333337</v>
      </c>
      <c r="U7" s="83">
        <f t="shared" si="0"/>
        <v>7.75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12736</v>
      </c>
      <c r="C8" s="26" t="s">
        <v>298</v>
      </c>
      <c r="D8" s="190" t="s">
        <v>299</v>
      </c>
      <c r="E8" s="171" t="s">
        <v>92</v>
      </c>
      <c r="F8" s="161">
        <v>1005</v>
      </c>
      <c r="G8" s="109" t="s">
        <v>107</v>
      </c>
      <c r="H8" s="82">
        <v>130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101</v>
      </c>
      <c r="O8" s="312"/>
      <c r="P8" s="313"/>
      <c r="Q8" s="314"/>
      <c r="R8" s="25" t="s">
        <v>104</v>
      </c>
      <c r="S8" s="30">
        <v>0.42708333333333331</v>
      </c>
      <c r="T8" s="31">
        <v>0.70833333333333337</v>
      </c>
      <c r="U8" s="83">
        <f t="shared" si="0"/>
        <v>6.7500000000000018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12737</v>
      </c>
      <c r="C9" s="54" t="s">
        <v>300</v>
      </c>
      <c r="D9" s="191" t="s">
        <v>301</v>
      </c>
      <c r="E9" s="171" t="s">
        <v>92</v>
      </c>
      <c r="F9" s="162">
        <v>1010</v>
      </c>
      <c r="G9" s="110" t="s">
        <v>107</v>
      </c>
      <c r="H9" s="82">
        <v>100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101</v>
      </c>
      <c r="O9" s="312"/>
      <c r="P9" s="313"/>
      <c r="Q9" s="314"/>
      <c r="R9" s="25" t="s">
        <v>105</v>
      </c>
      <c r="S9" s="30">
        <v>0.375</v>
      </c>
      <c r="T9" s="31">
        <v>0.6875</v>
      </c>
      <c r="U9" s="83">
        <f t="shared" si="0"/>
        <v>7.5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12738</v>
      </c>
      <c r="C10" s="27" t="s">
        <v>302</v>
      </c>
      <c r="D10" s="192" t="s">
        <v>303</v>
      </c>
      <c r="E10" s="171" t="s">
        <v>92</v>
      </c>
      <c r="F10" s="163">
        <v>1100</v>
      </c>
      <c r="G10" s="111" t="s">
        <v>145</v>
      </c>
      <c r="H10" s="114"/>
      <c r="I10" s="116">
        <v>50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101</v>
      </c>
      <c r="O10" s="299"/>
      <c r="P10" s="300"/>
      <c r="Q10" s="301"/>
      <c r="R10" s="25" t="s">
        <v>191</v>
      </c>
      <c r="S10" s="30">
        <v>0.375</v>
      </c>
      <c r="T10" s="31">
        <v>0.6875</v>
      </c>
      <c r="U10" s="83">
        <f t="shared" si="0"/>
        <v>7.5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12739</v>
      </c>
      <c r="C11" s="17" t="s">
        <v>304</v>
      </c>
      <c r="D11" s="193" t="s">
        <v>305</v>
      </c>
      <c r="E11" s="171" t="s">
        <v>92</v>
      </c>
      <c r="F11" s="57">
        <v>1110</v>
      </c>
      <c r="G11" s="112" t="s">
        <v>142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101</v>
      </c>
      <c r="O11" s="317"/>
      <c r="P11" s="318"/>
      <c r="Q11" s="319"/>
      <c r="R11" s="25" t="s">
        <v>236</v>
      </c>
      <c r="S11" s="30">
        <v>0.375</v>
      </c>
      <c r="T11" s="31">
        <v>0.6875</v>
      </c>
      <c r="U11" s="83">
        <f t="shared" si="0"/>
        <v>7.5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12740</v>
      </c>
      <c r="C12" s="55" t="s">
        <v>306</v>
      </c>
      <c r="D12" s="194" t="s">
        <v>307</v>
      </c>
      <c r="E12" s="171" t="s">
        <v>92</v>
      </c>
      <c r="F12" s="163">
        <v>1120</v>
      </c>
      <c r="G12" s="110" t="s">
        <v>142</v>
      </c>
      <c r="H12" s="114">
        <v>75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101</v>
      </c>
      <c r="O12" s="317"/>
      <c r="P12" s="318"/>
      <c r="Q12" s="319"/>
      <c r="R12" s="283" t="s">
        <v>312</v>
      </c>
      <c r="S12" s="30">
        <v>0.54166666666666663</v>
      </c>
      <c r="T12" s="31">
        <v>0.6875</v>
      </c>
      <c r="U12" s="83">
        <f t="shared" si="0"/>
        <v>3.5000000000000009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12741</v>
      </c>
      <c r="C13" s="55" t="s">
        <v>308</v>
      </c>
      <c r="D13" s="194" t="s">
        <v>309</v>
      </c>
      <c r="E13" s="171" t="s">
        <v>92</v>
      </c>
      <c r="F13" s="163">
        <v>1135</v>
      </c>
      <c r="G13" s="110" t="s">
        <v>107</v>
      </c>
      <c r="H13" s="159"/>
      <c r="I13" s="158">
        <v>160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101</v>
      </c>
      <c r="O13" s="317"/>
      <c r="P13" s="318"/>
      <c r="Q13" s="319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12742</v>
      </c>
      <c r="C14" s="56" t="s">
        <v>310</v>
      </c>
      <c r="D14" s="195" t="s">
        <v>311</v>
      </c>
      <c r="E14" s="171" t="s">
        <v>92</v>
      </c>
      <c r="F14" s="164">
        <v>1145</v>
      </c>
      <c r="G14" s="113" t="s">
        <v>118</v>
      </c>
      <c r="H14" s="114"/>
      <c r="I14" s="116">
        <v>100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101</v>
      </c>
      <c r="O14" s="317"/>
      <c r="P14" s="318"/>
      <c r="Q14" s="319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12743</v>
      </c>
      <c r="C15" s="56" t="s">
        <v>317</v>
      </c>
      <c r="D15" s="195" t="s">
        <v>318</v>
      </c>
      <c r="E15" s="171" t="s">
        <v>91</v>
      </c>
      <c r="F15" s="164">
        <v>1145</v>
      </c>
      <c r="G15" s="113" t="s">
        <v>160</v>
      </c>
      <c r="H15" s="114">
        <v>180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101</v>
      </c>
      <c r="O15" s="317"/>
      <c r="P15" s="318"/>
      <c r="Q15" s="319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12744</v>
      </c>
      <c r="C16" s="56" t="s">
        <v>315</v>
      </c>
      <c r="D16" s="195" t="s">
        <v>316</v>
      </c>
      <c r="E16" s="171" t="s">
        <v>92</v>
      </c>
      <c r="F16" s="164">
        <v>1200</v>
      </c>
      <c r="G16" s="113" t="s">
        <v>145</v>
      </c>
      <c r="H16" s="114"/>
      <c r="I16" s="115">
        <v>50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104</v>
      </c>
      <c r="O16" s="317"/>
      <c r="P16" s="318"/>
      <c r="Q16" s="319"/>
      <c r="R16" s="73">
        <f>H32/U16</f>
        <v>0.33027522935779818</v>
      </c>
      <c r="S16" s="74">
        <f>H32/(U16-U5)</f>
        <v>0.39560439560439559</v>
      </c>
      <c r="T16" s="74">
        <f>C32/U16</f>
        <v>34.954128440366972</v>
      </c>
      <c r="U16" s="74">
        <f>SUM(U5:U15)</f>
        <v>54.5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12745</v>
      </c>
      <c r="C17" s="17" t="s">
        <v>313</v>
      </c>
      <c r="D17" s="193" t="s">
        <v>314</v>
      </c>
      <c r="E17" s="171" t="s">
        <v>92</v>
      </c>
      <c r="F17" s="57">
        <v>1235</v>
      </c>
      <c r="G17" s="112" t="s">
        <v>118</v>
      </c>
      <c r="H17" s="114">
        <v>95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104</v>
      </c>
      <c r="O17" s="317"/>
      <c r="P17" s="318"/>
      <c r="Q17" s="319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12746</v>
      </c>
      <c r="C18" s="17" t="s">
        <v>323</v>
      </c>
      <c r="D18" s="193" t="s">
        <v>322</v>
      </c>
      <c r="E18" s="171" t="s">
        <v>91</v>
      </c>
      <c r="F18" s="57">
        <v>1315</v>
      </c>
      <c r="G18" s="19" t="s">
        <v>107</v>
      </c>
      <c r="H18" s="114"/>
      <c r="I18" s="115">
        <v>150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153</v>
      </c>
      <c r="O18" s="317"/>
      <c r="P18" s="318"/>
      <c r="Q18" s="319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12747</v>
      </c>
      <c r="C19" s="17" t="s">
        <v>319</v>
      </c>
      <c r="D19" s="193" t="s">
        <v>320</v>
      </c>
      <c r="E19" s="171" t="s">
        <v>91</v>
      </c>
      <c r="F19" s="57">
        <v>1400</v>
      </c>
      <c r="G19" s="112" t="s">
        <v>118</v>
      </c>
      <c r="H19" s="114">
        <v>95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101</v>
      </c>
      <c r="O19" s="317"/>
      <c r="P19" s="318"/>
      <c r="Q19" s="318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12748</v>
      </c>
      <c r="C20" s="17" t="s">
        <v>326</v>
      </c>
      <c r="D20" s="193" t="s">
        <v>327</v>
      </c>
      <c r="E20" s="171" t="s">
        <v>92</v>
      </c>
      <c r="F20" s="57">
        <v>1400</v>
      </c>
      <c r="G20" s="112" t="s">
        <v>321</v>
      </c>
      <c r="H20" s="114">
        <v>250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101</v>
      </c>
      <c r="O20" s="320"/>
      <c r="P20" s="321"/>
      <c r="Q20" s="32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12749</v>
      </c>
      <c r="C21" s="17" t="s">
        <v>324</v>
      </c>
      <c r="D21" s="193" t="s">
        <v>325</v>
      </c>
      <c r="E21" s="171" t="s">
        <v>91</v>
      </c>
      <c r="F21" s="57">
        <v>1500</v>
      </c>
      <c r="G21" s="19" t="s">
        <v>142</v>
      </c>
      <c r="H21" s="114">
        <v>75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101</v>
      </c>
      <c r="O21" s="317"/>
      <c r="P21" s="318"/>
      <c r="Q21" s="318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12750</v>
      </c>
      <c r="C22" s="21" t="s">
        <v>328</v>
      </c>
      <c r="D22" s="196" t="s">
        <v>329</v>
      </c>
      <c r="E22" s="171" t="s">
        <v>92</v>
      </c>
      <c r="F22" s="165">
        <v>1545</v>
      </c>
      <c r="G22" s="204" t="s">
        <v>118</v>
      </c>
      <c r="H22" s="80"/>
      <c r="I22" s="131">
        <v>95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153</v>
      </c>
      <c r="O22" s="317"/>
      <c r="P22" s="318"/>
      <c r="Q22" s="319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15"/>
      <c r="Y23" s="316"/>
      <c r="Z23" s="316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17"/>
      <c r="P24" s="318"/>
      <c r="Q24" s="319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7"/>
      <c r="P25" s="318"/>
      <c r="Q25" s="319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2">
        <f>((C32+(R26+S26+T26)*0.5))</f>
        <v>1905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7"/>
      <c r="P26" s="318"/>
      <c r="Q26" s="319"/>
      <c r="R26" s="103">
        <f>R25*37.5</f>
        <v>0</v>
      </c>
      <c r="S26" s="93">
        <f>S25*41.5</f>
        <v>0</v>
      </c>
      <c r="T26" s="93">
        <f>T25*50</f>
        <v>0</v>
      </c>
      <c r="U26" s="32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7"/>
      <c r="P27" s="318"/>
      <c r="Q27" s="319"/>
      <c r="R27" s="331" t="s">
        <v>56</v>
      </c>
      <c r="S27" s="332"/>
      <c r="T27" s="332"/>
      <c r="U27" s="33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7"/>
      <c r="P28" s="318"/>
      <c r="Q28" s="319"/>
      <c r="R28" s="324"/>
      <c r="S28" s="325"/>
      <c r="T28" s="32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0"/>
      <c r="P29" s="341"/>
      <c r="Q29" s="342"/>
      <c r="R29" s="343"/>
      <c r="S29" s="344"/>
      <c r="T29" s="345"/>
      <c r="U29" s="140"/>
      <c r="X29" s="14">
        <v>3</v>
      </c>
      <c r="Z29" s="45"/>
      <c r="AE29" s="39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01">
        <f t="shared" ref="H30:M30" si="3">SUM(H5:H29)</f>
        <v>1075</v>
      </c>
      <c r="I30" s="96">
        <f>SUM(I5:I29)</f>
        <v>830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9"/>
      <c r="S30" s="349"/>
      <c r="T30" s="350"/>
      <c r="U30" s="141"/>
      <c r="X30" s="14">
        <v>4</v>
      </c>
      <c r="Z30" s="45"/>
      <c r="AD30" s="46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02">
        <f t="shared" ref="H31:J31" si="4">H30+H62+H94</f>
        <v>1075</v>
      </c>
      <c r="I31" s="94">
        <f t="shared" si="4"/>
        <v>830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9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1075</v>
      </c>
      <c r="T31" s="336">
        <f>H31+I31+L31+M31</f>
        <v>1905</v>
      </c>
      <c r="U31" s="337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7" t="s">
        <v>55</v>
      </c>
      <c r="B32" s="328"/>
      <c r="C32" s="98">
        <f>H31+I31+J31+K31</f>
        <v>1905</v>
      </c>
      <c r="D32" s="186"/>
      <c r="E32" s="98"/>
      <c r="F32" s="329" t="s">
        <v>53</v>
      </c>
      <c r="G32" s="329"/>
      <c r="H32" s="100">
        <f>COUNT(B5:B29,B37:B61,B69:B93)</f>
        <v>18</v>
      </c>
      <c r="I32" s="330" t="s">
        <v>54</v>
      </c>
      <c r="J32" s="330"/>
      <c r="K32" s="99">
        <f>C32/H32</f>
        <v>105.83333333333333</v>
      </c>
      <c r="L32" s="208"/>
      <c r="M32" s="208"/>
      <c r="N32" s="208">
        <f>H31/C32</f>
        <v>0.56430446194225725</v>
      </c>
      <c r="O32" s="208">
        <f>I31/C32</f>
        <v>0.4356955380577428</v>
      </c>
      <c r="P32" s="208">
        <f>K31/C32</f>
        <v>0</v>
      </c>
      <c r="Q32" s="101">
        <f>J31/C32</f>
        <v>0</v>
      </c>
      <c r="R32" s="90" t="s">
        <v>82</v>
      </c>
      <c r="S32" s="203">
        <f>I31+M31</f>
        <v>830</v>
      </c>
      <c r="T32" s="338"/>
      <c r="U32" s="339"/>
      <c r="V32" s="39"/>
      <c r="W32" s="39"/>
      <c r="X32" s="48" t="s">
        <v>27</v>
      </c>
      <c r="Y32" s="48"/>
      <c r="Z32" s="47">
        <f>I31</f>
        <v>830</v>
      </c>
    </row>
    <row r="33" spans="1:33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49" t="s">
        <v>29</v>
      </c>
      <c r="Y33" s="49"/>
      <c r="Z33" s="50">
        <f>SUM(Z31:Z32)</f>
        <v>-1915</v>
      </c>
      <c r="AG33" s="35"/>
    </row>
    <row r="34" spans="1:33" ht="17.25" thickBot="1" x14ac:dyDescent="0.35">
      <c r="A34" s="292" t="str">
        <f>A2</f>
        <v>9 - 12 - 2022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CLOUDY</v>
      </c>
      <c r="K34" s="294"/>
      <c r="L34" s="296" t="s">
        <v>50</v>
      </c>
      <c r="M34" s="297"/>
      <c r="N34" s="295"/>
      <c r="O34" s="293" t="str">
        <f>O2</f>
        <v>HENDRA</v>
      </c>
      <c r="P34" s="293"/>
      <c r="Q34" s="294"/>
      <c r="R34" s="296" t="s">
        <v>51</v>
      </c>
      <c r="S34" s="295"/>
      <c r="T34" s="298">
        <f>T2</f>
        <v>8</v>
      </c>
      <c r="U34" s="298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2" t="s">
        <v>8</v>
      </c>
      <c r="P36" s="302"/>
      <c r="Q36" s="30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7"/>
      <c r="P37" s="318"/>
      <c r="Q37" s="319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06"/>
      <c r="P38" s="307"/>
      <c r="Q38" s="308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7"/>
      <c r="P39" s="318"/>
      <c r="Q39" s="319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2"/>
      <c r="P40" s="313"/>
      <c r="Q40" s="31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2"/>
      <c r="P41" s="313"/>
      <c r="Q41" s="31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9"/>
      <c r="P42" s="300"/>
      <c r="Q42" s="301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7"/>
      <c r="P43" s="318"/>
      <c r="Q43" s="319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7"/>
      <c r="P44" s="318"/>
      <c r="Q44" s="319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7"/>
      <c r="P45" s="318"/>
      <c r="Q45" s="319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7"/>
      <c r="P46" s="318"/>
      <c r="Q46" s="319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7"/>
      <c r="P47" s="318"/>
      <c r="Q47" s="319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7"/>
      <c r="P48" s="318"/>
      <c r="Q48" s="319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7"/>
      <c r="P49" s="318"/>
      <c r="Q49" s="319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7"/>
      <c r="P50" s="318"/>
      <c r="Q50" s="319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7"/>
      <c r="P51" s="318"/>
      <c r="Q51" s="318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7"/>
      <c r="P52" s="318"/>
      <c r="Q52" s="318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53"/>
      <c r="P53" s="317"/>
      <c r="Q53" s="317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53"/>
      <c r="P54" s="317"/>
      <c r="Q54" s="317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53"/>
      <c r="P55" s="317"/>
      <c r="Q55" s="317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8"/>
      <c r="P56" s="318"/>
      <c r="Q56" s="318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7"/>
      <c r="P57" s="318"/>
      <c r="Q57" s="318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8"/>
      <c r="P58" s="318"/>
      <c r="Q58" s="318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8"/>
      <c r="P59" s="318"/>
      <c r="Q59" s="318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7"/>
      <c r="P60" s="318"/>
      <c r="Q60" s="319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54"/>
      <c r="P61" s="355"/>
      <c r="Q61" s="356"/>
      <c r="R61" s="72"/>
      <c r="S61" s="59"/>
      <c r="T61" s="59"/>
      <c r="U61" s="68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9 - 12 - 2022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CLOUDY</v>
      </c>
      <c r="K66" s="294"/>
      <c r="L66" s="296" t="s">
        <v>50</v>
      </c>
      <c r="M66" s="297"/>
      <c r="N66" s="295"/>
      <c r="O66" s="293" t="str">
        <f>O34</f>
        <v>HENDRA</v>
      </c>
      <c r="P66" s="293"/>
      <c r="Q66" s="294"/>
      <c r="R66" s="296" t="s">
        <v>51</v>
      </c>
      <c r="S66" s="295"/>
      <c r="T66" s="298">
        <f>T34</f>
        <v>8</v>
      </c>
      <c r="U66" s="298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2" t="s">
        <v>8</v>
      </c>
      <c r="P68" s="302"/>
      <c r="Q68" s="30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7"/>
      <c r="P69" s="318"/>
      <c r="Q69" s="319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06"/>
      <c r="P70" s="307"/>
      <c r="Q70" s="308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7"/>
      <c r="P71" s="318"/>
      <c r="Q71" s="319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2"/>
      <c r="P72" s="313"/>
      <c r="Q72" s="31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2"/>
      <c r="P73" s="313"/>
      <c r="Q73" s="31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9"/>
      <c r="P74" s="300"/>
      <c r="Q74" s="301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7"/>
      <c r="P75" s="318"/>
      <c r="Q75" s="319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7"/>
      <c r="P76" s="318"/>
      <c r="Q76" s="319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7"/>
      <c r="P77" s="318"/>
      <c r="Q77" s="319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7"/>
      <c r="P78" s="318"/>
      <c r="Q78" s="319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7"/>
      <c r="P79" s="318"/>
      <c r="Q79" s="319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7"/>
      <c r="P80" s="318"/>
      <c r="Q80" s="319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7"/>
      <c r="P81" s="318"/>
      <c r="Q81" s="319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7"/>
      <c r="P82" s="318"/>
      <c r="Q82" s="319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7"/>
      <c r="P83" s="318"/>
      <c r="Q83" s="318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7"/>
      <c r="P84" s="318"/>
      <c r="Q84" s="318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53"/>
      <c r="P85" s="317"/>
      <c r="Q85" s="317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53"/>
      <c r="P86" s="317"/>
      <c r="Q86" s="317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53"/>
      <c r="P87" s="317"/>
      <c r="Q87" s="317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8"/>
      <c r="P88" s="318"/>
      <c r="Q88" s="318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7"/>
      <c r="P89" s="318"/>
      <c r="Q89" s="318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8"/>
      <c r="P90" s="318"/>
      <c r="Q90" s="318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8"/>
      <c r="P91" s="318"/>
      <c r="Q91" s="318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7"/>
      <c r="P92" s="318"/>
      <c r="Q92" s="319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54"/>
      <c r="P93" s="355"/>
      <c r="Q93" s="356"/>
      <c r="R93" s="72"/>
      <c r="S93" s="59"/>
      <c r="T93" s="59"/>
      <c r="U93" s="68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29" sqref="R29:T2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196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98</v>
      </c>
      <c r="K2" s="294"/>
      <c r="L2" s="296" t="s">
        <v>96</v>
      </c>
      <c r="M2" s="297"/>
      <c r="N2" s="295"/>
      <c r="O2" s="293" t="s">
        <v>99</v>
      </c>
      <c r="P2" s="293"/>
      <c r="Q2" s="294"/>
      <c r="R2" s="296" t="s">
        <v>51</v>
      </c>
      <c r="S2" s="295"/>
      <c r="T2" s="298">
        <v>8</v>
      </c>
      <c r="U2" s="298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2" t="s">
        <v>8</v>
      </c>
      <c r="P4" s="302"/>
      <c r="Q4" s="30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12751</v>
      </c>
      <c r="C5" s="59" t="s">
        <v>332</v>
      </c>
      <c r="D5" s="190" t="s">
        <v>333</v>
      </c>
      <c r="E5" s="171" t="s">
        <v>92</v>
      </c>
      <c r="F5" s="160">
        <v>810</v>
      </c>
      <c r="G5" s="109" t="s">
        <v>118</v>
      </c>
      <c r="H5" s="82">
        <v>75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303"/>
      <c r="P5" s="304"/>
      <c r="Q5" s="305"/>
      <c r="R5" s="32" t="s">
        <v>99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12752</v>
      </c>
      <c r="C6" s="58">
        <v>2088</v>
      </c>
      <c r="D6" s="190" t="s">
        <v>334</v>
      </c>
      <c r="E6" s="171" t="s">
        <v>92</v>
      </c>
      <c r="F6" s="161">
        <v>810</v>
      </c>
      <c r="G6" s="109" t="s">
        <v>110</v>
      </c>
      <c r="H6" s="82"/>
      <c r="I6" s="115"/>
      <c r="J6" s="120" t="str">
        <f t="shared" ref="J6:J29" si="1">IF(G6="RSL","55","0")</f>
        <v>0</v>
      </c>
      <c r="K6" s="120">
        <v>62.5</v>
      </c>
      <c r="L6" s="121"/>
      <c r="M6" s="121"/>
      <c r="N6" s="124" t="s">
        <v>99</v>
      </c>
      <c r="O6" s="306" t="s">
        <v>335</v>
      </c>
      <c r="P6" s="307"/>
      <c r="Q6" s="308"/>
      <c r="R6" s="122" t="s">
        <v>101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12753</v>
      </c>
      <c r="C7" s="58" t="s">
        <v>336</v>
      </c>
      <c r="D7" s="190" t="s">
        <v>337</v>
      </c>
      <c r="E7" s="171" t="s">
        <v>92</v>
      </c>
      <c r="F7" s="161">
        <v>855</v>
      </c>
      <c r="G7" s="109" t="s">
        <v>118</v>
      </c>
      <c r="H7" s="82"/>
      <c r="I7" s="115">
        <v>100</v>
      </c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101</v>
      </c>
      <c r="O7" s="317"/>
      <c r="P7" s="318"/>
      <c r="Q7" s="319"/>
      <c r="R7" s="124" t="s">
        <v>331</v>
      </c>
      <c r="S7" s="30">
        <v>0.33333333333333331</v>
      </c>
      <c r="T7" s="31">
        <v>0.70833333333333337</v>
      </c>
      <c r="U7" s="83">
        <f t="shared" si="0"/>
        <v>9.0000000000000018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284">
        <v>4</v>
      </c>
      <c r="B8" s="273">
        <v>12754</v>
      </c>
      <c r="C8" s="278" t="s">
        <v>339</v>
      </c>
      <c r="D8" s="285" t="s">
        <v>340</v>
      </c>
      <c r="E8" s="271" t="s">
        <v>92</v>
      </c>
      <c r="F8" s="286">
        <v>900</v>
      </c>
      <c r="G8" s="268" t="s">
        <v>118</v>
      </c>
      <c r="H8" s="276">
        <v>75</v>
      </c>
      <c r="I8" s="276"/>
      <c r="J8" s="276" t="str">
        <f t="shared" si="1"/>
        <v>0</v>
      </c>
      <c r="K8" s="276" t="str">
        <f t="shared" si="2"/>
        <v>0</v>
      </c>
      <c r="L8" s="277"/>
      <c r="M8" s="277"/>
      <c r="N8" s="278" t="s">
        <v>101</v>
      </c>
      <c r="O8" s="383" t="s">
        <v>338</v>
      </c>
      <c r="P8" s="384"/>
      <c r="Q8" s="385"/>
      <c r="R8" s="25" t="s">
        <v>103</v>
      </c>
      <c r="S8" s="30">
        <v>0.375</v>
      </c>
      <c r="T8" s="31">
        <v>0.70833333333333337</v>
      </c>
      <c r="U8" s="83">
        <f t="shared" si="0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12755</v>
      </c>
      <c r="C9" s="54" t="s">
        <v>341</v>
      </c>
      <c r="D9" s="191" t="s">
        <v>342</v>
      </c>
      <c r="E9" s="171" t="s">
        <v>91</v>
      </c>
      <c r="F9" s="162">
        <v>915</v>
      </c>
      <c r="G9" s="110" t="s">
        <v>118</v>
      </c>
      <c r="H9" s="82"/>
      <c r="I9" s="82">
        <v>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101</v>
      </c>
      <c r="O9" s="312"/>
      <c r="P9" s="313"/>
      <c r="Q9" s="314"/>
      <c r="R9" s="25" t="s">
        <v>191</v>
      </c>
      <c r="S9" s="30">
        <v>0.375</v>
      </c>
      <c r="T9" s="31">
        <v>0.70833333333333337</v>
      </c>
      <c r="U9" s="83">
        <f t="shared" si="0"/>
        <v>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12756</v>
      </c>
      <c r="C10" s="27" t="s">
        <v>343</v>
      </c>
      <c r="D10" s="192" t="s">
        <v>344</v>
      </c>
      <c r="E10" s="171" t="s">
        <v>92</v>
      </c>
      <c r="F10" s="163">
        <v>915</v>
      </c>
      <c r="G10" s="111" t="s">
        <v>118</v>
      </c>
      <c r="H10" s="114"/>
      <c r="I10" s="116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99" t="s">
        <v>345</v>
      </c>
      <c r="P10" s="300"/>
      <c r="Q10" s="301"/>
      <c r="R10" s="25" t="s">
        <v>105</v>
      </c>
      <c r="S10" s="30">
        <v>0.375</v>
      </c>
      <c r="T10" s="31">
        <v>0.70833333333333337</v>
      </c>
      <c r="U10" s="83">
        <f t="shared" si="0"/>
        <v>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12757</v>
      </c>
      <c r="C11" s="17" t="s">
        <v>346</v>
      </c>
      <c r="D11" s="193" t="s">
        <v>347</v>
      </c>
      <c r="E11" s="171" t="s">
        <v>92</v>
      </c>
      <c r="F11" s="57">
        <v>930</v>
      </c>
      <c r="G11" s="112" t="s">
        <v>114</v>
      </c>
      <c r="H11" s="114"/>
      <c r="I11" s="115"/>
      <c r="J11" s="120" t="str">
        <f t="shared" si="1"/>
        <v>0</v>
      </c>
      <c r="K11" s="120">
        <v>79.16</v>
      </c>
      <c r="L11" s="121"/>
      <c r="M11" s="121"/>
      <c r="N11" s="124" t="s">
        <v>99</v>
      </c>
      <c r="O11" s="317" t="s">
        <v>348</v>
      </c>
      <c r="P11" s="318"/>
      <c r="Q11" s="319"/>
      <c r="R11" s="25" t="s">
        <v>104</v>
      </c>
      <c r="S11" s="30">
        <v>0.45833333333333331</v>
      </c>
      <c r="T11" s="31">
        <v>0.70833333333333337</v>
      </c>
      <c r="U11" s="83">
        <f t="shared" si="0"/>
        <v>6.0000000000000018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12758</v>
      </c>
      <c r="C12" s="55" t="s">
        <v>349</v>
      </c>
      <c r="D12" s="194" t="s">
        <v>350</v>
      </c>
      <c r="E12" s="171" t="s">
        <v>92</v>
      </c>
      <c r="F12" s="163">
        <v>940</v>
      </c>
      <c r="G12" s="110" t="s">
        <v>118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317"/>
      <c r="P12" s="318"/>
      <c r="Q12" s="319"/>
      <c r="R12" s="25" t="s">
        <v>330</v>
      </c>
      <c r="S12" s="30">
        <v>0.44791666666666669</v>
      </c>
      <c r="T12" s="31">
        <v>0.70833333333333337</v>
      </c>
      <c r="U12" s="83">
        <f t="shared" si="0"/>
        <v>6.25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12759</v>
      </c>
      <c r="C13" s="55" t="s">
        <v>351</v>
      </c>
      <c r="D13" s="194" t="s">
        <v>352</v>
      </c>
      <c r="E13" s="171" t="s">
        <v>91</v>
      </c>
      <c r="F13" s="163">
        <v>1000</v>
      </c>
      <c r="G13" s="110" t="s">
        <v>118</v>
      </c>
      <c r="H13" s="159"/>
      <c r="I13" s="158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317"/>
      <c r="P13" s="318"/>
      <c r="Q13" s="319"/>
      <c r="R13" s="287" t="s">
        <v>471</v>
      </c>
      <c r="S13" s="288">
        <v>0.58333333333333337</v>
      </c>
      <c r="T13" s="289">
        <v>0.67708333333333337</v>
      </c>
      <c r="U13" s="290">
        <f t="shared" si="0"/>
        <v>2.25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12760</v>
      </c>
      <c r="C14" s="56" t="s">
        <v>353</v>
      </c>
      <c r="D14" s="195" t="s">
        <v>354</v>
      </c>
      <c r="E14" s="171" t="s">
        <v>92</v>
      </c>
      <c r="F14" s="164">
        <v>1005</v>
      </c>
      <c r="G14" s="113" t="s">
        <v>118</v>
      </c>
      <c r="H14" s="114">
        <v>75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317"/>
      <c r="P14" s="318"/>
      <c r="Q14" s="319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12761</v>
      </c>
      <c r="C15" s="56" t="s">
        <v>355</v>
      </c>
      <c r="D15" s="195" t="s">
        <v>356</v>
      </c>
      <c r="E15" s="171" t="s">
        <v>92</v>
      </c>
      <c r="F15" s="164">
        <v>1010</v>
      </c>
      <c r="G15" s="113" t="s">
        <v>107</v>
      </c>
      <c r="H15" s="114">
        <v>150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317"/>
      <c r="P15" s="318"/>
      <c r="Q15" s="319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12762</v>
      </c>
      <c r="C16" s="56" t="s">
        <v>357</v>
      </c>
      <c r="D16" s="195" t="s">
        <v>358</v>
      </c>
      <c r="E16" s="171" t="s">
        <v>91</v>
      </c>
      <c r="F16" s="164">
        <v>1010</v>
      </c>
      <c r="G16" s="113" t="s">
        <v>118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317"/>
      <c r="P16" s="318"/>
      <c r="Q16" s="319"/>
      <c r="R16" s="73">
        <f>H32/U16</f>
        <v>0.47328244274809161</v>
      </c>
      <c r="S16" s="74">
        <f>H32/(U16-U5)</f>
        <v>0.54867256637168138</v>
      </c>
      <c r="T16" s="74">
        <f>C32/U16</f>
        <v>51.11847328244275</v>
      </c>
      <c r="U16" s="74">
        <f>SUM(U5:U15)</f>
        <v>65.5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12763</v>
      </c>
      <c r="C17" s="17" t="s">
        <v>359</v>
      </c>
      <c r="D17" s="193" t="s">
        <v>360</v>
      </c>
      <c r="E17" s="171" t="s">
        <v>91</v>
      </c>
      <c r="F17" s="57">
        <v>1010</v>
      </c>
      <c r="G17" s="112" t="s">
        <v>118</v>
      </c>
      <c r="H17" s="114"/>
      <c r="I17" s="115">
        <v>95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317"/>
      <c r="P17" s="318"/>
      <c r="Q17" s="319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12764</v>
      </c>
      <c r="C18" s="17" t="s">
        <v>361</v>
      </c>
      <c r="D18" s="193" t="s">
        <v>362</v>
      </c>
      <c r="E18" s="171" t="s">
        <v>91</v>
      </c>
      <c r="F18" s="57">
        <v>1110</v>
      </c>
      <c r="G18" s="19" t="s">
        <v>118</v>
      </c>
      <c r="H18" s="114"/>
      <c r="I18" s="115">
        <v>75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317" t="s">
        <v>363</v>
      </c>
      <c r="P18" s="318"/>
      <c r="Q18" s="319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12765</v>
      </c>
      <c r="C19" s="17" t="s">
        <v>364</v>
      </c>
      <c r="D19" s="193" t="s">
        <v>365</v>
      </c>
      <c r="E19" s="171" t="s">
        <v>91</v>
      </c>
      <c r="F19" s="57">
        <v>1120</v>
      </c>
      <c r="G19" s="112" t="s">
        <v>118</v>
      </c>
      <c r="H19" s="114">
        <v>75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317"/>
      <c r="P19" s="318"/>
      <c r="Q19" s="318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12766</v>
      </c>
      <c r="C20" s="17" t="s">
        <v>366</v>
      </c>
      <c r="D20" s="193" t="s">
        <v>367</v>
      </c>
      <c r="E20" s="171" t="s">
        <v>91</v>
      </c>
      <c r="F20" s="57">
        <v>1120</v>
      </c>
      <c r="G20" s="112" t="s">
        <v>107</v>
      </c>
      <c r="H20" s="114">
        <v>150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320"/>
      <c r="P20" s="321"/>
      <c r="Q20" s="32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12767</v>
      </c>
      <c r="C21" s="17" t="s">
        <v>368</v>
      </c>
      <c r="D21" s="193" t="s">
        <v>369</v>
      </c>
      <c r="E21" s="171" t="s">
        <v>91</v>
      </c>
      <c r="F21" s="57">
        <v>1130</v>
      </c>
      <c r="G21" s="19" t="s">
        <v>107</v>
      </c>
      <c r="H21" s="114"/>
      <c r="I21" s="115">
        <v>100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99</v>
      </c>
      <c r="O21" s="317"/>
      <c r="P21" s="318"/>
      <c r="Q21" s="318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12768</v>
      </c>
      <c r="C22" s="21" t="s">
        <v>370</v>
      </c>
      <c r="D22" s="196" t="s">
        <v>371</v>
      </c>
      <c r="E22" s="171" t="s">
        <v>91</v>
      </c>
      <c r="F22" s="165">
        <v>1140</v>
      </c>
      <c r="G22" s="204" t="s">
        <v>107</v>
      </c>
      <c r="H22" s="80"/>
      <c r="I22" s="131">
        <v>150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99</v>
      </c>
      <c r="O22" s="317"/>
      <c r="P22" s="318"/>
      <c r="Q22" s="319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12769</v>
      </c>
      <c r="C23" s="126" t="s">
        <v>372</v>
      </c>
      <c r="D23" s="197" t="s">
        <v>373</v>
      </c>
      <c r="E23" s="171" t="s">
        <v>92</v>
      </c>
      <c r="F23" s="166">
        <v>1145</v>
      </c>
      <c r="G23" s="155" t="s">
        <v>107</v>
      </c>
      <c r="H23" s="80">
        <v>130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99</v>
      </c>
      <c r="O23" s="153"/>
      <c r="P23" s="154"/>
      <c r="Q23" s="149"/>
      <c r="R23" s="104"/>
      <c r="S23" s="105"/>
      <c r="T23" s="105"/>
      <c r="U23" s="106"/>
      <c r="X23" s="315"/>
      <c r="Y23" s="316"/>
      <c r="Z23" s="316"/>
    </row>
    <row r="24" spans="1:44" ht="16.5" customHeight="1" thickBot="1" x14ac:dyDescent="0.35">
      <c r="A24" s="125">
        <v>20</v>
      </c>
      <c r="B24" s="123">
        <v>12770</v>
      </c>
      <c r="C24" s="21" t="s">
        <v>374</v>
      </c>
      <c r="D24" s="196" t="s">
        <v>375</v>
      </c>
      <c r="E24" s="171" t="s">
        <v>92</v>
      </c>
      <c r="F24" s="165">
        <v>1155</v>
      </c>
      <c r="G24" s="204" t="s">
        <v>118</v>
      </c>
      <c r="H24" s="80"/>
      <c r="I24" s="131">
        <v>75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99</v>
      </c>
      <c r="O24" s="317"/>
      <c r="P24" s="318"/>
      <c r="Q24" s="319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12771</v>
      </c>
      <c r="C25" s="122" t="s">
        <v>376</v>
      </c>
      <c r="D25" s="198" t="s">
        <v>377</v>
      </c>
      <c r="E25" s="171" t="s">
        <v>91</v>
      </c>
      <c r="F25" s="165">
        <v>1205</v>
      </c>
      <c r="G25" s="204" t="s">
        <v>142</v>
      </c>
      <c r="H25" s="81"/>
      <c r="I25" s="81">
        <v>55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99</v>
      </c>
      <c r="O25" s="317"/>
      <c r="P25" s="318"/>
      <c r="Q25" s="319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2">
        <f>((C32+(R26+S26+T26)*0.5))</f>
        <v>3348.26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12772</v>
      </c>
      <c r="C26" s="26" t="s">
        <v>378</v>
      </c>
      <c r="D26" s="199" t="s">
        <v>379</v>
      </c>
      <c r="E26" s="171" t="s">
        <v>92</v>
      </c>
      <c r="F26" s="167">
        <v>1210</v>
      </c>
      <c r="G26" s="19" t="s">
        <v>110</v>
      </c>
      <c r="H26" s="80"/>
      <c r="I26" s="131"/>
      <c r="J26" s="120" t="str">
        <f t="shared" si="1"/>
        <v>0</v>
      </c>
      <c r="K26" s="120">
        <v>62.5</v>
      </c>
      <c r="L26" s="60"/>
      <c r="M26" s="60"/>
      <c r="N26" s="124" t="s">
        <v>99</v>
      </c>
      <c r="O26" s="317" t="s">
        <v>380</v>
      </c>
      <c r="P26" s="318"/>
      <c r="Q26" s="319"/>
      <c r="R26" s="103">
        <f>R25*37.5</f>
        <v>0</v>
      </c>
      <c r="S26" s="93">
        <f>S25*41.5</f>
        <v>0</v>
      </c>
      <c r="T26" s="93">
        <f>T25*50</f>
        <v>0</v>
      </c>
      <c r="U26" s="32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12773</v>
      </c>
      <c r="C27" s="26" t="s">
        <v>381</v>
      </c>
      <c r="D27" s="199" t="s">
        <v>382</v>
      </c>
      <c r="E27" s="171" t="s">
        <v>92</v>
      </c>
      <c r="F27" s="167">
        <v>1215</v>
      </c>
      <c r="G27" s="19" t="s">
        <v>264</v>
      </c>
      <c r="H27" s="80"/>
      <c r="I27" s="131">
        <v>490</v>
      </c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99</v>
      </c>
      <c r="O27" s="317"/>
      <c r="P27" s="318"/>
      <c r="Q27" s="319"/>
      <c r="R27" s="331" t="s">
        <v>56</v>
      </c>
      <c r="S27" s="332"/>
      <c r="T27" s="332"/>
      <c r="U27" s="33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12774</v>
      </c>
      <c r="C28" s="26" t="s">
        <v>383</v>
      </c>
      <c r="D28" s="199" t="s">
        <v>384</v>
      </c>
      <c r="E28" s="171" t="s">
        <v>91</v>
      </c>
      <c r="F28" s="167">
        <v>1255</v>
      </c>
      <c r="G28" s="19" t="s">
        <v>118</v>
      </c>
      <c r="H28" s="80"/>
      <c r="I28" s="131">
        <v>95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99</v>
      </c>
      <c r="O28" s="317"/>
      <c r="P28" s="318"/>
      <c r="Q28" s="319"/>
      <c r="R28" s="386" t="s">
        <v>472</v>
      </c>
      <c r="S28" s="387"/>
      <c r="T28" s="388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12775</v>
      </c>
      <c r="C29" s="33" t="s">
        <v>385</v>
      </c>
      <c r="D29" s="200" t="s">
        <v>386</v>
      </c>
      <c r="E29" s="172" t="s">
        <v>92</v>
      </c>
      <c r="F29" s="167">
        <v>1300</v>
      </c>
      <c r="G29" s="19" t="s">
        <v>107</v>
      </c>
      <c r="H29" s="80"/>
      <c r="I29" s="80">
        <v>150</v>
      </c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99</v>
      </c>
      <c r="O29" s="340"/>
      <c r="P29" s="341"/>
      <c r="Q29" s="342"/>
      <c r="R29" s="343"/>
      <c r="S29" s="344"/>
      <c r="T29" s="345"/>
      <c r="U29" s="140"/>
      <c r="X29" s="14">
        <v>3</v>
      </c>
      <c r="Z29" s="45"/>
      <c r="AE29" s="39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01">
        <f t="shared" ref="H30:M30" si="3">SUM(H5:H29)</f>
        <v>825</v>
      </c>
      <c r="I30" s="96">
        <f>SUM(I5:I29)</f>
        <v>1745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204.16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9"/>
      <c r="S30" s="349"/>
      <c r="T30" s="350"/>
      <c r="U30" s="141"/>
      <c r="X30" s="14">
        <v>4</v>
      </c>
      <c r="Z30" s="45"/>
      <c r="AD30" s="46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02">
        <f t="shared" ref="H31:J31" si="4">H30+H62+H94</f>
        <v>920</v>
      </c>
      <c r="I31" s="94">
        <f t="shared" si="4"/>
        <v>2145</v>
      </c>
      <c r="J31" s="94">
        <f t="shared" si="4"/>
        <v>0</v>
      </c>
      <c r="K31" s="94">
        <f>K30+K62+K94</f>
        <v>283.26</v>
      </c>
      <c r="L31" s="88">
        <f>L30+L62+L94</f>
        <v>0</v>
      </c>
      <c r="M31" s="88">
        <f>M30+M62+M94</f>
        <v>0</v>
      </c>
      <c r="N31" s="207">
        <f>COUNT(H5:H29,H37:H61,H69:H93)</f>
        <v>9</v>
      </c>
      <c r="O31" s="95">
        <f>COUNT(I5:I29,I37:I61,I69:I93)</f>
        <v>18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920</v>
      </c>
      <c r="T31" s="336">
        <f>H31+I31+L31+M31</f>
        <v>3065</v>
      </c>
      <c r="U31" s="337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7" t="s">
        <v>55</v>
      </c>
      <c r="B32" s="328"/>
      <c r="C32" s="98">
        <f>H31+I31+J31+K31</f>
        <v>3348.26</v>
      </c>
      <c r="D32" s="186"/>
      <c r="E32" s="98"/>
      <c r="F32" s="329" t="s">
        <v>53</v>
      </c>
      <c r="G32" s="329"/>
      <c r="H32" s="100">
        <f>COUNT(B5:B29,B37:B61,B69:B93)</f>
        <v>31</v>
      </c>
      <c r="I32" s="330" t="s">
        <v>54</v>
      </c>
      <c r="J32" s="330"/>
      <c r="K32" s="99">
        <f>C32/H32</f>
        <v>108.0083870967742</v>
      </c>
      <c r="L32" s="208"/>
      <c r="M32" s="208"/>
      <c r="N32" s="208">
        <f>H31/C32</f>
        <v>0.27476958181264299</v>
      </c>
      <c r="O32" s="208">
        <f>I31/C32</f>
        <v>0.64063125324795567</v>
      </c>
      <c r="P32" s="208">
        <f>K31/C32</f>
        <v>8.4599164939401353E-2</v>
      </c>
      <c r="Q32" s="101">
        <f>J31/C32</f>
        <v>0</v>
      </c>
      <c r="R32" s="90" t="s">
        <v>82</v>
      </c>
      <c r="S32" s="203">
        <f>I31+M31</f>
        <v>2145</v>
      </c>
      <c r="T32" s="338"/>
      <c r="U32" s="339"/>
      <c r="V32" s="39"/>
      <c r="W32" s="39"/>
      <c r="X32" s="48" t="s">
        <v>27</v>
      </c>
      <c r="Y32" s="48"/>
      <c r="Z32" s="47">
        <f>I31</f>
        <v>2145</v>
      </c>
    </row>
    <row r="33" spans="1:33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49" t="s">
        <v>29</v>
      </c>
      <c r="Y33" s="49"/>
      <c r="Z33" s="50">
        <f>SUM(Z31:Z32)</f>
        <v>-600</v>
      </c>
      <c r="AG33" s="35"/>
    </row>
    <row r="34" spans="1:33" ht="17.25" thickBot="1" x14ac:dyDescent="0.35">
      <c r="A34" s="292" t="str">
        <f>A2</f>
        <v>10 - 12 - 2022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SUNNY</v>
      </c>
      <c r="K34" s="294"/>
      <c r="L34" s="296" t="s">
        <v>50</v>
      </c>
      <c r="M34" s="297"/>
      <c r="N34" s="295"/>
      <c r="O34" s="293" t="str">
        <f>O2</f>
        <v>JOHN</v>
      </c>
      <c r="P34" s="293"/>
      <c r="Q34" s="294"/>
      <c r="R34" s="296" t="s">
        <v>51</v>
      </c>
      <c r="S34" s="295"/>
      <c r="T34" s="298">
        <f>T2</f>
        <v>8</v>
      </c>
      <c r="U34" s="298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2" t="s">
        <v>8</v>
      </c>
      <c r="P36" s="302"/>
      <c r="Q36" s="30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>
        <v>12776</v>
      </c>
      <c r="C37" s="59" t="s">
        <v>387</v>
      </c>
      <c r="D37" s="248" t="s">
        <v>388</v>
      </c>
      <c r="E37" s="171" t="s">
        <v>91</v>
      </c>
      <c r="F37" s="164">
        <v>1315</v>
      </c>
      <c r="G37" s="109" t="s">
        <v>118</v>
      </c>
      <c r="H37" s="82"/>
      <c r="I37" s="115">
        <v>95</v>
      </c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99</v>
      </c>
      <c r="O37" s="317" t="s">
        <v>389</v>
      </c>
      <c r="P37" s="318"/>
      <c r="Q37" s="319"/>
      <c r="R37" s="51"/>
      <c r="S37" s="52"/>
      <c r="T37" s="52"/>
      <c r="U37" s="61"/>
    </row>
    <row r="38" spans="1:33" x14ac:dyDescent="0.3">
      <c r="A38" s="118">
        <f>A37+1</f>
        <v>27</v>
      </c>
      <c r="B38" s="204">
        <v>12777</v>
      </c>
      <c r="C38" s="58" t="s">
        <v>392</v>
      </c>
      <c r="D38" s="185" t="s">
        <v>393</v>
      </c>
      <c r="E38" s="171" t="s">
        <v>92</v>
      </c>
      <c r="F38" s="169">
        <v>1320</v>
      </c>
      <c r="G38" s="109" t="s">
        <v>142</v>
      </c>
      <c r="H38" s="82"/>
      <c r="I38" s="115">
        <v>75</v>
      </c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 t="s">
        <v>99</v>
      </c>
      <c r="O38" s="306"/>
      <c r="P38" s="307"/>
      <c r="Q38" s="308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>
        <v>12778</v>
      </c>
      <c r="C39" s="58" t="s">
        <v>390</v>
      </c>
      <c r="D39" s="185" t="s">
        <v>391</v>
      </c>
      <c r="E39" s="171" t="s">
        <v>91</v>
      </c>
      <c r="F39" s="169">
        <v>1345</v>
      </c>
      <c r="G39" s="109" t="s">
        <v>118</v>
      </c>
      <c r="H39" s="82">
        <v>95</v>
      </c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 t="s">
        <v>99</v>
      </c>
      <c r="O39" s="317"/>
      <c r="P39" s="318"/>
      <c r="Q39" s="319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>
        <v>12779</v>
      </c>
      <c r="C40" s="54" t="s">
        <v>394</v>
      </c>
      <c r="D40" s="174" t="s">
        <v>395</v>
      </c>
      <c r="E40" s="171" t="s">
        <v>91</v>
      </c>
      <c r="F40" s="170">
        <v>1430</v>
      </c>
      <c r="G40" s="110" t="s">
        <v>107</v>
      </c>
      <c r="H40" s="82"/>
      <c r="I40" s="82">
        <v>150</v>
      </c>
      <c r="J40" s="120" t="str">
        <f t="shared" si="6"/>
        <v>0</v>
      </c>
      <c r="K40" s="120" t="str">
        <f t="shared" si="5"/>
        <v>0</v>
      </c>
      <c r="L40" s="121"/>
      <c r="M40" s="121"/>
      <c r="N40" s="60" t="s">
        <v>99</v>
      </c>
      <c r="O40" s="312"/>
      <c r="P40" s="313"/>
      <c r="Q40" s="31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>
        <v>12780</v>
      </c>
      <c r="C41" s="54" t="s">
        <v>398</v>
      </c>
      <c r="D41" s="174" t="s">
        <v>399</v>
      </c>
      <c r="E41" s="171" t="s">
        <v>92</v>
      </c>
      <c r="F41" s="170">
        <v>1505</v>
      </c>
      <c r="G41" s="110" t="s">
        <v>114</v>
      </c>
      <c r="H41" s="82"/>
      <c r="I41" s="82"/>
      <c r="J41" s="120" t="str">
        <f t="shared" si="6"/>
        <v>0</v>
      </c>
      <c r="K41" s="120">
        <v>79.099999999999994</v>
      </c>
      <c r="L41" s="121"/>
      <c r="M41" s="121"/>
      <c r="N41" s="60" t="s">
        <v>99</v>
      </c>
      <c r="O41" s="312" t="s">
        <v>400</v>
      </c>
      <c r="P41" s="313"/>
      <c r="Q41" s="31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>
        <v>12781</v>
      </c>
      <c r="C42" s="27" t="s">
        <v>396</v>
      </c>
      <c r="D42" s="175" t="s">
        <v>397</v>
      </c>
      <c r="E42" s="171" t="s">
        <v>92</v>
      </c>
      <c r="F42" s="163">
        <v>1515</v>
      </c>
      <c r="G42" s="111" t="s">
        <v>145</v>
      </c>
      <c r="H42" s="114"/>
      <c r="I42" s="116">
        <v>80</v>
      </c>
      <c r="J42" s="120" t="str">
        <f t="shared" si="6"/>
        <v>0</v>
      </c>
      <c r="K42" s="120" t="str">
        <f t="shared" si="5"/>
        <v>0</v>
      </c>
      <c r="L42" s="121"/>
      <c r="M42" s="121"/>
      <c r="N42" s="60" t="s">
        <v>99</v>
      </c>
      <c r="O42" s="299"/>
      <c r="P42" s="300"/>
      <c r="Q42" s="301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7"/>
      <c r="P43" s="318"/>
      <c r="Q43" s="319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7"/>
      <c r="P44" s="318"/>
      <c r="Q44" s="319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7"/>
      <c r="P45" s="318"/>
      <c r="Q45" s="319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7"/>
      <c r="P46" s="318"/>
      <c r="Q46" s="319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7"/>
      <c r="P47" s="318"/>
      <c r="Q47" s="319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7"/>
      <c r="P48" s="318"/>
      <c r="Q48" s="319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7"/>
      <c r="P49" s="318"/>
      <c r="Q49" s="319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7"/>
      <c r="P50" s="318"/>
      <c r="Q50" s="319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7"/>
      <c r="P51" s="318"/>
      <c r="Q51" s="318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7"/>
      <c r="P52" s="318"/>
      <c r="Q52" s="318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53"/>
      <c r="P53" s="317"/>
      <c r="Q53" s="317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53"/>
      <c r="P54" s="317"/>
      <c r="Q54" s="317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53"/>
      <c r="P55" s="317"/>
      <c r="Q55" s="317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8"/>
      <c r="P56" s="318"/>
      <c r="Q56" s="318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7"/>
      <c r="P57" s="318"/>
      <c r="Q57" s="318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8"/>
      <c r="P58" s="318"/>
      <c r="Q58" s="318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8"/>
      <c r="P59" s="318"/>
      <c r="Q59" s="318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7"/>
      <c r="P60" s="318"/>
      <c r="Q60" s="319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54"/>
      <c r="P61" s="355"/>
      <c r="Q61" s="356"/>
      <c r="R61" s="72"/>
      <c r="S61" s="59"/>
      <c r="T61" s="59"/>
      <c r="U61" s="68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95</v>
      </c>
      <c r="I62" s="363">
        <f t="shared" si="8"/>
        <v>400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79.099999999999994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10 - 12 - 2022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SUNNY</v>
      </c>
      <c r="K66" s="294"/>
      <c r="L66" s="296" t="s">
        <v>50</v>
      </c>
      <c r="M66" s="297"/>
      <c r="N66" s="295"/>
      <c r="O66" s="293" t="str">
        <f>O34</f>
        <v>JOHN</v>
      </c>
      <c r="P66" s="293"/>
      <c r="Q66" s="294"/>
      <c r="R66" s="296" t="s">
        <v>51</v>
      </c>
      <c r="S66" s="295"/>
      <c r="T66" s="298">
        <f>T34</f>
        <v>8</v>
      </c>
      <c r="U66" s="298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2" t="s">
        <v>8</v>
      </c>
      <c r="P68" s="302"/>
      <c r="Q68" s="30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7"/>
      <c r="P69" s="318"/>
      <c r="Q69" s="319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06"/>
      <c r="P70" s="307"/>
      <c r="Q70" s="308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7"/>
      <c r="P71" s="318"/>
      <c r="Q71" s="319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2"/>
      <c r="P72" s="313"/>
      <c r="Q72" s="31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2"/>
      <c r="P73" s="313"/>
      <c r="Q73" s="31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9"/>
      <c r="P74" s="300"/>
      <c r="Q74" s="301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7"/>
      <c r="P75" s="318"/>
      <c r="Q75" s="319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7"/>
      <c r="P76" s="318"/>
      <c r="Q76" s="319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7"/>
      <c r="P77" s="318"/>
      <c r="Q77" s="319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7"/>
      <c r="P78" s="318"/>
      <c r="Q78" s="319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7"/>
      <c r="P79" s="318"/>
      <c r="Q79" s="319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7"/>
      <c r="P80" s="318"/>
      <c r="Q80" s="319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7"/>
      <c r="P81" s="318"/>
      <c r="Q81" s="319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7"/>
      <c r="P82" s="318"/>
      <c r="Q82" s="319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7"/>
      <c r="P83" s="318"/>
      <c r="Q83" s="318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7"/>
      <c r="P84" s="318"/>
      <c r="Q84" s="318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53"/>
      <c r="P85" s="317"/>
      <c r="Q85" s="317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53"/>
      <c r="P86" s="317"/>
      <c r="Q86" s="317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53"/>
      <c r="P87" s="317"/>
      <c r="Q87" s="317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8"/>
      <c r="P88" s="318"/>
      <c r="Q88" s="318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7"/>
      <c r="P89" s="318"/>
      <c r="Q89" s="318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8"/>
      <c r="P90" s="318"/>
      <c r="Q90" s="318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8"/>
      <c r="P91" s="318"/>
      <c r="Q91" s="318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7"/>
      <c r="P92" s="318"/>
      <c r="Q92" s="319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54"/>
      <c r="P93" s="355"/>
      <c r="Q93" s="356"/>
      <c r="R93" s="72"/>
      <c r="S93" s="59"/>
      <c r="T93" s="59"/>
      <c r="U93" s="68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count="1">
    <dataValidation type="list" allowBlank="1" showInputMessage="1" showErrorMessage="1" sqref="X7 W5 E69:E93 E5:E29 E37:E61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topLeftCell="A22" zoomScaleNormal="100" zoomScaleSheetLayoutView="77" workbookViewId="0">
      <selection activeCell="R13" sqref="R13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197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98</v>
      </c>
      <c r="K2" s="294"/>
      <c r="L2" s="296" t="s">
        <v>96</v>
      </c>
      <c r="M2" s="297"/>
      <c r="N2" s="295"/>
      <c r="O2" s="293" t="s">
        <v>99</v>
      </c>
      <c r="P2" s="293"/>
      <c r="Q2" s="294"/>
      <c r="R2" s="296" t="s">
        <v>51</v>
      </c>
      <c r="S2" s="295"/>
      <c r="T2" s="298">
        <v>8</v>
      </c>
      <c r="U2" s="298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2" t="s">
        <v>8</v>
      </c>
      <c r="P4" s="302"/>
      <c r="Q4" s="302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12782</v>
      </c>
      <c r="C5" s="59" t="s">
        <v>401</v>
      </c>
      <c r="D5" s="190" t="s">
        <v>402</v>
      </c>
      <c r="E5" s="171" t="s">
        <v>91</v>
      </c>
      <c r="F5" s="160">
        <v>815</v>
      </c>
      <c r="G5" s="109" t="s">
        <v>118</v>
      </c>
      <c r="H5" s="82">
        <v>95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303"/>
      <c r="P5" s="304"/>
      <c r="Q5" s="305"/>
      <c r="R5" s="32" t="s">
        <v>99</v>
      </c>
      <c r="S5" s="30">
        <v>0.33333333333333331</v>
      </c>
      <c r="T5" s="31">
        <v>0.71875</v>
      </c>
      <c r="U5" s="83">
        <f t="shared" ref="U5:U15" si="0">(T5-S5)*24</f>
        <v>9.25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12783</v>
      </c>
      <c r="C6" s="58" t="s">
        <v>403</v>
      </c>
      <c r="D6" s="190" t="s">
        <v>404</v>
      </c>
      <c r="E6" s="171" t="s">
        <v>92</v>
      </c>
      <c r="F6" s="161">
        <v>825</v>
      </c>
      <c r="G6" s="109" t="s">
        <v>118</v>
      </c>
      <c r="H6" s="82">
        <v>95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306"/>
      <c r="P6" s="307"/>
      <c r="Q6" s="308"/>
      <c r="R6" s="122" t="s">
        <v>101</v>
      </c>
      <c r="S6" s="30">
        <v>0.33333333333333331</v>
      </c>
      <c r="T6" s="31">
        <v>0.71875</v>
      </c>
      <c r="U6" s="83">
        <f t="shared" si="0"/>
        <v>9.25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12784</v>
      </c>
      <c r="C7" s="58" t="s">
        <v>406</v>
      </c>
      <c r="D7" s="190" t="s">
        <v>407</v>
      </c>
      <c r="E7" s="171" t="s">
        <v>405</v>
      </c>
      <c r="F7" s="161">
        <v>825</v>
      </c>
      <c r="G7" s="109" t="s">
        <v>142</v>
      </c>
      <c r="H7" s="82">
        <v>75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317"/>
      <c r="P7" s="318"/>
      <c r="Q7" s="319"/>
      <c r="R7" s="124" t="s">
        <v>194</v>
      </c>
      <c r="S7" s="30">
        <v>0.34375</v>
      </c>
      <c r="T7" s="31">
        <v>0.71875</v>
      </c>
      <c r="U7" s="83">
        <f t="shared" si="0"/>
        <v>9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12785</v>
      </c>
      <c r="C8" s="26" t="s">
        <v>408</v>
      </c>
      <c r="D8" s="190" t="s">
        <v>409</v>
      </c>
      <c r="E8" s="171" t="s">
        <v>91</v>
      </c>
      <c r="F8" s="161">
        <v>835</v>
      </c>
      <c r="G8" s="109" t="s">
        <v>118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12"/>
      <c r="P8" s="313"/>
      <c r="Q8" s="314"/>
      <c r="R8" s="25" t="s">
        <v>103</v>
      </c>
      <c r="S8" s="30">
        <v>0.375</v>
      </c>
      <c r="T8" s="31">
        <v>0.71875</v>
      </c>
      <c r="U8" s="83">
        <f t="shared" si="0"/>
        <v>8.25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12786</v>
      </c>
      <c r="C9" s="54" t="s">
        <v>410</v>
      </c>
      <c r="D9" s="191" t="s">
        <v>411</v>
      </c>
      <c r="E9" s="171" t="s">
        <v>91</v>
      </c>
      <c r="F9" s="162">
        <v>920</v>
      </c>
      <c r="G9" s="110" t="s">
        <v>107</v>
      </c>
      <c r="H9" s="82"/>
      <c r="I9" s="82">
        <v>150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12"/>
      <c r="P9" s="313"/>
      <c r="Q9" s="314"/>
      <c r="R9" s="25" t="s">
        <v>191</v>
      </c>
      <c r="S9" s="30">
        <v>0.375</v>
      </c>
      <c r="T9" s="31">
        <v>0.71875</v>
      </c>
      <c r="U9" s="83">
        <f t="shared" si="0"/>
        <v>8.25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12787</v>
      </c>
      <c r="C10" s="27" t="s">
        <v>412</v>
      </c>
      <c r="D10" s="192" t="s">
        <v>413</v>
      </c>
      <c r="E10" s="171" t="s">
        <v>92</v>
      </c>
      <c r="F10" s="163">
        <v>930</v>
      </c>
      <c r="G10" s="111" t="s">
        <v>118</v>
      </c>
      <c r="H10" s="114"/>
      <c r="I10" s="116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99"/>
      <c r="P10" s="300"/>
      <c r="Q10" s="301"/>
      <c r="R10" s="25" t="s">
        <v>105</v>
      </c>
      <c r="S10" s="30">
        <v>0.375</v>
      </c>
      <c r="T10" s="31">
        <v>0.71875</v>
      </c>
      <c r="U10" s="83">
        <f t="shared" si="0"/>
        <v>8.25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12788</v>
      </c>
      <c r="C11" s="17" t="s">
        <v>414</v>
      </c>
      <c r="D11" s="193" t="s">
        <v>415</v>
      </c>
      <c r="E11" s="171" t="s">
        <v>91</v>
      </c>
      <c r="F11" s="57">
        <v>935</v>
      </c>
      <c r="G11" s="112" t="s">
        <v>118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317"/>
      <c r="P11" s="318"/>
      <c r="Q11" s="319"/>
      <c r="R11" s="25" t="s">
        <v>331</v>
      </c>
      <c r="S11" s="30">
        <v>0.46875</v>
      </c>
      <c r="T11" s="31">
        <v>0.71875</v>
      </c>
      <c r="U11" s="83">
        <f t="shared" si="0"/>
        <v>6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12789</v>
      </c>
      <c r="C12" s="55" t="s">
        <v>416</v>
      </c>
      <c r="D12" s="194" t="s">
        <v>417</v>
      </c>
      <c r="E12" s="171" t="s">
        <v>92</v>
      </c>
      <c r="F12" s="163">
        <v>935</v>
      </c>
      <c r="G12" s="110" t="s">
        <v>118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317"/>
      <c r="P12" s="318"/>
      <c r="Q12" s="319"/>
      <c r="R12" s="25" t="s">
        <v>471</v>
      </c>
      <c r="S12" s="30">
        <v>0.41666666666666669</v>
      </c>
      <c r="T12" s="31">
        <v>0.71875</v>
      </c>
      <c r="U12" s="83">
        <f t="shared" si="0"/>
        <v>7.25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12790</v>
      </c>
      <c r="C13" s="55" t="s">
        <v>418</v>
      </c>
      <c r="D13" s="194" t="s">
        <v>419</v>
      </c>
      <c r="E13" s="171" t="s">
        <v>92</v>
      </c>
      <c r="F13" s="163">
        <v>1010</v>
      </c>
      <c r="G13" s="110" t="s">
        <v>114</v>
      </c>
      <c r="H13" s="159"/>
      <c r="I13" s="158"/>
      <c r="J13" s="120" t="str">
        <f t="shared" si="1"/>
        <v>0</v>
      </c>
      <c r="K13" s="120">
        <v>79.099999999999994</v>
      </c>
      <c r="L13" s="121"/>
      <c r="M13" s="121"/>
      <c r="N13" s="124" t="s">
        <v>99</v>
      </c>
      <c r="O13" s="317" t="s">
        <v>420</v>
      </c>
      <c r="P13" s="318"/>
      <c r="Q13" s="319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12791</v>
      </c>
      <c r="C14" s="56" t="s">
        <v>421</v>
      </c>
      <c r="D14" s="195" t="s">
        <v>422</v>
      </c>
      <c r="E14" s="171" t="s">
        <v>91</v>
      </c>
      <c r="F14" s="164">
        <v>1025</v>
      </c>
      <c r="G14" s="113" t="s">
        <v>118</v>
      </c>
      <c r="H14" s="114"/>
      <c r="I14" s="116">
        <v>95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317" t="s">
        <v>345</v>
      </c>
      <c r="P14" s="318"/>
      <c r="Q14" s="319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12792</v>
      </c>
      <c r="C15" s="56" t="s">
        <v>423</v>
      </c>
      <c r="D15" s="195" t="s">
        <v>424</v>
      </c>
      <c r="E15" s="171" t="s">
        <v>91</v>
      </c>
      <c r="F15" s="164">
        <v>1030</v>
      </c>
      <c r="G15" s="113" t="s">
        <v>110</v>
      </c>
      <c r="H15" s="114"/>
      <c r="I15" s="115"/>
      <c r="J15" s="120" t="str">
        <f t="shared" si="1"/>
        <v>0</v>
      </c>
      <c r="K15" s="120">
        <v>625.5</v>
      </c>
      <c r="L15" s="121"/>
      <c r="M15" s="121"/>
      <c r="N15" s="124" t="s">
        <v>99</v>
      </c>
      <c r="O15" s="317" t="s">
        <v>425</v>
      </c>
      <c r="P15" s="318"/>
      <c r="Q15" s="319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12793</v>
      </c>
      <c r="C16" s="56" t="s">
        <v>426</v>
      </c>
      <c r="D16" s="195" t="s">
        <v>427</v>
      </c>
      <c r="E16" s="171" t="s">
        <v>92</v>
      </c>
      <c r="F16" s="164">
        <v>1040</v>
      </c>
      <c r="G16" s="113" t="s">
        <v>118</v>
      </c>
      <c r="H16" s="114"/>
      <c r="I16" s="115">
        <v>95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317"/>
      <c r="P16" s="318"/>
      <c r="Q16" s="319"/>
      <c r="R16" s="73">
        <f>H32/U16</f>
        <v>0.47328244274809161</v>
      </c>
      <c r="S16" s="74">
        <f>H32/(U16-U5)</f>
        <v>0.55111111111111111</v>
      </c>
      <c r="T16" s="74">
        <f>C32/U16</f>
        <v>60.792366412213745</v>
      </c>
      <c r="U16" s="74">
        <f>SUM(U5:U15)</f>
        <v>65.5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12794</v>
      </c>
      <c r="C17" s="17" t="s">
        <v>433</v>
      </c>
      <c r="D17" s="193" t="s">
        <v>434</v>
      </c>
      <c r="E17" s="171" t="s">
        <v>92</v>
      </c>
      <c r="F17" s="57">
        <v>1100</v>
      </c>
      <c r="G17" s="112" t="s">
        <v>110</v>
      </c>
      <c r="H17" s="114"/>
      <c r="I17" s="115"/>
      <c r="J17" s="120" t="str">
        <f t="shared" si="1"/>
        <v>0</v>
      </c>
      <c r="K17" s="120">
        <v>100</v>
      </c>
      <c r="L17" s="121"/>
      <c r="M17" s="121"/>
      <c r="N17" s="124" t="s">
        <v>99</v>
      </c>
      <c r="O17" s="317" t="s">
        <v>435</v>
      </c>
      <c r="P17" s="318"/>
      <c r="Q17" s="319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12795</v>
      </c>
      <c r="C18" s="17" t="s">
        <v>428</v>
      </c>
      <c r="D18" s="193" t="s">
        <v>429</v>
      </c>
      <c r="E18" s="171" t="s">
        <v>91</v>
      </c>
      <c r="F18" s="57">
        <v>1115</v>
      </c>
      <c r="G18" s="19" t="s">
        <v>145</v>
      </c>
      <c r="H18" s="114">
        <v>80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317"/>
      <c r="P18" s="318"/>
      <c r="Q18" s="319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12796</v>
      </c>
      <c r="C19" s="17" t="s">
        <v>430</v>
      </c>
      <c r="D19" s="193" t="s">
        <v>431</v>
      </c>
      <c r="E19" s="171" t="s">
        <v>91</v>
      </c>
      <c r="F19" s="57">
        <v>1130</v>
      </c>
      <c r="G19" s="112" t="s">
        <v>114</v>
      </c>
      <c r="H19" s="114"/>
      <c r="I19" s="115"/>
      <c r="J19" s="120" t="str">
        <f t="shared" si="1"/>
        <v>0</v>
      </c>
      <c r="K19" s="120">
        <v>79.099999999999994</v>
      </c>
      <c r="L19" s="121"/>
      <c r="M19" s="121"/>
      <c r="N19" s="124" t="s">
        <v>99</v>
      </c>
      <c r="O19" s="317" t="s">
        <v>432</v>
      </c>
      <c r="P19" s="318"/>
      <c r="Q19" s="318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12797</v>
      </c>
      <c r="C20" s="17" t="s">
        <v>446</v>
      </c>
      <c r="D20" s="193" t="s">
        <v>447</v>
      </c>
      <c r="E20" s="171" t="s">
        <v>91</v>
      </c>
      <c r="F20" s="57">
        <v>1230</v>
      </c>
      <c r="G20" s="112" t="s">
        <v>107</v>
      </c>
      <c r="H20" s="114"/>
      <c r="I20" s="209">
        <v>150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320"/>
      <c r="P20" s="321"/>
      <c r="Q20" s="32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12798</v>
      </c>
      <c r="C21" s="17" t="s">
        <v>448</v>
      </c>
      <c r="D21" s="193" t="s">
        <v>449</v>
      </c>
      <c r="E21" s="171" t="s">
        <v>91</v>
      </c>
      <c r="F21" s="57">
        <v>1240</v>
      </c>
      <c r="G21" s="19" t="s">
        <v>107</v>
      </c>
      <c r="H21" s="114"/>
      <c r="I21" s="115">
        <v>150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99</v>
      </c>
      <c r="O21" s="317"/>
      <c r="P21" s="318"/>
      <c r="Q21" s="318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12799</v>
      </c>
      <c r="C22" s="21" t="s">
        <v>436</v>
      </c>
      <c r="D22" s="196" t="s">
        <v>437</v>
      </c>
      <c r="E22" s="171" t="s">
        <v>92</v>
      </c>
      <c r="F22" s="165">
        <v>1250</v>
      </c>
      <c r="G22" s="204" t="s">
        <v>114</v>
      </c>
      <c r="H22" s="80"/>
      <c r="I22" s="131"/>
      <c r="J22" s="120" t="str">
        <f t="shared" si="1"/>
        <v>0</v>
      </c>
      <c r="K22" s="120">
        <v>79.099999999999994</v>
      </c>
      <c r="L22" s="60"/>
      <c r="M22" s="60"/>
      <c r="N22" s="124" t="s">
        <v>99</v>
      </c>
      <c r="O22" s="317" t="s">
        <v>438</v>
      </c>
      <c r="P22" s="318"/>
      <c r="Q22" s="319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12800</v>
      </c>
      <c r="C23" s="126" t="s">
        <v>454</v>
      </c>
      <c r="D23" s="197" t="s">
        <v>455</v>
      </c>
      <c r="E23" s="171" t="s">
        <v>92</v>
      </c>
      <c r="F23" s="166">
        <v>1305</v>
      </c>
      <c r="G23" s="155" t="s">
        <v>118</v>
      </c>
      <c r="H23" s="80"/>
      <c r="I23" s="131">
        <v>95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99</v>
      </c>
      <c r="O23" s="153"/>
      <c r="P23" s="154"/>
      <c r="Q23" s="149"/>
      <c r="R23" s="104"/>
      <c r="S23" s="105"/>
      <c r="T23" s="105"/>
      <c r="U23" s="106"/>
      <c r="X23" s="315"/>
      <c r="Y23" s="316"/>
      <c r="Z23" s="316"/>
    </row>
    <row r="24" spans="1:44" ht="16.5" customHeight="1" thickBot="1" x14ac:dyDescent="0.35">
      <c r="A24" s="125">
        <v>20</v>
      </c>
      <c r="B24" s="123">
        <v>12801</v>
      </c>
      <c r="C24" s="21" t="s">
        <v>439</v>
      </c>
      <c r="D24" s="196" t="s">
        <v>440</v>
      </c>
      <c r="E24" s="171" t="s">
        <v>91</v>
      </c>
      <c r="F24" s="165">
        <v>1315</v>
      </c>
      <c r="G24" s="204" t="s">
        <v>441</v>
      </c>
      <c r="H24" s="80"/>
      <c r="I24" s="131">
        <v>200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99</v>
      </c>
      <c r="O24" s="317"/>
      <c r="P24" s="318"/>
      <c r="Q24" s="319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12802</v>
      </c>
      <c r="C25" s="122" t="s">
        <v>442</v>
      </c>
      <c r="D25" s="198" t="s">
        <v>443</v>
      </c>
      <c r="E25" s="171" t="s">
        <v>91</v>
      </c>
      <c r="F25" s="165">
        <v>1320</v>
      </c>
      <c r="G25" s="204" t="s">
        <v>107</v>
      </c>
      <c r="H25" s="81">
        <v>150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99</v>
      </c>
      <c r="O25" s="317"/>
      <c r="P25" s="318"/>
      <c r="Q25" s="319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2">
        <f>((C32+(R26+S26+T26)*0.5))</f>
        <v>3981.9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12803</v>
      </c>
      <c r="C26" s="26" t="s">
        <v>450</v>
      </c>
      <c r="D26" s="199" t="s">
        <v>451</v>
      </c>
      <c r="E26" s="171" t="s">
        <v>91</v>
      </c>
      <c r="F26" s="167">
        <v>1330</v>
      </c>
      <c r="G26" s="19" t="s">
        <v>118</v>
      </c>
      <c r="H26" s="80"/>
      <c r="I26" s="131">
        <v>75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99</v>
      </c>
      <c r="O26" s="317"/>
      <c r="P26" s="318"/>
      <c r="Q26" s="319"/>
      <c r="R26" s="103">
        <f>R25*37.5</f>
        <v>0</v>
      </c>
      <c r="S26" s="93">
        <f>S25*41.5</f>
        <v>0</v>
      </c>
      <c r="T26" s="93">
        <f>T25*50</f>
        <v>0</v>
      </c>
      <c r="U26" s="32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12804</v>
      </c>
      <c r="C27" s="26" t="s">
        <v>456</v>
      </c>
      <c r="D27" s="199" t="s">
        <v>457</v>
      </c>
      <c r="E27" s="171" t="s">
        <v>92</v>
      </c>
      <c r="F27" s="167">
        <v>1330</v>
      </c>
      <c r="G27" s="19" t="s">
        <v>114</v>
      </c>
      <c r="H27" s="80"/>
      <c r="I27" s="131"/>
      <c r="J27" s="120" t="str">
        <f t="shared" si="1"/>
        <v>0</v>
      </c>
      <c r="K27" s="120">
        <v>79.099999999999994</v>
      </c>
      <c r="L27" s="60"/>
      <c r="M27" s="60"/>
      <c r="N27" s="124" t="s">
        <v>99</v>
      </c>
      <c r="O27" s="317" t="s">
        <v>458</v>
      </c>
      <c r="P27" s="318"/>
      <c r="Q27" s="319"/>
      <c r="R27" s="331" t="s">
        <v>56</v>
      </c>
      <c r="S27" s="332"/>
      <c r="T27" s="332"/>
      <c r="U27" s="33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12805</v>
      </c>
      <c r="C28" s="26" t="s">
        <v>452</v>
      </c>
      <c r="D28" s="199" t="s">
        <v>453</v>
      </c>
      <c r="E28" s="171" t="s">
        <v>91</v>
      </c>
      <c r="F28" s="167">
        <v>1400</v>
      </c>
      <c r="G28" s="19" t="s">
        <v>142</v>
      </c>
      <c r="H28" s="80"/>
      <c r="I28" s="131">
        <v>55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99</v>
      </c>
      <c r="O28" s="317"/>
      <c r="P28" s="318"/>
      <c r="Q28" s="319"/>
      <c r="R28" s="324"/>
      <c r="S28" s="325"/>
      <c r="T28" s="32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12806</v>
      </c>
      <c r="C29" s="33" t="s">
        <v>444</v>
      </c>
      <c r="D29" s="200" t="s">
        <v>445</v>
      </c>
      <c r="E29" s="172" t="s">
        <v>92</v>
      </c>
      <c r="F29" s="167">
        <v>1400</v>
      </c>
      <c r="G29" s="19" t="s">
        <v>288</v>
      </c>
      <c r="H29" s="80">
        <v>100</v>
      </c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99</v>
      </c>
      <c r="O29" s="340"/>
      <c r="P29" s="341"/>
      <c r="Q29" s="342"/>
      <c r="R29" s="343"/>
      <c r="S29" s="344"/>
      <c r="T29" s="345"/>
      <c r="U29" s="140"/>
      <c r="X29" s="14">
        <v>3</v>
      </c>
      <c r="Z29" s="45"/>
      <c r="AE29" s="39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01">
        <f t="shared" ref="H30:M30" si="3">SUM(H5:H29)</f>
        <v>595</v>
      </c>
      <c r="I30" s="96">
        <f>SUM(I5:I29)</f>
        <v>1425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1041.9000000000001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9"/>
      <c r="S30" s="349"/>
      <c r="T30" s="350"/>
      <c r="U30" s="141"/>
      <c r="X30" s="14">
        <v>4</v>
      </c>
      <c r="Z30" s="45"/>
      <c r="AD30" s="46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02">
        <f t="shared" ref="H31:J31" si="4">H30+H62+H94</f>
        <v>870</v>
      </c>
      <c r="I31" s="94">
        <f t="shared" si="4"/>
        <v>2070</v>
      </c>
      <c r="J31" s="94">
        <f t="shared" si="4"/>
        <v>0</v>
      </c>
      <c r="K31" s="94">
        <f>K30+K62+K94</f>
        <v>1041.9000000000001</v>
      </c>
      <c r="L31" s="88">
        <f>L30+L62+L94</f>
        <v>0</v>
      </c>
      <c r="M31" s="88">
        <f>M30+M62+M94</f>
        <v>0</v>
      </c>
      <c r="N31" s="207">
        <f>COUNT(H5:H29,H37:H61,H69:H93)</f>
        <v>9</v>
      </c>
      <c r="O31" s="95">
        <f>COUNT(I5:I29,I37:I61,I69:I93)</f>
        <v>16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870</v>
      </c>
      <c r="T31" s="336">
        <f>H31+I31+L31+M31</f>
        <v>2940</v>
      </c>
      <c r="U31" s="337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7" t="s">
        <v>55</v>
      </c>
      <c r="B32" s="328"/>
      <c r="C32" s="98">
        <f>H31+I31+J31+K31</f>
        <v>3981.9</v>
      </c>
      <c r="D32" s="186"/>
      <c r="E32" s="98"/>
      <c r="F32" s="329" t="s">
        <v>53</v>
      </c>
      <c r="G32" s="329"/>
      <c r="H32" s="100">
        <f>COUNT(B5:B29,B37:B61,B69:B93)</f>
        <v>31</v>
      </c>
      <c r="I32" s="330" t="s">
        <v>54</v>
      </c>
      <c r="J32" s="330"/>
      <c r="K32" s="99">
        <f>C32/H32</f>
        <v>128.44838709677418</v>
      </c>
      <c r="L32" s="208"/>
      <c r="M32" s="208"/>
      <c r="N32" s="208">
        <f>H31/C32</f>
        <v>0.21848866119189331</v>
      </c>
      <c r="O32" s="208">
        <f>I31/C32</f>
        <v>0.51985233180140134</v>
      </c>
      <c r="P32" s="208">
        <f>K31/C32</f>
        <v>0.26165900700670536</v>
      </c>
      <c r="Q32" s="101">
        <f>J31/C32</f>
        <v>0</v>
      </c>
      <c r="R32" s="90" t="s">
        <v>82</v>
      </c>
      <c r="S32" s="203">
        <f>I31+M31</f>
        <v>2070</v>
      </c>
      <c r="T32" s="338"/>
      <c r="U32" s="339"/>
      <c r="V32" s="39"/>
      <c r="W32" s="39"/>
      <c r="X32" s="48" t="s">
        <v>27</v>
      </c>
      <c r="Y32" s="48"/>
      <c r="Z32" s="47">
        <f>I31</f>
        <v>2070</v>
      </c>
    </row>
    <row r="33" spans="1:33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49" t="s">
        <v>29</v>
      </c>
      <c r="Y33" s="49"/>
      <c r="Z33" s="50">
        <f>SUM(Z31:Z32)</f>
        <v>-675</v>
      </c>
      <c r="AG33" s="35"/>
    </row>
    <row r="34" spans="1:33" ht="17.25" thickBot="1" x14ac:dyDescent="0.35">
      <c r="A34" s="292" t="str">
        <f>A2</f>
        <v>11 - 12 - 2022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SUNNY</v>
      </c>
      <c r="K34" s="294"/>
      <c r="L34" s="296" t="s">
        <v>50</v>
      </c>
      <c r="M34" s="297"/>
      <c r="N34" s="295"/>
      <c r="O34" s="293" t="str">
        <f>O2</f>
        <v>JOHN</v>
      </c>
      <c r="P34" s="293"/>
      <c r="Q34" s="294"/>
      <c r="R34" s="296" t="s">
        <v>51</v>
      </c>
      <c r="S34" s="295"/>
      <c r="T34" s="298">
        <f>T2</f>
        <v>8</v>
      </c>
      <c r="U34" s="298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2" t="s">
        <v>8</v>
      </c>
      <c r="P36" s="302"/>
      <c r="Q36" s="302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>
        <v>12807</v>
      </c>
      <c r="C37" s="59" t="s">
        <v>463</v>
      </c>
      <c r="D37" s="248" t="s">
        <v>464</v>
      </c>
      <c r="E37" s="171" t="s">
        <v>92</v>
      </c>
      <c r="F37" s="164">
        <v>1410</v>
      </c>
      <c r="G37" s="109" t="s">
        <v>142</v>
      </c>
      <c r="H37" s="82">
        <v>75</v>
      </c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99</v>
      </c>
      <c r="O37" s="317"/>
      <c r="P37" s="318"/>
      <c r="Q37" s="319"/>
      <c r="R37" s="51"/>
      <c r="S37" s="52"/>
      <c r="T37" s="52"/>
      <c r="U37" s="61"/>
    </row>
    <row r="38" spans="1:33" x14ac:dyDescent="0.3">
      <c r="A38" s="118">
        <f>A37+1</f>
        <v>27</v>
      </c>
      <c r="B38" s="204">
        <v>12808</v>
      </c>
      <c r="C38" s="58" t="s">
        <v>459</v>
      </c>
      <c r="D38" s="185" t="s">
        <v>460</v>
      </c>
      <c r="E38" s="171" t="s">
        <v>92</v>
      </c>
      <c r="F38" s="169">
        <v>1425</v>
      </c>
      <c r="G38" s="109" t="s">
        <v>107</v>
      </c>
      <c r="H38" s="82"/>
      <c r="I38" s="115">
        <v>150</v>
      </c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 t="s">
        <v>99</v>
      </c>
      <c r="O38" s="306"/>
      <c r="P38" s="307"/>
      <c r="Q38" s="308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>
        <v>12809</v>
      </c>
      <c r="C39" s="26" t="s">
        <v>461</v>
      </c>
      <c r="D39" s="173" t="s">
        <v>462</v>
      </c>
      <c r="E39" s="171" t="s">
        <v>91</v>
      </c>
      <c r="F39" s="169">
        <v>1500</v>
      </c>
      <c r="G39" s="109" t="s">
        <v>145</v>
      </c>
      <c r="H39" s="82">
        <v>80</v>
      </c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 t="s">
        <v>99</v>
      </c>
      <c r="O39" s="317"/>
      <c r="P39" s="318"/>
      <c r="Q39" s="319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>
        <v>12810</v>
      </c>
      <c r="C40" s="54" t="s">
        <v>465</v>
      </c>
      <c r="D40" s="174" t="s">
        <v>466</v>
      </c>
      <c r="E40" s="171" t="s">
        <v>92</v>
      </c>
      <c r="F40" s="170">
        <v>1550</v>
      </c>
      <c r="G40" s="110" t="s">
        <v>264</v>
      </c>
      <c r="H40" s="82"/>
      <c r="I40" s="82">
        <v>420</v>
      </c>
      <c r="J40" s="120" t="str">
        <f t="shared" si="6"/>
        <v>0</v>
      </c>
      <c r="K40" s="120" t="str">
        <f t="shared" si="5"/>
        <v>0</v>
      </c>
      <c r="L40" s="121"/>
      <c r="M40" s="121"/>
      <c r="N40" s="60" t="s">
        <v>99</v>
      </c>
      <c r="O40" s="312"/>
      <c r="P40" s="313"/>
      <c r="Q40" s="31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>
        <v>12811</v>
      </c>
      <c r="C41" s="54" t="s">
        <v>467</v>
      </c>
      <c r="D41" s="174" t="s">
        <v>468</v>
      </c>
      <c r="E41" s="171" t="s">
        <v>91</v>
      </c>
      <c r="F41" s="170">
        <v>1610</v>
      </c>
      <c r="G41" s="110" t="s">
        <v>118</v>
      </c>
      <c r="H41" s="82"/>
      <c r="I41" s="82">
        <v>75</v>
      </c>
      <c r="J41" s="120" t="str">
        <f t="shared" si="6"/>
        <v>0</v>
      </c>
      <c r="K41" s="120" t="str">
        <f t="shared" si="5"/>
        <v>0</v>
      </c>
      <c r="L41" s="121"/>
      <c r="M41" s="121"/>
      <c r="N41" s="60" t="s">
        <v>99</v>
      </c>
      <c r="O41" s="312" t="s">
        <v>345</v>
      </c>
      <c r="P41" s="313"/>
      <c r="Q41" s="31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>
        <v>12812</v>
      </c>
      <c r="C42" s="27" t="s">
        <v>469</v>
      </c>
      <c r="D42" s="175" t="s">
        <v>470</v>
      </c>
      <c r="E42" s="171" t="s">
        <v>91</v>
      </c>
      <c r="F42" s="163">
        <v>1615</v>
      </c>
      <c r="G42" s="111" t="s">
        <v>107</v>
      </c>
      <c r="H42" s="114">
        <v>120</v>
      </c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 t="s">
        <v>99</v>
      </c>
      <c r="O42" s="299"/>
      <c r="P42" s="300"/>
      <c r="Q42" s="301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7"/>
      <c r="P43" s="318"/>
      <c r="Q43" s="319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7"/>
      <c r="P44" s="318"/>
      <c r="Q44" s="319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7"/>
      <c r="P45" s="318"/>
      <c r="Q45" s="319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7"/>
      <c r="P46" s="318"/>
      <c r="Q46" s="319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7"/>
      <c r="P47" s="318"/>
      <c r="Q47" s="319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7"/>
      <c r="P48" s="318"/>
      <c r="Q48" s="319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7"/>
      <c r="P49" s="318"/>
      <c r="Q49" s="319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7"/>
      <c r="P50" s="318"/>
      <c r="Q50" s="319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7"/>
      <c r="P51" s="318"/>
      <c r="Q51" s="318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7"/>
      <c r="P52" s="318"/>
      <c r="Q52" s="318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53"/>
      <c r="P53" s="317"/>
      <c r="Q53" s="317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53"/>
      <c r="P54" s="317"/>
      <c r="Q54" s="317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53"/>
      <c r="P55" s="317"/>
      <c r="Q55" s="317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8"/>
      <c r="P56" s="318"/>
      <c r="Q56" s="318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7"/>
      <c r="P57" s="318"/>
      <c r="Q57" s="318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8"/>
      <c r="P58" s="318"/>
      <c r="Q58" s="318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8"/>
      <c r="P59" s="318"/>
      <c r="Q59" s="318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7"/>
      <c r="P60" s="318"/>
      <c r="Q60" s="319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54"/>
      <c r="P61" s="355"/>
      <c r="Q61" s="356"/>
      <c r="R61" s="72"/>
      <c r="S61" s="59"/>
      <c r="T61" s="59"/>
      <c r="U61" s="68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275</v>
      </c>
      <c r="I62" s="363">
        <f t="shared" si="8"/>
        <v>645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11 - 12 - 2022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SUNNY</v>
      </c>
      <c r="K66" s="294"/>
      <c r="L66" s="296" t="s">
        <v>50</v>
      </c>
      <c r="M66" s="297"/>
      <c r="N66" s="295"/>
      <c r="O66" s="293" t="str">
        <f>O34</f>
        <v>JOHN</v>
      </c>
      <c r="P66" s="293"/>
      <c r="Q66" s="294"/>
      <c r="R66" s="296" t="s">
        <v>51</v>
      </c>
      <c r="S66" s="295"/>
      <c r="T66" s="298">
        <f>T34</f>
        <v>8</v>
      </c>
      <c r="U66" s="298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2" t="s">
        <v>8</v>
      </c>
      <c r="P68" s="302"/>
      <c r="Q68" s="302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7"/>
      <c r="P69" s="318"/>
      <c r="Q69" s="319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06"/>
      <c r="P70" s="307"/>
      <c r="Q70" s="308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7"/>
      <c r="P71" s="318"/>
      <c r="Q71" s="319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2"/>
      <c r="P72" s="313"/>
      <c r="Q72" s="31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2"/>
      <c r="P73" s="313"/>
      <c r="Q73" s="31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9"/>
      <c r="P74" s="300"/>
      <c r="Q74" s="301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7"/>
      <c r="P75" s="318"/>
      <c r="Q75" s="319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7"/>
      <c r="P76" s="318"/>
      <c r="Q76" s="319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7"/>
      <c r="P77" s="318"/>
      <c r="Q77" s="319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7"/>
      <c r="P78" s="318"/>
      <c r="Q78" s="319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7"/>
      <c r="P79" s="318"/>
      <c r="Q79" s="319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7"/>
      <c r="P80" s="318"/>
      <c r="Q80" s="319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7"/>
      <c r="P81" s="318"/>
      <c r="Q81" s="319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7"/>
      <c r="P82" s="318"/>
      <c r="Q82" s="319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7"/>
      <c r="P83" s="318"/>
      <c r="Q83" s="318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7"/>
      <c r="P84" s="318"/>
      <c r="Q84" s="318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53"/>
      <c r="P85" s="317"/>
      <c r="Q85" s="317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53"/>
      <c r="P86" s="317"/>
      <c r="Q86" s="317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53"/>
      <c r="P87" s="317"/>
      <c r="Q87" s="317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8"/>
      <c r="P88" s="318"/>
      <c r="Q88" s="318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7"/>
      <c r="P89" s="318"/>
      <c r="Q89" s="318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8"/>
      <c r="P90" s="318"/>
      <c r="Q90" s="318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8"/>
      <c r="P91" s="318"/>
      <c r="Q91" s="318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7"/>
      <c r="P92" s="318"/>
      <c r="Q92" s="319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54"/>
      <c r="P93" s="355"/>
      <c r="Q93" s="356"/>
      <c r="R93" s="72"/>
      <c r="S93" s="59"/>
      <c r="T93" s="59"/>
      <c r="U93" s="68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3" workbookViewId="0">
      <selection activeCell="H24" sqref="H24:K24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538"/>
      <c r="B1" s="538"/>
      <c r="C1" s="538"/>
      <c r="D1" s="538"/>
      <c r="E1" s="536" t="s">
        <v>59</v>
      </c>
      <c r="F1" s="536"/>
      <c r="G1" s="536"/>
      <c r="H1" s="536" t="s">
        <v>60</v>
      </c>
      <c r="I1" s="536"/>
      <c r="J1" s="536"/>
      <c r="K1" s="536"/>
      <c r="L1" s="536" t="s">
        <v>61</v>
      </c>
      <c r="M1" s="536"/>
      <c r="N1" s="536"/>
      <c r="O1" s="536"/>
      <c r="P1" s="536"/>
      <c r="Q1" s="536" t="s">
        <v>62</v>
      </c>
      <c r="R1" s="536"/>
      <c r="S1" s="536"/>
      <c r="T1" s="536"/>
      <c r="U1" s="536"/>
      <c r="V1" s="536" t="s">
        <v>63</v>
      </c>
      <c r="W1" s="536"/>
      <c r="X1" s="536"/>
      <c r="Y1" s="536"/>
      <c r="Z1" s="536"/>
      <c r="AA1" s="536" t="s">
        <v>64</v>
      </c>
      <c r="AB1" s="536"/>
      <c r="AC1" s="536"/>
      <c r="AD1" s="536"/>
    </row>
    <row r="2" spans="1:30" ht="20.100000000000001" customHeight="1" x14ac:dyDescent="0.3">
      <c r="A2" s="455" t="s">
        <v>66</v>
      </c>
      <c r="B2" s="478" t="s">
        <v>57</v>
      </c>
      <c r="C2" s="478"/>
      <c r="D2" s="537"/>
      <c r="E2" s="537">
        <f>MON!N31</f>
        <v>7</v>
      </c>
      <c r="F2" s="537"/>
      <c r="G2" s="537"/>
      <c r="H2" s="539">
        <f>MON!S31</f>
        <v>1085</v>
      </c>
      <c r="I2" s="539"/>
      <c r="J2" s="539"/>
      <c r="K2" s="539"/>
      <c r="L2" s="540">
        <f>MON!N32</f>
        <v>0.40556353385458221</v>
      </c>
      <c r="M2" s="540"/>
      <c r="N2" s="540"/>
      <c r="O2" s="540"/>
      <c r="P2" s="540"/>
      <c r="Q2" s="608">
        <f>SUM(E2:G5)</f>
        <v>17</v>
      </c>
      <c r="R2" s="609"/>
      <c r="S2" s="609"/>
      <c r="T2" s="609"/>
      <c r="U2" s="610"/>
      <c r="V2" s="550">
        <f>SUM(H2,H3,H5)</f>
        <v>2450</v>
      </c>
      <c r="W2" s="551"/>
      <c r="X2" s="551"/>
      <c r="Y2" s="551"/>
      <c r="Z2" s="552"/>
      <c r="AA2" s="559">
        <f>V2/Q2</f>
        <v>144.11764705882354</v>
      </c>
      <c r="AB2" s="560"/>
      <c r="AC2" s="560"/>
      <c r="AD2" s="561"/>
    </row>
    <row r="3" spans="1:30" ht="20.100000000000001" customHeight="1" x14ac:dyDescent="0.3">
      <c r="A3" s="456"/>
      <c r="B3" s="478" t="s">
        <v>58</v>
      </c>
      <c r="C3" s="478"/>
      <c r="D3" s="537"/>
      <c r="E3" s="537">
        <f>MON!O31</f>
        <v>4</v>
      </c>
      <c r="F3" s="537"/>
      <c r="G3" s="537"/>
      <c r="H3" s="539">
        <f>MON!S32</f>
        <v>1365</v>
      </c>
      <c r="I3" s="539"/>
      <c r="J3" s="539"/>
      <c r="K3" s="539"/>
      <c r="L3" s="540">
        <f>MON!O32</f>
        <v>0.27591617467156004</v>
      </c>
      <c r="M3" s="540"/>
      <c r="N3" s="540"/>
      <c r="O3" s="540"/>
      <c r="P3" s="540"/>
      <c r="Q3" s="611"/>
      <c r="R3" s="612"/>
      <c r="S3" s="612"/>
      <c r="T3" s="612"/>
      <c r="U3" s="613"/>
      <c r="V3" s="553"/>
      <c r="W3" s="554"/>
      <c r="X3" s="554"/>
      <c r="Y3" s="554"/>
      <c r="Z3" s="555"/>
      <c r="AA3" s="562"/>
      <c r="AB3" s="563"/>
      <c r="AC3" s="563"/>
      <c r="AD3" s="564"/>
    </row>
    <row r="4" spans="1:30" ht="20.100000000000001" customHeight="1" x14ac:dyDescent="0.3">
      <c r="A4" s="456"/>
      <c r="B4" s="478" t="s">
        <v>45</v>
      </c>
      <c r="C4" s="478"/>
      <c r="D4" s="537"/>
      <c r="E4" s="537">
        <f>MON!P31</f>
        <v>6</v>
      </c>
      <c r="F4" s="537"/>
      <c r="G4" s="537"/>
      <c r="H4" s="539">
        <f>MON!K31</f>
        <v>479.08000000000004</v>
      </c>
      <c r="I4" s="539"/>
      <c r="J4" s="539"/>
      <c r="K4" s="539"/>
      <c r="L4" s="540">
        <f>MON!P32</f>
        <v>0.3185202914738578</v>
      </c>
      <c r="M4" s="540"/>
      <c r="N4" s="540"/>
      <c r="O4" s="540"/>
      <c r="P4" s="540"/>
      <c r="Q4" s="611"/>
      <c r="R4" s="612"/>
      <c r="S4" s="612"/>
      <c r="T4" s="612"/>
      <c r="U4" s="613"/>
      <c r="V4" s="553"/>
      <c r="W4" s="554"/>
      <c r="X4" s="554"/>
      <c r="Y4" s="554"/>
      <c r="Z4" s="555"/>
      <c r="AA4" s="562"/>
      <c r="AB4" s="563"/>
      <c r="AC4" s="563"/>
      <c r="AD4" s="564"/>
    </row>
    <row r="5" spans="1:30" ht="20.100000000000001" customHeight="1" x14ac:dyDescent="0.3">
      <c r="A5" s="456"/>
      <c r="B5" s="476" t="s">
        <v>65</v>
      </c>
      <c r="C5" s="477"/>
      <c r="D5" s="478"/>
      <c r="E5" s="476">
        <f>MON!Q31</f>
        <v>0</v>
      </c>
      <c r="F5" s="477"/>
      <c r="G5" s="478"/>
      <c r="H5" s="596">
        <f>MON!J31</f>
        <v>0</v>
      </c>
      <c r="I5" s="597"/>
      <c r="J5" s="597"/>
      <c r="K5" s="598"/>
      <c r="L5" s="599">
        <f>MON!Q32</f>
        <v>0</v>
      </c>
      <c r="M5" s="600"/>
      <c r="N5" s="600"/>
      <c r="O5" s="600"/>
      <c r="P5" s="601"/>
      <c r="Q5" s="614"/>
      <c r="R5" s="615"/>
      <c r="S5" s="615"/>
      <c r="T5" s="615"/>
      <c r="U5" s="616"/>
      <c r="V5" s="556"/>
      <c r="W5" s="557"/>
      <c r="X5" s="557"/>
      <c r="Y5" s="557"/>
      <c r="Z5" s="558"/>
      <c r="AA5" s="565"/>
      <c r="AB5" s="566"/>
      <c r="AC5" s="566"/>
      <c r="AD5" s="567"/>
    </row>
    <row r="6" spans="1:30" ht="20.100000000000001" customHeight="1" x14ac:dyDescent="0.3">
      <c r="A6" s="457"/>
      <c r="B6" s="476" t="s">
        <v>94</v>
      </c>
      <c r="C6" s="477"/>
      <c r="D6" s="478"/>
      <c r="E6" s="476">
        <f>MON!U16</f>
        <v>40</v>
      </c>
      <c r="F6" s="477"/>
      <c r="G6" s="478"/>
      <c r="H6" s="596" t="s">
        <v>95</v>
      </c>
      <c r="I6" s="597"/>
      <c r="J6" s="597"/>
      <c r="K6" s="598"/>
      <c r="L6" s="656">
        <f>MON!T2</f>
        <v>6</v>
      </c>
      <c r="M6" s="657"/>
      <c r="N6" s="657"/>
      <c r="O6" s="657"/>
      <c r="P6" s="658"/>
      <c r="Q6" s="659"/>
      <c r="R6" s="660"/>
      <c r="S6" s="660"/>
      <c r="T6" s="660"/>
      <c r="U6" s="661"/>
      <c r="V6" s="426"/>
      <c r="W6" s="427"/>
      <c r="X6" s="427"/>
      <c r="Y6" s="427"/>
      <c r="Z6" s="428"/>
      <c r="AA6" s="429"/>
      <c r="AB6" s="430"/>
      <c r="AC6" s="430"/>
      <c r="AD6" s="431"/>
    </row>
    <row r="7" spans="1:30" ht="20.100000000000001" customHeight="1" x14ac:dyDescent="0.3">
      <c r="A7" s="458" t="s">
        <v>67</v>
      </c>
      <c r="B7" s="434" t="s">
        <v>57</v>
      </c>
      <c r="C7" s="434"/>
      <c r="D7" s="450"/>
      <c r="E7" s="450">
        <f>TUE!N31</f>
        <v>9</v>
      </c>
      <c r="F7" s="450"/>
      <c r="G7" s="450"/>
      <c r="H7" s="451">
        <f>TUE!S31</f>
        <v>940</v>
      </c>
      <c r="I7" s="451"/>
      <c r="J7" s="451"/>
      <c r="K7" s="451"/>
      <c r="L7" s="452">
        <f>TUE!N32</f>
        <v>0.61741369344753294</v>
      </c>
      <c r="M7" s="453"/>
      <c r="N7" s="453"/>
      <c r="O7" s="453"/>
      <c r="P7" s="454"/>
      <c r="Q7" s="638">
        <f>SUM(E7:G10)</f>
        <v>16</v>
      </c>
      <c r="R7" s="639"/>
      <c r="S7" s="639"/>
      <c r="T7" s="639"/>
      <c r="U7" s="640"/>
      <c r="V7" s="541">
        <f>SUM(H7,H8,H10)</f>
        <v>2235</v>
      </c>
      <c r="W7" s="542"/>
      <c r="X7" s="542"/>
      <c r="Y7" s="542"/>
      <c r="Z7" s="543"/>
      <c r="AA7" s="568">
        <f>V7/Q7</f>
        <v>139.6875</v>
      </c>
      <c r="AB7" s="569"/>
      <c r="AC7" s="569"/>
      <c r="AD7" s="570"/>
    </row>
    <row r="8" spans="1:30" ht="20.100000000000001" customHeight="1" x14ac:dyDescent="0.3">
      <c r="A8" s="459"/>
      <c r="B8" s="434" t="s">
        <v>58</v>
      </c>
      <c r="C8" s="434"/>
      <c r="D8" s="450"/>
      <c r="E8" s="450">
        <f>TUE!O31</f>
        <v>4</v>
      </c>
      <c r="F8" s="450"/>
      <c r="G8" s="450"/>
      <c r="H8" s="451">
        <f>TUE!S32</f>
        <v>1295</v>
      </c>
      <c r="I8" s="451"/>
      <c r="J8" s="451"/>
      <c r="K8" s="451"/>
      <c r="L8" s="452">
        <f>TUE!O32</f>
        <v>0.22660396195680732</v>
      </c>
      <c r="M8" s="453"/>
      <c r="N8" s="453"/>
      <c r="O8" s="453"/>
      <c r="P8" s="454"/>
      <c r="Q8" s="641"/>
      <c r="R8" s="642"/>
      <c r="S8" s="642"/>
      <c r="T8" s="642"/>
      <c r="U8" s="643"/>
      <c r="V8" s="544"/>
      <c r="W8" s="545"/>
      <c r="X8" s="545"/>
      <c r="Y8" s="545"/>
      <c r="Z8" s="546"/>
      <c r="AA8" s="571"/>
      <c r="AB8" s="572"/>
      <c r="AC8" s="572"/>
      <c r="AD8" s="573"/>
    </row>
    <row r="9" spans="1:30" ht="20.100000000000001" customHeight="1" x14ac:dyDescent="0.3">
      <c r="A9" s="459"/>
      <c r="B9" s="434" t="s">
        <v>45</v>
      </c>
      <c r="C9" s="434"/>
      <c r="D9" s="450"/>
      <c r="E9" s="450">
        <f>TUE!P31</f>
        <v>3</v>
      </c>
      <c r="F9" s="450"/>
      <c r="G9" s="450"/>
      <c r="H9" s="451">
        <f>TUE!K31</f>
        <v>237.48</v>
      </c>
      <c r="I9" s="451"/>
      <c r="J9" s="451"/>
      <c r="K9" s="451"/>
      <c r="L9" s="452">
        <f>TUE!P32</f>
        <v>0.15598234459565971</v>
      </c>
      <c r="M9" s="453"/>
      <c r="N9" s="453"/>
      <c r="O9" s="453"/>
      <c r="P9" s="454"/>
      <c r="Q9" s="641"/>
      <c r="R9" s="642"/>
      <c r="S9" s="642"/>
      <c r="T9" s="642"/>
      <c r="U9" s="643"/>
      <c r="V9" s="544"/>
      <c r="W9" s="545"/>
      <c r="X9" s="545"/>
      <c r="Y9" s="545"/>
      <c r="Z9" s="546"/>
      <c r="AA9" s="571"/>
      <c r="AB9" s="572"/>
      <c r="AC9" s="572"/>
      <c r="AD9" s="573"/>
    </row>
    <row r="10" spans="1:30" ht="20.100000000000001" customHeight="1" x14ac:dyDescent="0.3">
      <c r="A10" s="459"/>
      <c r="B10" s="432" t="s">
        <v>65</v>
      </c>
      <c r="C10" s="433"/>
      <c r="D10" s="434"/>
      <c r="E10" s="432">
        <f>TUE!Q31</f>
        <v>0</v>
      </c>
      <c r="F10" s="433"/>
      <c r="G10" s="434"/>
      <c r="H10" s="435">
        <f>TUE!J31</f>
        <v>0</v>
      </c>
      <c r="I10" s="436"/>
      <c r="J10" s="436"/>
      <c r="K10" s="437"/>
      <c r="L10" s="452">
        <f>TUE!Q32</f>
        <v>0</v>
      </c>
      <c r="M10" s="453"/>
      <c r="N10" s="453"/>
      <c r="O10" s="453"/>
      <c r="P10" s="454"/>
      <c r="Q10" s="644"/>
      <c r="R10" s="645"/>
      <c r="S10" s="645"/>
      <c r="T10" s="645"/>
      <c r="U10" s="646"/>
      <c r="V10" s="547"/>
      <c r="W10" s="548"/>
      <c r="X10" s="548"/>
      <c r="Y10" s="548"/>
      <c r="Z10" s="549"/>
      <c r="AA10" s="574"/>
      <c r="AB10" s="575"/>
      <c r="AC10" s="575"/>
      <c r="AD10" s="576"/>
    </row>
    <row r="11" spans="1:30" ht="20.100000000000001" customHeight="1" x14ac:dyDescent="0.3">
      <c r="A11" s="460"/>
      <c r="B11" s="432" t="s">
        <v>94</v>
      </c>
      <c r="C11" s="433"/>
      <c r="D11" s="434"/>
      <c r="E11" s="432">
        <f>TUE!U16</f>
        <v>40.5</v>
      </c>
      <c r="F11" s="433"/>
      <c r="G11" s="434"/>
      <c r="H11" s="435" t="s">
        <v>95</v>
      </c>
      <c r="I11" s="436"/>
      <c r="J11" s="436"/>
      <c r="K11" s="437"/>
      <c r="L11" s="438">
        <f>TUE!T2</f>
        <v>6</v>
      </c>
      <c r="M11" s="439"/>
      <c r="N11" s="439"/>
      <c r="O11" s="439"/>
      <c r="P11" s="440"/>
      <c r="Q11" s="441"/>
      <c r="R11" s="442"/>
      <c r="S11" s="442"/>
      <c r="T11" s="442"/>
      <c r="U11" s="443"/>
      <c r="V11" s="444"/>
      <c r="W11" s="445"/>
      <c r="X11" s="445"/>
      <c r="Y11" s="445"/>
      <c r="Z11" s="446"/>
      <c r="AA11" s="447"/>
      <c r="AB11" s="448"/>
      <c r="AC11" s="448"/>
      <c r="AD11" s="449"/>
    </row>
    <row r="12" spans="1:30" ht="20.100000000000001" customHeight="1" x14ac:dyDescent="0.3">
      <c r="A12" s="461" t="s">
        <v>68</v>
      </c>
      <c r="B12" s="481" t="s">
        <v>57</v>
      </c>
      <c r="C12" s="481"/>
      <c r="D12" s="360"/>
      <c r="E12" s="360">
        <f>WED!N31</f>
        <v>4</v>
      </c>
      <c r="F12" s="360"/>
      <c r="G12" s="360"/>
      <c r="H12" s="602">
        <f>WED!S31</f>
        <v>375</v>
      </c>
      <c r="I12" s="603"/>
      <c r="J12" s="603"/>
      <c r="K12" s="604"/>
      <c r="L12" s="605">
        <f>WED!N32</f>
        <v>0.20013876287559373</v>
      </c>
      <c r="M12" s="606"/>
      <c r="N12" s="606"/>
      <c r="O12" s="606"/>
      <c r="P12" s="607"/>
      <c r="Q12" s="617">
        <f>SUM(E12:G15)</f>
        <v>18</v>
      </c>
      <c r="R12" s="618"/>
      <c r="S12" s="618"/>
      <c r="T12" s="618"/>
      <c r="U12" s="619"/>
      <c r="V12" s="398">
        <f>SUM(H12,H13,H15)</f>
        <v>2020</v>
      </c>
      <c r="W12" s="399"/>
      <c r="X12" s="399"/>
      <c r="Y12" s="399"/>
      <c r="Z12" s="400"/>
      <c r="AA12" s="389">
        <f>V12/Q12</f>
        <v>112.22222222222223</v>
      </c>
      <c r="AB12" s="390"/>
      <c r="AC12" s="390"/>
      <c r="AD12" s="391"/>
    </row>
    <row r="13" spans="1:30" ht="20.100000000000001" customHeight="1" x14ac:dyDescent="0.3">
      <c r="A13" s="462"/>
      <c r="B13" s="481" t="s">
        <v>58</v>
      </c>
      <c r="C13" s="481"/>
      <c r="D13" s="360"/>
      <c r="E13" s="360">
        <f>WED!O31</f>
        <v>8</v>
      </c>
      <c r="F13" s="360"/>
      <c r="G13" s="360"/>
      <c r="H13" s="602">
        <f>WED!S32</f>
        <v>1645</v>
      </c>
      <c r="I13" s="603"/>
      <c r="J13" s="603"/>
      <c r="K13" s="604"/>
      <c r="L13" s="605">
        <f>WED!O32</f>
        <v>0.47766451406308374</v>
      </c>
      <c r="M13" s="606"/>
      <c r="N13" s="606"/>
      <c r="O13" s="606"/>
      <c r="P13" s="607"/>
      <c r="Q13" s="620"/>
      <c r="R13" s="621"/>
      <c r="S13" s="621"/>
      <c r="T13" s="621"/>
      <c r="U13" s="622"/>
      <c r="V13" s="401"/>
      <c r="W13" s="402"/>
      <c r="X13" s="402"/>
      <c r="Y13" s="402"/>
      <c r="Z13" s="403"/>
      <c r="AA13" s="392"/>
      <c r="AB13" s="393"/>
      <c r="AC13" s="393"/>
      <c r="AD13" s="394"/>
    </row>
    <row r="14" spans="1:30" ht="20.100000000000001" customHeight="1" x14ac:dyDescent="0.3">
      <c r="A14" s="462"/>
      <c r="B14" s="481" t="s">
        <v>45</v>
      </c>
      <c r="C14" s="481"/>
      <c r="D14" s="360"/>
      <c r="E14" s="360">
        <f>WED!P31</f>
        <v>6</v>
      </c>
      <c r="F14" s="360"/>
      <c r="G14" s="360"/>
      <c r="H14" s="602">
        <f>WED!K31</f>
        <v>603.70000000000005</v>
      </c>
      <c r="I14" s="603"/>
      <c r="J14" s="603"/>
      <c r="K14" s="604"/>
      <c r="L14" s="605">
        <f>WED!P32</f>
        <v>0.32219672306132252</v>
      </c>
      <c r="M14" s="606"/>
      <c r="N14" s="606"/>
      <c r="O14" s="606"/>
      <c r="P14" s="607"/>
      <c r="Q14" s="620"/>
      <c r="R14" s="621"/>
      <c r="S14" s="621"/>
      <c r="T14" s="621"/>
      <c r="U14" s="622"/>
      <c r="V14" s="401"/>
      <c r="W14" s="402"/>
      <c r="X14" s="402"/>
      <c r="Y14" s="402"/>
      <c r="Z14" s="403"/>
      <c r="AA14" s="392"/>
      <c r="AB14" s="393"/>
      <c r="AC14" s="393"/>
      <c r="AD14" s="394"/>
    </row>
    <row r="15" spans="1:30" ht="20.100000000000001" customHeight="1" x14ac:dyDescent="0.3">
      <c r="A15" s="462"/>
      <c r="B15" s="479" t="s">
        <v>65</v>
      </c>
      <c r="C15" s="480"/>
      <c r="D15" s="481"/>
      <c r="E15" s="479">
        <f>WED!Q31</f>
        <v>0</v>
      </c>
      <c r="F15" s="480"/>
      <c r="G15" s="481"/>
      <c r="H15" s="602">
        <f>WED!J31</f>
        <v>0</v>
      </c>
      <c r="I15" s="603"/>
      <c r="J15" s="603"/>
      <c r="K15" s="604"/>
      <c r="L15" s="605">
        <f>WED!Q32</f>
        <v>0</v>
      </c>
      <c r="M15" s="606"/>
      <c r="N15" s="606"/>
      <c r="O15" s="606"/>
      <c r="P15" s="607"/>
      <c r="Q15" s="623"/>
      <c r="R15" s="624"/>
      <c r="S15" s="624"/>
      <c r="T15" s="624"/>
      <c r="U15" s="625"/>
      <c r="V15" s="404"/>
      <c r="W15" s="405"/>
      <c r="X15" s="405"/>
      <c r="Y15" s="405"/>
      <c r="Z15" s="406"/>
      <c r="AA15" s="395"/>
      <c r="AB15" s="396"/>
      <c r="AC15" s="396"/>
      <c r="AD15" s="397"/>
    </row>
    <row r="16" spans="1:30" ht="20.100000000000001" customHeight="1" x14ac:dyDescent="0.3">
      <c r="A16" s="463"/>
      <c r="B16" s="479" t="s">
        <v>94</v>
      </c>
      <c r="C16" s="480"/>
      <c r="D16" s="481"/>
      <c r="E16" s="479">
        <f>WED!U16</f>
        <v>46.75</v>
      </c>
      <c r="F16" s="480"/>
      <c r="G16" s="481"/>
      <c r="H16" s="602" t="s">
        <v>95</v>
      </c>
      <c r="I16" s="603"/>
      <c r="J16" s="603"/>
      <c r="K16" s="604"/>
      <c r="L16" s="662">
        <f>WED!T2</f>
        <v>6</v>
      </c>
      <c r="M16" s="663"/>
      <c r="N16" s="663"/>
      <c r="O16" s="663"/>
      <c r="P16" s="664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464" t="s">
        <v>69</v>
      </c>
      <c r="B17" s="484" t="s">
        <v>57</v>
      </c>
      <c r="C17" s="484"/>
      <c r="D17" s="411"/>
      <c r="E17" s="411">
        <f>THU!N31</f>
        <v>10</v>
      </c>
      <c r="F17" s="411"/>
      <c r="G17" s="411"/>
      <c r="H17" s="410">
        <f>THU!S31</f>
        <v>1220</v>
      </c>
      <c r="I17" s="410"/>
      <c r="J17" s="410"/>
      <c r="K17" s="410"/>
      <c r="L17" s="420">
        <f>THU!N32</f>
        <v>0.59541239629087361</v>
      </c>
      <c r="M17" s="420"/>
      <c r="N17" s="420"/>
      <c r="O17" s="420"/>
      <c r="P17" s="420"/>
      <c r="Q17" s="647">
        <f>SUM(E17:G20)</f>
        <v>20</v>
      </c>
      <c r="R17" s="648"/>
      <c r="S17" s="648"/>
      <c r="T17" s="648"/>
      <c r="U17" s="649"/>
      <c r="V17" s="587">
        <f>SUM(H17,H18,H20)</f>
        <v>2070</v>
      </c>
      <c r="W17" s="588"/>
      <c r="X17" s="588"/>
      <c r="Y17" s="588"/>
      <c r="Z17" s="589"/>
      <c r="AA17" s="578">
        <f>V17/Q17</f>
        <v>103.5</v>
      </c>
      <c r="AB17" s="579"/>
      <c r="AC17" s="579"/>
      <c r="AD17" s="580"/>
    </row>
    <row r="18" spans="1:30" ht="20.100000000000001" customHeight="1" x14ac:dyDescent="0.3">
      <c r="A18" s="465"/>
      <c r="B18" s="484" t="s">
        <v>58</v>
      </c>
      <c r="C18" s="484"/>
      <c r="D18" s="411"/>
      <c r="E18" s="411">
        <f>THU!O31</f>
        <v>4</v>
      </c>
      <c r="F18" s="411"/>
      <c r="G18" s="411"/>
      <c r="H18" s="410">
        <f>THU!S32</f>
        <v>850</v>
      </c>
      <c r="I18" s="410"/>
      <c r="J18" s="410"/>
      <c r="K18" s="410"/>
      <c r="L18" s="420">
        <f>THU!O32</f>
        <v>0.18301610541727673</v>
      </c>
      <c r="M18" s="420"/>
      <c r="N18" s="420"/>
      <c r="O18" s="420"/>
      <c r="P18" s="420"/>
      <c r="Q18" s="650"/>
      <c r="R18" s="651"/>
      <c r="S18" s="651"/>
      <c r="T18" s="651"/>
      <c r="U18" s="652"/>
      <c r="V18" s="590"/>
      <c r="W18" s="591"/>
      <c r="X18" s="591"/>
      <c r="Y18" s="591"/>
      <c r="Z18" s="592"/>
      <c r="AA18" s="581"/>
      <c r="AB18" s="582"/>
      <c r="AC18" s="582"/>
      <c r="AD18" s="583"/>
    </row>
    <row r="19" spans="1:30" ht="20.100000000000001" customHeight="1" x14ac:dyDescent="0.3">
      <c r="A19" s="465"/>
      <c r="B19" s="484" t="s">
        <v>45</v>
      </c>
      <c r="C19" s="484"/>
      <c r="D19" s="411"/>
      <c r="E19" s="411">
        <f>THU!P31</f>
        <v>6</v>
      </c>
      <c r="F19" s="411"/>
      <c r="G19" s="411"/>
      <c r="H19" s="410">
        <f>THU!K31</f>
        <v>454</v>
      </c>
      <c r="I19" s="410"/>
      <c r="J19" s="410"/>
      <c r="K19" s="410"/>
      <c r="L19" s="420">
        <f>THU!P32</f>
        <v>0.22157149829184969</v>
      </c>
      <c r="M19" s="420"/>
      <c r="N19" s="420"/>
      <c r="O19" s="420"/>
      <c r="P19" s="420"/>
      <c r="Q19" s="650"/>
      <c r="R19" s="651"/>
      <c r="S19" s="651"/>
      <c r="T19" s="651"/>
      <c r="U19" s="652"/>
      <c r="V19" s="590"/>
      <c r="W19" s="591"/>
      <c r="X19" s="591"/>
      <c r="Y19" s="591"/>
      <c r="Z19" s="592"/>
      <c r="AA19" s="581"/>
      <c r="AB19" s="582"/>
      <c r="AC19" s="582"/>
      <c r="AD19" s="583"/>
    </row>
    <row r="20" spans="1:30" ht="20.100000000000001" customHeight="1" x14ac:dyDescent="0.3">
      <c r="A20" s="465"/>
      <c r="B20" s="482" t="s">
        <v>65</v>
      </c>
      <c r="C20" s="483"/>
      <c r="D20" s="484"/>
      <c r="E20" s="482">
        <f>THU!Q31</f>
        <v>0</v>
      </c>
      <c r="F20" s="483"/>
      <c r="G20" s="484"/>
      <c r="H20" s="665">
        <f>THU!J31</f>
        <v>0</v>
      </c>
      <c r="I20" s="666"/>
      <c r="J20" s="666"/>
      <c r="K20" s="667"/>
      <c r="L20" s="677">
        <f>THU!Q32</f>
        <v>0</v>
      </c>
      <c r="M20" s="678"/>
      <c r="N20" s="678"/>
      <c r="O20" s="678"/>
      <c r="P20" s="679"/>
      <c r="Q20" s="653"/>
      <c r="R20" s="654"/>
      <c r="S20" s="654"/>
      <c r="T20" s="654"/>
      <c r="U20" s="655"/>
      <c r="V20" s="593"/>
      <c r="W20" s="594"/>
      <c r="X20" s="594"/>
      <c r="Y20" s="594"/>
      <c r="Z20" s="595"/>
      <c r="AA20" s="584"/>
      <c r="AB20" s="585"/>
      <c r="AC20" s="585"/>
      <c r="AD20" s="586"/>
    </row>
    <row r="21" spans="1:30" ht="20.100000000000001" customHeight="1" x14ac:dyDescent="0.3">
      <c r="A21" s="466"/>
      <c r="B21" s="482" t="s">
        <v>94</v>
      </c>
      <c r="C21" s="483"/>
      <c r="D21" s="484"/>
      <c r="E21" s="482">
        <f>THU!U16</f>
        <v>56.75</v>
      </c>
      <c r="F21" s="483"/>
      <c r="G21" s="484"/>
      <c r="H21" s="665" t="s">
        <v>95</v>
      </c>
      <c r="I21" s="666"/>
      <c r="J21" s="666"/>
      <c r="K21" s="667"/>
      <c r="L21" s="684">
        <f>THU!T2</f>
        <v>7</v>
      </c>
      <c r="M21" s="685"/>
      <c r="N21" s="685"/>
      <c r="O21" s="685"/>
      <c r="P21" s="686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467" t="s">
        <v>93</v>
      </c>
      <c r="B22" s="487" t="s">
        <v>57</v>
      </c>
      <c r="C22" s="487"/>
      <c r="D22" s="492"/>
      <c r="E22" s="492">
        <f>FRI!N31</f>
        <v>9</v>
      </c>
      <c r="F22" s="492"/>
      <c r="G22" s="492"/>
      <c r="H22" s="415">
        <f>FRI!S31</f>
        <v>1075</v>
      </c>
      <c r="I22" s="415"/>
      <c r="J22" s="415"/>
      <c r="K22" s="415"/>
      <c r="L22" s="416">
        <f>FRI!N32</f>
        <v>0.56430446194225725</v>
      </c>
      <c r="M22" s="416"/>
      <c r="N22" s="416"/>
      <c r="O22" s="416"/>
      <c r="P22" s="416"/>
      <c r="Q22" s="723">
        <f>SUM(E22:G25)</f>
        <v>18</v>
      </c>
      <c r="R22" s="724"/>
      <c r="S22" s="724"/>
      <c r="T22" s="724"/>
      <c r="U22" s="725"/>
      <c r="V22" s="668">
        <f>SUM(H22,H23,H25)</f>
        <v>1905</v>
      </c>
      <c r="W22" s="669"/>
      <c r="X22" s="669"/>
      <c r="Y22" s="669"/>
      <c r="Z22" s="670"/>
      <c r="AA22" s="690">
        <f>V22/Q22</f>
        <v>105.83333333333333</v>
      </c>
      <c r="AB22" s="691"/>
      <c r="AC22" s="691"/>
      <c r="AD22" s="692"/>
    </row>
    <row r="23" spans="1:30" ht="20.100000000000001" customHeight="1" x14ac:dyDescent="0.3">
      <c r="A23" s="468"/>
      <c r="B23" s="487" t="s">
        <v>58</v>
      </c>
      <c r="C23" s="487"/>
      <c r="D23" s="492"/>
      <c r="E23" s="492">
        <f>FRI!O31</f>
        <v>9</v>
      </c>
      <c r="F23" s="492"/>
      <c r="G23" s="492"/>
      <c r="H23" s="415">
        <f>FRI!S32</f>
        <v>830</v>
      </c>
      <c r="I23" s="415"/>
      <c r="J23" s="415"/>
      <c r="K23" s="415"/>
      <c r="L23" s="416">
        <f>FRI!O32</f>
        <v>0.4356955380577428</v>
      </c>
      <c r="M23" s="416"/>
      <c r="N23" s="416"/>
      <c r="O23" s="416"/>
      <c r="P23" s="416"/>
      <c r="Q23" s="726"/>
      <c r="R23" s="727"/>
      <c r="S23" s="727"/>
      <c r="T23" s="727"/>
      <c r="U23" s="728"/>
      <c r="V23" s="671"/>
      <c r="W23" s="672"/>
      <c r="X23" s="672"/>
      <c r="Y23" s="672"/>
      <c r="Z23" s="673"/>
      <c r="AA23" s="693"/>
      <c r="AB23" s="694"/>
      <c r="AC23" s="694"/>
      <c r="AD23" s="695"/>
    </row>
    <row r="24" spans="1:30" ht="20.100000000000001" customHeight="1" x14ac:dyDescent="0.3">
      <c r="A24" s="468"/>
      <c r="B24" s="487" t="s">
        <v>45</v>
      </c>
      <c r="C24" s="487"/>
      <c r="D24" s="492"/>
      <c r="E24" s="492">
        <f>FRI!P31</f>
        <v>0</v>
      </c>
      <c r="F24" s="492"/>
      <c r="G24" s="492"/>
      <c r="H24" s="415">
        <f>FRI!K31</f>
        <v>0</v>
      </c>
      <c r="I24" s="415"/>
      <c r="J24" s="415"/>
      <c r="K24" s="415"/>
      <c r="L24" s="416">
        <f>FRI!P32</f>
        <v>0</v>
      </c>
      <c r="M24" s="416"/>
      <c r="N24" s="416"/>
      <c r="O24" s="416"/>
      <c r="P24" s="416"/>
      <c r="Q24" s="726"/>
      <c r="R24" s="727"/>
      <c r="S24" s="727"/>
      <c r="T24" s="727"/>
      <c r="U24" s="728"/>
      <c r="V24" s="671"/>
      <c r="W24" s="672"/>
      <c r="X24" s="672"/>
      <c r="Y24" s="672"/>
      <c r="Z24" s="673"/>
      <c r="AA24" s="693"/>
      <c r="AB24" s="694"/>
      <c r="AC24" s="694"/>
      <c r="AD24" s="695"/>
    </row>
    <row r="25" spans="1:30" ht="20.100000000000001" customHeight="1" x14ac:dyDescent="0.3">
      <c r="A25" s="468"/>
      <c r="B25" s="485" t="s">
        <v>65</v>
      </c>
      <c r="C25" s="486"/>
      <c r="D25" s="487"/>
      <c r="E25" s="485">
        <f>FRI!Q31</f>
        <v>0</v>
      </c>
      <c r="F25" s="486"/>
      <c r="G25" s="487"/>
      <c r="H25" s="717">
        <f>FRI!J31</f>
        <v>0</v>
      </c>
      <c r="I25" s="718"/>
      <c r="J25" s="718"/>
      <c r="K25" s="719"/>
      <c r="L25" s="720">
        <f>FRI!Q32</f>
        <v>0</v>
      </c>
      <c r="M25" s="721"/>
      <c r="N25" s="721"/>
      <c r="O25" s="721"/>
      <c r="P25" s="722"/>
      <c r="Q25" s="729"/>
      <c r="R25" s="730"/>
      <c r="S25" s="730"/>
      <c r="T25" s="730"/>
      <c r="U25" s="731"/>
      <c r="V25" s="674"/>
      <c r="W25" s="675"/>
      <c r="X25" s="675"/>
      <c r="Y25" s="675"/>
      <c r="Z25" s="676"/>
      <c r="AA25" s="696"/>
      <c r="AB25" s="697"/>
      <c r="AC25" s="697"/>
      <c r="AD25" s="698"/>
    </row>
    <row r="26" spans="1:30" ht="20.100000000000001" customHeight="1" x14ac:dyDescent="0.3">
      <c r="A26" s="469"/>
      <c r="B26" s="485" t="s">
        <v>94</v>
      </c>
      <c r="C26" s="486"/>
      <c r="D26" s="487"/>
      <c r="E26" s="485">
        <f>FRI!U16</f>
        <v>54.5</v>
      </c>
      <c r="F26" s="486"/>
      <c r="G26" s="487"/>
      <c r="H26" s="717" t="s">
        <v>95</v>
      </c>
      <c r="I26" s="718"/>
      <c r="J26" s="718"/>
      <c r="K26" s="719"/>
      <c r="L26" s="687">
        <f>FRI!T2</f>
        <v>8</v>
      </c>
      <c r="M26" s="688"/>
      <c r="N26" s="688"/>
      <c r="O26" s="688"/>
      <c r="P26" s="689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470" t="s">
        <v>70</v>
      </c>
      <c r="B27" s="425" t="s">
        <v>57</v>
      </c>
      <c r="C27" s="425"/>
      <c r="D27" s="422"/>
      <c r="E27" s="422">
        <f>SAT!N31</f>
        <v>9</v>
      </c>
      <c r="F27" s="422"/>
      <c r="G27" s="422"/>
      <c r="H27" s="577">
        <f>SAT!S31</f>
        <v>920</v>
      </c>
      <c r="I27" s="577"/>
      <c r="J27" s="577"/>
      <c r="K27" s="577"/>
      <c r="L27" s="421">
        <f>SAT!N32</f>
        <v>0.27476958181264299</v>
      </c>
      <c r="M27" s="421"/>
      <c r="N27" s="421"/>
      <c r="O27" s="421"/>
      <c r="P27" s="421"/>
      <c r="Q27" s="626">
        <f>SUM(E27:G30)</f>
        <v>31</v>
      </c>
      <c r="R27" s="627"/>
      <c r="S27" s="627"/>
      <c r="T27" s="627"/>
      <c r="U27" s="628"/>
      <c r="V27" s="708">
        <f>SUM(H27,H28,H30)</f>
        <v>3065</v>
      </c>
      <c r="W27" s="709"/>
      <c r="X27" s="709"/>
      <c r="Y27" s="709"/>
      <c r="Z27" s="710"/>
      <c r="AA27" s="699">
        <f>V27/Q27</f>
        <v>98.870967741935488</v>
      </c>
      <c r="AB27" s="700"/>
      <c r="AC27" s="700"/>
      <c r="AD27" s="701"/>
    </row>
    <row r="28" spans="1:30" ht="20.100000000000001" customHeight="1" x14ac:dyDescent="0.3">
      <c r="A28" s="471"/>
      <c r="B28" s="425" t="s">
        <v>58</v>
      </c>
      <c r="C28" s="425"/>
      <c r="D28" s="422"/>
      <c r="E28" s="422">
        <f>SAT!O31</f>
        <v>18</v>
      </c>
      <c r="F28" s="422"/>
      <c r="G28" s="422"/>
      <c r="H28" s="577">
        <f>SAT!S32</f>
        <v>2145</v>
      </c>
      <c r="I28" s="577"/>
      <c r="J28" s="577"/>
      <c r="K28" s="577"/>
      <c r="L28" s="421">
        <f>SAT!O32</f>
        <v>0.64063125324795567</v>
      </c>
      <c r="M28" s="421"/>
      <c r="N28" s="421"/>
      <c r="O28" s="421"/>
      <c r="P28" s="421"/>
      <c r="Q28" s="629"/>
      <c r="R28" s="630"/>
      <c r="S28" s="630"/>
      <c r="T28" s="630"/>
      <c r="U28" s="631"/>
      <c r="V28" s="711"/>
      <c r="W28" s="712"/>
      <c r="X28" s="712"/>
      <c r="Y28" s="712"/>
      <c r="Z28" s="713"/>
      <c r="AA28" s="702"/>
      <c r="AB28" s="703"/>
      <c r="AC28" s="703"/>
      <c r="AD28" s="704"/>
    </row>
    <row r="29" spans="1:30" ht="20.100000000000001" customHeight="1" x14ac:dyDescent="0.3">
      <c r="A29" s="471"/>
      <c r="B29" s="425" t="s">
        <v>45</v>
      </c>
      <c r="C29" s="425"/>
      <c r="D29" s="422"/>
      <c r="E29" s="422">
        <f>SAT!P31</f>
        <v>4</v>
      </c>
      <c r="F29" s="422"/>
      <c r="G29" s="422"/>
      <c r="H29" s="577">
        <f>SAT!K31</f>
        <v>283.26</v>
      </c>
      <c r="I29" s="577"/>
      <c r="J29" s="577"/>
      <c r="K29" s="577"/>
      <c r="L29" s="421">
        <f>SAT!P32</f>
        <v>8.4599164939401353E-2</v>
      </c>
      <c r="M29" s="421"/>
      <c r="N29" s="421"/>
      <c r="O29" s="421"/>
      <c r="P29" s="421"/>
      <c r="Q29" s="629"/>
      <c r="R29" s="630"/>
      <c r="S29" s="630"/>
      <c r="T29" s="630"/>
      <c r="U29" s="631"/>
      <c r="V29" s="711"/>
      <c r="W29" s="712"/>
      <c r="X29" s="712"/>
      <c r="Y29" s="712"/>
      <c r="Z29" s="713"/>
      <c r="AA29" s="702"/>
      <c r="AB29" s="703"/>
      <c r="AC29" s="703"/>
      <c r="AD29" s="704"/>
    </row>
    <row r="30" spans="1:30" ht="20.100000000000001" customHeight="1" x14ac:dyDescent="0.3">
      <c r="A30" s="471"/>
      <c r="B30" s="423" t="s">
        <v>65</v>
      </c>
      <c r="C30" s="424"/>
      <c r="D30" s="425"/>
      <c r="E30" s="423">
        <f>SAT!Q31</f>
        <v>0</v>
      </c>
      <c r="F30" s="424"/>
      <c r="G30" s="425"/>
      <c r="H30" s="417">
        <f>SAT!J31</f>
        <v>0</v>
      </c>
      <c r="I30" s="418"/>
      <c r="J30" s="418"/>
      <c r="K30" s="419"/>
      <c r="L30" s="635">
        <f>SAT!Q32</f>
        <v>0</v>
      </c>
      <c r="M30" s="636"/>
      <c r="N30" s="636"/>
      <c r="O30" s="636"/>
      <c r="P30" s="637"/>
      <c r="Q30" s="632"/>
      <c r="R30" s="633"/>
      <c r="S30" s="633"/>
      <c r="T30" s="633"/>
      <c r="U30" s="634"/>
      <c r="V30" s="714"/>
      <c r="W30" s="715"/>
      <c r="X30" s="715"/>
      <c r="Y30" s="715"/>
      <c r="Z30" s="716"/>
      <c r="AA30" s="705"/>
      <c r="AB30" s="706"/>
      <c r="AC30" s="706"/>
      <c r="AD30" s="707"/>
    </row>
    <row r="31" spans="1:30" ht="20.100000000000001" customHeight="1" x14ac:dyDescent="0.3">
      <c r="A31" s="472"/>
      <c r="B31" s="423" t="s">
        <v>94</v>
      </c>
      <c r="C31" s="424"/>
      <c r="D31" s="425"/>
      <c r="E31" s="423">
        <f>SAT!U16</f>
        <v>65.5</v>
      </c>
      <c r="F31" s="424"/>
      <c r="G31" s="425"/>
      <c r="H31" s="417" t="s">
        <v>95</v>
      </c>
      <c r="I31" s="418"/>
      <c r="J31" s="418"/>
      <c r="K31" s="419"/>
      <c r="L31" s="407">
        <f>SAT!T2</f>
        <v>8</v>
      </c>
      <c r="M31" s="408"/>
      <c r="N31" s="408"/>
      <c r="O31" s="408"/>
      <c r="P31" s="409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473" t="s">
        <v>71</v>
      </c>
      <c r="B32" s="491" t="s">
        <v>57</v>
      </c>
      <c r="C32" s="412"/>
      <c r="D32" s="412"/>
      <c r="E32" s="412">
        <f>SUN!N31</f>
        <v>9</v>
      </c>
      <c r="F32" s="412"/>
      <c r="G32" s="412"/>
      <c r="H32" s="413">
        <f>SUN!S31</f>
        <v>870</v>
      </c>
      <c r="I32" s="413"/>
      <c r="J32" s="413"/>
      <c r="K32" s="413"/>
      <c r="L32" s="414">
        <f>SUN!N32</f>
        <v>0.21848866119189331</v>
      </c>
      <c r="M32" s="414"/>
      <c r="N32" s="414"/>
      <c r="O32" s="414"/>
      <c r="P32" s="414"/>
      <c r="Q32" s="683">
        <f>SUM(E32:G35)</f>
        <v>31</v>
      </c>
      <c r="R32" s="683"/>
      <c r="S32" s="683"/>
      <c r="T32" s="683"/>
      <c r="U32" s="683"/>
      <c r="V32" s="741">
        <f>SUM(H32,H33,H35)</f>
        <v>2940</v>
      </c>
      <c r="W32" s="741"/>
      <c r="X32" s="741"/>
      <c r="Y32" s="741"/>
      <c r="Z32" s="741"/>
      <c r="AA32" s="755">
        <f>V32/Q32</f>
        <v>94.838709677419359</v>
      </c>
      <c r="AB32" s="756"/>
      <c r="AC32" s="756"/>
      <c r="AD32" s="756"/>
    </row>
    <row r="33" spans="1:30" ht="20.100000000000001" customHeight="1" x14ac:dyDescent="0.3">
      <c r="A33" s="474"/>
      <c r="B33" s="491" t="s">
        <v>58</v>
      </c>
      <c r="C33" s="412"/>
      <c r="D33" s="412"/>
      <c r="E33" s="412">
        <f>SUN!O31</f>
        <v>16</v>
      </c>
      <c r="F33" s="412"/>
      <c r="G33" s="412"/>
      <c r="H33" s="413">
        <f>SUN!S32</f>
        <v>2070</v>
      </c>
      <c r="I33" s="413"/>
      <c r="J33" s="413"/>
      <c r="K33" s="413"/>
      <c r="L33" s="414">
        <f>SUN!O32</f>
        <v>0.51985233180140134</v>
      </c>
      <c r="M33" s="414"/>
      <c r="N33" s="414"/>
      <c r="O33" s="414"/>
      <c r="P33" s="414"/>
      <c r="Q33" s="683"/>
      <c r="R33" s="683"/>
      <c r="S33" s="683"/>
      <c r="T33" s="683"/>
      <c r="U33" s="683"/>
      <c r="V33" s="741"/>
      <c r="W33" s="741"/>
      <c r="X33" s="741"/>
      <c r="Y33" s="741"/>
      <c r="Z33" s="741"/>
      <c r="AA33" s="756"/>
      <c r="AB33" s="756"/>
      <c r="AC33" s="756"/>
      <c r="AD33" s="756"/>
    </row>
    <row r="34" spans="1:30" ht="20.100000000000001" customHeight="1" x14ac:dyDescent="0.3">
      <c r="A34" s="474"/>
      <c r="B34" s="491" t="s">
        <v>45</v>
      </c>
      <c r="C34" s="412"/>
      <c r="D34" s="412"/>
      <c r="E34" s="412">
        <f>SUN!P31</f>
        <v>6</v>
      </c>
      <c r="F34" s="412"/>
      <c r="G34" s="412"/>
      <c r="H34" s="413">
        <f>SUN!K31</f>
        <v>1041.9000000000001</v>
      </c>
      <c r="I34" s="413"/>
      <c r="J34" s="413"/>
      <c r="K34" s="413"/>
      <c r="L34" s="414">
        <f>SUN!P32</f>
        <v>0.26165900700670536</v>
      </c>
      <c r="M34" s="414"/>
      <c r="N34" s="414"/>
      <c r="O34" s="414"/>
      <c r="P34" s="414"/>
      <c r="Q34" s="683"/>
      <c r="R34" s="683"/>
      <c r="S34" s="683"/>
      <c r="T34" s="683"/>
      <c r="U34" s="683"/>
      <c r="V34" s="741"/>
      <c r="W34" s="741"/>
      <c r="X34" s="741"/>
      <c r="Y34" s="741"/>
      <c r="Z34" s="741"/>
      <c r="AA34" s="756"/>
      <c r="AB34" s="756"/>
      <c r="AC34" s="756"/>
      <c r="AD34" s="756"/>
    </row>
    <row r="35" spans="1:30" ht="20.100000000000001" customHeight="1" x14ac:dyDescent="0.3">
      <c r="A35" s="474"/>
      <c r="B35" s="491" t="s">
        <v>65</v>
      </c>
      <c r="C35" s="412"/>
      <c r="D35" s="412"/>
      <c r="E35" s="412">
        <f>SUN!Q31</f>
        <v>0</v>
      </c>
      <c r="F35" s="412"/>
      <c r="G35" s="412"/>
      <c r="H35" s="413">
        <f>SUN!J31</f>
        <v>0</v>
      </c>
      <c r="I35" s="413"/>
      <c r="J35" s="413"/>
      <c r="K35" s="413"/>
      <c r="L35" s="414">
        <f>SUN!Q32</f>
        <v>0</v>
      </c>
      <c r="M35" s="414"/>
      <c r="N35" s="414"/>
      <c r="O35" s="414"/>
      <c r="P35" s="414"/>
      <c r="Q35" s="683"/>
      <c r="R35" s="683"/>
      <c r="S35" s="683"/>
      <c r="T35" s="683"/>
      <c r="U35" s="683"/>
      <c r="V35" s="741"/>
      <c r="W35" s="741"/>
      <c r="X35" s="741"/>
      <c r="Y35" s="741"/>
      <c r="Z35" s="741"/>
      <c r="AA35" s="756"/>
      <c r="AB35" s="756"/>
      <c r="AC35" s="756"/>
      <c r="AD35" s="756"/>
    </row>
    <row r="36" spans="1:30" ht="20.100000000000001" customHeight="1" thickBot="1" x14ac:dyDescent="0.35">
      <c r="A36" s="475"/>
      <c r="B36" s="488" t="s">
        <v>94</v>
      </c>
      <c r="C36" s="489"/>
      <c r="D36" s="490"/>
      <c r="E36" s="488">
        <f>SUN!U16</f>
        <v>65.5</v>
      </c>
      <c r="F36" s="489"/>
      <c r="G36" s="490"/>
      <c r="H36" s="488" t="s">
        <v>95</v>
      </c>
      <c r="I36" s="489"/>
      <c r="J36" s="489"/>
      <c r="K36" s="490"/>
      <c r="L36" s="757">
        <f>SUN!T2</f>
        <v>8</v>
      </c>
      <c r="M36" s="758"/>
      <c r="N36" s="758"/>
      <c r="O36" s="758"/>
      <c r="P36" s="759"/>
      <c r="Q36" s="680"/>
      <c r="R36" s="681"/>
      <c r="S36" s="681"/>
      <c r="T36" s="681"/>
      <c r="U36" s="682"/>
      <c r="V36" s="744"/>
      <c r="W36" s="745"/>
      <c r="X36" s="745"/>
      <c r="Y36" s="745"/>
      <c r="Z36" s="746"/>
      <c r="AA36" s="747"/>
      <c r="AB36" s="748"/>
      <c r="AC36" s="748"/>
      <c r="AD36" s="749"/>
    </row>
    <row r="37" spans="1:30" ht="16.5" customHeight="1" x14ac:dyDescent="0.3">
      <c r="A37" s="732" t="s">
        <v>72</v>
      </c>
      <c r="B37" s="733"/>
      <c r="C37" s="733"/>
      <c r="D37" s="733"/>
      <c r="E37" s="733" t="s">
        <v>73</v>
      </c>
      <c r="F37" s="733"/>
      <c r="G37" s="733"/>
      <c r="H37" s="733"/>
      <c r="I37" s="733"/>
      <c r="J37" s="733"/>
      <c r="K37" s="733" t="s">
        <v>74</v>
      </c>
      <c r="L37" s="733"/>
      <c r="M37" s="733"/>
      <c r="N37" s="733"/>
      <c r="O37" s="733" t="s">
        <v>65</v>
      </c>
      <c r="P37" s="733"/>
      <c r="Q37" s="733"/>
      <c r="R37" s="733"/>
      <c r="S37" s="733"/>
      <c r="T37" s="733" t="s">
        <v>75</v>
      </c>
      <c r="U37" s="733"/>
      <c r="V37" s="733"/>
      <c r="W37" s="733"/>
      <c r="X37" s="733"/>
      <c r="Y37" s="733" t="s">
        <v>76</v>
      </c>
      <c r="Z37" s="733"/>
      <c r="AA37" s="733"/>
      <c r="AB37" s="733"/>
      <c r="AC37" s="733"/>
      <c r="AD37" s="742"/>
    </row>
    <row r="38" spans="1:30" ht="16.5" customHeight="1" x14ac:dyDescent="0.3">
      <c r="A38" s="734"/>
      <c r="B38" s="735"/>
      <c r="C38" s="735"/>
      <c r="D38" s="735"/>
      <c r="E38" s="735"/>
      <c r="F38" s="735"/>
      <c r="G38" s="735"/>
      <c r="H38" s="735"/>
      <c r="I38" s="735"/>
      <c r="J38" s="735"/>
      <c r="K38" s="735"/>
      <c r="L38" s="735"/>
      <c r="M38" s="735"/>
      <c r="N38" s="735"/>
      <c r="O38" s="735"/>
      <c r="P38" s="735"/>
      <c r="Q38" s="735"/>
      <c r="R38" s="735"/>
      <c r="S38" s="735"/>
      <c r="T38" s="735"/>
      <c r="U38" s="735"/>
      <c r="V38" s="735"/>
      <c r="W38" s="735"/>
      <c r="X38" s="735"/>
      <c r="Y38" s="735"/>
      <c r="Z38" s="735"/>
      <c r="AA38" s="735"/>
      <c r="AB38" s="735"/>
      <c r="AC38" s="735"/>
      <c r="AD38" s="743"/>
    </row>
    <row r="39" spans="1:30" ht="16.5" customHeight="1" x14ac:dyDescent="0.3">
      <c r="A39" s="736">
        <f>SUM(Q2:U35)</f>
        <v>151</v>
      </c>
      <c r="B39" s="737"/>
      <c r="C39" s="737"/>
      <c r="D39" s="737"/>
      <c r="E39" s="740">
        <f>SUM(V2:Z35)</f>
        <v>16685</v>
      </c>
      <c r="F39" s="737"/>
      <c r="G39" s="737"/>
      <c r="H39" s="737"/>
      <c r="I39" s="737"/>
      <c r="J39" s="737"/>
      <c r="K39" s="740">
        <f>E39/A39</f>
        <v>110.49668874172185</v>
      </c>
      <c r="L39" s="737"/>
      <c r="M39" s="737"/>
      <c r="N39" s="737"/>
      <c r="O39" s="737">
        <f>SUM(MON:SUN!Q31)</f>
        <v>0</v>
      </c>
      <c r="P39" s="737"/>
      <c r="Q39" s="737"/>
      <c r="R39" s="737"/>
      <c r="S39" s="737"/>
      <c r="T39" s="737">
        <f>SUM(MON:SUN!P31)</f>
        <v>31</v>
      </c>
      <c r="U39" s="737"/>
      <c r="V39" s="737"/>
      <c r="W39" s="737"/>
      <c r="X39" s="737"/>
      <c r="Y39" s="737">
        <f>SUM(MON:SUN!S19)</f>
        <v>7</v>
      </c>
      <c r="Z39" s="737"/>
      <c r="AA39" s="737"/>
      <c r="AB39" s="737"/>
      <c r="AC39" s="737"/>
      <c r="AD39" s="752"/>
    </row>
    <row r="40" spans="1:30" ht="16.5" customHeight="1" x14ac:dyDescent="0.3">
      <c r="A40" s="736"/>
      <c r="B40" s="737"/>
      <c r="C40" s="737"/>
      <c r="D40" s="737"/>
      <c r="E40" s="737"/>
      <c r="F40" s="737"/>
      <c r="G40" s="737"/>
      <c r="H40" s="737"/>
      <c r="I40" s="737"/>
      <c r="J40" s="737"/>
      <c r="K40" s="737"/>
      <c r="L40" s="737"/>
      <c r="M40" s="737"/>
      <c r="N40" s="737"/>
      <c r="O40" s="737"/>
      <c r="P40" s="737"/>
      <c r="Q40" s="737"/>
      <c r="R40" s="737"/>
      <c r="S40" s="737"/>
      <c r="T40" s="737"/>
      <c r="U40" s="737"/>
      <c r="V40" s="737"/>
      <c r="W40" s="737"/>
      <c r="X40" s="737"/>
      <c r="Y40" s="737"/>
      <c r="Z40" s="737"/>
      <c r="AA40" s="737"/>
      <c r="AB40" s="737"/>
      <c r="AC40" s="737"/>
      <c r="AD40" s="752"/>
    </row>
    <row r="41" spans="1:30" ht="16.5" customHeight="1" x14ac:dyDescent="0.3">
      <c r="A41" s="736"/>
      <c r="B41" s="737"/>
      <c r="C41" s="737"/>
      <c r="D41" s="737"/>
      <c r="E41" s="737"/>
      <c r="F41" s="737"/>
      <c r="G41" s="737"/>
      <c r="H41" s="737"/>
      <c r="I41" s="737"/>
      <c r="J41" s="737"/>
      <c r="K41" s="737"/>
      <c r="L41" s="737"/>
      <c r="M41" s="737"/>
      <c r="N41" s="737"/>
      <c r="O41" s="750">
        <f>SUM(MON:SUN!J31)</f>
        <v>0</v>
      </c>
      <c r="P41" s="750"/>
      <c r="Q41" s="750"/>
      <c r="R41" s="750"/>
      <c r="S41" s="750"/>
      <c r="T41" s="750">
        <f>SUM(MON:SUN!K31)</f>
        <v>3099.4200000000005</v>
      </c>
      <c r="U41" s="750"/>
      <c r="V41" s="750"/>
      <c r="W41" s="750"/>
      <c r="X41" s="750"/>
      <c r="Y41" s="750">
        <f>SUM(MON:SUN!T19)</f>
        <v>3600</v>
      </c>
      <c r="Z41" s="750"/>
      <c r="AA41" s="750"/>
      <c r="AB41" s="750"/>
      <c r="AC41" s="750"/>
      <c r="AD41" s="753"/>
    </row>
    <row r="42" spans="1:30" ht="16.5" customHeight="1" thickBot="1" x14ac:dyDescent="0.35">
      <c r="A42" s="738"/>
      <c r="B42" s="739"/>
      <c r="C42" s="739"/>
      <c r="D42" s="739"/>
      <c r="E42" s="739"/>
      <c r="F42" s="739"/>
      <c r="G42" s="739"/>
      <c r="H42" s="739"/>
      <c r="I42" s="739"/>
      <c r="J42" s="739"/>
      <c r="K42" s="739"/>
      <c r="L42" s="739"/>
      <c r="M42" s="739"/>
      <c r="N42" s="739"/>
      <c r="O42" s="751"/>
      <c r="P42" s="751"/>
      <c r="Q42" s="751"/>
      <c r="R42" s="751"/>
      <c r="S42" s="751"/>
      <c r="T42" s="751"/>
      <c r="U42" s="751"/>
      <c r="V42" s="751"/>
      <c r="W42" s="751"/>
      <c r="X42" s="751"/>
      <c r="Y42" s="751"/>
      <c r="Z42" s="751"/>
      <c r="AA42" s="751"/>
      <c r="AB42" s="751"/>
      <c r="AC42" s="751"/>
      <c r="AD42" s="754"/>
    </row>
    <row r="43" spans="1:30" ht="17.45" customHeight="1" x14ac:dyDescent="0.3">
      <c r="A43" s="511" t="s">
        <v>84</v>
      </c>
      <c r="B43" s="512"/>
      <c r="C43" s="512"/>
      <c r="D43" s="512"/>
      <c r="E43" s="513"/>
      <c r="F43" s="511" t="s">
        <v>85</v>
      </c>
      <c r="G43" s="512"/>
      <c r="H43" s="512"/>
      <c r="I43" s="512"/>
      <c r="J43" s="513"/>
      <c r="K43" s="511" t="s">
        <v>86</v>
      </c>
      <c r="L43" s="512"/>
      <c r="M43" s="512"/>
      <c r="N43" s="512"/>
      <c r="O43" s="513"/>
      <c r="P43" s="511" t="s">
        <v>87</v>
      </c>
      <c r="Q43" s="512"/>
      <c r="R43" s="512"/>
      <c r="S43" s="512"/>
      <c r="T43" s="513"/>
      <c r="U43" s="511" t="s">
        <v>90</v>
      </c>
      <c r="V43" s="512"/>
      <c r="W43" s="512"/>
      <c r="X43" s="512"/>
      <c r="Y43" s="513"/>
      <c r="Z43" s="517" t="s">
        <v>95</v>
      </c>
      <c r="AA43" s="518"/>
      <c r="AB43" s="518"/>
      <c r="AC43" s="518"/>
      <c r="AD43" s="519"/>
    </row>
    <row r="44" spans="1:30" ht="17.45" customHeight="1" x14ac:dyDescent="0.3">
      <c r="A44" s="514"/>
      <c r="B44" s="515"/>
      <c r="C44" s="515"/>
      <c r="D44" s="515"/>
      <c r="E44" s="516"/>
      <c r="F44" s="514"/>
      <c r="G44" s="515"/>
      <c r="H44" s="515"/>
      <c r="I44" s="515"/>
      <c r="J44" s="516"/>
      <c r="K44" s="514"/>
      <c r="L44" s="515"/>
      <c r="M44" s="515"/>
      <c r="N44" s="515"/>
      <c r="O44" s="516"/>
      <c r="P44" s="514"/>
      <c r="Q44" s="515"/>
      <c r="R44" s="515"/>
      <c r="S44" s="515"/>
      <c r="T44" s="516"/>
      <c r="U44" s="514"/>
      <c r="V44" s="515"/>
      <c r="W44" s="515"/>
      <c r="X44" s="515"/>
      <c r="Y44" s="516"/>
      <c r="Z44" s="520"/>
      <c r="AA44" s="521"/>
      <c r="AB44" s="521"/>
      <c r="AC44" s="521"/>
      <c r="AD44" s="522"/>
    </row>
    <row r="45" spans="1:30" x14ac:dyDescent="0.3">
      <c r="A45" s="523">
        <f>SUM(H2,H7,H12,H17,H22,H27,H32)</f>
        <v>6485</v>
      </c>
      <c r="B45" s="524"/>
      <c r="C45" s="524"/>
      <c r="D45" s="524"/>
      <c r="E45" s="525"/>
      <c r="F45" s="523">
        <f>SUM(,H3,H8,H13,H18,H23,H28,H33)</f>
        <v>10200</v>
      </c>
      <c r="G45" s="524"/>
      <c r="H45" s="524"/>
      <c r="I45" s="524"/>
      <c r="J45" s="525"/>
      <c r="K45" s="523">
        <f>SUM(H5,H10,H15,H20,H25,H30,H35)</f>
        <v>0</v>
      </c>
      <c r="L45" s="524"/>
      <c r="M45" s="524"/>
      <c r="N45" s="524"/>
      <c r="O45" s="525"/>
      <c r="P45" s="523">
        <f>SUM(H4,H9,H14,H19,H24,H29,H34)</f>
        <v>3099.4200000000005</v>
      </c>
      <c r="Q45" s="524"/>
      <c r="R45" s="524"/>
      <c r="S45" s="524"/>
      <c r="T45" s="525"/>
      <c r="U45" s="532">
        <f>SUM(E6,E11,E16,E21,E26,E31,E36)</f>
        <v>369.5</v>
      </c>
      <c r="V45" s="524"/>
      <c r="W45" s="524"/>
      <c r="X45" s="524"/>
      <c r="Y45" s="525"/>
      <c r="Z45" s="532">
        <f>SUM(L6,L11,L16,L21,L26,L31,L36)</f>
        <v>49</v>
      </c>
      <c r="AA45" s="524"/>
      <c r="AB45" s="524"/>
      <c r="AC45" s="524"/>
      <c r="AD45" s="533"/>
    </row>
    <row r="46" spans="1:30" x14ac:dyDescent="0.3">
      <c r="A46" s="526"/>
      <c r="B46" s="527"/>
      <c r="C46" s="527"/>
      <c r="D46" s="527"/>
      <c r="E46" s="528"/>
      <c r="F46" s="526"/>
      <c r="G46" s="527"/>
      <c r="H46" s="527"/>
      <c r="I46" s="527"/>
      <c r="J46" s="528"/>
      <c r="K46" s="526"/>
      <c r="L46" s="527"/>
      <c r="M46" s="527"/>
      <c r="N46" s="527"/>
      <c r="O46" s="528"/>
      <c r="P46" s="526"/>
      <c r="Q46" s="527"/>
      <c r="R46" s="527"/>
      <c r="S46" s="527"/>
      <c r="T46" s="528"/>
      <c r="U46" s="526"/>
      <c r="V46" s="527"/>
      <c r="W46" s="527"/>
      <c r="X46" s="527"/>
      <c r="Y46" s="528"/>
      <c r="Z46" s="526"/>
      <c r="AA46" s="527"/>
      <c r="AB46" s="527"/>
      <c r="AC46" s="527"/>
      <c r="AD46" s="534"/>
    </row>
    <row r="47" spans="1:30" x14ac:dyDescent="0.3">
      <c r="A47" s="526"/>
      <c r="B47" s="527"/>
      <c r="C47" s="527"/>
      <c r="D47" s="527"/>
      <c r="E47" s="528"/>
      <c r="F47" s="526"/>
      <c r="G47" s="527"/>
      <c r="H47" s="527"/>
      <c r="I47" s="527"/>
      <c r="J47" s="528"/>
      <c r="K47" s="526"/>
      <c r="L47" s="527"/>
      <c r="M47" s="527"/>
      <c r="N47" s="527"/>
      <c r="O47" s="528"/>
      <c r="P47" s="526"/>
      <c r="Q47" s="527"/>
      <c r="R47" s="527"/>
      <c r="S47" s="527"/>
      <c r="T47" s="528"/>
      <c r="U47" s="526"/>
      <c r="V47" s="527"/>
      <c r="W47" s="527"/>
      <c r="X47" s="527"/>
      <c r="Y47" s="528"/>
      <c r="Z47" s="526"/>
      <c r="AA47" s="527"/>
      <c r="AB47" s="527"/>
      <c r="AC47" s="527"/>
      <c r="AD47" s="534"/>
    </row>
    <row r="48" spans="1:30" ht="17.25" thickBot="1" x14ac:dyDescent="0.35">
      <c r="A48" s="529"/>
      <c r="B48" s="530"/>
      <c r="C48" s="530"/>
      <c r="D48" s="530"/>
      <c r="E48" s="531"/>
      <c r="F48" s="529"/>
      <c r="G48" s="530"/>
      <c r="H48" s="530"/>
      <c r="I48" s="530"/>
      <c r="J48" s="531"/>
      <c r="K48" s="529"/>
      <c r="L48" s="530"/>
      <c r="M48" s="530"/>
      <c r="N48" s="530"/>
      <c r="O48" s="531"/>
      <c r="P48" s="529"/>
      <c r="Q48" s="530"/>
      <c r="R48" s="530"/>
      <c r="S48" s="530"/>
      <c r="T48" s="531"/>
      <c r="U48" s="529"/>
      <c r="V48" s="530"/>
      <c r="W48" s="530"/>
      <c r="X48" s="530"/>
      <c r="Y48" s="531"/>
      <c r="Z48" s="529"/>
      <c r="AA48" s="530"/>
      <c r="AB48" s="530"/>
      <c r="AC48" s="530"/>
      <c r="AD48" s="535"/>
    </row>
    <row r="49" spans="1:30" ht="17.45" customHeight="1" x14ac:dyDescent="0.3">
      <c r="A49" s="493">
        <f>A45/E39</f>
        <v>0.38867246029367697</v>
      </c>
      <c r="B49" s="494"/>
      <c r="C49" s="494"/>
      <c r="D49" s="494"/>
      <c r="E49" s="495"/>
      <c r="F49" s="493">
        <f>F45/E39</f>
        <v>0.61132753970632303</v>
      </c>
      <c r="G49" s="494"/>
      <c r="H49" s="494"/>
      <c r="I49" s="494"/>
      <c r="J49" s="495"/>
      <c r="K49" s="493">
        <f>K45/E39</f>
        <v>0</v>
      </c>
      <c r="L49" s="494"/>
      <c r="M49" s="494"/>
      <c r="N49" s="494"/>
      <c r="O49" s="495"/>
      <c r="P49" s="493">
        <f>P45/E39</f>
        <v>0.18576086305064432</v>
      </c>
      <c r="Q49" s="494"/>
      <c r="R49" s="494"/>
      <c r="S49" s="494"/>
      <c r="T49" s="495"/>
      <c r="U49" s="502">
        <f>U45/7</f>
        <v>52.785714285714285</v>
      </c>
      <c r="V49" s="503"/>
      <c r="W49" s="503"/>
      <c r="X49" s="503"/>
      <c r="Y49" s="504"/>
      <c r="Z49" s="502">
        <f>U45/Z45</f>
        <v>7.5408163265306118</v>
      </c>
      <c r="AA49" s="503"/>
      <c r="AB49" s="503"/>
      <c r="AC49" s="503"/>
      <c r="AD49" s="504"/>
    </row>
    <row r="50" spans="1:30" ht="17.45" customHeight="1" x14ac:dyDescent="0.3">
      <c r="A50" s="496"/>
      <c r="B50" s="497"/>
      <c r="C50" s="497"/>
      <c r="D50" s="497"/>
      <c r="E50" s="498"/>
      <c r="F50" s="496"/>
      <c r="G50" s="497"/>
      <c r="H50" s="497"/>
      <c r="I50" s="497"/>
      <c r="J50" s="498"/>
      <c r="K50" s="496"/>
      <c r="L50" s="497"/>
      <c r="M50" s="497"/>
      <c r="N50" s="497"/>
      <c r="O50" s="498"/>
      <c r="P50" s="496"/>
      <c r="Q50" s="497"/>
      <c r="R50" s="497"/>
      <c r="S50" s="497"/>
      <c r="T50" s="498"/>
      <c r="U50" s="505"/>
      <c r="V50" s="506"/>
      <c r="W50" s="506"/>
      <c r="X50" s="506"/>
      <c r="Y50" s="507"/>
      <c r="Z50" s="505"/>
      <c r="AA50" s="506"/>
      <c r="AB50" s="506"/>
      <c r="AC50" s="506"/>
      <c r="AD50" s="507"/>
    </row>
    <row r="51" spans="1:30" ht="17.45" customHeight="1" x14ac:dyDescent="0.3">
      <c r="A51" s="496"/>
      <c r="B51" s="497"/>
      <c r="C51" s="497"/>
      <c r="D51" s="497"/>
      <c r="E51" s="498"/>
      <c r="F51" s="496"/>
      <c r="G51" s="497"/>
      <c r="H51" s="497"/>
      <c r="I51" s="497"/>
      <c r="J51" s="498"/>
      <c r="K51" s="496"/>
      <c r="L51" s="497"/>
      <c r="M51" s="497"/>
      <c r="N51" s="497"/>
      <c r="O51" s="498"/>
      <c r="P51" s="496"/>
      <c r="Q51" s="497"/>
      <c r="R51" s="497"/>
      <c r="S51" s="497"/>
      <c r="T51" s="498"/>
      <c r="U51" s="505"/>
      <c r="V51" s="506"/>
      <c r="W51" s="506"/>
      <c r="X51" s="506"/>
      <c r="Y51" s="507"/>
      <c r="Z51" s="505"/>
      <c r="AA51" s="506"/>
      <c r="AB51" s="506"/>
      <c r="AC51" s="506"/>
      <c r="AD51" s="507"/>
    </row>
    <row r="52" spans="1:30" ht="18" customHeight="1" thickBot="1" x14ac:dyDescent="0.35">
      <c r="A52" s="499"/>
      <c r="B52" s="500"/>
      <c r="C52" s="500"/>
      <c r="D52" s="500"/>
      <c r="E52" s="501"/>
      <c r="F52" s="499"/>
      <c r="G52" s="500"/>
      <c r="H52" s="500"/>
      <c r="I52" s="500"/>
      <c r="J52" s="501"/>
      <c r="K52" s="499"/>
      <c r="L52" s="500"/>
      <c r="M52" s="500"/>
      <c r="N52" s="500"/>
      <c r="O52" s="501"/>
      <c r="P52" s="499"/>
      <c r="Q52" s="500"/>
      <c r="R52" s="500"/>
      <c r="S52" s="500"/>
      <c r="T52" s="501"/>
      <c r="U52" s="508"/>
      <c r="V52" s="509"/>
      <c r="W52" s="509"/>
      <c r="X52" s="509"/>
      <c r="Y52" s="510"/>
      <c r="Z52" s="508"/>
      <c r="AA52" s="509"/>
      <c r="AB52" s="509"/>
      <c r="AC52" s="509"/>
      <c r="AD52" s="510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F4B50935-E7C7-401B-B303-E7FCCBEB1A9D}"/>
</file>

<file path=customXml/itemProps2.xml><?xml version="1.0" encoding="utf-8"?>
<ds:datastoreItem xmlns:ds="http://schemas.openxmlformats.org/officeDocument/2006/customXml" ds:itemID="{407AEC9C-2EBA-45D4-A932-CCA932D66A3A}"/>
</file>

<file path=customXml/itemProps3.xml><?xml version="1.0" encoding="utf-8"?>
<ds:datastoreItem xmlns:ds="http://schemas.openxmlformats.org/officeDocument/2006/customXml" ds:itemID="{3862ED39-2A57-4BF5-A7B6-40CD7BC017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2022-12-11T06:24:54Z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