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6DDA1A23-BD21-472A-A7EF-62E17FF08672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V22" i="8" s="1"/>
  <c r="V32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H32" i="2"/>
  <c r="Z31" i="2"/>
  <c r="Q31" i="2"/>
  <c r="P31" i="2"/>
  <c r="O31" i="2"/>
  <c r="N31" i="2"/>
  <c r="M31" i="2"/>
  <c r="L31" i="2"/>
  <c r="I31" i="2"/>
  <c r="S32" i="2" s="1"/>
  <c r="H33" i="8" s="1"/>
  <c r="H31" i="2"/>
  <c r="M30" i="2"/>
  <c r="L30" i="2"/>
  <c r="I30" i="2"/>
  <c r="H30" i="2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U16" i="2" s="1"/>
  <c r="K5" i="2"/>
  <c r="K30" i="2" s="1"/>
  <c r="K31" i="2" s="1"/>
  <c r="J5" i="2"/>
  <c r="J30" i="2" s="1"/>
  <c r="J31" i="2" s="1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J19" i="1"/>
  <c r="K18" i="1"/>
  <c r="J18" i="1"/>
  <c r="K17" i="1"/>
  <c r="J17" i="1"/>
  <c r="K16" i="1"/>
  <c r="J16" i="1"/>
  <c r="U15" i="1"/>
  <c r="K15" i="1"/>
  <c r="J15" i="1"/>
  <c r="U14" i="1"/>
  <c r="K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T66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I31" i="3"/>
  <c r="S32" i="3" s="1"/>
  <c r="H31" i="3"/>
  <c r="M30" i="3"/>
  <c r="L30" i="3"/>
  <c r="I30" i="3"/>
  <c r="H30" i="3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U16" i="3" s="1"/>
  <c r="K5" i="3"/>
  <c r="K30" i="3" s="1"/>
  <c r="K31" i="3" s="1"/>
  <c r="J5" i="3"/>
  <c r="J30" i="3" s="1"/>
  <c r="J31" i="3" s="1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J20" i="4"/>
  <c r="T19" i="4"/>
  <c r="S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U16" i="1" l="1"/>
  <c r="R16" i="1" s="1"/>
  <c r="K30" i="1"/>
  <c r="K31" i="1" s="1"/>
  <c r="J30" i="1"/>
  <c r="J31" i="1" s="1"/>
  <c r="J30" i="4"/>
  <c r="J31" i="4" s="1"/>
  <c r="K30" i="4"/>
  <c r="K31" i="4" s="1"/>
  <c r="U16" i="4"/>
  <c r="S16" i="4" s="1"/>
  <c r="S32" i="5"/>
  <c r="H13" i="8" s="1"/>
  <c r="J30" i="5"/>
  <c r="J31" i="5" s="1"/>
  <c r="K30" i="5"/>
  <c r="K31" i="5" s="1"/>
  <c r="U16" i="5"/>
  <c r="S16" i="5" s="1"/>
  <c r="S32" i="6"/>
  <c r="H8" i="8" s="1"/>
  <c r="J30" i="6"/>
  <c r="J31" i="6" s="1"/>
  <c r="K30" i="6"/>
  <c r="K31" i="6" s="1"/>
  <c r="U16" i="6"/>
  <c r="E11" i="8" s="1"/>
  <c r="AD25" i="2"/>
  <c r="AI25" i="2"/>
  <c r="S16" i="2"/>
  <c r="R16" i="2"/>
  <c r="Z33" i="2"/>
  <c r="O32" i="2"/>
  <c r="Z32" i="2"/>
  <c r="S31" i="2"/>
  <c r="C32" i="2"/>
  <c r="T31" i="2"/>
  <c r="AD25" i="1"/>
  <c r="AI25" i="1"/>
  <c r="Z32" i="1"/>
  <c r="Z33" i="1" s="1"/>
  <c r="S31" i="1"/>
  <c r="H27" i="8" s="1"/>
  <c r="T31" i="1"/>
  <c r="AD25" i="3"/>
  <c r="AI25" i="3"/>
  <c r="S16" i="3"/>
  <c r="R16" i="3"/>
  <c r="C32" i="3"/>
  <c r="O32" i="3"/>
  <c r="Z32" i="3"/>
  <c r="Z33" i="3" s="1"/>
  <c r="S31" i="3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34" i="8"/>
  <c r="H35" i="8"/>
  <c r="H32" i="8"/>
  <c r="H22" i="8"/>
  <c r="L36" i="8"/>
  <c r="L31" i="8"/>
  <c r="L26" i="8"/>
  <c r="L21" i="8"/>
  <c r="L16" i="8"/>
  <c r="L11" i="8"/>
  <c r="L6" i="8"/>
  <c r="E36" i="8"/>
  <c r="E2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S16" i="1" l="1"/>
  <c r="E31" i="8"/>
  <c r="C32" i="1"/>
  <c r="O32" i="1" s="1"/>
  <c r="C32" i="4"/>
  <c r="P32" i="4" s="1"/>
  <c r="R16" i="4"/>
  <c r="R16" i="5"/>
  <c r="C32" i="5"/>
  <c r="P32" i="5" s="1"/>
  <c r="R16" i="6"/>
  <c r="S16" i="6"/>
  <c r="U25" i="2"/>
  <c r="K32" i="2"/>
  <c r="T16" i="2"/>
  <c r="Q32" i="2"/>
  <c r="N32" i="2"/>
  <c r="P32" i="2"/>
  <c r="U25" i="3"/>
  <c r="T16" i="3"/>
  <c r="K32" i="3"/>
  <c r="P32" i="3"/>
  <c r="Q32" i="3"/>
  <c r="N32" i="3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L35" i="8"/>
  <c r="L32" i="8"/>
  <c r="L33" i="8"/>
  <c r="Q22" i="8"/>
  <c r="Q17" i="8"/>
  <c r="Q12" i="8"/>
  <c r="H10" i="8"/>
  <c r="V7" i="8" s="1"/>
  <c r="AI25" i="7"/>
  <c r="AD25" i="7"/>
  <c r="Z32" i="7"/>
  <c r="Z33" i="7" s="1"/>
  <c r="T31" i="7"/>
  <c r="P32" i="1" l="1"/>
  <c r="T16" i="1"/>
  <c r="K32" i="1"/>
  <c r="Q32" i="1"/>
  <c r="U25" i="1"/>
  <c r="N32" i="1"/>
  <c r="N32" i="4"/>
  <c r="T16" i="4"/>
  <c r="K32" i="4"/>
  <c r="Q32" i="4"/>
  <c r="O32" i="4"/>
  <c r="U25" i="4"/>
  <c r="N32" i="5"/>
  <c r="T16" i="5"/>
  <c r="K32" i="5"/>
  <c r="O32" i="5"/>
  <c r="Q32" i="5"/>
  <c r="U25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34" i="8"/>
  <c r="L23" i="8"/>
  <c r="H25" i="8"/>
  <c r="L25" i="8"/>
  <c r="H24" i="8"/>
  <c r="L24" i="8"/>
  <c r="L22" i="8"/>
  <c r="H14" i="8"/>
  <c r="H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<sst xmlns="http://schemas.openxmlformats.org/spreadsheetml/2006/main" count="1601" uniqueCount="350">
  <si>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</si>
  <si>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</si>
  <si>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</si>
  <si>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</si>
  <si>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</si>
  <si>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</si>
  <si>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</si>
  <si>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</si>
  <si>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</si>
  <si>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</si>
  <si>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</si>
  <si>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</si>
  <si>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</si>
  <si>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</si>
  <si>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</si>
  <si>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</si>
  <si>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</si>
  <si>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</si>
  <si>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</si>
  <si>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</si>
  <si>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</si>
  <si>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</si>
  <si>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</si>
  <si>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</si>
  <si>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</si>
  <si>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</si>
  <si>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</si>
  <si>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</si>
  <si>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</si>
  <si>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</si>
  <si>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</si>
  <si>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</si>
  <si>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</si>
  <si>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</si>
  <si>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</si>
  <si>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</si>
  <si>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</si>
  <si>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</si>
  <si>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</si>
  <si>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</si>
  <si>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</si>
  <si>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</si>
  <si>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</si>
  <si>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</si>
  <si>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</si>
  <si>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</si>
  <si>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</si>
  <si>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</si>
  <si>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</si>
  <si>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</si>
  <si>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</si>
  <si>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</si>
  <si>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</si>
  <si>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</si>
  <si>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</si>
  <si>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</si>
  <si>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</si>
  <si>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</si>
  <si>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</si>
  <si>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</si>
  <si>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</si>
  <si>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</si>
  <si>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</si>
  <si>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</si>
  <si>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</si>
  <si>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</si>
  <si>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</si>
  <si>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</si>
  <si>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</si>
  <si>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</si>
  <si>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</si>
  <si>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</si>
  <si>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</si>
  <si>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</si>
  <si>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</si>
  <si>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</si>
  <si>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</si>
  <si>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</si>
  <si>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</si>
  <si>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</si>
  <si>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</si>
  <si>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</si>
  <si>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</si>
  <si>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</si>
  <si>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</si>
  <si>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</si>
  <si>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</si>
  <si>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</si>
  <si>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</si>
  <si>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</si>
  <si>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</si>
  <si>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</si>
  <si>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</si>
  <si>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</si>
  <si>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</si>
  <si>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</si>
  <si>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</si>
  <si>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/ / 2022</t>
    <phoneticPr fontId="4" type="noConversion"/>
  </si>
  <si>
    <t>11 - 4 - 2022</t>
    <phoneticPr fontId="4" type="noConversion"/>
  </si>
  <si>
    <t>SUNNY</t>
    <phoneticPr fontId="4" type="noConversion"/>
  </si>
  <si>
    <t>HENDRA</t>
    <phoneticPr fontId="4" type="noConversion"/>
  </si>
  <si>
    <t>KUROSH</t>
    <phoneticPr fontId="4" type="noConversion"/>
  </si>
  <si>
    <t>ARIANTO</t>
    <phoneticPr fontId="4" type="noConversion"/>
  </si>
  <si>
    <t>X</t>
    <phoneticPr fontId="4" type="noConversion"/>
  </si>
  <si>
    <t>VINNY</t>
    <phoneticPr fontId="4" type="noConversion"/>
  </si>
  <si>
    <t>ERIC</t>
    <phoneticPr fontId="4" type="noConversion"/>
  </si>
  <si>
    <t>SOVID</t>
    <phoneticPr fontId="4" type="noConversion"/>
  </si>
  <si>
    <t>EEMO6P</t>
    <phoneticPr fontId="4" type="noConversion"/>
  </si>
  <si>
    <t>0400698365</t>
    <phoneticPr fontId="4" type="noConversion"/>
  </si>
  <si>
    <t>DPH25M</t>
    <phoneticPr fontId="4" type="noConversion"/>
  </si>
  <si>
    <t>0413128074</t>
    <phoneticPr fontId="4" type="noConversion"/>
  </si>
  <si>
    <t>PCL</t>
    <phoneticPr fontId="4" type="noConversion"/>
  </si>
  <si>
    <t># 22009 1/6</t>
    <phoneticPr fontId="4" type="noConversion"/>
  </si>
  <si>
    <t>GBS</t>
    <phoneticPr fontId="4" type="noConversion"/>
  </si>
  <si>
    <t>0415888891</t>
    <phoneticPr fontId="4" type="noConversion"/>
  </si>
  <si>
    <t>GEORGE CAR</t>
    <phoneticPr fontId="4" type="noConversion"/>
  </si>
  <si>
    <t>NBY10W</t>
    <phoneticPr fontId="4" type="noConversion"/>
  </si>
  <si>
    <t>0407427737</t>
    <phoneticPr fontId="4" type="noConversion"/>
  </si>
  <si>
    <t>CT288</t>
    <phoneticPr fontId="4" type="noConversion"/>
  </si>
  <si>
    <t>0414774022</t>
    <phoneticPr fontId="4" type="noConversion"/>
  </si>
  <si>
    <t>H</t>
    <phoneticPr fontId="4" type="noConversion"/>
  </si>
  <si>
    <t>YMC02X</t>
    <phoneticPr fontId="4" type="noConversion"/>
  </si>
  <si>
    <t>0450488659</t>
    <phoneticPr fontId="4" type="noConversion"/>
  </si>
  <si>
    <t>JKD988</t>
    <phoneticPr fontId="4" type="noConversion"/>
  </si>
  <si>
    <t>0416822216</t>
    <phoneticPr fontId="4" type="noConversion"/>
  </si>
  <si>
    <t>SV212</t>
    <phoneticPr fontId="4" type="noConversion"/>
  </si>
  <si>
    <t>0403257868</t>
    <phoneticPr fontId="4" type="noConversion"/>
  </si>
  <si>
    <t>D</t>
    <phoneticPr fontId="4" type="noConversion"/>
  </si>
  <si>
    <t>PAA333</t>
    <phoneticPr fontId="4" type="noConversion"/>
  </si>
  <si>
    <t>0414337333</t>
    <phoneticPr fontId="4" type="noConversion"/>
  </si>
  <si>
    <t>SH0015</t>
    <phoneticPr fontId="4" type="noConversion"/>
  </si>
  <si>
    <t>0412334009</t>
    <phoneticPr fontId="4" type="noConversion"/>
  </si>
  <si>
    <t>D/ST</t>
    <phoneticPr fontId="4" type="noConversion"/>
  </si>
  <si>
    <t>EKM89C</t>
    <phoneticPr fontId="4" type="noConversion"/>
  </si>
  <si>
    <t>0421532051</t>
    <phoneticPr fontId="4" type="noConversion"/>
  </si>
  <si>
    <t>CZ39UR</t>
    <phoneticPr fontId="4" type="noConversion"/>
  </si>
  <si>
    <t>0409553919</t>
    <phoneticPr fontId="4" type="noConversion"/>
  </si>
  <si>
    <t>FD</t>
    <phoneticPr fontId="4" type="noConversion"/>
  </si>
  <si>
    <t>VV2888</t>
    <phoneticPr fontId="4" type="noConversion"/>
  </si>
  <si>
    <t>0408844728</t>
    <phoneticPr fontId="4" type="noConversion"/>
  </si>
  <si>
    <t># 2112067 3/6</t>
    <phoneticPr fontId="4" type="noConversion"/>
  </si>
  <si>
    <t>2 PAYMENT $110 &amp; $270</t>
    <phoneticPr fontId="4" type="noConversion"/>
  </si>
  <si>
    <t>CG66WT</t>
    <phoneticPr fontId="4" type="noConversion"/>
  </si>
  <si>
    <t>0430097277</t>
    <phoneticPr fontId="4" type="noConversion"/>
  </si>
  <si>
    <t>EOQ39R</t>
    <phoneticPr fontId="4" type="noConversion"/>
  </si>
  <si>
    <t>0416462000</t>
    <phoneticPr fontId="4" type="noConversion"/>
  </si>
  <si>
    <t>EDS52F</t>
    <phoneticPr fontId="4" type="noConversion"/>
  </si>
  <si>
    <t>0466183988</t>
    <phoneticPr fontId="4" type="noConversion"/>
  </si>
  <si>
    <t>GW8880</t>
    <phoneticPr fontId="4" type="noConversion"/>
  </si>
  <si>
    <t>0423393658</t>
    <phoneticPr fontId="4" type="noConversion"/>
  </si>
  <si>
    <t>EL222</t>
    <phoneticPr fontId="4" type="noConversion"/>
  </si>
  <si>
    <t>0414633882</t>
    <phoneticPr fontId="4" type="noConversion"/>
  </si>
  <si>
    <t>88BMWM</t>
    <phoneticPr fontId="4" type="noConversion"/>
  </si>
  <si>
    <t>0479977545</t>
    <phoneticPr fontId="4" type="noConversion"/>
  </si>
  <si>
    <t>12 - 4 - 2022</t>
    <phoneticPr fontId="4" type="noConversion"/>
  </si>
  <si>
    <t>MIX</t>
    <phoneticPr fontId="4" type="noConversion"/>
  </si>
  <si>
    <t>STEVE</t>
    <phoneticPr fontId="4" type="noConversion"/>
  </si>
  <si>
    <t>BCI71Z</t>
    <phoneticPr fontId="4" type="noConversion"/>
  </si>
  <si>
    <t>0415366717</t>
    <phoneticPr fontId="4" type="noConversion"/>
  </si>
  <si>
    <t>DKY79Y</t>
    <phoneticPr fontId="4" type="noConversion"/>
  </si>
  <si>
    <t>0419993634</t>
    <phoneticPr fontId="4" type="noConversion"/>
  </si>
  <si>
    <t>CEG94H</t>
    <phoneticPr fontId="4" type="noConversion"/>
  </si>
  <si>
    <t>0438670883</t>
    <phoneticPr fontId="4" type="noConversion"/>
  </si>
  <si>
    <t>CW28PF</t>
    <phoneticPr fontId="4" type="noConversion"/>
  </si>
  <si>
    <t>0412887772</t>
    <phoneticPr fontId="4" type="noConversion"/>
  </si>
  <si>
    <t>BEA20A</t>
    <phoneticPr fontId="4" type="noConversion"/>
  </si>
  <si>
    <t>0431770110</t>
    <phoneticPr fontId="4" type="noConversion"/>
  </si>
  <si>
    <t>DWA83S</t>
    <phoneticPr fontId="4" type="noConversion"/>
  </si>
  <si>
    <t>0450305377</t>
    <phoneticPr fontId="4" type="noConversion"/>
  </si>
  <si>
    <t>S005</t>
    <phoneticPr fontId="4" type="noConversion"/>
  </si>
  <si>
    <t>0416139149</t>
    <phoneticPr fontId="4" type="noConversion"/>
  </si>
  <si>
    <t>EGD97B</t>
    <phoneticPr fontId="4" type="noConversion"/>
  </si>
  <si>
    <t>0405771668</t>
    <phoneticPr fontId="4" type="noConversion"/>
  </si>
  <si>
    <t>CXK90Z</t>
    <phoneticPr fontId="4" type="noConversion"/>
  </si>
  <si>
    <t>0412095491</t>
    <phoneticPr fontId="4" type="noConversion"/>
  </si>
  <si>
    <t>21040 (4-6/6) ,PCS22013(NEW)</t>
    <phoneticPr fontId="4" type="noConversion"/>
  </si>
  <si>
    <t>CAH99Q</t>
    <phoneticPr fontId="4" type="noConversion"/>
  </si>
  <si>
    <t>0412060604</t>
    <phoneticPr fontId="4" type="noConversion"/>
  </si>
  <si>
    <t>O</t>
    <phoneticPr fontId="4" type="noConversion"/>
  </si>
  <si>
    <t>ENM68N</t>
    <phoneticPr fontId="4" type="noConversion"/>
  </si>
  <si>
    <t>0452118313</t>
    <phoneticPr fontId="4" type="noConversion"/>
  </si>
  <si>
    <t>RM656</t>
    <phoneticPr fontId="4" type="noConversion"/>
  </si>
  <si>
    <t>ERK71G</t>
    <phoneticPr fontId="4" type="noConversion"/>
  </si>
  <si>
    <t>0449922881</t>
    <phoneticPr fontId="4" type="noConversion"/>
  </si>
  <si>
    <t>BSM60Y</t>
    <phoneticPr fontId="4" type="noConversion"/>
  </si>
  <si>
    <t>0416737669</t>
    <phoneticPr fontId="4" type="noConversion"/>
  </si>
  <si>
    <t>MMY999</t>
    <phoneticPr fontId="4" type="noConversion"/>
  </si>
  <si>
    <t>13 - 4 - 2022</t>
    <phoneticPr fontId="4" type="noConversion"/>
  </si>
  <si>
    <t>JUNIOR</t>
    <phoneticPr fontId="4" type="noConversion"/>
  </si>
  <si>
    <t>EMC78G</t>
    <phoneticPr fontId="4" type="noConversion"/>
  </si>
  <si>
    <t>0409708686</t>
    <phoneticPr fontId="4" type="noConversion"/>
  </si>
  <si>
    <t>CEN62C</t>
    <phoneticPr fontId="4" type="noConversion"/>
  </si>
  <si>
    <t>0418288123</t>
    <phoneticPr fontId="4" type="noConversion"/>
  </si>
  <si>
    <t>202201039 , 202202006</t>
    <phoneticPr fontId="4" type="noConversion"/>
  </si>
  <si>
    <t>EBD70E</t>
    <phoneticPr fontId="4" type="noConversion"/>
  </si>
  <si>
    <t>0403733460</t>
    <phoneticPr fontId="4" type="noConversion"/>
  </si>
  <si>
    <t>CZ11BO</t>
    <phoneticPr fontId="4" type="noConversion"/>
  </si>
  <si>
    <t>0452083299</t>
    <phoneticPr fontId="4" type="noConversion"/>
  </si>
  <si>
    <t>COE74R</t>
    <phoneticPr fontId="4" type="noConversion"/>
  </si>
  <si>
    <t>0418448168</t>
    <phoneticPr fontId="4" type="noConversion"/>
  </si>
  <si>
    <t>149SCN</t>
    <phoneticPr fontId="4" type="noConversion"/>
  </si>
  <si>
    <t>0404838201</t>
    <phoneticPr fontId="4" type="noConversion"/>
  </si>
  <si>
    <t>PCS</t>
    <phoneticPr fontId="4" type="noConversion"/>
  </si>
  <si>
    <t># 22010 1/6</t>
    <phoneticPr fontId="4" type="noConversion"/>
  </si>
  <si>
    <t>JLB111</t>
    <phoneticPr fontId="4" type="noConversion"/>
  </si>
  <si>
    <t>0413117787</t>
    <phoneticPr fontId="4" type="noConversion"/>
  </si>
  <si>
    <t>EDM51R</t>
    <phoneticPr fontId="4" type="noConversion"/>
  </si>
  <si>
    <t>0406612929</t>
    <phoneticPr fontId="4" type="noConversion"/>
  </si>
  <si>
    <t>CJW86G</t>
    <phoneticPr fontId="4" type="noConversion"/>
  </si>
  <si>
    <t>0408474747</t>
    <phoneticPr fontId="4" type="noConversion"/>
  </si>
  <si>
    <t>DLW75U</t>
    <phoneticPr fontId="4" type="noConversion"/>
  </si>
  <si>
    <t>0403456282</t>
    <phoneticPr fontId="4" type="noConversion"/>
  </si>
  <si>
    <t>CRV27V</t>
    <phoneticPr fontId="4" type="noConversion"/>
  </si>
  <si>
    <t>0405591697</t>
    <phoneticPr fontId="4" type="noConversion"/>
  </si>
  <si>
    <t>#PCM 22003 1/6</t>
    <phoneticPr fontId="4" type="noConversion"/>
  </si>
  <si>
    <t>DNK52V</t>
    <phoneticPr fontId="4" type="noConversion"/>
  </si>
  <si>
    <t>0411880292</t>
    <phoneticPr fontId="4" type="noConversion"/>
  </si>
  <si>
    <t>EIM54Y</t>
    <phoneticPr fontId="4" type="noConversion"/>
  </si>
  <si>
    <t>0409921951</t>
    <phoneticPr fontId="4" type="noConversion"/>
  </si>
  <si>
    <t>DQG86M</t>
    <phoneticPr fontId="4" type="noConversion"/>
  </si>
  <si>
    <t>0411832570</t>
    <phoneticPr fontId="4" type="noConversion"/>
  </si>
  <si>
    <t>#21027 2/6 3/6</t>
    <phoneticPr fontId="4" type="noConversion"/>
  </si>
  <si>
    <t>EGM57V</t>
    <phoneticPr fontId="4" type="noConversion"/>
  </si>
  <si>
    <t>0413728620</t>
    <phoneticPr fontId="4" type="noConversion"/>
  </si>
  <si>
    <t># 21122809 1/6</t>
    <phoneticPr fontId="4" type="noConversion"/>
  </si>
  <si>
    <t>EDX66Q</t>
    <phoneticPr fontId="4" type="noConversion"/>
  </si>
  <si>
    <t>0411051013</t>
    <phoneticPr fontId="4" type="noConversion"/>
  </si>
  <si>
    <t>CW59PF</t>
    <phoneticPr fontId="4" type="noConversion"/>
  </si>
  <si>
    <t>0413643548</t>
    <phoneticPr fontId="4" type="noConversion"/>
  </si>
  <si>
    <t>ECT54A</t>
    <phoneticPr fontId="4" type="noConversion"/>
  </si>
  <si>
    <t>0412608182</t>
    <phoneticPr fontId="4" type="noConversion"/>
  </si>
  <si>
    <t>14 - 4 - 2022</t>
    <phoneticPr fontId="4" type="noConversion"/>
  </si>
  <si>
    <t>EIY25P</t>
    <phoneticPr fontId="4" type="noConversion"/>
  </si>
  <si>
    <t>NCE76E</t>
    <phoneticPr fontId="4" type="noConversion"/>
  </si>
  <si>
    <t>0414796249</t>
    <phoneticPr fontId="4" type="noConversion"/>
  </si>
  <si>
    <t>DCF58M</t>
    <phoneticPr fontId="4" type="noConversion"/>
  </si>
  <si>
    <t>0439629652</t>
    <phoneticPr fontId="4" type="noConversion"/>
  </si>
  <si>
    <t>EDR81B</t>
    <phoneticPr fontId="4" type="noConversion"/>
  </si>
  <si>
    <t>0452047794</t>
    <phoneticPr fontId="4" type="noConversion"/>
  </si>
  <si>
    <t>ENU30T</t>
    <phoneticPr fontId="4" type="noConversion"/>
  </si>
  <si>
    <t>0414561308</t>
    <phoneticPr fontId="4" type="noConversion"/>
  </si>
  <si>
    <t>EGA22V</t>
    <phoneticPr fontId="4" type="noConversion"/>
  </si>
  <si>
    <t>0420986119</t>
    <phoneticPr fontId="4" type="noConversion"/>
  </si>
  <si>
    <t>IS388</t>
    <phoneticPr fontId="4" type="noConversion"/>
  </si>
  <si>
    <t>0486663420</t>
    <phoneticPr fontId="4" type="noConversion"/>
  </si>
  <si>
    <t>DDL52P</t>
    <phoneticPr fontId="4" type="noConversion"/>
  </si>
  <si>
    <t>0425458489</t>
    <phoneticPr fontId="4" type="noConversion"/>
  </si>
  <si>
    <t>EDR74W</t>
    <phoneticPr fontId="4" type="noConversion"/>
  </si>
  <si>
    <t>0435811426</t>
    <phoneticPr fontId="4" type="noConversion"/>
  </si>
  <si>
    <t>NBO56M</t>
    <phoneticPr fontId="4" type="noConversion"/>
  </si>
  <si>
    <t>0410513171</t>
    <phoneticPr fontId="4" type="noConversion"/>
  </si>
  <si>
    <t>TAX</t>
    <phoneticPr fontId="4" type="noConversion"/>
  </si>
  <si>
    <t>DTI15Q</t>
    <phoneticPr fontId="4" type="noConversion"/>
  </si>
  <si>
    <t>0481221228</t>
    <phoneticPr fontId="4" type="noConversion"/>
  </si>
  <si>
    <t>WO</t>
    <phoneticPr fontId="4" type="noConversion"/>
  </si>
  <si>
    <t>CIO20S</t>
    <phoneticPr fontId="4" type="noConversion"/>
  </si>
  <si>
    <t>0434077090</t>
    <phoneticPr fontId="4" type="noConversion"/>
  </si>
  <si>
    <t>CWH70C</t>
    <phoneticPr fontId="4" type="noConversion"/>
  </si>
  <si>
    <t>0409764250</t>
    <phoneticPr fontId="4" type="noConversion"/>
  </si>
  <si>
    <t>DSJ13E</t>
    <phoneticPr fontId="4" type="noConversion"/>
  </si>
  <si>
    <t>0421518552</t>
    <phoneticPr fontId="4" type="noConversion"/>
  </si>
  <si>
    <t>NDW022</t>
    <phoneticPr fontId="4" type="noConversion"/>
  </si>
  <si>
    <t>0448459711</t>
    <phoneticPr fontId="4" type="noConversion"/>
  </si>
  <si>
    <t># 21038 3/6</t>
    <phoneticPr fontId="4" type="noConversion"/>
  </si>
  <si>
    <t>CQC65C</t>
    <phoneticPr fontId="4" type="noConversion"/>
  </si>
  <si>
    <t>0410476000</t>
    <phoneticPr fontId="4" type="noConversion"/>
  </si>
  <si>
    <t>NCA82M</t>
    <phoneticPr fontId="4" type="noConversion"/>
  </si>
  <si>
    <t>0439988228</t>
    <phoneticPr fontId="4" type="noConversion"/>
  </si>
  <si>
    <t>B2 2112068 2/6</t>
    <phoneticPr fontId="4" type="noConversion"/>
  </si>
  <si>
    <t>DAJ33N</t>
    <phoneticPr fontId="4" type="noConversion"/>
  </si>
  <si>
    <t>0450070773</t>
    <phoneticPr fontId="4" type="noConversion"/>
  </si>
  <si>
    <t>EOG19M</t>
    <phoneticPr fontId="4" type="noConversion"/>
  </si>
  <si>
    <t>0499630435</t>
    <phoneticPr fontId="4" type="noConversion"/>
  </si>
  <si>
    <t>ROO11M</t>
    <phoneticPr fontId="4" type="noConversion"/>
  </si>
  <si>
    <t>0402027394</t>
    <phoneticPr fontId="4" type="noConversion"/>
  </si>
  <si>
    <t>YEP527</t>
    <phoneticPr fontId="4" type="noConversion"/>
  </si>
  <si>
    <t>0435487150</t>
    <phoneticPr fontId="4" type="noConversion"/>
  </si>
  <si>
    <t>EQK71N</t>
    <phoneticPr fontId="4" type="noConversion"/>
  </si>
  <si>
    <t>0403733480</t>
    <phoneticPr fontId="4" type="noConversion"/>
  </si>
  <si>
    <t>NCC95T</t>
    <phoneticPr fontId="4" type="noConversion"/>
  </si>
  <si>
    <t>0419944973</t>
    <phoneticPr fontId="4" type="noConversion"/>
  </si>
  <si>
    <t>CDS89H</t>
    <phoneticPr fontId="4" type="noConversion"/>
  </si>
  <si>
    <t>0447514956</t>
    <phoneticPr fontId="4" type="noConversion"/>
  </si>
  <si>
    <t>ELB94W</t>
    <phoneticPr fontId="4" type="noConversion"/>
  </si>
  <si>
    <t>0415911846</t>
    <phoneticPr fontId="4" type="noConversion"/>
  </si>
  <si>
    <t>15-04-2022</t>
    <phoneticPr fontId="4" type="noConversion"/>
  </si>
  <si>
    <t>16-04-2022</t>
    <phoneticPr fontId="4" type="noConversion"/>
  </si>
  <si>
    <t>YJW96B</t>
    <phoneticPr fontId="4" type="noConversion"/>
  </si>
  <si>
    <t>0414934016</t>
    <phoneticPr fontId="4" type="noConversion"/>
  </si>
  <si>
    <t>F</t>
  </si>
  <si>
    <t>EPJ59V</t>
    <phoneticPr fontId="4" type="noConversion"/>
  </si>
  <si>
    <t>0415231207</t>
    <phoneticPr fontId="4" type="noConversion"/>
  </si>
  <si>
    <t>DGA66Z</t>
    <phoneticPr fontId="4" type="noConversion"/>
  </si>
  <si>
    <t>04526700767</t>
    <phoneticPr fontId="4" type="noConversion"/>
  </si>
  <si>
    <t>EOK89T</t>
    <phoneticPr fontId="4" type="noConversion"/>
  </si>
  <si>
    <t>0419237162</t>
    <phoneticPr fontId="4" type="noConversion"/>
  </si>
  <si>
    <t>22004(1/6)</t>
    <phoneticPr fontId="4" type="noConversion"/>
  </si>
  <si>
    <t>CGM56P</t>
    <phoneticPr fontId="4" type="noConversion"/>
  </si>
  <si>
    <t>0412255979</t>
    <phoneticPr fontId="4" type="noConversion"/>
  </si>
  <si>
    <t>CEDC37B</t>
    <phoneticPr fontId="4" type="noConversion"/>
  </si>
  <si>
    <t>0431300280</t>
    <phoneticPr fontId="4" type="noConversion"/>
  </si>
  <si>
    <t>DGF67C</t>
    <phoneticPr fontId="4" type="noConversion"/>
  </si>
  <si>
    <t>0410123890</t>
    <phoneticPr fontId="4" type="noConversion"/>
  </si>
  <si>
    <t>DC93KI</t>
    <phoneticPr fontId="4" type="noConversion"/>
  </si>
  <si>
    <t>0438726317</t>
    <phoneticPr fontId="4" type="noConversion"/>
  </si>
  <si>
    <t>KJ6666</t>
    <phoneticPr fontId="4" type="noConversion"/>
  </si>
  <si>
    <t>0412065040</t>
    <phoneticPr fontId="4" type="noConversion"/>
  </si>
  <si>
    <t>202203054-56</t>
    <phoneticPr fontId="4" type="noConversion"/>
  </si>
  <si>
    <t>DQP96N</t>
    <phoneticPr fontId="4" type="noConversion"/>
  </si>
  <si>
    <t>0411039673</t>
    <phoneticPr fontId="4" type="noConversion"/>
  </si>
  <si>
    <t>HW88HL</t>
    <phoneticPr fontId="4" type="noConversion"/>
  </si>
  <si>
    <t>0416364988</t>
    <phoneticPr fontId="4" type="noConversion"/>
  </si>
  <si>
    <t>DHV71G</t>
    <phoneticPr fontId="4" type="noConversion"/>
  </si>
  <si>
    <t>0427677422</t>
    <phoneticPr fontId="4" type="noConversion"/>
  </si>
  <si>
    <t>GV1</t>
    <phoneticPr fontId="4" type="noConversion"/>
  </si>
  <si>
    <t>202749(4/6)</t>
    <phoneticPr fontId="4" type="noConversion"/>
  </si>
  <si>
    <t>EJA08P</t>
    <phoneticPr fontId="4" type="noConversion"/>
  </si>
  <si>
    <t>0430144838</t>
    <phoneticPr fontId="4" type="noConversion"/>
  </si>
  <si>
    <t>22019(1/6)</t>
    <phoneticPr fontId="4" type="noConversion"/>
  </si>
  <si>
    <t>NBT65G</t>
    <phoneticPr fontId="4" type="noConversion"/>
  </si>
  <si>
    <t>0414523388</t>
    <phoneticPr fontId="4" type="noConversion"/>
  </si>
  <si>
    <t>ERH89H</t>
    <phoneticPr fontId="4" type="noConversion"/>
  </si>
  <si>
    <t>0411154338</t>
    <phoneticPr fontId="4" type="noConversion"/>
  </si>
  <si>
    <t>EII82R</t>
    <phoneticPr fontId="4" type="noConversion"/>
  </si>
  <si>
    <t>0405816668</t>
    <phoneticPr fontId="4" type="noConversion"/>
  </si>
  <si>
    <t>NBX29J</t>
    <phoneticPr fontId="4" type="noConversion"/>
  </si>
  <si>
    <t>0430726627</t>
    <phoneticPr fontId="4" type="noConversion"/>
  </si>
  <si>
    <t>BFE90U</t>
    <phoneticPr fontId="4" type="noConversion"/>
  </si>
  <si>
    <t>0410464267</t>
    <phoneticPr fontId="4" type="noConversion"/>
  </si>
  <si>
    <t>X/ST</t>
    <phoneticPr fontId="4" type="noConversion"/>
  </si>
  <si>
    <t>BXC81W</t>
    <phoneticPr fontId="4" type="noConversion"/>
  </si>
  <si>
    <t>0407015117</t>
    <phoneticPr fontId="4" type="noConversion"/>
  </si>
  <si>
    <t>ESG51B</t>
    <phoneticPr fontId="4" type="noConversion"/>
  </si>
  <si>
    <t>0434622861</t>
    <phoneticPr fontId="4" type="noConversion"/>
  </si>
  <si>
    <t>DY9888</t>
    <phoneticPr fontId="4" type="noConversion"/>
  </si>
  <si>
    <t>0400818733</t>
    <phoneticPr fontId="4" type="noConversion"/>
  </si>
  <si>
    <t>EDS85H</t>
    <phoneticPr fontId="4" type="noConversion"/>
  </si>
  <si>
    <t>0488664407</t>
    <phoneticPr fontId="4" type="noConversion"/>
  </si>
  <si>
    <t>EBW63U</t>
    <phoneticPr fontId="4" type="noConversion"/>
  </si>
  <si>
    <t>0438354090</t>
    <phoneticPr fontId="4" type="noConversion"/>
  </si>
  <si>
    <t>JOHN</t>
    <phoneticPr fontId="4" type="noConversion"/>
  </si>
  <si>
    <t>DVL10H</t>
    <phoneticPr fontId="4" type="noConversion"/>
  </si>
  <si>
    <t>0413872431</t>
    <phoneticPr fontId="4" type="noConversion"/>
  </si>
  <si>
    <t>2112064(3/6)</t>
    <phoneticPr fontId="4" type="noConversion"/>
  </si>
  <si>
    <t>YPV88F</t>
    <phoneticPr fontId="4" type="noConversion"/>
  </si>
  <si>
    <t>0456847092</t>
    <phoneticPr fontId="4" type="noConversion"/>
  </si>
  <si>
    <t>KEVIN</t>
    <phoneticPr fontId="4" type="noConversion"/>
  </si>
  <si>
    <t>CHLOE</t>
    <phoneticPr fontId="4" type="noConversion"/>
  </si>
  <si>
    <t>BIVEK</t>
    <phoneticPr fontId="4" type="noConversion"/>
  </si>
  <si>
    <t>JUNIOR TAKEN :50$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</si>
</sst>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51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24" fillId="14" borderId="9" xfId="4" applyBorder="1" applyAlignment="1">
      <alignment horizontal="center" shrinkToFit="1"/>
    </xf>
    <xf numFmtId="0" fontId="24" fillId="14" borderId="1" xfId="4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62" xfId="4" applyBorder="1" applyAlignment="1">
      <alignment horizontal="center" shrinkToFit="1"/>
    </xf>
    <xf numFmtId="0" fontId="24" fillId="14" borderId="39" xfId="4" applyBorder="1" applyAlignment="1">
      <alignment horizontal="left"/>
    </xf>
    <xf numFmtId="0" fontId="24" fillId="14" borderId="4" xfId="4" applyBorder="1" applyAlignment="1">
      <alignment horizontal="center" shrinkToFit="1"/>
    </xf>
    <xf numFmtId="178" fontId="24" fillId="14" borderId="1" xfId="4" applyNumberFormat="1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26" xfId="4" applyBorder="1" applyAlignment="1">
      <alignment horizontal="left" shrinkToFit="1"/>
    </xf>
    <xf numFmtId="178" fontId="1" fillId="0" borderId="4" xfId="0" applyNumberFormat="1" applyFont="1" applyBorder="1" applyAlignment="1">
      <alignment horizontal="center" shrinkToFit="1"/>
    </xf>
    <xf numFmtId="49" fontId="24" fillId="14" borderId="2" xfId="4" applyNumberFormat="1" applyBorder="1" applyAlignment="1">
      <alignment horizontal="left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49" fontId="24" fillId="14" borderId="2" xfId="4" applyNumberFormat="1" applyBorder="1" applyAlignment="1">
      <alignment horizontal="left"/>
    </xf>
    <xf numFmtId="179" fontId="24" fillId="14" borderId="26" xfId="4" applyNumberFormat="1" applyBorder="1" applyAlignment="1">
      <alignment horizontal="left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0" fontId="24" fillId="14" borderId="1" xfId="4" applyBorder="1" applyAlignment="1">
      <alignment horizontal="center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I22" sqref="I2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7.25" thickBot="1" x14ac:dyDescent="0.35">
      <c r="A2" s="283" t="s">
        <v>98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99</v>
      </c>
      <c r="K2" s="285"/>
      <c r="L2" s="287" t="s">
        <v>96</v>
      </c>
      <c r="M2" s="288"/>
      <c r="N2" s="286"/>
      <c r="O2" s="284" t="s">
        <v>100</v>
      </c>
      <c r="P2" s="284"/>
      <c r="Q2" s="285"/>
      <c r="R2" s="287" t="s">
        <v>51</v>
      </c>
      <c r="S2" s="286"/>
      <c r="T2" s="289">
        <v>6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293" t="s">
        <v>8</v>
      </c>
      <c r="P4" s="293"/>
      <c r="Q4" s="293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3459</v>
      </c>
      <c r="C5" s="68" t="s">
        <v>107</v>
      </c>
      <c r="D5" s="200" t="s">
        <v>108</v>
      </c>
      <c r="E5" s="181" t="s">
        <v>92</v>
      </c>
      <c r="F5" s="170">
        <v>830</v>
      </c>
      <c r="G5" s="118" t="s">
        <v>103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94"/>
      <c r="P5" s="295"/>
      <c r="Q5" s="296"/>
      <c r="R5" s="33" t="s">
        <v>100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3460</v>
      </c>
      <c r="C6" s="67" t="s">
        <v>109</v>
      </c>
      <c r="D6" s="200" t="s">
        <v>110</v>
      </c>
      <c r="E6" s="181" t="s">
        <v>91</v>
      </c>
      <c r="F6" s="171">
        <v>855</v>
      </c>
      <c r="G6" s="118" t="s">
        <v>111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58.3</v>
      </c>
      <c r="L6" s="131"/>
      <c r="M6" s="131"/>
      <c r="N6" s="134" t="s">
        <v>100</v>
      </c>
      <c r="O6" s="297" t="s">
        <v>112</v>
      </c>
      <c r="P6" s="298"/>
      <c r="Q6" s="299"/>
      <c r="R6" s="132" t="s">
        <v>101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3461</v>
      </c>
      <c r="C7" s="67" t="s">
        <v>113</v>
      </c>
      <c r="D7" s="200" t="s">
        <v>114</v>
      </c>
      <c r="E7" s="181" t="s">
        <v>91</v>
      </c>
      <c r="F7" s="171">
        <v>910</v>
      </c>
      <c r="G7" s="118" t="s">
        <v>103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0" t="s">
        <v>115</v>
      </c>
      <c r="P7" s="301"/>
      <c r="Q7" s="302"/>
      <c r="R7" s="134" t="s">
        <v>102</v>
      </c>
      <c r="S7" s="31">
        <v>0.375</v>
      </c>
      <c r="T7" s="32">
        <v>0.64583333333333337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3462</v>
      </c>
      <c r="C8" s="27" t="s">
        <v>116</v>
      </c>
      <c r="D8" s="200" t="s">
        <v>117</v>
      </c>
      <c r="E8" s="181" t="s">
        <v>92</v>
      </c>
      <c r="F8" s="171">
        <v>930</v>
      </c>
      <c r="G8" s="118" t="s">
        <v>103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03"/>
      <c r="P8" s="304"/>
      <c r="Q8" s="305"/>
      <c r="R8" s="26" t="s">
        <v>104</v>
      </c>
      <c r="S8" s="31">
        <v>0.4375</v>
      </c>
      <c r="T8" s="32">
        <v>0.70833333333333337</v>
      </c>
      <c r="U8" s="92">
        <f t="shared" si="0"/>
        <v>6.5000000000000009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3463</v>
      </c>
      <c r="C9" s="63" t="s">
        <v>118</v>
      </c>
      <c r="D9" s="201" t="s">
        <v>119</v>
      </c>
      <c r="E9" s="181" t="s">
        <v>92</v>
      </c>
      <c r="F9" s="172">
        <v>930</v>
      </c>
      <c r="G9" s="119" t="s">
        <v>120</v>
      </c>
      <c r="H9" s="91"/>
      <c r="I9" s="91">
        <v>120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03"/>
      <c r="P9" s="304"/>
      <c r="Q9" s="305"/>
      <c r="R9" s="26" t="s">
        <v>105</v>
      </c>
      <c r="S9" s="31">
        <v>0.40625</v>
      </c>
      <c r="T9" s="32">
        <v>0.70833333333333337</v>
      </c>
      <c r="U9" s="92">
        <f t="shared" si="0"/>
        <v>7.2500000000000009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3464</v>
      </c>
      <c r="C10" s="28" t="s">
        <v>121</v>
      </c>
      <c r="D10" s="202" t="s">
        <v>122</v>
      </c>
      <c r="E10" s="181" t="s">
        <v>92</v>
      </c>
      <c r="F10" s="173">
        <v>1000</v>
      </c>
      <c r="G10" s="120" t="s">
        <v>103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90"/>
      <c r="P10" s="291"/>
      <c r="Q10" s="292"/>
      <c r="R10" s="26" t="s">
        <v>106</v>
      </c>
      <c r="S10" s="31">
        <v>0.45833333333333331</v>
      </c>
      <c r="T10" s="32">
        <v>0.69791666666666663</v>
      </c>
      <c r="U10" s="92">
        <f t="shared" si="0"/>
        <v>5.75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3465</v>
      </c>
      <c r="C11" s="18" t="s">
        <v>123</v>
      </c>
      <c r="D11" s="203" t="s">
        <v>124</v>
      </c>
      <c r="E11" s="181" t="s">
        <v>92</v>
      </c>
      <c r="F11" s="66">
        <v>1030</v>
      </c>
      <c r="G11" s="121" t="s">
        <v>44</v>
      </c>
      <c r="H11" s="123"/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100</v>
      </c>
      <c r="O11" s="300">
        <v>202202061</v>
      </c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3466</v>
      </c>
      <c r="C12" s="64" t="s">
        <v>125</v>
      </c>
      <c r="D12" s="204" t="s">
        <v>126</v>
      </c>
      <c r="E12" s="181" t="s">
        <v>92</v>
      </c>
      <c r="F12" s="173">
        <v>1100</v>
      </c>
      <c r="G12" s="119" t="s">
        <v>127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100</v>
      </c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3467</v>
      </c>
      <c r="C13" s="64" t="s">
        <v>128</v>
      </c>
      <c r="D13" s="204" t="s">
        <v>129</v>
      </c>
      <c r="E13" s="181" t="s">
        <v>92</v>
      </c>
      <c r="F13" s="173">
        <v>1100</v>
      </c>
      <c r="G13" s="119" t="s">
        <v>103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3468</v>
      </c>
      <c r="C14" s="65" t="s">
        <v>130</v>
      </c>
      <c r="D14" s="205" t="s">
        <v>131</v>
      </c>
      <c r="E14" s="181" t="s">
        <v>91</v>
      </c>
      <c r="F14" s="174">
        <v>1100</v>
      </c>
      <c r="G14" s="122" t="s">
        <v>132</v>
      </c>
      <c r="H14" s="123">
        <v>180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104</v>
      </c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3469</v>
      </c>
      <c r="C15" s="65" t="s">
        <v>133</v>
      </c>
      <c r="D15" s="205" t="s">
        <v>134</v>
      </c>
      <c r="E15" s="181" t="s">
        <v>92</v>
      </c>
      <c r="F15" s="174">
        <v>1145</v>
      </c>
      <c r="G15" s="122" t="s">
        <v>103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100</v>
      </c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67">
        <v>12</v>
      </c>
      <c r="B16" s="268">
        <v>3470</v>
      </c>
      <c r="C16" s="269" t="s">
        <v>135</v>
      </c>
      <c r="D16" s="270" t="s">
        <v>136</v>
      </c>
      <c r="E16" s="271" t="s">
        <v>91</v>
      </c>
      <c r="F16" s="272">
        <v>1200</v>
      </c>
      <c r="G16" s="273" t="s">
        <v>137</v>
      </c>
      <c r="H16" s="274"/>
      <c r="I16" s="275">
        <v>380</v>
      </c>
      <c r="J16" s="275" t="str">
        <f t="shared" si="1"/>
        <v>0</v>
      </c>
      <c r="K16" s="275" t="str">
        <f t="shared" si="2"/>
        <v>0</v>
      </c>
      <c r="L16" s="276"/>
      <c r="M16" s="276"/>
      <c r="N16" s="277" t="s">
        <v>100</v>
      </c>
      <c r="O16" s="308" t="s">
        <v>141</v>
      </c>
      <c r="P16" s="309"/>
      <c r="Q16" s="310"/>
      <c r="R16" s="82">
        <f>H32/U16</f>
        <v>0.43181818181818177</v>
      </c>
      <c r="S16" s="83">
        <f>H32/(U16-U5)</f>
        <v>0.5428571428571427</v>
      </c>
      <c r="T16" s="83">
        <f>C32/U16</f>
        <v>47.461363636363636</v>
      </c>
      <c r="U16" s="83">
        <f>SUM(U5:U15)</f>
        <v>44.000000000000007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3471</v>
      </c>
      <c r="C17" s="18" t="s">
        <v>138</v>
      </c>
      <c r="D17" s="203" t="s">
        <v>139</v>
      </c>
      <c r="E17" s="181" t="s">
        <v>92</v>
      </c>
      <c r="F17" s="66">
        <v>1215</v>
      </c>
      <c r="G17" s="121" t="s">
        <v>111</v>
      </c>
      <c r="H17" s="123"/>
      <c r="I17" s="124"/>
      <c r="J17" s="130" t="str">
        <f t="shared" si="1"/>
        <v>0</v>
      </c>
      <c r="K17" s="130">
        <v>125</v>
      </c>
      <c r="L17" s="131"/>
      <c r="M17" s="131"/>
      <c r="N17" s="134" t="s">
        <v>100</v>
      </c>
      <c r="O17" s="300" t="s">
        <v>140</v>
      </c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3472</v>
      </c>
      <c r="C18" s="18" t="s">
        <v>142</v>
      </c>
      <c r="D18" s="203" t="s">
        <v>143</v>
      </c>
      <c r="E18" s="181" t="s">
        <v>91</v>
      </c>
      <c r="F18" s="66">
        <v>1240</v>
      </c>
      <c r="G18" s="20" t="s">
        <v>127</v>
      </c>
      <c r="H18" s="123">
        <v>75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100</v>
      </c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3473</v>
      </c>
      <c r="C19" s="18" t="s">
        <v>144</v>
      </c>
      <c r="D19" s="203" t="s">
        <v>145</v>
      </c>
      <c r="E19" s="181" t="s">
        <v>92</v>
      </c>
      <c r="F19" s="66">
        <v>1400</v>
      </c>
      <c r="G19" s="121" t="s">
        <v>127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100</v>
      </c>
      <c r="O19" s="300"/>
      <c r="P19" s="301"/>
      <c r="Q19" s="30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3474</v>
      </c>
      <c r="C20" s="18" t="s">
        <v>148</v>
      </c>
      <c r="D20" s="203" t="s">
        <v>149</v>
      </c>
      <c r="E20" s="181" t="s">
        <v>92</v>
      </c>
      <c r="F20" s="66">
        <v>1415</v>
      </c>
      <c r="G20" s="121" t="s">
        <v>127</v>
      </c>
      <c r="H20" s="123"/>
      <c r="I20" s="219">
        <v>60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100</v>
      </c>
      <c r="O20" s="311"/>
      <c r="P20" s="312"/>
      <c r="Q20" s="31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3475</v>
      </c>
      <c r="C21" s="18" t="s">
        <v>146</v>
      </c>
      <c r="D21" s="203" t="s">
        <v>147</v>
      </c>
      <c r="E21" s="181" t="s">
        <v>92</v>
      </c>
      <c r="F21" s="66">
        <v>1430</v>
      </c>
      <c r="G21" s="20" t="s">
        <v>127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100</v>
      </c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3476</v>
      </c>
      <c r="C22" s="127" t="s">
        <v>150</v>
      </c>
      <c r="D22" s="206" t="s">
        <v>151</v>
      </c>
      <c r="E22" s="181" t="s">
        <v>92</v>
      </c>
      <c r="F22" s="175">
        <v>1445</v>
      </c>
      <c r="G22" s="214" t="s">
        <v>120</v>
      </c>
      <c r="H22" s="89"/>
      <c r="I22" s="141">
        <v>150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100</v>
      </c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3477</v>
      </c>
      <c r="C23" s="136" t="s">
        <v>152</v>
      </c>
      <c r="D23" s="207" t="s">
        <v>153</v>
      </c>
      <c r="E23" s="181" t="s">
        <v>91</v>
      </c>
      <c r="F23" s="176">
        <v>1520</v>
      </c>
      <c r="G23" s="165" t="s">
        <v>127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100</v>
      </c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3">
        <f>((C32+(R26+S26+T26)*0.5))</f>
        <v>2088.3000000000002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22" t="s">
        <v>56</v>
      </c>
      <c r="S27" s="323"/>
      <c r="T27" s="323"/>
      <c r="U27" s="32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5"/>
      <c r="S28" s="316"/>
      <c r="T28" s="31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1"/>
      <c r="P29" s="332"/>
      <c r="Q29" s="333"/>
      <c r="R29" s="334"/>
      <c r="S29" s="335"/>
      <c r="T29" s="33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7" t="s">
        <v>48</v>
      </c>
      <c r="B30" s="338"/>
      <c r="C30" s="338"/>
      <c r="D30" s="338"/>
      <c r="E30" s="339"/>
      <c r="F30" s="338"/>
      <c r="G30" s="338"/>
      <c r="H30" s="211">
        <f t="shared" ref="H30:M30" si="3">SUM(H5:H29)</f>
        <v>425</v>
      </c>
      <c r="I30" s="105">
        <f>SUM(I5:I29)</f>
        <v>1425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183.3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40"/>
      <c r="S30" s="340"/>
      <c r="T30" s="34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2" t="s">
        <v>16</v>
      </c>
      <c r="B31" s="343"/>
      <c r="C31" s="343"/>
      <c r="D31" s="343"/>
      <c r="E31" s="343"/>
      <c r="F31" s="343"/>
      <c r="G31" s="343"/>
      <c r="H31" s="212">
        <f t="shared" ref="H31:J31" si="4">H30+H62+H94</f>
        <v>425</v>
      </c>
      <c r="I31" s="103">
        <f t="shared" si="4"/>
        <v>1425</v>
      </c>
      <c r="J31" s="103">
        <f t="shared" si="4"/>
        <v>55</v>
      </c>
      <c r="K31" s="103">
        <f>K30+K62+K94</f>
        <v>183.3</v>
      </c>
      <c r="L31" s="97">
        <f>L30+L62+L94</f>
        <v>0</v>
      </c>
      <c r="M31" s="97">
        <f>M30+M62+M94</f>
        <v>0</v>
      </c>
      <c r="N31" s="217">
        <f>COUNT(H5:H29,H37:H61,H69:H93)</f>
        <v>4</v>
      </c>
      <c r="O31" s="104">
        <f>COUNT(I5:I29,I37:I61,I69:I93)</f>
        <v>12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425</v>
      </c>
      <c r="T31" s="327">
        <f>H31+I31+L31+M31</f>
        <v>1850</v>
      </c>
      <c r="U31" s="32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8" t="s">
        <v>55</v>
      </c>
      <c r="B32" s="319"/>
      <c r="C32" s="107">
        <f>H31+I31+J31+K31</f>
        <v>2088.3000000000002</v>
      </c>
      <c r="D32" s="196"/>
      <c r="E32" s="107"/>
      <c r="F32" s="320" t="s">
        <v>53</v>
      </c>
      <c r="G32" s="320"/>
      <c r="H32" s="109">
        <f>COUNT(B5:B29,B37:B61,B69:B93)</f>
        <v>19</v>
      </c>
      <c r="I32" s="321" t="s">
        <v>54</v>
      </c>
      <c r="J32" s="321"/>
      <c r="K32" s="108">
        <f>C32/H32</f>
        <v>109.91052631578948</v>
      </c>
      <c r="L32" s="218"/>
      <c r="M32" s="218"/>
      <c r="N32" s="218">
        <f>H31/C32</f>
        <v>0.2035148206675286</v>
      </c>
      <c r="O32" s="218">
        <f>I31/C32</f>
        <v>0.68237322223818409</v>
      </c>
      <c r="P32" s="218">
        <f>K31/C32</f>
        <v>8.7774745007901167E-2</v>
      </c>
      <c r="Q32" s="110">
        <f>J31/C32</f>
        <v>2.6337212086386053E-2</v>
      </c>
      <c r="R32" s="99" t="s">
        <v>82</v>
      </c>
      <c r="S32" s="213">
        <f>I31+M31</f>
        <v>1425</v>
      </c>
      <c r="T32" s="329"/>
      <c r="U32" s="330"/>
      <c r="V32" s="55"/>
      <c r="W32" s="55"/>
      <c r="X32" s="56" t="s">
        <v>27</v>
      </c>
      <c r="Y32" s="56"/>
      <c r="Z32" s="54">
        <f>I31</f>
        <v>1425</v>
      </c>
      <c r="AE32" s="37"/>
      <c r="AF32" s="37"/>
      <c r="AG32" s="37"/>
      <c r="AH32" s="37"/>
    </row>
    <row r="33" spans="1:34" ht="17.25" thickBot="1" x14ac:dyDescent="0.35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284"/>
      <c r="U33" s="285"/>
      <c r="X33" s="57" t="s">
        <v>29</v>
      </c>
      <c r="Y33" s="57"/>
      <c r="Z33" s="58">
        <f>SUM(Z31:Z32)</f>
        <v>-1320</v>
      </c>
      <c r="AE33" s="37"/>
      <c r="AF33" s="37"/>
      <c r="AG33" s="59"/>
      <c r="AH33" s="37"/>
    </row>
    <row r="34" spans="1:34" ht="17.25" thickBot="1" x14ac:dyDescent="0.35">
      <c r="A34" s="283" t="str">
        <f>A2</f>
        <v>11 - 4 - 2022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SUNNY</v>
      </c>
      <c r="K34" s="285"/>
      <c r="L34" s="287" t="s">
        <v>50</v>
      </c>
      <c r="M34" s="288"/>
      <c r="N34" s="286"/>
      <c r="O34" s="284" t="str">
        <f>O2</f>
        <v>HENDRA</v>
      </c>
      <c r="P34" s="284"/>
      <c r="Q34" s="285"/>
      <c r="R34" s="287" t="s">
        <v>51</v>
      </c>
      <c r="S34" s="286"/>
      <c r="T34" s="289">
        <f>T2</f>
        <v>6</v>
      </c>
      <c r="U34" s="28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293" t="s">
        <v>8</v>
      </c>
      <c r="P36" s="293"/>
      <c r="Q36" s="293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4"/>
      <c r="P53" s="300"/>
      <c r="Q53" s="300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4"/>
      <c r="P54" s="300"/>
      <c r="Q54" s="300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4"/>
      <c r="P55" s="300"/>
      <c r="Q55" s="300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5"/>
      <c r="P61" s="346"/>
      <c r="Q61" s="347"/>
      <c r="R61" s="81"/>
      <c r="S61" s="68"/>
      <c r="T61" s="68"/>
      <c r="U61" s="77"/>
    </row>
    <row r="62" spans="1:21" x14ac:dyDescent="0.3">
      <c r="A62" s="348" t="s">
        <v>48</v>
      </c>
      <c r="B62" s="349"/>
      <c r="C62" s="349"/>
      <c r="D62" s="349"/>
      <c r="E62" s="349"/>
      <c r="F62" s="349"/>
      <c r="G62" s="349"/>
      <c r="H62" s="349">
        <f t="shared" ref="H62:M62" si="8">SUM(H37:H61)</f>
        <v>0</v>
      </c>
      <c r="I62" s="354">
        <f t="shared" si="8"/>
        <v>0</v>
      </c>
      <c r="J62" s="354">
        <f>J61+J60+J59+J58+J57+J56+J55+J54+J53+J52+J51+J50+J49+J48+J47+J46+J45+J44+J43+J42+J41+J40+J39+J38+J37</f>
        <v>0</v>
      </c>
      <c r="K62" s="354">
        <f>K61+K60+K59+K58+K57+K56+K55+K54+K53+K52+K51+K50+K49+K48+K47+K46+K45+K44+K43+K42+K41+K40+K39+K38+K37</f>
        <v>0</v>
      </c>
      <c r="L62" s="357">
        <f t="shared" si="8"/>
        <v>0</v>
      </c>
      <c r="M62" s="360">
        <f t="shared" si="8"/>
        <v>0</v>
      </c>
      <c r="N62" s="363"/>
      <c r="O62" s="364"/>
      <c r="P62" s="364"/>
      <c r="Q62" s="365"/>
      <c r="R62" s="5"/>
      <c r="S62" s="6"/>
      <c r="T62" s="7"/>
      <c r="U62" s="8"/>
    </row>
    <row r="63" spans="1:21" ht="17.25" thickBot="1" x14ac:dyDescent="0.35">
      <c r="A63" s="350"/>
      <c r="B63" s="351"/>
      <c r="C63" s="351"/>
      <c r="D63" s="351"/>
      <c r="E63" s="351"/>
      <c r="F63" s="351"/>
      <c r="G63" s="351"/>
      <c r="H63" s="351"/>
      <c r="I63" s="355"/>
      <c r="J63" s="355"/>
      <c r="K63" s="355"/>
      <c r="L63" s="358"/>
      <c r="M63" s="361"/>
      <c r="N63" s="366"/>
      <c r="O63" s="367"/>
      <c r="P63" s="367"/>
      <c r="Q63" s="368"/>
      <c r="R63" s="1"/>
      <c r="S63" s="2"/>
      <c r="T63" s="3"/>
      <c r="U63" s="4"/>
    </row>
    <row r="64" spans="1:21" ht="17.25" thickBot="1" x14ac:dyDescent="0.35">
      <c r="A64" s="352"/>
      <c r="B64" s="353"/>
      <c r="C64" s="353"/>
      <c r="D64" s="353"/>
      <c r="E64" s="353"/>
      <c r="F64" s="353"/>
      <c r="G64" s="353"/>
      <c r="H64" s="353"/>
      <c r="I64" s="356"/>
      <c r="J64" s="356"/>
      <c r="K64" s="356"/>
      <c r="L64" s="359"/>
      <c r="M64" s="362"/>
      <c r="N64" s="325"/>
      <c r="O64" s="326"/>
      <c r="P64" s="326"/>
      <c r="Q64" s="369"/>
      <c r="R64" s="370" t="s">
        <v>17</v>
      </c>
      <c r="S64" s="371"/>
      <c r="T64" s="371"/>
      <c r="U64" s="372"/>
    </row>
    <row r="65" spans="1:21" ht="17.25" thickBot="1" x14ac:dyDescent="0.35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7.25" thickBot="1" x14ac:dyDescent="0.35">
      <c r="A66" s="283" t="str">
        <f>A34</f>
        <v>11 - 4 - 2022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SUNNY</v>
      </c>
      <c r="K66" s="285"/>
      <c r="L66" s="287" t="s">
        <v>50</v>
      </c>
      <c r="M66" s="288"/>
      <c r="N66" s="286"/>
      <c r="O66" s="284" t="str">
        <f>O34</f>
        <v>HENDRA</v>
      </c>
      <c r="P66" s="284"/>
      <c r="Q66" s="285"/>
      <c r="R66" s="287" t="s">
        <v>51</v>
      </c>
      <c r="S66" s="286"/>
      <c r="T66" s="289">
        <f>T34</f>
        <v>6</v>
      </c>
      <c r="U66" s="28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293" t="s">
        <v>8</v>
      </c>
      <c r="P68" s="293"/>
      <c r="Q68" s="293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4"/>
      <c r="P85" s="300"/>
      <c r="Q85" s="30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4"/>
      <c r="P86" s="300"/>
      <c r="Q86" s="30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4"/>
      <c r="P87" s="300"/>
      <c r="Q87" s="30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5"/>
      <c r="P93" s="346"/>
      <c r="Q93" s="347"/>
      <c r="R93" s="81"/>
      <c r="S93" s="68"/>
      <c r="T93" s="68"/>
      <c r="U93" s="77"/>
    </row>
    <row r="94" spans="1:21" x14ac:dyDescent="0.3">
      <c r="A94" s="348" t="s">
        <v>48</v>
      </c>
      <c r="B94" s="349"/>
      <c r="C94" s="349"/>
      <c r="D94" s="349"/>
      <c r="E94" s="373"/>
      <c r="F94" s="349"/>
      <c r="G94" s="349"/>
      <c r="H94" s="349">
        <f t="shared" ref="H94:M94" si="12">SUM(H69:H93)</f>
        <v>0</v>
      </c>
      <c r="I94" s="354">
        <f t="shared" si="12"/>
        <v>0</v>
      </c>
      <c r="J94" s="354">
        <f>J93+J92+J91+J90+J89+J88+J87+J86+J85+J84+J83+J82+J81+J80+J79+J78+J77+J76+J75+J74+J73+J72+J71+J70+J69</f>
        <v>0</v>
      </c>
      <c r="K94" s="354">
        <f>K93+K92+K91+K90+K89+K88+K87+K86+K85+K84+K83+K82+K81+K80+K79+K78+K77+K76+K75+K74+K73+K72+K71+K70+K69</f>
        <v>0</v>
      </c>
      <c r="L94" s="357">
        <f t="shared" si="12"/>
        <v>0</v>
      </c>
      <c r="M94" s="360">
        <f t="shared" si="12"/>
        <v>0</v>
      </c>
      <c r="N94" s="363"/>
      <c r="O94" s="364"/>
      <c r="P94" s="364"/>
      <c r="Q94" s="365"/>
      <c r="R94" s="5"/>
      <c r="S94" s="6"/>
      <c r="T94" s="7"/>
      <c r="U94" s="8"/>
    </row>
    <row r="95" spans="1:21" ht="17.25" thickBot="1" x14ac:dyDescent="0.35">
      <c r="A95" s="350"/>
      <c r="B95" s="351"/>
      <c r="C95" s="351"/>
      <c r="D95" s="351"/>
      <c r="E95" s="351"/>
      <c r="F95" s="351"/>
      <c r="G95" s="351"/>
      <c r="H95" s="351"/>
      <c r="I95" s="355"/>
      <c r="J95" s="355"/>
      <c r="K95" s="355"/>
      <c r="L95" s="358"/>
      <c r="M95" s="361"/>
      <c r="N95" s="366"/>
      <c r="O95" s="367"/>
      <c r="P95" s="367"/>
      <c r="Q95" s="368"/>
      <c r="R95" s="1"/>
      <c r="S95" s="2"/>
      <c r="T95" s="3"/>
      <c r="U95" s="4"/>
    </row>
    <row r="96" spans="1:21" ht="17.25" thickBot="1" x14ac:dyDescent="0.35">
      <c r="A96" s="352"/>
      <c r="B96" s="353"/>
      <c r="C96" s="353"/>
      <c r="D96" s="353"/>
      <c r="E96" s="353"/>
      <c r="F96" s="353"/>
      <c r="G96" s="353"/>
      <c r="H96" s="353"/>
      <c r="I96" s="356"/>
      <c r="J96" s="356"/>
      <c r="K96" s="356"/>
      <c r="L96" s="359"/>
      <c r="M96" s="362"/>
      <c r="N96" s="325"/>
      <c r="O96" s="326"/>
      <c r="P96" s="326"/>
      <c r="Q96" s="369"/>
      <c r="R96" s="370" t="s">
        <v>52</v>
      </c>
      <c r="S96" s="371"/>
      <c r="T96" s="371"/>
      <c r="U96" s="372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T10" sqref="T1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7.25" thickBot="1" x14ac:dyDescent="0.35">
      <c r="A2" s="283" t="s">
        <v>154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155</v>
      </c>
      <c r="K2" s="285"/>
      <c r="L2" s="287" t="s">
        <v>96</v>
      </c>
      <c r="M2" s="288"/>
      <c r="N2" s="286"/>
      <c r="O2" s="284" t="s">
        <v>100</v>
      </c>
      <c r="P2" s="284"/>
      <c r="Q2" s="285"/>
      <c r="R2" s="287" t="s">
        <v>51</v>
      </c>
      <c r="S2" s="286"/>
      <c r="T2" s="289">
        <v>5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3478</v>
      </c>
      <c r="C5" s="68" t="s">
        <v>157</v>
      </c>
      <c r="D5" s="200" t="s">
        <v>158</v>
      </c>
      <c r="E5" s="181" t="s">
        <v>92</v>
      </c>
      <c r="F5" s="170">
        <v>915</v>
      </c>
      <c r="G5" s="118" t="s">
        <v>127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94"/>
      <c r="P5" s="295"/>
      <c r="Q5" s="296"/>
      <c r="R5" s="33" t="s">
        <v>100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3479</v>
      </c>
      <c r="C6" s="67" t="s">
        <v>161</v>
      </c>
      <c r="D6" s="200" t="s">
        <v>162</v>
      </c>
      <c r="E6" s="181" t="s">
        <v>92</v>
      </c>
      <c r="F6" s="171">
        <v>1045</v>
      </c>
      <c r="G6" s="118" t="s">
        <v>103</v>
      </c>
      <c r="H6" s="91"/>
      <c r="I6" s="124">
        <v>85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97"/>
      <c r="P6" s="298"/>
      <c r="Q6" s="299"/>
      <c r="R6" s="132" t="s">
        <v>101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3480</v>
      </c>
      <c r="C7" s="67" t="s">
        <v>159</v>
      </c>
      <c r="D7" s="200" t="s">
        <v>160</v>
      </c>
      <c r="E7" s="181" t="s">
        <v>92</v>
      </c>
      <c r="F7" s="171">
        <v>1100</v>
      </c>
      <c r="G7" s="118" t="s">
        <v>127</v>
      </c>
      <c r="H7" s="91">
        <v>55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0"/>
      <c r="P7" s="301"/>
      <c r="Q7" s="302"/>
      <c r="R7" s="134" t="s">
        <v>102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3481</v>
      </c>
      <c r="C8" s="27" t="s">
        <v>163</v>
      </c>
      <c r="D8" s="200" t="s">
        <v>164</v>
      </c>
      <c r="E8" s="181" t="s">
        <v>92</v>
      </c>
      <c r="F8" s="171">
        <v>1145</v>
      </c>
      <c r="G8" s="118" t="s">
        <v>103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03"/>
      <c r="P8" s="304"/>
      <c r="Q8" s="305"/>
      <c r="R8" s="26" t="s">
        <v>156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3482</v>
      </c>
      <c r="C9" s="63" t="s">
        <v>173</v>
      </c>
      <c r="D9" s="201" t="s">
        <v>174</v>
      </c>
      <c r="E9" s="181" t="s">
        <v>92</v>
      </c>
      <c r="F9" s="172">
        <v>1230</v>
      </c>
      <c r="G9" s="119"/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03"/>
      <c r="P9" s="304"/>
      <c r="Q9" s="305"/>
      <c r="R9" s="26" t="s">
        <v>104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3483</v>
      </c>
      <c r="C10" s="28" t="s">
        <v>165</v>
      </c>
      <c r="D10" s="202" t="s">
        <v>166</v>
      </c>
      <c r="E10" s="181" t="s">
        <v>91</v>
      </c>
      <c r="F10" s="173">
        <v>1230</v>
      </c>
      <c r="G10" s="120" t="s">
        <v>127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90"/>
      <c r="P10" s="291"/>
      <c r="Q10" s="29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3484</v>
      </c>
      <c r="C11" s="18" t="s">
        <v>167</v>
      </c>
      <c r="D11" s="203" t="s">
        <v>168</v>
      </c>
      <c r="E11" s="181" t="s">
        <v>92</v>
      </c>
      <c r="F11" s="66">
        <v>1235</v>
      </c>
      <c r="G11" s="121" t="s">
        <v>103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100</v>
      </c>
      <c r="O11" s="300"/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67">
        <v>8</v>
      </c>
      <c r="B12" s="268">
        <v>3485</v>
      </c>
      <c r="C12" s="278" t="s">
        <v>171</v>
      </c>
      <c r="D12" s="279" t="s">
        <v>172</v>
      </c>
      <c r="E12" s="271" t="s">
        <v>92</v>
      </c>
      <c r="F12" s="280">
        <v>1300</v>
      </c>
      <c r="G12" s="268" t="s">
        <v>111</v>
      </c>
      <c r="H12" s="274"/>
      <c r="I12" s="274"/>
      <c r="J12" s="275" t="str">
        <f t="shared" si="1"/>
        <v>0</v>
      </c>
      <c r="K12" s="275">
        <v>174.9</v>
      </c>
      <c r="L12" s="276"/>
      <c r="M12" s="276">
        <v>425</v>
      </c>
      <c r="N12" s="277" t="s">
        <v>100</v>
      </c>
      <c r="O12" s="308" t="s">
        <v>175</v>
      </c>
      <c r="P12" s="309"/>
      <c r="Q12" s="31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3486</v>
      </c>
      <c r="C13" s="64" t="s">
        <v>169</v>
      </c>
      <c r="D13" s="204" t="s">
        <v>170</v>
      </c>
      <c r="E13" s="181" t="s">
        <v>92</v>
      </c>
      <c r="F13" s="173">
        <v>1315</v>
      </c>
      <c r="G13" s="119" t="s">
        <v>127</v>
      </c>
      <c r="H13" s="169">
        <v>55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3487</v>
      </c>
      <c r="C14" s="65" t="s">
        <v>176</v>
      </c>
      <c r="D14" s="205" t="s">
        <v>177</v>
      </c>
      <c r="E14" s="181" t="s">
        <v>91</v>
      </c>
      <c r="F14" s="174">
        <v>1415</v>
      </c>
      <c r="G14" s="122" t="s">
        <v>178</v>
      </c>
      <c r="H14" s="123"/>
      <c r="I14" s="125">
        <v>60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3488</v>
      </c>
      <c r="C15" s="65" t="s">
        <v>179</v>
      </c>
      <c r="D15" s="205" t="s">
        <v>180</v>
      </c>
      <c r="E15" s="181" t="s">
        <v>92</v>
      </c>
      <c r="F15" s="174">
        <v>1450</v>
      </c>
      <c r="G15" s="122" t="s">
        <v>120</v>
      </c>
      <c r="H15" s="123"/>
      <c r="I15" s="124">
        <v>140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100</v>
      </c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3489</v>
      </c>
      <c r="C16" s="65" t="s">
        <v>181</v>
      </c>
      <c r="D16" s="205"/>
      <c r="E16" s="181" t="s">
        <v>92</v>
      </c>
      <c r="F16" s="174">
        <v>1500</v>
      </c>
      <c r="G16" s="122" t="s">
        <v>127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100</v>
      </c>
      <c r="O16" s="300"/>
      <c r="P16" s="301"/>
      <c r="Q16" s="302"/>
      <c r="R16" s="82">
        <f>H32/U16</f>
        <v>0.38461538461538464</v>
      </c>
      <c r="S16" s="83">
        <f>H32/(U16-U5)</f>
        <v>0.5</v>
      </c>
      <c r="T16" s="83">
        <f>C32/U16</f>
        <v>30.894871794871797</v>
      </c>
      <c r="U16" s="83">
        <f>SUM(U5:U15)</f>
        <v>39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3490</v>
      </c>
      <c r="C17" s="18" t="s">
        <v>182</v>
      </c>
      <c r="D17" s="203" t="s">
        <v>183</v>
      </c>
      <c r="E17" s="181" t="s">
        <v>91</v>
      </c>
      <c r="F17" s="66">
        <v>1500</v>
      </c>
      <c r="G17" s="121" t="s">
        <v>44</v>
      </c>
      <c r="H17" s="123">
        <v>20</v>
      </c>
      <c r="I17" s="124"/>
      <c r="J17" s="130" t="str">
        <f t="shared" si="1"/>
        <v>55</v>
      </c>
      <c r="K17" s="130" t="str">
        <f t="shared" si="2"/>
        <v>0</v>
      </c>
      <c r="L17" s="131"/>
      <c r="M17" s="131"/>
      <c r="N17" s="134" t="s">
        <v>100</v>
      </c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3491</v>
      </c>
      <c r="C18" s="18" t="s">
        <v>184</v>
      </c>
      <c r="D18" s="203" t="s">
        <v>185</v>
      </c>
      <c r="E18" s="181" t="s">
        <v>91</v>
      </c>
      <c r="F18" s="66">
        <v>1600</v>
      </c>
      <c r="G18" s="20" t="s">
        <v>127</v>
      </c>
      <c r="H18" s="123">
        <v>55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100</v>
      </c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3492</v>
      </c>
      <c r="C19" s="18" t="s">
        <v>186</v>
      </c>
      <c r="D19" s="203"/>
      <c r="E19" s="181" t="s">
        <v>92</v>
      </c>
      <c r="F19" s="66">
        <v>1610</v>
      </c>
      <c r="G19" s="121" t="s">
        <v>103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100</v>
      </c>
      <c r="O19" s="300"/>
      <c r="P19" s="301"/>
      <c r="Q19" s="301"/>
      <c r="R19" s="93" t="s">
        <v>45</v>
      </c>
      <c r="S19" s="94">
        <f>COUNT(L5:M29,L37:M61,L69:M93)</f>
        <v>1</v>
      </c>
      <c r="T19" s="116">
        <f>SUM(L5:M29,L37:M61,L69:M93)</f>
        <v>425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1"/>
      <c r="P20" s="312"/>
      <c r="Q20" s="31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3">
        <f>((C32+(R26+S26+T26)*0.5))</f>
        <v>1204.9000000000001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22" t="s">
        <v>56</v>
      </c>
      <c r="S27" s="323"/>
      <c r="T27" s="323"/>
      <c r="U27" s="32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5"/>
      <c r="S28" s="316"/>
      <c r="T28" s="31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1"/>
      <c r="P29" s="332"/>
      <c r="Q29" s="333"/>
      <c r="R29" s="334"/>
      <c r="S29" s="335"/>
      <c r="T29" s="33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7" t="s">
        <v>48</v>
      </c>
      <c r="B30" s="338"/>
      <c r="C30" s="338"/>
      <c r="D30" s="338"/>
      <c r="E30" s="339"/>
      <c r="F30" s="338"/>
      <c r="G30" s="338"/>
      <c r="H30" s="264">
        <f t="shared" ref="H30:M30" si="3">SUM(H5:H29)</f>
        <v>280</v>
      </c>
      <c r="I30" s="105">
        <f>SUM(I5:I29)</f>
        <v>695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174.9</v>
      </c>
      <c r="L30" s="106">
        <f t="shared" si="3"/>
        <v>0</v>
      </c>
      <c r="M30" s="106">
        <f t="shared" si="3"/>
        <v>425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0"/>
      <c r="S30" s="340"/>
      <c r="T30" s="34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2" t="s">
        <v>16</v>
      </c>
      <c r="B31" s="343"/>
      <c r="C31" s="343"/>
      <c r="D31" s="343"/>
      <c r="E31" s="343"/>
      <c r="F31" s="343"/>
      <c r="G31" s="343"/>
      <c r="H31" s="265">
        <f t="shared" ref="H31:J31" si="4">H30+H62+H94</f>
        <v>280</v>
      </c>
      <c r="I31" s="103">
        <f t="shared" si="4"/>
        <v>695</v>
      </c>
      <c r="J31" s="103">
        <f t="shared" si="4"/>
        <v>55</v>
      </c>
      <c r="K31" s="103">
        <f>K30+K62+K94</f>
        <v>174.9</v>
      </c>
      <c r="L31" s="97">
        <f>L30+L62+L94</f>
        <v>0</v>
      </c>
      <c r="M31" s="97">
        <f>M30+M62+M94</f>
        <v>425</v>
      </c>
      <c r="N31" s="262">
        <f>COUNT(H5:H29,H37:H61,H69:H93)</f>
        <v>5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280</v>
      </c>
      <c r="T31" s="327">
        <f>H31+I31+L31+M31</f>
        <v>1400</v>
      </c>
      <c r="U31" s="32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8" t="s">
        <v>55</v>
      </c>
      <c r="B32" s="319"/>
      <c r="C32" s="107">
        <f>H31+I31+J31+K31</f>
        <v>1204.9000000000001</v>
      </c>
      <c r="D32" s="196"/>
      <c r="E32" s="107"/>
      <c r="F32" s="320" t="s">
        <v>53</v>
      </c>
      <c r="G32" s="320"/>
      <c r="H32" s="109">
        <f>COUNT(B5:B29,B37:B61,B69:B93)</f>
        <v>15</v>
      </c>
      <c r="I32" s="321" t="s">
        <v>54</v>
      </c>
      <c r="J32" s="321"/>
      <c r="K32" s="108">
        <f>C32/H32</f>
        <v>80.326666666666668</v>
      </c>
      <c r="L32" s="260"/>
      <c r="M32" s="260"/>
      <c r="N32" s="260">
        <f>H31/C32</f>
        <v>0.23238443024317368</v>
      </c>
      <c r="O32" s="260">
        <f>I31/C32</f>
        <v>0.57681135363930613</v>
      </c>
      <c r="P32" s="260">
        <f>K31/C32</f>
        <v>0.14515727446261101</v>
      </c>
      <c r="Q32" s="110">
        <f>J31/C32</f>
        <v>4.5646941654909116E-2</v>
      </c>
      <c r="R32" s="99" t="s">
        <v>82</v>
      </c>
      <c r="S32" s="266">
        <f>I31+M31</f>
        <v>1120</v>
      </c>
      <c r="T32" s="329"/>
      <c r="U32" s="330"/>
      <c r="V32" s="55"/>
      <c r="W32" s="55"/>
      <c r="X32" s="56" t="s">
        <v>27</v>
      </c>
      <c r="Y32" s="56"/>
      <c r="Z32" s="54">
        <f>I31</f>
        <v>695</v>
      </c>
      <c r="AE32" s="37"/>
      <c r="AF32" s="37"/>
      <c r="AG32" s="37"/>
      <c r="AH32" s="37"/>
    </row>
    <row r="33" spans="1:34" ht="17.25" thickBot="1" x14ac:dyDescent="0.35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284"/>
      <c r="U33" s="285"/>
      <c r="X33" s="57" t="s">
        <v>29</v>
      </c>
      <c r="Y33" s="57"/>
      <c r="Z33" s="58">
        <f>SUM(Z31:Z32)</f>
        <v>-2050</v>
      </c>
      <c r="AE33" s="37"/>
      <c r="AF33" s="37"/>
      <c r="AG33" s="59"/>
      <c r="AH33" s="37"/>
    </row>
    <row r="34" spans="1:34" ht="17.25" thickBot="1" x14ac:dyDescent="0.35">
      <c r="A34" s="283" t="str">
        <f>A2</f>
        <v>12 - 4 - 2022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MIX</v>
      </c>
      <c r="K34" s="285"/>
      <c r="L34" s="287" t="s">
        <v>50</v>
      </c>
      <c r="M34" s="288"/>
      <c r="N34" s="286"/>
      <c r="O34" s="284" t="str">
        <f>O2</f>
        <v>HENDRA</v>
      </c>
      <c r="P34" s="284"/>
      <c r="Q34" s="285"/>
      <c r="R34" s="287" t="s">
        <v>51</v>
      </c>
      <c r="S34" s="286"/>
      <c r="T34" s="289">
        <f>T2</f>
        <v>5</v>
      </c>
      <c r="U34" s="28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4"/>
      <c r="P53" s="300"/>
      <c r="Q53" s="30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4"/>
      <c r="P54" s="300"/>
      <c r="Q54" s="30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4"/>
      <c r="P55" s="300"/>
      <c r="Q55" s="30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5"/>
      <c r="P61" s="346"/>
      <c r="Q61" s="347"/>
      <c r="R61" s="81"/>
      <c r="S61" s="68"/>
      <c r="T61" s="68"/>
      <c r="U61" s="77"/>
    </row>
    <row r="62" spans="1:21" x14ac:dyDescent="0.3">
      <c r="A62" s="348" t="s">
        <v>48</v>
      </c>
      <c r="B62" s="349"/>
      <c r="C62" s="349"/>
      <c r="D62" s="349"/>
      <c r="E62" s="349"/>
      <c r="F62" s="349"/>
      <c r="G62" s="349"/>
      <c r="H62" s="349">
        <f t="shared" ref="H62:M62" si="8">SUM(H37:H61)</f>
        <v>0</v>
      </c>
      <c r="I62" s="354">
        <f t="shared" si="8"/>
        <v>0</v>
      </c>
      <c r="J62" s="354">
        <f>J61+J60+J59+J58+J57+J56+J55+J54+J53+J52+J51+J50+J49+J48+J47+J46+J45+J44+J43+J42+J41+J40+J39+J38+J37</f>
        <v>0</v>
      </c>
      <c r="K62" s="354">
        <f>K61+K60+K59+K58+K57+K56+K55+K54+K53+K52+K51+K50+K49+K48+K47+K46+K45+K44+K43+K42+K41+K40+K39+K38+K37</f>
        <v>0</v>
      </c>
      <c r="L62" s="357">
        <f t="shared" si="8"/>
        <v>0</v>
      </c>
      <c r="M62" s="360">
        <f t="shared" si="8"/>
        <v>0</v>
      </c>
      <c r="N62" s="363"/>
      <c r="O62" s="364"/>
      <c r="P62" s="364"/>
      <c r="Q62" s="365"/>
      <c r="R62" s="5"/>
      <c r="S62" s="6"/>
      <c r="T62" s="7"/>
      <c r="U62" s="8"/>
    </row>
    <row r="63" spans="1:21" ht="17.25" thickBot="1" x14ac:dyDescent="0.35">
      <c r="A63" s="350"/>
      <c r="B63" s="351"/>
      <c r="C63" s="351"/>
      <c r="D63" s="351"/>
      <c r="E63" s="351"/>
      <c r="F63" s="351"/>
      <c r="G63" s="351"/>
      <c r="H63" s="351"/>
      <c r="I63" s="355"/>
      <c r="J63" s="355"/>
      <c r="K63" s="355"/>
      <c r="L63" s="358"/>
      <c r="M63" s="361"/>
      <c r="N63" s="366"/>
      <c r="O63" s="367"/>
      <c r="P63" s="367"/>
      <c r="Q63" s="368"/>
      <c r="R63" s="1"/>
      <c r="S63" s="2"/>
      <c r="T63" s="3"/>
      <c r="U63" s="4"/>
    </row>
    <row r="64" spans="1:21" ht="17.25" thickBot="1" x14ac:dyDescent="0.35">
      <c r="A64" s="352"/>
      <c r="B64" s="353"/>
      <c r="C64" s="353"/>
      <c r="D64" s="353"/>
      <c r="E64" s="353"/>
      <c r="F64" s="353"/>
      <c r="G64" s="353"/>
      <c r="H64" s="353"/>
      <c r="I64" s="356"/>
      <c r="J64" s="356"/>
      <c r="K64" s="356"/>
      <c r="L64" s="359"/>
      <c r="M64" s="362"/>
      <c r="N64" s="325"/>
      <c r="O64" s="326"/>
      <c r="P64" s="326"/>
      <c r="Q64" s="369"/>
      <c r="R64" s="370" t="s">
        <v>17</v>
      </c>
      <c r="S64" s="371"/>
      <c r="T64" s="371"/>
      <c r="U64" s="372"/>
    </row>
    <row r="65" spans="1:21" ht="17.25" thickBot="1" x14ac:dyDescent="0.35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7.25" thickBot="1" x14ac:dyDescent="0.35">
      <c r="A66" s="283" t="str">
        <f>A34</f>
        <v>12 - 4 - 2022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MIX</v>
      </c>
      <c r="K66" s="285"/>
      <c r="L66" s="287" t="s">
        <v>50</v>
      </c>
      <c r="M66" s="288"/>
      <c r="N66" s="286"/>
      <c r="O66" s="284" t="str">
        <f>O34</f>
        <v>HENDRA</v>
      </c>
      <c r="P66" s="284"/>
      <c r="Q66" s="285"/>
      <c r="R66" s="287" t="s">
        <v>51</v>
      </c>
      <c r="S66" s="286"/>
      <c r="T66" s="289">
        <f>T34</f>
        <v>5</v>
      </c>
      <c r="U66" s="28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4"/>
      <c r="P85" s="300"/>
      <c r="Q85" s="30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4"/>
      <c r="P86" s="300"/>
      <c r="Q86" s="30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4"/>
      <c r="P87" s="300"/>
      <c r="Q87" s="30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5"/>
      <c r="P93" s="346"/>
      <c r="Q93" s="347"/>
      <c r="R93" s="81"/>
      <c r="S93" s="68"/>
      <c r="T93" s="68"/>
      <c r="U93" s="77"/>
    </row>
    <row r="94" spans="1:21" x14ac:dyDescent="0.3">
      <c r="A94" s="348" t="s">
        <v>48</v>
      </c>
      <c r="B94" s="349"/>
      <c r="C94" s="349"/>
      <c r="D94" s="349"/>
      <c r="E94" s="373"/>
      <c r="F94" s="349"/>
      <c r="G94" s="349"/>
      <c r="H94" s="349">
        <f t="shared" ref="H94:M94" si="12">SUM(H69:H93)</f>
        <v>0</v>
      </c>
      <c r="I94" s="354">
        <f t="shared" si="12"/>
        <v>0</v>
      </c>
      <c r="J94" s="354">
        <f>J93+J92+J91+J90+J89+J88+J87+J86+J85+J84+J83+J82+J81+J80+J79+J78+J77+J76+J75+J74+J73+J72+J71+J70+J69</f>
        <v>0</v>
      </c>
      <c r="K94" s="354">
        <f>K93+K92+K91+K90+K89+K88+K87+K86+K85+K84+K83+K82+K81+K80+K79+K78+K77+K76+K75+K74+K73+K72+K71+K70+K69</f>
        <v>0</v>
      </c>
      <c r="L94" s="357">
        <f t="shared" si="12"/>
        <v>0</v>
      </c>
      <c r="M94" s="360">
        <f t="shared" si="12"/>
        <v>0</v>
      </c>
      <c r="N94" s="363"/>
      <c r="O94" s="364"/>
      <c r="P94" s="364"/>
      <c r="Q94" s="365"/>
      <c r="R94" s="5"/>
      <c r="S94" s="6"/>
      <c r="T94" s="7"/>
      <c r="U94" s="8"/>
    </row>
    <row r="95" spans="1:21" ht="17.25" thickBot="1" x14ac:dyDescent="0.35">
      <c r="A95" s="350"/>
      <c r="B95" s="351"/>
      <c r="C95" s="351"/>
      <c r="D95" s="351"/>
      <c r="E95" s="351"/>
      <c r="F95" s="351"/>
      <c r="G95" s="351"/>
      <c r="H95" s="351"/>
      <c r="I95" s="355"/>
      <c r="J95" s="355"/>
      <c r="K95" s="355"/>
      <c r="L95" s="358"/>
      <c r="M95" s="361"/>
      <c r="N95" s="366"/>
      <c r="O95" s="367"/>
      <c r="P95" s="367"/>
      <c r="Q95" s="368"/>
      <c r="R95" s="1"/>
      <c r="S95" s="2"/>
      <c r="T95" s="3"/>
      <c r="U95" s="4"/>
    </row>
    <row r="96" spans="1:21" ht="17.25" thickBot="1" x14ac:dyDescent="0.35">
      <c r="A96" s="352"/>
      <c r="B96" s="353"/>
      <c r="C96" s="353"/>
      <c r="D96" s="353"/>
      <c r="E96" s="353"/>
      <c r="F96" s="353"/>
      <c r="G96" s="353"/>
      <c r="H96" s="353"/>
      <c r="I96" s="356"/>
      <c r="J96" s="356"/>
      <c r="K96" s="356"/>
      <c r="L96" s="359"/>
      <c r="M96" s="362"/>
      <c r="N96" s="325"/>
      <c r="O96" s="326"/>
      <c r="P96" s="326"/>
      <c r="Q96" s="369"/>
      <c r="R96" s="370" t="s">
        <v>52</v>
      </c>
      <c r="S96" s="371"/>
      <c r="T96" s="371"/>
      <c r="U96" s="372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I21" sqref="I2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7.25" thickBot="1" x14ac:dyDescent="0.35">
      <c r="A2" s="283" t="s">
        <v>187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155</v>
      </c>
      <c r="K2" s="285"/>
      <c r="L2" s="287" t="s">
        <v>96</v>
      </c>
      <c r="M2" s="288"/>
      <c r="N2" s="286"/>
      <c r="O2" s="284" t="s">
        <v>100</v>
      </c>
      <c r="P2" s="284"/>
      <c r="Q2" s="285"/>
      <c r="R2" s="287" t="s">
        <v>51</v>
      </c>
      <c r="S2" s="286"/>
      <c r="T2" s="289">
        <v>6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3493</v>
      </c>
      <c r="C5" s="68" t="s">
        <v>189</v>
      </c>
      <c r="D5" s="200" t="s">
        <v>190</v>
      </c>
      <c r="E5" s="181" t="s">
        <v>92</v>
      </c>
      <c r="F5" s="170">
        <v>900</v>
      </c>
      <c r="G5" s="118" t="s">
        <v>132</v>
      </c>
      <c r="H5" s="91"/>
      <c r="I5" s="124">
        <v>180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94"/>
      <c r="P5" s="295"/>
      <c r="Q5" s="296"/>
      <c r="R5" s="33" t="s">
        <v>100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3494</v>
      </c>
      <c r="C6" s="67" t="s">
        <v>194</v>
      </c>
      <c r="D6" s="200" t="s">
        <v>195</v>
      </c>
      <c r="E6" s="181" t="s">
        <v>92</v>
      </c>
      <c r="F6" s="171">
        <v>915</v>
      </c>
      <c r="G6" s="118" t="s">
        <v>120</v>
      </c>
      <c r="H6" s="91"/>
      <c r="I6" s="124">
        <v>120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97"/>
      <c r="P6" s="298"/>
      <c r="Q6" s="299"/>
      <c r="R6" s="132" t="s">
        <v>188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3495</v>
      </c>
      <c r="C7" s="67" t="s">
        <v>191</v>
      </c>
      <c r="D7" s="200" t="s">
        <v>192</v>
      </c>
      <c r="E7" s="181" t="s">
        <v>91</v>
      </c>
      <c r="F7" s="171">
        <v>935</v>
      </c>
      <c r="G7" s="118" t="s">
        <v>44</v>
      </c>
      <c r="H7" s="91"/>
      <c r="I7" s="124"/>
      <c r="J7" s="130">
        <v>110</v>
      </c>
      <c r="K7" s="130" t="str">
        <f t="shared" si="2"/>
        <v>0</v>
      </c>
      <c r="L7" s="131"/>
      <c r="M7" s="131"/>
      <c r="N7" s="134" t="s">
        <v>100</v>
      </c>
      <c r="O7" s="300" t="s">
        <v>193</v>
      </c>
      <c r="P7" s="301"/>
      <c r="Q7" s="302"/>
      <c r="R7" s="134" t="s">
        <v>102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3496</v>
      </c>
      <c r="C8" s="27" t="s">
        <v>196</v>
      </c>
      <c r="D8" s="200" t="s">
        <v>197</v>
      </c>
      <c r="E8" s="181" t="s">
        <v>91</v>
      </c>
      <c r="F8" s="171">
        <v>1020</v>
      </c>
      <c r="G8" s="118" t="s">
        <v>127</v>
      </c>
      <c r="H8" s="91">
        <v>55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03"/>
      <c r="P8" s="304"/>
      <c r="Q8" s="305"/>
      <c r="R8" s="26" t="s">
        <v>156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3497</v>
      </c>
      <c r="C9" s="63" t="s">
        <v>206</v>
      </c>
      <c r="D9" s="201" t="s">
        <v>207</v>
      </c>
      <c r="E9" s="181" t="s">
        <v>92</v>
      </c>
      <c r="F9" s="172">
        <v>1045</v>
      </c>
      <c r="G9" s="119" t="s">
        <v>127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03"/>
      <c r="P9" s="304"/>
      <c r="Q9" s="305"/>
      <c r="R9" s="26" t="s">
        <v>101</v>
      </c>
      <c r="S9" s="31">
        <v>0.39583333333333331</v>
      </c>
      <c r="T9" s="32">
        <v>0.70833333333333337</v>
      </c>
      <c r="U9" s="92">
        <f t="shared" si="0"/>
        <v>7.5000000000000018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3498</v>
      </c>
      <c r="C10" s="28" t="s">
        <v>204</v>
      </c>
      <c r="D10" s="202" t="s">
        <v>205</v>
      </c>
      <c r="E10" s="181" t="s">
        <v>92</v>
      </c>
      <c r="F10" s="173">
        <v>1045</v>
      </c>
      <c r="G10" s="120" t="s">
        <v>127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90"/>
      <c r="P10" s="291"/>
      <c r="Q10" s="292"/>
      <c r="R10" s="26" t="s">
        <v>104</v>
      </c>
      <c r="S10" s="31">
        <v>0.4375</v>
      </c>
      <c r="T10" s="32">
        <v>0.70833333333333337</v>
      </c>
      <c r="U10" s="92">
        <f t="shared" si="0"/>
        <v>6.5000000000000009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3499</v>
      </c>
      <c r="C11" s="18" t="s">
        <v>198</v>
      </c>
      <c r="D11" s="203" t="s">
        <v>199</v>
      </c>
      <c r="E11" s="181" t="s">
        <v>92</v>
      </c>
      <c r="F11" s="66">
        <v>1130</v>
      </c>
      <c r="G11" s="121" t="s">
        <v>127</v>
      </c>
      <c r="H11" s="123"/>
      <c r="I11" s="124">
        <v>70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100</v>
      </c>
      <c r="O11" s="300"/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3500</v>
      </c>
      <c r="C12" s="64" t="s">
        <v>200</v>
      </c>
      <c r="D12" s="204" t="s">
        <v>201</v>
      </c>
      <c r="E12" s="181" t="s">
        <v>92</v>
      </c>
      <c r="F12" s="173">
        <v>1140</v>
      </c>
      <c r="G12" s="119" t="s">
        <v>202</v>
      </c>
      <c r="H12" s="123"/>
      <c r="I12" s="125"/>
      <c r="J12" s="130" t="str">
        <f t="shared" si="1"/>
        <v>0</v>
      </c>
      <c r="K12" s="130" t="str">
        <f t="shared" si="2"/>
        <v>45.8</v>
      </c>
      <c r="L12" s="131"/>
      <c r="M12" s="131"/>
      <c r="N12" s="134" t="s">
        <v>100</v>
      </c>
      <c r="O12" s="300" t="s">
        <v>203</v>
      </c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3501</v>
      </c>
      <c r="C13" s="64" t="s">
        <v>208</v>
      </c>
      <c r="D13" s="204" t="s">
        <v>209</v>
      </c>
      <c r="E13" s="181" t="s">
        <v>91</v>
      </c>
      <c r="F13" s="173">
        <v>1200</v>
      </c>
      <c r="G13" s="119" t="s">
        <v>44</v>
      </c>
      <c r="H13" s="169"/>
      <c r="I13" s="168"/>
      <c r="J13" s="130" t="str">
        <f t="shared" si="1"/>
        <v>55</v>
      </c>
      <c r="K13" s="130" t="str">
        <f t="shared" si="2"/>
        <v>0</v>
      </c>
      <c r="L13" s="131"/>
      <c r="M13" s="131"/>
      <c r="N13" s="134" t="s">
        <v>100</v>
      </c>
      <c r="O13" s="300">
        <v>202112001</v>
      </c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3502</v>
      </c>
      <c r="C14" s="65" t="s">
        <v>210</v>
      </c>
      <c r="D14" s="205" t="s">
        <v>211</v>
      </c>
      <c r="E14" s="181" t="s">
        <v>92</v>
      </c>
      <c r="F14" s="174">
        <v>1245</v>
      </c>
      <c r="G14" s="122" t="s">
        <v>103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267">
        <v>11</v>
      </c>
      <c r="B15" s="273">
        <v>3503</v>
      </c>
      <c r="C15" s="269" t="s">
        <v>212</v>
      </c>
      <c r="D15" s="270" t="s">
        <v>213</v>
      </c>
      <c r="E15" s="271" t="s">
        <v>92</v>
      </c>
      <c r="F15" s="272">
        <v>1255</v>
      </c>
      <c r="G15" s="273" t="s">
        <v>103</v>
      </c>
      <c r="H15" s="274"/>
      <c r="I15" s="275"/>
      <c r="J15" s="275" t="str">
        <f t="shared" si="1"/>
        <v>0</v>
      </c>
      <c r="K15" s="275" t="str">
        <f t="shared" si="2"/>
        <v>0</v>
      </c>
      <c r="L15" s="276"/>
      <c r="M15" s="276">
        <v>475</v>
      </c>
      <c r="N15" s="277" t="s">
        <v>100</v>
      </c>
      <c r="O15" s="308" t="s">
        <v>214</v>
      </c>
      <c r="P15" s="309"/>
      <c r="Q15" s="31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3504</v>
      </c>
      <c r="C16" s="65" t="s">
        <v>215</v>
      </c>
      <c r="D16" s="205" t="s">
        <v>216</v>
      </c>
      <c r="E16" s="181" t="s">
        <v>91</v>
      </c>
      <c r="F16" s="174">
        <v>1330</v>
      </c>
      <c r="G16" s="122" t="s">
        <v>103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100</v>
      </c>
      <c r="O16" s="300"/>
      <c r="P16" s="301"/>
      <c r="Q16" s="302"/>
      <c r="R16" s="82">
        <f>H32/U16</f>
        <v>0.38297872340425532</v>
      </c>
      <c r="S16" s="83">
        <f>H32/(U16-U5)</f>
        <v>0.47368421052631576</v>
      </c>
      <c r="T16" s="83">
        <f>C32/U16</f>
        <v>31.929787234042553</v>
      </c>
      <c r="U16" s="83">
        <f>SUM(U5:U15)</f>
        <v>47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3505</v>
      </c>
      <c r="C17" s="18" t="s">
        <v>217</v>
      </c>
      <c r="D17" s="203" t="s">
        <v>218</v>
      </c>
      <c r="E17" s="181" t="s">
        <v>91</v>
      </c>
      <c r="F17" s="66">
        <v>1400</v>
      </c>
      <c r="G17" s="121" t="s">
        <v>120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100</v>
      </c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3506</v>
      </c>
      <c r="C18" s="18" t="s">
        <v>219</v>
      </c>
      <c r="D18" s="203" t="s">
        <v>220</v>
      </c>
      <c r="E18" s="181" t="s">
        <v>92</v>
      </c>
      <c r="F18" s="66">
        <v>1410</v>
      </c>
      <c r="G18" s="20" t="s">
        <v>202</v>
      </c>
      <c r="H18" s="123"/>
      <c r="I18" s="124"/>
      <c r="J18" s="130" t="str">
        <f t="shared" si="1"/>
        <v>0</v>
      </c>
      <c r="K18" s="130">
        <v>91.6</v>
      </c>
      <c r="L18" s="131"/>
      <c r="M18" s="131"/>
      <c r="N18" s="134" t="s">
        <v>100</v>
      </c>
      <c r="O18" s="300" t="s">
        <v>221</v>
      </c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3507</v>
      </c>
      <c r="C19" s="18" t="s">
        <v>222</v>
      </c>
      <c r="D19" s="203" t="s">
        <v>223</v>
      </c>
      <c r="E19" s="181" t="s">
        <v>91</v>
      </c>
      <c r="F19" s="66">
        <v>1410</v>
      </c>
      <c r="G19" s="121" t="s">
        <v>111</v>
      </c>
      <c r="H19" s="123"/>
      <c r="I19" s="124"/>
      <c r="J19" s="130" t="str">
        <f t="shared" si="1"/>
        <v>0</v>
      </c>
      <c r="K19" s="130" t="str">
        <f t="shared" si="2"/>
        <v>58.3</v>
      </c>
      <c r="L19" s="131"/>
      <c r="M19" s="131"/>
      <c r="N19" s="134" t="s">
        <v>100</v>
      </c>
      <c r="O19" s="300" t="s">
        <v>224</v>
      </c>
      <c r="P19" s="301"/>
      <c r="Q19" s="301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3508</v>
      </c>
      <c r="C20" s="18" t="s">
        <v>225</v>
      </c>
      <c r="D20" s="203" t="s">
        <v>226</v>
      </c>
      <c r="E20" s="181" t="s">
        <v>92</v>
      </c>
      <c r="F20" s="66">
        <v>1415</v>
      </c>
      <c r="G20" s="121" t="s">
        <v>103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100</v>
      </c>
      <c r="O20" s="311"/>
      <c r="P20" s="312"/>
      <c r="Q20" s="31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3509</v>
      </c>
      <c r="C21" s="18" t="s">
        <v>227</v>
      </c>
      <c r="D21" s="203" t="s">
        <v>228</v>
      </c>
      <c r="E21" s="181" t="s">
        <v>92</v>
      </c>
      <c r="F21" s="66">
        <v>1530</v>
      </c>
      <c r="G21" s="20" t="s">
        <v>127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100</v>
      </c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3510</v>
      </c>
      <c r="C22" s="127" t="s">
        <v>229</v>
      </c>
      <c r="D22" s="206" t="s">
        <v>230</v>
      </c>
      <c r="E22" s="181" t="s">
        <v>91</v>
      </c>
      <c r="F22" s="175">
        <v>1555</v>
      </c>
      <c r="G22" s="263" t="s">
        <v>103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100</v>
      </c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3">
        <f>((C32+(R26+S26+T26)*0.5))</f>
        <v>1500.7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22" t="s">
        <v>56</v>
      </c>
      <c r="S27" s="323"/>
      <c r="T27" s="323"/>
      <c r="U27" s="32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5"/>
      <c r="S28" s="316"/>
      <c r="T28" s="31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1"/>
      <c r="P29" s="332"/>
      <c r="Q29" s="333"/>
      <c r="R29" s="334"/>
      <c r="S29" s="335"/>
      <c r="T29" s="33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7" t="s">
        <v>48</v>
      </c>
      <c r="B30" s="338"/>
      <c r="C30" s="338"/>
      <c r="D30" s="338"/>
      <c r="E30" s="339"/>
      <c r="F30" s="338"/>
      <c r="G30" s="338"/>
      <c r="H30" s="264">
        <f t="shared" ref="H30:M30" si="3">SUM(H5:H29)</f>
        <v>110</v>
      </c>
      <c r="I30" s="105">
        <f>SUM(I5:I29)</f>
        <v>1030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195.7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0"/>
      <c r="S30" s="340"/>
      <c r="T30" s="34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2" t="s">
        <v>16</v>
      </c>
      <c r="B31" s="343"/>
      <c r="C31" s="343"/>
      <c r="D31" s="343"/>
      <c r="E31" s="343"/>
      <c r="F31" s="343"/>
      <c r="G31" s="343"/>
      <c r="H31" s="265">
        <f t="shared" ref="H31:J31" si="4">H30+H62+H94</f>
        <v>110</v>
      </c>
      <c r="I31" s="103">
        <f t="shared" si="4"/>
        <v>1030</v>
      </c>
      <c r="J31" s="103">
        <f t="shared" si="4"/>
        <v>165</v>
      </c>
      <c r="K31" s="103">
        <f>K30+K62+K94</f>
        <v>195.7</v>
      </c>
      <c r="L31" s="97">
        <f>L30+L62+L94</f>
        <v>0</v>
      </c>
      <c r="M31" s="97">
        <f>M30+M62+M94</f>
        <v>475</v>
      </c>
      <c r="N31" s="262">
        <f>COUNT(H5:H29,H37:H61,H69:H93)</f>
        <v>2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110</v>
      </c>
      <c r="T31" s="327">
        <f>H31+I31+L31+M31</f>
        <v>1615</v>
      </c>
      <c r="U31" s="32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8" t="s">
        <v>55</v>
      </c>
      <c r="B32" s="319"/>
      <c r="C32" s="107">
        <f>H31+I31+J31+K31</f>
        <v>1500.7</v>
      </c>
      <c r="D32" s="196"/>
      <c r="E32" s="107"/>
      <c r="F32" s="320" t="s">
        <v>53</v>
      </c>
      <c r="G32" s="320"/>
      <c r="H32" s="109">
        <f>COUNT(B5:B29,B37:B61,B69:B93)</f>
        <v>18</v>
      </c>
      <c r="I32" s="321" t="s">
        <v>54</v>
      </c>
      <c r="J32" s="321"/>
      <c r="K32" s="108">
        <f>C32/H32</f>
        <v>83.37222222222222</v>
      </c>
      <c r="L32" s="260"/>
      <c r="M32" s="260"/>
      <c r="N32" s="260">
        <f>H31/C32</f>
        <v>7.3299127074032119E-2</v>
      </c>
      <c r="O32" s="260">
        <f>I31/C32</f>
        <v>0.68634637169320978</v>
      </c>
      <c r="P32" s="260">
        <f>K31/C32</f>
        <v>0.13040581062170986</v>
      </c>
      <c r="Q32" s="110">
        <f>J31/C32</f>
        <v>0.10994869061104817</v>
      </c>
      <c r="R32" s="99" t="s">
        <v>82</v>
      </c>
      <c r="S32" s="266">
        <f>I31+M31</f>
        <v>1505</v>
      </c>
      <c r="T32" s="329"/>
      <c r="U32" s="330"/>
      <c r="V32" s="55"/>
      <c r="W32" s="55"/>
      <c r="X32" s="56" t="s">
        <v>27</v>
      </c>
      <c r="Y32" s="56"/>
      <c r="Z32" s="54">
        <f>I31</f>
        <v>1030</v>
      </c>
      <c r="AE32" s="37"/>
      <c r="AF32" s="37"/>
      <c r="AG32" s="37"/>
      <c r="AH32" s="37"/>
    </row>
    <row r="33" spans="1:34" ht="17.25" thickBot="1" x14ac:dyDescent="0.35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284"/>
      <c r="U33" s="285"/>
      <c r="X33" s="57" t="s">
        <v>29</v>
      </c>
      <c r="Y33" s="57"/>
      <c r="Z33" s="58">
        <f>SUM(Z31:Z32)</f>
        <v>-1715</v>
      </c>
      <c r="AE33" s="37"/>
      <c r="AF33" s="37"/>
      <c r="AG33" s="59"/>
      <c r="AH33" s="37"/>
    </row>
    <row r="34" spans="1:34" ht="17.25" thickBot="1" x14ac:dyDescent="0.35">
      <c r="A34" s="283" t="str">
        <f>A2</f>
        <v>13 - 4 - 2022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MIX</v>
      </c>
      <c r="K34" s="285"/>
      <c r="L34" s="287" t="s">
        <v>50</v>
      </c>
      <c r="M34" s="288"/>
      <c r="N34" s="286"/>
      <c r="O34" s="284" t="str">
        <f>O2</f>
        <v>HENDRA</v>
      </c>
      <c r="P34" s="284"/>
      <c r="Q34" s="285"/>
      <c r="R34" s="287" t="s">
        <v>51</v>
      </c>
      <c r="S34" s="286"/>
      <c r="T34" s="289">
        <f>T2</f>
        <v>6</v>
      </c>
      <c r="U34" s="28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4"/>
      <c r="P53" s="300"/>
      <c r="Q53" s="30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4"/>
      <c r="P54" s="300"/>
      <c r="Q54" s="30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4"/>
      <c r="P55" s="300"/>
      <c r="Q55" s="30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5"/>
      <c r="P61" s="346"/>
      <c r="Q61" s="347"/>
      <c r="R61" s="81"/>
      <c r="S61" s="68"/>
      <c r="T61" s="68"/>
      <c r="U61" s="77"/>
    </row>
    <row r="62" spans="1:21" x14ac:dyDescent="0.3">
      <c r="A62" s="348" t="s">
        <v>48</v>
      </c>
      <c r="B62" s="349"/>
      <c r="C62" s="349"/>
      <c r="D62" s="349"/>
      <c r="E62" s="349"/>
      <c r="F62" s="349"/>
      <c r="G62" s="349"/>
      <c r="H62" s="349">
        <f t="shared" ref="H62:M62" si="8">SUM(H37:H61)</f>
        <v>0</v>
      </c>
      <c r="I62" s="354">
        <f t="shared" si="8"/>
        <v>0</v>
      </c>
      <c r="J62" s="354">
        <f>J61+J60+J59+J58+J57+J56+J55+J54+J53+J52+J51+J50+J49+J48+J47+J46+J45+J44+J43+J42+J41+J40+J39+J38+J37</f>
        <v>0</v>
      </c>
      <c r="K62" s="354">
        <f>K61+K60+K59+K58+K57+K56+K55+K54+K53+K52+K51+K50+K49+K48+K47+K46+K45+K44+K43+K42+K41+K40+K39+K38+K37</f>
        <v>0</v>
      </c>
      <c r="L62" s="357">
        <f t="shared" si="8"/>
        <v>0</v>
      </c>
      <c r="M62" s="360">
        <f t="shared" si="8"/>
        <v>0</v>
      </c>
      <c r="N62" s="363"/>
      <c r="O62" s="364"/>
      <c r="P62" s="364"/>
      <c r="Q62" s="365"/>
      <c r="R62" s="5"/>
      <c r="S62" s="6"/>
      <c r="T62" s="7"/>
      <c r="U62" s="8"/>
    </row>
    <row r="63" spans="1:21" ht="17.25" thickBot="1" x14ac:dyDescent="0.35">
      <c r="A63" s="350"/>
      <c r="B63" s="351"/>
      <c r="C63" s="351"/>
      <c r="D63" s="351"/>
      <c r="E63" s="351"/>
      <c r="F63" s="351"/>
      <c r="G63" s="351"/>
      <c r="H63" s="351"/>
      <c r="I63" s="355"/>
      <c r="J63" s="355"/>
      <c r="K63" s="355"/>
      <c r="L63" s="358"/>
      <c r="M63" s="361"/>
      <c r="N63" s="366"/>
      <c r="O63" s="367"/>
      <c r="P63" s="367"/>
      <c r="Q63" s="368"/>
      <c r="R63" s="1"/>
      <c r="S63" s="2"/>
      <c r="T63" s="3"/>
      <c r="U63" s="4"/>
    </row>
    <row r="64" spans="1:21" ht="17.25" thickBot="1" x14ac:dyDescent="0.35">
      <c r="A64" s="352"/>
      <c r="B64" s="353"/>
      <c r="C64" s="353"/>
      <c r="D64" s="353"/>
      <c r="E64" s="353"/>
      <c r="F64" s="353"/>
      <c r="G64" s="353"/>
      <c r="H64" s="353"/>
      <c r="I64" s="356"/>
      <c r="J64" s="356"/>
      <c r="K64" s="356"/>
      <c r="L64" s="359"/>
      <c r="M64" s="362"/>
      <c r="N64" s="325"/>
      <c r="O64" s="326"/>
      <c r="P64" s="326"/>
      <c r="Q64" s="369"/>
      <c r="R64" s="370" t="s">
        <v>17</v>
      </c>
      <c r="S64" s="371"/>
      <c r="T64" s="371"/>
      <c r="U64" s="372"/>
    </row>
    <row r="65" spans="1:21" ht="17.25" thickBot="1" x14ac:dyDescent="0.35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7.25" thickBot="1" x14ac:dyDescent="0.35">
      <c r="A66" s="283" t="str">
        <f>A34</f>
        <v>13 - 4 - 2022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MIX</v>
      </c>
      <c r="K66" s="285"/>
      <c r="L66" s="287" t="s">
        <v>50</v>
      </c>
      <c r="M66" s="288"/>
      <c r="N66" s="286"/>
      <c r="O66" s="284" t="str">
        <f>O34</f>
        <v>HENDRA</v>
      </c>
      <c r="P66" s="284"/>
      <c r="Q66" s="285"/>
      <c r="R66" s="287" t="s">
        <v>51</v>
      </c>
      <c r="S66" s="286"/>
      <c r="T66" s="289">
        <f>T34</f>
        <v>6</v>
      </c>
      <c r="U66" s="28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4"/>
      <c r="P85" s="300"/>
      <c r="Q85" s="30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4"/>
      <c r="P86" s="300"/>
      <c r="Q86" s="30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4"/>
      <c r="P87" s="300"/>
      <c r="Q87" s="30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5"/>
      <c r="P93" s="346"/>
      <c r="Q93" s="347"/>
      <c r="R93" s="81"/>
      <c r="S93" s="68"/>
      <c r="T93" s="68"/>
      <c r="U93" s="77"/>
    </row>
    <row r="94" spans="1:21" x14ac:dyDescent="0.3">
      <c r="A94" s="348" t="s">
        <v>48</v>
      </c>
      <c r="B94" s="349"/>
      <c r="C94" s="349"/>
      <c r="D94" s="349"/>
      <c r="E94" s="373"/>
      <c r="F94" s="349"/>
      <c r="G94" s="349"/>
      <c r="H94" s="349">
        <f t="shared" ref="H94:M94" si="12">SUM(H69:H93)</f>
        <v>0</v>
      </c>
      <c r="I94" s="354">
        <f t="shared" si="12"/>
        <v>0</v>
      </c>
      <c r="J94" s="354">
        <f>J93+J92+J91+J90+J89+J88+J87+J86+J85+J84+J83+J82+J81+J80+J79+J78+J77+J76+J75+J74+J73+J72+J71+J70+J69</f>
        <v>0</v>
      </c>
      <c r="K94" s="354">
        <f>K93+K92+K91+K90+K89+K88+K87+K86+K85+K84+K83+K82+K81+K80+K79+K78+K77+K76+K75+K74+K73+K72+K71+K70+K69</f>
        <v>0</v>
      </c>
      <c r="L94" s="357">
        <f t="shared" si="12"/>
        <v>0</v>
      </c>
      <c r="M94" s="360">
        <f t="shared" si="12"/>
        <v>0</v>
      </c>
      <c r="N94" s="363"/>
      <c r="O94" s="364"/>
      <c r="P94" s="364"/>
      <c r="Q94" s="365"/>
      <c r="R94" s="5"/>
      <c r="S94" s="6"/>
      <c r="T94" s="7"/>
      <c r="U94" s="8"/>
    </row>
    <row r="95" spans="1:21" ht="17.25" thickBot="1" x14ac:dyDescent="0.35">
      <c r="A95" s="350"/>
      <c r="B95" s="351"/>
      <c r="C95" s="351"/>
      <c r="D95" s="351"/>
      <c r="E95" s="351"/>
      <c r="F95" s="351"/>
      <c r="G95" s="351"/>
      <c r="H95" s="351"/>
      <c r="I95" s="355"/>
      <c r="J95" s="355"/>
      <c r="K95" s="355"/>
      <c r="L95" s="358"/>
      <c r="M95" s="361"/>
      <c r="N95" s="366"/>
      <c r="O95" s="367"/>
      <c r="P95" s="367"/>
      <c r="Q95" s="368"/>
      <c r="R95" s="1"/>
      <c r="S95" s="2"/>
      <c r="T95" s="3"/>
      <c r="U95" s="4"/>
    </row>
    <row r="96" spans="1:21" ht="17.25" thickBot="1" x14ac:dyDescent="0.35">
      <c r="A96" s="352"/>
      <c r="B96" s="353"/>
      <c r="C96" s="353"/>
      <c r="D96" s="353"/>
      <c r="E96" s="353"/>
      <c r="F96" s="353"/>
      <c r="G96" s="353"/>
      <c r="H96" s="353"/>
      <c r="I96" s="356"/>
      <c r="J96" s="356"/>
      <c r="K96" s="356"/>
      <c r="L96" s="359"/>
      <c r="M96" s="362"/>
      <c r="N96" s="325"/>
      <c r="O96" s="326"/>
      <c r="P96" s="326"/>
      <c r="Q96" s="369"/>
      <c r="R96" s="370" t="s">
        <v>52</v>
      </c>
      <c r="S96" s="371"/>
      <c r="T96" s="371"/>
      <c r="U96" s="372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topLeftCell="A5" zoomScaleNormal="100" zoomScaleSheetLayoutView="77" workbookViewId="0">
      <selection activeCell="R29" sqref="R29:T2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7.25" thickBot="1" x14ac:dyDescent="0.35">
      <c r="A2" s="283" t="s">
        <v>231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99</v>
      </c>
      <c r="K2" s="285"/>
      <c r="L2" s="287" t="s">
        <v>96</v>
      </c>
      <c r="M2" s="288"/>
      <c r="N2" s="286"/>
      <c r="O2" s="284" t="s">
        <v>100</v>
      </c>
      <c r="P2" s="284"/>
      <c r="Q2" s="285"/>
      <c r="R2" s="287" t="s">
        <v>51</v>
      </c>
      <c r="S2" s="286"/>
      <c r="T2" s="289">
        <v>7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3511</v>
      </c>
      <c r="C5" s="68" t="s">
        <v>232</v>
      </c>
      <c r="D5" s="200"/>
      <c r="E5" s="181" t="s">
        <v>92</v>
      </c>
      <c r="F5" s="170">
        <v>820</v>
      </c>
      <c r="G5" s="118" t="s">
        <v>44</v>
      </c>
      <c r="H5" s="91">
        <v>20</v>
      </c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94">
        <v>202203065</v>
      </c>
      <c r="P5" s="295"/>
      <c r="Q5" s="296"/>
      <c r="R5" s="33" t="s">
        <v>100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3512</v>
      </c>
      <c r="C6" s="67" t="s">
        <v>233</v>
      </c>
      <c r="D6" s="200" t="s">
        <v>234</v>
      </c>
      <c r="E6" s="181" t="s">
        <v>92</v>
      </c>
      <c r="F6" s="171">
        <v>900</v>
      </c>
      <c r="G6" s="118" t="s">
        <v>127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97"/>
      <c r="P6" s="298"/>
      <c r="Q6" s="299"/>
      <c r="R6" s="132" t="s">
        <v>188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3513</v>
      </c>
      <c r="C7" s="67" t="s">
        <v>235</v>
      </c>
      <c r="D7" s="200" t="s">
        <v>236</v>
      </c>
      <c r="E7" s="181" t="s">
        <v>92</v>
      </c>
      <c r="F7" s="171">
        <v>855</v>
      </c>
      <c r="G7" s="118" t="s">
        <v>103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0"/>
      <c r="P7" s="301"/>
      <c r="Q7" s="302"/>
      <c r="R7" s="134" t="s">
        <v>102</v>
      </c>
      <c r="S7" s="31">
        <v>0.38541666666666669</v>
      </c>
      <c r="T7" s="32">
        <v>0.71875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3514</v>
      </c>
      <c r="C8" s="27" t="s">
        <v>237</v>
      </c>
      <c r="D8" s="200" t="s">
        <v>238</v>
      </c>
      <c r="E8" s="181" t="s">
        <v>92</v>
      </c>
      <c r="F8" s="171">
        <v>930</v>
      </c>
      <c r="G8" s="118" t="s">
        <v>127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03"/>
      <c r="P8" s="304"/>
      <c r="Q8" s="305"/>
      <c r="R8" s="26" t="s">
        <v>156</v>
      </c>
      <c r="S8" s="31">
        <v>0.375</v>
      </c>
      <c r="T8" s="32">
        <v>0.71875</v>
      </c>
      <c r="U8" s="92">
        <f t="shared" si="0"/>
        <v>8.25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3515</v>
      </c>
      <c r="C9" s="63" t="s">
        <v>239</v>
      </c>
      <c r="D9" s="201" t="s">
        <v>240</v>
      </c>
      <c r="E9" s="181" t="s">
        <v>92</v>
      </c>
      <c r="F9" s="172">
        <v>950</v>
      </c>
      <c r="G9" s="119" t="s">
        <v>127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03"/>
      <c r="P9" s="304"/>
      <c r="Q9" s="305"/>
      <c r="R9" s="26" t="s">
        <v>101</v>
      </c>
      <c r="S9" s="31">
        <v>0.375</v>
      </c>
      <c r="T9" s="32">
        <v>0.71875</v>
      </c>
      <c r="U9" s="92">
        <f t="shared" si="0"/>
        <v>8.25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3516</v>
      </c>
      <c r="C10" s="28" t="s">
        <v>241</v>
      </c>
      <c r="D10" s="202" t="s">
        <v>242</v>
      </c>
      <c r="E10" s="181" t="s">
        <v>92</v>
      </c>
      <c r="F10" s="173">
        <v>955</v>
      </c>
      <c r="G10" s="120" t="s">
        <v>120</v>
      </c>
      <c r="H10" s="123"/>
      <c r="I10" s="125">
        <v>120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90"/>
      <c r="P10" s="291"/>
      <c r="Q10" s="292"/>
      <c r="R10" s="26" t="s">
        <v>105</v>
      </c>
      <c r="S10" s="31">
        <v>0.38541666666666669</v>
      </c>
      <c r="T10" s="32">
        <v>0.70833333333333337</v>
      </c>
      <c r="U10" s="92">
        <f t="shared" si="0"/>
        <v>7.75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3517</v>
      </c>
      <c r="C11" s="18" t="s">
        <v>243</v>
      </c>
      <c r="D11" s="203" t="s">
        <v>244</v>
      </c>
      <c r="E11" s="181" t="s">
        <v>92</v>
      </c>
      <c r="F11" s="66">
        <v>1000</v>
      </c>
      <c r="G11" s="121" t="s">
        <v>44</v>
      </c>
      <c r="H11" s="123"/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100</v>
      </c>
      <c r="O11" s="300">
        <v>202202071</v>
      </c>
      <c r="P11" s="301"/>
      <c r="Q11" s="302"/>
      <c r="R11" s="26" t="s">
        <v>104</v>
      </c>
      <c r="S11" s="31">
        <v>0.45833333333333331</v>
      </c>
      <c r="T11" s="32">
        <v>0.70833333333333337</v>
      </c>
      <c r="U11" s="92">
        <f t="shared" si="0"/>
        <v>6.0000000000000018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67">
        <v>8</v>
      </c>
      <c r="B12" s="268">
        <v>3518</v>
      </c>
      <c r="C12" s="278" t="s">
        <v>245</v>
      </c>
      <c r="D12" s="279" t="s">
        <v>246</v>
      </c>
      <c r="E12" s="271" t="s">
        <v>92</v>
      </c>
      <c r="F12" s="280">
        <v>1000</v>
      </c>
      <c r="G12" s="268" t="s">
        <v>137</v>
      </c>
      <c r="H12" s="274"/>
      <c r="I12" s="274">
        <v>330</v>
      </c>
      <c r="J12" s="275" t="str">
        <f t="shared" si="1"/>
        <v>0</v>
      </c>
      <c r="K12" s="275" t="str">
        <f t="shared" si="2"/>
        <v>0</v>
      </c>
      <c r="L12" s="276"/>
      <c r="M12" s="276"/>
      <c r="N12" s="277" t="s">
        <v>100</v>
      </c>
      <c r="O12" s="308" t="s">
        <v>78</v>
      </c>
      <c r="P12" s="309"/>
      <c r="Q12" s="31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3519</v>
      </c>
      <c r="C13" s="64" t="s">
        <v>247</v>
      </c>
      <c r="D13" s="204" t="s">
        <v>248</v>
      </c>
      <c r="E13" s="181" t="s">
        <v>91</v>
      </c>
      <c r="F13" s="173">
        <v>1005</v>
      </c>
      <c r="G13" s="119" t="s">
        <v>103</v>
      </c>
      <c r="H13" s="169">
        <v>100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3520</v>
      </c>
      <c r="C14" s="65" t="s">
        <v>249</v>
      </c>
      <c r="D14" s="205" t="s">
        <v>250</v>
      </c>
      <c r="E14" s="181" t="s">
        <v>91</v>
      </c>
      <c r="F14" s="174">
        <v>1045</v>
      </c>
      <c r="G14" s="122" t="s">
        <v>127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300" t="s">
        <v>251</v>
      </c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3521</v>
      </c>
      <c r="C15" s="65" t="s">
        <v>252</v>
      </c>
      <c r="D15" s="205" t="s">
        <v>253</v>
      </c>
      <c r="E15" s="181" t="s">
        <v>92</v>
      </c>
      <c r="F15" s="174">
        <v>1045</v>
      </c>
      <c r="G15" s="122" t="s">
        <v>254</v>
      </c>
      <c r="H15" s="123"/>
      <c r="I15" s="124">
        <v>45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100</v>
      </c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3522</v>
      </c>
      <c r="C16" s="65" t="s">
        <v>255</v>
      </c>
      <c r="D16" s="205" t="s">
        <v>256</v>
      </c>
      <c r="E16" s="181" t="s">
        <v>91</v>
      </c>
      <c r="F16" s="174">
        <v>1100</v>
      </c>
      <c r="G16" s="122" t="s">
        <v>127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100</v>
      </c>
      <c r="O16" s="300"/>
      <c r="P16" s="301"/>
      <c r="Q16" s="302"/>
      <c r="R16" s="82">
        <f>H32/U16</f>
        <v>0.44052863436123346</v>
      </c>
      <c r="S16" s="83">
        <f>H32/(U16-U5)</f>
        <v>0.52631578947368418</v>
      </c>
      <c r="T16" s="83">
        <f>C32/U16</f>
        <v>47.562290748898675</v>
      </c>
      <c r="U16" s="83">
        <f>SUM(U5:U15)</f>
        <v>56.75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3523</v>
      </c>
      <c r="C17" s="18" t="s">
        <v>259</v>
      </c>
      <c r="D17" s="203" t="s">
        <v>260</v>
      </c>
      <c r="E17" s="181" t="s">
        <v>92</v>
      </c>
      <c r="F17" s="66">
        <v>1100</v>
      </c>
      <c r="G17" s="121" t="s">
        <v>103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100</v>
      </c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3524</v>
      </c>
      <c r="C18" s="18" t="s">
        <v>257</v>
      </c>
      <c r="D18" s="203" t="s">
        <v>258</v>
      </c>
      <c r="E18" s="181" t="s">
        <v>92</v>
      </c>
      <c r="F18" s="66">
        <v>1120</v>
      </c>
      <c r="G18" s="20" t="s">
        <v>127</v>
      </c>
      <c r="H18" s="123"/>
      <c r="I18" s="281">
        <v>55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100</v>
      </c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3525</v>
      </c>
      <c r="C19" s="18" t="s">
        <v>261</v>
      </c>
      <c r="D19" s="203" t="s">
        <v>262</v>
      </c>
      <c r="E19" s="181" t="s">
        <v>91</v>
      </c>
      <c r="F19" s="66">
        <v>1240</v>
      </c>
      <c r="G19" s="121" t="s">
        <v>202</v>
      </c>
      <c r="H19" s="123">
        <v>100</v>
      </c>
      <c r="I19" s="124"/>
      <c r="J19" s="130" t="str">
        <f t="shared" si="1"/>
        <v>0</v>
      </c>
      <c r="K19" s="130">
        <v>100</v>
      </c>
      <c r="L19" s="131"/>
      <c r="M19" s="131"/>
      <c r="N19" s="134" t="s">
        <v>100</v>
      </c>
      <c r="O19" s="300" t="s">
        <v>263</v>
      </c>
      <c r="P19" s="301"/>
      <c r="Q19" s="30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3526</v>
      </c>
      <c r="C20" s="18" t="s">
        <v>266</v>
      </c>
      <c r="D20" s="203" t="s">
        <v>267</v>
      </c>
      <c r="E20" s="181" t="s">
        <v>92</v>
      </c>
      <c r="F20" s="66">
        <v>1220</v>
      </c>
      <c r="G20" s="121" t="s">
        <v>111</v>
      </c>
      <c r="H20" s="123"/>
      <c r="I20" s="219">
        <v>60</v>
      </c>
      <c r="J20" s="130" t="str">
        <f t="shared" si="1"/>
        <v>0</v>
      </c>
      <c r="K20" s="221">
        <v>79.16</v>
      </c>
      <c r="L20" s="220"/>
      <c r="M20" s="220"/>
      <c r="N20" s="134" t="s">
        <v>188</v>
      </c>
      <c r="O20" s="311" t="s">
        <v>268</v>
      </c>
      <c r="P20" s="312"/>
      <c r="Q20" s="31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3527</v>
      </c>
      <c r="C21" s="18" t="s">
        <v>264</v>
      </c>
      <c r="D21" s="203" t="s">
        <v>265</v>
      </c>
      <c r="E21" s="181" t="s">
        <v>92</v>
      </c>
      <c r="F21" s="66">
        <v>1235</v>
      </c>
      <c r="G21" s="20" t="s">
        <v>120</v>
      </c>
      <c r="H21" s="123"/>
      <c r="I21" s="124">
        <v>150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100</v>
      </c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3528</v>
      </c>
      <c r="C22" s="127" t="s">
        <v>269</v>
      </c>
      <c r="D22" s="206" t="s">
        <v>270</v>
      </c>
      <c r="E22" s="181" t="s">
        <v>91</v>
      </c>
      <c r="F22" s="175">
        <v>1245</v>
      </c>
      <c r="G22" s="263" t="s">
        <v>103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100</v>
      </c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3529</v>
      </c>
      <c r="C23" s="136" t="s">
        <v>271</v>
      </c>
      <c r="D23" s="207" t="s">
        <v>272</v>
      </c>
      <c r="E23" s="181" t="s">
        <v>92</v>
      </c>
      <c r="F23" s="176">
        <v>1330</v>
      </c>
      <c r="G23" s="165" t="s">
        <v>103</v>
      </c>
      <c r="H23" s="89"/>
      <c r="I23" s="141">
        <v>95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100</v>
      </c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3530</v>
      </c>
      <c r="C24" s="127" t="s">
        <v>273</v>
      </c>
      <c r="D24" s="206" t="s">
        <v>274</v>
      </c>
      <c r="E24" s="181" t="s">
        <v>92</v>
      </c>
      <c r="F24" s="175">
        <v>1330</v>
      </c>
      <c r="G24" s="263" t="s">
        <v>103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100</v>
      </c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3531</v>
      </c>
      <c r="C25" s="132" t="s">
        <v>275</v>
      </c>
      <c r="D25" s="208" t="s">
        <v>276</v>
      </c>
      <c r="E25" s="181" t="s">
        <v>92</v>
      </c>
      <c r="F25" s="175">
        <v>1445</v>
      </c>
      <c r="G25" s="263" t="s">
        <v>120</v>
      </c>
      <c r="H25" s="90"/>
      <c r="I25" s="90">
        <v>120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100</v>
      </c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3">
        <f>((C32+(R26+S26+T26)*0.5))</f>
        <v>2699.16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267">
        <v>22</v>
      </c>
      <c r="B26" s="268">
        <v>3532</v>
      </c>
      <c r="C26" s="277" t="s">
        <v>277</v>
      </c>
      <c r="D26" s="282" t="s">
        <v>278</v>
      </c>
      <c r="E26" s="271" t="s">
        <v>91</v>
      </c>
      <c r="F26" s="280">
        <v>1500</v>
      </c>
      <c r="G26" s="268" t="s">
        <v>132</v>
      </c>
      <c r="H26" s="274"/>
      <c r="I26" s="274">
        <v>280</v>
      </c>
      <c r="J26" s="275" t="str">
        <f t="shared" si="1"/>
        <v>0</v>
      </c>
      <c r="K26" s="275" t="str">
        <f t="shared" si="2"/>
        <v>0</v>
      </c>
      <c r="L26" s="275"/>
      <c r="M26" s="275"/>
      <c r="N26" s="277" t="s">
        <v>100</v>
      </c>
      <c r="O26" s="308" t="s">
        <v>80</v>
      </c>
      <c r="P26" s="309"/>
      <c r="Q26" s="310"/>
      <c r="R26" s="112">
        <f>R25*37.5</f>
        <v>0</v>
      </c>
      <c r="S26" s="102">
        <f>S25*41.5</f>
        <v>0</v>
      </c>
      <c r="T26" s="102">
        <f>T25*50</f>
        <v>0</v>
      </c>
      <c r="U26" s="31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3533</v>
      </c>
      <c r="C27" s="27" t="s">
        <v>279</v>
      </c>
      <c r="D27" s="209" t="s">
        <v>280</v>
      </c>
      <c r="E27" s="181" t="s">
        <v>92</v>
      </c>
      <c r="F27" s="177">
        <v>1500</v>
      </c>
      <c r="G27" s="20" t="s">
        <v>120</v>
      </c>
      <c r="H27" s="89"/>
      <c r="I27" s="141">
        <v>150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100</v>
      </c>
      <c r="O27" s="300"/>
      <c r="P27" s="301"/>
      <c r="Q27" s="302"/>
      <c r="R27" s="322" t="s">
        <v>56</v>
      </c>
      <c r="S27" s="323"/>
      <c r="T27" s="323"/>
      <c r="U27" s="32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3534</v>
      </c>
      <c r="C28" s="27" t="s">
        <v>281</v>
      </c>
      <c r="D28" s="209" t="s">
        <v>282</v>
      </c>
      <c r="E28" s="181" t="s">
        <v>91</v>
      </c>
      <c r="F28" s="177">
        <v>1505</v>
      </c>
      <c r="G28" s="20" t="s">
        <v>127</v>
      </c>
      <c r="H28" s="89">
        <v>55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100</v>
      </c>
      <c r="O28" s="300"/>
      <c r="P28" s="301"/>
      <c r="Q28" s="302"/>
      <c r="R28" s="315" t="s">
        <v>349</v>
      </c>
      <c r="S28" s="316"/>
      <c r="T28" s="31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3535</v>
      </c>
      <c r="C29" s="34" t="s">
        <v>283</v>
      </c>
      <c r="D29" s="210" t="s">
        <v>284</v>
      </c>
      <c r="E29" s="182" t="s">
        <v>92</v>
      </c>
      <c r="F29" s="177">
        <v>1600</v>
      </c>
      <c r="G29" s="20" t="s">
        <v>127</v>
      </c>
      <c r="H29" s="89"/>
      <c r="I29" s="89">
        <v>75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100</v>
      </c>
      <c r="O29" s="331"/>
      <c r="P29" s="332"/>
      <c r="Q29" s="333"/>
      <c r="R29" s="334"/>
      <c r="S29" s="335"/>
      <c r="T29" s="33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7" t="s">
        <v>48</v>
      </c>
      <c r="B30" s="338"/>
      <c r="C30" s="338"/>
      <c r="D30" s="338"/>
      <c r="E30" s="339"/>
      <c r="F30" s="338"/>
      <c r="G30" s="338"/>
      <c r="H30" s="264">
        <f t="shared" ref="H30:M30" si="3">SUM(H5:H29)</f>
        <v>425</v>
      </c>
      <c r="I30" s="105">
        <f>SUM(I5:I29)</f>
        <v>1985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179.16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0"/>
      <c r="S30" s="340"/>
      <c r="T30" s="34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2" t="s">
        <v>16</v>
      </c>
      <c r="B31" s="343"/>
      <c r="C31" s="343"/>
      <c r="D31" s="343"/>
      <c r="E31" s="343"/>
      <c r="F31" s="343"/>
      <c r="G31" s="343"/>
      <c r="H31" s="265">
        <f t="shared" ref="H31:J31" si="4">H30+H62+H94</f>
        <v>425</v>
      </c>
      <c r="I31" s="103">
        <f t="shared" si="4"/>
        <v>1985</v>
      </c>
      <c r="J31" s="103">
        <f t="shared" si="4"/>
        <v>110</v>
      </c>
      <c r="K31" s="103">
        <f>K30+K62+K94</f>
        <v>179.16</v>
      </c>
      <c r="L31" s="97">
        <f>L30+L62+L94</f>
        <v>0</v>
      </c>
      <c r="M31" s="97">
        <f>M30+M62+M94</f>
        <v>0</v>
      </c>
      <c r="N31" s="262">
        <f>COUNT(H5:H29,H37:H61,H69:H93)</f>
        <v>6</v>
      </c>
      <c r="O31" s="104">
        <f>COUNT(I5:I29,I37:I61,I69:I93)</f>
        <v>18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425</v>
      </c>
      <c r="T31" s="327">
        <f>H31+I31+L31+M31</f>
        <v>2410</v>
      </c>
      <c r="U31" s="32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8" t="s">
        <v>55</v>
      </c>
      <c r="B32" s="319"/>
      <c r="C32" s="107">
        <f>H31+I31+J31+K31</f>
        <v>2699.16</v>
      </c>
      <c r="D32" s="196"/>
      <c r="E32" s="107"/>
      <c r="F32" s="320" t="s">
        <v>53</v>
      </c>
      <c r="G32" s="320"/>
      <c r="H32" s="109">
        <f>COUNT(B5:B29,B37:B61,B69:B93)</f>
        <v>25</v>
      </c>
      <c r="I32" s="321" t="s">
        <v>54</v>
      </c>
      <c r="J32" s="321"/>
      <c r="K32" s="108">
        <f>C32/H32</f>
        <v>107.96639999999999</v>
      </c>
      <c r="L32" s="260"/>
      <c r="M32" s="260"/>
      <c r="N32" s="260">
        <f>H31/C32</f>
        <v>0.15745639384104684</v>
      </c>
      <c r="O32" s="260">
        <f>I31/C32</f>
        <v>0.73541398064583063</v>
      </c>
      <c r="P32" s="260">
        <f>K31/C32</f>
        <v>6.6376205930734011E-2</v>
      </c>
      <c r="Q32" s="110">
        <f>J31/C32</f>
        <v>4.0753419582388595E-2</v>
      </c>
      <c r="R32" s="99" t="s">
        <v>82</v>
      </c>
      <c r="S32" s="266">
        <f>I31+M31</f>
        <v>1985</v>
      </c>
      <c r="T32" s="329"/>
      <c r="U32" s="330"/>
      <c r="V32" s="55"/>
      <c r="W32" s="55"/>
      <c r="X32" s="56" t="s">
        <v>27</v>
      </c>
      <c r="Y32" s="56"/>
      <c r="Z32" s="54">
        <f>I31</f>
        <v>1985</v>
      </c>
      <c r="AE32" s="37"/>
      <c r="AF32" s="37"/>
      <c r="AG32" s="37"/>
      <c r="AH32" s="37"/>
    </row>
    <row r="33" spans="1:34" ht="17.25" thickBot="1" x14ac:dyDescent="0.35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284"/>
      <c r="U33" s="285"/>
      <c r="X33" s="57" t="s">
        <v>29</v>
      </c>
      <c r="Y33" s="57"/>
      <c r="Z33" s="58">
        <f>SUM(Z31:Z32)</f>
        <v>-760</v>
      </c>
      <c r="AE33" s="37"/>
      <c r="AF33" s="37"/>
      <c r="AG33" s="59"/>
      <c r="AH33" s="37"/>
    </row>
    <row r="34" spans="1:34" ht="17.25" thickBot="1" x14ac:dyDescent="0.35">
      <c r="A34" s="283" t="str">
        <f>A2</f>
        <v>14 - 4 - 2022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SUNNY</v>
      </c>
      <c r="K34" s="285"/>
      <c r="L34" s="287" t="s">
        <v>50</v>
      </c>
      <c r="M34" s="288"/>
      <c r="N34" s="286"/>
      <c r="O34" s="284" t="str">
        <f>O2</f>
        <v>HENDRA</v>
      </c>
      <c r="P34" s="284"/>
      <c r="Q34" s="285"/>
      <c r="R34" s="287" t="s">
        <v>51</v>
      </c>
      <c r="S34" s="286"/>
      <c r="T34" s="289">
        <f>T2</f>
        <v>7</v>
      </c>
      <c r="U34" s="28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4"/>
      <c r="P53" s="300"/>
      <c r="Q53" s="30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4"/>
      <c r="P54" s="300"/>
      <c r="Q54" s="30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4"/>
      <c r="P55" s="300"/>
      <c r="Q55" s="30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5"/>
      <c r="P61" s="346"/>
      <c r="Q61" s="347"/>
      <c r="R61" s="81"/>
      <c r="S61" s="68"/>
      <c r="T61" s="68"/>
      <c r="U61" s="77"/>
    </row>
    <row r="62" spans="1:21" x14ac:dyDescent="0.3">
      <c r="A62" s="348" t="s">
        <v>48</v>
      </c>
      <c r="B62" s="349"/>
      <c r="C62" s="349"/>
      <c r="D62" s="349"/>
      <c r="E62" s="349"/>
      <c r="F62" s="349"/>
      <c r="G62" s="349"/>
      <c r="H62" s="349">
        <f t="shared" ref="H62:M62" si="8">SUM(H37:H61)</f>
        <v>0</v>
      </c>
      <c r="I62" s="354">
        <f t="shared" si="8"/>
        <v>0</v>
      </c>
      <c r="J62" s="354">
        <f>J61+J60+J59+J58+J57+J56+J55+J54+J53+J52+J51+J50+J49+J48+J47+J46+J45+J44+J43+J42+J41+J40+J39+J38+J37</f>
        <v>0</v>
      </c>
      <c r="K62" s="354">
        <f>K61+K60+K59+K58+K57+K56+K55+K54+K53+K52+K51+K50+K49+K48+K47+K46+K45+K44+K43+K42+K41+K40+K39+K38+K37</f>
        <v>0</v>
      </c>
      <c r="L62" s="357">
        <f t="shared" si="8"/>
        <v>0</v>
      </c>
      <c r="M62" s="360">
        <f t="shared" si="8"/>
        <v>0</v>
      </c>
      <c r="N62" s="363"/>
      <c r="O62" s="364"/>
      <c r="P62" s="364"/>
      <c r="Q62" s="365"/>
      <c r="R62" s="5"/>
      <c r="S62" s="6"/>
      <c r="T62" s="7"/>
      <c r="U62" s="8"/>
    </row>
    <row r="63" spans="1:21" ht="17.25" thickBot="1" x14ac:dyDescent="0.35">
      <c r="A63" s="350"/>
      <c r="B63" s="351"/>
      <c r="C63" s="351"/>
      <c r="D63" s="351"/>
      <c r="E63" s="351"/>
      <c r="F63" s="351"/>
      <c r="G63" s="351"/>
      <c r="H63" s="351"/>
      <c r="I63" s="355"/>
      <c r="J63" s="355"/>
      <c r="K63" s="355"/>
      <c r="L63" s="358"/>
      <c r="M63" s="361"/>
      <c r="N63" s="366"/>
      <c r="O63" s="367"/>
      <c r="P63" s="367"/>
      <c r="Q63" s="368"/>
      <c r="R63" s="1"/>
      <c r="S63" s="2"/>
      <c r="T63" s="3"/>
      <c r="U63" s="4"/>
    </row>
    <row r="64" spans="1:21" ht="17.25" thickBot="1" x14ac:dyDescent="0.35">
      <c r="A64" s="352"/>
      <c r="B64" s="353"/>
      <c r="C64" s="353"/>
      <c r="D64" s="353"/>
      <c r="E64" s="353"/>
      <c r="F64" s="353"/>
      <c r="G64" s="353"/>
      <c r="H64" s="353"/>
      <c r="I64" s="356"/>
      <c r="J64" s="356"/>
      <c r="K64" s="356"/>
      <c r="L64" s="359"/>
      <c r="M64" s="362"/>
      <c r="N64" s="325"/>
      <c r="O64" s="326"/>
      <c r="P64" s="326"/>
      <c r="Q64" s="369"/>
      <c r="R64" s="370" t="s">
        <v>17</v>
      </c>
      <c r="S64" s="371"/>
      <c r="T64" s="371"/>
      <c r="U64" s="372"/>
    </row>
    <row r="65" spans="1:21" ht="17.25" thickBot="1" x14ac:dyDescent="0.35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7.25" thickBot="1" x14ac:dyDescent="0.35">
      <c r="A66" s="283" t="str">
        <f>A34</f>
        <v>14 - 4 - 2022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SUNNY</v>
      </c>
      <c r="K66" s="285"/>
      <c r="L66" s="287" t="s">
        <v>50</v>
      </c>
      <c r="M66" s="288"/>
      <c r="N66" s="286"/>
      <c r="O66" s="284" t="str">
        <f>O34</f>
        <v>HENDRA</v>
      </c>
      <c r="P66" s="284"/>
      <c r="Q66" s="285"/>
      <c r="R66" s="287" t="s">
        <v>51</v>
      </c>
      <c r="S66" s="286"/>
      <c r="T66" s="289">
        <f>T34</f>
        <v>7</v>
      </c>
      <c r="U66" s="28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4"/>
      <c r="P85" s="300"/>
      <c r="Q85" s="30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4"/>
      <c r="P86" s="300"/>
      <c r="Q86" s="30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4"/>
      <c r="P87" s="300"/>
      <c r="Q87" s="30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5"/>
      <c r="P93" s="346"/>
      <c r="Q93" s="347"/>
      <c r="R93" s="81"/>
      <c r="S93" s="68"/>
      <c r="T93" s="68"/>
      <c r="U93" s="77"/>
    </row>
    <row r="94" spans="1:21" x14ac:dyDescent="0.3">
      <c r="A94" s="348" t="s">
        <v>48</v>
      </c>
      <c r="B94" s="349"/>
      <c r="C94" s="349"/>
      <c r="D94" s="349"/>
      <c r="E94" s="373"/>
      <c r="F94" s="349"/>
      <c r="G94" s="349"/>
      <c r="H94" s="349">
        <f t="shared" ref="H94:M94" si="12">SUM(H69:H93)</f>
        <v>0</v>
      </c>
      <c r="I94" s="354">
        <f t="shared" si="12"/>
        <v>0</v>
      </c>
      <c r="J94" s="354">
        <f>J93+J92+J91+J90+J89+J88+J87+J86+J85+J84+J83+J82+J81+J80+J79+J78+J77+J76+J75+J74+J73+J72+J71+J70+J69</f>
        <v>0</v>
      </c>
      <c r="K94" s="354">
        <f>K93+K92+K91+K90+K89+K88+K87+K86+K85+K84+K83+K82+K81+K80+K79+K78+K77+K76+K75+K74+K73+K72+K71+K70+K69</f>
        <v>0</v>
      </c>
      <c r="L94" s="357">
        <f t="shared" si="12"/>
        <v>0</v>
      </c>
      <c r="M94" s="360">
        <f t="shared" si="12"/>
        <v>0</v>
      </c>
      <c r="N94" s="363"/>
      <c r="O94" s="364"/>
      <c r="P94" s="364"/>
      <c r="Q94" s="365"/>
      <c r="R94" s="5"/>
      <c r="S94" s="6"/>
      <c r="T94" s="7"/>
      <c r="U94" s="8"/>
    </row>
    <row r="95" spans="1:21" ht="17.25" thickBot="1" x14ac:dyDescent="0.35">
      <c r="A95" s="350"/>
      <c r="B95" s="351"/>
      <c r="C95" s="351"/>
      <c r="D95" s="351"/>
      <c r="E95" s="351"/>
      <c r="F95" s="351"/>
      <c r="G95" s="351"/>
      <c r="H95" s="351"/>
      <c r="I95" s="355"/>
      <c r="J95" s="355"/>
      <c r="K95" s="355"/>
      <c r="L95" s="358"/>
      <c r="M95" s="361"/>
      <c r="N95" s="366"/>
      <c r="O95" s="367"/>
      <c r="P95" s="367"/>
      <c r="Q95" s="368"/>
      <c r="R95" s="1"/>
      <c r="S95" s="2"/>
      <c r="T95" s="3"/>
      <c r="U95" s="4"/>
    </row>
    <row r="96" spans="1:21" ht="17.25" thickBot="1" x14ac:dyDescent="0.35">
      <c r="A96" s="352"/>
      <c r="B96" s="353"/>
      <c r="C96" s="353"/>
      <c r="D96" s="353"/>
      <c r="E96" s="353"/>
      <c r="F96" s="353"/>
      <c r="G96" s="353"/>
      <c r="H96" s="353"/>
      <c r="I96" s="356"/>
      <c r="J96" s="356"/>
      <c r="K96" s="356"/>
      <c r="L96" s="359"/>
      <c r="M96" s="362"/>
      <c r="N96" s="325"/>
      <c r="O96" s="326"/>
      <c r="P96" s="326"/>
      <c r="Q96" s="369"/>
      <c r="R96" s="370" t="s">
        <v>52</v>
      </c>
      <c r="S96" s="371"/>
      <c r="T96" s="371"/>
      <c r="U96" s="372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A2" sqref="A2:G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7.25" thickBot="1" x14ac:dyDescent="0.35">
      <c r="A2" s="283" t="s">
        <v>285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/>
      <c r="K2" s="285"/>
      <c r="L2" s="287" t="s">
        <v>96</v>
      </c>
      <c r="M2" s="288"/>
      <c r="N2" s="286"/>
      <c r="O2" s="284"/>
      <c r="P2" s="284"/>
      <c r="Q2" s="285"/>
      <c r="R2" s="287" t="s">
        <v>51</v>
      </c>
      <c r="S2" s="286"/>
      <c r="T2" s="289"/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/>
      <c r="C5" s="68"/>
      <c r="D5" s="200"/>
      <c r="E5" s="181"/>
      <c r="F5" s="170"/>
      <c r="G5" s="118"/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294"/>
      <c r="P5" s="295"/>
      <c r="Q5" s="296"/>
      <c r="R5" s="33"/>
      <c r="S5" s="31"/>
      <c r="T5" s="32"/>
      <c r="U5" s="92">
        <f t="shared" ref="U5:U15" si="0">(T5-S5)*24</f>
        <v>0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/>
      <c r="C6" s="67"/>
      <c r="D6" s="200"/>
      <c r="E6" s="181"/>
      <c r="F6" s="171"/>
      <c r="G6" s="118"/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297"/>
      <c r="P6" s="298"/>
      <c r="Q6" s="299"/>
      <c r="R6" s="132"/>
      <c r="S6" s="31"/>
      <c r="T6" s="32"/>
      <c r="U6" s="92">
        <f t="shared" si="0"/>
        <v>0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/>
      <c r="C7" s="67"/>
      <c r="D7" s="200"/>
      <c r="E7" s="181"/>
      <c r="F7" s="171"/>
      <c r="G7" s="118"/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00"/>
      <c r="P7" s="301"/>
      <c r="Q7" s="302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03"/>
      <c r="P8" s="304"/>
      <c r="Q8" s="305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03"/>
      <c r="P9" s="304"/>
      <c r="Q9" s="305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290"/>
      <c r="P10" s="291"/>
      <c r="Q10" s="29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0"/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0"/>
      <c r="P16" s="301"/>
      <c r="Q16" s="302"/>
      <c r="R16" s="82" t="e">
        <f>H32/U16</f>
        <v>#DIV/0!</v>
      </c>
      <c r="S16" s="83" t="e">
        <f>H32/(U16-U5)</f>
        <v>#DIV/0!</v>
      </c>
      <c r="T16" s="83" t="e">
        <f>C32/U16</f>
        <v>#DIV/0!</v>
      </c>
      <c r="U16" s="83">
        <f>SUM(U5:U15)</f>
        <v>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0"/>
      <c r="P19" s="301"/>
      <c r="Q19" s="30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1"/>
      <c r="P20" s="312"/>
      <c r="Q20" s="31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3">
        <f>((C32+(R26+S26+T26)*0.5))</f>
        <v>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22" t="s">
        <v>56</v>
      </c>
      <c r="S27" s="323"/>
      <c r="T27" s="323"/>
      <c r="U27" s="32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5"/>
      <c r="S28" s="316"/>
      <c r="T28" s="31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1"/>
      <c r="P29" s="332"/>
      <c r="Q29" s="333"/>
      <c r="R29" s="334"/>
      <c r="S29" s="335"/>
      <c r="T29" s="33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7" t="s">
        <v>48</v>
      </c>
      <c r="B30" s="338"/>
      <c r="C30" s="338"/>
      <c r="D30" s="338"/>
      <c r="E30" s="339"/>
      <c r="F30" s="338"/>
      <c r="G30" s="338"/>
      <c r="H30" s="264">
        <f t="shared" ref="H30:M30" si="3">SUM(H5:H29)</f>
        <v>0</v>
      </c>
      <c r="I30" s="105">
        <f>SUM(I5:I29)</f>
        <v>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0"/>
      <c r="S30" s="340"/>
      <c r="T30" s="34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2" t="s">
        <v>16</v>
      </c>
      <c r="B31" s="343"/>
      <c r="C31" s="343"/>
      <c r="D31" s="343"/>
      <c r="E31" s="343"/>
      <c r="F31" s="343"/>
      <c r="G31" s="343"/>
      <c r="H31" s="265">
        <f t="shared" ref="H31:J31" si="4">H30+H62+H94</f>
        <v>0</v>
      </c>
      <c r="I31" s="103">
        <f t="shared" si="4"/>
        <v>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0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27">
        <f>H31+I31+L31+M31</f>
        <v>0</v>
      </c>
      <c r="U31" s="32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8" t="s">
        <v>55</v>
      </c>
      <c r="B32" s="319"/>
      <c r="C32" s="107">
        <f>H31+I31+J31+K31</f>
        <v>0</v>
      </c>
      <c r="D32" s="196"/>
      <c r="E32" s="107"/>
      <c r="F32" s="320" t="s">
        <v>53</v>
      </c>
      <c r="G32" s="320"/>
      <c r="H32" s="109">
        <f>COUNT(B5:B29,B37:B61,B69:B93)</f>
        <v>0</v>
      </c>
      <c r="I32" s="321" t="s">
        <v>54</v>
      </c>
      <c r="J32" s="321"/>
      <c r="K32" s="108" t="e">
        <f>C32/H32</f>
        <v>#DIV/0!</v>
      </c>
      <c r="L32" s="260"/>
      <c r="M32" s="260"/>
      <c r="N32" s="260" t="e">
        <f>H31/C32</f>
        <v>#DIV/0!</v>
      </c>
      <c r="O32" s="260" t="e">
        <f>I31/C32</f>
        <v>#DIV/0!</v>
      </c>
      <c r="P32" s="260" t="e">
        <f>K31/C32</f>
        <v>#DIV/0!</v>
      </c>
      <c r="Q32" s="110" t="e">
        <f>J31/C32</f>
        <v>#DIV/0!</v>
      </c>
      <c r="R32" s="99" t="s">
        <v>82</v>
      </c>
      <c r="S32" s="266">
        <f>I31+M31</f>
        <v>0</v>
      </c>
      <c r="T32" s="329"/>
      <c r="U32" s="330"/>
      <c r="V32" s="55"/>
      <c r="W32" s="55"/>
      <c r="X32" s="56" t="s">
        <v>27</v>
      </c>
      <c r="Y32" s="56"/>
      <c r="Z32" s="54">
        <f>I31</f>
        <v>0</v>
      </c>
      <c r="AE32" s="37"/>
      <c r="AF32" s="37"/>
      <c r="AG32" s="37"/>
      <c r="AH32" s="37"/>
    </row>
    <row r="33" spans="1:34" ht="17.25" thickBot="1" x14ac:dyDescent="0.35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284"/>
      <c r="U33" s="285"/>
      <c r="X33" s="57" t="s">
        <v>29</v>
      </c>
      <c r="Y33" s="57"/>
      <c r="Z33" s="58">
        <f>SUM(Z31:Z32)</f>
        <v>-2745</v>
      </c>
      <c r="AE33" s="37"/>
      <c r="AF33" s="37"/>
      <c r="AG33" s="59"/>
      <c r="AH33" s="37"/>
    </row>
    <row r="34" spans="1:34" ht="17.25" thickBot="1" x14ac:dyDescent="0.35">
      <c r="A34" s="283" t="str">
        <f>A2</f>
        <v>15-04-2022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>
        <f>J2</f>
        <v>0</v>
      </c>
      <c r="K34" s="285"/>
      <c r="L34" s="287" t="s">
        <v>50</v>
      </c>
      <c r="M34" s="288"/>
      <c r="N34" s="286"/>
      <c r="O34" s="284">
        <f>O2</f>
        <v>0</v>
      </c>
      <c r="P34" s="284"/>
      <c r="Q34" s="285"/>
      <c r="R34" s="287" t="s">
        <v>51</v>
      </c>
      <c r="S34" s="286"/>
      <c r="T34" s="289">
        <f>T2</f>
        <v>0</v>
      </c>
      <c r="U34" s="28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4"/>
      <c r="P53" s="300"/>
      <c r="Q53" s="30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4"/>
      <c r="P54" s="300"/>
      <c r="Q54" s="30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4"/>
      <c r="P55" s="300"/>
      <c r="Q55" s="30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5"/>
      <c r="P61" s="346"/>
      <c r="Q61" s="347"/>
      <c r="R61" s="81"/>
      <c r="S61" s="68"/>
      <c r="T61" s="68"/>
      <c r="U61" s="77"/>
    </row>
    <row r="62" spans="1:21" x14ac:dyDescent="0.3">
      <c r="A62" s="348" t="s">
        <v>48</v>
      </c>
      <c r="B62" s="349"/>
      <c r="C62" s="349"/>
      <c r="D62" s="349"/>
      <c r="E62" s="349"/>
      <c r="F62" s="349"/>
      <c r="G62" s="349"/>
      <c r="H62" s="349">
        <f t="shared" ref="H62:M62" si="8">SUM(H37:H61)</f>
        <v>0</v>
      </c>
      <c r="I62" s="354">
        <f t="shared" si="8"/>
        <v>0</v>
      </c>
      <c r="J62" s="354">
        <f>J61+J60+J59+J58+J57+J56+J55+J54+J53+J52+J51+J50+J49+J48+J47+J46+J45+J44+J43+J42+J41+J40+J39+J38+J37</f>
        <v>0</v>
      </c>
      <c r="K62" s="354">
        <f>K61+K60+K59+K58+K57+K56+K55+K54+K53+K52+K51+K50+K49+K48+K47+K46+K45+K44+K43+K42+K41+K40+K39+K38+K37</f>
        <v>0</v>
      </c>
      <c r="L62" s="357">
        <f t="shared" si="8"/>
        <v>0</v>
      </c>
      <c r="M62" s="360">
        <f t="shared" si="8"/>
        <v>0</v>
      </c>
      <c r="N62" s="363"/>
      <c r="O62" s="364"/>
      <c r="P62" s="364"/>
      <c r="Q62" s="365"/>
      <c r="R62" s="5"/>
      <c r="S62" s="6"/>
      <c r="T62" s="7"/>
      <c r="U62" s="8"/>
    </row>
    <row r="63" spans="1:21" ht="17.25" thickBot="1" x14ac:dyDescent="0.35">
      <c r="A63" s="350"/>
      <c r="B63" s="351"/>
      <c r="C63" s="351"/>
      <c r="D63" s="351"/>
      <c r="E63" s="351"/>
      <c r="F63" s="351"/>
      <c r="G63" s="351"/>
      <c r="H63" s="351"/>
      <c r="I63" s="355"/>
      <c r="J63" s="355"/>
      <c r="K63" s="355"/>
      <c r="L63" s="358"/>
      <c r="M63" s="361"/>
      <c r="N63" s="366"/>
      <c r="O63" s="367"/>
      <c r="P63" s="367"/>
      <c r="Q63" s="368"/>
      <c r="R63" s="1"/>
      <c r="S63" s="2"/>
      <c r="T63" s="3"/>
      <c r="U63" s="4"/>
    </row>
    <row r="64" spans="1:21" ht="17.25" thickBot="1" x14ac:dyDescent="0.35">
      <c r="A64" s="352"/>
      <c r="B64" s="353"/>
      <c r="C64" s="353"/>
      <c r="D64" s="353"/>
      <c r="E64" s="353"/>
      <c r="F64" s="353"/>
      <c r="G64" s="353"/>
      <c r="H64" s="353"/>
      <c r="I64" s="356"/>
      <c r="J64" s="356"/>
      <c r="K64" s="356"/>
      <c r="L64" s="359"/>
      <c r="M64" s="362"/>
      <c r="N64" s="325"/>
      <c r="O64" s="326"/>
      <c r="P64" s="326"/>
      <c r="Q64" s="369"/>
      <c r="R64" s="370" t="s">
        <v>17</v>
      </c>
      <c r="S64" s="371"/>
      <c r="T64" s="371"/>
      <c r="U64" s="372"/>
    </row>
    <row r="65" spans="1:21" ht="17.25" thickBot="1" x14ac:dyDescent="0.35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7.25" thickBot="1" x14ac:dyDescent="0.35">
      <c r="A66" s="283" t="str">
        <f>A34</f>
        <v>15-04-2022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>
        <f>J34</f>
        <v>0</v>
      </c>
      <c r="K66" s="285"/>
      <c r="L66" s="287" t="s">
        <v>50</v>
      </c>
      <c r="M66" s="288"/>
      <c r="N66" s="286"/>
      <c r="O66" s="284">
        <f>O34</f>
        <v>0</v>
      </c>
      <c r="P66" s="284"/>
      <c r="Q66" s="285"/>
      <c r="R66" s="287" t="s">
        <v>51</v>
      </c>
      <c r="S66" s="286"/>
      <c r="T66" s="289">
        <f>T34</f>
        <v>0</v>
      </c>
      <c r="U66" s="28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4"/>
      <c r="P85" s="300"/>
      <c r="Q85" s="30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4"/>
      <c r="P86" s="300"/>
      <c r="Q86" s="30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4"/>
      <c r="P87" s="300"/>
      <c r="Q87" s="30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5"/>
      <c r="P93" s="346"/>
      <c r="Q93" s="347"/>
      <c r="R93" s="81"/>
      <c r="S93" s="68"/>
      <c r="T93" s="68"/>
      <c r="U93" s="77"/>
    </row>
    <row r="94" spans="1:21" x14ac:dyDescent="0.3">
      <c r="A94" s="348" t="s">
        <v>48</v>
      </c>
      <c r="B94" s="349"/>
      <c r="C94" s="349"/>
      <c r="D94" s="349"/>
      <c r="E94" s="373"/>
      <c r="F94" s="349"/>
      <c r="G94" s="349"/>
      <c r="H94" s="349">
        <f t="shared" ref="H94:M94" si="12">SUM(H69:H93)</f>
        <v>0</v>
      </c>
      <c r="I94" s="354">
        <f t="shared" si="12"/>
        <v>0</v>
      </c>
      <c r="J94" s="354">
        <f>J93+J92+J91+J90+J89+J88+J87+J86+J85+J84+J83+J82+J81+J80+J79+J78+J77+J76+J75+J74+J73+J72+J71+J70+J69</f>
        <v>0</v>
      </c>
      <c r="K94" s="354">
        <f>K93+K92+K91+K90+K89+K88+K87+K86+K85+K84+K83+K82+K81+K80+K79+K78+K77+K76+K75+K74+K73+K72+K71+K70+K69</f>
        <v>0</v>
      </c>
      <c r="L94" s="357">
        <f t="shared" si="12"/>
        <v>0</v>
      </c>
      <c r="M94" s="360">
        <f t="shared" si="12"/>
        <v>0</v>
      </c>
      <c r="N94" s="363"/>
      <c r="O94" s="364"/>
      <c r="P94" s="364"/>
      <c r="Q94" s="365"/>
      <c r="R94" s="5"/>
      <c r="S94" s="6"/>
      <c r="T94" s="7"/>
      <c r="U94" s="8"/>
    </row>
    <row r="95" spans="1:21" ht="17.25" thickBot="1" x14ac:dyDescent="0.35">
      <c r="A95" s="350"/>
      <c r="B95" s="351"/>
      <c r="C95" s="351"/>
      <c r="D95" s="351"/>
      <c r="E95" s="351"/>
      <c r="F95" s="351"/>
      <c r="G95" s="351"/>
      <c r="H95" s="351"/>
      <c r="I95" s="355"/>
      <c r="J95" s="355"/>
      <c r="K95" s="355"/>
      <c r="L95" s="358"/>
      <c r="M95" s="361"/>
      <c r="N95" s="366"/>
      <c r="O95" s="367"/>
      <c r="P95" s="367"/>
      <c r="Q95" s="368"/>
      <c r="R95" s="1"/>
      <c r="S95" s="2"/>
      <c r="T95" s="3"/>
      <c r="U95" s="4"/>
    </row>
    <row r="96" spans="1:21" ht="17.25" thickBot="1" x14ac:dyDescent="0.35">
      <c r="A96" s="352"/>
      <c r="B96" s="353"/>
      <c r="C96" s="353"/>
      <c r="D96" s="353"/>
      <c r="E96" s="353"/>
      <c r="F96" s="353"/>
      <c r="G96" s="353"/>
      <c r="H96" s="353"/>
      <c r="I96" s="356"/>
      <c r="J96" s="356"/>
      <c r="K96" s="356"/>
      <c r="L96" s="359"/>
      <c r="M96" s="362"/>
      <c r="N96" s="325"/>
      <c r="O96" s="326"/>
      <c r="P96" s="326"/>
      <c r="Q96" s="369"/>
      <c r="R96" s="370" t="s">
        <v>52</v>
      </c>
      <c r="S96" s="371"/>
      <c r="T96" s="371"/>
      <c r="U96" s="372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H29" sqref="H2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7.25" thickBot="1" x14ac:dyDescent="0.35">
      <c r="A2" s="283" t="s">
        <v>286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99</v>
      </c>
      <c r="K2" s="285"/>
      <c r="L2" s="287" t="s">
        <v>96</v>
      </c>
      <c r="M2" s="288"/>
      <c r="N2" s="286"/>
      <c r="O2" s="284" t="s">
        <v>340</v>
      </c>
      <c r="P2" s="284"/>
      <c r="Q2" s="285"/>
      <c r="R2" s="287" t="s">
        <v>51</v>
      </c>
      <c r="S2" s="286"/>
      <c r="T2" s="289">
        <v>7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3536</v>
      </c>
      <c r="C5" s="68" t="s">
        <v>287</v>
      </c>
      <c r="D5" s="200" t="s">
        <v>288</v>
      </c>
      <c r="E5" s="181" t="s">
        <v>289</v>
      </c>
      <c r="F5" s="170">
        <v>920</v>
      </c>
      <c r="G5" s="118" t="s">
        <v>103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340</v>
      </c>
      <c r="O5" s="294"/>
      <c r="P5" s="295"/>
      <c r="Q5" s="296"/>
      <c r="R5" s="33" t="s">
        <v>340</v>
      </c>
      <c r="S5" s="31">
        <v>0.375</v>
      </c>
      <c r="T5" s="32">
        <v>0.71875</v>
      </c>
      <c r="U5" s="92">
        <f t="shared" ref="U5:U15" si="0">(T5-S5)*24</f>
        <v>8.25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3537</v>
      </c>
      <c r="C6" s="67" t="s">
        <v>290</v>
      </c>
      <c r="D6" s="200" t="s">
        <v>291</v>
      </c>
      <c r="E6" s="181" t="s">
        <v>92</v>
      </c>
      <c r="F6" s="171">
        <v>920</v>
      </c>
      <c r="G6" s="118" t="s">
        <v>127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340</v>
      </c>
      <c r="O6" s="297"/>
      <c r="P6" s="298"/>
      <c r="Q6" s="299"/>
      <c r="R6" s="132" t="s">
        <v>188</v>
      </c>
      <c r="S6" s="31">
        <v>0.375</v>
      </c>
      <c r="T6" s="32">
        <v>0.71875</v>
      </c>
      <c r="U6" s="92">
        <f t="shared" si="0"/>
        <v>8.25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3538</v>
      </c>
      <c r="C7" s="67" t="s">
        <v>292</v>
      </c>
      <c r="D7" s="200" t="s">
        <v>293</v>
      </c>
      <c r="E7" s="181" t="s">
        <v>91</v>
      </c>
      <c r="F7" s="171">
        <v>930</v>
      </c>
      <c r="G7" s="118" t="s">
        <v>103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340</v>
      </c>
      <c r="O7" s="300"/>
      <c r="P7" s="301"/>
      <c r="Q7" s="302"/>
      <c r="R7" s="134" t="s">
        <v>101</v>
      </c>
      <c r="S7" s="31">
        <v>0.39583333333333331</v>
      </c>
      <c r="T7" s="32">
        <v>0.71875</v>
      </c>
      <c r="U7" s="92">
        <f t="shared" si="0"/>
        <v>7.75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268">
        <v>3539</v>
      </c>
      <c r="C8" s="277" t="s">
        <v>294</v>
      </c>
      <c r="D8" s="745" t="s">
        <v>295</v>
      </c>
      <c r="E8" s="271" t="s">
        <v>91</v>
      </c>
      <c r="F8" s="746">
        <v>930</v>
      </c>
      <c r="G8" s="273" t="s">
        <v>111</v>
      </c>
      <c r="H8" s="275"/>
      <c r="I8" s="275"/>
      <c r="J8" s="275" t="str">
        <f t="shared" si="1"/>
        <v>0</v>
      </c>
      <c r="K8" s="275">
        <v>125</v>
      </c>
      <c r="L8" s="276"/>
      <c r="M8" s="276">
        <v>750</v>
      </c>
      <c r="N8" s="277" t="s">
        <v>340</v>
      </c>
      <c r="O8" s="308" t="s">
        <v>296</v>
      </c>
      <c r="P8" s="309"/>
      <c r="Q8" s="310"/>
      <c r="R8" s="26" t="s">
        <v>346</v>
      </c>
      <c r="S8" s="31">
        <v>0.39583333333333331</v>
      </c>
      <c r="T8" s="32">
        <v>0.70833333333333337</v>
      </c>
      <c r="U8" s="92">
        <f t="shared" si="0"/>
        <v>7.5000000000000018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3540</v>
      </c>
      <c r="C9" s="63" t="s">
        <v>297</v>
      </c>
      <c r="D9" s="201" t="s">
        <v>298</v>
      </c>
      <c r="E9" s="181" t="s">
        <v>92</v>
      </c>
      <c r="F9" s="172">
        <v>935</v>
      </c>
      <c r="G9" s="119" t="s">
        <v>103</v>
      </c>
      <c r="H9" s="91"/>
      <c r="I9" s="91">
        <v>130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340</v>
      </c>
      <c r="O9" s="303"/>
      <c r="P9" s="304"/>
      <c r="Q9" s="305"/>
      <c r="R9" s="26" t="s">
        <v>347</v>
      </c>
      <c r="S9" s="31">
        <v>0.4375</v>
      </c>
      <c r="T9" s="32">
        <v>0.70833333333333337</v>
      </c>
      <c r="U9" s="92">
        <f t="shared" si="0"/>
        <v>6.5000000000000009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3541</v>
      </c>
      <c r="C10" s="28" t="s">
        <v>299</v>
      </c>
      <c r="D10" s="202" t="s">
        <v>300</v>
      </c>
      <c r="E10" s="181" t="s">
        <v>91</v>
      </c>
      <c r="F10" s="173">
        <v>1000</v>
      </c>
      <c r="G10" s="120" t="s">
        <v>103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340</v>
      </c>
      <c r="O10" s="290"/>
      <c r="P10" s="291"/>
      <c r="Q10" s="292"/>
      <c r="R10" s="26" t="s">
        <v>348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3542</v>
      </c>
      <c r="C11" s="18" t="s">
        <v>301</v>
      </c>
      <c r="D11" s="203" t="s">
        <v>302</v>
      </c>
      <c r="E11" s="181" t="s">
        <v>91</v>
      </c>
      <c r="F11" s="66">
        <v>1010</v>
      </c>
      <c r="G11" s="121" t="s">
        <v>103</v>
      </c>
      <c r="H11" s="123"/>
      <c r="I11" s="124">
        <v>85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340</v>
      </c>
      <c r="O11" s="300"/>
      <c r="P11" s="301"/>
      <c r="Q11" s="302"/>
      <c r="R11" s="26" t="s">
        <v>102</v>
      </c>
      <c r="S11" s="31">
        <v>0.40625</v>
      </c>
      <c r="T11" s="32">
        <v>0.70833333333333337</v>
      </c>
      <c r="U11" s="92">
        <f t="shared" si="0"/>
        <v>7.2500000000000009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3543</v>
      </c>
      <c r="C12" s="64" t="s">
        <v>325</v>
      </c>
      <c r="D12" s="204" t="s">
        <v>326</v>
      </c>
      <c r="E12" s="181" t="s">
        <v>92</v>
      </c>
      <c r="F12" s="173">
        <v>1305</v>
      </c>
      <c r="G12" s="119" t="s">
        <v>120</v>
      </c>
      <c r="H12" s="123">
        <v>150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340</v>
      </c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3544</v>
      </c>
      <c r="C13" s="64" t="s">
        <v>303</v>
      </c>
      <c r="D13" s="204" t="s">
        <v>304</v>
      </c>
      <c r="E13" s="181" t="s">
        <v>91</v>
      </c>
      <c r="F13" s="173">
        <v>1030</v>
      </c>
      <c r="G13" s="119" t="s">
        <v>103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340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3545</v>
      </c>
      <c r="C14" s="65" t="s">
        <v>305</v>
      </c>
      <c r="D14" s="205" t="s">
        <v>306</v>
      </c>
      <c r="E14" s="181" t="s">
        <v>91</v>
      </c>
      <c r="F14" s="174">
        <v>1040</v>
      </c>
      <c r="G14" s="122" t="s">
        <v>44</v>
      </c>
      <c r="H14" s="123"/>
      <c r="I14" s="125"/>
      <c r="J14" s="130">
        <v>165</v>
      </c>
      <c r="K14" s="130" t="str">
        <f t="shared" si="2"/>
        <v>0</v>
      </c>
      <c r="L14" s="131"/>
      <c r="M14" s="131"/>
      <c r="N14" s="134" t="s">
        <v>340</v>
      </c>
      <c r="O14" s="300" t="s">
        <v>307</v>
      </c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3546</v>
      </c>
      <c r="C15" s="65" t="s">
        <v>308</v>
      </c>
      <c r="D15" s="205" t="s">
        <v>309</v>
      </c>
      <c r="E15" s="181" t="s">
        <v>92</v>
      </c>
      <c r="F15" s="174">
        <v>1100</v>
      </c>
      <c r="G15" s="122" t="s">
        <v>103</v>
      </c>
      <c r="H15" s="123">
        <v>70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340</v>
      </c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3547</v>
      </c>
      <c r="C16" s="65" t="s">
        <v>310</v>
      </c>
      <c r="D16" s="205" t="s">
        <v>311</v>
      </c>
      <c r="E16" s="181" t="s">
        <v>92</v>
      </c>
      <c r="F16" s="174">
        <v>1110</v>
      </c>
      <c r="G16" s="122" t="s">
        <v>132</v>
      </c>
      <c r="H16" s="123">
        <v>280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340</v>
      </c>
      <c r="O16" s="300"/>
      <c r="P16" s="301"/>
      <c r="Q16" s="302"/>
      <c r="R16" s="82">
        <f>H32/U16</f>
        <v>0.47619047619047616</v>
      </c>
      <c r="S16" s="83">
        <f>H32/(U16-U5)</f>
        <v>0.56497175141242939</v>
      </c>
      <c r="T16" s="83">
        <f>C32/U16</f>
        <v>54.346666666666664</v>
      </c>
      <c r="U16" s="83">
        <f>SUM(U5:U15)</f>
        <v>52.5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3548</v>
      </c>
      <c r="C17" s="18" t="s">
        <v>323</v>
      </c>
      <c r="D17" s="203" t="s">
        <v>324</v>
      </c>
      <c r="E17" s="181" t="s">
        <v>92</v>
      </c>
      <c r="F17" s="66">
        <v>1125</v>
      </c>
      <c r="G17" s="121" t="s">
        <v>120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340</v>
      </c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3549</v>
      </c>
      <c r="C18" s="18" t="s">
        <v>312</v>
      </c>
      <c r="D18" s="203" t="s">
        <v>313</v>
      </c>
      <c r="E18" s="181" t="s">
        <v>92</v>
      </c>
      <c r="F18" s="66">
        <v>1130</v>
      </c>
      <c r="G18" s="20" t="s">
        <v>314</v>
      </c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340</v>
      </c>
      <c r="O18" s="300" t="s">
        <v>315</v>
      </c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273">
        <v>3550</v>
      </c>
      <c r="C19" s="747" t="s">
        <v>316</v>
      </c>
      <c r="D19" s="748" t="s">
        <v>317</v>
      </c>
      <c r="E19" s="271" t="s">
        <v>92</v>
      </c>
      <c r="F19" s="749">
        <v>1145</v>
      </c>
      <c r="G19" s="750" t="s">
        <v>111</v>
      </c>
      <c r="H19" s="274"/>
      <c r="I19" s="275"/>
      <c r="J19" s="275" t="str">
        <f t="shared" si="1"/>
        <v>0</v>
      </c>
      <c r="K19" s="275">
        <v>79.099999999999994</v>
      </c>
      <c r="L19" s="276"/>
      <c r="M19" s="276">
        <v>475</v>
      </c>
      <c r="N19" s="277" t="s">
        <v>340</v>
      </c>
      <c r="O19" s="308" t="s">
        <v>318</v>
      </c>
      <c r="P19" s="309"/>
      <c r="Q19" s="309"/>
      <c r="R19" s="93" t="s">
        <v>45</v>
      </c>
      <c r="S19" s="94">
        <f>COUNT(L5:M29,L37:M61,L69:M93)</f>
        <v>2</v>
      </c>
      <c r="T19" s="116">
        <f>SUM(L5:M29,L37:M61,L69:M93)</f>
        <v>1225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3551</v>
      </c>
      <c r="C20" s="18" t="s">
        <v>319</v>
      </c>
      <c r="D20" s="203" t="s">
        <v>320</v>
      </c>
      <c r="E20" s="181" t="s">
        <v>91</v>
      </c>
      <c r="F20" s="66">
        <v>1150</v>
      </c>
      <c r="G20" s="121" t="s">
        <v>120</v>
      </c>
      <c r="H20" s="123">
        <v>140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340</v>
      </c>
      <c r="O20" s="311"/>
      <c r="P20" s="312"/>
      <c r="Q20" s="31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3552</v>
      </c>
      <c r="C21" s="18" t="s">
        <v>321</v>
      </c>
      <c r="D21" s="203" t="s">
        <v>322</v>
      </c>
      <c r="E21" s="181" t="s">
        <v>91</v>
      </c>
      <c r="F21" s="66">
        <v>1150</v>
      </c>
      <c r="G21" s="20" t="s">
        <v>103</v>
      </c>
      <c r="H21" s="123"/>
      <c r="I21" s="124">
        <v>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340</v>
      </c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3553</v>
      </c>
      <c r="C22" s="127" t="s">
        <v>338</v>
      </c>
      <c r="D22" s="206" t="s">
        <v>339</v>
      </c>
      <c r="E22" s="181" t="s">
        <v>92</v>
      </c>
      <c r="F22" s="175">
        <v>1330</v>
      </c>
      <c r="G22" s="263" t="s">
        <v>127</v>
      </c>
      <c r="H22" s="89"/>
      <c r="I22" s="141">
        <v>55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340</v>
      </c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3554</v>
      </c>
      <c r="C23" s="136" t="s">
        <v>327</v>
      </c>
      <c r="D23" s="207" t="s">
        <v>328</v>
      </c>
      <c r="E23" s="181" t="s">
        <v>91</v>
      </c>
      <c r="F23" s="176">
        <v>1400</v>
      </c>
      <c r="G23" s="165" t="s">
        <v>329</v>
      </c>
      <c r="H23" s="89"/>
      <c r="I23" s="141">
        <v>200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340</v>
      </c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3555</v>
      </c>
      <c r="C24" s="127" t="s">
        <v>332</v>
      </c>
      <c r="D24" s="206" t="s">
        <v>333</v>
      </c>
      <c r="E24" s="181" t="s">
        <v>92</v>
      </c>
      <c r="F24" s="175">
        <v>1405</v>
      </c>
      <c r="G24" s="263" t="s">
        <v>103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340</v>
      </c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3556</v>
      </c>
      <c r="C25" s="132" t="s">
        <v>330</v>
      </c>
      <c r="D25" s="208" t="s">
        <v>331</v>
      </c>
      <c r="E25" s="181" t="s">
        <v>92</v>
      </c>
      <c r="F25" s="175">
        <v>1415</v>
      </c>
      <c r="G25" s="263" t="s">
        <v>103</v>
      </c>
      <c r="H25" s="90">
        <v>95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340</v>
      </c>
      <c r="O25" s="300"/>
      <c r="P25" s="301"/>
      <c r="Q25" s="302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3">
        <f>((C32+(R26+S26+T26)*0.5))</f>
        <v>2871.95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3557</v>
      </c>
      <c r="C26" s="27" t="s">
        <v>334</v>
      </c>
      <c r="D26" s="209" t="s">
        <v>335</v>
      </c>
      <c r="E26" s="181" t="s">
        <v>91</v>
      </c>
      <c r="F26" s="177">
        <v>1430</v>
      </c>
      <c r="G26" s="20" t="s">
        <v>120</v>
      </c>
      <c r="H26" s="89"/>
      <c r="I26" s="141">
        <v>150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340</v>
      </c>
      <c r="O26" s="300"/>
      <c r="P26" s="301"/>
      <c r="Q26" s="302"/>
      <c r="R26" s="112">
        <f>R25*37.5</f>
        <v>37.5</v>
      </c>
      <c r="S26" s="102">
        <f>S25*41.5</f>
        <v>0</v>
      </c>
      <c r="T26" s="102">
        <f>T25*50</f>
        <v>0</v>
      </c>
      <c r="U26" s="31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3558</v>
      </c>
      <c r="C27" s="27" t="s">
        <v>336</v>
      </c>
      <c r="D27" s="209" t="s">
        <v>337</v>
      </c>
      <c r="E27" s="181" t="s">
        <v>92</v>
      </c>
      <c r="F27" s="177">
        <v>1510</v>
      </c>
      <c r="G27" s="20" t="s">
        <v>103</v>
      </c>
      <c r="H27" s="89"/>
      <c r="I27" s="141">
        <v>200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340</v>
      </c>
      <c r="O27" s="300"/>
      <c r="P27" s="301"/>
      <c r="Q27" s="302"/>
      <c r="R27" s="322" t="s">
        <v>56</v>
      </c>
      <c r="S27" s="323"/>
      <c r="T27" s="323"/>
      <c r="U27" s="32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3559</v>
      </c>
      <c r="C28" s="27" t="s">
        <v>341</v>
      </c>
      <c r="D28" s="209" t="s">
        <v>342</v>
      </c>
      <c r="E28" s="181" t="s">
        <v>92</v>
      </c>
      <c r="F28" s="177">
        <v>1525</v>
      </c>
      <c r="G28" s="20" t="s">
        <v>111</v>
      </c>
      <c r="H28" s="89"/>
      <c r="I28" s="141"/>
      <c r="J28" s="130" t="str">
        <f t="shared" si="1"/>
        <v>0</v>
      </c>
      <c r="K28" s="130">
        <v>79.099999999999994</v>
      </c>
      <c r="L28" s="69"/>
      <c r="M28" s="69"/>
      <c r="N28" s="134" t="s">
        <v>340</v>
      </c>
      <c r="O28" s="300" t="s">
        <v>343</v>
      </c>
      <c r="P28" s="301"/>
      <c r="Q28" s="302"/>
      <c r="R28" s="315"/>
      <c r="S28" s="316"/>
      <c r="T28" s="31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3560</v>
      </c>
      <c r="C29" s="34" t="s">
        <v>344</v>
      </c>
      <c r="D29" s="210" t="s">
        <v>345</v>
      </c>
      <c r="E29" s="182" t="s">
        <v>92</v>
      </c>
      <c r="F29" s="177">
        <v>1555</v>
      </c>
      <c r="G29" s="20" t="s">
        <v>103</v>
      </c>
      <c r="H29" s="89"/>
      <c r="I29" s="89">
        <v>95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340</v>
      </c>
      <c r="O29" s="331"/>
      <c r="P29" s="332"/>
      <c r="Q29" s="333"/>
      <c r="R29" s="334"/>
      <c r="S29" s="335"/>
      <c r="T29" s="33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7" t="s">
        <v>48</v>
      </c>
      <c r="B30" s="338"/>
      <c r="C30" s="338"/>
      <c r="D30" s="338"/>
      <c r="E30" s="339"/>
      <c r="F30" s="338"/>
      <c r="G30" s="338"/>
      <c r="H30" s="264">
        <f t="shared" ref="H30:M30" si="3">SUM(H5:H29)</f>
        <v>735</v>
      </c>
      <c r="I30" s="105">
        <f>SUM(I5:I29)</f>
        <v>1670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283.2</v>
      </c>
      <c r="L30" s="106">
        <f t="shared" si="3"/>
        <v>0</v>
      </c>
      <c r="M30" s="106">
        <f t="shared" si="3"/>
        <v>1225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0"/>
      <c r="S30" s="340"/>
      <c r="T30" s="34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2" t="s">
        <v>16</v>
      </c>
      <c r="B31" s="343"/>
      <c r="C31" s="343"/>
      <c r="D31" s="343"/>
      <c r="E31" s="343"/>
      <c r="F31" s="343"/>
      <c r="G31" s="343"/>
      <c r="H31" s="265">
        <f t="shared" ref="H31:J31" si="4">H30+H62+H94</f>
        <v>735</v>
      </c>
      <c r="I31" s="103">
        <f t="shared" si="4"/>
        <v>1670</v>
      </c>
      <c r="J31" s="103">
        <f t="shared" si="4"/>
        <v>165</v>
      </c>
      <c r="K31" s="103">
        <f>K30+K62+K94</f>
        <v>283.2</v>
      </c>
      <c r="L31" s="97">
        <f>L30+L62+L94</f>
        <v>0</v>
      </c>
      <c r="M31" s="97">
        <f>M30+M62+M94</f>
        <v>1225</v>
      </c>
      <c r="N31" s="262">
        <f>COUNT(H5:H29,H37:H61,H69:H93)</f>
        <v>5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735</v>
      </c>
      <c r="T31" s="327">
        <f>H31+I31+L31+M31</f>
        <v>3630</v>
      </c>
      <c r="U31" s="32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8" t="s">
        <v>55</v>
      </c>
      <c r="B32" s="319"/>
      <c r="C32" s="107">
        <f>H31+I31+J31+K31</f>
        <v>2853.2</v>
      </c>
      <c r="D32" s="196"/>
      <c r="E32" s="107"/>
      <c r="F32" s="320" t="s">
        <v>53</v>
      </c>
      <c r="G32" s="320"/>
      <c r="H32" s="109">
        <f>COUNT(B5:B29,B37:B61,B69:B93)</f>
        <v>25</v>
      </c>
      <c r="I32" s="321" t="s">
        <v>54</v>
      </c>
      <c r="J32" s="321"/>
      <c r="K32" s="108">
        <f>C32/H32</f>
        <v>114.12799999999999</v>
      </c>
      <c r="L32" s="260"/>
      <c r="M32" s="260"/>
      <c r="N32" s="260">
        <f>H31/C32</f>
        <v>0.25760549558390583</v>
      </c>
      <c r="O32" s="260">
        <f>I31/C32</f>
        <v>0.58530772466003089</v>
      </c>
      <c r="P32" s="260">
        <f>K31/C32</f>
        <v>9.925697462498248E-2</v>
      </c>
      <c r="Q32" s="110">
        <f>J31/C32</f>
        <v>5.7829805131080894E-2</v>
      </c>
      <c r="R32" s="99" t="s">
        <v>82</v>
      </c>
      <c r="S32" s="266">
        <f>I31+M31</f>
        <v>2895</v>
      </c>
      <c r="T32" s="329"/>
      <c r="U32" s="330"/>
      <c r="V32" s="55"/>
      <c r="W32" s="55"/>
      <c r="X32" s="56" t="s">
        <v>27</v>
      </c>
      <c r="Y32" s="56"/>
      <c r="Z32" s="54">
        <f>I31</f>
        <v>1670</v>
      </c>
      <c r="AE32" s="37"/>
      <c r="AF32" s="37"/>
      <c r="AG32" s="37"/>
      <c r="AH32" s="37"/>
    </row>
    <row r="33" spans="1:34" ht="17.25" thickBot="1" x14ac:dyDescent="0.35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284"/>
      <c r="U33" s="285"/>
      <c r="X33" s="57" t="s">
        <v>29</v>
      </c>
      <c r="Y33" s="57"/>
      <c r="Z33" s="58">
        <f>SUM(Z31:Z32)</f>
        <v>-1075</v>
      </c>
      <c r="AE33" s="37"/>
      <c r="AF33" s="37"/>
      <c r="AG33" s="59"/>
      <c r="AH33" s="37"/>
    </row>
    <row r="34" spans="1:34" ht="17.25" thickBot="1" x14ac:dyDescent="0.35">
      <c r="A34" s="283" t="str">
        <f>A2</f>
        <v>16-04-2022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SUNNY</v>
      </c>
      <c r="K34" s="285"/>
      <c r="L34" s="287" t="s">
        <v>50</v>
      </c>
      <c r="M34" s="288"/>
      <c r="N34" s="286"/>
      <c r="O34" s="284" t="str">
        <f>O2</f>
        <v>JOHN</v>
      </c>
      <c r="P34" s="284"/>
      <c r="Q34" s="285"/>
      <c r="R34" s="287" t="s">
        <v>51</v>
      </c>
      <c r="S34" s="286"/>
      <c r="T34" s="289">
        <f>T2</f>
        <v>7</v>
      </c>
      <c r="U34" s="28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4"/>
      <c r="P53" s="300"/>
      <c r="Q53" s="30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4"/>
      <c r="P54" s="300"/>
      <c r="Q54" s="30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4"/>
      <c r="P55" s="300"/>
      <c r="Q55" s="30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5"/>
      <c r="P61" s="346"/>
      <c r="Q61" s="347"/>
      <c r="R61" s="81"/>
      <c r="S61" s="68"/>
      <c r="T61" s="68"/>
      <c r="U61" s="77"/>
    </row>
    <row r="62" spans="1:21" x14ac:dyDescent="0.3">
      <c r="A62" s="348" t="s">
        <v>48</v>
      </c>
      <c r="B62" s="349"/>
      <c r="C62" s="349"/>
      <c r="D62" s="349"/>
      <c r="E62" s="349"/>
      <c r="F62" s="349"/>
      <c r="G62" s="349"/>
      <c r="H62" s="349">
        <f t="shared" ref="H62:M62" si="8">SUM(H37:H61)</f>
        <v>0</v>
      </c>
      <c r="I62" s="354">
        <f t="shared" si="8"/>
        <v>0</v>
      </c>
      <c r="J62" s="354">
        <f>J61+J60+J59+J58+J57+J56+J55+J54+J53+J52+J51+J50+J49+J48+J47+J46+J45+J44+J43+J42+J41+J40+J39+J38+J37</f>
        <v>0</v>
      </c>
      <c r="K62" s="354">
        <f>K61+K60+K59+K58+K57+K56+K55+K54+K53+K52+K51+K50+K49+K48+K47+K46+K45+K44+K43+K42+K41+K40+K39+K38+K37</f>
        <v>0</v>
      </c>
      <c r="L62" s="357">
        <f t="shared" si="8"/>
        <v>0</v>
      </c>
      <c r="M62" s="360">
        <f t="shared" si="8"/>
        <v>0</v>
      </c>
      <c r="N62" s="363"/>
      <c r="O62" s="364"/>
      <c r="P62" s="364"/>
      <c r="Q62" s="365"/>
      <c r="R62" s="5"/>
      <c r="S62" s="6"/>
      <c r="T62" s="7"/>
      <c r="U62" s="8"/>
    </row>
    <row r="63" spans="1:21" ht="17.25" thickBot="1" x14ac:dyDescent="0.35">
      <c r="A63" s="350"/>
      <c r="B63" s="351"/>
      <c r="C63" s="351"/>
      <c r="D63" s="351"/>
      <c r="E63" s="351"/>
      <c r="F63" s="351"/>
      <c r="G63" s="351"/>
      <c r="H63" s="351"/>
      <c r="I63" s="355"/>
      <c r="J63" s="355"/>
      <c r="K63" s="355"/>
      <c r="L63" s="358"/>
      <c r="M63" s="361"/>
      <c r="N63" s="366"/>
      <c r="O63" s="367"/>
      <c r="P63" s="367"/>
      <c r="Q63" s="368"/>
      <c r="R63" s="1"/>
      <c r="S63" s="2"/>
      <c r="T63" s="3"/>
      <c r="U63" s="4"/>
    </row>
    <row r="64" spans="1:21" ht="17.25" thickBot="1" x14ac:dyDescent="0.35">
      <c r="A64" s="352"/>
      <c r="B64" s="353"/>
      <c r="C64" s="353"/>
      <c r="D64" s="353"/>
      <c r="E64" s="353"/>
      <c r="F64" s="353"/>
      <c r="G64" s="353"/>
      <c r="H64" s="353"/>
      <c r="I64" s="356"/>
      <c r="J64" s="356"/>
      <c r="K64" s="356"/>
      <c r="L64" s="359"/>
      <c r="M64" s="362"/>
      <c r="N64" s="325"/>
      <c r="O64" s="326"/>
      <c r="P64" s="326"/>
      <c r="Q64" s="369"/>
      <c r="R64" s="370" t="s">
        <v>17</v>
      </c>
      <c r="S64" s="371"/>
      <c r="T64" s="371"/>
      <c r="U64" s="372"/>
    </row>
    <row r="65" spans="1:21" ht="17.25" thickBot="1" x14ac:dyDescent="0.35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7.25" thickBot="1" x14ac:dyDescent="0.35">
      <c r="A66" s="283" t="str">
        <f>A34</f>
        <v>16-04-2022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SUNNY</v>
      </c>
      <c r="K66" s="285"/>
      <c r="L66" s="287" t="s">
        <v>50</v>
      </c>
      <c r="M66" s="288"/>
      <c r="N66" s="286"/>
      <c r="O66" s="284" t="str">
        <f>O34</f>
        <v>JOHN</v>
      </c>
      <c r="P66" s="284"/>
      <c r="Q66" s="285"/>
      <c r="R66" s="287" t="s">
        <v>51</v>
      </c>
      <c r="S66" s="286"/>
      <c r="T66" s="289">
        <f>T34</f>
        <v>7</v>
      </c>
      <c r="U66" s="28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4"/>
      <c r="P85" s="300"/>
      <c r="Q85" s="30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4"/>
      <c r="P86" s="300"/>
      <c r="Q86" s="30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4"/>
      <c r="P87" s="300"/>
      <c r="Q87" s="30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5"/>
      <c r="P93" s="346"/>
      <c r="Q93" s="347"/>
      <c r="R93" s="81"/>
      <c r="S93" s="68"/>
      <c r="T93" s="68"/>
      <c r="U93" s="77"/>
    </row>
    <row r="94" spans="1:21" x14ac:dyDescent="0.3">
      <c r="A94" s="348" t="s">
        <v>48</v>
      </c>
      <c r="B94" s="349"/>
      <c r="C94" s="349"/>
      <c r="D94" s="349"/>
      <c r="E94" s="373"/>
      <c r="F94" s="349"/>
      <c r="G94" s="349"/>
      <c r="H94" s="349">
        <f t="shared" ref="H94:M94" si="12">SUM(H69:H93)</f>
        <v>0</v>
      </c>
      <c r="I94" s="354">
        <f t="shared" si="12"/>
        <v>0</v>
      </c>
      <c r="J94" s="354">
        <f>J93+J92+J91+J90+J89+J88+J87+J86+J85+J84+J83+J82+J81+J80+J79+J78+J77+J76+J75+J74+J73+J72+J71+J70+J69</f>
        <v>0</v>
      </c>
      <c r="K94" s="354">
        <f>K93+K92+K91+K90+K89+K88+K87+K86+K85+K84+K83+K82+K81+K80+K79+K78+K77+K76+K75+K74+K73+K72+K71+K70+K69</f>
        <v>0</v>
      </c>
      <c r="L94" s="357">
        <f t="shared" si="12"/>
        <v>0</v>
      </c>
      <c r="M94" s="360">
        <f t="shared" si="12"/>
        <v>0</v>
      </c>
      <c r="N94" s="363"/>
      <c r="O94" s="364"/>
      <c r="P94" s="364"/>
      <c r="Q94" s="365"/>
      <c r="R94" s="5"/>
      <c r="S94" s="6"/>
      <c r="T94" s="7"/>
      <c r="U94" s="8"/>
    </row>
    <row r="95" spans="1:21" ht="17.25" thickBot="1" x14ac:dyDescent="0.35">
      <c r="A95" s="350"/>
      <c r="B95" s="351"/>
      <c r="C95" s="351"/>
      <c r="D95" s="351"/>
      <c r="E95" s="351"/>
      <c r="F95" s="351"/>
      <c r="G95" s="351"/>
      <c r="H95" s="351"/>
      <c r="I95" s="355"/>
      <c r="J95" s="355"/>
      <c r="K95" s="355"/>
      <c r="L95" s="358"/>
      <c r="M95" s="361"/>
      <c r="N95" s="366"/>
      <c r="O95" s="367"/>
      <c r="P95" s="367"/>
      <c r="Q95" s="368"/>
      <c r="R95" s="1"/>
      <c r="S95" s="2"/>
      <c r="T95" s="3"/>
      <c r="U95" s="4"/>
    </row>
    <row r="96" spans="1:21" ht="17.25" thickBot="1" x14ac:dyDescent="0.35">
      <c r="A96" s="352"/>
      <c r="B96" s="353"/>
      <c r="C96" s="353"/>
      <c r="D96" s="353"/>
      <c r="E96" s="353"/>
      <c r="F96" s="353"/>
      <c r="G96" s="353"/>
      <c r="H96" s="353"/>
      <c r="I96" s="356"/>
      <c r="J96" s="356"/>
      <c r="K96" s="356"/>
      <c r="L96" s="359"/>
      <c r="M96" s="362"/>
      <c r="N96" s="325"/>
      <c r="O96" s="326"/>
      <c r="P96" s="326"/>
      <c r="Q96" s="369"/>
      <c r="R96" s="370" t="s">
        <v>52</v>
      </c>
      <c r="S96" s="371"/>
      <c r="T96" s="371"/>
      <c r="U96" s="372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opLeftCell="A10" zoomScaleNormal="100" zoomScaleSheetLayoutView="77" workbookViewId="0">
      <selection activeCell="A10" sqref="A1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7.25" thickBot="1" x14ac:dyDescent="0.35">
      <c r="A2" s="283" t="s">
        <v>97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/>
      <c r="K2" s="285"/>
      <c r="L2" s="287" t="s">
        <v>96</v>
      </c>
      <c r="M2" s="288"/>
      <c r="N2" s="286"/>
      <c r="O2" s="284"/>
      <c r="P2" s="284"/>
      <c r="Q2" s="285"/>
      <c r="R2" s="287" t="s">
        <v>51</v>
      </c>
      <c r="S2" s="286"/>
      <c r="T2" s="289"/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/>
      <c r="C5" s="68"/>
      <c r="D5" s="200"/>
      <c r="E5" s="181"/>
      <c r="F5" s="170"/>
      <c r="G5" s="118"/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294"/>
      <c r="P5" s="295"/>
      <c r="Q5" s="296"/>
      <c r="R5" s="33"/>
      <c r="S5" s="31"/>
      <c r="T5" s="32"/>
      <c r="U5" s="92">
        <f t="shared" ref="U5:U15" si="0">(T5-S5)*24</f>
        <v>0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/>
      <c r="C6" s="67"/>
      <c r="D6" s="200"/>
      <c r="E6" s="181"/>
      <c r="F6" s="171"/>
      <c r="G6" s="118"/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297"/>
      <c r="P6" s="298"/>
      <c r="Q6" s="299"/>
      <c r="R6" s="132"/>
      <c r="S6" s="31"/>
      <c r="T6" s="32"/>
      <c r="U6" s="92">
        <f t="shared" si="0"/>
        <v>0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/>
      <c r="C7" s="67"/>
      <c r="D7" s="200"/>
      <c r="E7" s="181"/>
      <c r="F7" s="171"/>
      <c r="G7" s="118"/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00"/>
      <c r="P7" s="301"/>
      <c r="Q7" s="302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03"/>
      <c r="P8" s="304"/>
      <c r="Q8" s="305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03"/>
      <c r="P9" s="304"/>
      <c r="Q9" s="305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290"/>
      <c r="P10" s="291"/>
      <c r="Q10" s="29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0"/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0"/>
      <c r="P16" s="301"/>
      <c r="Q16" s="302"/>
      <c r="R16" s="82" t="e">
        <f>H32/U16</f>
        <v>#DIV/0!</v>
      </c>
      <c r="S16" s="83" t="e">
        <f>H32/(U16-U5)</f>
        <v>#DIV/0!</v>
      </c>
      <c r="T16" s="83" t="e">
        <f>C32/U16</f>
        <v>#DIV/0!</v>
      </c>
      <c r="U16" s="83">
        <f>SUM(U5:U15)</f>
        <v>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0"/>
      <c r="P19" s="301"/>
      <c r="Q19" s="30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1"/>
      <c r="P20" s="312"/>
      <c r="Q20" s="31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3">
        <f>((C32+(R26+S26+T26)*0.5))</f>
        <v>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22" t="s">
        <v>56</v>
      </c>
      <c r="S27" s="323"/>
      <c r="T27" s="323"/>
      <c r="U27" s="32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5"/>
      <c r="S28" s="316"/>
      <c r="T28" s="31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1"/>
      <c r="P29" s="332"/>
      <c r="Q29" s="333"/>
      <c r="R29" s="334"/>
      <c r="S29" s="335"/>
      <c r="T29" s="33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7" t="s">
        <v>48</v>
      </c>
      <c r="B30" s="338"/>
      <c r="C30" s="338"/>
      <c r="D30" s="338"/>
      <c r="E30" s="339"/>
      <c r="F30" s="338"/>
      <c r="G30" s="338"/>
      <c r="H30" s="264">
        <f t="shared" ref="H30:M30" si="3">SUM(H5:H29)</f>
        <v>0</v>
      </c>
      <c r="I30" s="105">
        <f>SUM(I5:I29)</f>
        <v>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0"/>
      <c r="S30" s="340"/>
      <c r="T30" s="34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2" t="s">
        <v>16</v>
      </c>
      <c r="B31" s="343"/>
      <c r="C31" s="343"/>
      <c r="D31" s="343"/>
      <c r="E31" s="343"/>
      <c r="F31" s="343"/>
      <c r="G31" s="343"/>
      <c r="H31" s="265">
        <f t="shared" ref="H31:J31" si="4">H30+H62+H94</f>
        <v>0</v>
      </c>
      <c r="I31" s="103">
        <f t="shared" si="4"/>
        <v>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0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27">
        <f>H31+I31+L31+M31</f>
        <v>0</v>
      </c>
      <c r="U31" s="32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8" t="s">
        <v>55</v>
      </c>
      <c r="B32" s="319"/>
      <c r="C32" s="107">
        <f>H31+I31+J31+K31</f>
        <v>0</v>
      </c>
      <c r="D32" s="196"/>
      <c r="E32" s="107"/>
      <c r="F32" s="320" t="s">
        <v>53</v>
      </c>
      <c r="G32" s="320"/>
      <c r="H32" s="109">
        <f>COUNT(B5:B29,B37:B61,B69:B93)</f>
        <v>0</v>
      </c>
      <c r="I32" s="321" t="s">
        <v>54</v>
      </c>
      <c r="J32" s="321"/>
      <c r="K32" s="108" t="e">
        <f>C32/H32</f>
        <v>#DIV/0!</v>
      </c>
      <c r="L32" s="260"/>
      <c r="M32" s="260"/>
      <c r="N32" s="260" t="e">
        <f>H31/C32</f>
        <v>#DIV/0!</v>
      </c>
      <c r="O32" s="260" t="e">
        <f>I31/C32</f>
        <v>#DIV/0!</v>
      </c>
      <c r="P32" s="260" t="e">
        <f>K31/C32</f>
        <v>#DIV/0!</v>
      </c>
      <c r="Q32" s="110" t="e">
        <f>J31/C32</f>
        <v>#DIV/0!</v>
      </c>
      <c r="R32" s="99" t="s">
        <v>82</v>
      </c>
      <c r="S32" s="266">
        <f>I31+M31</f>
        <v>0</v>
      </c>
      <c r="T32" s="329"/>
      <c r="U32" s="330"/>
      <c r="V32" s="55"/>
      <c r="W32" s="55"/>
      <c r="X32" s="56" t="s">
        <v>27</v>
      </c>
      <c r="Y32" s="56"/>
      <c r="Z32" s="54">
        <f>I31</f>
        <v>0</v>
      </c>
      <c r="AE32" s="37"/>
      <c r="AF32" s="37"/>
      <c r="AG32" s="37"/>
      <c r="AH32" s="37"/>
    </row>
    <row r="33" spans="1:34" ht="17.25" thickBot="1" x14ac:dyDescent="0.35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284"/>
      <c r="U33" s="285"/>
      <c r="X33" s="57" t="s">
        <v>29</v>
      </c>
      <c r="Y33" s="57"/>
      <c r="Z33" s="58">
        <f>SUM(Z31:Z32)</f>
        <v>-2745</v>
      </c>
      <c r="AE33" s="37"/>
      <c r="AF33" s="37"/>
      <c r="AG33" s="59"/>
      <c r="AH33" s="37"/>
    </row>
    <row r="34" spans="1:34" ht="17.25" thickBot="1" x14ac:dyDescent="0.35">
      <c r="A34" s="283" t="str">
        <f>A2</f>
        <v>/ / 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>
        <f>J2</f>
        <v>0</v>
      </c>
      <c r="K34" s="285"/>
      <c r="L34" s="287" t="s">
        <v>50</v>
      </c>
      <c r="M34" s="288"/>
      <c r="N34" s="286"/>
      <c r="O34" s="284">
        <f>O2</f>
        <v>0</v>
      </c>
      <c r="P34" s="284"/>
      <c r="Q34" s="285"/>
      <c r="R34" s="287" t="s">
        <v>51</v>
      </c>
      <c r="S34" s="286"/>
      <c r="T34" s="289">
        <f>T2</f>
        <v>0</v>
      </c>
      <c r="U34" s="28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4"/>
      <c r="P53" s="300"/>
      <c r="Q53" s="30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4"/>
      <c r="P54" s="300"/>
      <c r="Q54" s="30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4"/>
      <c r="P55" s="300"/>
      <c r="Q55" s="30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5"/>
      <c r="P61" s="346"/>
      <c r="Q61" s="347"/>
      <c r="R61" s="81"/>
      <c r="S61" s="68"/>
      <c r="T61" s="68"/>
      <c r="U61" s="77"/>
    </row>
    <row r="62" spans="1:21" x14ac:dyDescent="0.3">
      <c r="A62" s="348" t="s">
        <v>48</v>
      </c>
      <c r="B62" s="349"/>
      <c r="C62" s="349"/>
      <c r="D62" s="349"/>
      <c r="E62" s="349"/>
      <c r="F62" s="349"/>
      <c r="G62" s="349"/>
      <c r="H62" s="349">
        <f t="shared" ref="H62:M62" si="8">SUM(H37:H61)</f>
        <v>0</v>
      </c>
      <c r="I62" s="354">
        <f t="shared" si="8"/>
        <v>0</v>
      </c>
      <c r="J62" s="354">
        <f>J61+J60+J59+J58+J57+J56+J55+J54+J53+J52+J51+J50+J49+J48+J47+J46+J45+J44+J43+J42+J41+J40+J39+J38+J37</f>
        <v>0</v>
      </c>
      <c r="K62" s="354">
        <f>K61+K60+K59+K58+K57+K56+K55+K54+K53+K52+K51+K50+K49+K48+K47+K46+K45+K44+K43+K42+K41+K40+K39+K38+K37</f>
        <v>0</v>
      </c>
      <c r="L62" s="357">
        <f t="shared" si="8"/>
        <v>0</v>
      </c>
      <c r="M62" s="360">
        <f t="shared" si="8"/>
        <v>0</v>
      </c>
      <c r="N62" s="363"/>
      <c r="O62" s="364"/>
      <c r="P62" s="364"/>
      <c r="Q62" s="365"/>
      <c r="R62" s="5"/>
      <c r="S62" s="6"/>
      <c r="T62" s="7"/>
      <c r="U62" s="8"/>
    </row>
    <row r="63" spans="1:21" ht="17.25" thickBot="1" x14ac:dyDescent="0.35">
      <c r="A63" s="350"/>
      <c r="B63" s="351"/>
      <c r="C63" s="351"/>
      <c r="D63" s="351"/>
      <c r="E63" s="351"/>
      <c r="F63" s="351"/>
      <c r="G63" s="351"/>
      <c r="H63" s="351"/>
      <c r="I63" s="355"/>
      <c r="J63" s="355"/>
      <c r="K63" s="355"/>
      <c r="L63" s="358"/>
      <c r="M63" s="361"/>
      <c r="N63" s="366"/>
      <c r="O63" s="367"/>
      <c r="P63" s="367"/>
      <c r="Q63" s="368"/>
      <c r="R63" s="1"/>
      <c r="S63" s="2"/>
      <c r="T63" s="3"/>
      <c r="U63" s="4"/>
    </row>
    <row r="64" spans="1:21" ht="17.25" thickBot="1" x14ac:dyDescent="0.35">
      <c r="A64" s="352"/>
      <c r="B64" s="353"/>
      <c r="C64" s="353"/>
      <c r="D64" s="353"/>
      <c r="E64" s="353"/>
      <c r="F64" s="353"/>
      <c r="G64" s="353"/>
      <c r="H64" s="353"/>
      <c r="I64" s="356"/>
      <c r="J64" s="356"/>
      <c r="K64" s="356"/>
      <c r="L64" s="359"/>
      <c r="M64" s="362"/>
      <c r="N64" s="325"/>
      <c r="O64" s="326"/>
      <c r="P64" s="326"/>
      <c r="Q64" s="369"/>
      <c r="R64" s="370" t="s">
        <v>17</v>
      </c>
      <c r="S64" s="371"/>
      <c r="T64" s="371"/>
      <c r="U64" s="372"/>
    </row>
    <row r="65" spans="1:21" ht="17.25" thickBot="1" x14ac:dyDescent="0.35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7.25" thickBot="1" x14ac:dyDescent="0.35">
      <c r="A66" s="283" t="str">
        <f>A34</f>
        <v>/ / 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>
        <f>J34</f>
        <v>0</v>
      </c>
      <c r="K66" s="285"/>
      <c r="L66" s="287" t="s">
        <v>50</v>
      </c>
      <c r="M66" s="288"/>
      <c r="N66" s="286"/>
      <c r="O66" s="284">
        <f>O34</f>
        <v>0</v>
      </c>
      <c r="P66" s="284"/>
      <c r="Q66" s="285"/>
      <c r="R66" s="287" t="s">
        <v>51</v>
      </c>
      <c r="S66" s="286"/>
      <c r="T66" s="289">
        <f>T34</f>
        <v>0</v>
      </c>
      <c r="U66" s="28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4"/>
      <c r="P85" s="300"/>
      <c r="Q85" s="30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4"/>
      <c r="P86" s="300"/>
      <c r="Q86" s="30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4"/>
      <c r="P87" s="300"/>
      <c r="Q87" s="30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5"/>
      <c r="P93" s="346"/>
      <c r="Q93" s="347"/>
      <c r="R93" s="81"/>
      <c r="S93" s="68"/>
      <c r="T93" s="68"/>
      <c r="U93" s="77"/>
    </row>
    <row r="94" spans="1:21" x14ac:dyDescent="0.3">
      <c r="A94" s="348" t="s">
        <v>48</v>
      </c>
      <c r="B94" s="349"/>
      <c r="C94" s="349"/>
      <c r="D94" s="349"/>
      <c r="E94" s="373"/>
      <c r="F94" s="349"/>
      <c r="G94" s="349"/>
      <c r="H94" s="349">
        <f t="shared" ref="H94:M94" si="12">SUM(H69:H93)</f>
        <v>0</v>
      </c>
      <c r="I94" s="354">
        <f t="shared" si="12"/>
        <v>0</v>
      </c>
      <c r="J94" s="354">
        <f>J93+J92+J91+J90+J89+J88+J87+J86+J85+J84+J83+J82+J81+J80+J79+J78+J77+J76+J75+J74+J73+J72+J71+J70+J69</f>
        <v>0</v>
      </c>
      <c r="K94" s="354">
        <f>K93+K92+K91+K90+K89+K88+K87+K86+K85+K84+K83+K82+K81+K80+K79+K78+K77+K76+K75+K74+K73+K72+K71+K70+K69</f>
        <v>0</v>
      </c>
      <c r="L94" s="357">
        <f t="shared" si="12"/>
        <v>0</v>
      </c>
      <c r="M94" s="360">
        <f t="shared" si="12"/>
        <v>0</v>
      </c>
      <c r="N94" s="363"/>
      <c r="O94" s="364"/>
      <c r="P94" s="364"/>
      <c r="Q94" s="365"/>
      <c r="R94" s="5"/>
      <c r="S94" s="6"/>
      <c r="T94" s="7"/>
      <c r="U94" s="8"/>
    </row>
    <row r="95" spans="1:21" ht="17.25" thickBot="1" x14ac:dyDescent="0.35">
      <c r="A95" s="350"/>
      <c r="B95" s="351"/>
      <c r="C95" s="351"/>
      <c r="D95" s="351"/>
      <c r="E95" s="351"/>
      <c r="F95" s="351"/>
      <c r="G95" s="351"/>
      <c r="H95" s="351"/>
      <c r="I95" s="355"/>
      <c r="J95" s="355"/>
      <c r="K95" s="355"/>
      <c r="L95" s="358"/>
      <c r="M95" s="361"/>
      <c r="N95" s="366"/>
      <c r="O95" s="367"/>
      <c r="P95" s="367"/>
      <c r="Q95" s="368"/>
      <c r="R95" s="1"/>
      <c r="S95" s="2"/>
      <c r="T95" s="3"/>
      <c r="U95" s="4"/>
    </row>
    <row r="96" spans="1:21" ht="17.25" thickBot="1" x14ac:dyDescent="0.35">
      <c r="A96" s="352"/>
      <c r="B96" s="353"/>
      <c r="C96" s="353"/>
      <c r="D96" s="353"/>
      <c r="E96" s="353"/>
      <c r="F96" s="353"/>
      <c r="G96" s="353"/>
      <c r="H96" s="353"/>
      <c r="I96" s="356"/>
      <c r="J96" s="356"/>
      <c r="K96" s="356"/>
      <c r="L96" s="359"/>
      <c r="M96" s="362"/>
      <c r="N96" s="325"/>
      <c r="O96" s="326"/>
      <c r="P96" s="326"/>
      <c r="Q96" s="369"/>
      <c r="R96" s="370" t="s">
        <v>52</v>
      </c>
      <c r="S96" s="371"/>
      <c r="T96" s="371"/>
      <c r="U96" s="372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23"/>
      <c r="B1" s="523"/>
      <c r="C1" s="523"/>
      <c r="D1" s="523"/>
      <c r="E1" s="521" t="s">
        <v>59</v>
      </c>
      <c r="F1" s="521"/>
      <c r="G1" s="521"/>
      <c r="H1" s="521" t="s">
        <v>60</v>
      </c>
      <c r="I1" s="521"/>
      <c r="J1" s="521"/>
      <c r="K1" s="521"/>
      <c r="L1" s="521" t="s">
        <v>61</v>
      </c>
      <c r="M1" s="521"/>
      <c r="N1" s="521"/>
      <c r="O1" s="521"/>
      <c r="P1" s="521"/>
      <c r="Q1" s="521" t="s">
        <v>62</v>
      </c>
      <c r="R1" s="521"/>
      <c r="S1" s="521"/>
      <c r="T1" s="521"/>
      <c r="U1" s="521"/>
      <c r="V1" s="521" t="s">
        <v>63</v>
      </c>
      <c r="W1" s="521"/>
      <c r="X1" s="521"/>
      <c r="Y1" s="521"/>
      <c r="Z1" s="521"/>
      <c r="AA1" s="521" t="s">
        <v>64</v>
      </c>
      <c r="AB1" s="521"/>
      <c r="AC1" s="521"/>
      <c r="AD1" s="521"/>
    </row>
    <row r="2" spans="1:30" ht="20.100000000000001" customHeight="1" x14ac:dyDescent="0.3">
      <c r="A2" s="440" t="s">
        <v>66</v>
      </c>
      <c r="B2" s="463" t="s">
        <v>57</v>
      </c>
      <c r="C2" s="463"/>
      <c r="D2" s="522"/>
      <c r="E2" s="522">
        <f>MON!N31</f>
        <v>4</v>
      </c>
      <c r="F2" s="522"/>
      <c r="G2" s="522"/>
      <c r="H2" s="524">
        <f>MON!S31</f>
        <v>425</v>
      </c>
      <c r="I2" s="524"/>
      <c r="J2" s="524"/>
      <c r="K2" s="524"/>
      <c r="L2" s="525">
        <f>MON!N32</f>
        <v>0.2035148206675286</v>
      </c>
      <c r="M2" s="525"/>
      <c r="N2" s="525"/>
      <c r="O2" s="525"/>
      <c r="P2" s="525"/>
      <c r="Q2" s="593">
        <f>SUM(E2:G5)</f>
        <v>19</v>
      </c>
      <c r="R2" s="594"/>
      <c r="S2" s="594"/>
      <c r="T2" s="594"/>
      <c r="U2" s="595"/>
      <c r="V2" s="535">
        <f>SUM(H2,H3,H5)</f>
        <v>1905</v>
      </c>
      <c r="W2" s="536"/>
      <c r="X2" s="536"/>
      <c r="Y2" s="536"/>
      <c r="Z2" s="537"/>
      <c r="AA2" s="544">
        <f>V2/Q2</f>
        <v>100.26315789473684</v>
      </c>
      <c r="AB2" s="545"/>
      <c r="AC2" s="545"/>
      <c r="AD2" s="546"/>
    </row>
    <row r="3" spans="1:30" ht="20.100000000000001" customHeight="1" x14ac:dyDescent="0.3">
      <c r="A3" s="441"/>
      <c r="B3" s="463" t="s">
        <v>58</v>
      </c>
      <c r="C3" s="463"/>
      <c r="D3" s="522"/>
      <c r="E3" s="522">
        <f>MON!O31</f>
        <v>12</v>
      </c>
      <c r="F3" s="522"/>
      <c r="G3" s="522"/>
      <c r="H3" s="524">
        <f>MON!S32</f>
        <v>1425</v>
      </c>
      <c r="I3" s="524"/>
      <c r="J3" s="524"/>
      <c r="K3" s="524"/>
      <c r="L3" s="525">
        <f>MON!O32</f>
        <v>0.68237322223818409</v>
      </c>
      <c r="M3" s="525"/>
      <c r="N3" s="525"/>
      <c r="O3" s="525"/>
      <c r="P3" s="525"/>
      <c r="Q3" s="596"/>
      <c r="R3" s="597"/>
      <c r="S3" s="597"/>
      <c r="T3" s="597"/>
      <c r="U3" s="598"/>
      <c r="V3" s="538"/>
      <c r="W3" s="539"/>
      <c r="X3" s="539"/>
      <c r="Y3" s="539"/>
      <c r="Z3" s="540"/>
      <c r="AA3" s="547"/>
      <c r="AB3" s="548"/>
      <c r="AC3" s="548"/>
      <c r="AD3" s="549"/>
    </row>
    <row r="4" spans="1:30" ht="20.100000000000001" customHeight="1" x14ac:dyDescent="0.3">
      <c r="A4" s="441"/>
      <c r="B4" s="463" t="s">
        <v>45</v>
      </c>
      <c r="C4" s="463"/>
      <c r="D4" s="522"/>
      <c r="E4" s="522">
        <f>MON!P31</f>
        <v>2</v>
      </c>
      <c r="F4" s="522"/>
      <c r="G4" s="522"/>
      <c r="H4" s="524">
        <f>MON!K31</f>
        <v>183.3</v>
      </c>
      <c r="I4" s="524"/>
      <c r="J4" s="524"/>
      <c r="K4" s="524"/>
      <c r="L4" s="525">
        <f>MON!P32</f>
        <v>8.7774745007901167E-2</v>
      </c>
      <c r="M4" s="525"/>
      <c r="N4" s="525"/>
      <c r="O4" s="525"/>
      <c r="P4" s="525"/>
      <c r="Q4" s="596"/>
      <c r="R4" s="597"/>
      <c r="S4" s="597"/>
      <c r="T4" s="597"/>
      <c r="U4" s="598"/>
      <c r="V4" s="538"/>
      <c r="W4" s="539"/>
      <c r="X4" s="539"/>
      <c r="Y4" s="539"/>
      <c r="Z4" s="540"/>
      <c r="AA4" s="547"/>
      <c r="AB4" s="548"/>
      <c r="AC4" s="548"/>
      <c r="AD4" s="549"/>
    </row>
    <row r="5" spans="1:30" ht="20.100000000000001" customHeight="1" x14ac:dyDescent="0.3">
      <c r="A5" s="441"/>
      <c r="B5" s="461" t="s">
        <v>65</v>
      </c>
      <c r="C5" s="462"/>
      <c r="D5" s="463"/>
      <c r="E5" s="461">
        <f>MON!Q31</f>
        <v>1</v>
      </c>
      <c r="F5" s="462"/>
      <c r="G5" s="463"/>
      <c r="H5" s="581">
        <f>MON!J31</f>
        <v>55</v>
      </c>
      <c r="I5" s="582"/>
      <c r="J5" s="582"/>
      <c r="K5" s="583"/>
      <c r="L5" s="584">
        <f>MON!Q32</f>
        <v>2.6337212086386053E-2</v>
      </c>
      <c r="M5" s="585"/>
      <c r="N5" s="585"/>
      <c r="O5" s="585"/>
      <c r="P5" s="586"/>
      <c r="Q5" s="599"/>
      <c r="R5" s="600"/>
      <c r="S5" s="600"/>
      <c r="T5" s="600"/>
      <c r="U5" s="601"/>
      <c r="V5" s="541"/>
      <c r="W5" s="542"/>
      <c r="X5" s="542"/>
      <c r="Y5" s="542"/>
      <c r="Z5" s="543"/>
      <c r="AA5" s="550"/>
      <c r="AB5" s="551"/>
      <c r="AC5" s="551"/>
      <c r="AD5" s="552"/>
    </row>
    <row r="6" spans="1:30" ht="20.100000000000001" customHeight="1" x14ac:dyDescent="0.3">
      <c r="A6" s="442"/>
      <c r="B6" s="461" t="s">
        <v>94</v>
      </c>
      <c r="C6" s="462"/>
      <c r="D6" s="463"/>
      <c r="E6" s="461">
        <f>MON!U16</f>
        <v>44.000000000000007</v>
      </c>
      <c r="F6" s="462"/>
      <c r="G6" s="463"/>
      <c r="H6" s="581" t="s">
        <v>95</v>
      </c>
      <c r="I6" s="582"/>
      <c r="J6" s="582"/>
      <c r="K6" s="583"/>
      <c r="L6" s="641">
        <f>MON!T2</f>
        <v>6</v>
      </c>
      <c r="M6" s="642"/>
      <c r="N6" s="642"/>
      <c r="O6" s="642"/>
      <c r="P6" s="643"/>
      <c r="Q6" s="644"/>
      <c r="R6" s="645"/>
      <c r="S6" s="645"/>
      <c r="T6" s="645"/>
      <c r="U6" s="646"/>
      <c r="V6" s="411"/>
      <c r="W6" s="412"/>
      <c r="X6" s="412"/>
      <c r="Y6" s="412"/>
      <c r="Z6" s="413"/>
      <c r="AA6" s="414"/>
      <c r="AB6" s="415"/>
      <c r="AC6" s="415"/>
      <c r="AD6" s="416"/>
    </row>
    <row r="7" spans="1:30" ht="20.100000000000001" customHeight="1" x14ac:dyDescent="0.3">
      <c r="A7" s="443" t="s">
        <v>67</v>
      </c>
      <c r="B7" s="419" t="s">
        <v>57</v>
      </c>
      <c r="C7" s="419"/>
      <c r="D7" s="435"/>
      <c r="E7" s="435">
        <f>TUE!N31</f>
        <v>5</v>
      </c>
      <c r="F7" s="435"/>
      <c r="G7" s="435"/>
      <c r="H7" s="436">
        <f>TUE!S31</f>
        <v>280</v>
      </c>
      <c r="I7" s="436"/>
      <c r="J7" s="436"/>
      <c r="K7" s="436"/>
      <c r="L7" s="437">
        <f>TUE!N32</f>
        <v>0.23238443024317368</v>
      </c>
      <c r="M7" s="438"/>
      <c r="N7" s="438"/>
      <c r="O7" s="438"/>
      <c r="P7" s="439"/>
      <c r="Q7" s="623">
        <f>SUM(E7:G10)</f>
        <v>16</v>
      </c>
      <c r="R7" s="624"/>
      <c r="S7" s="624"/>
      <c r="T7" s="624"/>
      <c r="U7" s="625"/>
      <c r="V7" s="526">
        <f>SUM(H7,H8,H10)</f>
        <v>1455</v>
      </c>
      <c r="W7" s="527"/>
      <c r="X7" s="527"/>
      <c r="Y7" s="527"/>
      <c r="Z7" s="528"/>
      <c r="AA7" s="553">
        <f>V7/Q7</f>
        <v>90.9375</v>
      </c>
      <c r="AB7" s="554"/>
      <c r="AC7" s="554"/>
      <c r="AD7" s="555"/>
    </row>
    <row r="8" spans="1:30" ht="20.100000000000001" customHeight="1" x14ac:dyDescent="0.3">
      <c r="A8" s="444"/>
      <c r="B8" s="419" t="s">
        <v>58</v>
      </c>
      <c r="C8" s="419"/>
      <c r="D8" s="435"/>
      <c r="E8" s="435">
        <f>TUE!O31</f>
        <v>9</v>
      </c>
      <c r="F8" s="435"/>
      <c r="G8" s="435"/>
      <c r="H8" s="436">
        <f>TUE!S32</f>
        <v>1120</v>
      </c>
      <c r="I8" s="436"/>
      <c r="J8" s="436"/>
      <c r="K8" s="436"/>
      <c r="L8" s="437">
        <f>TUE!O32</f>
        <v>0.57681135363930613</v>
      </c>
      <c r="M8" s="438"/>
      <c r="N8" s="438"/>
      <c r="O8" s="438"/>
      <c r="P8" s="439"/>
      <c r="Q8" s="626"/>
      <c r="R8" s="627"/>
      <c r="S8" s="627"/>
      <c r="T8" s="627"/>
      <c r="U8" s="628"/>
      <c r="V8" s="529"/>
      <c r="W8" s="530"/>
      <c r="X8" s="530"/>
      <c r="Y8" s="530"/>
      <c r="Z8" s="531"/>
      <c r="AA8" s="556"/>
      <c r="AB8" s="557"/>
      <c r="AC8" s="557"/>
      <c r="AD8" s="558"/>
    </row>
    <row r="9" spans="1:30" ht="20.100000000000001" customHeight="1" x14ac:dyDescent="0.3">
      <c r="A9" s="444"/>
      <c r="B9" s="419" t="s">
        <v>45</v>
      </c>
      <c r="C9" s="419"/>
      <c r="D9" s="435"/>
      <c r="E9" s="435">
        <f>TUE!P31</f>
        <v>1</v>
      </c>
      <c r="F9" s="435"/>
      <c r="G9" s="435"/>
      <c r="H9" s="436">
        <f>TUE!K31</f>
        <v>174.9</v>
      </c>
      <c r="I9" s="436"/>
      <c r="J9" s="436"/>
      <c r="K9" s="436"/>
      <c r="L9" s="437">
        <f>TUE!P32</f>
        <v>0.14515727446261101</v>
      </c>
      <c r="M9" s="438"/>
      <c r="N9" s="438"/>
      <c r="O9" s="438"/>
      <c r="P9" s="439"/>
      <c r="Q9" s="626"/>
      <c r="R9" s="627"/>
      <c r="S9" s="627"/>
      <c r="T9" s="627"/>
      <c r="U9" s="628"/>
      <c r="V9" s="529"/>
      <c r="W9" s="530"/>
      <c r="X9" s="530"/>
      <c r="Y9" s="530"/>
      <c r="Z9" s="531"/>
      <c r="AA9" s="556"/>
      <c r="AB9" s="557"/>
      <c r="AC9" s="557"/>
      <c r="AD9" s="558"/>
    </row>
    <row r="10" spans="1:30" ht="20.100000000000001" customHeight="1" x14ac:dyDescent="0.3">
      <c r="A10" s="444"/>
      <c r="B10" s="417" t="s">
        <v>65</v>
      </c>
      <c r="C10" s="418"/>
      <c r="D10" s="419"/>
      <c r="E10" s="417">
        <f>TUE!Q31</f>
        <v>1</v>
      </c>
      <c r="F10" s="418"/>
      <c r="G10" s="419"/>
      <c r="H10" s="420">
        <f>TUE!J31</f>
        <v>55</v>
      </c>
      <c r="I10" s="421"/>
      <c r="J10" s="421"/>
      <c r="K10" s="422"/>
      <c r="L10" s="437">
        <f>TUE!Q32</f>
        <v>4.5646941654909116E-2</v>
      </c>
      <c r="M10" s="438"/>
      <c r="N10" s="438"/>
      <c r="O10" s="438"/>
      <c r="P10" s="439"/>
      <c r="Q10" s="629"/>
      <c r="R10" s="630"/>
      <c r="S10" s="630"/>
      <c r="T10" s="630"/>
      <c r="U10" s="631"/>
      <c r="V10" s="532"/>
      <c r="W10" s="533"/>
      <c r="X10" s="533"/>
      <c r="Y10" s="533"/>
      <c r="Z10" s="534"/>
      <c r="AA10" s="559"/>
      <c r="AB10" s="560"/>
      <c r="AC10" s="560"/>
      <c r="AD10" s="561"/>
    </row>
    <row r="11" spans="1:30" ht="20.100000000000001" customHeight="1" x14ac:dyDescent="0.3">
      <c r="A11" s="445"/>
      <c r="B11" s="417" t="s">
        <v>94</v>
      </c>
      <c r="C11" s="418"/>
      <c r="D11" s="419"/>
      <c r="E11" s="417">
        <f>TUE!U16</f>
        <v>39</v>
      </c>
      <c r="F11" s="418"/>
      <c r="G11" s="419"/>
      <c r="H11" s="420" t="s">
        <v>95</v>
      </c>
      <c r="I11" s="421"/>
      <c r="J11" s="421"/>
      <c r="K11" s="422"/>
      <c r="L11" s="423">
        <f>TUE!T2</f>
        <v>5</v>
      </c>
      <c r="M11" s="424"/>
      <c r="N11" s="424"/>
      <c r="O11" s="424"/>
      <c r="P11" s="425"/>
      <c r="Q11" s="426"/>
      <c r="R11" s="427"/>
      <c r="S11" s="427"/>
      <c r="T11" s="427"/>
      <c r="U11" s="428"/>
      <c r="V11" s="429"/>
      <c r="W11" s="430"/>
      <c r="X11" s="430"/>
      <c r="Y11" s="430"/>
      <c r="Z11" s="431"/>
      <c r="AA11" s="432"/>
      <c r="AB11" s="433"/>
      <c r="AC11" s="433"/>
      <c r="AD11" s="434"/>
    </row>
    <row r="12" spans="1:30" ht="20.100000000000001" customHeight="1" x14ac:dyDescent="0.3">
      <c r="A12" s="446" t="s">
        <v>68</v>
      </c>
      <c r="B12" s="466" t="s">
        <v>57</v>
      </c>
      <c r="C12" s="466"/>
      <c r="D12" s="351"/>
      <c r="E12" s="351">
        <f>WED!N31</f>
        <v>2</v>
      </c>
      <c r="F12" s="351"/>
      <c r="G12" s="351"/>
      <c r="H12" s="587">
        <f>WED!S31</f>
        <v>110</v>
      </c>
      <c r="I12" s="588"/>
      <c r="J12" s="588"/>
      <c r="K12" s="589"/>
      <c r="L12" s="590">
        <f>WED!N32</f>
        <v>7.3299127074032119E-2</v>
      </c>
      <c r="M12" s="591"/>
      <c r="N12" s="591"/>
      <c r="O12" s="591"/>
      <c r="P12" s="592"/>
      <c r="Q12" s="602">
        <f>SUM(E12:G15)</f>
        <v>17</v>
      </c>
      <c r="R12" s="603"/>
      <c r="S12" s="603"/>
      <c r="T12" s="603"/>
      <c r="U12" s="604"/>
      <c r="V12" s="383">
        <f>SUM(H12,H13,H15)</f>
        <v>1780</v>
      </c>
      <c r="W12" s="384"/>
      <c r="X12" s="384"/>
      <c r="Y12" s="384"/>
      <c r="Z12" s="385"/>
      <c r="AA12" s="374">
        <f>V12/Q12</f>
        <v>104.70588235294117</v>
      </c>
      <c r="AB12" s="375"/>
      <c r="AC12" s="375"/>
      <c r="AD12" s="376"/>
    </row>
    <row r="13" spans="1:30" ht="20.100000000000001" customHeight="1" x14ac:dyDescent="0.3">
      <c r="A13" s="447"/>
      <c r="B13" s="466" t="s">
        <v>58</v>
      </c>
      <c r="C13" s="466"/>
      <c r="D13" s="351"/>
      <c r="E13" s="351">
        <f>WED!O31</f>
        <v>10</v>
      </c>
      <c r="F13" s="351"/>
      <c r="G13" s="351"/>
      <c r="H13" s="587">
        <f>WED!S32</f>
        <v>1505</v>
      </c>
      <c r="I13" s="588"/>
      <c r="J13" s="588"/>
      <c r="K13" s="589"/>
      <c r="L13" s="590">
        <f>WED!O32</f>
        <v>0.68634637169320978</v>
      </c>
      <c r="M13" s="591"/>
      <c r="N13" s="591"/>
      <c r="O13" s="591"/>
      <c r="P13" s="592"/>
      <c r="Q13" s="605"/>
      <c r="R13" s="606"/>
      <c r="S13" s="606"/>
      <c r="T13" s="606"/>
      <c r="U13" s="607"/>
      <c r="V13" s="386"/>
      <c r="W13" s="387"/>
      <c r="X13" s="387"/>
      <c r="Y13" s="387"/>
      <c r="Z13" s="388"/>
      <c r="AA13" s="377"/>
      <c r="AB13" s="378"/>
      <c r="AC13" s="378"/>
      <c r="AD13" s="379"/>
    </row>
    <row r="14" spans="1:30" ht="20.100000000000001" customHeight="1" x14ac:dyDescent="0.3">
      <c r="A14" s="447"/>
      <c r="B14" s="466" t="s">
        <v>45</v>
      </c>
      <c r="C14" s="466"/>
      <c r="D14" s="351"/>
      <c r="E14" s="351">
        <f>WED!P31</f>
        <v>3</v>
      </c>
      <c r="F14" s="351"/>
      <c r="G14" s="351"/>
      <c r="H14" s="587">
        <f>WED!K31</f>
        <v>195.7</v>
      </c>
      <c r="I14" s="588"/>
      <c r="J14" s="588"/>
      <c r="K14" s="589"/>
      <c r="L14" s="590">
        <f>WED!P32</f>
        <v>0.13040581062170986</v>
      </c>
      <c r="M14" s="591"/>
      <c r="N14" s="591"/>
      <c r="O14" s="591"/>
      <c r="P14" s="592"/>
      <c r="Q14" s="605"/>
      <c r="R14" s="606"/>
      <c r="S14" s="606"/>
      <c r="T14" s="606"/>
      <c r="U14" s="607"/>
      <c r="V14" s="386"/>
      <c r="W14" s="387"/>
      <c r="X14" s="387"/>
      <c r="Y14" s="387"/>
      <c r="Z14" s="388"/>
      <c r="AA14" s="377"/>
      <c r="AB14" s="378"/>
      <c r="AC14" s="378"/>
      <c r="AD14" s="379"/>
    </row>
    <row r="15" spans="1:30" ht="20.100000000000001" customHeight="1" x14ac:dyDescent="0.3">
      <c r="A15" s="447"/>
      <c r="B15" s="464" t="s">
        <v>65</v>
      </c>
      <c r="C15" s="465"/>
      <c r="D15" s="466"/>
      <c r="E15" s="464">
        <f>WED!Q31</f>
        <v>2</v>
      </c>
      <c r="F15" s="465"/>
      <c r="G15" s="466"/>
      <c r="H15" s="587">
        <f>WED!J31</f>
        <v>165</v>
      </c>
      <c r="I15" s="588"/>
      <c r="J15" s="588"/>
      <c r="K15" s="589"/>
      <c r="L15" s="590">
        <f>WED!Q32</f>
        <v>0.10994869061104817</v>
      </c>
      <c r="M15" s="591"/>
      <c r="N15" s="591"/>
      <c r="O15" s="591"/>
      <c r="P15" s="592"/>
      <c r="Q15" s="608"/>
      <c r="R15" s="609"/>
      <c r="S15" s="609"/>
      <c r="T15" s="609"/>
      <c r="U15" s="610"/>
      <c r="V15" s="389"/>
      <c r="W15" s="390"/>
      <c r="X15" s="390"/>
      <c r="Y15" s="390"/>
      <c r="Z15" s="391"/>
      <c r="AA15" s="380"/>
      <c r="AB15" s="381"/>
      <c r="AC15" s="381"/>
      <c r="AD15" s="382"/>
    </row>
    <row r="16" spans="1:30" ht="20.100000000000001" customHeight="1" x14ac:dyDescent="0.3">
      <c r="A16" s="448"/>
      <c r="B16" s="464" t="s">
        <v>94</v>
      </c>
      <c r="C16" s="465"/>
      <c r="D16" s="466"/>
      <c r="E16" s="464">
        <f>WED!U16</f>
        <v>47</v>
      </c>
      <c r="F16" s="465"/>
      <c r="G16" s="466"/>
      <c r="H16" s="587" t="s">
        <v>95</v>
      </c>
      <c r="I16" s="588"/>
      <c r="J16" s="588"/>
      <c r="K16" s="589"/>
      <c r="L16" s="647">
        <f>WED!T2</f>
        <v>6</v>
      </c>
      <c r="M16" s="648"/>
      <c r="N16" s="648"/>
      <c r="O16" s="648"/>
      <c r="P16" s="649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449" t="s">
        <v>69</v>
      </c>
      <c r="B17" s="469" t="s">
        <v>57</v>
      </c>
      <c r="C17" s="469"/>
      <c r="D17" s="396"/>
      <c r="E17" s="396">
        <f>THU!N31</f>
        <v>6</v>
      </c>
      <c r="F17" s="396"/>
      <c r="G17" s="396"/>
      <c r="H17" s="395">
        <f>THU!S31</f>
        <v>425</v>
      </c>
      <c r="I17" s="395"/>
      <c r="J17" s="395"/>
      <c r="K17" s="395"/>
      <c r="L17" s="405">
        <f>THU!N32</f>
        <v>0.15745639384104684</v>
      </c>
      <c r="M17" s="405"/>
      <c r="N17" s="405"/>
      <c r="O17" s="405"/>
      <c r="P17" s="405"/>
      <c r="Q17" s="632">
        <f>SUM(E17:G20)</f>
        <v>28</v>
      </c>
      <c r="R17" s="633"/>
      <c r="S17" s="633"/>
      <c r="T17" s="633"/>
      <c r="U17" s="634"/>
      <c r="V17" s="572">
        <f>SUM(H17,H18,H20)</f>
        <v>2520</v>
      </c>
      <c r="W17" s="573"/>
      <c r="X17" s="573"/>
      <c r="Y17" s="573"/>
      <c r="Z17" s="574"/>
      <c r="AA17" s="563">
        <f>V17/Q17</f>
        <v>90</v>
      </c>
      <c r="AB17" s="564"/>
      <c r="AC17" s="564"/>
      <c r="AD17" s="565"/>
    </row>
    <row r="18" spans="1:30" ht="20.100000000000001" customHeight="1" x14ac:dyDescent="0.3">
      <c r="A18" s="450"/>
      <c r="B18" s="469" t="s">
        <v>58</v>
      </c>
      <c r="C18" s="469"/>
      <c r="D18" s="396"/>
      <c r="E18" s="396">
        <f>THU!O31</f>
        <v>18</v>
      </c>
      <c r="F18" s="396"/>
      <c r="G18" s="396"/>
      <c r="H18" s="395">
        <f>THU!S32</f>
        <v>1985</v>
      </c>
      <c r="I18" s="395"/>
      <c r="J18" s="395"/>
      <c r="K18" s="395"/>
      <c r="L18" s="405">
        <f>THU!O32</f>
        <v>0.73541398064583063</v>
      </c>
      <c r="M18" s="405"/>
      <c r="N18" s="405"/>
      <c r="O18" s="405"/>
      <c r="P18" s="405"/>
      <c r="Q18" s="635"/>
      <c r="R18" s="636"/>
      <c r="S18" s="636"/>
      <c r="T18" s="636"/>
      <c r="U18" s="637"/>
      <c r="V18" s="575"/>
      <c r="W18" s="576"/>
      <c r="X18" s="576"/>
      <c r="Y18" s="576"/>
      <c r="Z18" s="577"/>
      <c r="AA18" s="566"/>
      <c r="AB18" s="567"/>
      <c r="AC18" s="567"/>
      <c r="AD18" s="568"/>
    </row>
    <row r="19" spans="1:30" ht="20.100000000000001" customHeight="1" x14ac:dyDescent="0.3">
      <c r="A19" s="450"/>
      <c r="B19" s="469" t="s">
        <v>45</v>
      </c>
      <c r="C19" s="469"/>
      <c r="D19" s="396"/>
      <c r="E19" s="396">
        <f>THU!P31</f>
        <v>2</v>
      </c>
      <c r="F19" s="396"/>
      <c r="G19" s="396"/>
      <c r="H19" s="395">
        <f>THU!K31</f>
        <v>179.16</v>
      </c>
      <c r="I19" s="395"/>
      <c r="J19" s="395"/>
      <c r="K19" s="395"/>
      <c r="L19" s="405">
        <f>THU!P32</f>
        <v>6.6376205930734011E-2</v>
      </c>
      <c r="M19" s="405"/>
      <c r="N19" s="405"/>
      <c r="O19" s="405"/>
      <c r="P19" s="405"/>
      <c r="Q19" s="635"/>
      <c r="R19" s="636"/>
      <c r="S19" s="636"/>
      <c r="T19" s="636"/>
      <c r="U19" s="637"/>
      <c r="V19" s="575"/>
      <c r="W19" s="576"/>
      <c r="X19" s="576"/>
      <c r="Y19" s="576"/>
      <c r="Z19" s="577"/>
      <c r="AA19" s="566"/>
      <c r="AB19" s="567"/>
      <c r="AC19" s="567"/>
      <c r="AD19" s="568"/>
    </row>
    <row r="20" spans="1:30" ht="20.100000000000001" customHeight="1" x14ac:dyDescent="0.3">
      <c r="A20" s="450"/>
      <c r="B20" s="467" t="s">
        <v>65</v>
      </c>
      <c r="C20" s="468"/>
      <c r="D20" s="469"/>
      <c r="E20" s="467">
        <f>THU!Q31</f>
        <v>2</v>
      </c>
      <c r="F20" s="468"/>
      <c r="G20" s="469"/>
      <c r="H20" s="650">
        <f>THU!J31</f>
        <v>110</v>
      </c>
      <c r="I20" s="651"/>
      <c r="J20" s="651"/>
      <c r="K20" s="652"/>
      <c r="L20" s="662">
        <f>THU!Q32</f>
        <v>4.0753419582388595E-2</v>
      </c>
      <c r="M20" s="663"/>
      <c r="N20" s="663"/>
      <c r="O20" s="663"/>
      <c r="P20" s="664"/>
      <c r="Q20" s="638"/>
      <c r="R20" s="639"/>
      <c r="S20" s="639"/>
      <c r="T20" s="639"/>
      <c r="U20" s="640"/>
      <c r="V20" s="578"/>
      <c r="W20" s="579"/>
      <c r="X20" s="579"/>
      <c r="Y20" s="579"/>
      <c r="Z20" s="580"/>
      <c r="AA20" s="569"/>
      <c r="AB20" s="570"/>
      <c r="AC20" s="570"/>
      <c r="AD20" s="571"/>
    </row>
    <row r="21" spans="1:30" ht="20.100000000000001" customHeight="1" x14ac:dyDescent="0.3">
      <c r="A21" s="451"/>
      <c r="B21" s="467" t="s">
        <v>94</v>
      </c>
      <c r="C21" s="468"/>
      <c r="D21" s="469"/>
      <c r="E21" s="467">
        <f>THU!U16</f>
        <v>56.75</v>
      </c>
      <c r="F21" s="468"/>
      <c r="G21" s="469"/>
      <c r="H21" s="650" t="s">
        <v>95</v>
      </c>
      <c r="I21" s="651"/>
      <c r="J21" s="651"/>
      <c r="K21" s="652"/>
      <c r="L21" s="669">
        <f>THU!T2</f>
        <v>7</v>
      </c>
      <c r="M21" s="670"/>
      <c r="N21" s="670"/>
      <c r="O21" s="670"/>
      <c r="P21" s="671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452" t="s">
        <v>93</v>
      </c>
      <c r="B22" s="472" t="s">
        <v>57</v>
      </c>
      <c r="C22" s="472"/>
      <c r="D22" s="477"/>
      <c r="E22" s="477">
        <f>FRI!N31</f>
        <v>0</v>
      </c>
      <c r="F22" s="477"/>
      <c r="G22" s="477"/>
      <c r="H22" s="400">
        <f>FRI!S31</f>
        <v>0</v>
      </c>
      <c r="I22" s="400"/>
      <c r="J22" s="400"/>
      <c r="K22" s="400"/>
      <c r="L22" s="401" t="e">
        <f>FRI!N32</f>
        <v>#DIV/0!</v>
      </c>
      <c r="M22" s="401"/>
      <c r="N22" s="401"/>
      <c r="O22" s="401"/>
      <c r="P22" s="401"/>
      <c r="Q22" s="708">
        <f>SUM(E22:G25)</f>
        <v>0</v>
      </c>
      <c r="R22" s="709"/>
      <c r="S22" s="709"/>
      <c r="T22" s="709"/>
      <c r="U22" s="710"/>
      <c r="V22" s="653">
        <f>SUM(H22,H23,H25)</f>
        <v>0</v>
      </c>
      <c r="W22" s="654"/>
      <c r="X22" s="654"/>
      <c r="Y22" s="654"/>
      <c r="Z22" s="655"/>
      <c r="AA22" s="675" t="e">
        <f>V22/Q22</f>
        <v>#DIV/0!</v>
      </c>
      <c r="AB22" s="676"/>
      <c r="AC22" s="676"/>
      <c r="AD22" s="677"/>
    </row>
    <row r="23" spans="1:30" ht="20.100000000000001" customHeight="1" x14ac:dyDescent="0.3">
      <c r="A23" s="453"/>
      <c r="B23" s="472" t="s">
        <v>58</v>
      </c>
      <c r="C23" s="472"/>
      <c r="D23" s="477"/>
      <c r="E23" s="477">
        <f>FRI!O31</f>
        <v>0</v>
      </c>
      <c r="F23" s="477"/>
      <c r="G23" s="477"/>
      <c r="H23" s="400">
        <f>FRI!S32</f>
        <v>0</v>
      </c>
      <c r="I23" s="400"/>
      <c r="J23" s="400"/>
      <c r="K23" s="400"/>
      <c r="L23" s="401" t="e">
        <f>FRI!O32</f>
        <v>#DIV/0!</v>
      </c>
      <c r="M23" s="401"/>
      <c r="N23" s="401"/>
      <c r="O23" s="401"/>
      <c r="P23" s="401"/>
      <c r="Q23" s="711"/>
      <c r="R23" s="712"/>
      <c r="S23" s="712"/>
      <c r="T23" s="712"/>
      <c r="U23" s="713"/>
      <c r="V23" s="656"/>
      <c r="W23" s="657"/>
      <c r="X23" s="657"/>
      <c r="Y23" s="657"/>
      <c r="Z23" s="658"/>
      <c r="AA23" s="678"/>
      <c r="AB23" s="679"/>
      <c r="AC23" s="679"/>
      <c r="AD23" s="680"/>
    </row>
    <row r="24" spans="1:30" ht="20.100000000000001" customHeight="1" x14ac:dyDescent="0.3">
      <c r="A24" s="453"/>
      <c r="B24" s="472" t="s">
        <v>45</v>
      </c>
      <c r="C24" s="472"/>
      <c r="D24" s="477"/>
      <c r="E24" s="477">
        <f>FRI!P31</f>
        <v>0</v>
      </c>
      <c r="F24" s="477"/>
      <c r="G24" s="477"/>
      <c r="H24" s="400">
        <f>FRI!K31</f>
        <v>0</v>
      </c>
      <c r="I24" s="400"/>
      <c r="J24" s="400"/>
      <c r="K24" s="400"/>
      <c r="L24" s="401" t="e">
        <f>FRI!P32</f>
        <v>#DIV/0!</v>
      </c>
      <c r="M24" s="401"/>
      <c r="N24" s="401"/>
      <c r="O24" s="401"/>
      <c r="P24" s="401"/>
      <c r="Q24" s="711"/>
      <c r="R24" s="712"/>
      <c r="S24" s="712"/>
      <c r="T24" s="712"/>
      <c r="U24" s="713"/>
      <c r="V24" s="656"/>
      <c r="W24" s="657"/>
      <c r="X24" s="657"/>
      <c r="Y24" s="657"/>
      <c r="Z24" s="658"/>
      <c r="AA24" s="678"/>
      <c r="AB24" s="679"/>
      <c r="AC24" s="679"/>
      <c r="AD24" s="680"/>
    </row>
    <row r="25" spans="1:30" ht="20.100000000000001" customHeight="1" x14ac:dyDescent="0.3">
      <c r="A25" s="453"/>
      <c r="B25" s="470" t="s">
        <v>65</v>
      </c>
      <c r="C25" s="471"/>
      <c r="D25" s="472"/>
      <c r="E25" s="470">
        <f>FRI!Q31</f>
        <v>0</v>
      </c>
      <c r="F25" s="471"/>
      <c r="G25" s="472"/>
      <c r="H25" s="702">
        <f>FRI!J31</f>
        <v>0</v>
      </c>
      <c r="I25" s="703"/>
      <c r="J25" s="703"/>
      <c r="K25" s="704"/>
      <c r="L25" s="705" t="e">
        <f>FRI!Q32</f>
        <v>#DIV/0!</v>
      </c>
      <c r="M25" s="706"/>
      <c r="N25" s="706"/>
      <c r="O25" s="706"/>
      <c r="P25" s="707"/>
      <c r="Q25" s="714"/>
      <c r="R25" s="715"/>
      <c r="S25" s="715"/>
      <c r="T25" s="715"/>
      <c r="U25" s="716"/>
      <c r="V25" s="659"/>
      <c r="W25" s="660"/>
      <c r="X25" s="660"/>
      <c r="Y25" s="660"/>
      <c r="Z25" s="661"/>
      <c r="AA25" s="681"/>
      <c r="AB25" s="682"/>
      <c r="AC25" s="682"/>
      <c r="AD25" s="683"/>
    </row>
    <row r="26" spans="1:30" ht="20.100000000000001" customHeight="1" x14ac:dyDescent="0.3">
      <c r="A26" s="454"/>
      <c r="B26" s="470" t="s">
        <v>94</v>
      </c>
      <c r="C26" s="471"/>
      <c r="D26" s="472"/>
      <c r="E26" s="470">
        <f>FRI!U16</f>
        <v>0</v>
      </c>
      <c r="F26" s="471"/>
      <c r="G26" s="472"/>
      <c r="H26" s="702" t="s">
        <v>95</v>
      </c>
      <c r="I26" s="703"/>
      <c r="J26" s="703"/>
      <c r="K26" s="704"/>
      <c r="L26" s="672">
        <f>FRI!T2</f>
        <v>0</v>
      </c>
      <c r="M26" s="673"/>
      <c r="N26" s="673"/>
      <c r="O26" s="673"/>
      <c r="P26" s="674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455" t="s">
        <v>70</v>
      </c>
      <c r="B27" s="410" t="s">
        <v>57</v>
      </c>
      <c r="C27" s="410"/>
      <c r="D27" s="407"/>
      <c r="E27" s="407">
        <f>SAT!N31</f>
        <v>5</v>
      </c>
      <c r="F27" s="407"/>
      <c r="G27" s="407"/>
      <c r="H27" s="562">
        <f>SAT!S31</f>
        <v>735</v>
      </c>
      <c r="I27" s="562"/>
      <c r="J27" s="562"/>
      <c r="K27" s="562"/>
      <c r="L27" s="406">
        <f>SAT!N32</f>
        <v>0.25760549558390583</v>
      </c>
      <c r="M27" s="406"/>
      <c r="N27" s="406"/>
      <c r="O27" s="406"/>
      <c r="P27" s="406"/>
      <c r="Q27" s="611">
        <f>SUM(E27:G30)</f>
        <v>25</v>
      </c>
      <c r="R27" s="612"/>
      <c r="S27" s="612"/>
      <c r="T27" s="612"/>
      <c r="U27" s="613"/>
      <c r="V27" s="693">
        <f>SUM(H27,H28,H30)</f>
        <v>3795</v>
      </c>
      <c r="W27" s="694"/>
      <c r="X27" s="694"/>
      <c r="Y27" s="694"/>
      <c r="Z27" s="695"/>
      <c r="AA27" s="684">
        <f>V27/Q27</f>
        <v>151.80000000000001</v>
      </c>
      <c r="AB27" s="685"/>
      <c r="AC27" s="685"/>
      <c r="AD27" s="686"/>
    </row>
    <row r="28" spans="1:30" ht="20.100000000000001" customHeight="1" x14ac:dyDescent="0.3">
      <c r="A28" s="456"/>
      <c r="B28" s="410" t="s">
        <v>58</v>
      </c>
      <c r="C28" s="410"/>
      <c r="D28" s="407"/>
      <c r="E28" s="407">
        <f>SAT!O31</f>
        <v>15</v>
      </c>
      <c r="F28" s="407"/>
      <c r="G28" s="407"/>
      <c r="H28" s="562">
        <f>SAT!S32</f>
        <v>2895</v>
      </c>
      <c r="I28" s="562"/>
      <c r="J28" s="562"/>
      <c r="K28" s="562"/>
      <c r="L28" s="406">
        <f>SAT!O32</f>
        <v>0.58530772466003089</v>
      </c>
      <c r="M28" s="406"/>
      <c r="N28" s="406"/>
      <c r="O28" s="406"/>
      <c r="P28" s="406"/>
      <c r="Q28" s="614"/>
      <c r="R28" s="615"/>
      <c r="S28" s="615"/>
      <c r="T28" s="615"/>
      <c r="U28" s="616"/>
      <c r="V28" s="696"/>
      <c r="W28" s="697"/>
      <c r="X28" s="697"/>
      <c r="Y28" s="697"/>
      <c r="Z28" s="698"/>
      <c r="AA28" s="687"/>
      <c r="AB28" s="688"/>
      <c r="AC28" s="688"/>
      <c r="AD28" s="689"/>
    </row>
    <row r="29" spans="1:30" ht="20.100000000000001" customHeight="1" x14ac:dyDescent="0.3">
      <c r="A29" s="456"/>
      <c r="B29" s="410" t="s">
        <v>45</v>
      </c>
      <c r="C29" s="410"/>
      <c r="D29" s="407"/>
      <c r="E29" s="407">
        <f>SAT!P31</f>
        <v>4</v>
      </c>
      <c r="F29" s="407"/>
      <c r="G29" s="407"/>
      <c r="H29" s="562">
        <f>SAT!K31</f>
        <v>283.2</v>
      </c>
      <c r="I29" s="562"/>
      <c r="J29" s="562"/>
      <c r="K29" s="562"/>
      <c r="L29" s="406">
        <f>SAT!P32</f>
        <v>9.925697462498248E-2</v>
      </c>
      <c r="M29" s="406"/>
      <c r="N29" s="406"/>
      <c r="O29" s="406"/>
      <c r="P29" s="406"/>
      <c r="Q29" s="614"/>
      <c r="R29" s="615"/>
      <c r="S29" s="615"/>
      <c r="T29" s="615"/>
      <c r="U29" s="616"/>
      <c r="V29" s="696"/>
      <c r="W29" s="697"/>
      <c r="X29" s="697"/>
      <c r="Y29" s="697"/>
      <c r="Z29" s="698"/>
      <c r="AA29" s="687"/>
      <c r="AB29" s="688"/>
      <c r="AC29" s="688"/>
      <c r="AD29" s="689"/>
    </row>
    <row r="30" spans="1:30" ht="20.100000000000001" customHeight="1" x14ac:dyDescent="0.3">
      <c r="A30" s="456"/>
      <c r="B30" s="408" t="s">
        <v>65</v>
      </c>
      <c r="C30" s="409"/>
      <c r="D30" s="410"/>
      <c r="E30" s="408">
        <f>SAT!Q31</f>
        <v>1</v>
      </c>
      <c r="F30" s="409"/>
      <c r="G30" s="410"/>
      <c r="H30" s="402">
        <f>SAT!J31</f>
        <v>165</v>
      </c>
      <c r="I30" s="403"/>
      <c r="J30" s="403"/>
      <c r="K30" s="404"/>
      <c r="L30" s="620">
        <f>SAT!Q32</f>
        <v>5.7829805131080894E-2</v>
      </c>
      <c r="M30" s="621"/>
      <c r="N30" s="621"/>
      <c r="O30" s="621"/>
      <c r="P30" s="622"/>
      <c r="Q30" s="617"/>
      <c r="R30" s="618"/>
      <c r="S30" s="618"/>
      <c r="T30" s="618"/>
      <c r="U30" s="619"/>
      <c r="V30" s="699"/>
      <c r="W30" s="700"/>
      <c r="X30" s="700"/>
      <c r="Y30" s="700"/>
      <c r="Z30" s="701"/>
      <c r="AA30" s="690"/>
      <c r="AB30" s="691"/>
      <c r="AC30" s="691"/>
      <c r="AD30" s="692"/>
    </row>
    <row r="31" spans="1:30" ht="20.100000000000001" customHeight="1" x14ac:dyDescent="0.3">
      <c r="A31" s="457"/>
      <c r="B31" s="408" t="s">
        <v>94</v>
      </c>
      <c r="C31" s="409"/>
      <c r="D31" s="410"/>
      <c r="E31" s="408">
        <f>SAT!U16</f>
        <v>52.5</v>
      </c>
      <c r="F31" s="409"/>
      <c r="G31" s="410"/>
      <c r="H31" s="402" t="s">
        <v>95</v>
      </c>
      <c r="I31" s="403"/>
      <c r="J31" s="403"/>
      <c r="K31" s="404"/>
      <c r="L31" s="392">
        <f>SAT!T2</f>
        <v>7</v>
      </c>
      <c r="M31" s="393"/>
      <c r="N31" s="393"/>
      <c r="O31" s="393"/>
      <c r="P31" s="394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458" t="s">
        <v>71</v>
      </c>
      <c r="B32" s="476" t="s">
        <v>57</v>
      </c>
      <c r="C32" s="397"/>
      <c r="D32" s="397"/>
      <c r="E32" s="397">
        <f>SUN!N31</f>
        <v>0</v>
      </c>
      <c r="F32" s="397"/>
      <c r="G32" s="397"/>
      <c r="H32" s="398">
        <f>SUN!S31</f>
        <v>0</v>
      </c>
      <c r="I32" s="398"/>
      <c r="J32" s="398"/>
      <c r="K32" s="398"/>
      <c r="L32" s="399" t="e">
        <f>SUN!N32</f>
        <v>#DIV/0!</v>
      </c>
      <c r="M32" s="399"/>
      <c r="N32" s="399"/>
      <c r="O32" s="399"/>
      <c r="P32" s="399"/>
      <c r="Q32" s="668">
        <f>SUM(E32:G35)</f>
        <v>0</v>
      </c>
      <c r="R32" s="668"/>
      <c r="S32" s="668"/>
      <c r="T32" s="668"/>
      <c r="U32" s="668"/>
      <c r="V32" s="726">
        <f>SUM(H32,H33,H35)</f>
        <v>0</v>
      </c>
      <c r="W32" s="726"/>
      <c r="X32" s="726"/>
      <c r="Y32" s="726"/>
      <c r="Z32" s="726"/>
      <c r="AA32" s="740" t="e">
        <f>V32/Q32</f>
        <v>#DIV/0!</v>
      </c>
      <c r="AB32" s="741"/>
      <c r="AC32" s="741"/>
      <c r="AD32" s="741"/>
    </row>
    <row r="33" spans="1:30" ht="20.100000000000001" customHeight="1" x14ac:dyDescent="0.3">
      <c r="A33" s="459"/>
      <c r="B33" s="476" t="s">
        <v>58</v>
      </c>
      <c r="C33" s="397"/>
      <c r="D33" s="397"/>
      <c r="E33" s="397">
        <f>SUN!O31</f>
        <v>0</v>
      </c>
      <c r="F33" s="397"/>
      <c r="G33" s="397"/>
      <c r="H33" s="398">
        <f>SUN!S32</f>
        <v>0</v>
      </c>
      <c r="I33" s="398"/>
      <c r="J33" s="398"/>
      <c r="K33" s="398"/>
      <c r="L33" s="399" t="e">
        <f>SUN!O32</f>
        <v>#DIV/0!</v>
      </c>
      <c r="M33" s="399"/>
      <c r="N33" s="399"/>
      <c r="O33" s="399"/>
      <c r="P33" s="399"/>
      <c r="Q33" s="668"/>
      <c r="R33" s="668"/>
      <c r="S33" s="668"/>
      <c r="T33" s="668"/>
      <c r="U33" s="668"/>
      <c r="V33" s="726"/>
      <c r="W33" s="726"/>
      <c r="X33" s="726"/>
      <c r="Y33" s="726"/>
      <c r="Z33" s="726"/>
      <c r="AA33" s="741"/>
      <c r="AB33" s="741"/>
      <c r="AC33" s="741"/>
      <c r="AD33" s="741"/>
    </row>
    <row r="34" spans="1:30" ht="20.100000000000001" customHeight="1" x14ac:dyDescent="0.3">
      <c r="A34" s="459"/>
      <c r="B34" s="476" t="s">
        <v>45</v>
      </c>
      <c r="C34" s="397"/>
      <c r="D34" s="397"/>
      <c r="E34" s="397">
        <f>SUN!P31</f>
        <v>0</v>
      </c>
      <c r="F34" s="397"/>
      <c r="G34" s="397"/>
      <c r="H34" s="398">
        <f>SUN!K31</f>
        <v>0</v>
      </c>
      <c r="I34" s="398"/>
      <c r="J34" s="398"/>
      <c r="K34" s="398"/>
      <c r="L34" s="399" t="e">
        <f>SUN!P32</f>
        <v>#DIV/0!</v>
      </c>
      <c r="M34" s="399"/>
      <c r="N34" s="399"/>
      <c r="O34" s="399"/>
      <c r="P34" s="399"/>
      <c r="Q34" s="668"/>
      <c r="R34" s="668"/>
      <c r="S34" s="668"/>
      <c r="T34" s="668"/>
      <c r="U34" s="668"/>
      <c r="V34" s="726"/>
      <c r="W34" s="726"/>
      <c r="X34" s="726"/>
      <c r="Y34" s="726"/>
      <c r="Z34" s="726"/>
      <c r="AA34" s="741"/>
      <c r="AB34" s="741"/>
      <c r="AC34" s="741"/>
      <c r="AD34" s="741"/>
    </row>
    <row r="35" spans="1:30" ht="20.100000000000001" customHeight="1" x14ac:dyDescent="0.3">
      <c r="A35" s="459"/>
      <c r="B35" s="476" t="s">
        <v>65</v>
      </c>
      <c r="C35" s="397"/>
      <c r="D35" s="397"/>
      <c r="E35" s="397">
        <f>SUN!Q31</f>
        <v>0</v>
      </c>
      <c r="F35" s="397"/>
      <c r="G35" s="397"/>
      <c r="H35" s="398">
        <f>SUN!J31</f>
        <v>0</v>
      </c>
      <c r="I35" s="398"/>
      <c r="J35" s="398"/>
      <c r="K35" s="398"/>
      <c r="L35" s="399" t="e">
        <f>SUN!Q32</f>
        <v>#DIV/0!</v>
      </c>
      <c r="M35" s="399"/>
      <c r="N35" s="399"/>
      <c r="O35" s="399"/>
      <c r="P35" s="399"/>
      <c r="Q35" s="668"/>
      <c r="R35" s="668"/>
      <c r="S35" s="668"/>
      <c r="T35" s="668"/>
      <c r="U35" s="668"/>
      <c r="V35" s="726"/>
      <c r="W35" s="726"/>
      <c r="X35" s="726"/>
      <c r="Y35" s="726"/>
      <c r="Z35" s="726"/>
      <c r="AA35" s="741"/>
      <c r="AB35" s="741"/>
      <c r="AC35" s="741"/>
      <c r="AD35" s="741"/>
    </row>
    <row r="36" spans="1:30" ht="20.100000000000001" customHeight="1" thickBot="1" x14ac:dyDescent="0.35">
      <c r="A36" s="460"/>
      <c r="B36" s="473" t="s">
        <v>94</v>
      </c>
      <c r="C36" s="474"/>
      <c r="D36" s="475"/>
      <c r="E36" s="473">
        <f>SUN!U16</f>
        <v>0</v>
      </c>
      <c r="F36" s="474"/>
      <c r="G36" s="475"/>
      <c r="H36" s="473" t="s">
        <v>95</v>
      </c>
      <c r="I36" s="474"/>
      <c r="J36" s="474"/>
      <c r="K36" s="475"/>
      <c r="L36" s="742">
        <f>SUN!T2</f>
        <v>0</v>
      </c>
      <c r="M36" s="743"/>
      <c r="N36" s="743"/>
      <c r="O36" s="743"/>
      <c r="P36" s="744"/>
      <c r="Q36" s="665"/>
      <c r="R36" s="666"/>
      <c r="S36" s="666"/>
      <c r="T36" s="666"/>
      <c r="U36" s="667"/>
      <c r="V36" s="729"/>
      <c r="W36" s="730"/>
      <c r="X36" s="730"/>
      <c r="Y36" s="730"/>
      <c r="Z36" s="731"/>
      <c r="AA36" s="732"/>
      <c r="AB36" s="733"/>
      <c r="AC36" s="733"/>
      <c r="AD36" s="734"/>
    </row>
    <row r="37" spans="1:30" ht="16.5" customHeight="1" x14ac:dyDescent="0.3">
      <c r="A37" s="717" t="s">
        <v>72</v>
      </c>
      <c r="B37" s="718"/>
      <c r="C37" s="718"/>
      <c r="D37" s="718"/>
      <c r="E37" s="718" t="s">
        <v>73</v>
      </c>
      <c r="F37" s="718"/>
      <c r="G37" s="718"/>
      <c r="H37" s="718"/>
      <c r="I37" s="718"/>
      <c r="J37" s="718"/>
      <c r="K37" s="718" t="s">
        <v>74</v>
      </c>
      <c r="L37" s="718"/>
      <c r="M37" s="718"/>
      <c r="N37" s="718"/>
      <c r="O37" s="718" t="s">
        <v>65</v>
      </c>
      <c r="P37" s="718"/>
      <c r="Q37" s="718"/>
      <c r="R37" s="718"/>
      <c r="S37" s="718"/>
      <c r="T37" s="718" t="s">
        <v>75</v>
      </c>
      <c r="U37" s="718"/>
      <c r="V37" s="718"/>
      <c r="W37" s="718"/>
      <c r="X37" s="718"/>
      <c r="Y37" s="718" t="s">
        <v>76</v>
      </c>
      <c r="Z37" s="718"/>
      <c r="AA37" s="718"/>
      <c r="AB37" s="718"/>
      <c r="AC37" s="718"/>
      <c r="AD37" s="727"/>
    </row>
    <row r="38" spans="1:30" ht="16.5" customHeight="1" x14ac:dyDescent="0.3">
      <c r="A38" s="719"/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720"/>
      <c r="AB38" s="720"/>
      <c r="AC38" s="720"/>
      <c r="AD38" s="728"/>
    </row>
    <row r="39" spans="1:30" ht="16.5" customHeight="1" x14ac:dyDescent="0.3">
      <c r="A39" s="721">
        <f>SUM(Q2:U35)</f>
        <v>105</v>
      </c>
      <c r="B39" s="722"/>
      <c r="C39" s="722"/>
      <c r="D39" s="722"/>
      <c r="E39" s="725">
        <f>SUM(V2:Z35)</f>
        <v>11455</v>
      </c>
      <c r="F39" s="722"/>
      <c r="G39" s="722"/>
      <c r="H39" s="722"/>
      <c r="I39" s="722"/>
      <c r="J39" s="722"/>
      <c r="K39" s="725">
        <f>E39/A39</f>
        <v>109.0952380952381</v>
      </c>
      <c r="L39" s="722"/>
      <c r="M39" s="722"/>
      <c r="N39" s="722"/>
      <c r="O39" s="722">
        <f>SUM(MON:SUN!Q31)</f>
        <v>7</v>
      </c>
      <c r="P39" s="722"/>
      <c r="Q39" s="722"/>
      <c r="R39" s="722"/>
      <c r="S39" s="722"/>
      <c r="T39" s="722">
        <f>SUM(MON:SUN!P31)</f>
        <v>12</v>
      </c>
      <c r="U39" s="722"/>
      <c r="V39" s="722"/>
      <c r="W39" s="722"/>
      <c r="X39" s="722"/>
      <c r="Y39" s="722">
        <f>SUM(MON:SUN!S19)</f>
        <v>4</v>
      </c>
      <c r="Z39" s="722"/>
      <c r="AA39" s="722"/>
      <c r="AB39" s="722"/>
      <c r="AC39" s="722"/>
      <c r="AD39" s="737"/>
    </row>
    <row r="40" spans="1:30" ht="16.5" customHeight="1" x14ac:dyDescent="0.3">
      <c r="A40" s="721"/>
      <c r="B40" s="722"/>
      <c r="C40" s="722"/>
      <c r="D40" s="722"/>
      <c r="E40" s="722"/>
      <c r="F40" s="722"/>
      <c r="G40" s="722"/>
      <c r="H40" s="722"/>
      <c r="I40" s="722"/>
      <c r="J40" s="722"/>
      <c r="K40" s="722"/>
      <c r="L40" s="722"/>
      <c r="M40" s="722"/>
      <c r="N40" s="722"/>
      <c r="O40" s="722"/>
      <c r="P40" s="722"/>
      <c r="Q40" s="722"/>
      <c r="R40" s="722"/>
      <c r="S40" s="722"/>
      <c r="T40" s="722"/>
      <c r="U40" s="722"/>
      <c r="V40" s="722"/>
      <c r="W40" s="722"/>
      <c r="X40" s="722"/>
      <c r="Y40" s="722"/>
      <c r="Z40" s="722"/>
      <c r="AA40" s="722"/>
      <c r="AB40" s="722"/>
      <c r="AC40" s="722"/>
      <c r="AD40" s="737"/>
    </row>
    <row r="41" spans="1:30" ht="16.5" customHeight="1" x14ac:dyDescent="0.3">
      <c r="A41" s="721"/>
      <c r="B41" s="722"/>
      <c r="C41" s="722"/>
      <c r="D41" s="722"/>
      <c r="E41" s="722"/>
      <c r="F41" s="722"/>
      <c r="G41" s="722"/>
      <c r="H41" s="722"/>
      <c r="I41" s="722"/>
      <c r="J41" s="722"/>
      <c r="K41" s="722"/>
      <c r="L41" s="722"/>
      <c r="M41" s="722"/>
      <c r="N41" s="722"/>
      <c r="O41" s="735">
        <f>SUM(MON:SUN!J31)</f>
        <v>550</v>
      </c>
      <c r="P41" s="735"/>
      <c r="Q41" s="735"/>
      <c r="R41" s="735"/>
      <c r="S41" s="735"/>
      <c r="T41" s="735">
        <f>SUM(MON:SUN!K31)</f>
        <v>1016.26</v>
      </c>
      <c r="U41" s="735"/>
      <c r="V41" s="735"/>
      <c r="W41" s="735"/>
      <c r="X41" s="735"/>
      <c r="Y41" s="735">
        <f>SUM(MON:SUN!T19)</f>
        <v>2125</v>
      </c>
      <c r="Z41" s="735"/>
      <c r="AA41" s="735"/>
      <c r="AB41" s="735"/>
      <c r="AC41" s="735"/>
      <c r="AD41" s="738"/>
    </row>
    <row r="42" spans="1:30" ht="16.5" customHeight="1" thickBot="1" x14ac:dyDescent="0.35">
      <c r="A42" s="723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36"/>
      <c r="P42" s="736"/>
      <c r="Q42" s="736"/>
      <c r="R42" s="736"/>
      <c r="S42" s="736"/>
      <c r="T42" s="736"/>
      <c r="U42" s="736"/>
      <c r="V42" s="736"/>
      <c r="W42" s="736"/>
      <c r="X42" s="736"/>
      <c r="Y42" s="736"/>
      <c r="Z42" s="736"/>
      <c r="AA42" s="736"/>
      <c r="AB42" s="736"/>
      <c r="AC42" s="736"/>
      <c r="AD42" s="739"/>
    </row>
    <row r="43" spans="1:30" ht="17.45" customHeight="1" x14ac:dyDescent="0.3">
      <c r="A43" s="496" t="s">
        <v>84</v>
      </c>
      <c r="B43" s="497"/>
      <c r="C43" s="497"/>
      <c r="D43" s="497"/>
      <c r="E43" s="498"/>
      <c r="F43" s="496" t="s">
        <v>85</v>
      </c>
      <c r="G43" s="497"/>
      <c r="H43" s="497"/>
      <c r="I43" s="497"/>
      <c r="J43" s="498"/>
      <c r="K43" s="496" t="s">
        <v>86</v>
      </c>
      <c r="L43" s="497"/>
      <c r="M43" s="497"/>
      <c r="N43" s="497"/>
      <c r="O43" s="498"/>
      <c r="P43" s="496" t="s">
        <v>87</v>
      </c>
      <c r="Q43" s="497"/>
      <c r="R43" s="497"/>
      <c r="S43" s="497"/>
      <c r="T43" s="498"/>
      <c r="U43" s="496" t="s">
        <v>90</v>
      </c>
      <c r="V43" s="497"/>
      <c r="W43" s="497"/>
      <c r="X43" s="497"/>
      <c r="Y43" s="498"/>
      <c r="Z43" s="502" t="s">
        <v>95</v>
      </c>
      <c r="AA43" s="503"/>
      <c r="AB43" s="503"/>
      <c r="AC43" s="503"/>
      <c r="AD43" s="504"/>
    </row>
    <row r="44" spans="1:30" ht="17.45" customHeight="1" x14ac:dyDescent="0.3">
      <c r="A44" s="499"/>
      <c r="B44" s="500"/>
      <c r="C44" s="500"/>
      <c r="D44" s="500"/>
      <c r="E44" s="501"/>
      <c r="F44" s="499"/>
      <c r="G44" s="500"/>
      <c r="H44" s="500"/>
      <c r="I44" s="500"/>
      <c r="J44" s="501"/>
      <c r="K44" s="499"/>
      <c r="L44" s="500"/>
      <c r="M44" s="500"/>
      <c r="N44" s="500"/>
      <c r="O44" s="501"/>
      <c r="P44" s="499"/>
      <c r="Q44" s="500"/>
      <c r="R44" s="500"/>
      <c r="S44" s="500"/>
      <c r="T44" s="501"/>
      <c r="U44" s="499"/>
      <c r="V44" s="500"/>
      <c r="W44" s="500"/>
      <c r="X44" s="500"/>
      <c r="Y44" s="501"/>
      <c r="Z44" s="505"/>
      <c r="AA44" s="506"/>
      <c r="AB44" s="506"/>
      <c r="AC44" s="506"/>
      <c r="AD44" s="507"/>
    </row>
    <row r="45" spans="1:30" x14ac:dyDescent="0.3">
      <c r="A45" s="508">
        <f>SUM(H2,H7,H12,H17,H22,H27,H32)</f>
        <v>1975</v>
      </c>
      <c r="B45" s="509"/>
      <c r="C45" s="509"/>
      <c r="D45" s="509"/>
      <c r="E45" s="510"/>
      <c r="F45" s="508">
        <f>SUM(,H3,H8,H13,H18,H23,H28,H33)</f>
        <v>8930</v>
      </c>
      <c r="G45" s="509"/>
      <c r="H45" s="509"/>
      <c r="I45" s="509"/>
      <c r="J45" s="510"/>
      <c r="K45" s="508">
        <f>SUM(H5,H10,H15,H20,H25,H30,H35)</f>
        <v>550</v>
      </c>
      <c r="L45" s="509"/>
      <c r="M45" s="509"/>
      <c r="N45" s="509"/>
      <c r="O45" s="510"/>
      <c r="P45" s="508">
        <f>SUM(H4,H9,H14,H19,H24,H29,H34)</f>
        <v>1016.26</v>
      </c>
      <c r="Q45" s="509"/>
      <c r="R45" s="509"/>
      <c r="S45" s="509"/>
      <c r="T45" s="510"/>
      <c r="U45" s="517">
        <f>SUM(E6,E11,E16,E21,E26,E31,E36)</f>
        <v>239.25</v>
      </c>
      <c r="V45" s="509"/>
      <c r="W45" s="509"/>
      <c r="X45" s="509"/>
      <c r="Y45" s="510"/>
      <c r="Z45" s="517">
        <f>SUM(L6,L11,L16,L21,L26,L31,L36)</f>
        <v>31</v>
      </c>
      <c r="AA45" s="509"/>
      <c r="AB45" s="509"/>
      <c r="AC45" s="509"/>
      <c r="AD45" s="518"/>
    </row>
    <row r="46" spans="1:30" x14ac:dyDescent="0.3">
      <c r="A46" s="511"/>
      <c r="B46" s="512"/>
      <c r="C46" s="512"/>
      <c r="D46" s="512"/>
      <c r="E46" s="513"/>
      <c r="F46" s="511"/>
      <c r="G46" s="512"/>
      <c r="H46" s="512"/>
      <c r="I46" s="512"/>
      <c r="J46" s="513"/>
      <c r="K46" s="511"/>
      <c r="L46" s="512"/>
      <c r="M46" s="512"/>
      <c r="N46" s="512"/>
      <c r="O46" s="513"/>
      <c r="P46" s="511"/>
      <c r="Q46" s="512"/>
      <c r="R46" s="512"/>
      <c r="S46" s="512"/>
      <c r="T46" s="513"/>
      <c r="U46" s="511"/>
      <c r="V46" s="512"/>
      <c r="W46" s="512"/>
      <c r="X46" s="512"/>
      <c r="Y46" s="513"/>
      <c r="Z46" s="511"/>
      <c r="AA46" s="512"/>
      <c r="AB46" s="512"/>
      <c r="AC46" s="512"/>
      <c r="AD46" s="519"/>
    </row>
    <row r="47" spans="1:30" x14ac:dyDescent="0.3">
      <c r="A47" s="511"/>
      <c r="B47" s="512"/>
      <c r="C47" s="512"/>
      <c r="D47" s="512"/>
      <c r="E47" s="513"/>
      <c r="F47" s="511"/>
      <c r="G47" s="512"/>
      <c r="H47" s="512"/>
      <c r="I47" s="512"/>
      <c r="J47" s="513"/>
      <c r="K47" s="511"/>
      <c r="L47" s="512"/>
      <c r="M47" s="512"/>
      <c r="N47" s="512"/>
      <c r="O47" s="513"/>
      <c r="P47" s="511"/>
      <c r="Q47" s="512"/>
      <c r="R47" s="512"/>
      <c r="S47" s="512"/>
      <c r="T47" s="513"/>
      <c r="U47" s="511"/>
      <c r="V47" s="512"/>
      <c r="W47" s="512"/>
      <c r="X47" s="512"/>
      <c r="Y47" s="513"/>
      <c r="Z47" s="511"/>
      <c r="AA47" s="512"/>
      <c r="AB47" s="512"/>
      <c r="AC47" s="512"/>
      <c r="AD47" s="519"/>
    </row>
    <row r="48" spans="1:30" ht="17.25" thickBot="1" x14ac:dyDescent="0.35">
      <c r="A48" s="514"/>
      <c r="B48" s="515"/>
      <c r="C48" s="515"/>
      <c r="D48" s="515"/>
      <c r="E48" s="516"/>
      <c r="F48" s="514"/>
      <c r="G48" s="515"/>
      <c r="H48" s="515"/>
      <c r="I48" s="515"/>
      <c r="J48" s="516"/>
      <c r="K48" s="514"/>
      <c r="L48" s="515"/>
      <c r="M48" s="515"/>
      <c r="N48" s="515"/>
      <c r="O48" s="516"/>
      <c r="P48" s="514"/>
      <c r="Q48" s="515"/>
      <c r="R48" s="515"/>
      <c r="S48" s="515"/>
      <c r="T48" s="516"/>
      <c r="U48" s="514"/>
      <c r="V48" s="515"/>
      <c r="W48" s="515"/>
      <c r="X48" s="515"/>
      <c r="Y48" s="516"/>
      <c r="Z48" s="514"/>
      <c r="AA48" s="515"/>
      <c r="AB48" s="515"/>
      <c r="AC48" s="515"/>
      <c r="AD48" s="520"/>
    </row>
    <row r="49" spans="1:30" ht="17.45" customHeight="1" x14ac:dyDescent="0.3">
      <c r="A49" s="478">
        <f>A45/E39</f>
        <v>0.17241379310344829</v>
      </c>
      <c r="B49" s="479"/>
      <c r="C49" s="479"/>
      <c r="D49" s="479"/>
      <c r="E49" s="480"/>
      <c r="F49" s="478">
        <f>F45/E39</f>
        <v>0.77957223919685725</v>
      </c>
      <c r="G49" s="479"/>
      <c r="H49" s="479"/>
      <c r="I49" s="479"/>
      <c r="J49" s="480"/>
      <c r="K49" s="478">
        <f>K45/E39</f>
        <v>4.801396769969446E-2</v>
      </c>
      <c r="L49" s="479"/>
      <c r="M49" s="479"/>
      <c r="N49" s="479"/>
      <c r="O49" s="480"/>
      <c r="P49" s="478">
        <f>P45/E39</f>
        <v>8.8717590571802701E-2</v>
      </c>
      <c r="Q49" s="479"/>
      <c r="R49" s="479"/>
      <c r="S49" s="479"/>
      <c r="T49" s="480"/>
      <c r="U49" s="487">
        <f>U45/7</f>
        <v>34.178571428571431</v>
      </c>
      <c r="V49" s="488"/>
      <c r="W49" s="488"/>
      <c r="X49" s="488"/>
      <c r="Y49" s="489"/>
      <c r="Z49" s="487">
        <f>U45/Z45</f>
        <v>7.717741935483871</v>
      </c>
      <c r="AA49" s="488"/>
      <c r="AB49" s="488"/>
      <c r="AC49" s="488"/>
      <c r="AD49" s="489"/>
    </row>
    <row r="50" spans="1:30" ht="17.45" customHeight="1" x14ac:dyDescent="0.3">
      <c r="A50" s="481"/>
      <c r="B50" s="482"/>
      <c r="C50" s="482"/>
      <c r="D50" s="482"/>
      <c r="E50" s="483"/>
      <c r="F50" s="481"/>
      <c r="G50" s="482"/>
      <c r="H50" s="482"/>
      <c r="I50" s="482"/>
      <c r="J50" s="483"/>
      <c r="K50" s="481"/>
      <c r="L50" s="482"/>
      <c r="M50" s="482"/>
      <c r="N50" s="482"/>
      <c r="O50" s="483"/>
      <c r="P50" s="481"/>
      <c r="Q50" s="482"/>
      <c r="R50" s="482"/>
      <c r="S50" s="482"/>
      <c r="T50" s="483"/>
      <c r="U50" s="490"/>
      <c r="V50" s="491"/>
      <c r="W50" s="491"/>
      <c r="X50" s="491"/>
      <c r="Y50" s="492"/>
      <c r="Z50" s="490"/>
      <c r="AA50" s="491"/>
      <c r="AB50" s="491"/>
      <c r="AC50" s="491"/>
      <c r="AD50" s="492"/>
    </row>
    <row r="51" spans="1:30" ht="17.45" customHeight="1" x14ac:dyDescent="0.3">
      <c r="A51" s="481"/>
      <c r="B51" s="482"/>
      <c r="C51" s="482"/>
      <c r="D51" s="482"/>
      <c r="E51" s="483"/>
      <c r="F51" s="481"/>
      <c r="G51" s="482"/>
      <c r="H51" s="482"/>
      <c r="I51" s="482"/>
      <c r="J51" s="483"/>
      <c r="K51" s="481"/>
      <c r="L51" s="482"/>
      <c r="M51" s="482"/>
      <c r="N51" s="482"/>
      <c r="O51" s="483"/>
      <c r="P51" s="481"/>
      <c r="Q51" s="482"/>
      <c r="R51" s="482"/>
      <c r="S51" s="482"/>
      <c r="T51" s="483"/>
      <c r="U51" s="490"/>
      <c r="V51" s="491"/>
      <c r="W51" s="491"/>
      <c r="X51" s="491"/>
      <c r="Y51" s="492"/>
      <c r="Z51" s="490"/>
      <c r="AA51" s="491"/>
      <c r="AB51" s="491"/>
      <c r="AC51" s="491"/>
      <c r="AD51" s="492"/>
    </row>
    <row r="52" spans="1:30" ht="18" customHeight="1" thickBot="1" x14ac:dyDescent="0.35">
      <c r="A52" s="484"/>
      <c r="B52" s="485"/>
      <c r="C52" s="485"/>
      <c r="D52" s="485"/>
      <c r="E52" s="486"/>
      <c r="F52" s="484"/>
      <c r="G52" s="485"/>
      <c r="H52" s="485"/>
      <c r="I52" s="485"/>
      <c r="J52" s="486"/>
      <c r="K52" s="484"/>
      <c r="L52" s="485"/>
      <c r="M52" s="485"/>
      <c r="N52" s="485"/>
      <c r="O52" s="486"/>
      <c r="P52" s="484"/>
      <c r="Q52" s="485"/>
      <c r="R52" s="485"/>
      <c r="S52" s="485"/>
      <c r="T52" s="486"/>
      <c r="U52" s="493"/>
      <c r="V52" s="494"/>
      <c r="W52" s="494"/>
      <c r="X52" s="494"/>
      <c r="Y52" s="495"/>
      <c r="Z52" s="493"/>
      <c r="AA52" s="494"/>
      <c r="AB52" s="494"/>
      <c r="AC52" s="494"/>
      <c r="AD52" s="495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BAC2EFBC-F104-4C90-A781-4472A7BD9B1A}"/>
</file>

<file path=customXml/itemProps2.xml><?xml version="1.0" encoding="utf-8"?>
<ds:datastoreItem xmlns:ds="http://schemas.openxmlformats.org/officeDocument/2006/customXml" ds:itemID="{FCB7271E-4CD0-4E6E-A3E0-98871B33D565}"/>
</file>

<file path=customXml/itemProps3.xml><?xml version="1.0" encoding="utf-8"?>
<ds:datastoreItem xmlns:ds="http://schemas.openxmlformats.org/officeDocument/2006/customXml" ds:itemID="{F04A10CB-98F3-4CB5-983D-7CC52DA4D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2022-04-16T07:33:38Z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