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9A68FFF5-8C1E-41DD-83ED-246031FCD1CF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2" l="1"/>
  <c r="K10" i="3"/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AH25" i="2"/>
  <c r="T25" i="2"/>
  <c r="T26" i="2" s="1"/>
  <c r="S25" i="2"/>
  <c r="S26" i="2" s="1"/>
  <c r="R25" i="2"/>
  <c r="R26" i="2" s="1"/>
  <c r="K25" i="2"/>
  <c r="J25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M31" i="1" s="1"/>
  <c r="L30" i="1"/>
  <c r="I30" i="1"/>
  <c r="I31" i="1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J16" i="1"/>
  <c r="U15" i="1"/>
  <c r="K15" i="1"/>
  <c r="J15" i="1"/>
  <c r="U14" i="1"/>
  <c r="K14" i="1"/>
  <c r="J14" i="1"/>
  <c r="U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T66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K30" i="3" s="1"/>
  <c r="K31" i="3" s="1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H31" i="5"/>
  <c r="M30" i="5"/>
  <c r="L30" i="5"/>
  <c r="I30" i="5"/>
  <c r="I31" i="5" s="1"/>
  <c r="S32" i="5" s="1"/>
  <c r="H30" i="5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30" i="2" l="1"/>
  <c r="K31" i="2" s="1"/>
  <c r="H34" i="8" s="1"/>
  <c r="U16" i="2"/>
  <c r="S16" i="2" s="1"/>
  <c r="J30" i="2"/>
  <c r="J31" i="2" s="1"/>
  <c r="H35" i="8" s="1"/>
  <c r="S32" i="1"/>
  <c r="H28" i="8" s="1"/>
  <c r="K30" i="1"/>
  <c r="K31" i="1" s="1"/>
  <c r="J30" i="1"/>
  <c r="J31" i="1" s="1"/>
  <c r="U16" i="1"/>
  <c r="R16" i="1" s="1"/>
  <c r="J30" i="3"/>
  <c r="J31" i="3" s="1"/>
  <c r="C32" i="3" s="1"/>
  <c r="O32" i="3" s="1"/>
  <c r="U16" i="3"/>
  <c r="R16" i="3" s="1"/>
  <c r="J30" i="4"/>
  <c r="J31" i="4" s="1"/>
  <c r="K30" i="4"/>
  <c r="K31" i="4" s="1"/>
  <c r="U16" i="4"/>
  <c r="R16" i="4" s="1"/>
  <c r="J30" i="5"/>
  <c r="J31" i="5" s="1"/>
  <c r="K30" i="5"/>
  <c r="K31" i="5" s="1"/>
  <c r="U16" i="5"/>
  <c r="S16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S16" i="3"/>
  <c r="Z32" i="3"/>
  <c r="Z33" i="3" s="1"/>
  <c r="S31" i="3"/>
  <c r="H22" i="8" s="1"/>
  <c r="T31" i="3"/>
  <c r="AD25" i="4"/>
  <c r="AI25" i="4"/>
  <c r="S16" i="4"/>
  <c r="Z32" i="4"/>
  <c r="Z33" i="4" s="1"/>
  <c r="S31" i="4"/>
  <c r="Y39" i="8"/>
  <c r="T31" i="4"/>
  <c r="AI25" i="5"/>
  <c r="AD25" i="5"/>
  <c r="S31" i="5"/>
  <c r="Z32" i="5"/>
  <c r="Z33" i="5" s="1"/>
  <c r="T31" i="5"/>
  <c r="AD25" i="6"/>
  <c r="AI25" i="6"/>
  <c r="S31" i="6"/>
  <c r="H7" i="8" s="1"/>
  <c r="Z32" i="6"/>
  <c r="Z33" i="6" s="1"/>
  <c r="T31" i="6"/>
  <c r="H13" i="8"/>
  <c r="H17" i="8"/>
  <c r="H1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V32" i="8" l="1"/>
  <c r="E36" i="8"/>
  <c r="R16" i="2"/>
  <c r="C32" i="2"/>
  <c r="O32" i="2" s="1"/>
  <c r="L33" i="8" s="1"/>
  <c r="S16" i="1"/>
  <c r="C32" i="1"/>
  <c r="P32" i="1" s="1"/>
  <c r="E31" i="8"/>
  <c r="E26" i="8"/>
  <c r="C32" i="4"/>
  <c r="P32" i="4" s="1"/>
  <c r="C32" i="5"/>
  <c r="O32" i="5" s="1"/>
  <c r="P32" i="5"/>
  <c r="R16" i="5"/>
  <c r="R16" i="6"/>
  <c r="S16" i="6"/>
  <c r="U25" i="3"/>
  <c r="T16" i="3"/>
  <c r="K32" i="3"/>
  <c r="P32" i="3"/>
  <c r="Q32" i="3"/>
  <c r="N32" i="3"/>
  <c r="T16" i="5"/>
  <c r="N32" i="5"/>
  <c r="C32" i="6"/>
  <c r="P32" i="6" s="1"/>
  <c r="Q32" i="6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P32" i="2" l="1"/>
  <c r="L34" i="8" s="1"/>
  <c r="T16" i="2"/>
  <c r="K32" i="2"/>
  <c r="N32" i="2"/>
  <c r="L32" i="8" s="1"/>
  <c r="U25" i="2"/>
  <c r="Q32" i="2"/>
  <c r="L35" i="8" s="1"/>
  <c r="N32" i="1"/>
  <c r="T16" i="1"/>
  <c r="K32" i="1"/>
  <c r="O32" i="1"/>
  <c r="Q32" i="1"/>
  <c r="U25" i="1"/>
  <c r="T16" i="4"/>
  <c r="K32" i="4"/>
  <c r="Q32" i="4"/>
  <c r="N32" i="4"/>
  <c r="O32" i="4"/>
  <c r="U25" i="4"/>
  <c r="K32" i="5"/>
  <c r="Q32" i="5"/>
  <c r="U25" i="5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L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<sst xmlns="http://schemas.openxmlformats.org/spreadsheetml/2006/main" count="1592" uniqueCount="347">
  <si>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</si>
  <si>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</si>
  <si>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</si>
  <si>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</si>
  <si>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</si>
  <si>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</si>
  <si>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</si>
  <si>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</si>
  <si>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</si>
  <si>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</si>
  <si>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</si>
  <si>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</si>
  <si>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</si>
  <si>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</si>
  <si>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</si>
  <si>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</si>
  <si>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</si>
  <si>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</si>
  <si>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</si>
  <si>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</si>
  <si>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</si>
  <si>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</si>
  <si>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</si>
  <si>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</si>
  <si>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</si>
  <si>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</si>
  <si>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</si>
  <si>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</si>
  <si>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</si>
  <si>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</si>
  <si>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</si>
  <si>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</si>
  <si>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</si>
  <si>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</si>
  <si>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</si>
  <si>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</si>
  <si>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</si>
  <si>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</si>
  <si>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</si>
  <si>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</si>
  <si>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</si>
  <si>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</si>
  <si>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</si>
  <si>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</si>
  <si>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</si>
  <si>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</si>
  <si>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</si>
  <si>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</si>
  <si>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</si>
  <si>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</si>
  <si>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</si>
  <si>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</si>
  <si>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</si>
  <si>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</si>
  <si>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</si>
  <si>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</si>
  <si>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</si>
  <si>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</si>
  <si>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</si>
  <si>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</si>
  <si>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</si>
  <si>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</si>
  <si>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</si>
  <si>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</si>
  <si>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</si>
  <si>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</si>
  <si>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</si>
  <si>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</si>
  <si>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</si>
  <si>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</si>
  <si>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</si>
  <si>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</si>
  <si>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</si>
  <si>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</si>
  <si>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</si>
  <si>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</si>
  <si>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</si>
  <si>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</si>
  <si>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</si>
  <si>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</si>
  <si>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</si>
  <si>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</si>
  <si>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</si>
  <si>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</si>
  <si>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</si>
  <si>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</si>
  <si>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</si>
  <si>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</si>
  <si>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</si>
  <si>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</si>
  <si>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</si>
  <si>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</si>
  <si>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</si>
  <si>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</si>
  <si>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</si>
  <si>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</si>
  <si>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</si>
  <si>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28 - 3 - 2022</t>
    <phoneticPr fontId="4" type="noConversion"/>
  </si>
  <si>
    <t>MIX</t>
    <phoneticPr fontId="4" type="noConversion"/>
  </si>
  <si>
    <t>HENDRA</t>
    <phoneticPr fontId="4" type="noConversion"/>
  </si>
  <si>
    <t>JUNIOR</t>
    <phoneticPr fontId="4" type="noConversion"/>
  </si>
  <si>
    <t>ARIANTO</t>
    <phoneticPr fontId="4" type="noConversion"/>
  </si>
  <si>
    <t>KUROSH</t>
    <phoneticPr fontId="4" type="noConversion"/>
  </si>
  <si>
    <t>VINNY</t>
    <phoneticPr fontId="4" type="noConversion"/>
  </si>
  <si>
    <t>CHLOE</t>
    <phoneticPr fontId="4" type="noConversion"/>
  </si>
  <si>
    <t>ERIC</t>
    <phoneticPr fontId="4" type="noConversion"/>
  </si>
  <si>
    <t>CLC200</t>
    <phoneticPr fontId="4" type="noConversion"/>
  </si>
  <si>
    <t>0408180808</t>
    <phoneticPr fontId="4" type="noConversion"/>
  </si>
  <si>
    <t>EIS53T</t>
    <phoneticPr fontId="4" type="noConversion"/>
  </si>
  <si>
    <t>0400447345</t>
    <phoneticPr fontId="4" type="noConversion"/>
  </si>
  <si>
    <t>X</t>
    <phoneticPr fontId="4" type="noConversion"/>
  </si>
  <si>
    <t>EKZ01A</t>
    <phoneticPr fontId="4" type="noConversion"/>
  </si>
  <si>
    <t>0412931746</t>
    <phoneticPr fontId="4" type="noConversion"/>
  </si>
  <si>
    <t>JO1326</t>
    <phoneticPr fontId="4" type="noConversion"/>
  </si>
  <si>
    <t>0400228850</t>
    <phoneticPr fontId="4" type="noConversion"/>
  </si>
  <si>
    <t>OH1688</t>
    <phoneticPr fontId="4" type="noConversion"/>
  </si>
  <si>
    <t>0431155888</t>
    <phoneticPr fontId="4" type="noConversion"/>
  </si>
  <si>
    <t>X/ID</t>
    <phoneticPr fontId="4" type="noConversion"/>
  </si>
  <si>
    <t>IL333</t>
    <phoneticPr fontId="4" type="noConversion"/>
  </si>
  <si>
    <t>0432333383</t>
    <phoneticPr fontId="4" type="noConversion"/>
  </si>
  <si>
    <t>DTU94H</t>
    <phoneticPr fontId="4" type="noConversion"/>
  </si>
  <si>
    <t>0409708686</t>
    <phoneticPr fontId="4" type="noConversion"/>
  </si>
  <si>
    <t>FD</t>
    <phoneticPr fontId="4" type="noConversion"/>
  </si>
  <si>
    <t>LAU777</t>
    <phoneticPr fontId="4" type="noConversion"/>
  </si>
  <si>
    <t>0416462000</t>
    <phoneticPr fontId="4" type="noConversion"/>
  </si>
  <si>
    <t>H</t>
    <phoneticPr fontId="4" type="noConversion"/>
  </si>
  <si>
    <t>B2 PCS 22012 (NEW)</t>
    <phoneticPr fontId="4" type="noConversion"/>
  </si>
  <si>
    <t>DDP70Z</t>
    <phoneticPr fontId="4" type="noConversion"/>
  </si>
  <si>
    <t>0418911112</t>
    <phoneticPr fontId="4" type="noConversion"/>
  </si>
  <si>
    <t>AZL29Z</t>
    <phoneticPr fontId="4" type="noConversion"/>
  </si>
  <si>
    <t>0408617100</t>
    <phoneticPr fontId="4" type="noConversion"/>
  </si>
  <si>
    <t>DSF72M</t>
    <phoneticPr fontId="4" type="noConversion"/>
  </si>
  <si>
    <t>0406422181</t>
    <phoneticPr fontId="4" type="noConversion"/>
  </si>
  <si>
    <t>D</t>
    <phoneticPr fontId="4" type="noConversion"/>
  </si>
  <si>
    <t>CZX93L</t>
    <phoneticPr fontId="4" type="noConversion"/>
  </si>
  <si>
    <t>0409785177</t>
    <phoneticPr fontId="4" type="noConversion"/>
  </si>
  <si>
    <t>29 - 3 - 2022</t>
    <phoneticPr fontId="4" type="noConversion"/>
  </si>
  <si>
    <t>SHOWER</t>
    <phoneticPr fontId="4" type="noConversion"/>
  </si>
  <si>
    <t>STEVE</t>
    <phoneticPr fontId="4" type="noConversion"/>
  </si>
  <si>
    <t>CMKO7Q</t>
    <phoneticPr fontId="4" type="noConversion"/>
  </si>
  <si>
    <t>BIBEK S.</t>
    <phoneticPr fontId="4" type="noConversion"/>
  </si>
  <si>
    <t>0421084848</t>
    <phoneticPr fontId="4" type="noConversion"/>
  </si>
  <si>
    <t>EKL90B</t>
    <phoneticPr fontId="4" type="noConversion"/>
  </si>
  <si>
    <t>0408864207</t>
    <phoneticPr fontId="4" type="noConversion"/>
  </si>
  <si>
    <t>BBF59H</t>
    <phoneticPr fontId="4" type="noConversion"/>
  </si>
  <si>
    <t>0467288617</t>
    <phoneticPr fontId="4" type="noConversion"/>
  </si>
  <si>
    <t>I</t>
    <phoneticPr fontId="4" type="noConversion"/>
  </si>
  <si>
    <t>DVJ23D</t>
    <phoneticPr fontId="4" type="noConversion"/>
  </si>
  <si>
    <t>0404468707</t>
    <phoneticPr fontId="4" type="noConversion"/>
  </si>
  <si>
    <t>DAY46S</t>
    <phoneticPr fontId="4" type="noConversion"/>
  </si>
  <si>
    <t>0412300040</t>
    <phoneticPr fontId="4" type="noConversion"/>
  </si>
  <si>
    <t>DXN78G</t>
    <phoneticPr fontId="4" type="noConversion"/>
  </si>
  <si>
    <t>0412688084</t>
    <phoneticPr fontId="4" type="noConversion"/>
  </si>
  <si>
    <t>ELM40V</t>
    <phoneticPr fontId="4" type="noConversion"/>
  </si>
  <si>
    <t>0414858897</t>
    <phoneticPr fontId="4" type="noConversion"/>
  </si>
  <si>
    <t>PCL</t>
    <phoneticPr fontId="4" type="noConversion"/>
  </si>
  <si>
    <t># 21053 6/6</t>
    <phoneticPr fontId="4" type="noConversion"/>
  </si>
  <si>
    <t>EJX89L</t>
    <phoneticPr fontId="4" type="noConversion"/>
  </si>
  <si>
    <t>0432180139</t>
    <phoneticPr fontId="4" type="noConversion"/>
  </si>
  <si>
    <t>30 - 3 - 2022</t>
    <phoneticPr fontId="4" type="noConversion"/>
  </si>
  <si>
    <t>CLOUDY</t>
    <phoneticPr fontId="4" type="noConversion"/>
  </si>
  <si>
    <t>CRT64P</t>
    <phoneticPr fontId="4" type="noConversion"/>
  </si>
  <si>
    <t>0401881243</t>
    <phoneticPr fontId="4" type="noConversion"/>
  </si>
  <si>
    <t>JR752</t>
    <phoneticPr fontId="4" type="noConversion"/>
  </si>
  <si>
    <t>0439466346</t>
    <phoneticPr fontId="4" type="noConversion"/>
  </si>
  <si>
    <t>DKH77Z</t>
    <phoneticPr fontId="4" type="noConversion"/>
  </si>
  <si>
    <t>GV3</t>
    <phoneticPr fontId="4" type="noConversion"/>
  </si>
  <si>
    <t>0451386977</t>
    <phoneticPr fontId="4" type="noConversion"/>
  </si>
  <si>
    <t>#202815 {4 5 6 /6}</t>
    <phoneticPr fontId="4" type="noConversion"/>
  </si>
  <si>
    <t>CVZ79Z</t>
    <phoneticPr fontId="4" type="noConversion"/>
  </si>
  <si>
    <t>0417692476</t>
    <phoneticPr fontId="4" type="noConversion"/>
  </si>
  <si>
    <t>NBQ71F</t>
    <phoneticPr fontId="4" type="noConversion"/>
  </si>
  <si>
    <t>0414457438</t>
    <phoneticPr fontId="4" type="noConversion"/>
  </si>
  <si>
    <t>D/LTH</t>
    <phoneticPr fontId="4" type="noConversion"/>
  </si>
  <si>
    <t>CT54AS</t>
    <phoneticPr fontId="4" type="noConversion"/>
  </si>
  <si>
    <t>0401245984</t>
    <phoneticPr fontId="4" type="noConversion"/>
  </si>
  <si>
    <t>GV080</t>
    <phoneticPr fontId="4" type="noConversion"/>
  </si>
  <si>
    <t>0402030520</t>
    <phoneticPr fontId="4" type="noConversion"/>
  </si>
  <si>
    <t>TRICEPS</t>
    <phoneticPr fontId="4" type="noConversion"/>
  </si>
  <si>
    <t>DHJ53Y</t>
    <phoneticPr fontId="4" type="noConversion"/>
  </si>
  <si>
    <t>O</t>
    <phoneticPr fontId="4" type="noConversion"/>
  </si>
  <si>
    <t>ECS07C</t>
    <phoneticPr fontId="4" type="noConversion"/>
  </si>
  <si>
    <t>0406945380</t>
    <phoneticPr fontId="4" type="noConversion"/>
  </si>
  <si>
    <t>31 - 3 - 2022</t>
    <phoneticPr fontId="4" type="noConversion"/>
  </si>
  <si>
    <t>JAIKE</t>
    <phoneticPr fontId="4" type="noConversion"/>
  </si>
  <si>
    <t>ATET</t>
    <phoneticPr fontId="4" type="noConversion"/>
  </si>
  <si>
    <t>EIV60S</t>
    <phoneticPr fontId="4" type="noConversion"/>
  </si>
  <si>
    <t>0414277383</t>
    <phoneticPr fontId="4" type="noConversion"/>
  </si>
  <si>
    <t>CRQ96X</t>
    <phoneticPr fontId="4" type="noConversion"/>
  </si>
  <si>
    <t>0408062082</t>
    <phoneticPr fontId="4" type="noConversion"/>
  </si>
  <si>
    <t>D/ST</t>
    <phoneticPr fontId="4" type="noConversion"/>
  </si>
  <si>
    <t>WUS888</t>
    <phoneticPr fontId="4" type="noConversion"/>
  </si>
  <si>
    <t>0426889885</t>
    <phoneticPr fontId="4" type="noConversion"/>
  </si>
  <si>
    <t>JOEOOE</t>
    <phoneticPr fontId="4" type="noConversion"/>
  </si>
  <si>
    <t>0403113366</t>
    <phoneticPr fontId="4" type="noConversion"/>
  </si>
  <si>
    <t>CSY91B</t>
    <phoneticPr fontId="4" type="noConversion"/>
  </si>
  <si>
    <t>0416830537</t>
    <phoneticPr fontId="4" type="noConversion"/>
  </si>
  <si>
    <t>CX36EU</t>
    <phoneticPr fontId="4" type="noConversion"/>
  </si>
  <si>
    <t>EDH10W</t>
    <phoneticPr fontId="4" type="noConversion"/>
  </si>
  <si>
    <t>KEN838</t>
    <phoneticPr fontId="4" type="noConversion"/>
  </si>
  <si>
    <t>0412038383</t>
    <phoneticPr fontId="4" type="noConversion"/>
  </si>
  <si>
    <t># 22012 1/6</t>
    <phoneticPr fontId="4" type="noConversion"/>
  </si>
  <si>
    <t>ERB29F</t>
    <phoneticPr fontId="4" type="noConversion"/>
  </si>
  <si>
    <t>0428080256</t>
    <phoneticPr fontId="4" type="noConversion"/>
  </si>
  <si>
    <t>202201007 , 202201008</t>
    <phoneticPr fontId="4" type="noConversion"/>
  </si>
  <si>
    <t>DVY10N</t>
    <phoneticPr fontId="4" type="noConversion"/>
  </si>
  <si>
    <t>0448111013</t>
    <phoneticPr fontId="4" type="noConversion"/>
  </si>
  <si>
    <t>JCJ091</t>
    <phoneticPr fontId="4" type="noConversion"/>
  </si>
  <si>
    <t>0409322110</t>
    <phoneticPr fontId="4" type="noConversion"/>
  </si>
  <si>
    <t>I/ST</t>
    <phoneticPr fontId="4" type="noConversion"/>
  </si>
  <si>
    <t>CRR94P</t>
    <phoneticPr fontId="4" type="noConversion"/>
  </si>
  <si>
    <t>0431235579</t>
    <phoneticPr fontId="4" type="noConversion"/>
  </si>
  <si>
    <t>NCE21C</t>
    <phoneticPr fontId="4" type="noConversion"/>
  </si>
  <si>
    <t>0408937199</t>
    <phoneticPr fontId="4" type="noConversion"/>
  </si>
  <si>
    <t>01 - 4 - 2022</t>
    <phoneticPr fontId="4" type="noConversion"/>
  </si>
  <si>
    <t>CHARLIE</t>
    <phoneticPr fontId="4" type="noConversion"/>
  </si>
  <si>
    <t>CNJ37F</t>
    <phoneticPr fontId="4" type="noConversion"/>
  </si>
  <si>
    <t>0452515099</t>
    <phoneticPr fontId="4" type="noConversion"/>
  </si>
  <si>
    <t>NG5</t>
    <phoneticPr fontId="4" type="noConversion"/>
  </si>
  <si>
    <t>0414573238</t>
    <phoneticPr fontId="4" type="noConversion"/>
  </si>
  <si>
    <t>BIBEK S. NOT COMING NO ANSWER PHONE</t>
    <phoneticPr fontId="4" type="noConversion"/>
  </si>
  <si>
    <t>CYD80J</t>
    <phoneticPr fontId="4" type="noConversion"/>
  </si>
  <si>
    <t>0418386688</t>
    <phoneticPr fontId="4" type="noConversion"/>
  </si>
  <si>
    <t>0421992456</t>
    <phoneticPr fontId="4" type="noConversion"/>
  </si>
  <si>
    <t>CTI91Q</t>
    <phoneticPr fontId="4" type="noConversion"/>
  </si>
  <si>
    <t>DX064Z</t>
    <phoneticPr fontId="4" type="noConversion"/>
  </si>
  <si>
    <t>0402359189</t>
    <phoneticPr fontId="4" type="noConversion"/>
  </si>
  <si>
    <t>JOHN</t>
    <phoneticPr fontId="4" type="noConversion"/>
  </si>
  <si>
    <t>KEVIN</t>
    <phoneticPr fontId="4" type="noConversion"/>
  </si>
  <si>
    <t>0406344444</t>
    <phoneticPr fontId="4" type="noConversion"/>
  </si>
  <si>
    <t>M</t>
  </si>
  <si>
    <t>22003(3/6)</t>
    <phoneticPr fontId="4" type="noConversion"/>
  </si>
  <si>
    <t>BIVEK</t>
    <phoneticPr fontId="4" type="noConversion"/>
  </si>
  <si>
    <t>DGE01T</t>
    <phoneticPr fontId="4" type="noConversion"/>
  </si>
  <si>
    <t>0419419369</t>
    <phoneticPr fontId="4" type="noConversion"/>
  </si>
  <si>
    <t>EJQ27P</t>
    <phoneticPr fontId="4" type="noConversion"/>
  </si>
  <si>
    <t>CS700</t>
    <phoneticPr fontId="4" type="noConversion"/>
  </si>
  <si>
    <t>0438997201</t>
    <phoneticPr fontId="4" type="noConversion"/>
  </si>
  <si>
    <t>F</t>
  </si>
  <si>
    <t>EPK77K</t>
    <phoneticPr fontId="4" type="noConversion"/>
  </si>
  <si>
    <t>0413473029</t>
    <phoneticPr fontId="4" type="noConversion"/>
  </si>
  <si>
    <t>21GLEE</t>
    <phoneticPr fontId="4" type="noConversion"/>
  </si>
  <si>
    <t>0423109860</t>
    <phoneticPr fontId="4" type="noConversion"/>
  </si>
  <si>
    <t>BP</t>
    <phoneticPr fontId="4" type="noConversion"/>
  </si>
  <si>
    <t>JM907</t>
    <phoneticPr fontId="4" type="noConversion"/>
  </si>
  <si>
    <t>0419462636</t>
    <phoneticPr fontId="4" type="noConversion"/>
  </si>
  <si>
    <t>BZF48G</t>
    <phoneticPr fontId="4" type="noConversion"/>
  </si>
  <si>
    <t>0412821400</t>
    <phoneticPr fontId="4" type="noConversion"/>
  </si>
  <si>
    <t>NBE65M</t>
    <phoneticPr fontId="4" type="noConversion"/>
  </si>
  <si>
    <t>0413089789</t>
    <phoneticPr fontId="4" type="noConversion"/>
  </si>
  <si>
    <t>EJO88U</t>
    <phoneticPr fontId="4" type="noConversion"/>
  </si>
  <si>
    <t>0491126888</t>
    <phoneticPr fontId="4" type="noConversion"/>
  </si>
  <si>
    <t>22016(1/6)</t>
    <phoneticPr fontId="4" type="noConversion"/>
  </si>
  <si>
    <t>02 - 04- 2022</t>
    <phoneticPr fontId="4" type="noConversion"/>
  </si>
  <si>
    <t>KMX888</t>
    <phoneticPr fontId="4" type="noConversion"/>
  </si>
  <si>
    <t>0407603135</t>
    <phoneticPr fontId="4" type="noConversion"/>
  </si>
  <si>
    <t>AWU328</t>
    <phoneticPr fontId="4" type="noConversion"/>
  </si>
  <si>
    <t>0411833372</t>
    <phoneticPr fontId="4" type="noConversion"/>
  </si>
  <si>
    <t>HMC168</t>
    <phoneticPr fontId="4" type="noConversion"/>
  </si>
  <si>
    <t>0416285397</t>
    <phoneticPr fontId="4" type="noConversion"/>
  </si>
  <si>
    <t>PCS</t>
    <phoneticPr fontId="4" type="noConversion"/>
  </si>
  <si>
    <t>22004(2/6)</t>
    <phoneticPr fontId="4" type="noConversion"/>
  </si>
  <si>
    <t>END84B</t>
    <phoneticPr fontId="4" type="noConversion"/>
  </si>
  <si>
    <t>0419418254</t>
    <phoneticPr fontId="4" type="noConversion"/>
  </si>
  <si>
    <t>DSX96R</t>
    <phoneticPr fontId="4" type="noConversion"/>
  </si>
  <si>
    <t>0414965132</t>
    <phoneticPr fontId="4" type="noConversion"/>
  </si>
  <si>
    <t>EEN09H</t>
    <phoneticPr fontId="4" type="noConversion"/>
  </si>
  <si>
    <t>EJW57Y</t>
    <phoneticPr fontId="4" type="noConversion"/>
  </si>
  <si>
    <t>0402929999</t>
    <phoneticPr fontId="4" type="noConversion"/>
  </si>
  <si>
    <t>0412003883</t>
    <phoneticPr fontId="4" type="noConversion"/>
  </si>
  <si>
    <t>CWJ68C</t>
    <phoneticPr fontId="4" type="noConversion"/>
  </si>
  <si>
    <t>0411478417</t>
    <phoneticPr fontId="4" type="noConversion"/>
  </si>
  <si>
    <t>X/ST</t>
    <phoneticPr fontId="4" type="noConversion"/>
  </si>
  <si>
    <t>BNO96P</t>
    <phoneticPr fontId="4" type="noConversion"/>
  </si>
  <si>
    <t>0409036690</t>
    <phoneticPr fontId="4" type="noConversion"/>
  </si>
  <si>
    <t>M813LH</t>
    <phoneticPr fontId="4" type="noConversion"/>
  </si>
  <si>
    <t>0409455576</t>
    <phoneticPr fontId="4" type="noConversion"/>
  </si>
  <si>
    <t>YDV94G</t>
    <phoneticPr fontId="4" type="noConversion"/>
  </si>
  <si>
    <t>0450835114</t>
    <phoneticPr fontId="4" type="noConversion"/>
  </si>
  <si>
    <t>202203080-82(H)</t>
    <phoneticPr fontId="4" type="noConversion"/>
  </si>
  <si>
    <t>PCU21W</t>
    <phoneticPr fontId="4" type="noConversion"/>
  </si>
  <si>
    <t>0448792258</t>
    <phoneticPr fontId="4" type="noConversion"/>
  </si>
  <si>
    <t>CNS52K</t>
    <phoneticPr fontId="4" type="noConversion"/>
  </si>
  <si>
    <t>0409534162</t>
    <phoneticPr fontId="4" type="noConversion"/>
  </si>
  <si>
    <t>AKS72Z</t>
    <phoneticPr fontId="4" type="noConversion"/>
  </si>
  <si>
    <t>0488116161</t>
    <phoneticPr fontId="4" type="noConversion"/>
  </si>
  <si>
    <t>YSY52D</t>
    <phoneticPr fontId="4" type="noConversion"/>
  </si>
  <si>
    <t>0405016017</t>
    <phoneticPr fontId="4" type="noConversion"/>
  </si>
  <si>
    <t>202792(5,6/6) 22017(NEW)</t>
    <phoneticPr fontId="4" type="noConversion"/>
  </si>
  <si>
    <t>537ZZT</t>
    <phoneticPr fontId="4" type="noConversion"/>
  </si>
  <si>
    <t>0404498044</t>
    <phoneticPr fontId="4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</si>
  <si>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" type="noConversion"/>
  </si>
  <si>
    <t>03-04-2022</t>
    <phoneticPr fontId="4" type="noConversion"/>
  </si>
  <si>
    <t>SUNNY</t>
    <phoneticPr fontId="4" type="noConversion"/>
  </si>
  <si>
    <t>EBZ65W</t>
    <phoneticPr fontId="4" type="noConversion"/>
  </si>
  <si>
    <t>0452431336</t>
    <phoneticPr fontId="4" type="noConversion"/>
  </si>
  <si>
    <t>ERU31W</t>
    <phoneticPr fontId="4" type="noConversion"/>
  </si>
  <si>
    <t>0402233668</t>
    <phoneticPr fontId="4" type="noConversion"/>
  </si>
  <si>
    <t>92MPLC</t>
    <phoneticPr fontId="4" type="noConversion"/>
  </si>
  <si>
    <t>SOVID</t>
    <phoneticPr fontId="4" type="noConversion"/>
  </si>
  <si>
    <t>DVC59C</t>
    <phoneticPr fontId="4" type="noConversion"/>
  </si>
  <si>
    <t>0424164281</t>
    <phoneticPr fontId="4" type="noConversion"/>
  </si>
  <si>
    <t>0430099984</t>
    <phoneticPr fontId="4" type="noConversion"/>
  </si>
  <si>
    <t>ONE</t>
    <phoneticPr fontId="4" type="noConversion"/>
  </si>
  <si>
    <t>0433683684</t>
    <phoneticPr fontId="4" type="noConversion"/>
  </si>
  <si>
    <t>22015(2/6)</t>
    <phoneticPr fontId="4" type="noConversion"/>
  </si>
  <si>
    <t>EEP37M</t>
    <phoneticPr fontId="4" type="noConversion"/>
  </si>
  <si>
    <t>0448122108</t>
    <phoneticPr fontId="4" type="noConversion"/>
  </si>
  <si>
    <t>SAT888</t>
    <phoneticPr fontId="4" type="noConversion"/>
  </si>
  <si>
    <t>0438283811</t>
    <phoneticPr fontId="4" type="noConversion"/>
  </si>
  <si>
    <t>F/D</t>
    <phoneticPr fontId="4" type="noConversion"/>
  </si>
  <si>
    <t>EBQ51J</t>
    <phoneticPr fontId="4" type="noConversion"/>
  </si>
  <si>
    <t>0410592772</t>
    <phoneticPr fontId="4" type="noConversion"/>
  </si>
  <si>
    <t>WSD16M</t>
    <phoneticPr fontId="4" type="noConversion"/>
  </si>
  <si>
    <t>0416251135</t>
    <phoneticPr fontId="4" type="noConversion"/>
  </si>
  <si>
    <t>DGE19B</t>
    <phoneticPr fontId="4" type="noConversion"/>
  </si>
  <si>
    <t>0417417367</t>
    <phoneticPr fontId="4" type="noConversion"/>
  </si>
  <si>
    <t>EEA06F</t>
    <phoneticPr fontId="4" type="noConversion"/>
  </si>
  <si>
    <t>0403855982</t>
    <phoneticPr fontId="4" type="noConversion"/>
  </si>
  <si>
    <t>CHN39M</t>
    <phoneticPr fontId="4" type="noConversion"/>
  </si>
  <si>
    <t>0426606027</t>
    <phoneticPr fontId="4" type="noConversion"/>
  </si>
  <si>
    <t>EEM08P</t>
    <phoneticPr fontId="4" type="noConversion"/>
  </si>
  <si>
    <t>0422189198</t>
    <phoneticPr fontId="4" type="noConversion"/>
  </si>
  <si>
    <t>BSL91D</t>
    <phoneticPr fontId="4" type="noConversion"/>
  </si>
  <si>
    <t>0416634401</t>
    <phoneticPr fontId="4" type="noConversion"/>
  </si>
  <si>
    <t>OOSHA</t>
    <phoneticPr fontId="4" type="noConversion"/>
  </si>
  <si>
    <t>0450928298</t>
    <phoneticPr fontId="4" type="noConversion"/>
  </si>
  <si>
    <t>LQ1001</t>
    <phoneticPr fontId="4" type="noConversion"/>
  </si>
  <si>
    <t>0414186891</t>
    <phoneticPr fontId="4" type="noConversion"/>
  </si>
  <si>
    <t>EAW43G</t>
    <phoneticPr fontId="4" type="noConversion"/>
  </si>
  <si>
    <t>0408306058</t>
    <phoneticPr fontId="4" type="noConversion"/>
  </si>
  <si>
    <t>IIQ7II</t>
    <phoneticPr fontId="4" type="noConversion"/>
  </si>
  <si>
    <t>W/O</t>
    <phoneticPr fontId="4" type="noConversion"/>
  </si>
  <si>
    <t>CYO53G</t>
    <phoneticPr fontId="4" type="noConversion"/>
  </si>
  <si>
    <t>0430475688</t>
    <phoneticPr fontId="4" type="noConversion"/>
  </si>
  <si>
    <t>22010(1/6)</t>
    <phoneticPr fontId="4" type="noConversion"/>
  </si>
  <si>
    <t>ANQ32F</t>
    <phoneticPr fontId="4" type="noConversion"/>
  </si>
  <si>
    <t>0413984656</t>
    <phoneticPr fontId="4" type="noConversion"/>
  </si>
  <si>
    <t>NYN12P</t>
    <phoneticPr fontId="4" type="noConversion"/>
  </si>
  <si>
    <t>0400065081</t>
    <phoneticPr fontId="4" type="noConversion"/>
  </si>
  <si>
    <t>BNI71F</t>
    <phoneticPr fontId="4" type="noConversion"/>
  </si>
  <si>
    <t>0414659746</t>
    <phoneticPr fontId="4" type="noConversion"/>
  </si>
  <si>
    <t>M66W</t>
    <phoneticPr fontId="4" type="noConversion"/>
  </si>
  <si>
    <t>0411452011</t>
    <phoneticPr fontId="4" type="noConversion"/>
  </si>
  <si>
    <t>202203001-2(H)</t>
    <phoneticPr fontId="4" type="noConversion"/>
  </si>
  <si>
    <t>0412060604</t>
    <phoneticPr fontId="4" type="noConversion"/>
  </si>
  <si>
    <t>g1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</si>
</sst>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71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24" fillId="14" borderId="9" xfId="4" applyBorder="1" applyAlignment="1">
      <alignment horizont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49" fontId="24" fillId="14" borderId="2" xfId="4" applyNumberFormat="1" applyBorder="1" applyAlignment="1">
      <alignment horizontal="left" shrinkToFit="1"/>
    </xf>
    <xf numFmtId="0" fontId="24" fillId="14" borderId="62" xfId="4" applyBorder="1" applyAlignment="1">
      <alignment horizontal="center" shrinkToFit="1"/>
    </xf>
    <xf numFmtId="179" fontId="24" fillId="14" borderId="26" xfId="4" applyNumberFormat="1" applyBorder="1" applyAlignment="1">
      <alignment horizontal="left"/>
    </xf>
    <xf numFmtId="0" fontId="24" fillId="14" borderId="1" xfId="4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26" xfId="4" applyBorder="1" applyAlignment="1">
      <alignment horizontal="left" shrinkToFit="1"/>
    </xf>
    <xf numFmtId="0" fontId="24" fillId="14" borderId="1" xfId="4" applyBorder="1" applyAlignment="1">
      <alignment horizontal="center" vertical="center" shrinkToFit="1"/>
    </xf>
    <xf numFmtId="178" fontId="24" fillId="14" borderId="1" xfId="4" applyNumberFormat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20" fontId="7" fillId="0" borderId="39" xfId="0" applyNumberFormat="1" applyFont="1" applyBorder="1" applyAlignment="1">
      <alignment horizontal="left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0" fontId="24" fillId="14" borderId="1" xfId="4" applyBorder="1" applyAlignment="1">
      <alignment horizontal="center"/>
    </xf>
    <xf numFmtId="0" fontId="24" fillId="14" borderId="19" xfId="4" applyBorder="1" applyAlignment="1">
      <alignment horizontal="center" shrinkToFit="1"/>
    </xf>
    <xf numFmtId="49" fontId="24" fillId="14" borderId="2" xfId="4" applyNumberFormat="1" applyBorder="1" applyAlignment="1">
      <alignment horizontal="left"/>
    </xf>
    <xf numFmtId="0" fontId="24" fillId="14" borderId="1" xfId="4" applyBorder="1" applyAlignment="1"/>
    <xf numFmtId="179" fontId="24" fillId="14" borderId="39" xfId="4" applyNumberFormat="1" applyBorder="1" applyAlignment="1">
      <alignment horizontal="left"/>
    </xf>
    <xf numFmtId="0" fontId="24" fillId="14" borderId="1" xfId="4" applyBorder="1" applyAlignment="1">
      <alignment horizontal="left"/>
    </xf>
    <xf numFmtId="20" fontId="0" fillId="0" borderId="1" xfId="0" applyNumberFormat="1" applyBorder="1" applyAlignment="1">
      <alignment horizontal="left" shrinkToFit="1"/>
    </xf>
    <xf numFmtId="178" fontId="24" fillId="14" borderId="61" xfId="4" applyNumberFormat="1" applyBorder="1" applyAlignment="1">
      <alignment horizontal="center" shrinkToFit="1"/>
    </xf>
    <xf numFmtId="178" fontId="24" fillId="14" borderId="26" xfId="4" applyNumberFormat="1" applyBorder="1" applyAlignment="1">
      <alignment horizontal="center" shrinkToFit="1"/>
    </xf>
    <xf numFmtId="0" fontId="24" fillId="14" borderId="36" xfId="4" applyBorder="1" applyAlignment="1">
      <alignment horizontal="left" shrinkToFit="1"/>
    </xf>
    <xf numFmtId="49" fontId="24" fillId="14" borderId="36" xfId="4" applyNumberFormat="1" applyBorder="1" applyAlignment="1">
      <alignment horizontal="left" shrinkToFit="1"/>
    </xf>
    <xf numFmtId="0" fontId="24" fillId="14" borderId="36" xfId="4" applyBorder="1" applyAlignment="1">
      <alignment horizontal="center" shrinkToFit="1"/>
    </xf>
    <xf numFmtId="178" fontId="24" fillId="14" borderId="36" xfId="4" applyNumberFormat="1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39" xfId="4" applyBorder="1" applyAlignment="1">
      <alignment horizontal="left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6" xfId="4" applyBorder="1" applyAlignment="1">
      <alignment horizontal="center" shrinkToFit="1"/>
    </xf>
    <xf numFmtId="0" fontId="24" fillId="14" borderId="37" xfId="4" applyBorder="1" applyAlignment="1">
      <alignment horizontal="center" shrinkToFit="1"/>
    </xf>
    <xf numFmtId="0" fontId="24" fillId="14" borderId="47" xfId="4" applyBorder="1" applyAlignment="1">
      <alignment horizontal="center" shrinkToFit="1"/>
    </xf>
    <xf numFmtId="0" fontId="24" fillId="14" borderId="2" xfId="4" applyBorder="1" applyAlignment="1">
      <alignment horizontal="center" vertical="center" shrinkToFit="1"/>
    </xf>
    <xf numFmtId="0" fontId="24" fillId="14" borderId="29" xfId="4" applyBorder="1" applyAlignment="1">
      <alignment horizontal="center" vertical="center" shrinkToFit="1"/>
    </xf>
    <xf numFmtId="0" fontId="24" fillId="14" borderId="17" xfId="4" applyBorder="1" applyAlignment="1">
      <alignment horizontal="center" vertical="center" shrinkToFit="1"/>
    </xf>
    <xf numFmtId="0" fontId="24" fillId="14" borderId="36" xfId="4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N17" sqref="N1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8" t="s">
        <v>77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50"/>
    </row>
    <row r="2" spans="1:44" ht="17.25" thickBot="1" x14ac:dyDescent="0.35">
      <c r="A2" s="348" t="s">
        <v>97</v>
      </c>
      <c r="B2" s="349"/>
      <c r="C2" s="349"/>
      <c r="D2" s="349"/>
      <c r="E2" s="349"/>
      <c r="F2" s="349"/>
      <c r="G2" s="350"/>
      <c r="H2" s="351" t="s">
        <v>49</v>
      </c>
      <c r="I2" s="352"/>
      <c r="J2" s="348" t="s">
        <v>98</v>
      </c>
      <c r="K2" s="350"/>
      <c r="L2" s="352" t="s">
        <v>96</v>
      </c>
      <c r="M2" s="353"/>
      <c r="N2" s="351"/>
      <c r="O2" s="349" t="s">
        <v>99</v>
      </c>
      <c r="P2" s="349"/>
      <c r="Q2" s="350"/>
      <c r="R2" s="352" t="s">
        <v>51</v>
      </c>
      <c r="S2" s="351"/>
      <c r="T2" s="340">
        <v>7</v>
      </c>
      <c r="U2" s="34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41" t="s">
        <v>8</v>
      </c>
      <c r="P4" s="341"/>
      <c r="Q4" s="341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4773</v>
      </c>
      <c r="C5" s="68" t="s">
        <v>106</v>
      </c>
      <c r="D5" s="200" t="s">
        <v>107</v>
      </c>
      <c r="E5" s="181" t="s">
        <v>91</v>
      </c>
      <c r="F5" s="170">
        <v>945</v>
      </c>
      <c r="G5" s="118" t="s">
        <v>44</v>
      </c>
      <c r="H5" s="91"/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90">
        <v>202201076</v>
      </c>
      <c r="P5" s="391"/>
      <c r="Q5" s="392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4774</v>
      </c>
      <c r="C6" s="67" t="s">
        <v>108</v>
      </c>
      <c r="D6" s="200" t="s">
        <v>109</v>
      </c>
      <c r="E6" s="181" t="s">
        <v>92</v>
      </c>
      <c r="F6" s="171">
        <v>950</v>
      </c>
      <c r="G6" s="118" t="s">
        <v>110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42"/>
      <c r="P6" s="343"/>
      <c r="Q6" s="344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4775</v>
      </c>
      <c r="C7" s="67" t="s">
        <v>111</v>
      </c>
      <c r="D7" s="200" t="s">
        <v>112</v>
      </c>
      <c r="E7" s="181" t="s">
        <v>91</v>
      </c>
      <c r="F7" s="171">
        <v>1040</v>
      </c>
      <c r="G7" s="118" t="s">
        <v>110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5"/>
      <c r="P7" s="314"/>
      <c r="Q7" s="316"/>
      <c r="R7" s="134" t="s">
        <v>101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4776</v>
      </c>
      <c r="C8" s="27" t="s">
        <v>113</v>
      </c>
      <c r="D8" s="200" t="s">
        <v>114</v>
      </c>
      <c r="E8" s="181" t="s">
        <v>92</v>
      </c>
      <c r="F8" s="171">
        <v>1100</v>
      </c>
      <c r="G8" s="118" t="s">
        <v>110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5"/>
      <c r="P8" s="346"/>
      <c r="Q8" s="347"/>
      <c r="R8" s="26" t="s">
        <v>102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267">
        <v>5</v>
      </c>
      <c r="B9" s="268">
        <v>4777</v>
      </c>
      <c r="C9" s="269" t="s">
        <v>115</v>
      </c>
      <c r="D9" s="270" t="s">
        <v>116</v>
      </c>
      <c r="E9" s="271" t="s">
        <v>91</v>
      </c>
      <c r="F9" s="272">
        <v>1145</v>
      </c>
      <c r="G9" s="273" t="s">
        <v>117</v>
      </c>
      <c r="H9" s="274"/>
      <c r="I9" s="274">
        <v>350</v>
      </c>
      <c r="J9" s="274" t="str">
        <f t="shared" si="1"/>
        <v>0</v>
      </c>
      <c r="K9" s="274" t="str">
        <f t="shared" si="2"/>
        <v>0</v>
      </c>
      <c r="L9" s="275"/>
      <c r="M9" s="275"/>
      <c r="N9" s="269" t="s">
        <v>99</v>
      </c>
      <c r="O9" s="381" t="s">
        <v>80</v>
      </c>
      <c r="P9" s="382"/>
      <c r="Q9" s="383"/>
      <c r="R9" s="26" t="s">
        <v>103</v>
      </c>
      <c r="S9" s="31">
        <v>0.4375</v>
      </c>
      <c r="T9" s="32">
        <v>0.70833333333333337</v>
      </c>
      <c r="U9" s="92">
        <f t="shared" si="0"/>
        <v>6.5000000000000009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267">
        <v>6</v>
      </c>
      <c r="B10" s="273">
        <v>4778</v>
      </c>
      <c r="C10" s="276" t="s">
        <v>120</v>
      </c>
      <c r="D10" s="277" t="s">
        <v>121</v>
      </c>
      <c r="E10" s="271" t="s">
        <v>92</v>
      </c>
      <c r="F10" s="278">
        <v>1150</v>
      </c>
      <c r="G10" s="279" t="s">
        <v>122</v>
      </c>
      <c r="H10" s="280"/>
      <c r="I10" s="280">
        <v>550</v>
      </c>
      <c r="J10" s="274" t="str">
        <f t="shared" si="1"/>
        <v>0</v>
      </c>
      <c r="K10" s="274" t="str">
        <f t="shared" si="2"/>
        <v>0</v>
      </c>
      <c r="L10" s="275"/>
      <c r="M10" s="275"/>
      <c r="N10" s="269" t="s">
        <v>99</v>
      </c>
      <c r="O10" s="381" t="s">
        <v>80</v>
      </c>
      <c r="P10" s="382"/>
      <c r="Q10" s="383"/>
      <c r="R10" s="26" t="s">
        <v>104</v>
      </c>
      <c r="S10" s="31">
        <v>0.4375</v>
      </c>
      <c r="T10" s="32">
        <v>0.625</v>
      </c>
      <c r="U10" s="92">
        <f t="shared" si="0"/>
        <v>4.5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4779</v>
      </c>
      <c r="C11" s="18" t="s">
        <v>118</v>
      </c>
      <c r="D11" s="203" t="s">
        <v>119</v>
      </c>
      <c r="E11" s="181" t="s">
        <v>92</v>
      </c>
      <c r="F11" s="66">
        <v>1300</v>
      </c>
      <c r="G11" s="121" t="s">
        <v>110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5"/>
      <c r="P11" s="314"/>
      <c r="Q11" s="316"/>
      <c r="R11" s="26" t="s">
        <v>105</v>
      </c>
      <c r="S11" s="31">
        <v>0.42708333333333331</v>
      </c>
      <c r="T11" s="32">
        <v>0.70833333333333337</v>
      </c>
      <c r="U11" s="92">
        <f t="shared" si="0"/>
        <v>6.7500000000000018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67">
        <v>8</v>
      </c>
      <c r="B12" s="273">
        <v>4780</v>
      </c>
      <c r="C12" s="276" t="s">
        <v>123</v>
      </c>
      <c r="D12" s="277" t="s">
        <v>124</v>
      </c>
      <c r="E12" s="271" t="s">
        <v>92</v>
      </c>
      <c r="F12" s="278">
        <v>1300</v>
      </c>
      <c r="G12" s="273" t="s">
        <v>125</v>
      </c>
      <c r="H12" s="280">
        <v>150</v>
      </c>
      <c r="I12" s="280"/>
      <c r="J12" s="274" t="str">
        <f t="shared" si="1"/>
        <v>0</v>
      </c>
      <c r="K12" s="274" t="str">
        <f t="shared" si="2"/>
        <v>0</v>
      </c>
      <c r="L12" s="275"/>
      <c r="M12" s="275">
        <v>375</v>
      </c>
      <c r="N12" s="269" t="s">
        <v>99</v>
      </c>
      <c r="O12" s="381" t="s">
        <v>126</v>
      </c>
      <c r="P12" s="382"/>
      <c r="Q12" s="383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4781</v>
      </c>
      <c r="C13" s="64" t="s">
        <v>129</v>
      </c>
      <c r="D13" s="204" t="s">
        <v>130</v>
      </c>
      <c r="E13" s="181" t="s">
        <v>92</v>
      </c>
      <c r="F13" s="173">
        <v>1330</v>
      </c>
      <c r="G13" s="119" t="s">
        <v>110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5"/>
      <c r="P13" s="314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4782</v>
      </c>
      <c r="C14" s="65" t="s">
        <v>127</v>
      </c>
      <c r="D14" s="205" t="s">
        <v>128</v>
      </c>
      <c r="E14" s="181" t="s">
        <v>92</v>
      </c>
      <c r="F14" s="174">
        <v>1330</v>
      </c>
      <c r="G14" s="122" t="s">
        <v>110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5"/>
      <c r="P14" s="314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4783</v>
      </c>
      <c r="C15" s="65" t="s">
        <v>131</v>
      </c>
      <c r="D15" s="205" t="s">
        <v>132</v>
      </c>
      <c r="E15" s="181" t="s">
        <v>91</v>
      </c>
      <c r="F15" s="174">
        <v>1335</v>
      </c>
      <c r="G15" s="122" t="s">
        <v>133</v>
      </c>
      <c r="H15" s="123"/>
      <c r="I15" s="281">
        <v>65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5"/>
      <c r="P15" s="314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4784</v>
      </c>
      <c r="C16" s="65" t="s">
        <v>134</v>
      </c>
      <c r="D16" s="205" t="s">
        <v>135</v>
      </c>
      <c r="E16" s="181" t="s">
        <v>92</v>
      </c>
      <c r="F16" s="282">
        <v>0.66666666666666663</v>
      </c>
      <c r="G16" s="122" t="s">
        <v>125</v>
      </c>
      <c r="H16" s="123"/>
      <c r="I16" s="124">
        <v>120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5"/>
      <c r="P16" s="314"/>
      <c r="Q16" s="316"/>
      <c r="R16" s="82">
        <f>H32/U16</f>
        <v>0.24120603015075376</v>
      </c>
      <c r="S16" s="83">
        <f>H32/(U16-U5)</f>
        <v>0.29447852760736198</v>
      </c>
      <c r="T16" s="83">
        <f>C32/U16</f>
        <v>36.984924623115575</v>
      </c>
      <c r="U16" s="83">
        <f>SUM(U5:U15)</f>
        <v>49.75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5"/>
      <c r="P17" s="314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5"/>
      <c r="P18" s="314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5"/>
      <c r="P19" s="314"/>
      <c r="Q19" s="314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86"/>
      <c r="P20" s="387"/>
      <c r="Q20" s="38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5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5"/>
      <c r="P22" s="314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84"/>
      <c r="Y23" s="385"/>
      <c r="Z23" s="38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5"/>
      <c r="P24" s="314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5"/>
      <c r="P25" s="314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8">
        <f>((C32+(R26+S26+T26)*0.5))</f>
        <v>1840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5"/>
      <c r="P26" s="314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8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5"/>
      <c r="P27" s="314"/>
      <c r="Q27" s="316"/>
      <c r="R27" s="378" t="s">
        <v>56</v>
      </c>
      <c r="S27" s="379"/>
      <c r="T27" s="379"/>
      <c r="U27" s="38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5"/>
      <c r="P28" s="314"/>
      <c r="Q28" s="316"/>
      <c r="R28" s="371"/>
      <c r="S28" s="372"/>
      <c r="T28" s="37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8"/>
      <c r="P29" s="359"/>
      <c r="Q29" s="360"/>
      <c r="R29" s="361"/>
      <c r="S29" s="362"/>
      <c r="T29" s="36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64" t="s">
        <v>48</v>
      </c>
      <c r="B30" s="365"/>
      <c r="C30" s="365"/>
      <c r="D30" s="365"/>
      <c r="E30" s="366"/>
      <c r="F30" s="365"/>
      <c r="G30" s="365"/>
      <c r="H30" s="211">
        <f t="shared" ref="H30:M30" si="3">SUM(H5:H29)</f>
        <v>225</v>
      </c>
      <c r="I30" s="105">
        <f>SUM(I5:I29)</f>
        <v>1560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375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67"/>
      <c r="S30" s="367"/>
      <c r="T30" s="36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9" t="s">
        <v>16</v>
      </c>
      <c r="B31" s="370"/>
      <c r="C31" s="370"/>
      <c r="D31" s="370"/>
      <c r="E31" s="370"/>
      <c r="F31" s="370"/>
      <c r="G31" s="370"/>
      <c r="H31" s="212">
        <f t="shared" ref="H31:J31" si="4">H30+H62+H94</f>
        <v>225</v>
      </c>
      <c r="I31" s="103">
        <f t="shared" si="4"/>
        <v>1560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375</v>
      </c>
      <c r="N31" s="217">
        <f>COUNT(H5:H29,H37:H61,H69:H93)</f>
        <v>2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225</v>
      </c>
      <c r="T31" s="354">
        <f>H31+I31+L31+M31</f>
        <v>2160</v>
      </c>
      <c r="U31" s="35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74" t="s">
        <v>55</v>
      </c>
      <c r="B32" s="375"/>
      <c r="C32" s="107">
        <f>H31+I31+J31+K31</f>
        <v>1840</v>
      </c>
      <c r="D32" s="196"/>
      <c r="E32" s="107"/>
      <c r="F32" s="376" t="s">
        <v>53</v>
      </c>
      <c r="G32" s="376"/>
      <c r="H32" s="109">
        <f>COUNT(B5:B29,B37:B61,B69:B93)</f>
        <v>12</v>
      </c>
      <c r="I32" s="377" t="s">
        <v>54</v>
      </c>
      <c r="J32" s="377"/>
      <c r="K32" s="108">
        <f>C32/H32</f>
        <v>153.33333333333334</v>
      </c>
      <c r="L32" s="218"/>
      <c r="M32" s="218"/>
      <c r="N32" s="218">
        <f>H31/C32</f>
        <v>0.12228260869565218</v>
      </c>
      <c r="O32" s="218">
        <f>I31/C32</f>
        <v>0.84782608695652173</v>
      </c>
      <c r="P32" s="218">
        <f>K31/C32</f>
        <v>0</v>
      </c>
      <c r="Q32" s="110">
        <f>J31/C32</f>
        <v>2.9891304347826088E-2</v>
      </c>
      <c r="R32" s="99" t="s">
        <v>82</v>
      </c>
      <c r="S32" s="213">
        <f>I31+M31</f>
        <v>1935</v>
      </c>
      <c r="T32" s="356"/>
      <c r="U32" s="357"/>
      <c r="V32" s="55"/>
      <c r="W32" s="55"/>
      <c r="X32" s="56" t="s">
        <v>27</v>
      </c>
      <c r="Y32" s="56"/>
      <c r="Z32" s="54">
        <f>I31</f>
        <v>1560</v>
      </c>
      <c r="AE32" s="37"/>
      <c r="AF32" s="37"/>
      <c r="AG32" s="37"/>
      <c r="AH32" s="37"/>
    </row>
    <row r="33" spans="1:34" ht="17.25" thickBot="1" x14ac:dyDescent="0.35">
      <c r="A33" s="308" t="s">
        <v>24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49"/>
      <c r="U33" s="350"/>
      <c r="X33" s="57" t="s">
        <v>29</v>
      </c>
      <c r="Y33" s="57"/>
      <c r="Z33" s="58">
        <f>SUM(Z31:Z32)</f>
        <v>-1185</v>
      </c>
      <c r="AE33" s="37"/>
      <c r="AF33" s="37"/>
      <c r="AG33" s="59"/>
      <c r="AH33" s="37"/>
    </row>
    <row r="34" spans="1:34" ht="17.25" thickBot="1" x14ac:dyDescent="0.35">
      <c r="A34" s="348" t="str">
        <f>A2</f>
        <v>28 - 3 - 2022</v>
      </c>
      <c r="B34" s="349"/>
      <c r="C34" s="349"/>
      <c r="D34" s="349"/>
      <c r="E34" s="349"/>
      <c r="F34" s="349"/>
      <c r="G34" s="350"/>
      <c r="H34" s="351" t="s">
        <v>49</v>
      </c>
      <c r="I34" s="352"/>
      <c r="J34" s="348" t="str">
        <f>J2</f>
        <v>MIX</v>
      </c>
      <c r="K34" s="350"/>
      <c r="L34" s="352" t="s">
        <v>50</v>
      </c>
      <c r="M34" s="353"/>
      <c r="N34" s="351"/>
      <c r="O34" s="349" t="str">
        <f>O2</f>
        <v>HENDRA</v>
      </c>
      <c r="P34" s="349"/>
      <c r="Q34" s="350"/>
      <c r="R34" s="352" t="s">
        <v>51</v>
      </c>
      <c r="S34" s="351"/>
      <c r="T34" s="340">
        <f>T2</f>
        <v>7</v>
      </c>
      <c r="U34" s="340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41" t="s">
        <v>8</v>
      </c>
      <c r="P36" s="341"/>
      <c r="Q36" s="341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5"/>
      <c r="P37" s="314"/>
      <c r="Q37" s="316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2"/>
      <c r="P38" s="343"/>
      <c r="Q38" s="344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5"/>
      <c r="P39" s="314"/>
      <c r="Q39" s="316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5"/>
      <c r="P40" s="346"/>
      <c r="Q40" s="34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5"/>
      <c r="P41" s="346"/>
      <c r="Q41" s="347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7"/>
      <c r="P42" s="338"/>
      <c r="Q42" s="339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5"/>
      <c r="P43" s="314"/>
      <c r="Q43" s="316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5"/>
      <c r="P44" s="314"/>
      <c r="Q44" s="31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5"/>
      <c r="P45" s="314"/>
      <c r="Q45" s="316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5"/>
      <c r="P46" s="314"/>
      <c r="Q46" s="31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5"/>
      <c r="P47" s="314"/>
      <c r="Q47" s="316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5"/>
      <c r="P48" s="314"/>
      <c r="Q48" s="316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5"/>
      <c r="P49" s="314"/>
      <c r="Q49" s="316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5"/>
      <c r="P50" s="314"/>
      <c r="Q50" s="316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5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5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6"/>
      <c r="P53" s="315"/>
      <c r="Q53" s="315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6"/>
      <c r="P54" s="315"/>
      <c r="Q54" s="315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6"/>
      <c r="P55" s="315"/>
      <c r="Q55" s="315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5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5"/>
      <c r="P60" s="314"/>
      <c r="Q60" s="31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7"/>
      <c r="P61" s="318"/>
      <c r="Q61" s="319"/>
      <c r="R61" s="81"/>
      <c r="S61" s="68"/>
      <c r="T61" s="68"/>
      <c r="U61" s="77"/>
    </row>
    <row r="62" spans="1:21" x14ac:dyDescent="0.3">
      <c r="A62" s="320" t="s">
        <v>48</v>
      </c>
      <c r="B62" s="321"/>
      <c r="C62" s="321"/>
      <c r="D62" s="321"/>
      <c r="E62" s="321"/>
      <c r="F62" s="321"/>
      <c r="G62" s="321"/>
      <c r="H62" s="321">
        <f t="shared" ref="H62:M62" si="8">SUM(H37:H61)</f>
        <v>0</v>
      </c>
      <c r="I62" s="327">
        <f t="shared" si="8"/>
        <v>0</v>
      </c>
      <c r="J62" s="327">
        <f>J61+J60+J59+J58+J57+J56+J55+J54+J53+J52+J51+J50+J49+J48+J47+J46+J45+J44+J43+J42+J41+J40+J39+J38+J37</f>
        <v>0</v>
      </c>
      <c r="K62" s="327">
        <f>K61+K60+K59+K58+K57+K56+K55+K54+K53+K52+K51+K50+K49+K48+K47+K46+K45+K44+K43+K42+K41+K40+K39+K38+K37</f>
        <v>0</v>
      </c>
      <c r="L62" s="330">
        <f t="shared" si="8"/>
        <v>0</v>
      </c>
      <c r="M62" s="333">
        <f t="shared" si="8"/>
        <v>0</v>
      </c>
      <c r="N62" s="302"/>
      <c r="O62" s="303"/>
      <c r="P62" s="303"/>
      <c r="Q62" s="304"/>
      <c r="R62" s="5"/>
      <c r="S62" s="6"/>
      <c r="T62" s="7"/>
      <c r="U62" s="8"/>
    </row>
    <row r="63" spans="1:21" ht="17.25" thickBot="1" x14ac:dyDescent="0.35">
      <c r="A63" s="323"/>
      <c r="B63" s="324"/>
      <c r="C63" s="324"/>
      <c r="D63" s="324"/>
      <c r="E63" s="324"/>
      <c r="F63" s="324"/>
      <c r="G63" s="324"/>
      <c r="H63" s="324"/>
      <c r="I63" s="328"/>
      <c r="J63" s="328"/>
      <c r="K63" s="328"/>
      <c r="L63" s="331"/>
      <c r="M63" s="334"/>
      <c r="N63" s="305"/>
      <c r="O63" s="306"/>
      <c r="P63" s="306"/>
      <c r="Q63" s="307"/>
      <c r="R63" s="1"/>
      <c r="S63" s="2"/>
      <c r="T63" s="3"/>
      <c r="U63" s="4"/>
    </row>
    <row r="64" spans="1:21" ht="17.25" thickBot="1" x14ac:dyDescent="0.35">
      <c r="A64" s="325"/>
      <c r="B64" s="326"/>
      <c r="C64" s="326"/>
      <c r="D64" s="326"/>
      <c r="E64" s="326"/>
      <c r="F64" s="326"/>
      <c r="G64" s="326"/>
      <c r="H64" s="326"/>
      <c r="I64" s="329"/>
      <c r="J64" s="329"/>
      <c r="K64" s="329"/>
      <c r="L64" s="332"/>
      <c r="M64" s="335"/>
      <c r="N64" s="308"/>
      <c r="O64" s="309"/>
      <c r="P64" s="309"/>
      <c r="Q64" s="310"/>
      <c r="R64" s="311" t="s">
        <v>17</v>
      </c>
      <c r="S64" s="312"/>
      <c r="T64" s="312"/>
      <c r="U64" s="313"/>
    </row>
    <row r="65" spans="1:21" ht="17.25" thickBot="1" x14ac:dyDescent="0.35">
      <c r="A65" s="348" t="s">
        <v>24</v>
      </c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50"/>
    </row>
    <row r="66" spans="1:21" ht="17.25" thickBot="1" x14ac:dyDescent="0.35">
      <c r="A66" s="348" t="str">
        <f>A34</f>
        <v>28 - 3 - 2022</v>
      </c>
      <c r="B66" s="349"/>
      <c r="C66" s="349"/>
      <c r="D66" s="349"/>
      <c r="E66" s="349"/>
      <c r="F66" s="349"/>
      <c r="G66" s="350"/>
      <c r="H66" s="351" t="s">
        <v>49</v>
      </c>
      <c r="I66" s="352"/>
      <c r="J66" s="348" t="str">
        <f>J34</f>
        <v>MIX</v>
      </c>
      <c r="K66" s="350"/>
      <c r="L66" s="352" t="s">
        <v>50</v>
      </c>
      <c r="M66" s="353"/>
      <c r="N66" s="351"/>
      <c r="O66" s="349" t="str">
        <f>O34</f>
        <v>HENDRA</v>
      </c>
      <c r="P66" s="349"/>
      <c r="Q66" s="350"/>
      <c r="R66" s="352" t="s">
        <v>51</v>
      </c>
      <c r="S66" s="351"/>
      <c r="T66" s="340">
        <f>T34</f>
        <v>7</v>
      </c>
      <c r="U66" s="340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41" t="s">
        <v>8</v>
      </c>
      <c r="P68" s="341"/>
      <c r="Q68" s="341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5"/>
      <c r="P69" s="314"/>
      <c r="Q69" s="316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2"/>
      <c r="P70" s="343"/>
      <c r="Q70" s="344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5"/>
      <c r="P71" s="314"/>
      <c r="Q71" s="31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5"/>
      <c r="P72" s="346"/>
      <c r="Q72" s="34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5"/>
      <c r="P73" s="346"/>
      <c r="Q73" s="34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7"/>
      <c r="P74" s="338"/>
      <c r="Q74" s="339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5"/>
      <c r="P75" s="314"/>
      <c r="Q75" s="31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5"/>
      <c r="P76" s="314"/>
      <c r="Q76" s="316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5"/>
      <c r="P77" s="314"/>
      <c r="Q77" s="316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5"/>
      <c r="P78" s="314"/>
      <c r="Q78" s="316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5"/>
      <c r="P79" s="314"/>
      <c r="Q79" s="316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5"/>
      <c r="P80" s="314"/>
      <c r="Q80" s="316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5"/>
      <c r="P81" s="314"/>
      <c r="Q81" s="316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5"/>
      <c r="P82" s="314"/>
      <c r="Q82" s="316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5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5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6"/>
      <c r="P85" s="315"/>
      <c r="Q85" s="315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6"/>
      <c r="P86" s="315"/>
      <c r="Q86" s="315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6"/>
      <c r="P87" s="315"/>
      <c r="Q87" s="315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5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5"/>
      <c r="P92" s="314"/>
      <c r="Q92" s="31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7"/>
      <c r="P93" s="318"/>
      <c r="Q93" s="319"/>
      <c r="R93" s="81"/>
      <c r="S93" s="68"/>
      <c r="T93" s="68"/>
      <c r="U93" s="77"/>
    </row>
    <row r="94" spans="1:21" x14ac:dyDescent="0.3">
      <c r="A94" s="320" t="s">
        <v>48</v>
      </c>
      <c r="B94" s="321"/>
      <c r="C94" s="321"/>
      <c r="D94" s="321"/>
      <c r="E94" s="322"/>
      <c r="F94" s="321"/>
      <c r="G94" s="321"/>
      <c r="H94" s="321">
        <f t="shared" ref="H94:M94" si="12">SUM(H69:H93)</f>
        <v>0</v>
      </c>
      <c r="I94" s="327">
        <f t="shared" si="12"/>
        <v>0</v>
      </c>
      <c r="J94" s="327">
        <f>J93+J92+J91+J90+J89+J88+J87+J86+J85+J84+J83+J82+J81+J80+J79+J78+J77+J76+J75+J74+J73+J72+J71+J70+J69</f>
        <v>0</v>
      </c>
      <c r="K94" s="327">
        <f>K93+K92+K91+K90+K89+K88+K87+K86+K85+K84+K83+K82+K81+K80+K79+K78+K77+K76+K75+K74+K73+K72+K71+K70+K69</f>
        <v>0</v>
      </c>
      <c r="L94" s="330">
        <f t="shared" si="12"/>
        <v>0</v>
      </c>
      <c r="M94" s="333">
        <f t="shared" si="12"/>
        <v>0</v>
      </c>
      <c r="N94" s="302"/>
      <c r="O94" s="303"/>
      <c r="P94" s="303"/>
      <c r="Q94" s="304"/>
      <c r="R94" s="5"/>
      <c r="S94" s="6"/>
      <c r="T94" s="7"/>
      <c r="U94" s="8"/>
    </row>
    <row r="95" spans="1:21" ht="17.25" thickBot="1" x14ac:dyDescent="0.35">
      <c r="A95" s="323"/>
      <c r="B95" s="324"/>
      <c r="C95" s="324"/>
      <c r="D95" s="324"/>
      <c r="E95" s="324"/>
      <c r="F95" s="324"/>
      <c r="G95" s="324"/>
      <c r="H95" s="324"/>
      <c r="I95" s="328"/>
      <c r="J95" s="328"/>
      <c r="K95" s="328"/>
      <c r="L95" s="331"/>
      <c r="M95" s="334"/>
      <c r="N95" s="305"/>
      <c r="O95" s="306"/>
      <c r="P95" s="306"/>
      <c r="Q95" s="307"/>
      <c r="R95" s="1"/>
      <c r="S95" s="2"/>
      <c r="T95" s="3"/>
      <c r="U95" s="4"/>
    </row>
    <row r="96" spans="1:21" ht="17.25" thickBot="1" x14ac:dyDescent="0.35">
      <c r="A96" s="325"/>
      <c r="B96" s="326"/>
      <c r="C96" s="326"/>
      <c r="D96" s="326"/>
      <c r="E96" s="326"/>
      <c r="F96" s="326"/>
      <c r="G96" s="326"/>
      <c r="H96" s="326"/>
      <c r="I96" s="329"/>
      <c r="J96" s="329"/>
      <c r="K96" s="329"/>
      <c r="L96" s="332"/>
      <c r="M96" s="335"/>
      <c r="N96" s="308"/>
      <c r="O96" s="309"/>
      <c r="P96" s="309"/>
      <c r="Q96" s="310"/>
      <c r="R96" s="311" t="s">
        <v>52</v>
      </c>
      <c r="S96" s="312"/>
      <c r="T96" s="312"/>
      <c r="U96" s="313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D16" sqref="D1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8" t="s">
        <v>77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50"/>
    </row>
    <row r="2" spans="1:44" ht="17.25" thickBot="1" x14ac:dyDescent="0.35">
      <c r="A2" s="348" t="s">
        <v>136</v>
      </c>
      <c r="B2" s="349"/>
      <c r="C2" s="349"/>
      <c r="D2" s="349"/>
      <c r="E2" s="349"/>
      <c r="F2" s="349"/>
      <c r="G2" s="350"/>
      <c r="H2" s="351" t="s">
        <v>49</v>
      </c>
      <c r="I2" s="352"/>
      <c r="J2" s="348" t="s">
        <v>137</v>
      </c>
      <c r="K2" s="350"/>
      <c r="L2" s="352" t="s">
        <v>96</v>
      </c>
      <c r="M2" s="353"/>
      <c r="N2" s="351"/>
      <c r="O2" s="349" t="s">
        <v>99</v>
      </c>
      <c r="P2" s="349"/>
      <c r="Q2" s="350"/>
      <c r="R2" s="352" t="s">
        <v>51</v>
      </c>
      <c r="S2" s="351"/>
      <c r="T2" s="340">
        <v>6</v>
      </c>
      <c r="U2" s="34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1" t="s">
        <v>8</v>
      </c>
      <c r="P4" s="341"/>
      <c r="Q4" s="34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4785</v>
      </c>
      <c r="C5" s="68" t="s">
        <v>139</v>
      </c>
      <c r="D5" s="200" t="s">
        <v>141</v>
      </c>
      <c r="E5" s="181" t="s">
        <v>92</v>
      </c>
      <c r="F5" s="170">
        <v>930</v>
      </c>
      <c r="G5" s="118" t="s">
        <v>133</v>
      </c>
      <c r="H5" s="91"/>
      <c r="I5" s="124">
        <v>60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90"/>
      <c r="P5" s="391"/>
      <c r="Q5" s="392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4786</v>
      </c>
      <c r="C6" s="67" t="s">
        <v>142</v>
      </c>
      <c r="D6" s="200" t="s">
        <v>143</v>
      </c>
      <c r="E6" s="181" t="s">
        <v>91</v>
      </c>
      <c r="F6" s="171">
        <v>930</v>
      </c>
      <c r="G6" s="118" t="s">
        <v>110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42"/>
      <c r="P6" s="343"/>
      <c r="Q6" s="344"/>
      <c r="R6" s="132" t="s">
        <v>101</v>
      </c>
      <c r="S6" s="31">
        <v>0.375</v>
      </c>
      <c r="T6" s="32">
        <v>0.39583333333333331</v>
      </c>
      <c r="U6" s="92">
        <f t="shared" si="0"/>
        <v>0.49999999999999956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4787</v>
      </c>
      <c r="C7" s="67" t="s">
        <v>144</v>
      </c>
      <c r="D7" s="200" t="s">
        <v>145</v>
      </c>
      <c r="E7" s="181" t="s">
        <v>92</v>
      </c>
      <c r="F7" s="171">
        <v>1100</v>
      </c>
      <c r="G7" s="118" t="s">
        <v>146</v>
      </c>
      <c r="H7" s="91"/>
      <c r="I7" s="124">
        <v>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5"/>
      <c r="P7" s="314"/>
      <c r="Q7" s="316"/>
      <c r="R7" s="134"/>
      <c r="S7" s="31">
        <v>0.4375</v>
      </c>
      <c r="T7" s="32">
        <v>0.66666666666666663</v>
      </c>
      <c r="U7" s="92">
        <f t="shared" si="0"/>
        <v>5.4999999999999991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4788</v>
      </c>
      <c r="C8" s="27" t="s">
        <v>149</v>
      </c>
      <c r="D8" s="200" t="s">
        <v>150</v>
      </c>
      <c r="E8" s="181" t="s">
        <v>92</v>
      </c>
      <c r="F8" s="171">
        <v>1110</v>
      </c>
      <c r="G8" s="118" t="s">
        <v>133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5"/>
      <c r="P8" s="346"/>
      <c r="Q8" s="347"/>
      <c r="R8" s="26" t="s">
        <v>138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4789</v>
      </c>
      <c r="C9" s="63" t="s">
        <v>147</v>
      </c>
      <c r="D9" s="201" t="s">
        <v>148</v>
      </c>
      <c r="E9" s="181" t="s">
        <v>91</v>
      </c>
      <c r="F9" s="172">
        <v>1130</v>
      </c>
      <c r="G9" s="119" t="s">
        <v>44</v>
      </c>
      <c r="H9" s="91">
        <v>20</v>
      </c>
      <c r="I9" s="91"/>
      <c r="J9" s="130" t="str">
        <f t="shared" si="1"/>
        <v>55</v>
      </c>
      <c r="K9" s="130" t="str">
        <f t="shared" si="2"/>
        <v>0</v>
      </c>
      <c r="L9" s="131"/>
      <c r="M9" s="131"/>
      <c r="N9" s="134" t="s">
        <v>99</v>
      </c>
      <c r="O9" s="345">
        <v>202201056</v>
      </c>
      <c r="P9" s="346"/>
      <c r="Q9" s="347"/>
      <c r="R9" s="26" t="s">
        <v>105</v>
      </c>
      <c r="S9" s="31">
        <v>0.41666666666666669</v>
      </c>
      <c r="T9" s="32">
        <v>0.625</v>
      </c>
      <c r="U9" s="92">
        <f t="shared" si="0"/>
        <v>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267">
        <v>6</v>
      </c>
      <c r="B10" s="273">
        <v>4790</v>
      </c>
      <c r="C10" s="276" t="s">
        <v>157</v>
      </c>
      <c r="D10" s="277" t="s">
        <v>158</v>
      </c>
      <c r="E10" s="271" t="s">
        <v>91</v>
      </c>
      <c r="F10" s="278">
        <v>1145</v>
      </c>
      <c r="G10" s="279" t="s">
        <v>117</v>
      </c>
      <c r="H10" s="280">
        <v>300</v>
      </c>
      <c r="I10" s="280"/>
      <c r="J10" s="274" t="str">
        <f t="shared" si="1"/>
        <v>0</v>
      </c>
      <c r="K10" s="274" t="str">
        <f t="shared" si="2"/>
        <v>0</v>
      </c>
      <c r="L10" s="275"/>
      <c r="M10" s="275"/>
      <c r="N10" s="269" t="s">
        <v>99</v>
      </c>
      <c r="O10" s="381" t="s">
        <v>78</v>
      </c>
      <c r="P10" s="382"/>
      <c r="Q10" s="383"/>
      <c r="R10" s="26" t="s">
        <v>140</v>
      </c>
      <c r="S10" s="31">
        <v>0.375</v>
      </c>
      <c r="T10" s="32">
        <v>0.58333333333333337</v>
      </c>
      <c r="U10" s="92">
        <f t="shared" si="0"/>
        <v>5.0000000000000009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4791</v>
      </c>
      <c r="C11" s="18" t="s">
        <v>151</v>
      </c>
      <c r="D11" s="203" t="s">
        <v>152</v>
      </c>
      <c r="E11" s="181" t="s">
        <v>92</v>
      </c>
      <c r="F11" s="66">
        <v>1145</v>
      </c>
      <c r="G11" s="121" t="s">
        <v>44</v>
      </c>
      <c r="H11" s="123"/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99</v>
      </c>
      <c r="O11" s="315">
        <v>202201055</v>
      </c>
      <c r="P11" s="314"/>
      <c r="Q11" s="316"/>
      <c r="R11" s="26" t="s">
        <v>103</v>
      </c>
      <c r="S11" s="31">
        <v>0.45833333333333331</v>
      </c>
      <c r="T11" s="32">
        <v>0.66666666666666663</v>
      </c>
      <c r="U11" s="92">
        <f t="shared" si="0"/>
        <v>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4792</v>
      </c>
      <c r="C12" s="64" t="s">
        <v>153</v>
      </c>
      <c r="D12" s="204" t="s">
        <v>154</v>
      </c>
      <c r="E12" s="181" t="s">
        <v>91</v>
      </c>
      <c r="F12" s="173">
        <v>1345</v>
      </c>
      <c r="G12" s="119" t="s">
        <v>155</v>
      </c>
      <c r="H12" s="123"/>
      <c r="I12" s="125"/>
      <c r="J12" s="130" t="str">
        <f t="shared" si="1"/>
        <v>0</v>
      </c>
      <c r="K12" s="130" t="str">
        <f t="shared" si="2"/>
        <v>58.3</v>
      </c>
      <c r="L12" s="131"/>
      <c r="M12" s="131"/>
      <c r="N12" s="134" t="s">
        <v>99</v>
      </c>
      <c r="O12" s="315" t="s">
        <v>156</v>
      </c>
      <c r="P12" s="314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5"/>
      <c r="P13" s="314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5"/>
      <c r="P14" s="314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5"/>
      <c r="P15" s="314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5"/>
      <c r="P16" s="314"/>
      <c r="Q16" s="316"/>
      <c r="R16" s="82">
        <f>H32/U16</f>
        <v>0.22222222222222221</v>
      </c>
      <c r="S16" s="83">
        <f>H32/(U16-U5)</f>
        <v>0.2857142857142857</v>
      </c>
      <c r="T16" s="83">
        <f>C32/U16</f>
        <v>20.230555555555554</v>
      </c>
      <c r="U16" s="83">
        <f>SUM(U5:U15)</f>
        <v>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5"/>
      <c r="P17" s="314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5"/>
      <c r="P18" s="314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5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86"/>
      <c r="P20" s="387"/>
      <c r="Q20" s="38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5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5"/>
      <c r="P22" s="314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84"/>
      <c r="Y23" s="385"/>
      <c r="Z23" s="38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5"/>
      <c r="P24" s="314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5"/>
      <c r="P25" s="314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8">
        <f>((C32+(R26+S26+T26)*0.5))</f>
        <v>728.3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5"/>
      <c r="P26" s="314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8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5"/>
      <c r="P27" s="314"/>
      <c r="Q27" s="316"/>
      <c r="R27" s="378" t="s">
        <v>56</v>
      </c>
      <c r="S27" s="379"/>
      <c r="T27" s="379"/>
      <c r="U27" s="38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5"/>
      <c r="P28" s="314"/>
      <c r="Q28" s="316"/>
      <c r="R28" s="371"/>
      <c r="S28" s="372"/>
      <c r="T28" s="37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8"/>
      <c r="P29" s="359"/>
      <c r="Q29" s="360"/>
      <c r="R29" s="361"/>
      <c r="S29" s="362"/>
      <c r="T29" s="36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64" t="s">
        <v>48</v>
      </c>
      <c r="B30" s="365"/>
      <c r="C30" s="365"/>
      <c r="D30" s="365"/>
      <c r="E30" s="366"/>
      <c r="F30" s="365"/>
      <c r="G30" s="365"/>
      <c r="H30" s="264">
        <f t="shared" ref="H30:M30" si="3">SUM(H5:H29)</f>
        <v>320</v>
      </c>
      <c r="I30" s="105">
        <f>SUM(I5:I29)</f>
        <v>240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7"/>
      <c r="S30" s="367"/>
      <c r="T30" s="36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9" t="s">
        <v>16</v>
      </c>
      <c r="B31" s="370"/>
      <c r="C31" s="370"/>
      <c r="D31" s="370"/>
      <c r="E31" s="370"/>
      <c r="F31" s="370"/>
      <c r="G31" s="370"/>
      <c r="H31" s="265">
        <f t="shared" ref="H31:J31" si="4">H30+H62+H94</f>
        <v>320</v>
      </c>
      <c r="I31" s="103">
        <f t="shared" si="4"/>
        <v>240</v>
      </c>
      <c r="J31" s="103">
        <f t="shared" si="4"/>
        <v>110</v>
      </c>
      <c r="K31" s="103">
        <f>K30+K62+K94</f>
        <v>58.3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320</v>
      </c>
      <c r="T31" s="354">
        <f>H31+I31+L31+M31</f>
        <v>560</v>
      </c>
      <c r="U31" s="35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74" t="s">
        <v>55</v>
      </c>
      <c r="B32" s="375"/>
      <c r="C32" s="107">
        <f>H31+I31+J31+K31</f>
        <v>728.3</v>
      </c>
      <c r="D32" s="196"/>
      <c r="E32" s="107"/>
      <c r="F32" s="376" t="s">
        <v>53</v>
      </c>
      <c r="G32" s="376"/>
      <c r="H32" s="109">
        <f>COUNT(B5:B29,B37:B61,B69:B93)</f>
        <v>8</v>
      </c>
      <c r="I32" s="377" t="s">
        <v>54</v>
      </c>
      <c r="J32" s="377"/>
      <c r="K32" s="108">
        <f>C32/H32</f>
        <v>91.037499999999994</v>
      </c>
      <c r="L32" s="260"/>
      <c r="M32" s="260"/>
      <c r="N32" s="260">
        <f>H31/C32</f>
        <v>0.43937937663050941</v>
      </c>
      <c r="O32" s="260">
        <f>I31/C32</f>
        <v>0.32953453247288206</v>
      </c>
      <c r="P32" s="260">
        <f>K31/C32</f>
        <v>8.0049430179870928E-2</v>
      </c>
      <c r="Q32" s="110">
        <f>J31/C32</f>
        <v>0.15103666071673763</v>
      </c>
      <c r="R32" s="99" t="s">
        <v>82</v>
      </c>
      <c r="S32" s="266">
        <f>I31+M31</f>
        <v>240</v>
      </c>
      <c r="T32" s="356"/>
      <c r="U32" s="357"/>
      <c r="V32" s="55"/>
      <c r="W32" s="55"/>
      <c r="X32" s="56" t="s">
        <v>27</v>
      </c>
      <c r="Y32" s="56"/>
      <c r="Z32" s="54">
        <f>I31</f>
        <v>240</v>
      </c>
      <c r="AE32" s="37"/>
      <c r="AF32" s="37"/>
      <c r="AG32" s="37"/>
      <c r="AH32" s="37"/>
    </row>
    <row r="33" spans="1:34" ht="17.25" thickBot="1" x14ac:dyDescent="0.35">
      <c r="A33" s="308" t="s">
        <v>24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49"/>
      <c r="U33" s="350"/>
      <c r="X33" s="57" t="s">
        <v>29</v>
      </c>
      <c r="Y33" s="57"/>
      <c r="Z33" s="58">
        <f>SUM(Z31:Z32)</f>
        <v>-2505</v>
      </c>
      <c r="AE33" s="37"/>
      <c r="AF33" s="37"/>
      <c r="AG33" s="59"/>
      <c r="AH33" s="37"/>
    </row>
    <row r="34" spans="1:34" ht="17.25" thickBot="1" x14ac:dyDescent="0.35">
      <c r="A34" s="348" t="str">
        <f>A2</f>
        <v>29 - 3 - 2022</v>
      </c>
      <c r="B34" s="349"/>
      <c r="C34" s="349"/>
      <c r="D34" s="349"/>
      <c r="E34" s="349"/>
      <c r="F34" s="349"/>
      <c r="G34" s="350"/>
      <c r="H34" s="351" t="s">
        <v>49</v>
      </c>
      <c r="I34" s="352"/>
      <c r="J34" s="348" t="str">
        <f>J2</f>
        <v>SHOWER</v>
      </c>
      <c r="K34" s="350"/>
      <c r="L34" s="352" t="s">
        <v>50</v>
      </c>
      <c r="M34" s="353"/>
      <c r="N34" s="351"/>
      <c r="O34" s="349" t="str">
        <f>O2</f>
        <v>HENDRA</v>
      </c>
      <c r="P34" s="349"/>
      <c r="Q34" s="350"/>
      <c r="R34" s="352" t="s">
        <v>51</v>
      </c>
      <c r="S34" s="351"/>
      <c r="T34" s="340">
        <f>T2</f>
        <v>6</v>
      </c>
      <c r="U34" s="340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1" t="s">
        <v>8</v>
      </c>
      <c r="P36" s="341"/>
      <c r="Q36" s="34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5"/>
      <c r="P37" s="314"/>
      <c r="Q37" s="31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2"/>
      <c r="P38" s="343"/>
      <c r="Q38" s="344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5"/>
      <c r="P39" s="314"/>
      <c r="Q39" s="31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5"/>
      <c r="P40" s="346"/>
      <c r="Q40" s="34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5"/>
      <c r="P41" s="346"/>
      <c r="Q41" s="34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7"/>
      <c r="P42" s="338"/>
      <c r="Q42" s="339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5"/>
      <c r="P43" s="314"/>
      <c r="Q43" s="31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5"/>
      <c r="P44" s="314"/>
      <c r="Q44" s="31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5"/>
      <c r="P45" s="314"/>
      <c r="Q45" s="31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5"/>
      <c r="P46" s="314"/>
      <c r="Q46" s="31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5"/>
      <c r="P47" s="314"/>
      <c r="Q47" s="31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5"/>
      <c r="P48" s="314"/>
      <c r="Q48" s="31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5"/>
      <c r="P49" s="314"/>
      <c r="Q49" s="31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5"/>
      <c r="P50" s="314"/>
      <c r="Q50" s="31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5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5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6"/>
      <c r="P53" s="315"/>
      <c r="Q53" s="315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6"/>
      <c r="P54" s="315"/>
      <c r="Q54" s="315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6"/>
      <c r="P55" s="315"/>
      <c r="Q55" s="315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5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5"/>
      <c r="P60" s="314"/>
      <c r="Q60" s="31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7"/>
      <c r="P61" s="318"/>
      <c r="Q61" s="319"/>
      <c r="R61" s="81"/>
      <c r="S61" s="68"/>
      <c r="T61" s="68"/>
      <c r="U61" s="77"/>
    </row>
    <row r="62" spans="1:21" x14ac:dyDescent="0.3">
      <c r="A62" s="320" t="s">
        <v>48</v>
      </c>
      <c r="B62" s="321"/>
      <c r="C62" s="321"/>
      <c r="D62" s="321"/>
      <c r="E62" s="321"/>
      <c r="F62" s="321"/>
      <c r="G62" s="321"/>
      <c r="H62" s="321">
        <f t="shared" ref="H62:M62" si="8">SUM(H37:H61)</f>
        <v>0</v>
      </c>
      <c r="I62" s="327">
        <f t="shared" si="8"/>
        <v>0</v>
      </c>
      <c r="J62" s="327">
        <f>J61+J60+J59+J58+J57+J56+J55+J54+J53+J52+J51+J50+J49+J48+J47+J46+J45+J44+J43+J42+J41+J40+J39+J38+J37</f>
        <v>0</v>
      </c>
      <c r="K62" s="327">
        <f>K61+K60+K59+K58+K57+K56+K55+K54+K53+K52+K51+K50+K49+K48+K47+K46+K45+K44+K43+K42+K41+K40+K39+K38+K37</f>
        <v>0</v>
      </c>
      <c r="L62" s="330">
        <f t="shared" si="8"/>
        <v>0</v>
      </c>
      <c r="M62" s="333">
        <f t="shared" si="8"/>
        <v>0</v>
      </c>
      <c r="N62" s="302"/>
      <c r="O62" s="303"/>
      <c r="P62" s="303"/>
      <c r="Q62" s="304"/>
      <c r="R62" s="5"/>
      <c r="S62" s="6"/>
      <c r="T62" s="7"/>
      <c r="U62" s="8"/>
    </row>
    <row r="63" spans="1:21" ht="17.25" thickBot="1" x14ac:dyDescent="0.35">
      <c r="A63" s="323"/>
      <c r="B63" s="324"/>
      <c r="C63" s="324"/>
      <c r="D63" s="324"/>
      <c r="E63" s="324"/>
      <c r="F63" s="324"/>
      <c r="G63" s="324"/>
      <c r="H63" s="324"/>
      <c r="I63" s="328"/>
      <c r="J63" s="328"/>
      <c r="K63" s="328"/>
      <c r="L63" s="331"/>
      <c r="M63" s="334"/>
      <c r="N63" s="305"/>
      <c r="O63" s="306"/>
      <c r="P63" s="306"/>
      <c r="Q63" s="307"/>
      <c r="R63" s="1"/>
      <c r="S63" s="2"/>
      <c r="T63" s="3"/>
      <c r="U63" s="4"/>
    </row>
    <row r="64" spans="1:21" ht="17.25" thickBot="1" x14ac:dyDescent="0.35">
      <c r="A64" s="325"/>
      <c r="B64" s="326"/>
      <c r="C64" s="326"/>
      <c r="D64" s="326"/>
      <c r="E64" s="326"/>
      <c r="F64" s="326"/>
      <c r="G64" s="326"/>
      <c r="H64" s="326"/>
      <c r="I64" s="329"/>
      <c r="J64" s="329"/>
      <c r="K64" s="329"/>
      <c r="L64" s="332"/>
      <c r="M64" s="335"/>
      <c r="N64" s="308"/>
      <c r="O64" s="309"/>
      <c r="P64" s="309"/>
      <c r="Q64" s="310"/>
      <c r="R64" s="311" t="s">
        <v>17</v>
      </c>
      <c r="S64" s="312"/>
      <c r="T64" s="312"/>
      <c r="U64" s="313"/>
    </row>
    <row r="65" spans="1:21" ht="17.25" thickBot="1" x14ac:dyDescent="0.35">
      <c r="A65" s="348" t="s">
        <v>24</v>
      </c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50"/>
    </row>
    <row r="66" spans="1:21" ht="17.25" thickBot="1" x14ac:dyDescent="0.35">
      <c r="A66" s="348" t="str">
        <f>A34</f>
        <v>29 - 3 - 2022</v>
      </c>
      <c r="B66" s="349"/>
      <c r="C66" s="349"/>
      <c r="D66" s="349"/>
      <c r="E66" s="349"/>
      <c r="F66" s="349"/>
      <c r="G66" s="350"/>
      <c r="H66" s="351" t="s">
        <v>49</v>
      </c>
      <c r="I66" s="352"/>
      <c r="J66" s="348" t="str">
        <f>J34</f>
        <v>SHOWER</v>
      </c>
      <c r="K66" s="350"/>
      <c r="L66" s="352" t="s">
        <v>50</v>
      </c>
      <c r="M66" s="353"/>
      <c r="N66" s="351"/>
      <c r="O66" s="349" t="str">
        <f>O34</f>
        <v>HENDRA</v>
      </c>
      <c r="P66" s="349"/>
      <c r="Q66" s="350"/>
      <c r="R66" s="352" t="s">
        <v>51</v>
      </c>
      <c r="S66" s="351"/>
      <c r="T66" s="340">
        <f>T34</f>
        <v>6</v>
      </c>
      <c r="U66" s="340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1" t="s">
        <v>8</v>
      </c>
      <c r="P68" s="341"/>
      <c r="Q68" s="34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5"/>
      <c r="P69" s="314"/>
      <c r="Q69" s="31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2"/>
      <c r="P70" s="343"/>
      <c r="Q70" s="344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5"/>
      <c r="P71" s="314"/>
      <c r="Q71" s="31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5"/>
      <c r="P72" s="346"/>
      <c r="Q72" s="34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5"/>
      <c r="P73" s="346"/>
      <c r="Q73" s="34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7"/>
      <c r="P74" s="338"/>
      <c r="Q74" s="339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5"/>
      <c r="P75" s="314"/>
      <c r="Q75" s="31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5"/>
      <c r="P76" s="314"/>
      <c r="Q76" s="31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5"/>
      <c r="P77" s="314"/>
      <c r="Q77" s="31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5"/>
      <c r="P78" s="314"/>
      <c r="Q78" s="31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5"/>
      <c r="P79" s="314"/>
      <c r="Q79" s="31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5"/>
      <c r="P80" s="314"/>
      <c r="Q80" s="31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5"/>
      <c r="P81" s="314"/>
      <c r="Q81" s="31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5"/>
      <c r="P82" s="314"/>
      <c r="Q82" s="31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5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5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6"/>
      <c r="P85" s="315"/>
      <c r="Q85" s="315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6"/>
      <c r="P86" s="315"/>
      <c r="Q86" s="315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6"/>
      <c r="P87" s="315"/>
      <c r="Q87" s="315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5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5"/>
      <c r="P92" s="314"/>
      <c r="Q92" s="31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7"/>
      <c r="P93" s="318"/>
      <c r="Q93" s="319"/>
      <c r="R93" s="81"/>
      <c r="S93" s="68"/>
      <c r="T93" s="68"/>
      <c r="U93" s="77"/>
    </row>
    <row r="94" spans="1:21" x14ac:dyDescent="0.3">
      <c r="A94" s="320" t="s">
        <v>48</v>
      </c>
      <c r="B94" s="321"/>
      <c r="C94" s="321"/>
      <c r="D94" s="321"/>
      <c r="E94" s="322"/>
      <c r="F94" s="321"/>
      <c r="G94" s="321"/>
      <c r="H94" s="321">
        <f t="shared" ref="H94:M94" si="12">SUM(H69:H93)</f>
        <v>0</v>
      </c>
      <c r="I94" s="327">
        <f t="shared" si="12"/>
        <v>0</v>
      </c>
      <c r="J94" s="327">
        <f>J93+J92+J91+J90+J89+J88+J87+J86+J85+J84+J83+J82+J81+J80+J79+J78+J77+J76+J75+J74+J73+J72+J71+J70+J69</f>
        <v>0</v>
      </c>
      <c r="K94" s="327">
        <f>K93+K92+K91+K90+K89+K88+K87+K86+K85+K84+K83+K82+K81+K80+K79+K78+K77+K76+K75+K74+K73+K72+K71+K70+K69</f>
        <v>0</v>
      </c>
      <c r="L94" s="330">
        <f t="shared" si="12"/>
        <v>0</v>
      </c>
      <c r="M94" s="333">
        <f t="shared" si="12"/>
        <v>0</v>
      </c>
      <c r="N94" s="302"/>
      <c r="O94" s="303"/>
      <c r="P94" s="303"/>
      <c r="Q94" s="304"/>
      <c r="R94" s="5"/>
      <c r="S94" s="6"/>
      <c r="T94" s="7"/>
      <c r="U94" s="8"/>
    </row>
    <row r="95" spans="1:21" ht="17.25" thickBot="1" x14ac:dyDescent="0.35">
      <c r="A95" s="323"/>
      <c r="B95" s="324"/>
      <c r="C95" s="324"/>
      <c r="D95" s="324"/>
      <c r="E95" s="324"/>
      <c r="F95" s="324"/>
      <c r="G95" s="324"/>
      <c r="H95" s="324"/>
      <c r="I95" s="328"/>
      <c r="J95" s="328"/>
      <c r="K95" s="328"/>
      <c r="L95" s="331"/>
      <c r="M95" s="334"/>
      <c r="N95" s="305"/>
      <c r="O95" s="306"/>
      <c r="P95" s="306"/>
      <c r="Q95" s="307"/>
      <c r="R95" s="1"/>
      <c r="S95" s="2"/>
      <c r="T95" s="3"/>
      <c r="U95" s="4"/>
    </row>
    <row r="96" spans="1:21" ht="17.25" thickBot="1" x14ac:dyDescent="0.35">
      <c r="A96" s="325"/>
      <c r="B96" s="326"/>
      <c r="C96" s="326"/>
      <c r="D96" s="326"/>
      <c r="E96" s="326"/>
      <c r="F96" s="326"/>
      <c r="G96" s="326"/>
      <c r="H96" s="326"/>
      <c r="I96" s="329"/>
      <c r="J96" s="329"/>
      <c r="K96" s="329"/>
      <c r="L96" s="332"/>
      <c r="M96" s="335"/>
      <c r="N96" s="308"/>
      <c r="O96" s="309"/>
      <c r="P96" s="309"/>
      <c r="Q96" s="310"/>
      <c r="R96" s="311" t="s">
        <v>52</v>
      </c>
      <c r="S96" s="312"/>
      <c r="T96" s="312"/>
      <c r="U96" s="31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T11" sqref="T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8" t="s">
        <v>77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50"/>
    </row>
    <row r="2" spans="1:44" ht="17.25" thickBot="1" x14ac:dyDescent="0.35">
      <c r="A2" s="348" t="s">
        <v>159</v>
      </c>
      <c r="B2" s="349"/>
      <c r="C2" s="349"/>
      <c r="D2" s="349"/>
      <c r="E2" s="349"/>
      <c r="F2" s="349"/>
      <c r="G2" s="350"/>
      <c r="H2" s="351" t="s">
        <v>49</v>
      </c>
      <c r="I2" s="352"/>
      <c r="J2" s="348" t="s">
        <v>160</v>
      </c>
      <c r="K2" s="350"/>
      <c r="L2" s="352" t="s">
        <v>96</v>
      </c>
      <c r="M2" s="353"/>
      <c r="N2" s="351"/>
      <c r="O2" s="349" t="s">
        <v>99</v>
      </c>
      <c r="P2" s="349"/>
      <c r="Q2" s="350"/>
      <c r="R2" s="352" t="s">
        <v>51</v>
      </c>
      <c r="S2" s="351"/>
      <c r="T2" s="340">
        <v>7</v>
      </c>
      <c r="U2" s="34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1" t="s">
        <v>8</v>
      </c>
      <c r="P4" s="341"/>
      <c r="Q4" s="34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4793</v>
      </c>
      <c r="C5" s="68" t="s">
        <v>161</v>
      </c>
      <c r="D5" s="200" t="s">
        <v>162</v>
      </c>
      <c r="E5" s="181" t="s">
        <v>91</v>
      </c>
      <c r="F5" s="170">
        <v>905</v>
      </c>
      <c r="G5" s="118" t="s">
        <v>110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90"/>
      <c r="P5" s="391"/>
      <c r="Q5" s="392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4794</v>
      </c>
      <c r="C6" s="67" t="s">
        <v>163</v>
      </c>
      <c r="D6" s="200" t="s">
        <v>164</v>
      </c>
      <c r="E6" s="181" t="s">
        <v>92</v>
      </c>
      <c r="F6" s="171">
        <v>1045</v>
      </c>
      <c r="G6" s="118" t="s">
        <v>133</v>
      </c>
      <c r="H6" s="91"/>
      <c r="I6" s="124">
        <v>65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42"/>
      <c r="P6" s="343"/>
      <c r="Q6" s="344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4795</v>
      </c>
      <c r="C7" s="67" t="s">
        <v>169</v>
      </c>
      <c r="D7" s="200" t="s">
        <v>170</v>
      </c>
      <c r="E7" s="181" t="s">
        <v>92</v>
      </c>
      <c r="F7" s="171">
        <v>1100</v>
      </c>
      <c r="G7" s="118" t="s">
        <v>110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5"/>
      <c r="P7" s="314"/>
      <c r="Q7" s="316"/>
      <c r="R7" s="134" t="s">
        <v>101</v>
      </c>
      <c r="S7" s="31">
        <v>0.375</v>
      </c>
      <c r="T7" s="32">
        <v>0.625</v>
      </c>
      <c r="U7" s="92">
        <f t="shared" si="0"/>
        <v>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287">
        <v>4</v>
      </c>
      <c r="B8" s="273">
        <v>4796</v>
      </c>
      <c r="C8" s="269" t="s">
        <v>176</v>
      </c>
      <c r="D8" s="288" t="s">
        <v>177</v>
      </c>
      <c r="E8" s="271" t="s">
        <v>91</v>
      </c>
      <c r="F8" s="272">
        <v>1100</v>
      </c>
      <c r="G8" s="268" t="s">
        <v>117</v>
      </c>
      <c r="H8" s="274"/>
      <c r="I8" s="274">
        <v>350</v>
      </c>
      <c r="J8" s="274" t="str">
        <f t="shared" si="1"/>
        <v>0</v>
      </c>
      <c r="K8" s="274" t="str">
        <f t="shared" si="2"/>
        <v>0</v>
      </c>
      <c r="L8" s="275"/>
      <c r="M8" s="275"/>
      <c r="N8" s="269" t="s">
        <v>99</v>
      </c>
      <c r="O8" s="381" t="s">
        <v>80</v>
      </c>
      <c r="P8" s="382"/>
      <c r="Q8" s="383"/>
      <c r="R8" s="26" t="s">
        <v>102</v>
      </c>
      <c r="S8" s="31">
        <v>0.41666666666666669</v>
      </c>
      <c r="T8" s="32">
        <v>0.6875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4797</v>
      </c>
      <c r="C9" s="63" t="s">
        <v>165</v>
      </c>
      <c r="D9" s="201" t="s">
        <v>167</v>
      </c>
      <c r="E9" s="181" t="s">
        <v>91</v>
      </c>
      <c r="F9" s="172">
        <v>1145</v>
      </c>
      <c r="G9" s="119" t="s">
        <v>166</v>
      </c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45" t="s">
        <v>168</v>
      </c>
      <c r="P9" s="346"/>
      <c r="Q9" s="347"/>
      <c r="R9" s="26" t="s">
        <v>138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267">
        <v>6</v>
      </c>
      <c r="B10" s="273">
        <v>4798</v>
      </c>
      <c r="C10" s="276" t="s">
        <v>171</v>
      </c>
      <c r="D10" s="277" t="s">
        <v>172</v>
      </c>
      <c r="E10" s="271" t="s">
        <v>92</v>
      </c>
      <c r="F10" s="278">
        <v>1230</v>
      </c>
      <c r="G10" s="279" t="s">
        <v>173</v>
      </c>
      <c r="H10" s="280"/>
      <c r="I10" s="280">
        <v>250</v>
      </c>
      <c r="J10" s="274" t="str">
        <f t="shared" si="1"/>
        <v>0</v>
      </c>
      <c r="K10" s="274" t="str">
        <f t="shared" si="2"/>
        <v>0</v>
      </c>
      <c r="L10" s="275"/>
      <c r="M10" s="275"/>
      <c r="N10" s="269" t="s">
        <v>99</v>
      </c>
      <c r="O10" s="337"/>
      <c r="P10" s="338"/>
      <c r="Q10" s="339"/>
      <c r="R10" s="26" t="s">
        <v>103</v>
      </c>
      <c r="S10" s="31">
        <v>0.4375</v>
      </c>
      <c r="T10" s="32">
        <v>0.70833333333333337</v>
      </c>
      <c r="U10" s="92">
        <f t="shared" si="0"/>
        <v>6.5000000000000009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67">
        <v>7</v>
      </c>
      <c r="B11" s="268">
        <v>4799</v>
      </c>
      <c r="C11" s="283" t="s">
        <v>174</v>
      </c>
      <c r="D11" s="284" t="s">
        <v>175</v>
      </c>
      <c r="E11" s="271" t="s">
        <v>91</v>
      </c>
      <c r="F11" s="285">
        <v>1315</v>
      </c>
      <c r="G11" s="286" t="s">
        <v>133</v>
      </c>
      <c r="H11" s="280"/>
      <c r="I11" s="274">
        <v>250</v>
      </c>
      <c r="J11" s="274" t="str">
        <f t="shared" si="1"/>
        <v>0</v>
      </c>
      <c r="K11" s="274" t="str">
        <f t="shared" si="2"/>
        <v>0</v>
      </c>
      <c r="L11" s="275"/>
      <c r="M11" s="275"/>
      <c r="N11" s="269" t="s">
        <v>99</v>
      </c>
      <c r="O11" s="381" t="s">
        <v>178</v>
      </c>
      <c r="P11" s="382"/>
      <c r="Q11" s="383"/>
      <c r="R11" s="26" t="s">
        <v>140</v>
      </c>
      <c r="S11" s="31">
        <v>0.41666666666666669</v>
      </c>
      <c r="T11" s="32">
        <v>0.61458333333333337</v>
      </c>
      <c r="U11" s="92">
        <f t="shared" si="0"/>
        <v>4.75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4800</v>
      </c>
      <c r="C12" s="64" t="s">
        <v>179</v>
      </c>
      <c r="D12" s="204"/>
      <c r="E12" s="181" t="s">
        <v>92</v>
      </c>
      <c r="F12" s="173">
        <v>1530</v>
      </c>
      <c r="G12" s="119" t="s">
        <v>146</v>
      </c>
      <c r="H12" s="123"/>
      <c r="I12" s="125">
        <v>65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5"/>
      <c r="P12" s="314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3301</v>
      </c>
      <c r="C13" s="64" t="s">
        <v>181</v>
      </c>
      <c r="D13" s="204" t="s">
        <v>182</v>
      </c>
      <c r="E13" s="181" t="s">
        <v>92</v>
      </c>
      <c r="F13" s="173">
        <v>1535</v>
      </c>
      <c r="G13" s="119" t="s">
        <v>180</v>
      </c>
      <c r="H13" s="169"/>
      <c r="I13" s="168">
        <v>50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5"/>
      <c r="P13" s="314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5"/>
      <c r="P14" s="314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5"/>
      <c r="P15" s="314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5"/>
      <c r="P16" s="314"/>
      <c r="Q16" s="316"/>
      <c r="R16" s="82">
        <f>H32/U16</f>
        <v>0.18090452261306533</v>
      </c>
      <c r="S16" s="83">
        <f>H32/(U16-U5)</f>
        <v>0.22085889570552147</v>
      </c>
      <c r="T16" s="83">
        <f>C32/U16</f>
        <v>24.120603015075378</v>
      </c>
      <c r="U16" s="83">
        <f>SUM(U5:U15)</f>
        <v>49.75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5"/>
      <c r="P17" s="314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5"/>
      <c r="P18" s="314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5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86"/>
      <c r="P20" s="387"/>
      <c r="Q20" s="38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5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5"/>
      <c r="P22" s="314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84"/>
      <c r="Y23" s="385"/>
      <c r="Z23" s="38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5"/>
      <c r="P24" s="314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5"/>
      <c r="P25" s="314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88">
        <f>((C32+(R26+S26+T26)*0.5))</f>
        <v>1225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5"/>
      <c r="P26" s="314"/>
      <c r="Q26" s="316"/>
      <c r="R26" s="112">
        <f>R25*37.5</f>
        <v>0</v>
      </c>
      <c r="S26" s="102">
        <f>S25*41.5</f>
        <v>0</v>
      </c>
      <c r="T26" s="102">
        <f>T25*50</f>
        <v>50</v>
      </c>
      <c r="U26" s="38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5"/>
      <c r="P27" s="314"/>
      <c r="Q27" s="316"/>
      <c r="R27" s="378" t="s">
        <v>56</v>
      </c>
      <c r="S27" s="379"/>
      <c r="T27" s="379"/>
      <c r="U27" s="38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5"/>
      <c r="P28" s="314"/>
      <c r="Q28" s="316"/>
      <c r="R28" s="371"/>
      <c r="S28" s="372"/>
      <c r="T28" s="37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8"/>
      <c r="P29" s="359"/>
      <c r="Q29" s="360"/>
      <c r="R29" s="361"/>
      <c r="S29" s="362"/>
      <c r="T29" s="36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64" t="s">
        <v>48</v>
      </c>
      <c r="B30" s="365"/>
      <c r="C30" s="365"/>
      <c r="D30" s="365"/>
      <c r="E30" s="366"/>
      <c r="F30" s="365"/>
      <c r="G30" s="365"/>
      <c r="H30" s="264">
        <f t="shared" ref="H30:M30" si="3">SUM(H5:H29)</f>
        <v>0</v>
      </c>
      <c r="I30" s="105">
        <f>SUM(I5:I29)</f>
        <v>1200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7"/>
      <c r="S30" s="367"/>
      <c r="T30" s="36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9" t="s">
        <v>16</v>
      </c>
      <c r="B31" s="370"/>
      <c r="C31" s="370"/>
      <c r="D31" s="370"/>
      <c r="E31" s="370"/>
      <c r="F31" s="370"/>
      <c r="G31" s="370"/>
      <c r="H31" s="265">
        <f t="shared" ref="H31:J31" si="4">H30+H62+H94</f>
        <v>0</v>
      </c>
      <c r="I31" s="103">
        <f t="shared" si="4"/>
        <v>1200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54">
        <f>H31+I31+L31+M31</f>
        <v>1200</v>
      </c>
      <c r="U31" s="35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74" t="s">
        <v>55</v>
      </c>
      <c r="B32" s="375"/>
      <c r="C32" s="107">
        <f>H31+I31+J31+K31</f>
        <v>1200</v>
      </c>
      <c r="D32" s="196"/>
      <c r="E32" s="107"/>
      <c r="F32" s="376" t="s">
        <v>53</v>
      </c>
      <c r="G32" s="376"/>
      <c r="H32" s="109">
        <f>COUNT(B5:B29,B37:B61,B69:B93)</f>
        <v>9</v>
      </c>
      <c r="I32" s="377" t="s">
        <v>54</v>
      </c>
      <c r="J32" s="377"/>
      <c r="K32" s="108">
        <f>C32/H32</f>
        <v>133.33333333333334</v>
      </c>
      <c r="L32" s="260"/>
      <c r="M32" s="260"/>
      <c r="N32" s="260">
        <f>H31/C32</f>
        <v>0</v>
      </c>
      <c r="O32" s="260">
        <f>I31/C32</f>
        <v>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1200</v>
      </c>
      <c r="T32" s="356"/>
      <c r="U32" s="357"/>
      <c r="V32" s="55"/>
      <c r="W32" s="55"/>
      <c r="X32" s="56" t="s">
        <v>27</v>
      </c>
      <c r="Y32" s="56"/>
      <c r="Z32" s="54">
        <f>I31</f>
        <v>1200</v>
      </c>
      <c r="AE32" s="37"/>
      <c r="AF32" s="37"/>
      <c r="AG32" s="37"/>
      <c r="AH32" s="37"/>
    </row>
    <row r="33" spans="1:34" ht="17.25" thickBot="1" x14ac:dyDescent="0.35">
      <c r="A33" s="308" t="s">
        <v>24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49"/>
      <c r="U33" s="350"/>
      <c r="X33" s="57" t="s">
        <v>29</v>
      </c>
      <c r="Y33" s="57"/>
      <c r="Z33" s="58">
        <f>SUM(Z31:Z32)</f>
        <v>-1545</v>
      </c>
      <c r="AE33" s="37"/>
      <c r="AF33" s="37"/>
      <c r="AG33" s="59"/>
      <c r="AH33" s="37"/>
    </row>
    <row r="34" spans="1:34" ht="17.25" thickBot="1" x14ac:dyDescent="0.35">
      <c r="A34" s="348" t="str">
        <f>A2</f>
        <v>30 - 3 - 2022</v>
      </c>
      <c r="B34" s="349"/>
      <c r="C34" s="349"/>
      <c r="D34" s="349"/>
      <c r="E34" s="349"/>
      <c r="F34" s="349"/>
      <c r="G34" s="350"/>
      <c r="H34" s="351" t="s">
        <v>49</v>
      </c>
      <c r="I34" s="352"/>
      <c r="J34" s="348" t="str">
        <f>J2</f>
        <v>CLOUDY</v>
      </c>
      <c r="K34" s="350"/>
      <c r="L34" s="352" t="s">
        <v>50</v>
      </c>
      <c r="M34" s="353"/>
      <c r="N34" s="351"/>
      <c r="O34" s="349" t="str">
        <f>O2</f>
        <v>HENDRA</v>
      </c>
      <c r="P34" s="349"/>
      <c r="Q34" s="350"/>
      <c r="R34" s="352" t="s">
        <v>51</v>
      </c>
      <c r="S34" s="351"/>
      <c r="T34" s="340">
        <f>T2</f>
        <v>7</v>
      </c>
      <c r="U34" s="340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1" t="s">
        <v>8</v>
      </c>
      <c r="P36" s="341"/>
      <c r="Q36" s="34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5"/>
      <c r="P37" s="314"/>
      <c r="Q37" s="31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2"/>
      <c r="P38" s="343"/>
      <c r="Q38" s="344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5"/>
      <c r="P39" s="314"/>
      <c r="Q39" s="31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5"/>
      <c r="P40" s="346"/>
      <c r="Q40" s="34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5"/>
      <c r="P41" s="346"/>
      <c r="Q41" s="34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7"/>
      <c r="P42" s="338"/>
      <c r="Q42" s="339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5"/>
      <c r="P43" s="314"/>
      <c r="Q43" s="31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5"/>
      <c r="P44" s="314"/>
      <c r="Q44" s="31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5"/>
      <c r="P45" s="314"/>
      <c r="Q45" s="31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5"/>
      <c r="P46" s="314"/>
      <c r="Q46" s="31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5"/>
      <c r="P47" s="314"/>
      <c r="Q47" s="31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5"/>
      <c r="P48" s="314"/>
      <c r="Q48" s="31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5"/>
      <c r="P49" s="314"/>
      <c r="Q49" s="31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5"/>
      <c r="P50" s="314"/>
      <c r="Q50" s="31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5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5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6"/>
      <c r="P53" s="315"/>
      <c r="Q53" s="315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6"/>
      <c r="P54" s="315"/>
      <c r="Q54" s="315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6"/>
      <c r="P55" s="315"/>
      <c r="Q55" s="315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5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5"/>
      <c r="P60" s="314"/>
      <c r="Q60" s="31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7"/>
      <c r="P61" s="318"/>
      <c r="Q61" s="319"/>
      <c r="R61" s="81"/>
      <c r="S61" s="68"/>
      <c r="T61" s="68"/>
      <c r="U61" s="77"/>
    </row>
    <row r="62" spans="1:21" x14ac:dyDescent="0.3">
      <c r="A62" s="320" t="s">
        <v>48</v>
      </c>
      <c r="B62" s="321"/>
      <c r="C62" s="321"/>
      <c r="D62" s="321"/>
      <c r="E62" s="321"/>
      <c r="F62" s="321"/>
      <c r="G62" s="321"/>
      <c r="H62" s="321">
        <f t="shared" ref="H62:M62" si="8">SUM(H37:H61)</f>
        <v>0</v>
      </c>
      <c r="I62" s="327">
        <f t="shared" si="8"/>
        <v>0</v>
      </c>
      <c r="J62" s="327">
        <f>J61+J60+J59+J58+J57+J56+J55+J54+J53+J52+J51+J50+J49+J48+J47+J46+J45+J44+J43+J42+J41+J40+J39+J38+J37</f>
        <v>0</v>
      </c>
      <c r="K62" s="327">
        <f>K61+K60+K59+K58+K57+K56+K55+K54+K53+K52+K51+K50+K49+K48+K47+K46+K45+K44+K43+K42+K41+K40+K39+K38+K37</f>
        <v>0</v>
      </c>
      <c r="L62" s="330">
        <f t="shared" si="8"/>
        <v>0</v>
      </c>
      <c r="M62" s="333">
        <f t="shared" si="8"/>
        <v>0</v>
      </c>
      <c r="N62" s="302"/>
      <c r="O62" s="303"/>
      <c r="P62" s="303"/>
      <c r="Q62" s="304"/>
      <c r="R62" s="5"/>
      <c r="S62" s="6"/>
      <c r="T62" s="7"/>
      <c r="U62" s="8"/>
    </row>
    <row r="63" spans="1:21" ht="17.25" thickBot="1" x14ac:dyDescent="0.35">
      <c r="A63" s="323"/>
      <c r="B63" s="324"/>
      <c r="C63" s="324"/>
      <c r="D63" s="324"/>
      <c r="E63" s="324"/>
      <c r="F63" s="324"/>
      <c r="G63" s="324"/>
      <c r="H63" s="324"/>
      <c r="I63" s="328"/>
      <c r="J63" s="328"/>
      <c r="K63" s="328"/>
      <c r="L63" s="331"/>
      <c r="M63" s="334"/>
      <c r="N63" s="305"/>
      <c r="O63" s="306"/>
      <c r="P63" s="306"/>
      <c r="Q63" s="307"/>
      <c r="R63" s="1"/>
      <c r="S63" s="2"/>
      <c r="T63" s="3"/>
      <c r="U63" s="4"/>
    </row>
    <row r="64" spans="1:21" ht="17.25" thickBot="1" x14ac:dyDescent="0.35">
      <c r="A64" s="325"/>
      <c r="B64" s="326"/>
      <c r="C64" s="326"/>
      <c r="D64" s="326"/>
      <c r="E64" s="326"/>
      <c r="F64" s="326"/>
      <c r="G64" s="326"/>
      <c r="H64" s="326"/>
      <c r="I64" s="329"/>
      <c r="J64" s="329"/>
      <c r="K64" s="329"/>
      <c r="L64" s="332"/>
      <c r="M64" s="335"/>
      <c r="N64" s="308"/>
      <c r="O64" s="309"/>
      <c r="P64" s="309"/>
      <c r="Q64" s="310"/>
      <c r="R64" s="311" t="s">
        <v>17</v>
      </c>
      <c r="S64" s="312"/>
      <c r="T64" s="312"/>
      <c r="U64" s="313"/>
    </row>
    <row r="65" spans="1:21" ht="17.25" thickBot="1" x14ac:dyDescent="0.35">
      <c r="A65" s="348" t="s">
        <v>24</v>
      </c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50"/>
    </row>
    <row r="66" spans="1:21" ht="17.25" thickBot="1" x14ac:dyDescent="0.35">
      <c r="A66" s="348" t="str">
        <f>A34</f>
        <v>30 - 3 - 2022</v>
      </c>
      <c r="B66" s="349"/>
      <c r="C66" s="349"/>
      <c r="D66" s="349"/>
      <c r="E66" s="349"/>
      <c r="F66" s="349"/>
      <c r="G66" s="350"/>
      <c r="H66" s="351" t="s">
        <v>49</v>
      </c>
      <c r="I66" s="352"/>
      <c r="J66" s="348" t="str">
        <f>J34</f>
        <v>CLOUDY</v>
      </c>
      <c r="K66" s="350"/>
      <c r="L66" s="352" t="s">
        <v>50</v>
      </c>
      <c r="M66" s="353"/>
      <c r="N66" s="351"/>
      <c r="O66" s="349" t="str">
        <f>O34</f>
        <v>HENDRA</v>
      </c>
      <c r="P66" s="349"/>
      <c r="Q66" s="350"/>
      <c r="R66" s="352" t="s">
        <v>51</v>
      </c>
      <c r="S66" s="351"/>
      <c r="T66" s="340">
        <f>T34</f>
        <v>7</v>
      </c>
      <c r="U66" s="340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1" t="s">
        <v>8</v>
      </c>
      <c r="P68" s="341"/>
      <c r="Q68" s="34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5"/>
      <c r="P69" s="314"/>
      <c r="Q69" s="31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2"/>
      <c r="P70" s="343"/>
      <c r="Q70" s="344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5"/>
      <c r="P71" s="314"/>
      <c r="Q71" s="31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5"/>
      <c r="P72" s="346"/>
      <c r="Q72" s="34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5"/>
      <c r="P73" s="346"/>
      <c r="Q73" s="34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7"/>
      <c r="P74" s="338"/>
      <c r="Q74" s="339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5"/>
      <c r="P75" s="314"/>
      <c r="Q75" s="31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5"/>
      <c r="P76" s="314"/>
      <c r="Q76" s="31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5"/>
      <c r="P77" s="314"/>
      <c r="Q77" s="31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5"/>
      <c r="P78" s="314"/>
      <c r="Q78" s="31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5"/>
      <c r="P79" s="314"/>
      <c r="Q79" s="31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5"/>
      <c r="P80" s="314"/>
      <c r="Q80" s="31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5"/>
      <c r="P81" s="314"/>
      <c r="Q81" s="31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5"/>
      <c r="P82" s="314"/>
      <c r="Q82" s="31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5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5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6"/>
      <c r="P85" s="315"/>
      <c r="Q85" s="315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6"/>
      <c r="P86" s="315"/>
      <c r="Q86" s="315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6"/>
      <c r="P87" s="315"/>
      <c r="Q87" s="315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5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5"/>
      <c r="P92" s="314"/>
      <c r="Q92" s="31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7"/>
      <c r="P93" s="318"/>
      <c r="Q93" s="319"/>
      <c r="R93" s="81"/>
      <c r="S93" s="68"/>
      <c r="T93" s="68"/>
      <c r="U93" s="77"/>
    </row>
    <row r="94" spans="1:21" x14ac:dyDescent="0.3">
      <c r="A94" s="320" t="s">
        <v>48</v>
      </c>
      <c r="B94" s="321"/>
      <c r="C94" s="321"/>
      <c r="D94" s="321"/>
      <c r="E94" s="322"/>
      <c r="F94" s="321"/>
      <c r="G94" s="321"/>
      <c r="H94" s="321">
        <f t="shared" ref="H94:M94" si="12">SUM(H69:H93)</f>
        <v>0</v>
      </c>
      <c r="I94" s="327">
        <f t="shared" si="12"/>
        <v>0</v>
      </c>
      <c r="J94" s="327">
        <f>J93+J92+J91+J90+J89+J88+J87+J86+J85+J84+J83+J82+J81+J80+J79+J78+J77+J76+J75+J74+J73+J72+J71+J70+J69</f>
        <v>0</v>
      </c>
      <c r="K94" s="327">
        <f>K93+K92+K91+K90+K89+K88+K87+K86+K85+K84+K83+K82+K81+K80+K79+K78+K77+K76+K75+K74+K73+K72+K71+K70+K69</f>
        <v>0</v>
      </c>
      <c r="L94" s="330">
        <f t="shared" si="12"/>
        <v>0</v>
      </c>
      <c r="M94" s="333">
        <f t="shared" si="12"/>
        <v>0</v>
      </c>
      <c r="N94" s="302"/>
      <c r="O94" s="303"/>
      <c r="P94" s="303"/>
      <c r="Q94" s="304"/>
      <c r="R94" s="5"/>
      <c r="S94" s="6"/>
      <c r="T94" s="7"/>
      <c r="U94" s="8"/>
    </row>
    <row r="95" spans="1:21" ht="17.25" thickBot="1" x14ac:dyDescent="0.35">
      <c r="A95" s="323"/>
      <c r="B95" s="324"/>
      <c r="C95" s="324"/>
      <c r="D95" s="324"/>
      <c r="E95" s="324"/>
      <c r="F95" s="324"/>
      <c r="G95" s="324"/>
      <c r="H95" s="324"/>
      <c r="I95" s="328"/>
      <c r="J95" s="328"/>
      <c r="K95" s="328"/>
      <c r="L95" s="331"/>
      <c r="M95" s="334"/>
      <c r="N95" s="305"/>
      <c r="O95" s="306"/>
      <c r="P95" s="306"/>
      <c r="Q95" s="307"/>
      <c r="R95" s="1"/>
      <c r="S95" s="2"/>
      <c r="T95" s="3"/>
      <c r="U95" s="4"/>
    </row>
    <row r="96" spans="1:21" ht="17.25" thickBot="1" x14ac:dyDescent="0.35">
      <c r="A96" s="325"/>
      <c r="B96" s="326"/>
      <c r="C96" s="326"/>
      <c r="D96" s="326"/>
      <c r="E96" s="326"/>
      <c r="F96" s="326"/>
      <c r="G96" s="326"/>
      <c r="H96" s="326"/>
      <c r="I96" s="329"/>
      <c r="J96" s="329"/>
      <c r="K96" s="329"/>
      <c r="L96" s="332"/>
      <c r="M96" s="335"/>
      <c r="N96" s="308"/>
      <c r="O96" s="309"/>
      <c r="P96" s="309"/>
      <c r="Q96" s="310"/>
      <c r="R96" s="311" t="s">
        <v>52</v>
      </c>
      <c r="S96" s="312"/>
      <c r="T96" s="312"/>
      <c r="U96" s="313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I17" sqref="I1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8" t="s">
        <v>77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50"/>
    </row>
    <row r="2" spans="1:44" ht="17.25" thickBot="1" x14ac:dyDescent="0.35">
      <c r="A2" s="348" t="s">
        <v>183</v>
      </c>
      <c r="B2" s="349"/>
      <c r="C2" s="349"/>
      <c r="D2" s="349"/>
      <c r="E2" s="349"/>
      <c r="F2" s="349"/>
      <c r="G2" s="350"/>
      <c r="H2" s="351" t="s">
        <v>49</v>
      </c>
      <c r="I2" s="352"/>
      <c r="J2" s="348" t="s">
        <v>98</v>
      </c>
      <c r="K2" s="350"/>
      <c r="L2" s="352" t="s">
        <v>96</v>
      </c>
      <c r="M2" s="353"/>
      <c r="N2" s="351"/>
      <c r="O2" s="349" t="s">
        <v>99</v>
      </c>
      <c r="P2" s="349"/>
      <c r="Q2" s="350"/>
      <c r="R2" s="352" t="s">
        <v>51</v>
      </c>
      <c r="S2" s="351"/>
      <c r="T2" s="340">
        <v>6</v>
      </c>
      <c r="U2" s="34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1" t="s">
        <v>8</v>
      </c>
      <c r="P4" s="341"/>
      <c r="Q4" s="34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287">
        <v>1</v>
      </c>
      <c r="B5" s="268">
        <v>3302</v>
      </c>
      <c r="C5" s="289" t="s">
        <v>186</v>
      </c>
      <c r="D5" s="288" t="s">
        <v>187</v>
      </c>
      <c r="E5" s="271" t="s">
        <v>91</v>
      </c>
      <c r="F5" s="290">
        <v>820</v>
      </c>
      <c r="G5" s="268" t="s">
        <v>122</v>
      </c>
      <c r="H5" s="274"/>
      <c r="I5" s="274">
        <v>480</v>
      </c>
      <c r="J5" s="274" t="str">
        <f>IF(G5="RSL","55","0")</f>
        <v>0</v>
      </c>
      <c r="K5" s="274" t="str">
        <f>IF(G5="GVS","37.5",IF(G5="GVM","41.5",IF(G5="GVL","50",IF(G5="PCS","45.8",IF(G5="PCM","50",IF(G5="PCL","58.3","0"))))))</f>
        <v>0</v>
      </c>
      <c r="L5" s="275"/>
      <c r="M5" s="275"/>
      <c r="N5" s="269" t="s">
        <v>99</v>
      </c>
      <c r="O5" s="393" t="s">
        <v>80</v>
      </c>
      <c r="P5" s="394"/>
      <c r="Q5" s="395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287">
        <v>2</v>
      </c>
      <c r="B6" s="273">
        <v>3303</v>
      </c>
      <c r="C6" s="291" t="s">
        <v>188</v>
      </c>
      <c r="D6" s="288" t="s">
        <v>189</v>
      </c>
      <c r="E6" s="271" t="s">
        <v>92</v>
      </c>
      <c r="F6" s="272">
        <v>930</v>
      </c>
      <c r="G6" s="268" t="s">
        <v>190</v>
      </c>
      <c r="H6" s="274">
        <v>250</v>
      </c>
      <c r="I6" s="274"/>
      <c r="J6" s="274" t="str">
        <f t="shared" ref="J6:J29" si="1">IF(G6="RSL","55","0")</f>
        <v>0</v>
      </c>
      <c r="K6" s="274" t="str">
        <f t="shared" ref="K6:K29" si="2">IF(G6="GVS","37.5",IF(G6="GVM","41.5",IF(G6="GVL","50",IF(G6="PCS","45.8",IF(G6="PCM","50",IF(G6="PCL","58.3","0"))))))</f>
        <v>0</v>
      </c>
      <c r="L6" s="275"/>
      <c r="M6" s="275"/>
      <c r="N6" s="269" t="s">
        <v>99</v>
      </c>
      <c r="O6" s="396" t="s">
        <v>78</v>
      </c>
      <c r="P6" s="397"/>
      <c r="Q6" s="398"/>
      <c r="R6" s="132" t="s">
        <v>101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3304</v>
      </c>
      <c r="C7" s="67" t="s">
        <v>191</v>
      </c>
      <c r="D7" s="200" t="s">
        <v>192</v>
      </c>
      <c r="E7" s="181" t="s">
        <v>91</v>
      </c>
      <c r="F7" s="171">
        <v>1000</v>
      </c>
      <c r="G7" s="118" t="s">
        <v>133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5"/>
      <c r="P7" s="314"/>
      <c r="Q7" s="316"/>
      <c r="R7" s="134" t="s">
        <v>102</v>
      </c>
      <c r="S7" s="31">
        <v>0.36458333333333331</v>
      </c>
      <c r="T7" s="32">
        <v>0.70833333333333337</v>
      </c>
      <c r="U7" s="92">
        <f t="shared" si="0"/>
        <v>8.2500000000000018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3305</v>
      </c>
      <c r="C8" s="27" t="s">
        <v>193</v>
      </c>
      <c r="D8" s="200" t="s">
        <v>194</v>
      </c>
      <c r="E8" s="181" t="s">
        <v>92</v>
      </c>
      <c r="F8" s="171">
        <v>1015</v>
      </c>
      <c r="G8" s="118" t="s">
        <v>110</v>
      </c>
      <c r="H8" s="91">
        <v>100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5"/>
      <c r="P8" s="346"/>
      <c r="Q8" s="347"/>
      <c r="R8" s="26" t="s">
        <v>138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3306</v>
      </c>
      <c r="C9" s="63" t="s">
        <v>195</v>
      </c>
      <c r="D9" s="201" t="s">
        <v>196</v>
      </c>
      <c r="E9" s="181" t="s">
        <v>92</v>
      </c>
      <c r="F9" s="172">
        <v>1020</v>
      </c>
      <c r="G9" s="119" t="s">
        <v>133</v>
      </c>
      <c r="H9" s="91"/>
      <c r="I9" s="91">
        <v>120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45"/>
      <c r="P9" s="346"/>
      <c r="Q9" s="347"/>
      <c r="R9" s="26" t="s">
        <v>103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3307</v>
      </c>
      <c r="C10" s="28" t="s">
        <v>197</v>
      </c>
      <c r="D10" s="202"/>
      <c r="E10" s="181" t="s">
        <v>92</v>
      </c>
      <c r="F10" s="173">
        <v>1115</v>
      </c>
      <c r="G10" s="120" t="s">
        <v>133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7"/>
      <c r="P10" s="338"/>
      <c r="Q10" s="339"/>
      <c r="R10" s="26" t="s">
        <v>184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3308</v>
      </c>
      <c r="C11" s="18" t="s">
        <v>198</v>
      </c>
      <c r="D11" s="203"/>
      <c r="E11" s="181" t="s">
        <v>92</v>
      </c>
      <c r="F11" s="66">
        <v>1130</v>
      </c>
      <c r="G11" s="121" t="s">
        <v>133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5"/>
      <c r="P11" s="314"/>
      <c r="Q11" s="316"/>
      <c r="R11" s="26" t="s">
        <v>185</v>
      </c>
      <c r="S11" s="31">
        <v>0.35416666666666669</v>
      </c>
      <c r="T11" s="32">
        <v>0.40625</v>
      </c>
      <c r="U11" s="92">
        <f t="shared" si="0"/>
        <v>1.2499999999999996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3309</v>
      </c>
      <c r="C12" s="64" t="s">
        <v>202</v>
      </c>
      <c r="D12" s="204" t="s">
        <v>203</v>
      </c>
      <c r="E12" s="181" t="s">
        <v>92</v>
      </c>
      <c r="F12" s="173">
        <v>1145</v>
      </c>
      <c r="G12" s="119" t="s">
        <v>44</v>
      </c>
      <c r="H12" s="123"/>
      <c r="I12" s="125"/>
      <c r="J12" s="130">
        <v>110</v>
      </c>
      <c r="K12" s="130" t="str">
        <f t="shared" si="2"/>
        <v>0</v>
      </c>
      <c r="L12" s="131"/>
      <c r="M12" s="131"/>
      <c r="N12" s="134" t="s">
        <v>99</v>
      </c>
      <c r="O12" s="315" t="s">
        <v>204</v>
      </c>
      <c r="P12" s="314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3310</v>
      </c>
      <c r="C13" s="64" t="s">
        <v>199</v>
      </c>
      <c r="D13" s="204" t="s">
        <v>200</v>
      </c>
      <c r="E13" s="181" t="s">
        <v>91</v>
      </c>
      <c r="F13" s="173">
        <v>1200</v>
      </c>
      <c r="G13" s="119" t="s">
        <v>155</v>
      </c>
      <c r="H13" s="169"/>
      <c r="I13" s="168"/>
      <c r="J13" s="130" t="str">
        <f t="shared" si="1"/>
        <v>0</v>
      </c>
      <c r="K13" s="130" t="str">
        <f t="shared" si="2"/>
        <v>58.3</v>
      </c>
      <c r="L13" s="131"/>
      <c r="M13" s="131"/>
      <c r="N13" s="134" t="s">
        <v>99</v>
      </c>
      <c r="O13" s="315" t="s">
        <v>201</v>
      </c>
      <c r="P13" s="314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3311</v>
      </c>
      <c r="C14" s="65" t="s">
        <v>207</v>
      </c>
      <c r="D14" s="205" t="s">
        <v>208</v>
      </c>
      <c r="E14" s="181" t="s">
        <v>92</v>
      </c>
      <c r="F14" s="174">
        <v>1245</v>
      </c>
      <c r="G14" s="122" t="s">
        <v>125</v>
      </c>
      <c r="H14" s="123"/>
      <c r="I14" s="125">
        <v>120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5"/>
      <c r="P14" s="314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3312</v>
      </c>
      <c r="C15" s="65" t="s">
        <v>205</v>
      </c>
      <c r="D15" s="205" t="s">
        <v>206</v>
      </c>
      <c r="E15" s="181" t="s">
        <v>91</v>
      </c>
      <c r="F15" s="174">
        <v>1315</v>
      </c>
      <c r="G15" s="122" t="s">
        <v>110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5"/>
      <c r="P15" s="314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3313</v>
      </c>
      <c r="C16" s="65" t="s">
        <v>212</v>
      </c>
      <c r="D16" s="205" t="s">
        <v>213</v>
      </c>
      <c r="E16" s="181" t="s">
        <v>92</v>
      </c>
      <c r="F16" s="174">
        <v>1430</v>
      </c>
      <c r="G16" s="122" t="s">
        <v>110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5"/>
      <c r="P16" s="314"/>
      <c r="Q16" s="316"/>
      <c r="R16" s="82">
        <f>H32/U16</f>
        <v>0.268041237113402</v>
      </c>
      <c r="S16" s="83">
        <f>H32/(U16-U5)</f>
        <v>0.32911392405063283</v>
      </c>
      <c r="T16" s="83">
        <f>C32/U16</f>
        <v>38.521649484536077</v>
      </c>
      <c r="U16" s="83">
        <f>SUM(U5:U15)</f>
        <v>48.500000000000007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3314</v>
      </c>
      <c r="C17" s="18" t="s">
        <v>210</v>
      </c>
      <c r="D17" s="203" t="s">
        <v>211</v>
      </c>
      <c r="E17" s="181" t="s">
        <v>91</v>
      </c>
      <c r="F17" s="66">
        <v>1530</v>
      </c>
      <c r="G17" s="121" t="s">
        <v>209</v>
      </c>
      <c r="H17" s="123"/>
      <c r="I17" s="124">
        <v>180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101</v>
      </c>
      <c r="O17" s="315"/>
      <c r="P17" s="314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5"/>
      <c r="P18" s="314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5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86"/>
      <c r="P20" s="387"/>
      <c r="Q20" s="38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5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5"/>
      <c r="P22" s="314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84"/>
      <c r="Y23" s="385"/>
      <c r="Z23" s="38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5"/>
      <c r="P24" s="314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5"/>
      <c r="P25" s="314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8">
        <f>((C32+(R26+S26+T26)*0.5))</f>
        <v>1868.3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5"/>
      <c r="P26" s="314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8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5"/>
      <c r="P27" s="314"/>
      <c r="Q27" s="316"/>
      <c r="R27" s="378" t="s">
        <v>56</v>
      </c>
      <c r="S27" s="379"/>
      <c r="T27" s="379"/>
      <c r="U27" s="38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5"/>
      <c r="P28" s="314"/>
      <c r="Q28" s="316"/>
      <c r="R28" s="371"/>
      <c r="S28" s="372"/>
      <c r="T28" s="37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8"/>
      <c r="P29" s="359"/>
      <c r="Q29" s="360"/>
      <c r="R29" s="361"/>
      <c r="S29" s="362"/>
      <c r="T29" s="36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64" t="s">
        <v>48</v>
      </c>
      <c r="B30" s="365"/>
      <c r="C30" s="365"/>
      <c r="D30" s="365"/>
      <c r="E30" s="366"/>
      <c r="F30" s="365"/>
      <c r="G30" s="365"/>
      <c r="H30" s="264">
        <f t="shared" ref="H30:M30" si="3">SUM(H5:H29)</f>
        <v>350</v>
      </c>
      <c r="I30" s="105">
        <f>SUM(I5:I29)</f>
        <v>1350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7"/>
      <c r="S30" s="367"/>
      <c r="T30" s="36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9" t="s">
        <v>16</v>
      </c>
      <c r="B31" s="370"/>
      <c r="C31" s="370"/>
      <c r="D31" s="370"/>
      <c r="E31" s="370"/>
      <c r="F31" s="370"/>
      <c r="G31" s="370"/>
      <c r="H31" s="265">
        <f t="shared" ref="H31:J31" si="4">H30+H62+H94</f>
        <v>350</v>
      </c>
      <c r="I31" s="103">
        <f t="shared" si="4"/>
        <v>1350</v>
      </c>
      <c r="J31" s="103">
        <f t="shared" si="4"/>
        <v>110</v>
      </c>
      <c r="K31" s="103">
        <f>K30+K62+K94</f>
        <v>58.3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350</v>
      </c>
      <c r="T31" s="354">
        <f>H31+I31+L31+M31</f>
        <v>1700</v>
      </c>
      <c r="U31" s="35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74" t="s">
        <v>55</v>
      </c>
      <c r="B32" s="375"/>
      <c r="C32" s="107">
        <f>H31+I31+J31+K31</f>
        <v>1868.3</v>
      </c>
      <c r="D32" s="196"/>
      <c r="E32" s="107"/>
      <c r="F32" s="376" t="s">
        <v>53</v>
      </c>
      <c r="G32" s="376"/>
      <c r="H32" s="109">
        <f>COUNT(B5:B29,B37:B61,B69:B93)</f>
        <v>13</v>
      </c>
      <c r="I32" s="377" t="s">
        <v>54</v>
      </c>
      <c r="J32" s="377"/>
      <c r="K32" s="108">
        <f>C32/H32</f>
        <v>143.71538461538461</v>
      </c>
      <c r="L32" s="260"/>
      <c r="M32" s="260"/>
      <c r="N32" s="260">
        <f>H31/C32</f>
        <v>0.18733608092918697</v>
      </c>
      <c r="O32" s="260">
        <f>I31/C32</f>
        <v>0.72258202644114977</v>
      </c>
      <c r="P32" s="260">
        <f>K31/C32</f>
        <v>3.1204838623347428E-2</v>
      </c>
      <c r="Q32" s="110">
        <f>J31/C32</f>
        <v>5.8877054006315904E-2</v>
      </c>
      <c r="R32" s="99" t="s">
        <v>82</v>
      </c>
      <c r="S32" s="266">
        <f>I31+M31</f>
        <v>1350</v>
      </c>
      <c r="T32" s="356"/>
      <c r="U32" s="357"/>
      <c r="V32" s="55"/>
      <c r="W32" s="55"/>
      <c r="X32" s="56" t="s">
        <v>27</v>
      </c>
      <c r="Y32" s="56"/>
      <c r="Z32" s="54">
        <f>I31</f>
        <v>1350</v>
      </c>
      <c r="AE32" s="37"/>
      <c r="AF32" s="37"/>
      <c r="AG32" s="37"/>
      <c r="AH32" s="37"/>
    </row>
    <row r="33" spans="1:34" ht="17.25" thickBot="1" x14ac:dyDescent="0.35">
      <c r="A33" s="308" t="s">
        <v>24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49"/>
      <c r="U33" s="350"/>
      <c r="X33" s="57" t="s">
        <v>29</v>
      </c>
      <c r="Y33" s="57"/>
      <c r="Z33" s="58">
        <f>SUM(Z31:Z32)</f>
        <v>-1395</v>
      </c>
      <c r="AE33" s="37"/>
      <c r="AF33" s="37"/>
      <c r="AG33" s="59"/>
      <c r="AH33" s="37"/>
    </row>
    <row r="34" spans="1:34" ht="17.25" thickBot="1" x14ac:dyDescent="0.35">
      <c r="A34" s="348" t="str">
        <f>A2</f>
        <v>31 - 3 - 2022</v>
      </c>
      <c r="B34" s="349"/>
      <c r="C34" s="349"/>
      <c r="D34" s="349"/>
      <c r="E34" s="349"/>
      <c r="F34" s="349"/>
      <c r="G34" s="350"/>
      <c r="H34" s="351" t="s">
        <v>49</v>
      </c>
      <c r="I34" s="352"/>
      <c r="J34" s="348" t="str">
        <f>J2</f>
        <v>MIX</v>
      </c>
      <c r="K34" s="350"/>
      <c r="L34" s="352" t="s">
        <v>50</v>
      </c>
      <c r="M34" s="353"/>
      <c r="N34" s="351"/>
      <c r="O34" s="349" t="str">
        <f>O2</f>
        <v>HENDRA</v>
      </c>
      <c r="P34" s="349"/>
      <c r="Q34" s="350"/>
      <c r="R34" s="352" t="s">
        <v>51</v>
      </c>
      <c r="S34" s="351"/>
      <c r="T34" s="340">
        <f>T2</f>
        <v>6</v>
      </c>
      <c r="U34" s="340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1" t="s">
        <v>8</v>
      </c>
      <c r="P36" s="341"/>
      <c r="Q36" s="34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5"/>
      <c r="P37" s="314"/>
      <c r="Q37" s="31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2"/>
      <c r="P38" s="343"/>
      <c r="Q38" s="344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5"/>
      <c r="P39" s="314"/>
      <c r="Q39" s="31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5"/>
      <c r="P40" s="346"/>
      <c r="Q40" s="34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5"/>
      <c r="P41" s="346"/>
      <c r="Q41" s="34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7"/>
      <c r="P42" s="338"/>
      <c r="Q42" s="339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5"/>
      <c r="P43" s="314"/>
      <c r="Q43" s="31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5"/>
      <c r="P44" s="314"/>
      <c r="Q44" s="31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5"/>
      <c r="P45" s="314"/>
      <c r="Q45" s="31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5"/>
      <c r="P46" s="314"/>
      <c r="Q46" s="31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5"/>
      <c r="P47" s="314"/>
      <c r="Q47" s="31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5"/>
      <c r="P48" s="314"/>
      <c r="Q48" s="31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5"/>
      <c r="P49" s="314"/>
      <c r="Q49" s="31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5"/>
      <c r="P50" s="314"/>
      <c r="Q50" s="31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5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5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6"/>
      <c r="P53" s="315"/>
      <c r="Q53" s="315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6"/>
      <c r="P54" s="315"/>
      <c r="Q54" s="315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6"/>
      <c r="P55" s="315"/>
      <c r="Q55" s="315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5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5"/>
      <c r="P60" s="314"/>
      <c r="Q60" s="31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7"/>
      <c r="P61" s="318"/>
      <c r="Q61" s="319"/>
      <c r="R61" s="81"/>
      <c r="S61" s="68"/>
      <c r="T61" s="68"/>
      <c r="U61" s="77"/>
    </row>
    <row r="62" spans="1:21" x14ac:dyDescent="0.3">
      <c r="A62" s="320" t="s">
        <v>48</v>
      </c>
      <c r="B62" s="321"/>
      <c r="C62" s="321"/>
      <c r="D62" s="321"/>
      <c r="E62" s="321"/>
      <c r="F62" s="321"/>
      <c r="G62" s="321"/>
      <c r="H62" s="321">
        <f t="shared" ref="H62:M62" si="8">SUM(H37:H61)</f>
        <v>0</v>
      </c>
      <c r="I62" s="327">
        <f t="shared" si="8"/>
        <v>0</v>
      </c>
      <c r="J62" s="327">
        <f>J61+J60+J59+J58+J57+J56+J55+J54+J53+J52+J51+J50+J49+J48+J47+J46+J45+J44+J43+J42+J41+J40+J39+J38+J37</f>
        <v>0</v>
      </c>
      <c r="K62" s="327">
        <f>K61+K60+K59+K58+K57+K56+K55+K54+K53+K52+K51+K50+K49+K48+K47+K46+K45+K44+K43+K42+K41+K40+K39+K38+K37</f>
        <v>0</v>
      </c>
      <c r="L62" s="330">
        <f t="shared" si="8"/>
        <v>0</v>
      </c>
      <c r="M62" s="333">
        <f t="shared" si="8"/>
        <v>0</v>
      </c>
      <c r="N62" s="302"/>
      <c r="O62" s="303"/>
      <c r="P62" s="303"/>
      <c r="Q62" s="304"/>
      <c r="R62" s="5"/>
      <c r="S62" s="6"/>
      <c r="T62" s="7"/>
      <c r="U62" s="8"/>
    </row>
    <row r="63" spans="1:21" ht="17.25" thickBot="1" x14ac:dyDescent="0.35">
      <c r="A63" s="323"/>
      <c r="B63" s="324"/>
      <c r="C63" s="324"/>
      <c r="D63" s="324"/>
      <c r="E63" s="324"/>
      <c r="F63" s="324"/>
      <c r="G63" s="324"/>
      <c r="H63" s="324"/>
      <c r="I63" s="328"/>
      <c r="J63" s="328"/>
      <c r="K63" s="328"/>
      <c r="L63" s="331"/>
      <c r="M63" s="334"/>
      <c r="N63" s="305"/>
      <c r="O63" s="306"/>
      <c r="P63" s="306"/>
      <c r="Q63" s="307"/>
      <c r="R63" s="1"/>
      <c r="S63" s="2"/>
      <c r="T63" s="3"/>
      <c r="U63" s="4"/>
    </row>
    <row r="64" spans="1:21" ht="17.25" thickBot="1" x14ac:dyDescent="0.35">
      <c r="A64" s="325"/>
      <c r="B64" s="326"/>
      <c r="C64" s="326"/>
      <c r="D64" s="326"/>
      <c r="E64" s="326"/>
      <c r="F64" s="326"/>
      <c r="G64" s="326"/>
      <c r="H64" s="326"/>
      <c r="I64" s="329"/>
      <c r="J64" s="329"/>
      <c r="K64" s="329"/>
      <c r="L64" s="332"/>
      <c r="M64" s="335"/>
      <c r="N64" s="308"/>
      <c r="O64" s="309"/>
      <c r="P64" s="309"/>
      <c r="Q64" s="310"/>
      <c r="R64" s="311" t="s">
        <v>17</v>
      </c>
      <c r="S64" s="312"/>
      <c r="T64" s="312"/>
      <c r="U64" s="313"/>
    </row>
    <row r="65" spans="1:21" ht="17.25" thickBot="1" x14ac:dyDescent="0.35">
      <c r="A65" s="348" t="s">
        <v>24</v>
      </c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50"/>
    </row>
    <row r="66" spans="1:21" ht="17.25" thickBot="1" x14ac:dyDescent="0.35">
      <c r="A66" s="348" t="str">
        <f>A34</f>
        <v>31 - 3 - 2022</v>
      </c>
      <c r="B66" s="349"/>
      <c r="C66" s="349"/>
      <c r="D66" s="349"/>
      <c r="E66" s="349"/>
      <c r="F66" s="349"/>
      <c r="G66" s="350"/>
      <c r="H66" s="351" t="s">
        <v>49</v>
      </c>
      <c r="I66" s="352"/>
      <c r="J66" s="348" t="str">
        <f>J34</f>
        <v>MIX</v>
      </c>
      <c r="K66" s="350"/>
      <c r="L66" s="352" t="s">
        <v>50</v>
      </c>
      <c r="M66" s="353"/>
      <c r="N66" s="351"/>
      <c r="O66" s="349" t="str">
        <f>O34</f>
        <v>HENDRA</v>
      </c>
      <c r="P66" s="349"/>
      <c r="Q66" s="350"/>
      <c r="R66" s="352" t="s">
        <v>51</v>
      </c>
      <c r="S66" s="351"/>
      <c r="T66" s="340">
        <f>T34</f>
        <v>6</v>
      </c>
      <c r="U66" s="340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1" t="s">
        <v>8</v>
      </c>
      <c r="P68" s="341"/>
      <c r="Q68" s="34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5"/>
      <c r="P69" s="314"/>
      <c r="Q69" s="31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2"/>
      <c r="P70" s="343"/>
      <c r="Q70" s="344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5"/>
      <c r="P71" s="314"/>
      <c r="Q71" s="31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5"/>
      <c r="P72" s="346"/>
      <c r="Q72" s="34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5"/>
      <c r="P73" s="346"/>
      <c r="Q73" s="34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7"/>
      <c r="P74" s="338"/>
      <c r="Q74" s="339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5"/>
      <c r="P75" s="314"/>
      <c r="Q75" s="31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5"/>
      <c r="P76" s="314"/>
      <c r="Q76" s="31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5"/>
      <c r="P77" s="314"/>
      <c r="Q77" s="31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5"/>
      <c r="P78" s="314"/>
      <c r="Q78" s="31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5"/>
      <c r="P79" s="314"/>
      <c r="Q79" s="31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5"/>
      <c r="P80" s="314"/>
      <c r="Q80" s="31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5"/>
      <c r="P81" s="314"/>
      <c r="Q81" s="31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5"/>
      <c r="P82" s="314"/>
      <c r="Q82" s="31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5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5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6"/>
      <c r="P85" s="315"/>
      <c r="Q85" s="315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6"/>
      <c r="P86" s="315"/>
      <c r="Q86" s="315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6"/>
      <c r="P87" s="315"/>
      <c r="Q87" s="315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5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5"/>
      <c r="P92" s="314"/>
      <c r="Q92" s="31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7"/>
      <c r="P93" s="318"/>
      <c r="Q93" s="319"/>
      <c r="R93" s="81"/>
      <c r="S93" s="68"/>
      <c r="T93" s="68"/>
      <c r="U93" s="77"/>
    </row>
    <row r="94" spans="1:21" x14ac:dyDescent="0.3">
      <c r="A94" s="320" t="s">
        <v>48</v>
      </c>
      <c r="B94" s="321"/>
      <c r="C94" s="321"/>
      <c r="D94" s="321"/>
      <c r="E94" s="322"/>
      <c r="F94" s="321"/>
      <c r="G94" s="321"/>
      <c r="H94" s="321">
        <f t="shared" ref="H94:M94" si="12">SUM(H69:H93)</f>
        <v>0</v>
      </c>
      <c r="I94" s="327">
        <f t="shared" si="12"/>
        <v>0</v>
      </c>
      <c r="J94" s="327">
        <f>J93+J92+J91+J90+J89+J88+J87+J86+J85+J84+J83+J82+J81+J80+J79+J78+J77+J76+J75+J74+J73+J72+J71+J70+J69</f>
        <v>0</v>
      </c>
      <c r="K94" s="327">
        <f>K93+K92+K91+K90+K89+K88+K87+K86+K85+K84+K83+K82+K81+K80+K79+K78+K77+K76+K75+K74+K73+K72+K71+K70+K69</f>
        <v>0</v>
      </c>
      <c r="L94" s="330">
        <f t="shared" si="12"/>
        <v>0</v>
      </c>
      <c r="M94" s="333">
        <f t="shared" si="12"/>
        <v>0</v>
      </c>
      <c r="N94" s="302"/>
      <c r="O94" s="303"/>
      <c r="P94" s="303"/>
      <c r="Q94" s="304"/>
      <c r="R94" s="5"/>
      <c r="S94" s="6"/>
      <c r="T94" s="7"/>
      <c r="U94" s="8"/>
    </row>
    <row r="95" spans="1:21" ht="17.25" thickBot="1" x14ac:dyDescent="0.35">
      <c r="A95" s="323"/>
      <c r="B95" s="324"/>
      <c r="C95" s="324"/>
      <c r="D95" s="324"/>
      <c r="E95" s="324"/>
      <c r="F95" s="324"/>
      <c r="G95" s="324"/>
      <c r="H95" s="324"/>
      <c r="I95" s="328"/>
      <c r="J95" s="328"/>
      <c r="K95" s="328"/>
      <c r="L95" s="331"/>
      <c r="M95" s="334"/>
      <c r="N95" s="305"/>
      <c r="O95" s="306"/>
      <c r="P95" s="306"/>
      <c r="Q95" s="307"/>
      <c r="R95" s="1"/>
      <c r="S95" s="2"/>
      <c r="T95" s="3"/>
      <c r="U95" s="4"/>
    </row>
    <row r="96" spans="1:21" ht="17.25" thickBot="1" x14ac:dyDescent="0.35">
      <c r="A96" s="325"/>
      <c r="B96" s="326"/>
      <c r="C96" s="326"/>
      <c r="D96" s="326"/>
      <c r="E96" s="326"/>
      <c r="F96" s="326"/>
      <c r="G96" s="326"/>
      <c r="H96" s="326"/>
      <c r="I96" s="329"/>
      <c r="J96" s="329"/>
      <c r="K96" s="329"/>
      <c r="L96" s="332"/>
      <c r="M96" s="335"/>
      <c r="N96" s="308"/>
      <c r="O96" s="309"/>
      <c r="P96" s="309"/>
      <c r="Q96" s="310"/>
      <c r="R96" s="311" t="s">
        <v>52</v>
      </c>
      <c r="S96" s="312"/>
      <c r="T96" s="312"/>
      <c r="U96" s="313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abSelected="1" zoomScaleNormal="100" zoomScaleSheetLayoutView="77" workbookViewId="0">
      <selection activeCell="O13" sqref="O13:Q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8" t="s">
        <v>77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50"/>
    </row>
    <row r="2" spans="1:44" ht="17.25" thickBot="1" x14ac:dyDescent="0.35">
      <c r="A2" s="348" t="s">
        <v>214</v>
      </c>
      <c r="B2" s="349"/>
      <c r="C2" s="349"/>
      <c r="D2" s="349"/>
      <c r="E2" s="349"/>
      <c r="F2" s="349"/>
      <c r="G2" s="350"/>
      <c r="H2" s="351" t="s">
        <v>49</v>
      </c>
      <c r="I2" s="352"/>
      <c r="J2" s="348" t="s">
        <v>137</v>
      </c>
      <c r="K2" s="350"/>
      <c r="L2" s="352" t="s">
        <v>96</v>
      </c>
      <c r="M2" s="353"/>
      <c r="N2" s="351"/>
      <c r="O2" s="349" t="s">
        <v>99</v>
      </c>
      <c r="P2" s="349"/>
      <c r="Q2" s="350"/>
      <c r="R2" s="352" t="s">
        <v>51</v>
      </c>
      <c r="S2" s="351"/>
      <c r="T2" s="340">
        <v>6</v>
      </c>
      <c r="U2" s="34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1" t="s">
        <v>8</v>
      </c>
      <c r="P4" s="341"/>
      <c r="Q4" s="34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3315</v>
      </c>
      <c r="C5" s="68" t="s">
        <v>216</v>
      </c>
      <c r="D5" s="200" t="s">
        <v>217</v>
      </c>
      <c r="E5" s="181" t="s">
        <v>92</v>
      </c>
      <c r="F5" s="170">
        <v>820</v>
      </c>
      <c r="G5" s="118" t="s">
        <v>125</v>
      </c>
      <c r="H5" s="91"/>
      <c r="I5" s="124">
        <v>120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90"/>
      <c r="P5" s="391"/>
      <c r="Q5" s="392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3316</v>
      </c>
      <c r="C6" s="67" t="s">
        <v>221</v>
      </c>
      <c r="D6" s="200" t="s">
        <v>222</v>
      </c>
      <c r="E6" s="181" t="s">
        <v>92</v>
      </c>
      <c r="F6" s="171">
        <v>900</v>
      </c>
      <c r="G6" s="118" t="s">
        <v>110</v>
      </c>
      <c r="H6" s="91"/>
      <c r="I6" s="124">
        <v>85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42"/>
      <c r="P6" s="343"/>
      <c r="Q6" s="344"/>
      <c r="R6" s="292" t="s">
        <v>100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3317</v>
      </c>
      <c r="C7" s="67" t="s">
        <v>218</v>
      </c>
      <c r="D7" s="200" t="s">
        <v>219</v>
      </c>
      <c r="E7" s="181" t="s">
        <v>91</v>
      </c>
      <c r="F7" s="171">
        <v>1000</v>
      </c>
      <c r="G7" s="118" t="s">
        <v>209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5"/>
      <c r="P7" s="314"/>
      <c r="Q7" s="316"/>
      <c r="R7" s="134" t="s">
        <v>138</v>
      </c>
      <c r="S7" s="31">
        <v>0.375</v>
      </c>
      <c r="T7" s="32">
        <v>0.5625</v>
      </c>
      <c r="U7" s="92">
        <f t="shared" si="0"/>
        <v>4.5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3318</v>
      </c>
      <c r="C8" s="27" t="s">
        <v>224</v>
      </c>
      <c r="D8" s="200" t="s">
        <v>223</v>
      </c>
      <c r="E8" s="181" t="s">
        <v>92</v>
      </c>
      <c r="F8" s="171">
        <v>1200</v>
      </c>
      <c r="G8" s="118" t="s">
        <v>133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45"/>
      <c r="P8" s="346"/>
      <c r="Q8" s="347"/>
      <c r="R8" s="26" t="s">
        <v>102</v>
      </c>
      <c r="S8" s="31">
        <v>0.39583333333333331</v>
      </c>
      <c r="T8" s="32">
        <v>0.5625</v>
      </c>
      <c r="U8" s="92">
        <f t="shared" si="0"/>
        <v>4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3319</v>
      </c>
      <c r="C9" s="63" t="s">
        <v>225</v>
      </c>
      <c r="D9" s="201" t="s">
        <v>226</v>
      </c>
      <c r="E9" s="181" t="s">
        <v>91</v>
      </c>
      <c r="F9" s="172">
        <v>1345</v>
      </c>
      <c r="G9" s="119" t="s">
        <v>190</v>
      </c>
      <c r="H9" s="91"/>
      <c r="I9" s="91">
        <v>200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45"/>
      <c r="P9" s="346"/>
      <c r="Q9" s="347"/>
      <c r="R9" s="26" t="s">
        <v>215</v>
      </c>
      <c r="S9" s="31">
        <v>0.41666666666666669</v>
      </c>
      <c r="T9" s="32">
        <v>0.66666666666666663</v>
      </c>
      <c r="U9" s="92">
        <f t="shared" si="0"/>
        <v>5.9999999999999982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37"/>
      <c r="P10" s="338"/>
      <c r="Q10" s="339"/>
      <c r="R10" s="26" t="s">
        <v>103</v>
      </c>
      <c r="S10" s="31">
        <v>0.4375</v>
      </c>
      <c r="T10" s="32">
        <v>0.66666666666666663</v>
      </c>
      <c r="U10" s="92">
        <f t="shared" si="0"/>
        <v>5.4999999999999991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15"/>
      <c r="P11" s="314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5"/>
      <c r="P12" s="314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5" t="s">
        <v>346</v>
      </c>
      <c r="P13" s="314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5"/>
      <c r="P14" s="314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5"/>
      <c r="P15" s="314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5"/>
      <c r="P16" s="314"/>
      <c r="Q16" s="316"/>
      <c r="R16" s="82">
        <f>H32/U16</f>
        <v>0.1388888888888889</v>
      </c>
      <c r="S16" s="83">
        <f>H32/(U16-U5)</f>
        <v>0.17857142857142858</v>
      </c>
      <c r="T16" s="83">
        <f>C32/U16</f>
        <v>16.944444444444443</v>
      </c>
      <c r="U16" s="83">
        <f>SUM(U5:U15)</f>
        <v>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5"/>
      <c r="P17" s="314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5"/>
      <c r="P18" s="314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5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86"/>
      <c r="P20" s="387"/>
      <c r="Q20" s="38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5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5"/>
      <c r="P22" s="314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84"/>
      <c r="Y23" s="385"/>
      <c r="Z23" s="38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5"/>
      <c r="P24" s="314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5"/>
      <c r="P25" s="314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8">
        <f>((C32+(R26+S26+T26)*0.5))</f>
        <v>610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5"/>
      <c r="P26" s="314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8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5"/>
      <c r="P27" s="314"/>
      <c r="Q27" s="316"/>
      <c r="R27" s="378" t="s">
        <v>56</v>
      </c>
      <c r="S27" s="379"/>
      <c r="T27" s="379"/>
      <c r="U27" s="38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5"/>
      <c r="P28" s="314"/>
      <c r="Q28" s="316"/>
      <c r="R28" s="371" t="s">
        <v>220</v>
      </c>
      <c r="S28" s="372"/>
      <c r="T28" s="37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8"/>
      <c r="P29" s="359"/>
      <c r="Q29" s="360"/>
      <c r="R29" s="361"/>
      <c r="S29" s="362"/>
      <c r="T29" s="36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64" t="s">
        <v>48</v>
      </c>
      <c r="B30" s="365"/>
      <c r="C30" s="365"/>
      <c r="D30" s="365"/>
      <c r="E30" s="366"/>
      <c r="F30" s="365"/>
      <c r="G30" s="365"/>
      <c r="H30" s="264">
        <f t="shared" ref="H30:M30" si="3">SUM(H5:H29)</f>
        <v>0</v>
      </c>
      <c r="I30" s="105">
        <f>SUM(I5:I29)</f>
        <v>610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7"/>
      <c r="S30" s="367"/>
      <c r="T30" s="36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9" t="s">
        <v>16</v>
      </c>
      <c r="B31" s="370"/>
      <c r="C31" s="370"/>
      <c r="D31" s="370"/>
      <c r="E31" s="370"/>
      <c r="F31" s="370"/>
      <c r="G31" s="370"/>
      <c r="H31" s="265">
        <f t="shared" ref="H31:J31" si="4">H30+H62+H94</f>
        <v>0</v>
      </c>
      <c r="I31" s="103">
        <f t="shared" si="4"/>
        <v>610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54">
        <f>H31+I31+L31+M31</f>
        <v>610</v>
      </c>
      <c r="U31" s="35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74" t="s">
        <v>55</v>
      </c>
      <c r="B32" s="375"/>
      <c r="C32" s="107">
        <f>H31+I31+J31+K31</f>
        <v>610</v>
      </c>
      <c r="D32" s="196"/>
      <c r="E32" s="107"/>
      <c r="F32" s="376" t="s">
        <v>53</v>
      </c>
      <c r="G32" s="376"/>
      <c r="H32" s="109">
        <f>COUNT(B5:B29,B37:B61,B69:B93)</f>
        <v>5</v>
      </c>
      <c r="I32" s="377" t="s">
        <v>54</v>
      </c>
      <c r="J32" s="377"/>
      <c r="K32" s="108">
        <f>C32/H32</f>
        <v>122</v>
      </c>
      <c r="L32" s="260"/>
      <c r="M32" s="260"/>
      <c r="N32" s="260">
        <f>H31/C32</f>
        <v>0</v>
      </c>
      <c r="O32" s="260">
        <f>I31/C32</f>
        <v>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610</v>
      </c>
      <c r="T32" s="356"/>
      <c r="U32" s="357"/>
      <c r="V32" s="55"/>
      <c r="W32" s="55"/>
      <c r="X32" s="56" t="s">
        <v>27</v>
      </c>
      <c r="Y32" s="56"/>
      <c r="Z32" s="54">
        <f>I31</f>
        <v>610</v>
      </c>
      <c r="AE32" s="37"/>
      <c r="AF32" s="37"/>
      <c r="AG32" s="37"/>
      <c r="AH32" s="37"/>
    </row>
    <row r="33" spans="1:34" ht="17.25" thickBot="1" x14ac:dyDescent="0.35">
      <c r="A33" s="308" t="s">
        <v>24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49"/>
      <c r="U33" s="350"/>
      <c r="X33" s="57" t="s">
        <v>29</v>
      </c>
      <c r="Y33" s="57"/>
      <c r="Z33" s="58">
        <f>SUM(Z31:Z32)</f>
        <v>-2135</v>
      </c>
      <c r="AE33" s="37"/>
      <c r="AF33" s="37"/>
      <c r="AG33" s="59"/>
      <c r="AH33" s="37"/>
    </row>
    <row r="34" spans="1:34" ht="17.25" thickBot="1" x14ac:dyDescent="0.35">
      <c r="A34" s="348" t="str">
        <f>A2</f>
        <v>01 - 4 - 2022</v>
      </c>
      <c r="B34" s="349"/>
      <c r="C34" s="349"/>
      <c r="D34" s="349"/>
      <c r="E34" s="349"/>
      <c r="F34" s="349"/>
      <c r="G34" s="350"/>
      <c r="H34" s="351" t="s">
        <v>49</v>
      </c>
      <c r="I34" s="352"/>
      <c r="J34" s="348" t="str">
        <f>J2</f>
        <v>SHOWER</v>
      </c>
      <c r="K34" s="350"/>
      <c r="L34" s="352" t="s">
        <v>50</v>
      </c>
      <c r="M34" s="353"/>
      <c r="N34" s="351"/>
      <c r="O34" s="349" t="str">
        <f>O2</f>
        <v>HENDRA</v>
      </c>
      <c r="P34" s="349"/>
      <c r="Q34" s="350"/>
      <c r="R34" s="352" t="s">
        <v>51</v>
      </c>
      <c r="S34" s="351"/>
      <c r="T34" s="340">
        <f>T2</f>
        <v>6</v>
      </c>
      <c r="U34" s="340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1" t="s">
        <v>8</v>
      </c>
      <c r="P36" s="341"/>
      <c r="Q36" s="34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5"/>
      <c r="P37" s="314"/>
      <c r="Q37" s="31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2"/>
      <c r="P38" s="343"/>
      <c r="Q38" s="344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5"/>
      <c r="P39" s="314"/>
      <c r="Q39" s="31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5"/>
      <c r="P40" s="346"/>
      <c r="Q40" s="34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5"/>
      <c r="P41" s="346"/>
      <c r="Q41" s="34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7"/>
      <c r="P42" s="338"/>
      <c r="Q42" s="339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5"/>
      <c r="P43" s="314"/>
      <c r="Q43" s="31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5"/>
      <c r="P44" s="314"/>
      <c r="Q44" s="31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5"/>
      <c r="P45" s="314"/>
      <c r="Q45" s="31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5"/>
      <c r="P46" s="314"/>
      <c r="Q46" s="31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5"/>
      <c r="P47" s="314"/>
      <c r="Q47" s="31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5"/>
      <c r="P48" s="314"/>
      <c r="Q48" s="31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5"/>
      <c r="P49" s="314"/>
      <c r="Q49" s="31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5"/>
      <c r="P50" s="314"/>
      <c r="Q50" s="31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5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5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6"/>
      <c r="P53" s="315"/>
      <c r="Q53" s="315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6"/>
      <c r="P54" s="315"/>
      <c r="Q54" s="315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6"/>
      <c r="P55" s="315"/>
      <c r="Q55" s="315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5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5"/>
      <c r="P60" s="314"/>
      <c r="Q60" s="31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7"/>
      <c r="P61" s="318"/>
      <c r="Q61" s="319"/>
      <c r="R61" s="81"/>
      <c r="S61" s="68"/>
      <c r="T61" s="68"/>
      <c r="U61" s="77"/>
    </row>
    <row r="62" spans="1:21" x14ac:dyDescent="0.3">
      <c r="A62" s="320" t="s">
        <v>48</v>
      </c>
      <c r="B62" s="321"/>
      <c r="C62" s="321"/>
      <c r="D62" s="321"/>
      <c r="E62" s="321"/>
      <c r="F62" s="321"/>
      <c r="G62" s="321"/>
      <c r="H62" s="321">
        <f t="shared" ref="H62:M62" si="8">SUM(H37:H61)</f>
        <v>0</v>
      </c>
      <c r="I62" s="327">
        <f t="shared" si="8"/>
        <v>0</v>
      </c>
      <c r="J62" s="327">
        <f>J61+J60+J59+J58+J57+J56+J55+J54+J53+J52+J51+J50+J49+J48+J47+J46+J45+J44+J43+J42+J41+J40+J39+J38+J37</f>
        <v>0</v>
      </c>
      <c r="K62" s="327">
        <f>K61+K60+K59+K58+K57+K56+K55+K54+K53+K52+K51+K50+K49+K48+K47+K46+K45+K44+K43+K42+K41+K40+K39+K38+K37</f>
        <v>0</v>
      </c>
      <c r="L62" s="330">
        <f t="shared" si="8"/>
        <v>0</v>
      </c>
      <c r="M62" s="333">
        <f t="shared" si="8"/>
        <v>0</v>
      </c>
      <c r="N62" s="302"/>
      <c r="O62" s="303"/>
      <c r="P62" s="303"/>
      <c r="Q62" s="304"/>
      <c r="R62" s="5"/>
      <c r="S62" s="6"/>
      <c r="T62" s="7"/>
      <c r="U62" s="8"/>
    </row>
    <row r="63" spans="1:21" ht="17.25" thickBot="1" x14ac:dyDescent="0.35">
      <c r="A63" s="323"/>
      <c r="B63" s="324"/>
      <c r="C63" s="324"/>
      <c r="D63" s="324"/>
      <c r="E63" s="324"/>
      <c r="F63" s="324"/>
      <c r="G63" s="324"/>
      <c r="H63" s="324"/>
      <c r="I63" s="328"/>
      <c r="J63" s="328"/>
      <c r="K63" s="328"/>
      <c r="L63" s="331"/>
      <c r="M63" s="334"/>
      <c r="N63" s="305"/>
      <c r="O63" s="306"/>
      <c r="P63" s="306"/>
      <c r="Q63" s="307"/>
      <c r="R63" s="1"/>
      <c r="S63" s="2"/>
      <c r="T63" s="3"/>
      <c r="U63" s="4"/>
    </row>
    <row r="64" spans="1:21" ht="17.25" thickBot="1" x14ac:dyDescent="0.35">
      <c r="A64" s="325"/>
      <c r="B64" s="326"/>
      <c r="C64" s="326"/>
      <c r="D64" s="326"/>
      <c r="E64" s="326"/>
      <c r="F64" s="326"/>
      <c r="G64" s="326"/>
      <c r="H64" s="326"/>
      <c r="I64" s="329"/>
      <c r="J64" s="329"/>
      <c r="K64" s="329"/>
      <c r="L64" s="332"/>
      <c r="M64" s="335"/>
      <c r="N64" s="308"/>
      <c r="O64" s="309"/>
      <c r="P64" s="309"/>
      <c r="Q64" s="310"/>
      <c r="R64" s="311" t="s">
        <v>17</v>
      </c>
      <c r="S64" s="312"/>
      <c r="T64" s="312"/>
      <c r="U64" s="313"/>
    </row>
    <row r="65" spans="1:21" ht="17.25" thickBot="1" x14ac:dyDescent="0.35">
      <c r="A65" s="348" t="s">
        <v>24</v>
      </c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50"/>
    </row>
    <row r="66" spans="1:21" ht="17.25" thickBot="1" x14ac:dyDescent="0.35">
      <c r="A66" s="348" t="str">
        <f>A34</f>
        <v>01 - 4 - 2022</v>
      </c>
      <c r="B66" s="349"/>
      <c r="C66" s="349"/>
      <c r="D66" s="349"/>
      <c r="E66" s="349"/>
      <c r="F66" s="349"/>
      <c r="G66" s="350"/>
      <c r="H66" s="351" t="s">
        <v>49</v>
      </c>
      <c r="I66" s="352"/>
      <c r="J66" s="348" t="str">
        <f>J34</f>
        <v>SHOWER</v>
      </c>
      <c r="K66" s="350"/>
      <c r="L66" s="352" t="s">
        <v>50</v>
      </c>
      <c r="M66" s="353"/>
      <c r="N66" s="351"/>
      <c r="O66" s="349" t="str">
        <f>O34</f>
        <v>HENDRA</v>
      </c>
      <c r="P66" s="349"/>
      <c r="Q66" s="350"/>
      <c r="R66" s="352" t="s">
        <v>51</v>
      </c>
      <c r="S66" s="351"/>
      <c r="T66" s="340">
        <f>T34</f>
        <v>6</v>
      </c>
      <c r="U66" s="340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1" t="s">
        <v>8</v>
      </c>
      <c r="P68" s="341"/>
      <c r="Q68" s="34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5"/>
      <c r="P69" s="314"/>
      <c r="Q69" s="31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2"/>
      <c r="P70" s="343"/>
      <c r="Q70" s="344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5"/>
      <c r="P71" s="314"/>
      <c r="Q71" s="31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5"/>
      <c r="P72" s="346"/>
      <c r="Q72" s="34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5"/>
      <c r="P73" s="346"/>
      <c r="Q73" s="34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7"/>
      <c r="P74" s="338"/>
      <c r="Q74" s="339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5"/>
      <c r="P75" s="314"/>
      <c r="Q75" s="31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5"/>
      <c r="P76" s="314"/>
      <c r="Q76" s="31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5"/>
      <c r="P77" s="314"/>
      <c r="Q77" s="31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5"/>
      <c r="P78" s="314"/>
      <c r="Q78" s="31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5"/>
      <c r="P79" s="314"/>
      <c r="Q79" s="31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5"/>
      <c r="P80" s="314"/>
      <c r="Q80" s="31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5"/>
      <c r="P81" s="314"/>
      <c r="Q81" s="31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5"/>
      <c r="P82" s="314"/>
      <c r="Q82" s="31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5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5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6"/>
      <c r="P85" s="315"/>
      <c r="Q85" s="315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6"/>
      <c r="P86" s="315"/>
      <c r="Q86" s="315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6"/>
      <c r="P87" s="315"/>
      <c r="Q87" s="315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5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5"/>
      <c r="P92" s="314"/>
      <c r="Q92" s="31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7"/>
      <c r="P93" s="318"/>
      <c r="Q93" s="319"/>
      <c r="R93" s="81"/>
      <c r="S93" s="68"/>
      <c r="T93" s="68"/>
      <c r="U93" s="77"/>
    </row>
    <row r="94" spans="1:21" x14ac:dyDescent="0.3">
      <c r="A94" s="320" t="s">
        <v>48</v>
      </c>
      <c r="B94" s="321"/>
      <c r="C94" s="321"/>
      <c r="D94" s="321"/>
      <c r="E94" s="322"/>
      <c r="F94" s="321"/>
      <c r="G94" s="321"/>
      <c r="H94" s="321">
        <f t="shared" ref="H94:M94" si="12">SUM(H69:H93)</f>
        <v>0</v>
      </c>
      <c r="I94" s="327">
        <f t="shared" si="12"/>
        <v>0</v>
      </c>
      <c r="J94" s="327">
        <f>J93+J92+J91+J90+J89+J88+J87+J86+J85+J84+J83+J82+J81+J80+J79+J78+J77+J76+J75+J74+J73+J72+J71+J70+J69</f>
        <v>0</v>
      </c>
      <c r="K94" s="327">
        <f>K93+K92+K91+K90+K89+K88+K87+K86+K85+K84+K83+K82+K81+K80+K79+K78+K77+K76+K75+K74+K73+K72+K71+K70+K69</f>
        <v>0</v>
      </c>
      <c r="L94" s="330">
        <f t="shared" si="12"/>
        <v>0</v>
      </c>
      <c r="M94" s="333">
        <f t="shared" si="12"/>
        <v>0</v>
      </c>
      <c r="N94" s="302"/>
      <c r="O94" s="303"/>
      <c r="P94" s="303"/>
      <c r="Q94" s="304"/>
      <c r="R94" s="5"/>
      <c r="S94" s="6"/>
      <c r="T94" s="7"/>
      <c r="U94" s="8"/>
    </row>
    <row r="95" spans="1:21" ht="17.25" thickBot="1" x14ac:dyDescent="0.35">
      <c r="A95" s="323"/>
      <c r="B95" s="324"/>
      <c r="C95" s="324"/>
      <c r="D95" s="324"/>
      <c r="E95" s="324"/>
      <c r="F95" s="324"/>
      <c r="G95" s="324"/>
      <c r="H95" s="324"/>
      <c r="I95" s="328"/>
      <c r="J95" s="328"/>
      <c r="K95" s="328"/>
      <c r="L95" s="331"/>
      <c r="M95" s="334"/>
      <c r="N95" s="305"/>
      <c r="O95" s="306"/>
      <c r="P95" s="306"/>
      <c r="Q95" s="307"/>
      <c r="R95" s="1"/>
      <c r="S95" s="2"/>
      <c r="T95" s="3"/>
      <c r="U95" s="4"/>
    </row>
    <row r="96" spans="1:21" ht="17.25" thickBot="1" x14ac:dyDescent="0.35">
      <c r="A96" s="325"/>
      <c r="B96" s="326"/>
      <c r="C96" s="326"/>
      <c r="D96" s="326"/>
      <c r="E96" s="326"/>
      <c r="F96" s="326"/>
      <c r="G96" s="326"/>
      <c r="H96" s="326"/>
      <c r="I96" s="329"/>
      <c r="J96" s="329"/>
      <c r="K96" s="329"/>
      <c r="L96" s="332"/>
      <c r="M96" s="335"/>
      <c r="N96" s="308"/>
      <c r="O96" s="309"/>
      <c r="P96" s="309"/>
      <c r="Q96" s="310"/>
      <c r="R96" s="311" t="s">
        <v>52</v>
      </c>
      <c r="S96" s="312"/>
      <c r="T96" s="312"/>
      <c r="U96" s="313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O7" sqref="O7:Q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8" t="s">
        <v>77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50"/>
    </row>
    <row r="2" spans="1:44" ht="17.25" thickBot="1" x14ac:dyDescent="0.35">
      <c r="A2" s="348" t="s">
        <v>253</v>
      </c>
      <c r="B2" s="349"/>
      <c r="C2" s="349"/>
      <c r="D2" s="349"/>
      <c r="E2" s="349"/>
      <c r="F2" s="349"/>
      <c r="G2" s="350"/>
      <c r="H2" s="351" t="s">
        <v>49</v>
      </c>
      <c r="I2" s="352"/>
      <c r="J2" s="348" t="s">
        <v>160</v>
      </c>
      <c r="K2" s="350"/>
      <c r="L2" s="352" t="s">
        <v>96</v>
      </c>
      <c r="M2" s="353"/>
      <c r="N2" s="351"/>
      <c r="O2" s="349" t="s">
        <v>227</v>
      </c>
      <c r="P2" s="349"/>
      <c r="Q2" s="350"/>
      <c r="R2" s="352" t="s">
        <v>51</v>
      </c>
      <c r="S2" s="351"/>
      <c r="T2" s="340">
        <v>9</v>
      </c>
      <c r="U2" s="34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1" t="s">
        <v>8</v>
      </c>
      <c r="P4" s="341"/>
      <c r="Q4" s="34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3120</v>
      </c>
      <c r="C5" s="68" t="s">
        <v>233</v>
      </c>
      <c r="D5" s="200" t="s">
        <v>234</v>
      </c>
      <c r="E5" s="181" t="s">
        <v>230</v>
      </c>
      <c r="F5" s="170">
        <v>835</v>
      </c>
      <c r="G5" s="118" t="s">
        <v>110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99</v>
      </c>
      <c r="O5" s="390"/>
      <c r="P5" s="391"/>
      <c r="Q5" s="392"/>
      <c r="R5" s="33" t="s">
        <v>227</v>
      </c>
      <c r="S5" s="31">
        <v>0.35416666666666669</v>
      </c>
      <c r="T5" s="32">
        <v>0.72916666666666663</v>
      </c>
      <c r="U5" s="92">
        <f t="shared" ref="U5:U15" si="0">(T5-S5)*24</f>
        <v>8.9999999999999982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287">
        <v>2</v>
      </c>
      <c r="B6" s="273">
        <v>3121</v>
      </c>
      <c r="C6" s="291" t="s">
        <v>235</v>
      </c>
      <c r="D6" s="288" t="s">
        <v>229</v>
      </c>
      <c r="E6" s="271" t="s">
        <v>91</v>
      </c>
      <c r="F6" s="272">
        <v>835</v>
      </c>
      <c r="G6" s="268" t="s">
        <v>155</v>
      </c>
      <c r="H6" s="274"/>
      <c r="I6" s="274"/>
      <c r="J6" s="274" t="str">
        <f t="shared" ref="J6:J29" si="1">IF(G6="RSL","55","0")</f>
        <v>0</v>
      </c>
      <c r="K6" s="274">
        <v>79.099999999999994</v>
      </c>
      <c r="L6" s="275"/>
      <c r="M6" s="275"/>
      <c r="N6" s="269" t="s">
        <v>227</v>
      </c>
      <c r="O6" s="396" t="s">
        <v>231</v>
      </c>
      <c r="P6" s="397"/>
      <c r="Q6" s="398"/>
      <c r="R6" s="132" t="s">
        <v>99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3122</v>
      </c>
      <c r="C7" s="67" t="s">
        <v>246</v>
      </c>
      <c r="D7" s="200" t="s">
        <v>247</v>
      </c>
      <c r="E7" s="181" t="s">
        <v>92</v>
      </c>
      <c r="F7" s="171">
        <v>910</v>
      </c>
      <c r="G7" s="118" t="s">
        <v>110</v>
      </c>
      <c r="H7" s="91"/>
      <c r="I7" s="124">
        <v>85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227</v>
      </c>
      <c r="O7" s="315"/>
      <c r="P7" s="314"/>
      <c r="Q7" s="316"/>
      <c r="R7" s="134" t="s">
        <v>100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3123</v>
      </c>
      <c r="C8" s="27" t="s">
        <v>244</v>
      </c>
      <c r="D8" s="200" t="s">
        <v>245</v>
      </c>
      <c r="E8" s="181" t="s">
        <v>92</v>
      </c>
      <c r="F8" s="171">
        <v>930</v>
      </c>
      <c r="G8" s="118" t="s">
        <v>110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227</v>
      </c>
      <c r="O8" s="345"/>
      <c r="P8" s="346"/>
      <c r="Q8" s="347"/>
      <c r="R8" s="26" t="s">
        <v>101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3124</v>
      </c>
      <c r="C9" s="63" t="s">
        <v>248</v>
      </c>
      <c r="D9" s="201" t="s">
        <v>249</v>
      </c>
      <c r="E9" s="181" t="s">
        <v>91</v>
      </c>
      <c r="F9" s="172">
        <v>935</v>
      </c>
      <c r="G9" s="119" t="s">
        <v>133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227</v>
      </c>
      <c r="O9" s="345"/>
      <c r="P9" s="346"/>
      <c r="Q9" s="347"/>
      <c r="R9" s="26" t="s">
        <v>102</v>
      </c>
      <c r="S9" s="31">
        <v>0.39583333333333331</v>
      </c>
      <c r="T9" s="32">
        <v>0.72916666666666663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3125</v>
      </c>
      <c r="C10" s="28" t="s">
        <v>236</v>
      </c>
      <c r="D10" s="202" t="s">
        <v>237</v>
      </c>
      <c r="E10" s="181" t="s">
        <v>238</v>
      </c>
      <c r="F10" s="173">
        <v>1020</v>
      </c>
      <c r="G10" s="120" t="s">
        <v>133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227</v>
      </c>
      <c r="O10" s="337"/>
      <c r="P10" s="338"/>
      <c r="Q10" s="339"/>
      <c r="R10" s="26" t="s">
        <v>228</v>
      </c>
      <c r="S10" s="31">
        <v>0.40625</v>
      </c>
      <c r="T10" s="32">
        <v>0.72916666666666663</v>
      </c>
      <c r="U10" s="92">
        <f t="shared" si="0"/>
        <v>7.7499999999999991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3126</v>
      </c>
      <c r="C11" s="18" t="s">
        <v>241</v>
      </c>
      <c r="D11" s="203" t="s">
        <v>242</v>
      </c>
      <c r="E11" s="181" t="s">
        <v>91</v>
      </c>
      <c r="F11" s="66">
        <v>1030</v>
      </c>
      <c r="G11" s="121" t="s">
        <v>243</v>
      </c>
      <c r="H11" s="123"/>
      <c r="I11" s="124">
        <v>210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227</v>
      </c>
      <c r="O11" s="315"/>
      <c r="P11" s="314"/>
      <c r="Q11" s="316"/>
      <c r="R11" s="26" t="s">
        <v>140</v>
      </c>
      <c r="S11" s="31">
        <v>0.40625</v>
      </c>
      <c r="T11" s="32">
        <v>0.72916666666666663</v>
      </c>
      <c r="U11" s="92">
        <f t="shared" si="0"/>
        <v>7.7499999999999991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3127</v>
      </c>
      <c r="C12" s="64" t="s">
        <v>239</v>
      </c>
      <c r="D12" s="204" t="s">
        <v>240</v>
      </c>
      <c r="E12" s="181" t="s">
        <v>92</v>
      </c>
      <c r="F12" s="173">
        <v>1050</v>
      </c>
      <c r="G12" s="119" t="s">
        <v>110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227</v>
      </c>
      <c r="O12" s="315"/>
      <c r="P12" s="314"/>
      <c r="Q12" s="316"/>
      <c r="R12" s="26" t="s">
        <v>232</v>
      </c>
      <c r="S12" s="31">
        <v>0.41666666666666669</v>
      </c>
      <c r="T12" s="32">
        <v>0.72916666666666663</v>
      </c>
      <c r="U12" s="92">
        <f t="shared" si="0"/>
        <v>7.4999999999999982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268">
        <v>3128</v>
      </c>
      <c r="C13" s="276" t="s">
        <v>250</v>
      </c>
      <c r="D13" s="277" t="s">
        <v>251</v>
      </c>
      <c r="E13" s="271" t="s">
        <v>91</v>
      </c>
      <c r="F13" s="278">
        <v>1112</v>
      </c>
      <c r="G13" s="273" t="s">
        <v>155</v>
      </c>
      <c r="H13" s="293"/>
      <c r="I13" s="294"/>
      <c r="J13" s="274" t="str">
        <f t="shared" si="1"/>
        <v>0</v>
      </c>
      <c r="K13" s="274">
        <v>79.099999999999994</v>
      </c>
      <c r="L13" s="275"/>
      <c r="M13" s="275">
        <v>475</v>
      </c>
      <c r="N13" s="269" t="s">
        <v>227</v>
      </c>
      <c r="O13" s="381" t="s">
        <v>252</v>
      </c>
      <c r="P13" s="382"/>
      <c r="Q13" s="383"/>
      <c r="R13" s="33" t="s">
        <v>104</v>
      </c>
      <c r="S13" s="31">
        <v>0.44791666666666669</v>
      </c>
      <c r="T13" s="32">
        <v>0.72916666666666663</v>
      </c>
      <c r="U13" s="92">
        <f t="shared" si="0"/>
        <v>6.7499999999999982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3129</v>
      </c>
      <c r="C14" s="65" t="s">
        <v>256</v>
      </c>
      <c r="D14" s="205" t="s">
        <v>257</v>
      </c>
      <c r="E14" s="181" t="s">
        <v>92</v>
      </c>
      <c r="F14" s="174">
        <v>1130</v>
      </c>
      <c r="G14" s="122" t="s">
        <v>110</v>
      </c>
      <c r="H14" s="123"/>
      <c r="I14" s="125">
        <v>85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227</v>
      </c>
      <c r="O14" s="315"/>
      <c r="P14" s="314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3130</v>
      </c>
      <c r="C15" s="65" t="s">
        <v>254</v>
      </c>
      <c r="D15" s="205" t="s">
        <v>255</v>
      </c>
      <c r="E15" s="181" t="s">
        <v>92</v>
      </c>
      <c r="F15" s="174">
        <v>1135</v>
      </c>
      <c r="G15" s="122" t="s">
        <v>110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227</v>
      </c>
      <c r="O15" s="315"/>
      <c r="P15" s="314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3131</v>
      </c>
      <c r="C16" s="65" t="s">
        <v>258</v>
      </c>
      <c r="D16" s="205" t="s">
        <v>259</v>
      </c>
      <c r="E16" s="181" t="s">
        <v>92</v>
      </c>
      <c r="F16" s="174">
        <v>1220</v>
      </c>
      <c r="G16" s="122" t="s">
        <v>260</v>
      </c>
      <c r="H16" s="123"/>
      <c r="I16" s="124"/>
      <c r="J16" s="130" t="str">
        <f t="shared" si="1"/>
        <v>0</v>
      </c>
      <c r="K16" s="130">
        <v>62.5</v>
      </c>
      <c r="L16" s="131"/>
      <c r="M16" s="131"/>
      <c r="N16" s="134" t="s">
        <v>227</v>
      </c>
      <c r="O16" s="315" t="s">
        <v>261</v>
      </c>
      <c r="P16" s="314"/>
      <c r="Q16" s="316"/>
      <c r="R16" s="82">
        <f>H32/U16</f>
        <v>0.33898305084745761</v>
      </c>
      <c r="S16" s="83">
        <f>H32/(U16-U5)</f>
        <v>0.38610038610038611</v>
      </c>
      <c r="T16" s="83">
        <f>C32/U16</f>
        <v>35.128135593220335</v>
      </c>
      <c r="U16" s="83">
        <f>SUM(U5:U15)</f>
        <v>73.75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3132</v>
      </c>
      <c r="C17" s="18" t="s">
        <v>262</v>
      </c>
      <c r="D17" s="203" t="s">
        <v>263</v>
      </c>
      <c r="E17" s="181" t="s">
        <v>92</v>
      </c>
      <c r="F17" s="66">
        <v>1310</v>
      </c>
      <c r="G17" s="121" t="s">
        <v>133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227</v>
      </c>
      <c r="O17" s="315"/>
      <c r="P17" s="314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3133</v>
      </c>
      <c r="C18" s="18" t="s">
        <v>266</v>
      </c>
      <c r="D18" s="203" t="s">
        <v>269</v>
      </c>
      <c r="E18" s="181" t="s">
        <v>91</v>
      </c>
      <c r="F18" s="66">
        <v>1310</v>
      </c>
      <c r="G18" s="20" t="s">
        <v>44</v>
      </c>
      <c r="H18" s="123">
        <v>40</v>
      </c>
      <c r="I18" s="124"/>
      <c r="J18" s="130" t="str">
        <f t="shared" si="1"/>
        <v>55</v>
      </c>
      <c r="K18" s="130" t="str">
        <f t="shared" si="2"/>
        <v>0</v>
      </c>
      <c r="L18" s="131"/>
      <c r="M18" s="131"/>
      <c r="N18" s="134" t="s">
        <v>227</v>
      </c>
      <c r="O18" s="315">
        <v>202202027</v>
      </c>
      <c r="P18" s="314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3134</v>
      </c>
      <c r="C19" s="18" t="s">
        <v>264</v>
      </c>
      <c r="D19" s="203" t="s">
        <v>265</v>
      </c>
      <c r="E19" s="181" t="s">
        <v>92</v>
      </c>
      <c r="F19" s="66">
        <v>1310</v>
      </c>
      <c r="G19" s="121" t="s">
        <v>125</v>
      </c>
      <c r="H19" s="123"/>
      <c r="I19" s="124">
        <v>120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227</v>
      </c>
      <c r="O19" s="315"/>
      <c r="P19" s="314"/>
      <c r="Q19" s="314"/>
      <c r="R19" s="93" t="s">
        <v>45</v>
      </c>
      <c r="S19" s="94">
        <f>COUNT(L5:M29,L37:M61,L69:M93)</f>
        <v>2</v>
      </c>
      <c r="T19" s="116">
        <f>SUM(L5:M29,L37:M61,L69:M93)</f>
        <v>1225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3135</v>
      </c>
      <c r="C20" s="18" t="s">
        <v>270</v>
      </c>
      <c r="D20" s="203" t="s">
        <v>271</v>
      </c>
      <c r="E20" s="181" t="s">
        <v>92</v>
      </c>
      <c r="F20" s="66">
        <v>1400</v>
      </c>
      <c r="G20" s="121" t="s">
        <v>272</v>
      </c>
      <c r="H20" s="123"/>
      <c r="I20" s="219">
        <v>220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227</v>
      </c>
      <c r="O20" s="386"/>
      <c r="P20" s="387"/>
      <c r="Q20" s="387"/>
      <c r="R20" s="137"/>
      <c r="S20" s="138"/>
      <c r="T20" s="139"/>
      <c r="U20" s="140"/>
      <c r="V20" s="35" t="s">
        <v>291</v>
      </c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3136</v>
      </c>
      <c r="C21" s="18" t="s">
        <v>267</v>
      </c>
      <c r="D21" s="203" t="s">
        <v>268</v>
      </c>
      <c r="E21" s="181" t="s">
        <v>92</v>
      </c>
      <c r="F21" s="66">
        <v>1415</v>
      </c>
      <c r="G21" s="20" t="s">
        <v>190</v>
      </c>
      <c r="H21" s="123">
        <v>180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227</v>
      </c>
      <c r="O21" s="315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3137</v>
      </c>
      <c r="C22" s="127" t="s">
        <v>273</v>
      </c>
      <c r="D22" s="206" t="s">
        <v>274</v>
      </c>
      <c r="E22" s="181" t="s">
        <v>92</v>
      </c>
      <c r="F22" s="175">
        <v>1430</v>
      </c>
      <c r="G22" s="263" t="s">
        <v>110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227</v>
      </c>
      <c r="O22" s="315"/>
      <c r="P22" s="314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3138</v>
      </c>
      <c r="C23" s="136" t="s">
        <v>275</v>
      </c>
      <c r="D23" s="207" t="s">
        <v>276</v>
      </c>
      <c r="E23" s="181" t="s">
        <v>91</v>
      </c>
      <c r="F23" s="176">
        <v>1540</v>
      </c>
      <c r="G23" s="165" t="s">
        <v>133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227</v>
      </c>
      <c r="O23" s="163"/>
      <c r="P23" s="164"/>
      <c r="Q23" s="159"/>
      <c r="R23" s="113"/>
      <c r="S23" s="114"/>
      <c r="T23" s="114"/>
      <c r="U23" s="115"/>
      <c r="X23" s="384"/>
      <c r="Y23" s="385"/>
      <c r="Z23" s="38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3139</v>
      </c>
      <c r="C24" s="127" t="s">
        <v>282</v>
      </c>
      <c r="D24" s="206" t="s">
        <v>283</v>
      </c>
      <c r="E24" s="181" t="s">
        <v>91</v>
      </c>
      <c r="F24" s="175">
        <v>1540</v>
      </c>
      <c r="G24" s="263" t="s">
        <v>110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227</v>
      </c>
      <c r="O24" s="315"/>
      <c r="P24" s="314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3140</v>
      </c>
      <c r="C25" s="132" t="s">
        <v>277</v>
      </c>
      <c r="D25" s="208" t="s">
        <v>278</v>
      </c>
      <c r="E25" s="181" t="s">
        <v>91</v>
      </c>
      <c r="F25" s="175">
        <v>1520</v>
      </c>
      <c r="G25" s="263" t="s">
        <v>44</v>
      </c>
      <c r="H25" s="90"/>
      <c r="I25" s="90"/>
      <c r="J25" s="130">
        <v>165</v>
      </c>
      <c r="K25" s="130" t="str">
        <f t="shared" si="2"/>
        <v>0</v>
      </c>
      <c r="L25" s="69"/>
      <c r="M25" s="69"/>
      <c r="N25" s="134" t="s">
        <v>227</v>
      </c>
      <c r="O25" s="315" t="s">
        <v>279</v>
      </c>
      <c r="P25" s="314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88">
        <f>((C32+(R26+S26+T26)*0.5))</f>
        <v>2615.6999999999998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3141</v>
      </c>
      <c r="C26" s="27" t="s">
        <v>280</v>
      </c>
      <c r="D26" s="209" t="s">
        <v>281</v>
      </c>
      <c r="E26" s="181" t="s">
        <v>91</v>
      </c>
      <c r="F26" s="177">
        <v>1540</v>
      </c>
      <c r="G26" s="20" t="s">
        <v>110</v>
      </c>
      <c r="H26" s="89"/>
      <c r="I26" s="141">
        <v>95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227</v>
      </c>
      <c r="O26" s="315"/>
      <c r="P26" s="314"/>
      <c r="Q26" s="316"/>
      <c r="R26" s="112">
        <f>R25*37.5</f>
        <v>0</v>
      </c>
      <c r="S26" s="102">
        <f>S25*41.5</f>
        <v>0</v>
      </c>
      <c r="T26" s="102">
        <f>T25*50</f>
        <v>50</v>
      </c>
      <c r="U26" s="38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3142</v>
      </c>
      <c r="C27" s="27" t="s">
        <v>284</v>
      </c>
      <c r="D27" s="209" t="s">
        <v>285</v>
      </c>
      <c r="E27" s="181" t="s">
        <v>92</v>
      </c>
      <c r="F27" s="177">
        <v>1600</v>
      </c>
      <c r="G27" s="20" t="s">
        <v>190</v>
      </c>
      <c r="H27" s="89">
        <v>170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227</v>
      </c>
      <c r="O27" s="315"/>
      <c r="P27" s="314"/>
      <c r="Q27" s="316"/>
      <c r="R27" s="378" t="s">
        <v>56</v>
      </c>
      <c r="S27" s="379"/>
      <c r="T27" s="379"/>
      <c r="U27" s="38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273">
        <v>3143</v>
      </c>
      <c r="C28" s="295" t="s">
        <v>286</v>
      </c>
      <c r="D28" s="296" t="s">
        <v>287</v>
      </c>
      <c r="E28" s="297" t="s">
        <v>91</v>
      </c>
      <c r="F28" s="278">
        <v>1605</v>
      </c>
      <c r="G28" s="297" t="s">
        <v>166</v>
      </c>
      <c r="H28" s="298"/>
      <c r="I28" s="298"/>
      <c r="J28" s="298" t="str">
        <f t="shared" si="1"/>
        <v>0</v>
      </c>
      <c r="K28" s="298" t="str">
        <f t="shared" si="2"/>
        <v>0</v>
      </c>
      <c r="L28" s="298"/>
      <c r="M28" s="274">
        <v>750</v>
      </c>
      <c r="N28" s="269" t="s">
        <v>227</v>
      </c>
      <c r="O28" s="399" t="s">
        <v>288</v>
      </c>
      <c r="P28" s="399"/>
      <c r="Q28" s="399"/>
      <c r="R28" s="371"/>
      <c r="S28" s="372"/>
      <c r="T28" s="37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3144</v>
      </c>
      <c r="C29" s="34" t="s">
        <v>289</v>
      </c>
      <c r="D29" s="210" t="s">
        <v>290</v>
      </c>
      <c r="E29" s="182" t="s">
        <v>92</v>
      </c>
      <c r="F29" s="177">
        <v>1610</v>
      </c>
      <c r="G29" s="20" t="s">
        <v>110</v>
      </c>
      <c r="H29" s="89"/>
      <c r="I29" s="89">
        <v>95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227</v>
      </c>
      <c r="O29" s="358"/>
      <c r="P29" s="359"/>
      <c r="Q29" s="360"/>
      <c r="R29" s="361"/>
      <c r="S29" s="362"/>
      <c r="T29" s="36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64" t="s">
        <v>48</v>
      </c>
      <c r="B30" s="365"/>
      <c r="C30" s="365"/>
      <c r="D30" s="365"/>
      <c r="E30" s="366"/>
      <c r="F30" s="365"/>
      <c r="G30" s="365"/>
      <c r="H30" s="264">
        <f t="shared" ref="H30:M30" si="3">SUM(H5:H29)</f>
        <v>390</v>
      </c>
      <c r="I30" s="105">
        <f>SUM(I5:I29)</f>
        <v>1760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220.7</v>
      </c>
      <c r="L30" s="106">
        <f t="shared" si="3"/>
        <v>0</v>
      </c>
      <c r="M30" s="106">
        <f t="shared" si="3"/>
        <v>1225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7"/>
      <c r="S30" s="367"/>
      <c r="T30" s="36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9" t="s">
        <v>16</v>
      </c>
      <c r="B31" s="370"/>
      <c r="C31" s="370"/>
      <c r="D31" s="370"/>
      <c r="E31" s="370"/>
      <c r="F31" s="370"/>
      <c r="G31" s="370"/>
      <c r="H31" s="265">
        <f t="shared" ref="H31:J31" si="4">H30+H62+H94</f>
        <v>390</v>
      </c>
      <c r="I31" s="103">
        <f t="shared" si="4"/>
        <v>1760</v>
      </c>
      <c r="J31" s="103">
        <f t="shared" si="4"/>
        <v>220</v>
      </c>
      <c r="K31" s="103">
        <f>K30+K62+K94</f>
        <v>220.7</v>
      </c>
      <c r="L31" s="97">
        <f>L30+L62+L94</f>
        <v>0</v>
      </c>
      <c r="M31" s="97">
        <f>M30+M62+M94</f>
        <v>1225</v>
      </c>
      <c r="N31" s="262">
        <f>COUNT(H5:H29,H37:H61,H69:H93)</f>
        <v>3</v>
      </c>
      <c r="O31" s="104">
        <f>COUNT(I5:I29,I37:I61,I69:I93)</f>
        <v>17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390</v>
      </c>
      <c r="T31" s="354">
        <f>H31+I31+L31+M31</f>
        <v>3375</v>
      </c>
      <c r="U31" s="35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74" t="s">
        <v>55</v>
      </c>
      <c r="B32" s="375"/>
      <c r="C32" s="107">
        <f>H31+I31+J31+K31</f>
        <v>2590.6999999999998</v>
      </c>
      <c r="D32" s="196"/>
      <c r="E32" s="107"/>
      <c r="F32" s="376" t="s">
        <v>53</v>
      </c>
      <c r="G32" s="376"/>
      <c r="H32" s="109">
        <f>COUNT(B5:B29,B37:B61,B69:B93)</f>
        <v>25</v>
      </c>
      <c r="I32" s="377" t="s">
        <v>54</v>
      </c>
      <c r="J32" s="377"/>
      <c r="K32" s="108">
        <f>C32/H32</f>
        <v>103.62799999999999</v>
      </c>
      <c r="L32" s="260"/>
      <c r="M32" s="260"/>
      <c r="N32" s="260">
        <f>H31/C32</f>
        <v>0.15053846450766203</v>
      </c>
      <c r="O32" s="260">
        <f>I31/C32</f>
        <v>0.67935307059867989</v>
      </c>
      <c r="P32" s="260">
        <f>K31/C32</f>
        <v>8.5189331068823093E-2</v>
      </c>
      <c r="Q32" s="110">
        <f>J31/C32</f>
        <v>8.4919133824834986E-2</v>
      </c>
      <c r="R32" s="99" t="s">
        <v>82</v>
      </c>
      <c r="S32" s="266">
        <f>I31+M31</f>
        <v>2985</v>
      </c>
      <c r="T32" s="356"/>
      <c r="U32" s="357"/>
      <c r="V32" s="55"/>
      <c r="W32" s="55"/>
      <c r="X32" s="56" t="s">
        <v>27</v>
      </c>
      <c r="Y32" s="56"/>
      <c r="Z32" s="54">
        <f>I31</f>
        <v>1760</v>
      </c>
      <c r="AE32" s="37"/>
      <c r="AF32" s="37"/>
      <c r="AG32" s="37"/>
      <c r="AH32" s="37"/>
    </row>
    <row r="33" spans="1:34" ht="17.25" thickBot="1" x14ac:dyDescent="0.35">
      <c r="A33" s="308" t="s">
        <v>24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49"/>
      <c r="U33" s="350"/>
      <c r="X33" s="57" t="s">
        <v>29</v>
      </c>
      <c r="Y33" s="57"/>
      <c r="Z33" s="58">
        <f>SUM(Z31:Z32)</f>
        <v>-985</v>
      </c>
      <c r="AE33" s="37"/>
      <c r="AF33" s="37"/>
      <c r="AG33" s="59"/>
      <c r="AH33" s="37"/>
    </row>
    <row r="34" spans="1:34" ht="17.25" thickBot="1" x14ac:dyDescent="0.35">
      <c r="A34" s="348" t="str">
        <f>A2</f>
        <v>02 - 04- 2022</v>
      </c>
      <c r="B34" s="349"/>
      <c r="C34" s="349"/>
      <c r="D34" s="349"/>
      <c r="E34" s="349"/>
      <c r="F34" s="349"/>
      <c r="G34" s="350"/>
      <c r="H34" s="351" t="s">
        <v>49</v>
      </c>
      <c r="I34" s="352"/>
      <c r="J34" s="348" t="str">
        <f>J2</f>
        <v>CLOUDY</v>
      </c>
      <c r="K34" s="350"/>
      <c r="L34" s="352" t="s">
        <v>50</v>
      </c>
      <c r="M34" s="353"/>
      <c r="N34" s="351"/>
      <c r="O34" s="349" t="str">
        <f>O2</f>
        <v>JOHN</v>
      </c>
      <c r="P34" s="349"/>
      <c r="Q34" s="350"/>
      <c r="R34" s="352" t="s">
        <v>51</v>
      </c>
      <c r="S34" s="351"/>
      <c r="T34" s="340">
        <f>T2</f>
        <v>9</v>
      </c>
      <c r="U34" s="340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1" t="s">
        <v>8</v>
      </c>
      <c r="P36" s="341"/>
      <c r="Q36" s="34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5"/>
      <c r="P37" s="314"/>
      <c r="Q37" s="31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2"/>
      <c r="P38" s="343"/>
      <c r="Q38" s="344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5"/>
      <c r="P39" s="314"/>
      <c r="Q39" s="31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5"/>
      <c r="P40" s="346"/>
      <c r="Q40" s="34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5"/>
      <c r="P41" s="346"/>
      <c r="Q41" s="34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7"/>
      <c r="P42" s="338"/>
      <c r="Q42" s="339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5"/>
      <c r="P43" s="314"/>
      <c r="Q43" s="31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5"/>
      <c r="P44" s="314"/>
      <c r="Q44" s="31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5"/>
      <c r="P45" s="314"/>
      <c r="Q45" s="31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5"/>
      <c r="P46" s="314"/>
      <c r="Q46" s="31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5"/>
      <c r="P47" s="314"/>
      <c r="Q47" s="31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5"/>
      <c r="P48" s="314"/>
      <c r="Q48" s="31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5"/>
      <c r="P49" s="314"/>
      <c r="Q49" s="31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5"/>
      <c r="P50" s="314"/>
      <c r="Q50" s="31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5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5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6"/>
      <c r="P53" s="315"/>
      <c r="Q53" s="315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6"/>
      <c r="P54" s="315"/>
      <c r="Q54" s="315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6"/>
      <c r="P55" s="315"/>
      <c r="Q55" s="315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5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5"/>
      <c r="P60" s="314"/>
      <c r="Q60" s="31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7"/>
      <c r="P61" s="318"/>
      <c r="Q61" s="319"/>
      <c r="R61" s="81"/>
      <c r="S61" s="68"/>
      <c r="T61" s="68"/>
      <c r="U61" s="77"/>
    </row>
    <row r="62" spans="1:21" x14ac:dyDescent="0.3">
      <c r="A62" s="320" t="s">
        <v>48</v>
      </c>
      <c r="B62" s="321"/>
      <c r="C62" s="321"/>
      <c r="D62" s="321"/>
      <c r="E62" s="321"/>
      <c r="F62" s="321"/>
      <c r="G62" s="321"/>
      <c r="H62" s="321">
        <f t="shared" ref="H62:M62" si="8">SUM(H37:H61)</f>
        <v>0</v>
      </c>
      <c r="I62" s="327">
        <f t="shared" si="8"/>
        <v>0</v>
      </c>
      <c r="J62" s="327">
        <f>J61+J60+J59+J58+J57+J56+J55+J54+J53+J52+J51+J50+J49+J48+J47+J46+J45+J44+J43+J42+J41+J40+J39+J38+J37</f>
        <v>0</v>
      </c>
      <c r="K62" s="327">
        <f>K61+K60+K59+K58+K57+K56+K55+K54+K53+K52+K51+K50+K49+K48+K47+K46+K45+K44+K43+K42+K41+K40+K39+K38+K37</f>
        <v>0</v>
      </c>
      <c r="L62" s="330">
        <f t="shared" si="8"/>
        <v>0</v>
      </c>
      <c r="M62" s="333">
        <f t="shared" si="8"/>
        <v>0</v>
      </c>
      <c r="N62" s="302"/>
      <c r="O62" s="303"/>
      <c r="P62" s="303"/>
      <c r="Q62" s="304"/>
      <c r="R62" s="5"/>
      <c r="S62" s="6"/>
      <c r="T62" s="7"/>
      <c r="U62" s="8"/>
    </row>
    <row r="63" spans="1:21" ht="17.25" thickBot="1" x14ac:dyDescent="0.35">
      <c r="A63" s="323"/>
      <c r="B63" s="324"/>
      <c r="C63" s="324"/>
      <c r="D63" s="324"/>
      <c r="E63" s="324"/>
      <c r="F63" s="324"/>
      <c r="G63" s="324"/>
      <c r="H63" s="324"/>
      <c r="I63" s="328"/>
      <c r="J63" s="328"/>
      <c r="K63" s="328"/>
      <c r="L63" s="331"/>
      <c r="M63" s="334"/>
      <c r="N63" s="305"/>
      <c r="O63" s="306"/>
      <c r="P63" s="306"/>
      <c r="Q63" s="307"/>
      <c r="R63" s="1"/>
      <c r="S63" s="2"/>
      <c r="T63" s="3"/>
      <c r="U63" s="4"/>
    </row>
    <row r="64" spans="1:21" ht="17.25" thickBot="1" x14ac:dyDescent="0.35">
      <c r="A64" s="325"/>
      <c r="B64" s="326"/>
      <c r="C64" s="326"/>
      <c r="D64" s="326"/>
      <c r="E64" s="326"/>
      <c r="F64" s="326"/>
      <c r="G64" s="326"/>
      <c r="H64" s="326"/>
      <c r="I64" s="329"/>
      <c r="J64" s="329"/>
      <c r="K64" s="329"/>
      <c r="L64" s="332"/>
      <c r="M64" s="335"/>
      <c r="N64" s="308"/>
      <c r="O64" s="309"/>
      <c r="P64" s="309"/>
      <c r="Q64" s="310"/>
      <c r="R64" s="311" t="s">
        <v>17</v>
      </c>
      <c r="S64" s="312"/>
      <c r="T64" s="312"/>
      <c r="U64" s="313"/>
    </row>
    <row r="65" spans="1:21" ht="17.25" thickBot="1" x14ac:dyDescent="0.35">
      <c r="A65" s="348" t="s">
        <v>24</v>
      </c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50"/>
    </row>
    <row r="66" spans="1:21" ht="17.25" thickBot="1" x14ac:dyDescent="0.35">
      <c r="A66" s="348" t="str">
        <f>A34</f>
        <v>02 - 04- 2022</v>
      </c>
      <c r="B66" s="349"/>
      <c r="C66" s="349"/>
      <c r="D66" s="349"/>
      <c r="E66" s="349"/>
      <c r="F66" s="349"/>
      <c r="G66" s="350"/>
      <c r="H66" s="351" t="s">
        <v>49</v>
      </c>
      <c r="I66" s="352"/>
      <c r="J66" s="348" t="str">
        <f>J34</f>
        <v>CLOUDY</v>
      </c>
      <c r="K66" s="350"/>
      <c r="L66" s="352" t="s">
        <v>50</v>
      </c>
      <c r="M66" s="353"/>
      <c r="N66" s="351"/>
      <c r="O66" s="349" t="str">
        <f>O34</f>
        <v>JOHN</v>
      </c>
      <c r="P66" s="349"/>
      <c r="Q66" s="350"/>
      <c r="R66" s="352" t="s">
        <v>51</v>
      </c>
      <c r="S66" s="351"/>
      <c r="T66" s="340">
        <f>T34</f>
        <v>9</v>
      </c>
      <c r="U66" s="340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1" t="s">
        <v>8</v>
      </c>
      <c r="P68" s="341"/>
      <c r="Q68" s="34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5"/>
      <c r="P69" s="314"/>
      <c r="Q69" s="31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2"/>
      <c r="P70" s="343"/>
      <c r="Q70" s="344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5"/>
      <c r="P71" s="314"/>
      <c r="Q71" s="31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5"/>
      <c r="P72" s="346"/>
      <c r="Q72" s="34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5"/>
      <c r="P73" s="346"/>
      <c r="Q73" s="34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7"/>
      <c r="P74" s="338"/>
      <c r="Q74" s="339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5"/>
      <c r="P75" s="314"/>
      <c r="Q75" s="31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5"/>
      <c r="P76" s="314"/>
      <c r="Q76" s="31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5"/>
      <c r="P77" s="314"/>
      <c r="Q77" s="31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5"/>
      <c r="P78" s="314"/>
      <c r="Q78" s="31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5"/>
      <c r="P79" s="314"/>
      <c r="Q79" s="31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5"/>
      <c r="P80" s="314"/>
      <c r="Q80" s="31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5"/>
      <c r="P81" s="314"/>
      <c r="Q81" s="31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5"/>
      <c r="P82" s="314"/>
      <c r="Q82" s="31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5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5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6"/>
      <c r="P85" s="315"/>
      <c r="Q85" s="315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6"/>
      <c r="P86" s="315"/>
      <c r="Q86" s="315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6"/>
      <c r="P87" s="315"/>
      <c r="Q87" s="315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5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5"/>
      <c r="P92" s="314"/>
      <c r="Q92" s="31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7"/>
      <c r="P93" s="318"/>
      <c r="Q93" s="319"/>
      <c r="R93" s="81"/>
      <c r="S93" s="68"/>
      <c r="T93" s="68"/>
      <c r="U93" s="77"/>
    </row>
    <row r="94" spans="1:21" x14ac:dyDescent="0.3">
      <c r="A94" s="320" t="s">
        <v>48</v>
      </c>
      <c r="B94" s="321"/>
      <c r="C94" s="321"/>
      <c r="D94" s="321"/>
      <c r="E94" s="322"/>
      <c r="F94" s="321"/>
      <c r="G94" s="321"/>
      <c r="H94" s="321">
        <f t="shared" ref="H94:M94" si="12">SUM(H69:H93)</f>
        <v>0</v>
      </c>
      <c r="I94" s="327">
        <f t="shared" si="12"/>
        <v>0</v>
      </c>
      <c r="J94" s="327">
        <f>J93+J92+J91+J90+J89+J88+J87+J86+J85+J84+J83+J82+J81+J80+J79+J78+J77+J76+J75+J74+J73+J72+J71+J70+J69</f>
        <v>0</v>
      </c>
      <c r="K94" s="327">
        <f>K93+K92+K91+K90+K89+K88+K87+K86+K85+K84+K83+K82+K81+K80+K79+K78+K77+K76+K75+K74+K73+K72+K71+K70+K69</f>
        <v>0</v>
      </c>
      <c r="L94" s="330">
        <f t="shared" si="12"/>
        <v>0</v>
      </c>
      <c r="M94" s="333">
        <f t="shared" si="12"/>
        <v>0</v>
      </c>
      <c r="N94" s="302"/>
      <c r="O94" s="303"/>
      <c r="P94" s="303"/>
      <c r="Q94" s="304"/>
      <c r="R94" s="5"/>
      <c r="S94" s="6"/>
      <c r="T94" s="7"/>
      <c r="U94" s="8"/>
    </row>
    <row r="95" spans="1:21" ht="17.25" thickBot="1" x14ac:dyDescent="0.35">
      <c r="A95" s="323"/>
      <c r="B95" s="324"/>
      <c r="C95" s="324"/>
      <c r="D95" s="324"/>
      <c r="E95" s="324"/>
      <c r="F95" s="324"/>
      <c r="G95" s="324"/>
      <c r="H95" s="324"/>
      <c r="I95" s="328"/>
      <c r="J95" s="328"/>
      <c r="K95" s="328"/>
      <c r="L95" s="331"/>
      <c r="M95" s="334"/>
      <c r="N95" s="305"/>
      <c r="O95" s="306"/>
      <c r="P95" s="306"/>
      <c r="Q95" s="307"/>
      <c r="R95" s="1"/>
      <c r="S95" s="2"/>
      <c r="T95" s="3"/>
      <c r="U95" s="4"/>
    </row>
    <row r="96" spans="1:21" ht="17.25" thickBot="1" x14ac:dyDescent="0.35">
      <c r="A96" s="325"/>
      <c r="B96" s="326"/>
      <c r="C96" s="326"/>
      <c r="D96" s="326"/>
      <c r="E96" s="326"/>
      <c r="F96" s="326"/>
      <c r="G96" s="326"/>
      <c r="H96" s="326"/>
      <c r="I96" s="329"/>
      <c r="J96" s="329"/>
      <c r="K96" s="329"/>
      <c r="L96" s="332"/>
      <c r="M96" s="335"/>
      <c r="N96" s="308"/>
      <c r="O96" s="309"/>
      <c r="P96" s="309"/>
      <c r="Q96" s="310"/>
      <c r="R96" s="311" t="s">
        <v>52</v>
      </c>
      <c r="S96" s="312"/>
      <c r="T96" s="312"/>
      <c r="U96" s="313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conditionalFormatting sqref="C28:E28 O28:Q28 G28:L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J27" sqref="J2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8" t="s">
        <v>77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50"/>
    </row>
    <row r="2" spans="1:44" ht="17.25" thickBot="1" x14ac:dyDescent="0.35">
      <c r="A2" s="348" t="s">
        <v>292</v>
      </c>
      <c r="B2" s="349"/>
      <c r="C2" s="349"/>
      <c r="D2" s="349"/>
      <c r="E2" s="349"/>
      <c r="F2" s="349"/>
      <c r="G2" s="350"/>
      <c r="H2" s="351" t="s">
        <v>49</v>
      </c>
      <c r="I2" s="352"/>
      <c r="J2" s="348" t="s">
        <v>293</v>
      </c>
      <c r="K2" s="350"/>
      <c r="L2" s="352" t="s">
        <v>96</v>
      </c>
      <c r="M2" s="353"/>
      <c r="N2" s="351"/>
      <c r="O2" s="349"/>
      <c r="P2" s="349"/>
      <c r="Q2" s="350"/>
      <c r="R2" s="352" t="s">
        <v>51</v>
      </c>
      <c r="S2" s="351"/>
      <c r="T2" s="340">
        <v>9</v>
      </c>
      <c r="U2" s="340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41" t="s">
        <v>8</v>
      </c>
      <c r="P4" s="341"/>
      <c r="Q4" s="34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3345</v>
      </c>
      <c r="C5" s="68" t="s">
        <v>294</v>
      </c>
      <c r="D5" s="200" t="s">
        <v>295</v>
      </c>
      <c r="E5" s="181" t="s">
        <v>230</v>
      </c>
      <c r="F5" s="170">
        <v>830</v>
      </c>
      <c r="G5" s="118" t="s">
        <v>110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99</v>
      </c>
      <c r="O5" s="390"/>
      <c r="P5" s="391"/>
      <c r="Q5" s="392"/>
      <c r="R5" s="33" t="s">
        <v>227</v>
      </c>
      <c r="S5" s="31">
        <v>0.35416666666666669</v>
      </c>
      <c r="T5" s="32">
        <v>0.66666666666666663</v>
      </c>
      <c r="U5" s="92">
        <f t="shared" ref="U5:U15" si="0">(T5-S5)*24</f>
        <v>7.4999999999999982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3346</v>
      </c>
      <c r="C6" s="67" t="s">
        <v>296</v>
      </c>
      <c r="D6" s="200" t="s">
        <v>297</v>
      </c>
      <c r="E6" s="181" t="s">
        <v>230</v>
      </c>
      <c r="F6" s="171">
        <v>920</v>
      </c>
      <c r="G6" s="118" t="s">
        <v>110</v>
      </c>
      <c r="H6" s="91">
        <v>85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227</v>
      </c>
      <c r="O6" s="342"/>
      <c r="P6" s="343"/>
      <c r="Q6" s="344"/>
      <c r="R6" s="132" t="s">
        <v>99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3347</v>
      </c>
      <c r="C7" s="67" t="s">
        <v>300</v>
      </c>
      <c r="D7" s="200" t="s">
        <v>301</v>
      </c>
      <c r="E7" s="181" t="s">
        <v>91</v>
      </c>
      <c r="F7" s="171">
        <v>930</v>
      </c>
      <c r="G7" s="118" t="s">
        <v>125</v>
      </c>
      <c r="H7" s="91"/>
      <c r="I7" s="124">
        <v>140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227</v>
      </c>
      <c r="O7" s="315"/>
      <c r="P7" s="314"/>
      <c r="Q7" s="316"/>
      <c r="R7" s="134" t="s">
        <v>100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3348</v>
      </c>
      <c r="C8" s="67" t="s">
        <v>298</v>
      </c>
      <c r="D8" s="200" t="s">
        <v>302</v>
      </c>
      <c r="E8" s="181" t="s">
        <v>91</v>
      </c>
      <c r="F8" s="171">
        <v>935</v>
      </c>
      <c r="G8" s="118" t="s">
        <v>125</v>
      </c>
      <c r="H8" s="91"/>
      <c r="I8" s="124">
        <v>120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227</v>
      </c>
      <c r="O8" s="345"/>
      <c r="P8" s="346"/>
      <c r="Q8" s="347"/>
      <c r="R8" s="26" t="s">
        <v>102</v>
      </c>
      <c r="S8" s="31">
        <v>0.39583333333333331</v>
      </c>
      <c r="T8" s="32">
        <v>0.6875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3349</v>
      </c>
      <c r="C9" s="63" t="s">
        <v>306</v>
      </c>
      <c r="D9" s="201" t="s">
        <v>307</v>
      </c>
      <c r="E9" s="181" t="s">
        <v>91</v>
      </c>
      <c r="F9" s="172">
        <v>940</v>
      </c>
      <c r="G9" s="119" t="s">
        <v>125</v>
      </c>
      <c r="H9" s="91"/>
      <c r="I9" s="91">
        <v>110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227</v>
      </c>
      <c r="O9" s="345"/>
      <c r="P9" s="346"/>
      <c r="Q9" s="347"/>
      <c r="R9" s="26" t="s">
        <v>228</v>
      </c>
      <c r="S9" s="31">
        <v>0.39583333333333331</v>
      </c>
      <c r="T9" s="32">
        <v>0.6875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3350</v>
      </c>
      <c r="C10" s="28" t="s">
        <v>303</v>
      </c>
      <c r="D10" s="202" t="s">
        <v>304</v>
      </c>
      <c r="E10" s="181" t="s">
        <v>91</v>
      </c>
      <c r="F10" s="173">
        <v>1030</v>
      </c>
      <c r="G10" s="120" t="s">
        <v>155</v>
      </c>
      <c r="H10" s="123"/>
      <c r="I10" s="125"/>
      <c r="J10" s="130" t="str">
        <f t="shared" si="1"/>
        <v>0</v>
      </c>
      <c r="K10" s="130">
        <v>125</v>
      </c>
      <c r="L10" s="131"/>
      <c r="M10" s="131"/>
      <c r="N10" s="134" t="s">
        <v>227</v>
      </c>
      <c r="O10" s="337" t="s">
        <v>305</v>
      </c>
      <c r="P10" s="338"/>
      <c r="Q10" s="339"/>
      <c r="R10" s="26" t="s">
        <v>140</v>
      </c>
      <c r="S10" s="31">
        <v>0.41666666666666669</v>
      </c>
      <c r="T10" s="32">
        <v>0.66666666666666663</v>
      </c>
      <c r="U10" s="92">
        <f t="shared" si="0"/>
        <v>5.9999999999999982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3351</v>
      </c>
      <c r="C11" s="18" t="s">
        <v>317</v>
      </c>
      <c r="D11" s="203" t="s">
        <v>318</v>
      </c>
      <c r="E11" s="181" t="s">
        <v>92</v>
      </c>
      <c r="F11" s="66">
        <v>1050</v>
      </c>
      <c r="G11" s="121" t="s">
        <v>133</v>
      </c>
      <c r="H11" s="123">
        <v>55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227</v>
      </c>
      <c r="O11" s="315"/>
      <c r="P11" s="314"/>
      <c r="Q11" s="316"/>
      <c r="R11" s="26" t="s">
        <v>232</v>
      </c>
      <c r="S11" s="31">
        <v>0.41666666666666669</v>
      </c>
      <c r="T11" s="32">
        <v>0.66666666666666663</v>
      </c>
      <c r="U11" s="92">
        <f t="shared" si="0"/>
        <v>5.9999999999999982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67">
        <v>8</v>
      </c>
      <c r="B12" s="273">
        <v>3352</v>
      </c>
      <c r="C12" s="276" t="s">
        <v>308</v>
      </c>
      <c r="D12" s="277" t="s">
        <v>309</v>
      </c>
      <c r="E12" s="271" t="s">
        <v>91</v>
      </c>
      <c r="F12" s="278">
        <v>1100</v>
      </c>
      <c r="G12" s="273" t="s">
        <v>310</v>
      </c>
      <c r="H12" s="280">
        <v>350</v>
      </c>
      <c r="I12" s="280"/>
      <c r="J12" s="274" t="str">
        <f t="shared" si="1"/>
        <v>0</v>
      </c>
      <c r="K12" s="274" t="str">
        <f t="shared" si="2"/>
        <v>0</v>
      </c>
      <c r="L12" s="275"/>
      <c r="M12" s="275"/>
      <c r="N12" s="269" t="s">
        <v>227</v>
      </c>
      <c r="O12" s="315"/>
      <c r="P12" s="314"/>
      <c r="Q12" s="316"/>
      <c r="R12" s="26" t="s">
        <v>299</v>
      </c>
      <c r="S12" s="31">
        <v>0.41666666666666669</v>
      </c>
      <c r="T12" s="32">
        <v>0.66666666666666663</v>
      </c>
      <c r="U12" s="92">
        <f t="shared" si="0"/>
        <v>5.9999999999999982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3353</v>
      </c>
      <c r="C13" s="64" t="s">
        <v>311</v>
      </c>
      <c r="D13" s="204" t="s">
        <v>312</v>
      </c>
      <c r="E13" s="181" t="s">
        <v>92</v>
      </c>
      <c r="F13" s="173">
        <v>1135</v>
      </c>
      <c r="G13" s="119" t="s">
        <v>110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227</v>
      </c>
      <c r="O13" s="315"/>
      <c r="P13" s="314"/>
      <c r="Q13" s="316"/>
      <c r="R13" s="33" t="s">
        <v>105</v>
      </c>
      <c r="S13" s="31">
        <v>0.39583333333333331</v>
      </c>
      <c r="T13" s="32">
        <v>0.60416666666666663</v>
      </c>
      <c r="U13" s="92">
        <f t="shared" si="0"/>
        <v>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267">
        <v>10</v>
      </c>
      <c r="B14" s="273">
        <v>3354</v>
      </c>
      <c r="C14" s="299" t="s">
        <v>321</v>
      </c>
      <c r="D14" s="300" t="s">
        <v>322</v>
      </c>
      <c r="E14" s="271" t="s">
        <v>92</v>
      </c>
      <c r="F14" s="301">
        <v>1140</v>
      </c>
      <c r="G14" s="268" t="s">
        <v>310</v>
      </c>
      <c r="H14" s="280"/>
      <c r="I14" s="280">
        <v>350</v>
      </c>
      <c r="J14" s="274" t="str">
        <f t="shared" si="1"/>
        <v>0</v>
      </c>
      <c r="K14" s="274" t="str">
        <f t="shared" si="2"/>
        <v>0</v>
      </c>
      <c r="L14" s="275"/>
      <c r="M14" s="275"/>
      <c r="N14" s="269" t="s">
        <v>227</v>
      </c>
      <c r="O14" s="315"/>
      <c r="P14" s="314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3355</v>
      </c>
      <c r="C15" s="65" t="s">
        <v>323</v>
      </c>
      <c r="D15" s="205" t="s">
        <v>324</v>
      </c>
      <c r="E15" s="181" t="s">
        <v>92</v>
      </c>
      <c r="F15" s="174">
        <v>1145</v>
      </c>
      <c r="G15" s="122" t="s">
        <v>125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227</v>
      </c>
      <c r="O15" s="315"/>
      <c r="P15" s="314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3356</v>
      </c>
      <c r="C16" s="65" t="s">
        <v>319</v>
      </c>
      <c r="D16" s="205" t="s">
        <v>320</v>
      </c>
      <c r="E16" s="181" t="s">
        <v>91</v>
      </c>
      <c r="F16" s="174">
        <v>1145</v>
      </c>
      <c r="G16" s="122" t="s">
        <v>125</v>
      </c>
      <c r="H16" s="123"/>
      <c r="I16" s="124">
        <v>140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227</v>
      </c>
      <c r="O16" s="315"/>
      <c r="P16" s="314"/>
      <c r="Q16" s="316"/>
      <c r="R16" s="82">
        <f>H32/U16</f>
        <v>0.36799999999999999</v>
      </c>
      <c r="S16" s="83">
        <f>H32/(U16-U5)</f>
        <v>0.41818181818181815</v>
      </c>
      <c r="T16" s="83">
        <f>C32/U16</f>
        <v>45.505600000000001</v>
      </c>
      <c r="U16" s="83">
        <f>SUM(U5:U15)</f>
        <v>62.5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3357</v>
      </c>
      <c r="C17" s="18" t="s">
        <v>313</v>
      </c>
      <c r="D17" s="203" t="s">
        <v>314</v>
      </c>
      <c r="E17" s="181" t="s">
        <v>92</v>
      </c>
      <c r="F17" s="66">
        <v>1145</v>
      </c>
      <c r="G17" s="121" t="s">
        <v>110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227</v>
      </c>
      <c r="O17" s="315"/>
      <c r="P17" s="314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3358</v>
      </c>
      <c r="C18" s="18" t="s">
        <v>315</v>
      </c>
      <c r="D18" s="203" t="s">
        <v>316</v>
      </c>
      <c r="E18" s="181" t="s">
        <v>91</v>
      </c>
      <c r="F18" s="66">
        <v>1145</v>
      </c>
      <c r="G18" s="20" t="s">
        <v>110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227</v>
      </c>
      <c r="O18" s="315"/>
      <c r="P18" s="314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3359</v>
      </c>
      <c r="C19" s="18" t="s">
        <v>327</v>
      </c>
      <c r="D19" s="203" t="s">
        <v>328</v>
      </c>
      <c r="E19" s="181" t="s">
        <v>91</v>
      </c>
      <c r="F19" s="66">
        <v>1200</v>
      </c>
      <c r="G19" s="121" t="s">
        <v>125</v>
      </c>
      <c r="H19" s="123">
        <v>150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227</v>
      </c>
      <c r="O19" s="315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3360</v>
      </c>
      <c r="C20" s="18" t="s">
        <v>329</v>
      </c>
      <c r="D20" s="203" t="s">
        <v>330</v>
      </c>
      <c r="E20" s="181" t="s">
        <v>92</v>
      </c>
      <c r="F20" s="66">
        <v>1210</v>
      </c>
      <c r="G20" s="121" t="s">
        <v>133</v>
      </c>
      <c r="H20" s="123"/>
      <c r="I20" s="219">
        <v>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227</v>
      </c>
      <c r="O20" s="386"/>
      <c r="P20" s="387"/>
      <c r="Q20" s="38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3361</v>
      </c>
      <c r="C21" s="18" t="s">
        <v>338</v>
      </c>
      <c r="D21" s="203" t="s">
        <v>339</v>
      </c>
      <c r="E21" s="181" t="s">
        <v>92</v>
      </c>
      <c r="F21" s="66">
        <v>1215</v>
      </c>
      <c r="G21" s="20" t="s">
        <v>125</v>
      </c>
      <c r="H21" s="123">
        <v>150</v>
      </c>
      <c r="I21" s="124"/>
      <c r="J21" s="130" t="str">
        <f t="shared" si="1"/>
        <v>0</v>
      </c>
      <c r="K21" s="221" t="str">
        <f t="shared" si="2"/>
        <v>0</v>
      </c>
      <c r="L21" s="131"/>
      <c r="M21" s="131"/>
      <c r="N21" s="134" t="s">
        <v>227</v>
      </c>
      <c r="O21" s="315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3362</v>
      </c>
      <c r="C22" s="127" t="s">
        <v>331</v>
      </c>
      <c r="D22" s="206" t="s">
        <v>345</v>
      </c>
      <c r="E22" s="181" t="s">
        <v>91</v>
      </c>
      <c r="F22" s="175">
        <v>1230</v>
      </c>
      <c r="G22" s="263" t="s">
        <v>332</v>
      </c>
      <c r="H22" s="89"/>
      <c r="I22" s="141">
        <v>100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227</v>
      </c>
      <c r="O22" s="315"/>
      <c r="P22" s="314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3363</v>
      </c>
      <c r="C23" s="136" t="s">
        <v>325</v>
      </c>
      <c r="D23" s="207" t="s">
        <v>326</v>
      </c>
      <c r="E23" s="181" t="s">
        <v>92</v>
      </c>
      <c r="F23" s="176">
        <v>1235</v>
      </c>
      <c r="G23" s="165" t="s">
        <v>133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227</v>
      </c>
      <c r="O23" s="163"/>
      <c r="P23" s="164"/>
      <c r="Q23" s="159"/>
      <c r="R23" s="113"/>
      <c r="S23" s="114"/>
      <c r="T23" s="114"/>
      <c r="U23" s="115"/>
      <c r="X23" s="384"/>
      <c r="Y23" s="385"/>
      <c r="Z23" s="38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3364</v>
      </c>
      <c r="C24" s="18" t="s">
        <v>333</v>
      </c>
      <c r="D24" s="203" t="s">
        <v>334</v>
      </c>
      <c r="E24" s="181" t="s">
        <v>92</v>
      </c>
      <c r="F24" s="66">
        <v>1300</v>
      </c>
      <c r="G24" s="20" t="s">
        <v>155</v>
      </c>
      <c r="H24" s="89"/>
      <c r="I24" s="141"/>
      <c r="J24" s="130" t="str">
        <f t="shared" si="1"/>
        <v>0</v>
      </c>
      <c r="K24" s="130">
        <v>79.099999999999994</v>
      </c>
      <c r="L24" s="69"/>
      <c r="M24" s="69"/>
      <c r="N24" s="134" t="s">
        <v>227</v>
      </c>
      <c r="O24" s="315" t="s">
        <v>335</v>
      </c>
      <c r="P24" s="314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3365</v>
      </c>
      <c r="C25" s="132" t="s">
        <v>340</v>
      </c>
      <c r="D25" s="208" t="s">
        <v>341</v>
      </c>
      <c r="E25" s="181" t="s">
        <v>92</v>
      </c>
      <c r="F25" s="175">
        <v>1415</v>
      </c>
      <c r="G25" s="263" t="s">
        <v>110</v>
      </c>
      <c r="H25" s="90">
        <v>95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227</v>
      </c>
      <c r="O25" s="315"/>
      <c r="P25" s="314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8">
        <f>((C32+(R26+S26+T26)*0.5))</f>
        <v>2844.1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3366</v>
      </c>
      <c r="C26" s="27" t="s">
        <v>342</v>
      </c>
      <c r="D26" s="209" t="s">
        <v>343</v>
      </c>
      <c r="E26" s="181" t="s">
        <v>91</v>
      </c>
      <c r="F26" s="177">
        <v>1420</v>
      </c>
      <c r="G26" s="20" t="s">
        <v>44</v>
      </c>
      <c r="H26" s="89">
        <v>10</v>
      </c>
      <c r="I26" s="141"/>
      <c r="J26" s="130">
        <v>110</v>
      </c>
      <c r="K26" s="130" t="str">
        <f t="shared" si="2"/>
        <v>0</v>
      </c>
      <c r="L26" s="69"/>
      <c r="M26" s="69"/>
      <c r="N26" s="134" t="s">
        <v>227</v>
      </c>
      <c r="O26" s="315" t="s">
        <v>344</v>
      </c>
      <c r="P26" s="314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8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3367</v>
      </c>
      <c r="C27" s="27" t="s">
        <v>336</v>
      </c>
      <c r="D27" s="209" t="s">
        <v>337</v>
      </c>
      <c r="E27" s="181" t="s">
        <v>91</v>
      </c>
      <c r="F27" s="177">
        <v>1430</v>
      </c>
      <c r="G27" s="20" t="s">
        <v>110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227</v>
      </c>
      <c r="O27" s="315"/>
      <c r="P27" s="314"/>
      <c r="Q27" s="316"/>
      <c r="R27" s="378" t="s">
        <v>56</v>
      </c>
      <c r="S27" s="379"/>
      <c r="T27" s="379"/>
      <c r="U27" s="38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5"/>
      <c r="P28" s="314"/>
      <c r="Q28" s="316"/>
      <c r="R28" s="371"/>
      <c r="S28" s="372"/>
      <c r="T28" s="37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8"/>
      <c r="P29" s="359"/>
      <c r="Q29" s="360"/>
      <c r="R29" s="361"/>
      <c r="S29" s="362"/>
      <c r="T29" s="363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64" t="s">
        <v>48</v>
      </c>
      <c r="B30" s="365"/>
      <c r="C30" s="365"/>
      <c r="D30" s="365"/>
      <c r="E30" s="366"/>
      <c r="F30" s="365"/>
      <c r="G30" s="365"/>
      <c r="H30" s="264">
        <f t="shared" ref="H30:M30" si="3">SUM(H5:H29)</f>
        <v>895</v>
      </c>
      <c r="I30" s="105">
        <f>SUM(I5:I29)</f>
        <v>1635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204.1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7"/>
      <c r="S30" s="367"/>
      <c r="T30" s="368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9" t="s">
        <v>16</v>
      </c>
      <c r="B31" s="370"/>
      <c r="C31" s="370"/>
      <c r="D31" s="370"/>
      <c r="E31" s="370"/>
      <c r="F31" s="370"/>
      <c r="G31" s="370"/>
      <c r="H31" s="265">
        <f t="shared" ref="H31:J31" si="4">H30+H62+H94</f>
        <v>895</v>
      </c>
      <c r="I31" s="103">
        <f t="shared" si="4"/>
        <v>1635</v>
      </c>
      <c r="J31" s="103">
        <f t="shared" si="4"/>
        <v>110</v>
      </c>
      <c r="K31" s="103">
        <f>K30+K62+K94</f>
        <v>204.1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895</v>
      </c>
      <c r="T31" s="354">
        <f>H31+I31+L31+M31</f>
        <v>2530</v>
      </c>
      <c r="U31" s="355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74" t="s">
        <v>55</v>
      </c>
      <c r="B32" s="375"/>
      <c r="C32" s="107">
        <f>H31+I31+J31+K31</f>
        <v>2844.1</v>
      </c>
      <c r="D32" s="196"/>
      <c r="E32" s="107"/>
      <c r="F32" s="376" t="s">
        <v>53</v>
      </c>
      <c r="G32" s="376"/>
      <c r="H32" s="109">
        <f>COUNT(B5:B29,B37:B61,B69:B93)</f>
        <v>23</v>
      </c>
      <c r="I32" s="377" t="s">
        <v>54</v>
      </c>
      <c r="J32" s="377"/>
      <c r="K32" s="108">
        <f>C32/H32</f>
        <v>123.65652173913043</v>
      </c>
      <c r="L32" s="260"/>
      <c r="M32" s="260"/>
      <c r="N32" s="260">
        <f>H31/C32</f>
        <v>0.31468654407369645</v>
      </c>
      <c r="O32" s="260">
        <f>I31/C32</f>
        <v>0.57487430118490912</v>
      </c>
      <c r="P32" s="260">
        <f>K31/C32</f>
        <v>7.1762596251889882E-2</v>
      </c>
      <c r="Q32" s="110">
        <f>J31/C32</f>
        <v>3.8676558489504589E-2</v>
      </c>
      <c r="R32" s="99" t="s">
        <v>82</v>
      </c>
      <c r="S32" s="266">
        <f>I31+M31</f>
        <v>1635</v>
      </c>
      <c r="T32" s="356"/>
      <c r="U32" s="357"/>
      <c r="V32" s="55"/>
      <c r="W32" s="55"/>
      <c r="X32" s="56" t="s">
        <v>27</v>
      </c>
      <c r="Y32" s="56"/>
      <c r="Z32" s="54">
        <f>I31</f>
        <v>1635</v>
      </c>
      <c r="AE32" s="37"/>
      <c r="AF32" s="37"/>
      <c r="AG32" s="37"/>
      <c r="AH32" s="37"/>
    </row>
    <row r="33" spans="1:34" ht="17.25" thickBot="1" x14ac:dyDescent="0.35">
      <c r="A33" s="308" t="s">
        <v>24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49"/>
      <c r="U33" s="350"/>
      <c r="X33" s="57" t="s">
        <v>29</v>
      </c>
      <c r="Y33" s="57"/>
      <c r="Z33" s="58">
        <f>SUM(Z31:Z32)</f>
        <v>-1110</v>
      </c>
      <c r="AE33" s="37"/>
      <c r="AF33" s="37"/>
      <c r="AG33" s="59"/>
      <c r="AH33" s="37"/>
    </row>
    <row r="34" spans="1:34" ht="17.25" thickBot="1" x14ac:dyDescent="0.35">
      <c r="A34" s="348" t="str">
        <f>A2</f>
        <v>03-04-2022</v>
      </c>
      <c r="B34" s="349"/>
      <c r="C34" s="349"/>
      <c r="D34" s="349"/>
      <c r="E34" s="349"/>
      <c r="F34" s="349"/>
      <c r="G34" s="350"/>
      <c r="H34" s="351" t="s">
        <v>49</v>
      </c>
      <c r="I34" s="352"/>
      <c r="J34" s="348" t="str">
        <f>J2</f>
        <v>SUNNY</v>
      </c>
      <c r="K34" s="350"/>
      <c r="L34" s="352" t="s">
        <v>50</v>
      </c>
      <c r="M34" s="353"/>
      <c r="N34" s="351"/>
      <c r="O34" s="349">
        <f>O2</f>
        <v>0</v>
      </c>
      <c r="P34" s="349"/>
      <c r="Q34" s="350"/>
      <c r="R34" s="352" t="s">
        <v>51</v>
      </c>
      <c r="S34" s="351"/>
      <c r="T34" s="340">
        <f>T2</f>
        <v>9</v>
      </c>
      <c r="U34" s="340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41" t="s">
        <v>8</v>
      </c>
      <c r="P36" s="341"/>
      <c r="Q36" s="34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5"/>
      <c r="P37" s="314"/>
      <c r="Q37" s="31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42"/>
      <c r="P38" s="343"/>
      <c r="Q38" s="344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5"/>
      <c r="P39" s="314"/>
      <c r="Q39" s="31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5"/>
      <c r="P40" s="346"/>
      <c r="Q40" s="34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5"/>
      <c r="P41" s="346"/>
      <c r="Q41" s="34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7"/>
      <c r="P42" s="338"/>
      <c r="Q42" s="339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5"/>
      <c r="P43" s="314"/>
      <c r="Q43" s="31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5"/>
      <c r="P44" s="314"/>
      <c r="Q44" s="31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5"/>
      <c r="P45" s="314"/>
      <c r="Q45" s="31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5"/>
      <c r="P46" s="314"/>
      <c r="Q46" s="31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5"/>
      <c r="P47" s="314"/>
      <c r="Q47" s="31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5"/>
      <c r="P48" s="314"/>
      <c r="Q48" s="31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5"/>
      <c r="P49" s="314"/>
      <c r="Q49" s="31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5"/>
      <c r="P50" s="314"/>
      <c r="Q50" s="31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5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5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6"/>
      <c r="P53" s="315"/>
      <c r="Q53" s="315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6"/>
      <c r="P54" s="315"/>
      <c r="Q54" s="315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6"/>
      <c r="P55" s="315"/>
      <c r="Q55" s="315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5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5"/>
      <c r="P60" s="314"/>
      <c r="Q60" s="31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7"/>
      <c r="P61" s="318"/>
      <c r="Q61" s="319"/>
      <c r="R61" s="81"/>
      <c r="S61" s="68"/>
      <c r="T61" s="68"/>
      <c r="U61" s="77"/>
    </row>
    <row r="62" spans="1:21" x14ac:dyDescent="0.3">
      <c r="A62" s="320" t="s">
        <v>48</v>
      </c>
      <c r="B62" s="321"/>
      <c r="C62" s="321"/>
      <c r="D62" s="321"/>
      <c r="E62" s="321"/>
      <c r="F62" s="321"/>
      <c r="G62" s="321"/>
      <c r="H62" s="321">
        <f t="shared" ref="H62:M62" si="8">SUM(H37:H61)</f>
        <v>0</v>
      </c>
      <c r="I62" s="327">
        <f t="shared" si="8"/>
        <v>0</v>
      </c>
      <c r="J62" s="327">
        <f>J61+J60+J59+J58+J57+J56+J55+J54+J53+J52+J51+J50+J49+J48+J47+J46+J45+J44+J43+J42+J41+J40+J39+J38+J37</f>
        <v>0</v>
      </c>
      <c r="K62" s="327">
        <f>K61+K60+K59+K58+K57+K56+K55+K54+K53+K52+K51+K50+K49+K48+K47+K46+K45+K44+K43+K42+K41+K40+K39+K38+K37</f>
        <v>0</v>
      </c>
      <c r="L62" s="330">
        <f t="shared" si="8"/>
        <v>0</v>
      </c>
      <c r="M62" s="333">
        <f t="shared" si="8"/>
        <v>0</v>
      </c>
      <c r="N62" s="302"/>
      <c r="O62" s="303"/>
      <c r="P62" s="303"/>
      <c r="Q62" s="304"/>
      <c r="R62" s="5"/>
      <c r="S62" s="6"/>
      <c r="T62" s="7"/>
      <c r="U62" s="8"/>
    </row>
    <row r="63" spans="1:21" ht="17.25" thickBot="1" x14ac:dyDescent="0.35">
      <c r="A63" s="323"/>
      <c r="B63" s="324"/>
      <c r="C63" s="324"/>
      <c r="D63" s="324"/>
      <c r="E63" s="324"/>
      <c r="F63" s="324"/>
      <c r="G63" s="324"/>
      <c r="H63" s="324"/>
      <c r="I63" s="328"/>
      <c r="J63" s="328"/>
      <c r="K63" s="328"/>
      <c r="L63" s="331"/>
      <c r="M63" s="334"/>
      <c r="N63" s="305"/>
      <c r="O63" s="306"/>
      <c r="P63" s="306"/>
      <c r="Q63" s="307"/>
      <c r="R63" s="1"/>
      <c r="S63" s="2"/>
      <c r="T63" s="3"/>
      <c r="U63" s="4"/>
    </row>
    <row r="64" spans="1:21" ht="17.25" thickBot="1" x14ac:dyDescent="0.35">
      <c r="A64" s="325"/>
      <c r="B64" s="326"/>
      <c r="C64" s="326"/>
      <c r="D64" s="326"/>
      <c r="E64" s="326"/>
      <c r="F64" s="326"/>
      <c r="G64" s="326"/>
      <c r="H64" s="326"/>
      <c r="I64" s="329"/>
      <c r="J64" s="329"/>
      <c r="K64" s="329"/>
      <c r="L64" s="332"/>
      <c r="M64" s="335"/>
      <c r="N64" s="308"/>
      <c r="O64" s="309"/>
      <c r="P64" s="309"/>
      <c r="Q64" s="310"/>
      <c r="R64" s="311" t="s">
        <v>17</v>
      </c>
      <c r="S64" s="312"/>
      <c r="T64" s="312"/>
      <c r="U64" s="313"/>
    </row>
    <row r="65" spans="1:21" ht="17.25" thickBot="1" x14ac:dyDescent="0.35">
      <c r="A65" s="348" t="s">
        <v>24</v>
      </c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50"/>
    </row>
    <row r="66" spans="1:21" ht="17.25" thickBot="1" x14ac:dyDescent="0.35">
      <c r="A66" s="348" t="str">
        <f>A34</f>
        <v>03-04-2022</v>
      </c>
      <c r="B66" s="349"/>
      <c r="C66" s="349"/>
      <c r="D66" s="349"/>
      <c r="E66" s="349"/>
      <c r="F66" s="349"/>
      <c r="G66" s="350"/>
      <c r="H66" s="351" t="s">
        <v>49</v>
      </c>
      <c r="I66" s="352"/>
      <c r="J66" s="348" t="str">
        <f>J34</f>
        <v>SUNNY</v>
      </c>
      <c r="K66" s="350"/>
      <c r="L66" s="352" t="s">
        <v>50</v>
      </c>
      <c r="M66" s="353"/>
      <c r="N66" s="351"/>
      <c r="O66" s="349">
        <f>O34</f>
        <v>0</v>
      </c>
      <c r="P66" s="349"/>
      <c r="Q66" s="350"/>
      <c r="R66" s="352" t="s">
        <v>51</v>
      </c>
      <c r="S66" s="351"/>
      <c r="T66" s="340">
        <f>T34</f>
        <v>9</v>
      </c>
      <c r="U66" s="340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41" t="s">
        <v>8</v>
      </c>
      <c r="P68" s="341"/>
      <c r="Q68" s="34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5"/>
      <c r="P69" s="314"/>
      <c r="Q69" s="31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42"/>
      <c r="P70" s="343"/>
      <c r="Q70" s="344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5"/>
      <c r="P71" s="314"/>
      <c r="Q71" s="31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5"/>
      <c r="P72" s="346"/>
      <c r="Q72" s="34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5"/>
      <c r="P73" s="346"/>
      <c r="Q73" s="34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7"/>
      <c r="P74" s="338"/>
      <c r="Q74" s="339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5"/>
      <c r="P75" s="314"/>
      <c r="Q75" s="31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5"/>
      <c r="P76" s="314"/>
      <c r="Q76" s="31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5"/>
      <c r="P77" s="314"/>
      <c r="Q77" s="31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5"/>
      <c r="P78" s="314"/>
      <c r="Q78" s="31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5"/>
      <c r="P79" s="314"/>
      <c r="Q79" s="31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5"/>
      <c r="P80" s="314"/>
      <c r="Q80" s="31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5"/>
      <c r="P81" s="314"/>
      <c r="Q81" s="31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5"/>
      <c r="P82" s="314"/>
      <c r="Q82" s="31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5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5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6"/>
      <c r="P85" s="315"/>
      <c r="Q85" s="315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6"/>
      <c r="P86" s="315"/>
      <c r="Q86" s="315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6"/>
      <c r="P87" s="315"/>
      <c r="Q87" s="315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5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5"/>
      <c r="P92" s="314"/>
      <c r="Q92" s="31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7"/>
      <c r="P93" s="318"/>
      <c r="Q93" s="319"/>
      <c r="R93" s="81"/>
      <c r="S93" s="68"/>
      <c r="T93" s="68"/>
      <c r="U93" s="77"/>
    </row>
    <row r="94" spans="1:21" x14ac:dyDescent="0.3">
      <c r="A94" s="320" t="s">
        <v>48</v>
      </c>
      <c r="B94" s="321"/>
      <c r="C94" s="321"/>
      <c r="D94" s="321"/>
      <c r="E94" s="322"/>
      <c r="F94" s="321"/>
      <c r="G94" s="321"/>
      <c r="H94" s="321">
        <f t="shared" ref="H94:M94" si="12">SUM(H69:H93)</f>
        <v>0</v>
      </c>
      <c r="I94" s="327">
        <f t="shared" si="12"/>
        <v>0</v>
      </c>
      <c r="J94" s="327">
        <f>J93+J92+J91+J90+J89+J88+J87+J86+J85+J84+J83+J82+J81+J80+J79+J78+J77+J76+J75+J74+J73+J72+J71+J70+J69</f>
        <v>0</v>
      </c>
      <c r="K94" s="327">
        <f>K93+K92+K91+K90+K89+K88+K87+K86+K85+K84+K83+K82+K81+K80+K79+K78+K77+K76+K75+K74+K73+K72+K71+K70+K69</f>
        <v>0</v>
      </c>
      <c r="L94" s="330">
        <f t="shared" si="12"/>
        <v>0</v>
      </c>
      <c r="M94" s="333">
        <f t="shared" si="12"/>
        <v>0</v>
      </c>
      <c r="N94" s="302"/>
      <c r="O94" s="303"/>
      <c r="P94" s="303"/>
      <c r="Q94" s="304"/>
      <c r="R94" s="5"/>
      <c r="S94" s="6"/>
      <c r="T94" s="7"/>
      <c r="U94" s="8"/>
    </row>
    <row r="95" spans="1:21" ht="17.25" thickBot="1" x14ac:dyDescent="0.35">
      <c r="A95" s="323"/>
      <c r="B95" s="324"/>
      <c r="C95" s="324"/>
      <c r="D95" s="324"/>
      <c r="E95" s="324"/>
      <c r="F95" s="324"/>
      <c r="G95" s="324"/>
      <c r="H95" s="324"/>
      <c r="I95" s="328"/>
      <c r="J95" s="328"/>
      <c r="K95" s="328"/>
      <c r="L95" s="331"/>
      <c r="M95" s="334"/>
      <c r="N95" s="305"/>
      <c r="O95" s="306"/>
      <c r="P95" s="306"/>
      <c r="Q95" s="307"/>
      <c r="R95" s="1"/>
      <c r="S95" s="2"/>
      <c r="T95" s="3"/>
      <c r="U95" s="4"/>
    </row>
    <row r="96" spans="1:21" ht="17.25" thickBot="1" x14ac:dyDescent="0.35">
      <c r="A96" s="325"/>
      <c r="B96" s="326"/>
      <c r="C96" s="326"/>
      <c r="D96" s="326"/>
      <c r="E96" s="326"/>
      <c r="F96" s="326"/>
      <c r="G96" s="326"/>
      <c r="H96" s="326"/>
      <c r="I96" s="329"/>
      <c r="J96" s="329"/>
      <c r="K96" s="329"/>
      <c r="L96" s="332"/>
      <c r="M96" s="335"/>
      <c r="N96" s="308"/>
      <c r="O96" s="309"/>
      <c r="P96" s="309"/>
      <c r="Q96" s="310"/>
      <c r="R96" s="311" t="s">
        <v>52</v>
      </c>
      <c r="S96" s="312"/>
      <c r="T96" s="312"/>
      <c r="U96" s="313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2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28"/>
      <c r="B1" s="628"/>
      <c r="C1" s="628"/>
      <c r="D1" s="628"/>
      <c r="E1" s="627" t="s">
        <v>59</v>
      </c>
      <c r="F1" s="627"/>
      <c r="G1" s="627"/>
      <c r="H1" s="627" t="s">
        <v>60</v>
      </c>
      <c r="I1" s="627"/>
      <c r="J1" s="627"/>
      <c r="K1" s="627"/>
      <c r="L1" s="627" t="s">
        <v>61</v>
      </c>
      <c r="M1" s="627"/>
      <c r="N1" s="627"/>
      <c r="O1" s="627"/>
      <c r="P1" s="627"/>
      <c r="Q1" s="627" t="s">
        <v>62</v>
      </c>
      <c r="R1" s="627"/>
      <c r="S1" s="627"/>
      <c r="T1" s="627"/>
      <c r="U1" s="627"/>
      <c r="V1" s="627" t="s">
        <v>63</v>
      </c>
      <c r="W1" s="627"/>
      <c r="X1" s="627"/>
      <c r="Y1" s="627"/>
      <c r="Z1" s="627"/>
      <c r="AA1" s="627" t="s">
        <v>64</v>
      </c>
      <c r="AB1" s="627"/>
      <c r="AC1" s="627"/>
      <c r="AD1" s="627"/>
    </row>
    <row r="2" spans="1:30" ht="20.100000000000001" customHeight="1" x14ac:dyDescent="0.3">
      <c r="A2" s="708" t="s">
        <v>66</v>
      </c>
      <c r="B2" s="519" t="s">
        <v>57</v>
      </c>
      <c r="C2" s="519"/>
      <c r="D2" s="543"/>
      <c r="E2" s="543">
        <f>MON!N31</f>
        <v>2</v>
      </c>
      <c r="F2" s="543"/>
      <c r="G2" s="543"/>
      <c r="H2" s="512">
        <f>MON!S31</f>
        <v>225</v>
      </c>
      <c r="I2" s="512"/>
      <c r="J2" s="512"/>
      <c r="K2" s="512"/>
      <c r="L2" s="513">
        <f>MON!N32</f>
        <v>0.12228260869565218</v>
      </c>
      <c r="M2" s="513"/>
      <c r="N2" s="513"/>
      <c r="O2" s="513"/>
      <c r="P2" s="513"/>
      <c r="Q2" s="573">
        <f>SUM(E2:G5)</f>
        <v>12</v>
      </c>
      <c r="R2" s="574"/>
      <c r="S2" s="574"/>
      <c r="T2" s="574"/>
      <c r="U2" s="575"/>
      <c r="V2" s="638">
        <f>SUM(H2,H3,H5)</f>
        <v>2215</v>
      </c>
      <c r="W2" s="639"/>
      <c r="X2" s="639"/>
      <c r="Y2" s="639"/>
      <c r="Z2" s="640"/>
      <c r="AA2" s="647">
        <f>V2/Q2</f>
        <v>184.58333333333334</v>
      </c>
      <c r="AB2" s="648"/>
      <c r="AC2" s="648"/>
      <c r="AD2" s="649"/>
    </row>
    <row r="3" spans="1:30" ht="20.100000000000001" customHeight="1" x14ac:dyDescent="0.3">
      <c r="A3" s="709"/>
      <c r="B3" s="519" t="s">
        <v>58</v>
      </c>
      <c r="C3" s="519"/>
      <c r="D3" s="543"/>
      <c r="E3" s="543">
        <f>MON!O31</f>
        <v>9</v>
      </c>
      <c r="F3" s="543"/>
      <c r="G3" s="543"/>
      <c r="H3" s="512">
        <f>MON!S32</f>
        <v>1935</v>
      </c>
      <c r="I3" s="512"/>
      <c r="J3" s="512"/>
      <c r="K3" s="512"/>
      <c r="L3" s="513">
        <f>MON!O32</f>
        <v>0.84782608695652173</v>
      </c>
      <c r="M3" s="513"/>
      <c r="N3" s="513"/>
      <c r="O3" s="513"/>
      <c r="P3" s="513"/>
      <c r="Q3" s="576"/>
      <c r="R3" s="577"/>
      <c r="S3" s="577"/>
      <c r="T3" s="577"/>
      <c r="U3" s="578"/>
      <c r="V3" s="641"/>
      <c r="W3" s="642"/>
      <c r="X3" s="642"/>
      <c r="Y3" s="642"/>
      <c r="Z3" s="643"/>
      <c r="AA3" s="650"/>
      <c r="AB3" s="651"/>
      <c r="AC3" s="651"/>
      <c r="AD3" s="652"/>
    </row>
    <row r="4" spans="1:30" ht="20.100000000000001" customHeight="1" x14ac:dyDescent="0.3">
      <c r="A4" s="709"/>
      <c r="B4" s="519" t="s">
        <v>45</v>
      </c>
      <c r="C4" s="519"/>
      <c r="D4" s="543"/>
      <c r="E4" s="543">
        <f>MON!P31</f>
        <v>0</v>
      </c>
      <c r="F4" s="543"/>
      <c r="G4" s="543"/>
      <c r="H4" s="512">
        <f>MON!K31</f>
        <v>0</v>
      </c>
      <c r="I4" s="512"/>
      <c r="J4" s="512"/>
      <c r="K4" s="512"/>
      <c r="L4" s="513">
        <f>MON!P32</f>
        <v>0</v>
      </c>
      <c r="M4" s="513"/>
      <c r="N4" s="513"/>
      <c r="O4" s="513"/>
      <c r="P4" s="513"/>
      <c r="Q4" s="576"/>
      <c r="R4" s="577"/>
      <c r="S4" s="577"/>
      <c r="T4" s="577"/>
      <c r="U4" s="578"/>
      <c r="V4" s="641"/>
      <c r="W4" s="642"/>
      <c r="X4" s="642"/>
      <c r="Y4" s="642"/>
      <c r="Z4" s="643"/>
      <c r="AA4" s="650"/>
      <c r="AB4" s="651"/>
      <c r="AC4" s="651"/>
      <c r="AD4" s="652"/>
    </row>
    <row r="5" spans="1:30" ht="20.100000000000001" customHeight="1" x14ac:dyDescent="0.3">
      <c r="A5" s="709"/>
      <c r="B5" s="517" t="s">
        <v>65</v>
      </c>
      <c r="C5" s="518"/>
      <c r="D5" s="519"/>
      <c r="E5" s="517">
        <f>MON!Q31</f>
        <v>1</v>
      </c>
      <c r="F5" s="518"/>
      <c r="G5" s="519"/>
      <c r="H5" s="565">
        <f>MON!J31</f>
        <v>55</v>
      </c>
      <c r="I5" s="566"/>
      <c r="J5" s="566"/>
      <c r="K5" s="567"/>
      <c r="L5" s="568">
        <f>MON!Q32</f>
        <v>2.9891304347826088E-2</v>
      </c>
      <c r="M5" s="569"/>
      <c r="N5" s="569"/>
      <c r="O5" s="569"/>
      <c r="P5" s="570"/>
      <c r="Q5" s="579"/>
      <c r="R5" s="580"/>
      <c r="S5" s="580"/>
      <c r="T5" s="580"/>
      <c r="U5" s="581"/>
      <c r="V5" s="644"/>
      <c r="W5" s="645"/>
      <c r="X5" s="645"/>
      <c r="Y5" s="645"/>
      <c r="Z5" s="646"/>
      <c r="AA5" s="653"/>
      <c r="AB5" s="654"/>
      <c r="AC5" s="654"/>
      <c r="AD5" s="655"/>
    </row>
    <row r="6" spans="1:30" ht="20.100000000000001" customHeight="1" x14ac:dyDescent="0.3">
      <c r="A6" s="710"/>
      <c r="B6" s="517" t="s">
        <v>94</v>
      </c>
      <c r="C6" s="518"/>
      <c r="D6" s="519"/>
      <c r="E6" s="517">
        <f>MON!U16</f>
        <v>49.75</v>
      </c>
      <c r="F6" s="518"/>
      <c r="G6" s="519"/>
      <c r="H6" s="565" t="s">
        <v>95</v>
      </c>
      <c r="I6" s="566"/>
      <c r="J6" s="566"/>
      <c r="K6" s="567"/>
      <c r="L6" s="621">
        <f>MON!T2</f>
        <v>7</v>
      </c>
      <c r="M6" s="622"/>
      <c r="N6" s="622"/>
      <c r="O6" s="622"/>
      <c r="P6" s="623"/>
      <c r="Q6" s="624"/>
      <c r="R6" s="625"/>
      <c r="S6" s="625"/>
      <c r="T6" s="625"/>
      <c r="U6" s="626"/>
      <c r="V6" s="729"/>
      <c r="W6" s="730"/>
      <c r="X6" s="730"/>
      <c r="Y6" s="730"/>
      <c r="Z6" s="731"/>
      <c r="AA6" s="732"/>
      <c r="AB6" s="733"/>
      <c r="AC6" s="733"/>
      <c r="AD6" s="734"/>
    </row>
    <row r="7" spans="1:30" ht="20.100000000000001" customHeight="1" x14ac:dyDescent="0.3">
      <c r="A7" s="711" t="s">
        <v>67</v>
      </c>
      <c r="B7" s="535" t="s">
        <v>57</v>
      </c>
      <c r="C7" s="535"/>
      <c r="D7" s="536"/>
      <c r="E7" s="536">
        <f>TUE!N31</f>
        <v>2</v>
      </c>
      <c r="F7" s="536"/>
      <c r="G7" s="536"/>
      <c r="H7" s="514">
        <f>TUE!S31</f>
        <v>320</v>
      </c>
      <c r="I7" s="514"/>
      <c r="J7" s="514"/>
      <c r="K7" s="514"/>
      <c r="L7" s="527">
        <f>TUE!N32</f>
        <v>0.43937937663050941</v>
      </c>
      <c r="M7" s="528"/>
      <c r="N7" s="528"/>
      <c r="O7" s="528"/>
      <c r="P7" s="529"/>
      <c r="Q7" s="603">
        <f>SUM(E7:G10)</f>
        <v>9</v>
      </c>
      <c r="R7" s="604"/>
      <c r="S7" s="604"/>
      <c r="T7" s="604"/>
      <c r="U7" s="605"/>
      <c r="V7" s="629">
        <f>SUM(H7,H8,H10)</f>
        <v>670</v>
      </c>
      <c r="W7" s="630"/>
      <c r="X7" s="630"/>
      <c r="Y7" s="630"/>
      <c r="Z7" s="631"/>
      <c r="AA7" s="656">
        <f>V7/Q7</f>
        <v>74.444444444444443</v>
      </c>
      <c r="AB7" s="657"/>
      <c r="AC7" s="657"/>
      <c r="AD7" s="658"/>
    </row>
    <row r="8" spans="1:30" ht="20.100000000000001" customHeight="1" x14ac:dyDescent="0.3">
      <c r="A8" s="712"/>
      <c r="B8" s="535" t="s">
        <v>58</v>
      </c>
      <c r="C8" s="535"/>
      <c r="D8" s="536"/>
      <c r="E8" s="536">
        <f>TUE!O31</f>
        <v>4</v>
      </c>
      <c r="F8" s="536"/>
      <c r="G8" s="536"/>
      <c r="H8" s="514">
        <f>TUE!S32</f>
        <v>240</v>
      </c>
      <c r="I8" s="514"/>
      <c r="J8" s="514"/>
      <c r="K8" s="514"/>
      <c r="L8" s="527">
        <f>TUE!O32</f>
        <v>0.32953453247288206</v>
      </c>
      <c r="M8" s="528"/>
      <c r="N8" s="528"/>
      <c r="O8" s="528"/>
      <c r="P8" s="529"/>
      <c r="Q8" s="606"/>
      <c r="R8" s="607"/>
      <c r="S8" s="607"/>
      <c r="T8" s="607"/>
      <c r="U8" s="608"/>
      <c r="V8" s="632"/>
      <c r="W8" s="633"/>
      <c r="X8" s="633"/>
      <c r="Y8" s="633"/>
      <c r="Z8" s="634"/>
      <c r="AA8" s="659"/>
      <c r="AB8" s="660"/>
      <c r="AC8" s="660"/>
      <c r="AD8" s="661"/>
    </row>
    <row r="9" spans="1:30" ht="20.100000000000001" customHeight="1" x14ac:dyDescent="0.3">
      <c r="A9" s="712"/>
      <c r="B9" s="535" t="s">
        <v>45</v>
      </c>
      <c r="C9" s="535"/>
      <c r="D9" s="536"/>
      <c r="E9" s="536">
        <f>TUE!P31</f>
        <v>1</v>
      </c>
      <c r="F9" s="536"/>
      <c r="G9" s="536"/>
      <c r="H9" s="514">
        <f>TUE!K31</f>
        <v>58.3</v>
      </c>
      <c r="I9" s="514"/>
      <c r="J9" s="514"/>
      <c r="K9" s="514"/>
      <c r="L9" s="527">
        <f>TUE!P32</f>
        <v>8.0049430179870928E-2</v>
      </c>
      <c r="M9" s="528"/>
      <c r="N9" s="528"/>
      <c r="O9" s="528"/>
      <c r="P9" s="529"/>
      <c r="Q9" s="606"/>
      <c r="R9" s="607"/>
      <c r="S9" s="607"/>
      <c r="T9" s="607"/>
      <c r="U9" s="608"/>
      <c r="V9" s="632"/>
      <c r="W9" s="633"/>
      <c r="X9" s="633"/>
      <c r="Y9" s="633"/>
      <c r="Z9" s="634"/>
      <c r="AA9" s="659"/>
      <c r="AB9" s="660"/>
      <c r="AC9" s="660"/>
      <c r="AD9" s="661"/>
    </row>
    <row r="10" spans="1:30" ht="20.100000000000001" customHeight="1" x14ac:dyDescent="0.3">
      <c r="A10" s="712"/>
      <c r="B10" s="571" t="s">
        <v>65</v>
      </c>
      <c r="C10" s="572"/>
      <c r="D10" s="535"/>
      <c r="E10" s="571">
        <f>TUE!Q31</f>
        <v>2</v>
      </c>
      <c r="F10" s="572"/>
      <c r="G10" s="535"/>
      <c r="H10" s="544">
        <f>TUE!J31</f>
        <v>110</v>
      </c>
      <c r="I10" s="545"/>
      <c r="J10" s="545"/>
      <c r="K10" s="546"/>
      <c r="L10" s="527">
        <f>TUE!Q32</f>
        <v>0.15103666071673763</v>
      </c>
      <c r="M10" s="528"/>
      <c r="N10" s="528"/>
      <c r="O10" s="528"/>
      <c r="P10" s="529"/>
      <c r="Q10" s="609"/>
      <c r="R10" s="610"/>
      <c r="S10" s="610"/>
      <c r="T10" s="610"/>
      <c r="U10" s="611"/>
      <c r="V10" s="635"/>
      <c r="W10" s="636"/>
      <c r="X10" s="636"/>
      <c r="Y10" s="636"/>
      <c r="Z10" s="637"/>
      <c r="AA10" s="662"/>
      <c r="AB10" s="663"/>
      <c r="AC10" s="663"/>
      <c r="AD10" s="664"/>
    </row>
    <row r="11" spans="1:30" ht="20.100000000000001" customHeight="1" x14ac:dyDescent="0.3">
      <c r="A11" s="713"/>
      <c r="B11" s="571" t="s">
        <v>94</v>
      </c>
      <c r="C11" s="572"/>
      <c r="D11" s="535"/>
      <c r="E11" s="571">
        <f>TUE!U16</f>
        <v>36</v>
      </c>
      <c r="F11" s="572"/>
      <c r="G11" s="535"/>
      <c r="H11" s="544" t="s">
        <v>95</v>
      </c>
      <c r="I11" s="545"/>
      <c r="J11" s="545"/>
      <c r="K11" s="546"/>
      <c r="L11" s="735">
        <f>TUE!T2</f>
        <v>6</v>
      </c>
      <c r="M11" s="736"/>
      <c r="N11" s="736"/>
      <c r="O11" s="736"/>
      <c r="P11" s="737"/>
      <c r="Q11" s="738"/>
      <c r="R11" s="739"/>
      <c r="S11" s="739"/>
      <c r="T11" s="739"/>
      <c r="U11" s="740"/>
      <c r="V11" s="741"/>
      <c r="W11" s="742"/>
      <c r="X11" s="742"/>
      <c r="Y11" s="742"/>
      <c r="Z11" s="743"/>
      <c r="AA11" s="744"/>
      <c r="AB11" s="745"/>
      <c r="AC11" s="745"/>
      <c r="AD11" s="746"/>
    </row>
    <row r="12" spans="1:30" ht="20.100000000000001" customHeight="1" x14ac:dyDescent="0.3">
      <c r="A12" s="714" t="s">
        <v>68</v>
      </c>
      <c r="B12" s="520" t="s">
        <v>57</v>
      </c>
      <c r="C12" s="520"/>
      <c r="D12" s="324"/>
      <c r="E12" s="324">
        <f>WED!N31</f>
        <v>0</v>
      </c>
      <c r="F12" s="324"/>
      <c r="G12" s="324"/>
      <c r="H12" s="521">
        <f>WED!S31</f>
        <v>0</v>
      </c>
      <c r="I12" s="522"/>
      <c r="J12" s="522"/>
      <c r="K12" s="523"/>
      <c r="L12" s="524">
        <f>WED!N32</f>
        <v>0</v>
      </c>
      <c r="M12" s="525"/>
      <c r="N12" s="525"/>
      <c r="O12" s="525"/>
      <c r="P12" s="526"/>
      <c r="Q12" s="582">
        <f>SUM(E12:G15)</f>
        <v>9</v>
      </c>
      <c r="R12" s="583"/>
      <c r="S12" s="583"/>
      <c r="T12" s="583"/>
      <c r="U12" s="584"/>
      <c r="V12" s="756">
        <f>SUM(H12,H13,H15)</f>
        <v>1200</v>
      </c>
      <c r="W12" s="757"/>
      <c r="X12" s="757"/>
      <c r="Y12" s="757"/>
      <c r="Z12" s="758"/>
      <c r="AA12" s="747">
        <f>V12/Q12</f>
        <v>133.33333333333334</v>
      </c>
      <c r="AB12" s="748"/>
      <c r="AC12" s="748"/>
      <c r="AD12" s="749"/>
    </row>
    <row r="13" spans="1:30" ht="20.100000000000001" customHeight="1" x14ac:dyDescent="0.3">
      <c r="A13" s="715"/>
      <c r="B13" s="520" t="s">
        <v>58</v>
      </c>
      <c r="C13" s="520"/>
      <c r="D13" s="324"/>
      <c r="E13" s="324">
        <f>WED!O31</f>
        <v>8</v>
      </c>
      <c r="F13" s="324"/>
      <c r="G13" s="324"/>
      <c r="H13" s="521">
        <f>WED!S32</f>
        <v>1200</v>
      </c>
      <c r="I13" s="522"/>
      <c r="J13" s="522"/>
      <c r="K13" s="523"/>
      <c r="L13" s="524">
        <f>WED!O32</f>
        <v>1</v>
      </c>
      <c r="M13" s="525"/>
      <c r="N13" s="525"/>
      <c r="O13" s="525"/>
      <c r="P13" s="526"/>
      <c r="Q13" s="585"/>
      <c r="R13" s="586"/>
      <c r="S13" s="586"/>
      <c r="T13" s="586"/>
      <c r="U13" s="587"/>
      <c r="V13" s="759"/>
      <c r="W13" s="760"/>
      <c r="X13" s="760"/>
      <c r="Y13" s="760"/>
      <c r="Z13" s="761"/>
      <c r="AA13" s="750"/>
      <c r="AB13" s="751"/>
      <c r="AC13" s="751"/>
      <c r="AD13" s="752"/>
    </row>
    <row r="14" spans="1:30" ht="20.100000000000001" customHeight="1" x14ac:dyDescent="0.3">
      <c r="A14" s="715"/>
      <c r="B14" s="520" t="s">
        <v>45</v>
      </c>
      <c r="C14" s="520"/>
      <c r="D14" s="324"/>
      <c r="E14" s="324">
        <f>WED!P31</f>
        <v>1</v>
      </c>
      <c r="F14" s="324"/>
      <c r="G14" s="324"/>
      <c r="H14" s="521">
        <f>WED!K31</f>
        <v>0</v>
      </c>
      <c r="I14" s="522"/>
      <c r="J14" s="522"/>
      <c r="K14" s="523"/>
      <c r="L14" s="524">
        <f>WED!P32</f>
        <v>0</v>
      </c>
      <c r="M14" s="525"/>
      <c r="N14" s="525"/>
      <c r="O14" s="525"/>
      <c r="P14" s="526"/>
      <c r="Q14" s="585"/>
      <c r="R14" s="586"/>
      <c r="S14" s="586"/>
      <c r="T14" s="586"/>
      <c r="U14" s="587"/>
      <c r="V14" s="759"/>
      <c r="W14" s="760"/>
      <c r="X14" s="760"/>
      <c r="Y14" s="760"/>
      <c r="Z14" s="761"/>
      <c r="AA14" s="750"/>
      <c r="AB14" s="751"/>
      <c r="AC14" s="751"/>
      <c r="AD14" s="752"/>
    </row>
    <row r="15" spans="1:30" ht="20.100000000000001" customHeight="1" x14ac:dyDescent="0.3">
      <c r="A15" s="715"/>
      <c r="B15" s="537" t="s">
        <v>65</v>
      </c>
      <c r="C15" s="538"/>
      <c r="D15" s="520"/>
      <c r="E15" s="537">
        <f>WED!Q31</f>
        <v>0</v>
      </c>
      <c r="F15" s="538"/>
      <c r="G15" s="520"/>
      <c r="H15" s="521">
        <f>WED!J31</f>
        <v>0</v>
      </c>
      <c r="I15" s="522"/>
      <c r="J15" s="522"/>
      <c r="K15" s="523"/>
      <c r="L15" s="524">
        <f>WED!Q32</f>
        <v>0</v>
      </c>
      <c r="M15" s="525"/>
      <c r="N15" s="525"/>
      <c r="O15" s="525"/>
      <c r="P15" s="526"/>
      <c r="Q15" s="588"/>
      <c r="R15" s="589"/>
      <c r="S15" s="589"/>
      <c r="T15" s="589"/>
      <c r="U15" s="590"/>
      <c r="V15" s="762"/>
      <c r="W15" s="763"/>
      <c r="X15" s="763"/>
      <c r="Y15" s="763"/>
      <c r="Z15" s="764"/>
      <c r="AA15" s="753"/>
      <c r="AB15" s="754"/>
      <c r="AC15" s="754"/>
      <c r="AD15" s="755"/>
    </row>
    <row r="16" spans="1:30" ht="20.100000000000001" customHeight="1" x14ac:dyDescent="0.3">
      <c r="A16" s="716"/>
      <c r="B16" s="537" t="s">
        <v>94</v>
      </c>
      <c r="C16" s="538"/>
      <c r="D16" s="520"/>
      <c r="E16" s="537">
        <f>WED!U16</f>
        <v>49.75</v>
      </c>
      <c r="F16" s="538"/>
      <c r="G16" s="520"/>
      <c r="H16" s="521" t="s">
        <v>95</v>
      </c>
      <c r="I16" s="522"/>
      <c r="J16" s="522"/>
      <c r="K16" s="523"/>
      <c r="L16" s="540">
        <f>WED!T2</f>
        <v>7</v>
      </c>
      <c r="M16" s="541"/>
      <c r="N16" s="541"/>
      <c r="O16" s="541"/>
      <c r="P16" s="542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17" t="s">
        <v>69</v>
      </c>
      <c r="B17" s="484" t="s">
        <v>57</v>
      </c>
      <c r="C17" s="484"/>
      <c r="D17" s="531"/>
      <c r="E17" s="531">
        <f>THU!N31</f>
        <v>2</v>
      </c>
      <c r="F17" s="531"/>
      <c r="G17" s="531"/>
      <c r="H17" s="539">
        <f>THU!S31</f>
        <v>350</v>
      </c>
      <c r="I17" s="539"/>
      <c r="J17" s="539"/>
      <c r="K17" s="539"/>
      <c r="L17" s="530">
        <f>THU!N32</f>
        <v>0.18733608092918697</v>
      </c>
      <c r="M17" s="530"/>
      <c r="N17" s="530"/>
      <c r="O17" s="530"/>
      <c r="P17" s="530"/>
      <c r="Q17" s="612">
        <f>SUM(E17:G20)</f>
        <v>13</v>
      </c>
      <c r="R17" s="613"/>
      <c r="S17" s="613"/>
      <c r="T17" s="613"/>
      <c r="U17" s="614"/>
      <c r="V17" s="556">
        <f>SUM(H17,H18,H20)</f>
        <v>1810</v>
      </c>
      <c r="W17" s="557"/>
      <c r="X17" s="557"/>
      <c r="Y17" s="557"/>
      <c r="Z17" s="558"/>
      <c r="AA17" s="547">
        <f>V17/Q17</f>
        <v>139.23076923076923</v>
      </c>
      <c r="AB17" s="548"/>
      <c r="AC17" s="548"/>
      <c r="AD17" s="549"/>
    </row>
    <row r="18" spans="1:30" ht="20.100000000000001" customHeight="1" x14ac:dyDescent="0.3">
      <c r="A18" s="718"/>
      <c r="B18" s="484" t="s">
        <v>58</v>
      </c>
      <c r="C18" s="484"/>
      <c r="D18" s="531"/>
      <c r="E18" s="531">
        <f>THU!O31</f>
        <v>9</v>
      </c>
      <c r="F18" s="531"/>
      <c r="G18" s="531"/>
      <c r="H18" s="539">
        <f>THU!S32</f>
        <v>1350</v>
      </c>
      <c r="I18" s="539"/>
      <c r="J18" s="539"/>
      <c r="K18" s="539"/>
      <c r="L18" s="530">
        <f>THU!O32</f>
        <v>0.72258202644114977</v>
      </c>
      <c r="M18" s="530"/>
      <c r="N18" s="530"/>
      <c r="O18" s="530"/>
      <c r="P18" s="530"/>
      <c r="Q18" s="615"/>
      <c r="R18" s="616"/>
      <c r="S18" s="616"/>
      <c r="T18" s="616"/>
      <c r="U18" s="617"/>
      <c r="V18" s="559"/>
      <c r="W18" s="560"/>
      <c r="X18" s="560"/>
      <c r="Y18" s="560"/>
      <c r="Z18" s="561"/>
      <c r="AA18" s="550"/>
      <c r="AB18" s="551"/>
      <c r="AC18" s="551"/>
      <c r="AD18" s="552"/>
    </row>
    <row r="19" spans="1:30" ht="20.100000000000001" customHeight="1" x14ac:dyDescent="0.3">
      <c r="A19" s="718"/>
      <c r="B19" s="484" t="s">
        <v>45</v>
      </c>
      <c r="C19" s="484"/>
      <c r="D19" s="531"/>
      <c r="E19" s="531">
        <f>THU!P31</f>
        <v>1</v>
      </c>
      <c r="F19" s="531"/>
      <c r="G19" s="531"/>
      <c r="H19" s="539">
        <f>THU!K31</f>
        <v>58.3</v>
      </c>
      <c r="I19" s="539"/>
      <c r="J19" s="539"/>
      <c r="K19" s="539"/>
      <c r="L19" s="530">
        <f>THU!P32</f>
        <v>3.1204838623347428E-2</v>
      </c>
      <c r="M19" s="530"/>
      <c r="N19" s="530"/>
      <c r="O19" s="530"/>
      <c r="P19" s="530"/>
      <c r="Q19" s="615"/>
      <c r="R19" s="616"/>
      <c r="S19" s="616"/>
      <c r="T19" s="616"/>
      <c r="U19" s="617"/>
      <c r="V19" s="559"/>
      <c r="W19" s="560"/>
      <c r="X19" s="560"/>
      <c r="Y19" s="560"/>
      <c r="Z19" s="561"/>
      <c r="AA19" s="550"/>
      <c r="AB19" s="551"/>
      <c r="AC19" s="551"/>
      <c r="AD19" s="552"/>
    </row>
    <row r="20" spans="1:30" ht="20.100000000000001" customHeight="1" x14ac:dyDescent="0.3">
      <c r="A20" s="718"/>
      <c r="B20" s="482" t="s">
        <v>65</v>
      </c>
      <c r="C20" s="483"/>
      <c r="D20" s="484"/>
      <c r="E20" s="482">
        <f>THU!Q31</f>
        <v>1</v>
      </c>
      <c r="F20" s="483"/>
      <c r="G20" s="484"/>
      <c r="H20" s="476">
        <f>THU!J31</f>
        <v>110</v>
      </c>
      <c r="I20" s="477"/>
      <c r="J20" s="477"/>
      <c r="K20" s="478"/>
      <c r="L20" s="532">
        <f>THU!Q32</f>
        <v>5.8877054006315904E-2</v>
      </c>
      <c r="M20" s="533"/>
      <c r="N20" s="533"/>
      <c r="O20" s="533"/>
      <c r="P20" s="534"/>
      <c r="Q20" s="618"/>
      <c r="R20" s="619"/>
      <c r="S20" s="619"/>
      <c r="T20" s="619"/>
      <c r="U20" s="620"/>
      <c r="V20" s="562"/>
      <c r="W20" s="563"/>
      <c r="X20" s="563"/>
      <c r="Y20" s="563"/>
      <c r="Z20" s="564"/>
      <c r="AA20" s="553"/>
      <c r="AB20" s="554"/>
      <c r="AC20" s="554"/>
      <c r="AD20" s="555"/>
    </row>
    <row r="21" spans="1:30" ht="20.100000000000001" customHeight="1" x14ac:dyDescent="0.3">
      <c r="A21" s="719"/>
      <c r="B21" s="482" t="s">
        <v>94</v>
      </c>
      <c r="C21" s="483"/>
      <c r="D21" s="484"/>
      <c r="E21" s="482">
        <f>THU!U16</f>
        <v>48.500000000000007</v>
      </c>
      <c r="F21" s="483"/>
      <c r="G21" s="484"/>
      <c r="H21" s="476" t="s">
        <v>95</v>
      </c>
      <c r="I21" s="477"/>
      <c r="J21" s="477"/>
      <c r="K21" s="478"/>
      <c r="L21" s="441">
        <f>THU!T2</f>
        <v>6</v>
      </c>
      <c r="M21" s="442"/>
      <c r="N21" s="442"/>
      <c r="O21" s="442"/>
      <c r="P21" s="443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20" t="s">
        <v>93</v>
      </c>
      <c r="B22" s="439" t="s">
        <v>57</v>
      </c>
      <c r="C22" s="439"/>
      <c r="D22" s="440"/>
      <c r="E22" s="440">
        <f>FRI!N31</f>
        <v>0</v>
      </c>
      <c r="F22" s="440"/>
      <c r="G22" s="440"/>
      <c r="H22" s="515">
        <f>FRI!S31</f>
        <v>0</v>
      </c>
      <c r="I22" s="515"/>
      <c r="J22" s="515"/>
      <c r="K22" s="515"/>
      <c r="L22" s="516">
        <f>FRI!N32</f>
        <v>0</v>
      </c>
      <c r="M22" s="516"/>
      <c r="N22" s="516"/>
      <c r="O22" s="516"/>
      <c r="P22" s="516"/>
      <c r="Q22" s="494">
        <f>SUM(E22:G25)</f>
        <v>5</v>
      </c>
      <c r="R22" s="495"/>
      <c r="S22" s="495"/>
      <c r="T22" s="495"/>
      <c r="U22" s="496"/>
      <c r="V22" s="503">
        <f>SUM(H22,H23,H25)</f>
        <v>610</v>
      </c>
      <c r="W22" s="504"/>
      <c r="X22" s="504"/>
      <c r="Y22" s="504"/>
      <c r="Z22" s="505"/>
      <c r="AA22" s="447">
        <f>V22/Q22</f>
        <v>122</v>
      </c>
      <c r="AB22" s="448"/>
      <c r="AC22" s="448"/>
      <c r="AD22" s="449"/>
    </row>
    <row r="23" spans="1:30" ht="20.100000000000001" customHeight="1" x14ac:dyDescent="0.3">
      <c r="A23" s="721"/>
      <c r="B23" s="439" t="s">
        <v>58</v>
      </c>
      <c r="C23" s="439"/>
      <c r="D23" s="440"/>
      <c r="E23" s="440">
        <f>FRI!O31</f>
        <v>5</v>
      </c>
      <c r="F23" s="440"/>
      <c r="G23" s="440"/>
      <c r="H23" s="515">
        <f>FRI!S32</f>
        <v>610</v>
      </c>
      <c r="I23" s="515"/>
      <c r="J23" s="515"/>
      <c r="K23" s="515"/>
      <c r="L23" s="516">
        <f>FRI!O32</f>
        <v>1</v>
      </c>
      <c r="M23" s="516"/>
      <c r="N23" s="516"/>
      <c r="O23" s="516"/>
      <c r="P23" s="516"/>
      <c r="Q23" s="497"/>
      <c r="R23" s="498"/>
      <c r="S23" s="498"/>
      <c r="T23" s="498"/>
      <c r="U23" s="499"/>
      <c r="V23" s="506"/>
      <c r="W23" s="507"/>
      <c r="X23" s="507"/>
      <c r="Y23" s="507"/>
      <c r="Z23" s="508"/>
      <c r="AA23" s="450"/>
      <c r="AB23" s="451"/>
      <c r="AC23" s="451"/>
      <c r="AD23" s="452"/>
    </row>
    <row r="24" spans="1:30" ht="20.100000000000001" customHeight="1" x14ac:dyDescent="0.3">
      <c r="A24" s="721"/>
      <c r="B24" s="439" t="s">
        <v>45</v>
      </c>
      <c r="C24" s="439"/>
      <c r="D24" s="440"/>
      <c r="E24" s="440">
        <f>FRI!P31</f>
        <v>0</v>
      </c>
      <c r="F24" s="440"/>
      <c r="G24" s="440"/>
      <c r="H24" s="515">
        <f>FRI!K31</f>
        <v>0</v>
      </c>
      <c r="I24" s="515"/>
      <c r="J24" s="515"/>
      <c r="K24" s="515"/>
      <c r="L24" s="516">
        <f>FRI!P32</f>
        <v>0</v>
      </c>
      <c r="M24" s="516"/>
      <c r="N24" s="516"/>
      <c r="O24" s="516"/>
      <c r="P24" s="516"/>
      <c r="Q24" s="497"/>
      <c r="R24" s="498"/>
      <c r="S24" s="498"/>
      <c r="T24" s="498"/>
      <c r="U24" s="499"/>
      <c r="V24" s="506"/>
      <c r="W24" s="507"/>
      <c r="X24" s="507"/>
      <c r="Y24" s="507"/>
      <c r="Z24" s="508"/>
      <c r="AA24" s="450"/>
      <c r="AB24" s="451"/>
      <c r="AC24" s="451"/>
      <c r="AD24" s="452"/>
    </row>
    <row r="25" spans="1:30" ht="20.100000000000001" customHeight="1" x14ac:dyDescent="0.3">
      <c r="A25" s="721"/>
      <c r="B25" s="485" t="s">
        <v>65</v>
      </c>
      <c r="C25" s="486"/>
      <c r="D25" s="439"/>
      <c r="E25" s="485">
        <f>FRI!Q31</f>
        <v>0</v>
      </c>
      <c r="F25" s="486"/>
      <c r="G25" s="439"/>
      <c r="H25" s="479">
        <f>FRI!J31</f>
        <v>0</v>
      </c>
      <c r="I25" s="480"/>
      <c r="J25" s="480"/>
      <c r="K25" s="481"/>
      <c r="L25" s="491">
        <f>FRI!Q32</f>
        <v>0</v>
      </c>
      <c r="M25" s="492"/>
      <c r="N25" s="492"/>
      <c r="O25" s="492"/>
      <c r="P25" s="493"/>
      <c r="Q25" s="500"/>
      <c r="R25" s="501"/>
      <c r="S25" s="501"/>
      <c r="T25" s="501"/>
      <c r="U25" s="502"/>
      <c r="V25" s="509"/>
      <c r="W25" s="510"/>
      <c r="X25" s="510"/>
      <c r="Y25" s="510"/>
      <c r="Z25" s="511"/>
      <c r="AA25" s="453"/>
      <c r="AB25" s="454"/>
      <c r="AC25" s="454"/>
      <c r="AD25" s="455"/>
    </row>
    <row r="26" spans="1:30" ht="20.100000000000001" customHeight="1" x14ac:dyDescent="0.3">
      <c r="A26" s="722"/>
      <c r="B26" s="485" t="s">
        <v>94</v>
      </c>
      <c r="C26" s="486"/>
      <c r="D26" s="439"/>
      <c r="E26" s="485">
        <f>FRI!U16</f>
        <v>36</v>
      </c>
      <c r="F26" s="486"/>
      <c r="G26" s="439"/>
      <c r="H26" s="479" t="s">
        <v>95</v>
      </c>
      <c r="I26" s="480"/>
      <c r="J26" s="480"/>
      <c r="K26" s="481"/>
      <c r="L26" s="444">
        <f>FRI!T2</f>
        <v>6</v>
      </c>
      <c r="M26" s="445"/>
      <c r="N26" s="445"/>
      <c r="O26" s="445"/>
      <c r="P26" s="446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23" t="s">
        <v>70</v>
      </c>
      <c r="B27" s="489" t="s">
        <v>57</v>
      </c>
      <c r="C27" s="489"/>
      <c r="D27" s="474"/>
      <c r="E27" s="474">
        <f>SAT!N31</f>
        <v>3</v>
      </c>
      <c r="F27" s="474"/>
      <c r="G27" s="474"/>
      <c r="H27" s="475">
        <f>SAT!S31</f>
        <v>390</v>
      </c>
      <c r="I27" s="475"/>
      <c r="J27" s="475"/>
      <c r="K27" s="475"/>
      <c r="L27" s="490">
        <f>SAT!N32</f>
        <v>0.15053846450766203</v>
      </c>
      <c r="M27" s="490"/>
      <c r="N27" s="490"/>
      <c r="O27" s="490"/>
      <c r="P27" s="490"/>
      <c r="Q27" s="591">
        <f>SUM(E27:G30)</f>
        <v>26</v>
      </c>
      <c r="R27" s="592"/>
      <c r="S27" s="592"/>
      <c r="T27" s="592"/>
      <c r="U27" s="593"/>
      <c r="V27" s="465">
        <f>SUM(H27,H28,H30)</f>
        <v>3595</v>
      </c>
      <c r="W27" s="466"/>
      <c r="X27" s="466"/>
      <c r="Y27" s="466"/>
      <c r="Z27" s="467"/>
      <c r="AA27" s="456">
        <f>V27/Q27</f>
        <v>138.26923076923077</v>
      </c>
      <c r="AB27" s="457"/>
      <c r="AC27" s="457"/>
      <c r="AD27" s="458"/>
    </row>
    <row r="28" spans="1:30" ht="20.100000000000001" customHeight="1" x14ac:dyDescent="0.3">
      <c r="A28" s="724"/>
      <c r="B28" s="489" t="s">
        <v>58</v>
      </c>
      <c r="C28" s="489"/>
      <c r="D28" s="474"/>
      <c r="E28" s="474">
        <f>SAT!O31</f>
        <v>17</v>
      </c>
      <c r="F28" s="474"/>
      <c r="G28" s="474"/>
      <c r="H28" s="475">
        <f>SAT!S32</f>
        <v>2985</v>
      </c>
      <c r="I28" s="475"/>
      <c r="J28" s="475"/>
      <c r="K28" s="475"/>
      <c r="L28" s="490">
        <f>SAT!O32</f>
        <v>0.67935307059867989</v>
      </c>
      <c r="M28" s="490"/>
      <c r="N28" s="490"/>
      <c r="O28" s="490"/>
      <c r="P28" s="490"/>
      <c r="Q28" s="594"/>
      <c r="R28" s="595"/>
      <c r="S28" s="595"/>
      <c r="T28" s="595"/>
      <c r="U28" s="596"/>
      <c r="V28" s="468"/>
      <c r="W28" s="469"/>
      <c r="X28" s="469"/>
      <c r="Y28" s="469"/>
      <c r="Z28" s="470"/>
      <c r="AA28" s="459"/>
      <c r="AB28" s="460"/>
      <c r="AC28" s="460"/>
      <c r="AD28" s="461"/>
    </row>
    <row r="29" spans="1:30" ht="20.100000000000001" customHeight="1" x14ac:dyDescent="0.3">
      <c r="A29" s="724"/>
      <c r="B29" s="489" t="s">
        <v>45</v>
      </c>
      <c r="C29" s="489"/>
      <c r="D29" s="474"/>
      <c r="E29" s="474">
        <f>SAT!P31</f>
        <v>4</v>
      </c>
      <c r="F29" s="474"/>
      <c r="G29" s="474"/>
      <c r="H29" s="475">
        <f>SAT!K31</f>
        <v>220.7</v>
      </c>
      <c r="I29" s="475"/>
      <c r="J29" s="475"/>
      <c r="K29" s="475"/>
      <c r="L29" s="490">
        <f>SAT!P32</f>
        <v>8.5189331068823093E-2</v>
      </c>
      <c r="M29" s="490"/>
      <c r="N29" s="490"/>
      <c r="O29" s="490"/>
      <c r="P29" s="490"/>
      <c r="Q29" s="594"/>
      <c r="R29" s="595"/>
      <c r="S29" s="595"/>
      <c r="T29" s="595"/>
      <c r="U29" s="596"/>
      <c r="V29" s="468"/>
      <c r="W29" s="469"/>
      <c r="X29" s="469"/>
      <c r="Y29" s="469"/>
      <c r="Z29" s="470"/>
      <c r="AA29" s="459"/>
      <c r="AB29" s="460"/>
      <c r="AC29" s="460"/>
      <c r="AD29" s="461"/>
    </row>
    <row r="30" spans="1:30" ht="20.100000000000001" customHeight="1" x14ac:dyDescent="0.3">
      <c r="A30" s="724"/>
      <c r="B30" s="487" t="s">
        <v>65</v>
      </c>
      <c r="C30" s="488"/>
      <c r="D30" s="489"/>
      <c r="E30" s="487">
        <f>SAT!Q31</f>
        <v>2</v>
      </c>
      <c r="F30" s="488"/>
      <c r="G30" s="489"/>
      <c r="H30" s="768">
        <f>SAT!J31</f>
        <v>220</v>
      </c>
      <c r="I30" s="769"/>
      <c r="J30" s="769"/>
      <c r="K30" s="770"/>
      <c r="L30" s="600">
        <f>SAT!Q32</f>
        <v>8.4919133824834986E-2</v>
      </c>
      <c r="M30" s="601"/>
      <c r="N30" s="601"/>
      <c r="O30" s="601"/>
      <c r="P30" s="602"/>
      <c r="Q30" s="597"/>
      <c r="R30" s="598"/>
      <c r="S30" s="598"/>
      <c r="T30" s="598"/>
      <c r="U30" s="599"/>
      <c r="V30" s="471"/>
      <c r="W30" s="472"/>
      <c r="X30" s="472"/>
      <c r="Y30" s="472"/>
      <c r="Z30" s="473"/>
      <c r="AA30" s="462"/>
      <c r="AB30" s="463"/>
      <c r="AC30" s="463"/>
      <c r="AD30" s="464"/>
    </row>
    <row r="31" spans="1:30" ht="20.100000000000001" customHeight="1" x14ac:dyDescent="0.3">
      <c r="A31" s="725"/>
      <c r="B31" s="487" t="s">
        <v>94</v>
      </c>
      <c r="C31" s="488"/>
      <c r="D31" s="489"/>
      <c r="E31" s="487">
        <f>SAT!U16</f>
        <v>73.75</v>
      </c>
      <c r="F31" s="488"/>
      <c r="G31" s="489"/>
      <c r="H31" s="768" t="s">
        <v>95</v>
      </c>
      <c r="I31" s="769"/>
      <c r="J31" s="769"/>
      <c r="K31" s="770"/>
      <c r="L31" s="765">
        <f>SAT!T2</f>
        <v>9</v>
      </c>
      <c r="M31" s="766"/>
      <c r="N31" s="766"/>
      <c r="O31" s="766"/>
      <c r="P31" s="767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26" t="s">
        <v>71</v>
      </c>
      <c r="B32" s="410" t="s">
        <v>57</v>
      </c>
      <c r="C32" s="411"/>
      <c r="D32" s="411"/>
      <c r="E32" s="411">
        <f>SUN!N31</f>
        <v>7</v>
      </c>
      <c r="F32" s="411"/>
      <c r="G32" s="411"/>
      <c r="H32" s="436">
        <f>SUN!S31</f>
        <v>895</v>
      </c>
      <c r="I32" s="436"/>
      <c r="J32" s="436"/>
      <c r="K32" s="436"/>
      <c r="L32" s="437">
        <f>SUN!N32</f>
        <v>0.31468654407369645</v>
      </c>
      <c r="M32" s="437"/>
      <c r="N32" s="437"/>
      <c r="O32" s="437"/>
      <c r="P32" s="437"/>
      <c r="Q32" s="438">
        <f>SUM(E32:G35)</f>
        <v>24</v>
      </c>
      <c r="R32" s="438"/>
      <c r="S32" s="438"/>
      <c r="T32" s="438"/>
      <c r="U32" s="438"/>
      <c r="V32" s="409">
        <f>SUM(H32,H33,H35)</f>
        <v>2640</v>
      </c>
      <c r="W32" s="409"/>
      <c r="X32" s="409"/>
      <c r="Y32" s="409"/>
      <c r="Z32" s="409"/>
      <c r="AA32" s="428">
        <f>V32/Q32</f>
        <v>110</v>
      </c>
      <c r="AB32" s="429"/>
      <c r="AC32" s="429"/>
      <c r="AD32" s="429"/>
    </row>
    <row r="33" spans="1:30" ht="20.100000000000001" customHeight="1" x14ac:dyDescent="0.3">
      <c r="A33" s="727"/>
      <c r="B33" s="410" t="s">
        <v>58</v>
      </c>
      <c r="C33" s="411"/>
      <c r="D33" s="411"/>
      <c r="E33" s="411">
        <f>SUN!O31</f>
        <v>14</v>
      </c>
      <c r="F33" s="411"/>
      <c r="G33" s="411"/>
      <c r="H33" s="436">
        <f>SUN!S32</f>
        <v>1635</v>
      </c>
      <c r="I33" s="436"/>
      <c r="J33" s="436"/>
      <c r="K33" s="436"/>
      <c r="L33" s="437">
        <f>SUN!O32</f>
        <v>0.57487430118490912</v>
      </c>
      <c r="M33" s="437"/>
      <c r="N33" s="437"/>
      <c r="O33" s="437"/>
      <c r="P33" s="437"/>
      <c r="Q33" s="438"/>
      <c r="R33" s="438"/>
      <c r="S33" s="438"/>
      <c r="T33" s="438"/>
      <c r="U33" s="438"/>
      <c r="V33" s="409"/>
      <c r="W33" s="409"/>
      <c r="X33" s="409"/>
      <c r="Y33" s="409"/>
      <c r="Z33" s="409"/>
      <c r="AA33" s="429"/>
      <c r="AB33" s="429"/>
      <c r="AC33" s="429"/>
      <c r="AD33" s="429"/>
    </row>
    <row r="34" spans="1:30" ht="20.100000000000001" customHeight="1" x14ac:dyDescent="0.3">
      <c r="A34" s="727"/>
      <c r="B34" s="410" t="s">
        <v>45</v>
      </c>
      <c r="C34" s="411"/>
      <c r="D34" s="411"/>
      <c r="E34" s="411">
        <f>SUN!P31</f>
        <v>2</v>
      </c>
      <c r="F34" s="411"/>
      <c r="G34" s="411"/>
      <c r="H34" s="436">
        <f>SUN!K31</f>
        <v>204.1</v>
      </c>
      <c r="I34" s="436"/>
      <c r="J34" s="436"/>
      <c r="K34" s="436"/>
      <c r="L34" s="437">
        <f>SUN!P32</f>
        <v>7.1762596251889882E-2</v>
      </c>
      <c r="M34" s="437"/>
      <c r="N34" s="437"/>
      <c r="O34" s="437"/>
      <c r="P34" s="437"/>
      <c r="Q34" s="438"/>
      <c r="R34" s="438"/>
      <c r="S34" s="438"/>
      <c r="T34" s="438"/>
      <c r="U34" s="438"/>
      <c r="V34" s="409"/>
      <c r="W34" s="409"/>
      <c r="X34" s="409"/>
      <c r="Y34" s="409"/>
      <c r="Z34" s="409"/>
      <c r="AA34" s="429"/>
      <c r="AB34" s="429"/>
      <c r="AC34" s="429"/>
      <c r="AD34" s="429"/>
    </row>
    <row r="35" spans="1:30" ht="20.100000000000001" customHeight="1" x14ac:dyDescent="0.3">
      <c r="A35" s="727"/>
      <c r="B35" s="410" t="s">
        <v>65</v>
      </c>
      <c r="C35" s="411"/>
      <c r="D35" s="411"/>
      <c r="E35" s="411">
        <f>SUN!Q31</f>
        <v>1</v>
      </c>
      <c r="F35" s="411"/>
      <c r="G35" s="411"/>
      <c r="H35" s="436">
        <f>SUN!J31</f>
        <v>110</v>
      </c>
      <c r="I35" s="436"/>
      <c r="J35" s="436"/>
      <c r="K35" s="436"/>
      <c r="L35" s="437">
        <f>SUN!Q32</f>
        <v>3.8676558489504589E-2</v>
      </c>
      <c r="M35" s="437"/>
      <c r="N35" s="437"/>
      <c r="O35" s="437"/>
      <c r="P35" s="437"/>
      <c r="Q35" s="438"/>
      <c r="R35" s="438"/>
      <c r="S35" s="438"/>
      <c r="T35" s="438"/>
      <c r="U35" s="438"/>
      <c r="V35" s="409"/>
      <c r="W35" s="409"/>
      <c r="X35" s="409"/>
      <c r="Y35" s="409"/>
      <c r="Z35" s="409"/>
      <c r="AA35" s="429"/>
      <c r="AB35" s="429"/>
      <c r="AC35" s="429"/>
      <c r="AD35" s="429"/>
    </row>
    <row r="36" spans="1:30" ht="20.100000000000001" customHeight="1" thickBot="1" x14ac:dyDescent="0.35">
      <c r="A36" s="728"/>
      <c r="B36" s="414" t="s">
        <v>94</v>
      </c>
      <c r="C36" s="415"/>
      <c r="D36" s="416"/>
      <c r="E36" s="414">
        <f>SUN!U16</f>
        <v>62.5</v>
      </c>
      <c r="F36" s="415"/>
      <c r="G36" s="416"/>
      <c r="H36" s="414" t="s">
        <v>95</v>
      </c>
      <c r="I36" s="415"/>
      <c r="J36" s="415"/>
      <c r="K36" s="416"/>
      <c r="L36" s="430">
        <f>SUN!T2</f>
        <v>9</v>
      </c>
      <c r="M36" s="431"/>
      <c r="N36" s="431"/>
      <c r="O36" s="431"/>
      <c r="P36" s="432"/>
      <c r="Q36" s="433"/>
      <c r="R36" s="434"/>
      <c r="S36" s="434"/>
      <c r="T36" s="434"/>
      <c r="U36" s="435"/>
      <c r="V36" s="417"/>
      <c r="W36" s="418"/>
      <c r="X36" s="418"/>
      <c r="Y36" s="418"/>
      <c r="Z36" s="419"/>
      <c r="AA36" s="420"/>
      <c r="AB36" s="421"/>
      <c r="AC36" s="421"/>
      <c r="AD36" s="422"/>
    </row>
    <row r="37" spans="1:30" ht="16.5" customHeight="1" x14ac:dyDescent="0.3">
      <c r="A37" s="400" t="s">
        <v>72</v>
      </c>
      <c r="B37" s="401"/>
      <c r="C37" s="401"/>
      <c r="D37" s="401"/>
      <c r="E37" s="401" t="s">
        <v>73</v>
      </c>
      <c r="F37" s="401"/>
      <c r="G37" s="401"/>
      <c r="H37" s="401"/>
      <c r="I37" s="401"/>
      <c r="J37" s="401"/>
      <c r="K37" s="401" t="s">
        <v>74</v>
      </c>
      <c r="L37" s="401"/>
      <c r="M37" s="401"/>
      <c r="N37" s="401"/>
      <c r="O37" s="401" t="s">
        <v>65</v>
      </c>
      <c r="P37" s="401"/>
      <c r="Q37" s="401"/>
      <c r="R37" s="401"/>
      <c r="S37" s="401"/>
      <c r="T37" s="401" t="s">
        <v>75</v>
      </c>
      <c r="U37" s="401"/>
      <c r="V37" s="401"/>
      <c r="W37" s="401"/>
      <c r="X37" s="401"/>
      <c r="Y37" s="401" t="s">
        <v>76</v>
      </c>
      <c r="Z37" s="401"/>
      <c r="AA37" s="401"/>
      <c r="AB37" s="401"/>
      <c r="AC37" s="401"/>
      <c r="AD37" s="412"/>
    </row>
    <row r="38" spans="1:30" ht="16.5" customHeight="1" x14ac:dyDescent="0.3">
      <c r="A38" s="402"/>
      <c r="B38" s="403"/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13"/>
    </row>
    <row r="39" spans="1:30" ht="16.5" customHeight="1" x14ac:dyDescent="0.3">
      <c r="A39" s="404">
        <f>SUM(Q2:U35)</f>
        <v>98</v>
      </c>
      <c r="B39" s="405"/>
      <c r="C39" s="405"/>
      <c r="D39" s="405"/>
      <c r="E39" s="408">
        <f>SUM(V2:Z35)</f>
        <v>12740</v>
      </c>
      <c r="F39" s="405"/>
      <c r="G39" s="405"/>
      <c r="H39" s="405"/>
      <c r="I39" s="405"/>
      <c r="J39" s="405"/>
      <c r="K39" s="408">
        <f>E39/A39</f>
        <v>130</v>
      </c>
      <c r="L39" s="405"/>
      <c r="M39" s="405"/>
      <c r="N39" s="405"/>
      <c r="O39" s="405">
        <f>SUM(MON:SUN!Q31)</f>
        <v>7</v>
      </c>
      <c r="P39" s="405"/>
      <c r="Q39" s="405"/>
      <c r="R39" s="405"/>
      <c r="S39" s="405"/>
      <c r="T39" s="405">
        <f>SUM(MON:SUN!P31)</f>
        <v>9</v>
      </c>
      <c r="U39" s="405"/>
      <c r="V39" s="405"/>
      <c r="W39" s="405"/>
      <c r="X39" s="405"/>
      <c r="Y39" s="405">
        <f>SUM(MON:SUN!S19)</f>
        <v>3</v>
      </c>
      <c r="Z39" s="405"/>
      <c r="AA39" s="405"/>
      <c r="AB39" s="405"/>
      <c r="AC39" s="405"/>
      <c r="AD39" s="425"/>
    </row>
    <row r="40" spans="1:30" ht="16.5" customHeight="1" x14ac:dyDescent="0.3">
      <c r="A40" s="404"/>
      <c r="B40" s="405"/>
      <c r="C40" s="405"/>
      <c r="D40" s="405"/>
      <c r="E40" s="405"/>
      <c r="F40" s="405"/>
      <c r="G40" s="405"/>
      <c r="H40" s="405"/>
      <c r="I40" s="405"/>
      <c r="J40" s="405"/>
      <c r="K40" s="405"/>
      <c r="L40" s="405"/>
      <c r="M40" s="405"/>
      <c r="N40" s="405"/>
      <c r="O40" s="405"/>
      <c r="P40" s="405"/>
      <c r="Q40" s="405"/>
      <c r="R40" s="405"/>
      <c r="S40" s="405"/>
      <c r="T40" s="405"/>
      <c r="U40" s="405"/>
      <c r="V40" s="405"/>
      <c r="W40" s="405"/>
      <c r="X40" s="405"/>
      <c r="Y40" s="405"/>
      <c r="Z40" s="405"/>
      <c r="AA40" s="405"/>
      <c r="AB40" s="405"/>
      <c r="AC40" s="405"/>
      <c r="AD40" s="425"/>
    </row>
    <row r="41" spans="1:30" ht="16.5" customHeight="1" x14ac:dyDescent="0.3">
      <c r="A41" s="404"/>
      <c r="B41" s="405"/>
      <c r="C41" s="405"/>
      <c r="D41" s="405"/>
      <c r="E41" s="405"/>
      <c r="F41" s="405"/>
      <c r="G41" s="405"/>
      <c r="H41" s="405"/>
      <c r="I41" s="405"/>
      <c r="J41" s="405"/>
      <c r="K41" s="405"/>
      <c r="L41" s="405"/>
      <c r="M41" s="405"/>
      <c r="N41" s="405"/>
      <c r="O41" s="423">
        <f>SUM(MON:SUN!J31)</f>
        <v>605</v>
      </c>
      <c r="P41" s="423"/>
      <c r="Q41" s="423"/>
      <c r="R41" s="423"/>
      <c r="S41" s="423"/>
      <c r="T41" s="423">
        <f>SUM(MON:SUN!K31)</f>
        <v>541.4</v>
      </c>
      <c r="U41" s="423"/>
      <c r="V41" s="423"/>
      <c r="W41" s="423"/>
      <c r="X41" s="423"/>
      <c r="Y41" s="423">
        <f>SUM(MON:SUN!T19)</f>
        <v>1600</v>
      </c>
      <c r="Z41" s="423"/>
      <c r="AA41" s="423"/>
      <c r="AB41" s="423"/>
      <c r="AC41" s="423"/>
      <c r="AD41" s="426"/>
    </row>
    <row r="42" spans="1:30" ht="16.5" customHeight="1" thickBot="1" x14ac:dyDescent="0.35">
      <c r="A42" s="406"/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24"/>
      <c r="P42" s="424"/>
      <c r="Q42" s="424"/>
      <c r="R42" s="424"/>
      <c r="S42" s="424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7"/>
    </row>
    <row r="43" spans="1:30" ht="17.45" customHeight="1" x14ac:dyDescent="0.3">
      <c r="A43" s="683" t="s">
        <v>84</v>
      </c>
      <c r="B43" s="684"/>
      <c r="C43" s="684"/>
      <c r="D43" s="684"/>
      <c r="E43" s="685"/>
      <c r="F43" s="683" t="s">
        <v>85</v>
      </c>
      <c r="G43" s="684"/>
      <c r="H43" s="684"/>
      <c r="I43" s="684"/>
      <c r="J43" s="685"/>
      <c r="K43" s="683" t="s">
        <v>86</v>
      </c>
      <c r="L43" s="684"/>
      <c r="M43" s="684"/>
      <c r="N43" s="684"/>
      <c r="O43" s="685"/>
      <c r="P43" s="683" t="s">
        <v>87</v>
      </c>
      <c r="Q43" s="684"/>
      <c r="R43" s="684"/>
      <c r="S43" s="684"/>
      <c r="T43" s="685"/>
      <c r="U43" s="683" t="s">
        <v>90</v>
      </c>
      <c r="V43" s="684"/>
      <c r="W43" s="684"/>
      <c r="X43" s="684"/>
      <c r="Y43" s="685"/>
      <c r="Z43" s="689" t="s">
        <v>95</v>
      </c>
      <c r="AA43" s="690"/>
      <c r="AB43" s="690"/>
      <c r="AC43" s="690"/>
      <c r="AD43" s="691"/>
    </row>
    <row r="44" spans="1:30" ht="17.45" customHeight="1" x14ac:dyDescent="0.3">
      <c r="A44" s="686"/>
      <c r="B44" s="687"/>
      <c r="C44" s="687"/>
      <c r="D44" s="687"/>
      <c r="E44" s="688"/>
      <c r="F44" s="686"/>
      <c r="G44" s="687"/>
      <c r="H44" s="687"/>
      <c r="I44" s="687"/>
      <c r="J44" s="688"/>
      <c r="K44" s="686"/>
      <c r="L44" s="687"/>
      <c r="M44" s="687"/>
      <c r="N44" s="687"/>
      <c r="O44" s="688"/>
      <c r="P44" s="686"/>
      <c r="Q44" s="687"/>
      <c r="R44" s="687"/>
      <c r="S44" s="687"/>
      <c r="T44" s="688"/>
      <c r="U44" s="686"/>
      <c r="V44" s="687"/>
      <c r="W44" s="687"/>
      <c r="X44" s="687"/>
      <c r="Y44" s="688"/>
      <c r="Z44" s="692"/>
      <c r="AA44" s="693"/>
      <c r="AB44" s="693"/>
      <c r="AC44" s="693"/>
      <c r="AD44" s="694"/>
    </row>
    <row r="45" spans="1:30" x14ac:dyDescent="0.3">
      <c r="A45" s="695">
        <f>SUM(H2,H7,H12,H17,H22,H27,H32)</f>
        <v>2180</v>
      </c>
      <c r="B45" s="696"/>
      <c r="C45" s="696"/>
      <c r="D45" s="696"/>
      <c r="E45" s="697"/>
      <c r="F45" s="695">
        <f>SUM(,H3,H8,H13,H18,H23,H28,H33)</f>
        <v>9955</v>
      </c>
      <c r="G45" s="696"/>
      <c r="H45" s="696"/>
      <c r="I45" s="696"/>
      <c r="J45" s="697"/>
      <c r="K45" s="695">
        <f>SUM(H5,H10,H15,H20,H25,H30,H35)</f>
        <v>605</v>
      </c>
      <c r="L45" s="696"/>
      <c r="M45" s="696"/>
      <c r="N45" s="696"/>
      <c r="O45" s="697"/>
      <c r="P45" s="695">
        <f>SUM(H4,H9,H14,H19,H24,H29,H34)</f>
        <v>541.4</v>
      </c>
      <c r="Q45" s="696"/>
      <c r="R45" s="696"/>
      <c r="S45" s="696"/>
      <c r="T45" s="697"/>
      <c r="U45" s="704">
        <f>SUM(E6,E11,E16,E21,E26,E31,E36)</f>
        <v>356.25</v>
      </c>
      <c r="V45" s="696"/>
      <c r="W45" s="696"/>
      <c r="X45" s="696"/>
      <c r="Y45" s="697"/>
      <c r="Z45" s="704">
        <f>SUM(L6,L11,L16,L21,L26,L31,L36)</f>
        <v>50</v>
      </c>
      <c r="AA45" s="696"/>
      <c r="AB45" s="696"/>
      <c r="AC45" s="696"/>
      <c r="AD45" s="705"/>
    </row>
    <row r="46" spans="1:30" x14ac:dyDescent="0.3">
      <c r="A46" s="698"/>
      <c r="B46" s="699"/>
      <c r="C46" s="699"/>
      <c r="D46" s="699"/>
      <c r="E46" s="700"/>
      <c r="F46" s="698"/>
      <c r="G46" s="699"/>
      <c r="H46" s="699"/>
      <c r="I46" s="699"/>
      <c r="J46" s="700"/>
      <c r="K46" s="698"/>
      <c r="L46" s="699"/>
      <c r="M46" s="699"/>
      <c r="N46" s="699"/>
      <c r="O46" s="700"/>
      <c r="P46" s="698"/>
      <c r="Q46" s="699"/>
      <c r="R46" s="699"/>
      <c r="S46" s="699"/>
      <c r="T46" s="700"/>
      <c r="U46" s="698"/>
      <c r="V46" s="699"/>
      <c r="W46" s="699"/>
      <c r="X46" s="699"/>
      <c r="Y46" s="700"/>
      <c r="Z46" s="698"/>
      <c r="AA46" s="699"/>
      <c r="AB46" s="699"/>
      <c r="AC46" s="699"/>
      <c r="AD46" s="706"/>
    </row>
    <row r="47" spans="1:30" x14ac:dyDescent="0.3">
      <c r="A47" s="698"/>
      <c r="B47" s="699"/>
      <c r="C47" s="699"/>
      <c r="D47" s="699"/>
      <c r="E47" s="700"/>
      <c r="F47" s="698"/>
      <c r="G47" s="699"/>
      <c r="H47" s="699"/>
      <c r="I47" s="699"/>
      <c r="J47" s="700"/>
      <c r="K47" s="698"/>
      <c r="L47" s="699"/>
      <c r="M47" s="699"/>
      <c r="N47" s="699"/>
      <c r="O47" s="700"/>
      <c r="P47" s="698"/>
      <c r="Q47" s="699"/>
      <c r="R47" s="699"/>
      <c r="S47" s="699"/>
      <c r="T47" s="700"/>
      <c r="U47" s="698"/>
      <c r="V47" s="699"/>
      <c r="W47" s="699"/>
      <c r="X47" s="699"/>
      <c r="Y47" s="700"/>
      <c r="Z47" s="698"/>
      <c r="AA47" s="699"/>
      <c r="AB47" s="699"/>
      <c r="AC47" s="699"/>
      <c r="AD47" s="706"/>
    </row>
    <row r="48" spans="1:30" ht="17.25" thickBot="1" x14ac:dyDescent="0.35">
      <c r="A48" s="701"/>
      <c r="B48" s="702"/>
      <c r="C48" s="702"/>
      <c r="D48" s="702"/>
      <c r="E48" s="703"/>
      <c r="F48" s="701"/>
      <c r="G48" s="702"/>
      <c r="H48" s="702"/>
      <c r="I48" s="702"/>
      <c r="J48" s="703"/>
      <c r="K48" s="701"/>
      <c r="L48" s="702"/>
      <c r="M48" s="702"/>
      <c r="N48" s="702"/>
      <c r="O48" s="703"/>
      <c r="P48" s="701"/>
      <c r="Q48" s="702"/>
      <c r="R48" s="702"/>
      <c r="S48" s="702"/>
      <c r="T48" s="703"/>
      <c r="U48" s="701"/>
      <c r="V48" s="702"/>
      <c r="W48" s="702"/>
      <c r="X48" s="702"/>
      <c r="Y48" s="703"/>
      <c r="Z48" s="701"/>
      <c r="AA48" s="702"/>
      <c r="AB48" s="702"/>
      <c r="AC48" s="702"/>
      <c r="AD48" s="707"/>
    </row>
    <row r="49" spans="1:30" ht="17.45" customHeight="1" x14ac:dyDescent="0.3">
      <c r="A49" s="665">
        <f>A45/E39</f>
        <v>0.17111459968602827</v>
      </c>
      <c r="B49" s="666"/>
      <c r="C49" s="666"/>
      <c r="D49" s="666"/>
      <c r="E49" s="667"/>
      <c r="F49" s="665">
        <f>F45/E39</f>
        <v>0.7813971742543171</v>
      </c>
      <c r="G49" s="666"/>
      <c r="H49" s="666"/>
      <c r="I49" s="666"/>
      <c r="J49" s="667"/>
      <c r="K49" s="665">
        <f>K45/E39</f>
        <v>4.748822605965463E-2</v>
      </c>
      <c r="L49" s="666"/>
      <c r="M49" s="666"/>
      <c r="N49" s="666"/>
      <c r="O49" s="667"/>
      <c r="P49" s="665">
        <f>P45/E39</f>
        <v>4.2496075353218206E-2</v>
      </c>
      <c r="Q49" s="666"/>
      <c r="R49" s="666"/>
      <c r="S49" s="666"/>
      <c r="T49" s="667"/>
      <c r="U49" s="674">
        <f>U45/7</f>
        <v>50.892857142857146</v>
      </c>
      <c r="V49" s="675"/>
      <c r="W49" s="675"/>
      <c r="X49" s="675"/>
      <c r="Y49" s="676"/>
      <c r="Z49" s="674">
        <f>U45/Z45</f>
        <v>7.125</v>
      </c>
      <c r="AA49" s="675"/>
      <c r="AB49" s="675"/>
      <c r="AC49" s="675"/>
      <c r="AD49" s="676"/>
    </row>
    <row r="50" spans="1:30" ht="17.45" customHeight="1" x14ac:dyDescent="0.3">
      <c r="A50" s="668"/>
      <c r="B50" s="669"/>
      <c r="C50" s="669"/>
      <c r="D50" s="669"/>
      <c r="E50" s="670"/>
      <c r="F50" s="668"/>
      <c r="G50" s="669"/>
      <c r="H50" s="669"/>
      <c r="I50" s="669"/>
      <c r="J50" s="670"/>
      <c r="K50" s="668"/>
      <c r="L50" s="669"/>
      <c r="M50" s="669"/>
      <c r="N50" s="669"/>
      <c r="O50" s="670"/>
      <c r="P50" s="668"/>
      <c r="Q50" s="669"/>
      <c r="R50" s="669"/>
      <c r="S50" s="669"/>
      <c r="T50" s="670"/>
      <c r="U50" s="677"/>
      <c r="V50" s="678"/>
      <c r="W50" s="678"/>
      <c r="X50" s="678"/>
      <c r="Y50" s="679"/>
      <c r="Z50" s="677"/>
      <c r="AA50" s="678"/>
      <c r="AB50" s="678"/>
      <c r="AC50" s="678"/>
      <c r="AD50" s="679"/>
    </row>
    <row r="51" spans="1:30" ht="17.45" customHeight="1" x14ac:dyDescent="0.3">
      <c r="A51" s="668"/>
      <c r="B51" s="669"/>
      <c r="C51" s="669"/>
      <c r="D51" s="669"/>
      <c r="E51" s="670"/>
      <c r="F51" s="668"/>
      <c r="G51" s="669"/>
      <c r="H51" s="669"/>
      <c r="I51" s="669"/>
      <c r="J51" s="670"/>
      <c r="K51" s="668"/>
      <c r="L51" s="669"/>
      <c r="M51" s="669"/>
      <c r="N51" s="669"/>
      <c r="O51" s="670"/>
      <c r="P51" s="668"/>
      <c r="Q51" s="669"/>
      <c r="R51" s="669"/>
      <c r="S51" s="669"/>
      <c r="T51" s="670"/>
      <c r="U51" s="677"/>
      <c r="V51" s="678"/>
      <c r="W51" s="678"/>
      <c r="X51" s="678"/>
      <c r="Y51" s="679"/>
      <c r="Z51" s="677"/>
      <c r="AA51" s="678"/>
      <c r="AB51" s="678"/>
      <c r="AC51" s="678"/>
      <c r="AD51" s="679"/>
    </row>
    <row r="52" spans="1:30" ht="18" customHeight="1" thickBot="1" x14ac:dyDescent="0.35">
      <c r="A52" s="671"/>
      <c r="B52" s="672"/>
      <c r="C52" s="672"/>
      <c r="D52" s="672"/>
      <c r="E52" s="673"/>
      <c r="F52" s="671"/>
      <c r="G52" s="672"/>
      <c r="H52" s="672"/>
      <c r="I52" s="672"/>
      <c r="J52" s="673"/>
      <c r="K52" s="671"/>
      <c r="L52" s="672"/>
      <c r="M52" s="672"/>
      <c r="N52" s="672"/>
      <c r="O52" s="673"/>
      <c r="P52" s="671"/>
      <c r="Q52" s="672"/>
      <c r="R52" s="672"/>
      <c r="S52" s="672"/>
      <c r="T52" s="673"/>
      <c r="U52" s="680"/>
      <c r="V52" s="681"/>
      <c r="W52" s="681"/>
      <c r="X52" s="681"/>
      <c r="Y52" s="682"/>
      <c r="Z52" s="680"/>
      <c r="AA52" s="681"/>
      <c r="AB52" s="681"/>
      <c r="AC52" s="681"/>
      <c r="AD52" s="682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D865B40B-01A3-4A19-95EB-C5E5C1B59435}"/>
</file>

<file path=customXml/itemProps2.xml><?xml version="1.0" encoding="utf-8"?>
<ds:datastoreItem xmlns:ds="http://schemas.openxmlformats.org/officeDocument/2006/customXml" ds:itemID="{76918057-93E7-41DC-85FB-417B55679D2D}"/>
</file>

<file path=customXml/itemProps3.xml><?xml version="1.0" encoding="utf-8"?>
<ds:datastoreItem xmlns:ds="http://schemas.openxmlformats.org/officeDocument/2006/customXml" ds:itemID="{AFF62353-8201-4D49-8B36-EC8600563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2022-04-07T02:44:25Z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