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393E8B15-EAC4-4BDC-8C49-513A6D707B7E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J18" i="2"/>
  <c r="K17" i="2"/>
  <c r="J17" i="2"/>
  <c r="K16" i="2"/>
  <c r="J16" i="2"/>
  <c r="U15" i="2"/>
  <c r="K15" i="2"/>
  <c r="J15" i="2"/>
  <c r="U14" i="2"/>
  <c r="K14" i="2"/>
  <c r="J14" i="2"/>
  <c r="U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2" i="7"/>
  <c r="J11" i="7"/>
  <c r="J10" i="7"/>
  <c r="J9" i="7"/>
  <c r="J8" i="7"/>
  <c r="J7" i="7"/>
  <c r="J6" i="7"/>
  <c r="J5" i="7"/>
  <c r="T19" i="7"/>
  <c r="S19" i="7"/>
  <c r="K24" i="7"/>
  <c r="K30" i="2" l="1"/>
  <c r="K31" i="2" s="1"/>
  <c r="H34" i="8" s="1"/>
  <c r="J30" i="2"/>
  <c r="J31" i="2" s="1"/>
  <c r="U16" i="2"/>
  <c r="S16" i="2" s="1"/>
  <c r="U16" i="1"/>
  <c r="S16" i="1" s="1"/>
  <c r="K30" i="1"/>
  <c r="K31" i="1" s="1"/>
  <c r="J30" i="1"/>
  <c r="J31" i="1" s="1"/>
  <c r="J30" i="3"/>
  <c r="J31" i="3" s="1"/>
  <c r="K30" i="3"/>
  <c r="K31" i="3" s="1"/>
  <c r="U16" i="3"/>
  <c r="E26" i="8" s="1"/>
  <c r="K30" i="4"/>
  <c r="K31" i="4" s="1"/>
  <c r="J30" i="4"/>
  <c r="J31" i="4" s="1"/>
  <c r="U16" i="4"/>
  <c r="R16" i="4" s="1"/>
  <c r="J30" i="5"/>
  <c r="J31" i="5" s="1"/>
  <c r="K30" i="5"/>
  <c r="K31" i="5" s="1"/>
  <c r="U16" i="5"/>
  <c r="S16" i="5" s="1"/>
  <c r="J30" i="6"/>
  <c r="J31" i="6" s="1"/>
  <c r="K30" i="6"/>
  <c r="K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T31" i="1"/>
  <c r="AD25" i="3"/>
  <c r="AI25" i="3"/>
  <c r="S16" i="3"/>
  <c r="R16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27" i="8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R16" i="2"/>
  <c r="E36" i="8"/>
  <c r="E31" i="8"/>
  <c r="R16" i="1"/>
  <c r="C32" i="1"/>
  <c r="O32" i="1" s="1"/>
  <c r="C32" i="3"/>
  <c r="O32" i="3" s="1"/>
  <c r="C32" i="4"/>
  <c r="P32" i="4" s="1"/>
  <c r="S16" i="4"/>
  <c r="R16" i="5"/>
  <c r="C32" i="5"/>
  <c r="P32" i="5" s="1"/>
  <c r="R16" i="6"/>
  <c r="S16" i="6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Q32" i="2" l="1"/>
  <c r="L35" i="8" s="1"/>
  <c r="T16" i="2"/>
  <c r="P32" i="2"/>
  <c r="L34" i="8" s="1"/>
  <c r="K32" i="2"/>
  <c r="N32" i="2"/>
  <c r="L32" i="8" s="1"/>
  <c r="U25" i="2"/>
  <c r="Q32" i="1"/>
  <c r="K32" i="1"/>
  <c r="P32" i="1"/>
  <c r="U25" i="1"/>
  <c r="N32" i="1"/>
  <c r="T16" i="1"/>
  <c r="P32" i="3"/>
  <c r="L24" i="8" s="1"/>
  <c r="K32" i="3"/>
  <c r="N32" i="3"/>
  <c r="L22" i="8" s="1"/>
  <c r="T16" i="3"/>
  <c r="Q32" i="3"/>
  <c r="L25" i="8" s="1"/>
  <c r="U25" i="3"/>
  <c r="N32" i="4"/>
  <c r="T16" i="4"/>
  <c r="K32" i="4"/>
  <c r="Q32" i="4"/>
  <c r="O32" i="4"/>
  <c r="U25" i="4"/>
  <c r="N32" i="5"/>
  <c r="T16" i="5"/>
  <c r="U25" i="5"/>
  <c r="Q32" i="5"/>
  <c r="K32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<sst xmlns="http://schemas.openxmlformats.org/spreadsheetml/2006/main" count="1554" uniqueCount="336">
  <si>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</si>
  <si>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</si>
  <si>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</si>
  <si>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</si>
  <si>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</si>
  <si>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</si>
  <si>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</si>
  <si>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</si>
  <si>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</si>
  <si>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</si>
  <si>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</si>
  <si>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</si>
  <si>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</si>
  <si>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</si>
  <si>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</si>
  <si>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</si>
  <si>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</si>
  <si>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</si>
  <si>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</si>
  <si>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</si>
  <si>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</si>
  <si>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</si>
  <si>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</si>
  <si>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</si>
  <si>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</si>
  <si>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</si>
  <si>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</si>
  <si>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</si>
  <si>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</si>
  <si>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</si>
  <si>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</si>
  <si>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</si>
  <si>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</si>
  <si>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</si>
  <si>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</si>
  <si>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</si>
  <si>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</si>
  <si>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</si>
  <si>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</si>
  <si>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</si>
  <si>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</si>
  <si>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</si>
  <si>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</si>
  <si>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</si>
  <si>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</si>
  <si>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</si>
  <si>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</si>
  <si>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</si>
  <si>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</si>
  <si>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</si>
  <si>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</si>
  <si>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</si>
  <si>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</si>
  <si>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</si>
  <si>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</si>
  <si>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</si>
  <si>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</si>
  <si>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</si>
  <si>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</si>
  <si>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</si>
  <si>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</si>
  <si>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</si>
  <si>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</si>
  <si>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</si>
  <si>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</si>
  <si>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</si>
  <si>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</si>
  <si>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</si>
  <si>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</si>
  <si>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</si>
  <si>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</si>
  <si>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</si>
  <si>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</si>
  <si>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</si>
  <si>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</si>
  <si>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</si>
  <si>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</si>
  <si>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</si>
  <si>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</si>
  <si>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</si>
  <si>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</si>
  <si>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</si>
  <si>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</si>
  <si>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</si>
  <si>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</si>
  <si>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</si>
  <si>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</si>
  <si>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</si>
  <si>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</si>
  <si>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</si>
  <si>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</si>
  <si>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</si>
  <si>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</si>
  <si>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</si>
  <si>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</si>
  <si>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</si>
  <si>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</si>
  <si>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4 - 4 - 2022</t>
    <phoneticPr fontId="5" type="noConversion"/>
  </si>
  <si>
    <t>SUNNY</t>
    <phoneticPr fontId="5" type="noConversion"/>
  </si>
  <si>
    <t>HENDRA</t>
    <phoneticPr fontId="5" type="noConversion"/>
  </si>
  <si>
    <t>GB1</t>
    <phoneticPr fontId="5" type="noConversion"/>
  </si>
  <si>
    <t>0415888891</t>
    <phoneticPr fontId="5" type="noConversion"/>
  </si>
  <si>
    <t>H/ST</t>
    <phoneticPr fontId="5" type="noConversion"/>
  </si>
  <si>
    <t>JUNIOR</t>
    <phoneticPr fontId="5" type="noConversion"/>
  </si>
  <si>
    <t>GEORGE CAR</t>
    <phoneticPr fontId="5" type="noConversion"/>
  </si>
  <si>
    <t>ARIANTO</t>
    <phoneticPr fontId="5" type="noConversion"/>
  </si>
  <si>
    <t>KUROSH</t>
    <phoneticPr fontId="5" type="noConversion"/>
  </si>
  <si>
    <t>ERIC</t>
    <phoneticPr fontId="5" type="noConversion"/>
  </si>
  <si>
    <t>VINNY</t>
    <phoneticPr fontId="5" type="noConversion"/>
  </si>
  <si>
    <t>DPY53R</t>
    <phoneticPr fontId="5" type="noConversion"/>
  </si>
  <si>
    <t>0458453232</t>
    <phoneticPr fontId="5" type="noConversion"/>
  </si>
  <si>
    <t>X</t>
    <phoneticPr fontId="5" type="noConversion"/>
  </si>
  <si>
    <t>NEC45R</t>
    <phoneticPr fontId="5" type="noConversion"/>
  </si>
  <si>
    <t>0474333666</t>
    <phoneticPr fontId="5" type="noConversion"/>
  </si>
  <si>
    <t>PCL</t>
    <phoneticPr fontId="5" type="noConversion"/>
  </si>
  <si>
    <t># 21036 5/6</t>
    <phoneticPr fontId="5" type="noConversion"/>
  </si>
  <si>
    <t>YKG80C</t>
    <phoneticPr fontId="5" type="noConversion"/>
  </si>
  <si>
    <t>0468470183</t>
    <phoneticPr fontId="5" type="noConversion"/>
  </si>
  <si>
    <t>D</t>
    <phoneticPr fontId="5" type="noConversion"/>
  </si>
  <si>
    <t>CT62TE</t>
    <phoneticPr fontId="5" type="noConversion"/>
  </si>
  <si>
    <t>0409860872</t>
    <phoneticPr fontId="5" type="noConversion"/>
  </si>
  <si>
    <t>BPQ53P</t>
    <phoneticPr fontId="5" type="noConversion"/>
  </si>
  <si>
    <t>0421075870</t>
    <phoneticPr fontId="5" type="noConversion"/>
  </si>
  <si>
    <t>EJM85A</t>
    <phoneticPr fontId="5" type="noConversion"/>
  </si>
  <si>
    <t>0412400338</t>
    <phoneticPr fontId="5" type="noConversion"/>
  </si>
  <si>
    <t>OJEOO1</t>
    <phoneticPr fontId="5" type="noConversion"/>
  </si>
  <si>
    <t>0424384598</t>
    <phoneticPr fontId="5" type="noConversion"/>
  </si>
  <si>
    <t>PCM</t>
    <phoneticPr fontId="5" type="noConversion"/>
  </si>
  <si>
    <t>#21010- 6/6 , 22002 (NEW)</t>
    <phoneticPr fontId="5" type="noConversion"/>
  </si>
  <si>
    <t>EDL52D</t>
    <phoneticPr fontId="5" type="noConversion"/>
  </si>
  <si>
    <t>0422919821</t>
    <phoneticPr fontId="5" type="noConversion"/>
  </si>
  <si>
    <t>EII12L</t>
    <phoneticPr fontId="5" type="noConversion"/>
  </si>
  <si>
    <t>0424716988</t>
    <phoneticPr fontId="5" type="noConversion"/>
  </si>
  <si>
    <t>DCD06Y</t>
    <phoneticPr fontId="5" type="noConversion"/>
  </si>
  <si>
    <t>0419612659</t>
    <phoneticPr fontId="5" type="noConversion"/>
  </si>
  <si>
    <t>W/O</t>
    <phoneticPr fontId="5" type="noConversion"/>
  </si>
  <si>
    <t>GLZ8</t>
    <phoneticPr fontId="5" type="noConversion"/>
  </si>
  <si>
    <t>0438888858</t>
    <phoneticPr fontId="5" type="noConversion"/>
  </si>
  <si>
    <t>APC88H</t>
    <phoneticPr fontId="5" type="noConversion"/>
  </si>
  <si>
    <t>ENO56X</t>
    <phoneticPr fontId="5" type="noConversion"/>
  </si>
  <si>
    <t>0419268013</t>
    <phoneticPr fontId="5" type="noConversion"/>
  </si>
  <si>
    <t>YIV67Z</t>
    <phoneticPr fontId="5" type="noConversion"/>
  </si>
  <si>
    <t>0408446095</t>
    <phoneticPr fontId="5" type="noConversion"/>
  </si>
  <si>
    <t>DQR19K</t>
    <phoneticPr fontId="5" type="noConversion"/>
  </si>
  <si>
    <t>0419393360</t>
    <phoneticPr fontId="5" type="noConversion"/>
  </si>
  <si>
    <t>CVR88U</t>
    <phoneticPr fontId="5" type="noConversion"/>
  </si>
  <si>
    <t>0419592155</t>
    <phoneticPr fontId="5" type="noConversion"/>
  </si>
  <si>
    <t>AHG851</t>
    <phoneticPr fontId="5" type="noConversion"/>
  </si>
  <si>
    <t>0434584232</t>
    <phoneticPr fontId="5" type="noConversion"/>
  </si>
  <si>
    <t>EKW96L</t>
    <phoneticPr fontId="5" type="noConversion"/>
  </si>
  <si>
    <t>0414708001</t>
    <phoneticPr fontId="5" type="noConversion"/>
  </si>
  <si>
    <t>NA16PS</t>
    <phoneticPr fontId="5" type="noConversion"/>
  </si>
  <si>
    <t>0415874467</t>
    <phoneticPr fontId="5" type="noConversion"/>
  </si>
  <si>
    <t>5 - 4 - 2022</t>
    <phoneticPr fontId="5" type="noConversion"/>
  </si>
  <si>
    <t>BSD55R</t>
    <phoneticPr fontId="5" type="noConversion"/>
  </si>
  <si>
    <t>0432713177</t>
    <phoneticPr fontId="5" type="noConversion"/>
  </si>
  <si>
    <t>202201004 , 202201005</t>
    <phoneticPr fontId="5" type="noConversion"/>
  </si>
  <si>
    <t>AON61T</t>
    <phoneticPr fontId="5" type="noConversion"/>
  </si>
  <si>
    <t>0401485441</t>
    <phoneticPr fontId="5" type="noConversion"/>
  </si>
  <si>
    <t>H</t>
    <phoneticPr fontId="5" type="noConversion"/>
  </si>
  <si>
    <t>JHS005</t>
    <phoneticPr fontId="5" type="noConversion"/>
  </si>
  <si>
    <t>0415629242</t>
    <phoneticPr fontId="5" type="noConversion"/>
  </si>
  <si>
    <t>MUM410</t>
    <phoneticPr fontId="5" type="noConversion"/>
  </si>
  <si>
    <t>0413268855</t>
    <phoneticPr fontId="5" type="noConversion"/>
  </si>
  <si>
    <t>GV3</t>
    <phoneticPr fontId="5" type="noConversion"/>
  </si>
  <si>
    <t># 202722 5/6</t>
    <phoneticPr fontId="5" type="noConversion"/>
  </si>
  <si>
    <t># 202722 6/6</t>
    <phoneticPr fontId="5" type="noConversion"/>
  </si>
  <si>
    <t>BAU925</t>
    <phoneticPr fontId="5" type="noConversion"/>
  </si>
  <si>
    <t>JAXOOJ</t>
    <phoneticPr fontId="5" type="noConversion"/>
  </si>
  <si>
    <t>0414447317</t>
    <phoneticPr fontId="5" type="noConversion"/>
  </si>
  <si>
    <t>DCQ13K</t>
    <phoneticPr fontId="5" type="noConversion"/>
  </si>
  <si>
    <t>0421368863</t>
    <phoneticPr fontId="5" type="noConversion"/>
  </si>
  <si>
    <t>DGE61B</t>
    <phoneticPr fontId="5" type="noConversion"/>
  </si>
  <si>
    <t>0425294440</t>
    <phoneticPr fontId="5" type="noConversion"/>
  </si>
  <si>
    <t>CBE73B</t>
    <phoneticPr fontId="5" type="noConversion"/>
  </si>
  <si>
    <t>0430212468</t>
    <phoneticPr fontId="5" type="noConversion"/>
  </si>
  <si>
    <t>ELH32H</t>
    <phoneticPr fontId="5" type="noConversion"/>
  </si>
  <si>
    <t>0410448633</t>
    <phoneticPr fontId="5" type="noConversion"/>
  </si>
  <si>
    <t>21038 3/6 4/6</t>
    <phoneticPr fontId="5" type="noConversion"/>
  </si>
  <si>
    <t>NBZ55L</t>
    <phoneticPr fontId="5" type="noConversion"/>
  </si>
  <si>
    <t># 192548 6/6</t>
    <phoneticPr fontId="5" type="noConversion"/>
  </si>
  <si>
    <t>EAH89D</t>
    <phoneticPr fontId="5" type="noConversion"/>
  </si>
  <si>
    <t>ENV51W</t>
    <phoneticPr fontId="5" type="noConversion"/>
  </si>
  <si>
    <t>0433355713</t>
    <phoneticPr fontId="5" type="noConversion"/>
  </si>
  <si>
    <t>DYF57C</t>
    <phoneticPr fontId="5" type="noConversion"/>
  </si>
  <si>
    <t>0478673530</t>
    <phoneticPr fontId="5" type="noConversion"/>
  </si>
  <si>
    <t>EMR95F</t>
    <phoneticPr fontId="5" type="noConversion"/>
  </si>
  <si>
    <t>0431210460</t>
    <phoneticPr fontId="5" type="noConversion"/>
  </si>
  <si>
    <t>CMD85J</t>
    <phoneticPr fontId="5" type="noConversion"/>
  </si>
  <si>
    <t>0447848800</t>
    <phoneticPr fontId="5" type="noConversion"/>
  </si>
  <si>
    <t>6 - 4 - 2022</t>
    <phoneticPr fontId="5" type="noConversion"/>
  </si>
  <si>
    <t>SHOWER</t>
    <phoneticPr fontId="5" type="noConversion"/>
  </si>
  <si>
    <t>DSJ82B</t>
    <phoneticPr fontId="5" type="noConversion"/>
  </si>
  <si>
    <t>0414644479</t>
    <phoneticPr fontId="5" type="noConversion"/>
  </si>
  <si>
    <t>DMR04T</t>
    <phoneticPr fontId="5" type="noConversion"/>
  </si>
  <si>
    <t>0488797521</t>
    <phoneticPr fontId="5" type="noConversion"/>
  </si>
  <si>
    <t>FD</t>
    <phoneticPr fontId="5" type="noConversion"/>
  </si>
  <si>
    <t>ALISON CAR</t>
    <phoneticPr fontId="5" type="noConversion"/>
  </si>
  <si>
    <t>DGM062</t>
    <phoneticPr fontId="5" type="noConversion"/>
  </si>
  <si>
    <t>0411853091</t>
    <phoneticPr fontId="5" type="noConversion"/>
  </si>
  <si>
    <t>EID55F</t>
    <phoneticPr fontId="5" type="noConversion"/>
  </si>
  <si>
    <t>0410580198</t>
    <phoneticPr fontId="5" type="noConversion"/>
  </si>
  <si>
    <t>7 - 4 - 2022</t>
    <phoneticPr fontId="5" type="noConversion"/>
  </si>
  <si>
    <t>STEVE</t>
    <phoneticPr fontId="5" type="noConversion"/>
  </si>
  <si>
    <t>DNL77W</t>
    <phoneticPr fontId="5" type="noConversion"/>
  </si>
  <si>
    <t>0422000063</t>
    <phoneticPr fontId="5" type="noConversion"/>
  </si>
  <si>
    <t>EMP111</t>
    <phoneticPr fontId="5" type="noConversion"/>
  </si>
  <si>
    <t>0418970409</t>
    <phoneticPr fontId="5" type="noConversion"/>
  </si>
  <si>
    <t>PCS</t>
    <phoneticPr fontId="5" type="noConversion"/>
  </si>
  <si>
    <t># 22007 1/6</t>
    <phoneticPr fontId="5" type="noConversion"/>
  </si>
  <si>
    <t>BTP55B</t>
    <phoneticPr fontId="5" type="noConversion"/>
  </si>
  <si>
    <t>EDF29J</t>
    <phoneticPr fontId="5" type="noConversion"/>
  </si>
  <si>
    <t>0412413644</t>
    <phoneticPr fontId="5" type="noConversion"/>
  </si>
  <si>
    <t>NBS50V</t>
    <phoneticPr fontId="5" type="noConversion"/>
  </si>
  <si>
    <t>0418411143</t>
    <phoneticPr fontId="5" type="noConversion"/>
  </si>
  <si>
    <t>D/LTH</t>
    <phoneticPr fontId="5" type="noConversion"/>
  </si>
  <si>
    <t>EMQ25E</t>
    <phoneticPr fontId="5" type="noConversion"/>
  </si>
  <si>
    <t>0413116333</t>
    <phoneticPr fontId="5" type="noConversion"/>
  </si>
  <si>
    <t>I/ST</t>
    <phoneticPr fontId="5" type="noConversion"/>
  </si>
  <si>
    <t>CDF76C</t>
    <phoneticPr fontId="5" type="noConversion"/>
  </si>
  <si>
    <t>0455027102</t>
    <phoneticPr fontId="5" type="noConversion"/>
  </si>
  <si>
    <t>8 - 4 - 2022</t>
    <phoneticPr fontId="5" type="noConversion"/>
  </si>
  <si>
    <t>CZR94K</t>
    <phoneticPr fontId="5" type="noConversion"/>
  </si>
  <si>
    <t>0451185059</t>
    <phoneticPr fontId="5" type="noConversion"/>
  </si>
  <si>
    <t># 21062 4/6</t>
    <phoneticPr fontId="5" type="noConversion"/>
  </si>
  <si>
    <t>DTV84W</t>
    <phoneticPr fontId="5" type="noConversion"/>
  </si>
  <si>
    <t>0451959514</t>
    <phoneticPr fontId="5" type="noConversion"/>
  </si>
  <si>
    <t>DPL17V</t>
    <phoneticPr fontId="5" type="noConversion"/>
  </si>
  <si>
    <t>0425324040</t>
    <phoneticPr fontId="5" type="noConversion"/>
  </si>
  <si>
    <t>CV39GA</t>
    <phoneticPr fontId="5" type="noConversion"/>
  </si>
  <si>
    <t>0404244674</t>
    <phoneticPr fontId="5" type="noConversion"/>
  </si>
  <si>
    <t>ID</t>
    <phoneticPr fontId="5" type="noConversion"/>
  </si>
  <si>
    <t>DG000</t>
    <phoneticPr fontId="5" type="noConversion"/>
  </si>
  <si>
    <t>0405207477</t>
    <phoneticPr fontId="5" type="noConversion"/>
  </si>
  <si>
    <t>DA88NJ</t>
    <phoneticPr fontId="5" type="noConversion"/>
  </si>
  <si>
    <t>0450258099</t>
    <phoneticPr fontId="5" type="noConversion"/>
  </si>
  <si>
    <t># 202203093</t>
    <phoneticPr fontId="5" type="noConversion"/>
  </si>
  <si>
    <t>09-04-2022</t>
    <phoneticPr fontId="5" type="noConversion"/>
  </si>
  <si>
    <t>AF820</t>
    <phoneticPr fontId="5" type="noConversion"/>
  </si>
  <si>
    <t>0416893888</t>
    <phoneticPr fontId="5" type="noConversion"/>
  </si>
  <si>
    <t>M</t>
  </si>
  <si>
    <t>AH39WL</t>
    <phoneticPr fontId="5" type="noConversion"/>
  </si>
  <si>
    <t>0412422420</t>
    <phoneticPr fontId="5" type="noConversion"/>
  </si>
  <si>
    <t>BKI56F</t>
    <phoneticPr fontId="5" type="noConversion"/>
  </si>
  <si>
    <t>0415523212</t>
    <phoneticPr fontId="5" type="noConversion"/>
  </si>
  <si>
    <t>F</t>
  </si>
  <si>
    <t>EHV38R</t>
    <phoneticPr fontId="5" type="noConversion"/>
  </si>
  <si>
    <t>0458054534</t>
    <phoneticPr fontId="5" type="noConversion"/>
  </si>
  <si>
    <t>CN48WI</t>
    <phoneticPr fontId="5" type="noConversion"/>
  </si>
  <si>
    <t>0404424604</t>
    <phoneticPr fontId="5" type="noConversion"/>
  </si>
  <si>
    <t>AYD93F</t>
    <phoneticPr fontId="5" type="noConversion"/>
  </si>
  <si>
    <t>0407123369</t>
    <phoneticPr fontId="5" type="noConversion"/>
  </si>
  <si>
    <t>DWX12C</t>
    <phoneticPr fontId="5" type="noConversion"/>
  </si>
  <si>
    <t>0438223655</t>
    <phoneticPr fontId="5" type="noConversion"/>
  </si>
  <si>
    <t>DMS44K</t>
    <phoneticPr fontId="5" type="noConversion"/>
  </si>
  <si>
    <t>0424139440</t>
    <phoneticPr fontId="5" type="noConversion"/>
  </si>
  <si>
    <t>D/ST</t>
    <phoneticPr fontId="5" type="noConversion"/>
  </si>
  <si>
    <t>BJ20PY</t>
    <phoneticPr fontId="5" type="noConversion"/>
  </si>
  <si>
    <t>0406963266</t>
    <phoneticPr fontId="5" type="noConversion"/>
  </si>
  <si>
    <t>IN/ST</t>
    <phoneticPr fontId="5" type="noConversion"/>
  </si>
  <si>
    <t>ESX32Y</t>
    <phoneticPr fontId="5" type="noConversion"/>
  </si>
  <si>
    <t>0402556237</t>
    <phoneticPr fontId="5" type="noConversion"/>
  </si>
  <si>
    <t>X/ST</t>
    <phoneticPr fontId="5" type="noConversion"/>
  </si>
  <si>
    <t>DWW58A</t>
    <phoneticPr fontId="5" type="noConversion"/>
  </si>
  <si>
    <t>0424326651</t>
    <phoneticPr fontId="5" type="noConversion"/>
  </si>
  <si>
    <t>DZL56D</t>
    <phoneticPr fontId="5" type="noConversion"/>
  </si>
  <si>
    <t>0415328465</t>
    <phoneticPr fontId="5" type="noConversion"/>
  </si>
  <si>
    <t>BVD13J</t>
    <phoneticPr fontId="5" type="noConversion"/>
  </si>
  <si>
    <t>0407638899</t>
    <phoneticPr fontId="5" type="noConversion"/>
  </si>
  <si>
    <t>DZL06K</t>
    <phoneticPr fontId="5" type="noConversion"/>
  </si>
  <si>
    <t>0411471317</t>
    <phoneticPr fontId="5" type="noConversion"/>
  </si>
  <si>
    <t>BGQ89E</t>
    <phoneticPr fontId="5" type="noConversion"/>
  </si>
  <si>
    <t>0419414052</t>
    <phoneticPr fontId="5" type="noConversion"/>
  </si>
  <si>
    <t>JOHN</t>
    <phoneticPr fontId="5" type="noConversion"/>
  </si>
  <si>
    <t>ECQ59U</t>
    <phoneticPr fontId="5" type="noConversion"/>
  </si>
  <si>
    <t>0451043592</t>
    <phoneticPr fontId="5" type="noConversion"/>
  </si>
  <si>
    <t>DDA54Y</t>
    <phoneticPr fontId="5" type="noConversion"/>
  </si>
  <si>
    <t>0416273547</t>
    <phoneticPr fontId="5" type="noConversion"/>
  </si>
  <si>
    <t>22018(1/6)</t>
    <phoneticPr fontId="5" type="noConversion"/>
  </si>
  <si>
    <t>CSP98Z</t>
    <phoneticPr fontId="5" type="noConversion"/>
  </si>
  <si>
    <t>0411402208</t>
    <phoneticPr fontId="5" type="noConversion"/>
  </si>
  <si>
    <t>IN</t>
    <phoneticPr fontId="5" type="noConversion"/>
  </si>
  <si>
    <t>AY08AK</t>
    <phoneticPr fontId="5" type="noConversion"/>
  </si>
  <si>
    <t>0423032519</t>
    <phoneticPr fontId="5" type="noConversion"/>
  </si>
  <si>
    <t>CLOUDY</t>
    <phoneticPr fontId="5" type="noConversion"/>
  </si>
  <si>
    <t>DDL87V</t>
    <phoneticPr fontId="5" type="noConversion"/>
  </si>
  <si>
    <t>0408763516</t>
    <phoneticPr fontId="5" type="noConversion"/>
  </si>
  <si>
    <t>CHLOE</t>
    <phoneticPr fontId="5" type="noConversion"/>
  </si>
  <si>
    <t>KAVIN</t>
    <phoneticPr fontId="5" type="noConversion"/>
  </si>
  <si>
    <t>BIVEK</t>
    <phoneticPr fontId="5" type="noConversion"/>
  </si>
  <si>
    <t>ATET</t>
    <phoneticPr fontId="5" type="noConversion"/>
  </si>
  <si>
    <t>EIX46S</t>
    <phoneticPr fontId="5" type="noConversion"/>
  </si>
  <si>
    <t>0450884199</t>
    <phoneticPr fontId="5" type="noConversion"/>
  </si>
  <si>
    <t>H/ID</t>
    <phoneticPr fontId="5" type="noConversion"/>
  </si>
  <si>
    <t>10-04-2022</t>
    <phoneticPr fontId="5" type="noConversion"/>
  </si>
  <si>
    <t>BSH22J</t>
    <phoneticPr fontId="5" type="noConversion"/>
  </si>
  <si>
    <t>0412422490</t>
    <phoneticPr fontId="5" type="noConversion"/>
  </si>
  <si>
    <t>RAY448</t>
    <phoneticPr fontId="5" type="noConversion"/>
  </si>
  <si>
    <t>0416212689</t>
    <phoneticPr fontId="5" type="noConversion"/>
  </si>
  <si>
    <t>TAX</t>
    <phoneticPr fontId="5" type="noConversion"/>
  </si>
  <si>
    <t>MACAN8</t>
    <phoneticPr fontId="5" type="noConversion"/>
  </si>
  <si>
    <t>0423108880</t>
    <phoneticPr fontId="5" type="noConversion"/>
  </si>
  <si>
    <t>CEC64E</t>
    <phoneticPr fontId="5" type="noConversion"/>
  </si>
  <si>
    <t>0434166898</t>
    <phoneticPr fontId="5" type="noConversion"/>
  </si>
  <si>
    <t>KGG063</t>
    <phoneticPr fontId="5" type="noConversion"/>
  </si>
  <si>
    <t>0419581647</t>
    <phoneticPr fontId="5" type="noConversion"/>
  </si>
  <si>
    <t>W</t>
    <phoneticPr fontId="5" type="noConversion"/>
  </si>
  <si>
    <t>BLC45G</t>
    <phoneticPr fontId="5" type="noConversion"/>
  </si>
  <si>
    <t>0410526589</t>
    <phoneticPr fontId="5" type="noConversion"/>
  </si>
  <si>
    <t>DYI60E</t>
    <phoneticPr fontId="5" type="noConversion"/>
  </si>
  <si>
    <t>0405303315</t>
    <phoneticPr fontId="5" type="noConversion"/>
  </si>
  <si>
    <t>DZU27P</t>
    <phoneticPr fontId="5" type="noConversion"/>
  </si>
  <si>
    <t>0410712766</t>
    <phoneticPr fontId="5" type="noConversion"/>
  </si>
  <si>
    <t>40MO9</t>
    <phoneticPr fontId="5" type="noConversion"/>
  </si>
  <si>
    <t>0418280777</t>
    <phoneticPr fontId="5" type="noConversion"/>
  </si>
  <si>
    <t>22007(2/6)</t>
    <phoneticPr fontId="5" type="noConversion"/>
  </si>
  <si>
    <t>SQE63</t>
    <phoneticPr fontId="5" type="noConversion"/>
  </si>
  <si>
    <t>0438445055</t>
    <phoneticPr fontId="5" type="noConversion"/>
  </si>
  <si>
    <t>EOT77P</t>
    <phoneticPr fontId="5" type="noConversion"/>
  </si>
  <si>
    <t>0424660299</t>
    <phoneticPr fontId="5" type="noConversion"/>
  </si>
  <si>
    <t>NCB29M</t>
    <phoneticPr fontId="5" type="noConversion"/>
  </si>
  <si>
    <t>0424100321</t>
    <phoneticPr fontId="5" type="noConversion"/>
  </si>
  <si>
    <t>W/H</t>
    <phoneticPr fontId="5" type="noConversion"/>
  </si>
  <si>
    <t>DWR91R</t>
    <phoneticPr fontId="5" type="noConversion"/>
  </si>
  <si>
    <t>0407419794</t>
    <phoneticPr fontId="5" type="noConversion"/>
  </si>
  <si>
    <t>22005(3/6)</t>
    <phoneticPr fontId="5" type="noConversion"/>
  </si>
  <si>
    <t>CSG73Y</t>
    <phoneticPr fontId="5" type="noConversion"/>
  </si>
  <si>
    <t>0422161016</t>
    <phoneticPr fontId="5" type="noConversion"/>
  </si>
  <si>
    <t>F/D</t>
    <phoneticPr fontId="5" type="noConversion"/>
  </si>
  <si>
    <t>EHU59L</t>
    <phoneticPr fontId="5" type="noConversion"/>
  </si>
  <si>
    <t>0412450168</t>
    <phoneticPr fontId="5" type="noConversion"/>
  </si>
  <si>
    <t>KEVIN</t>
    <phoneticPr fontId="5" type="noConversion"/>
  </si>
  <si>
    <t>NICLI</t>
    <phoneticPr fontId="5" type="noConversion"/>
  </si>
  <si>
    <t>EPE23X</t>
    <phoneticPr fontId="5" type="noConversion"/>
  </si>
  <si>
    <t>0407649924</t>
    <phoneticPr fontId="5" type="noConversion"/>
  </si>
  <si>
    <t>0420588166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</si>
</sst>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59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5" fillId="14" borderId="19" xfId="4" applyBorder="1" applyAlignment="1">
      <alignment horizontal="center" shrinkToFit="1"/>
    </xf>
    <xf numFmtId="0" fontId="25" fillId="14" borderId="4" xfId="4" applyBorder="1" applyAlignment="1">
      <alignment horizontal="center" shrinkToFit="1"/>
    </xf>
    <xf numFmtId="0" fontId="25" fillId="14" borderId="1" xfId="4" applyBorder="1" applyAlignment="1"/>
    <xf numFmtId="49" fontId="25" fillId="14" borderId="2" xfId="4" applyNumberFormat="1" applyBorder="1" applyAlignment="1">
      <alignment horizontal="left"/>
    </xf>
    <xf numFmtId="0" fontId="25" fillId="14" borderId="62" xfId="4" applyBorder="1" applyAlignment="1">
      <alignment horizontal="center" shrinkToFit="1"/>
    </xf>
    <xf numFmtId="179" fontId="25" fillId="14" borderId="39" xfId="4" applyNumberFormat="1" applyBorder="1" applyAlignment="1">
      <alignment horizontal="left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25" fillId="14" borderId="9" xfId="4" applyBorder="1" applyAlignment="1">
      <alignment horizontal="center" shrinkToFit="1"/>
    </xf>
    <xf numFmtId="0" fontId="25" fillId="14" borderId="1" xfId="4" applyBorder="1" applyAlignment="1">
      <alignment horizont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178" fontId="25" fillId="14" borderId="1" xfId="4" applyNumberForma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49" fontId="25" fillId="14" borderId="2" xfId="4" applyNumberFormat="1" applyBorder="1" applyAlignment="1">
      <alignment horizontal="left" shrinkToFit="1"/>
    </xf>
    <xf numFmtId="179" fontId="25" fillId="14" borderId="26" xfId="4" applyNumberFormat="1" applyBorder="1" applyAlignment="1">
      <alignment horizontal="left"/>
    </xf>
    <xf numFmtId="0" fontId="25" fillId="14" borderId="1" xfId="4" applyBorder="1" applyAlignment="1">
      <alignment horizontal="center" vertic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26" xfId="4" applyBorder="1" applyAlignment="1">
      <alignment horizontal="left"/>
    </xf>
    <xf numFmtId="178" fontId="1" fillId="0" borderId="4" xfId="0" applyNumberFormat="1" applyFont="1" applyBorder="1" applyAlignment="1">
      <alignment horizont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3" fontId="0" fillId="0" borderId="2" xfId="0" applyNumberFormat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25" fillId="14" borderId="6" xfId="4" applyBorder="1" applyAlignment="1">
      <alignment horizontal="center" shrinkToFit="1"/>
    </xf>
    <xf numFmtId="0" fontId="25" fillId="14" borderId="37" xfId="4" applyBorder="1" applyAlignment="1">
      <alignment horizontal="center" shrinkToFit="1"/>
    </xf>
    <xf numFmtId="0" fontId="25" fillId="14" borderId="47" xfId="4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I24" sqref="I2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6" t="s">
        <v>77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8"/>
    </row>
    <row r="2" spans="1:44" ht="17.25" thickBot="1" x14ac:dyDescent="0.35">
      <c r="A2" s="336" t="s">
        <v>97</v>
      </c>
      <c r="B2" s="337"/>
      <c r="C2" s="337"/>
      <c r="D2" s="337"/>
      <c r="E2" s="337"/>
      <c r="F2" s="337"/>
      <c r="G2" s="338"/>
      <c r="H2" s="339" t="s">
        <v>49</v>
      </c>
      <c r="I2" s="340"/>
      <c r="J2" s="336" t="s">
        <v>98</v>
      </c>
      <c r="K2" s="338"/>
      <c r="L2" s="340" t="s">
        <v>96</v>
      </c>
      <c r="M2" s="341"/>
      <c r="N2" s="339"/>
      <c r="O2" s="337" t="s">
        <v>99</v>
      </c>
      <c r="P2" s="337"/>
      <c r="Q2" s="338"/>
      <c r="R2" s="340" t="s">
        <v>51</v>
      </c>
      <c r="S2" s="339"/>
      <c r="T2" s="328">
        <v>6</v>
      </c>
      <c r="U2" s="32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29" t="s">
        <v>8</v>
      </c>
      <c r="P4" s="329"/>
      <c r="Q4" s="329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267">
        <v>1</v>
      </c>
      <c r="B5" s="268">
        <v>3368</v>
      </c>
      <c r="C5" s="269" t="s">
        <v>100</v>
      </c>
      <c r="D5" s="270" t="s">
        <v>101</v>
      </c>
      <c r="E5" s="271" t="s">
        <v>91</v>
      </c>
      <c r="F5" s="272">
        <v>755</v>
      </c>
      <c r="G5" s="268" t="s">
        <v>102</v>
      </c>
      <c r="H5" s="273"/>
      <c r="I5" s="273">
        <v>350</v>
      </c>
      <c r="J5" s="273" t="str">
        <f>IF(G5="RSL","55","0")</f>
        <v>0</v>
      </c>
      <c r="K5" s="273" t="str">
        <f>IF(G5="GVS","37.5",IF(G5="GVM","41.5",IF(G5="GVL","50",IF(G5="PCS","45.8",IF(G5="PCM","50",IF(G5="PCL","58.3","0"))))))</f>
        <v>0</v>
      </c>
      <c r="L5" s="274"/>
      <c r="M5" s="274"/>
      <c r="N5" s="275" t="s">
        <v>103</v>
      </c>
      <c r="O5" s="379" t="s">
        <v>104</v>
      </c>
      <c r="P5" s="380"/>
      <c r="Q5" s="381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3369</v>
      </c>
      <c r="C6" s="67" t="s">
        <v>109</v>
      </c>
      <c r="D6" s="200" t="s">
        <v>110</v>
      </c>
      <c r="E6" s="181" t="s">
        <v>91</v>
      </c>
      <c r="F6" s="171">
        <v>830</v>
      </c>
      <c r="G6" s="118" t="s">
        <v>111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0"/>
      <c r="P6" s="331"/>
      <c r="Q6" s="332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3370</v>
      </c>
      <c r="C7" s="67" t="s">
        <v>112</v>
      </c>
      <c r="D7" s="200" t="s">
        <v>113</v>
      </c>
      <c r="E7" s="181" t="s">
        <v>91</v>
      </c>
      <c r="F7" s="171">
        <v>900</v>
      </c>
      <c r="G7" s="118" t="s">
        <v>114</v>
      </c>
      <c r="H7" s="91"/>
      <c r="I7" s="124"/>
      <c r="J7" s="130" t="str">
        <f t="shared" si="1"/>
        <v>0</v>
      </c>
      <c r="K7" s="130" t="str">
        <f t="shared" si="2"/>
        <v>58.3</v>
      </c>
      <c r="L7" s="131"/>
      <c r="M7" s="131"/>
      <c r="N7" s="134" t="s">
        <v>99</v>
      </c>
      <c r="O7" s="303" t="s">
        <v>115</v>
      </c>
      <c r="P7" s="302"/>
      <c r="Q7" s="304"/>
      <c r="R7" s="134" t="s">
        <v>105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3371</v>
      </c>
      <c r="C8" s="27" t="s">
        <v>116</v>
      </c>
      <c r="D8" s="200" t="s">
        <v>117</v>
      </c>
      <c r="E8" s="181" t="s">
        <v>91</v>
      </c>
      <c r="F8" s="171">
        <v>910</v>
      </c>
      <c r="G8" s="118" t="s">
        <v>118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3"/>
      <c r="P8" s="334"/>
      <c r="Q8" s="335"/>
      <c r="R8" s="26" t="s">
        <v>108</v>
      </c>
      <c r="S8" s="31">
        <v>0.42708333333333331</v>
      </c>
      <c r="T8" s="32">
        <v>0.70833333333333337</v>
      </c>
      <c r="U8" s="92">
        <f t="shared" si="0"/>
        <v>6.7500000000000018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3372</v>
      </c>
      <c r="C9" s="63" t="s">
        <v>119</v>
      </c>
      <c r="D9" s="201" t="s">
        <v>120</v>
      </c>
      <c r="E9" s="181" t="s">
        <v>91</v>
      </c>
      <c r="F9" s="172">
        <v>935</v>
      </c>
      <c r="G9" s="119" t="s">
        <v>118</v>
      </c>
      <c r="H9" s="91"/>
      <c r="I9" s="91">
        <v>70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3"/>
      <c r="P9" s="334"/>
      <c r="Q9" s="335"/>
      <c r="R9" s="26" t="s">
        <v>106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3373</v>
      </c>
      <c r="C10" s="28" t="s">
        <v>121</v>
      </c>
      <c r="D10" s="202" t="s">
        <v>122</v>
      </c>
      <c r="E10" s="181" t="s">
        <v>92</v>
      </c>
      <c r="F10" s="173">
        <v>950</v>
      </c>
      <c r="G10" s="120" t="s">
        <v>111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5"/>
      <c r="P10" s="326"/>
      <c r="Q10" s="327"/>
      <c r="R10" s="26" t="s">
        <v>107</v>
      </c>
      <c r="S10" s="31">
        <v>0.38541666666666669</v>
      </c>
      <c r="T10" s="32">
        <v>0.64583333333333337</v>
      </c>
      <c r="U10" s="92">
        <f t="shared" si="0"/>
        <v>6.25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3374</v>
      </c>
      <c r="C11" s="18" t="s">
        <v>123</v>
      </c>
      <c r="D11" s="203" t="s">
        <v>124</v>
      </c>
      <c r="E11" s="181" t="s">
        <v>92</v>
      </c>
      <c r="F11" s="66">
        <v>1000</v>
      </c>
      <c r="G11" s="121" t="s">
        <v>44</v>
      </c>
      <c r="H11" s="123"/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99</v>
      </c>
      <c r="O11" s="303">
        <v>202203025</v>
      </c>
      <c r="P11" s="302"/>
      <c r="Q11" s="30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76">
        <v>8</v>
      </c>
      <c r="B12" s="277">
        <v>3375</v>
      </c>
      <c r="C12" s="278" t="s">
        <v>125</v>
      </c>
      <c r="D12" s="279" t="s">
        <v>126</v>
      </c>
      <c r="E12" s="271" t="s">
        <v>91</v>
      </c>
      <c r="F12" s="280">
        <v>1015</v>
      </c>
      <c r="G12" s="277" t="s">
        <v>127</v>
      </c>
      <c r="H12" s="281"/>
      <c r="I12" s="281"/>
      <c r="J12" s="273" t="str">
        <f t="shared" si="1"/>
        <v>0</v>
      </c>
      <c r="K12" s="273" t="str">
        <f t="shared" si="2"/>
        <v>50</v>
      </c>
      <c r="L12" s="274"/>
      <c r="M12" s="274">
        <v>425</v>
      </c>
      <c r="N12" s="275" t="s">
        <v>99</v>
      </c>
      <c r="O12" s="369" t="s">
        <v>128</v>
      </c>
      <c r="P12" s="370"/>
      <c r="Q12" s="37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3376</v>
      </c>
      <c r="C13" s="64" t="s">
        <v>129</v>
      </c>
      <c r="D13" s="204" t="s">
        <v>130</v>
      </c>
      <c r="E13" s="181" t="s">
        <v>91</v>
      </c>
      <c r="F13" s="173">
        <v>1045</v>
      </c>
      <c r="G13" s="119" t="s">
        <v>44</v>
      </c>
      <c r="H13" s="169"/>
      <c r="I13" s="168"/>
      <c r="J13" s="130">
        <v>165</v>
      </c>
      <c r="K13" s="130" t="str">
        <f t="shared" si="2"/>
        <v>0</v>
      </c>
      <c r="L13" s="131"/>
      <c r="M13" s="131"/>
      <c r="N13" s="134" t="s">
        <v>99</v>
      </c>
      <c r="O13" s="372">
        <v>2.0220100220220199E+26</v>
      </c>
      <c r="P13" s="302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3377</v>
      </c>
      <c r="C14" s="65" t="s">
        <v>131</v>
      </c>
      <c r="D14" s="205" t="s">
        <v>132</v>
      </c>
      <c r="E14" s="181" t="s">
        <v>91</v>
      </c>
      <c r="F14" s="174">
        <v>1100</v>
      </c>
      <c r="G14" s="122" t="s">
        <v>111</v>
      </c>
      <c r="H14" s="123">
        <v>95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3"/>
      <c r="P14" s="302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3378</v>
      </c>
      <c r="C15" s="65" t="s">
        <v>133</v>
      </c>
      <c r="D15" s="205" t="s">
        <v>134</v>
      </c>
      <c r="E15" s="181" t="s">
        <v>91</v>
      </c>
      <c r="F15" s="174">
        <v>1115</v>
      </c>
      <c r="G15" s="122" t="s">
        <v>135</v>
      </c>
      <c r="H15" s="123"/>
      <c r="I15" s="124">
        <v>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3"/>
      <c r="P15" s="302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3379</v>
      </c>
      <c r="C16" s="65" t="s">
        <v>136</v>
      </c>
      <c r="D16" s="205" t="s">
        <v>137</v>
      </c>
      <c r="E16" s="181" t="s">
        <v>91</v>
      </c>
      <c r="F16" s="174">
        <v>1130</v>
      </c>
      <c r="G16" s="122" t="s">
        <v>111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3"/>
      <c r="P16" s="302"/>
      <c r="Q16" s="304"/>
      <c r="R16" s="82">
        <f>H32/U16</f>
        <v>0.44444444444444436</v>
      </c>
      <c r="S16" s="83">
        <f>H32/(U16-U5)</f>
        <v>0.55555555555555547</v>
      </c>
      <c r="T16" s="83">
        <f>C32/U16</f>
        <v>41.184444444444438</v>
      </c>
      <c r="U16" s="83">
        <f>SUM(U5:U15)</f>
        <v>45.000000000000007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3380</v>
      </c>
      <c r="C17" s="18" t="s">
        <v>138</v>
      </c>
      <c r="D17" s="203"/>
      <c r="E17" s="181" t="s">
        <v>92</v>
      </c>
      <c r="F17" s="66">
        <v>1145</v>
      </c>
      <c r="G17" s="121" t="s">
        <v>44</v>
      </c>
      <c r="H17" s="123"/>
      <c r="I17" s="124"/>
      <c r="J17" s="130" t="str">
        <f t="shared" si="1"/>
        <v>55</v>
      </c>
      <c r="K17" s="130" t="str">
        <f t="shared" si="2"/>
        <v>0</v>
      </c>
      <c r="L17" s="131"/>
      <c r="M17" s="131"/>
      <c r="N17" s="134" t="s">
        <v>99</v>
      </c>
      <c r="O17" s="303">
        <v>202202053</v>
      </c>
      <c r="P17" s="302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3381</v>
      </c>
      <c r="C18" s="18" t="s">
        <v>139</v>
      </c>
      <c r="D18" s="203" t="s">
        <v>140</v>
      </c>
      <c r="E18" s="181" t="s">
        <v>91</v>
      </c>
      <c r="F18" s="66">
        <v>1205</v>
      </c>
      <c r="G18" s="20" t="s">
        <v>135</v>
      </c>
      <c r="H18" s="123"/>
      <c r="I18" s="124">
        <v>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3"/>
      <c r="P18" s="302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3382</v>
      </c>
      <c r="C19" s="18" t="s">
        <v>141</v>
      </c>
      <c r="D19" s="203" t="s">
        <v>142</v>
      </c>
      <c r="E19" s="181" t="s">
        <v>91</v>
      </c>
      <c r="F19" s="66">
        <v>1215</v>
      </c>
      <c r="G19" s="121" t="s">
        <v>111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3"/>
      <c r="P19" s="302"/>
      <c r="Q19" s="302"/>
      <c r="R19" s="93" t="s">
        <v>45</v>
      </c>
      <c r="S19" s="94">
        <f>COUNT(L5:M29,L37:M61,L69:M93)</f>
        <v>1</v>
      </c>
      <c r="T19" s="116">
        <f>SUM(L5:M29,L37:M61,L69:M93)</f>
        <v>425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3383</v>
      </c>
      <c r="C20" s="18" t="s">
        <v>143</v>
      </c>
      <c r="D20" s="203" t="s">
        <v>144</v>
      </c>
      <c r="E20" s="181" t="s">
        <v>92</v>
      </c>
      <c r="F20" s="66">
        <v>1245</v>
      </c>
      <c r="G20" s="121" t="s">
        <v>118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3384</v>
      </c>
      <c r="C21" s="18" t="s">
        <v>145</v>
      </c>
      <c r="D21" s="203" t="s">
        <v>146</v>
      </c>
      <c r="E21" s="181" t="s">
        <v>92</v>
      </c>
      <c r="F21" s="66">
        <v>1330</v>
      </c>
      <c r="G21" s="20" t="s">
        <v>118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3"/>
      <c r="P21" s="302"/>
      <c r="Q21" s="30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3385</v>
      </c>
      <c r="C22" s="127" t="s">
        <v>147</v>
      </c>
      <c r="D22" s="206" t="s">
        <v>148</v>
      </c>
      <c r="E22" s="181" t="s">
        <v>91</v>
      </c>
      <c r="F22" s="175">
        <v>1400</v>
      </c>
      <c r="G22" s="214" t="s">
        <v>111</v>
      </c>
      <c r="H22" s="89">
        <v>75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3"/>
      <c r="P22" s="302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3386</v>
      </c>
      <c r="C23" s="136" t="s">
        <v>151</v>
      </c>
      <c r="D23" s="207" t="s">
        <v>152</v>
      </c>
      <c r="E23" s="181" t="s">
        <v>92</v>
      </c>
      <c r="F23" s="176">
        <v>1445</v>
      </c>
      <c r="G23" s="165" t="s">
        <v>111</v>
      </c>
      <c r="H23" s="89"/>
      <c r="I23" s="141">
        <v>95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3387</v>
      </c>
      <c r="C24" s="127" t="s">
        <v>149</v>
      </c>
      <c r="D24" s="206" t="s">
        <v>150</v>
      </c>
      <c r="E24" s="181" t="s">
        <v>91</v>
      </c>
      <c r="F24" s="175">
        <v>1515</v>
      </c>
      <c r="G24" s="214" t="s">
        <v>102</v>
      </c>
      <c r="H24" s="89"/>
      <c r="I24" s="141">
        <v>120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3"/>
      <c r="P24" s="302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3"/>
      <c r="P25" s="302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1853.3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3"/>
      <c r="P26" s="302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3"/>
      <c r="P27" s="302"/>
      <c r="Q27" s="304"/>
      <c r="R27" s="366" t="s">
        <v>56</v>
      </c>
      <c r="S27" s="367"/>
      <c r="T27" s="367"/>
      <c r="U27" s="36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3"/>
      <c r="P28" s="302"/>
      <c r="Q28" s="304"/>
      <c r="R28" s="359"/>
      <c r="S28" s="360"/>
      <c r="T28" s="36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6"/>
      <c r="P29" s="347"/>
      <c r="Q29" s="348"/>
      <c r="R29" s="349"/>
      <c r="S29" s="350"/>
      <c r="T29" s="35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2" t="s">
        <v>48</v>
      </c>
      <c r="B30" s="353"/>
      <c r="C30" s="353"/>
      <c r="D30" s="353"/>
      <c r="E30" s="354"/>
      <c r="F30" s="353"/>
      <c r="G30" s="353"/>
      <c r="H30" s="211">
        <f t="shared" ref="H30:M30" si="3">SUM(H5:H29)</f>
        <v>435</v>
      </c>
      <c r="I30" s="105">
        <f>SUM(I5:I29)</f>
        <v>1035</v>
      </c>
      <c r="J30" s="105">
        <f>J5+J6+J7+J8+J9+J10+J11+J12+J13+J14+J15+J16+J18+J19+J17+J20+J22+J23+J21+J24+J25+J26+J27+J28+J29</f>
        <v>275</v>
      </c>
      <c r="K30" s="105">
        <f>K5+K6+K7+K8+K9+K10+K11+K12+K13+K14+K15+K16+K18+K19+K17+K20+K22+K23+K21+K24+K25+K26+K27+K28+K29</f>
        <v>108.3</v>
      </c>
      <c r="L30" s="106">
        <f t="shared" si="3"/>
        <v>0</v>
      </c>
      <c r="M30" s="106">
        <f t="shared" si="3"/>
        <v>425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5"/>
      <c r="S30" s="355"/>
      <c r="T30" s="35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7" t="s">
        <v>16</v>
      </c>
      <c r="B31" s="358"/>
      <c r="C31" s="358"/>
      <c r="D31" s="358"/>
      <c r="E31" s="358"/>
      <c r="F31" s="358"/>
      <c r="G31" s="358"/>
      <c r="H31" s="212">
        <f t="shared" ref="H31:J31" si="4">H30+H62+H94</f>
        <v>435</v>
      </c>
      <c r="I31" s="103">
        <f t="shared" si="4"/>
        <v>1035</v>
      </c>
      <c r="J31" s="103">
        <f t="shared" si="4"/>
        <v>275</v>
      </c>
      <c r="K31" s="103">
        <f>K30+K62+K94</f>
        <v>108.3</v>
      </c>
      <c r="L31" s="97">
        <f>L30+L62+L94</f>
        <v>0</v>
      </c>
      <c r="M31" s="97">
        <f>M30+M62+M94</f>
        <v>425</v>
      </c>
      <c r="N31" s="217">
        <f>COUNT(H5:H29,H37:H61,H69:H93)</f>
        <v>5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435</v>
      </c>
      <c r="T31" s="342">
        <f>H31+I31+L31+M31</f>
        <v>1895</v>
      </c>
      <c r="U31" s="34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2" t="s">
        <v>55</v>
      </c>
      <c r="B32" s="363"/>
      <c r="C32" s="107">
        <f>H31+I31+J31+K31</f>
        <v>1853.3</v>
      </c>
      <c r="D32" s="196"/>
      <c r="E32" s="107"/>
      <c r="F32" s="364" t="s">
        <v>53</v>
      </c>
      <c r="G32" s="364"/>
      <c r="H32" s="109">
        <f>COUNT(B5:B29,B37:B61,B69:B93)</f>
        <v>20</v>
      </c>
      <c r="I32" s="365" t="s">
        <v>54</v>
      </c>
      <c r="J32" s="365"/>
      <c r="K32" s="108">
        <f>C32/H32</f>
        <v>92.664999999999992</v>
      </c>
      <c r="L32" s="218"/>
      <c r="M32" s="218"/>
      <c r="N32" s="218">
        <f>H31/C32</f>
        <v>0.23471645173474343</v>
      </c>
      <c r="O32" s="218">
        <f>I31/C32</f>
        <v>0.55846328171369986</v>
      </c>
      <c r="P32" s="218">
        <f>K31/C32</f>
        <v>5.8436302811201643E-2</v>
      </c>
      <c r="Q32" s="110">
        <f>J31/C32</f>
        <v>0.14838396374035503</v>
      </c>
      <c r="R32" s="99" t="s">
        <v>82</v>
      </c>
      <c r="S32" s="213">
        <f>I31+M31</f>
        <v>1460</v>
      </c>
      <c r="T32" s="344"/>
      <c r="U32" s="345"/>
      <c r="V32" s="55"/>
      <c r="W32" s="55"/>
      <c r="X32" s="56" t="s">
        <v>27</v>
      </c>
      <c r="Y32" s="56"/>
      <c r="Z32" s="54">
        <f>I31</f>
        <v>1035</v>
      </c>
      <c r="AE32" s="37"/>
      <c r="AF32" s="37"/>
      <c r="AG32" s="37"/>
      <c r="AH32" s="37"/>
    </row>
    <row r="33" spans="1:34" ht="17.25" thickBot="1" x14ac:dyDescent="0.35">
      <c r="A33" s="296" t="s">
        <v>24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337"/>
      <c r="U33" s="338"/>
      <c r="X33" s="57" t="s">
        <v>29</v>
      </c>
      <c r="Y33" s="57"/>
      <c r="Z33" s="58">
        <f>SUM(Z31:Z32)</f>
        <v>-1710</v>
      </c>
      <c r="AE33" s="37"/>
      <c r="AF33" s="37"/>
      <c r="AG33" s="59"/>
      <c r="AH33" s="37"/>
    </row>
    <row r="34" spans="1:34" ht="17.25" thickBot="1" x14ac:dyDescent="0.35">
      <c r="A34" s="336" t="str">
        <f>A2</f>
        <v>4 - 4 - 2022</v>
      </c>
      <c r="B34" s="337"/>
      <c r="C34" s="337"/>
      <c r="D34" s="337"/>
      <c r="E34" s="337"/>
      <c r="F34" s="337"/>
      <c r="G34" s="338"/>
      <c r="H34" s="339" t="s">
        <v>49</v>
      </c>
      <c r="I34" s="340"/>
      <c r="J34" s="336" t="str">
        <f>J2</f>
        <v>SUNNY</v>
      </c>
      <c r="K34" s="338"/>
      <c r="L34" s="340" t="s">
        <v>50</v>
      </c>
      <c r="M34" s="341"/>
      <c r="N34" s="339"/>
      <c r="O34" s="337" t="str">
        <f>O2</f>
        <v>HENDRA</v>
      </c>
      <c r="P34" s="337"/>
      <c r="Q34" s="338"/>
      <c r="R34" s="340" t="s">
        <v>51</v>
      </c>
      <c r="S34" s="339"/>
      <c r="T34" s="328">
        <f>T2</f>
        <v>6</v>
      </c>
      <c r="U34" s="32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29" t="s">
        <v>8</v>
      </c>
      <c r="P36" s="329"/>
      <c r="Q36" s="329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3"/>
      <c r="P37" s="302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3"/>
      <c r="P39" s="302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3"/>
      <c r="P40" s="334"/>
      <c r="Q40" s="33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3"/>
      <c r="P41" s="334"/>
      <c r="Q41" s="335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5"/>
      <c r="P42" s="326"/>
      <c r="Q42" s="327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3"/>
      <c r="P43" s="302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3"/>
      <c r="P44" s="302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3"/>
      <c r="P45" s="302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3"/>
      <c r="P46" s="302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3"/>
      <c r="P47" s="302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3"/>
      <c r="P48" s="302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3"/>
      <c r="P49" s="302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3"/>
      <c r="P50" s="302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3"/>
      <c r="P51" s="302"/>
      <c r="Q51" s="302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3"/>
      <c r="P52" s="302"/>
      <c r="Q52" s="302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4"/>
      <c r="P53" s="303"/>
      <c r="Q53" s="303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4"/>
      <c r="P54" s="303"/>
      <c r="Q54" s="303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4"/>
      <c r="P55" s="303"/>
      <c r="Q55" s="303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2"/>
      <c r="P56" s="302"/>
      <c r="Q56" s="302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3"/>
      <c r="P57" s="302"/>
      <c r="Q57" s="302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2"/>
      <c r="P58" s="302"/>
      <c r="Q58" s="302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2"/>
      <c r="P59" s="302"/>
      <c r="Q59" s="302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3"/>
      <c r="P60" s="302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5"/>
      <c r="P61" s="306"/>
      <c r="Q61" s="307"/>
      <c r="R61" s="81"/>
      <c r="S61" s="68"/>
      <c r="T61" s="68"/>
      <c r="U61" s="77"/>
    </row>
    <row r="62" spans="1:21" x14ac:dyDescent="0.3">
      <c r="A62" s="308" t="s">
        <v>48</v>
      </c>
      <c r="B62" s="309"/>
      <c r="C62" s="309"/>
      <c r="D62" s="309"/>
      <c r="E62" s="309"/>
      <c r="F62" s="309"/>
      <c r="G62" s="309"/>
      <c r="H62" s="309">
        <f t="shared" ref="H62:M62" si="8">SUM(H37:H61)</f>
        <v>0</v>
      </c>
      <c r="I62" s="315">
        <f t="shared" si="8"/>
        <v>0</v>
      </c>
      <c r="J62" s="315">
        <f>J61+J60+J59+J58+J57+J56+J55+J54+J53+J52+J51+J50+J49+J48+J47+J46+J45+J44+J43+J42+J41+J40+J39+J38+J37</f>
        <v>0</v>
      </c>
      <c r="K62" s="315">
        <f>K61+K60+K59+K58+K57+K56+K55+K54+K53+K52+K51+K50+K49+K48+K47+K46+K45+K44+K43+K42+K41+K40+K39+K38+K37</f>
        <v>0</v>
      </c>
      <c r="L62" s="318">
        <f t="shared" si="8"/>
        <v>0</v>
      </c>
      <c r="M62" s="321">
        <f t="shared" si="8"/>
        <v>0</v>
      </c>
      <c r="N62" s="290"/>
      <c r="O62" s="291"/>
      <c r="P62" s="291"/>
      <c r="Q62" s="292"/>
      <c r="R62" s="5"/>
      <c r="S62" s="6"/>
      <c r="T62" s="7"/>
      <c r="U62" s="8"/>
    </row>
    <row r="63" spans="1:21" ht="17.25" thickBot="1" x14ac:dyDescent="0.35">
      <c r="A63" s="311"/>
      <c r="B63" s="312"/>
      <c r="C63" s="312"/>
      <c r="D63" s="312"/>
      <c r="E63" s="312"/>
      <c r="F63" s="312"/>
      <c r="G63" s="312"/>
      <c r="H63" s="312"/>
      <c r="I63" s="316"/>
      <c r="J63" s="316"/>
      <c r="K63" s="316"/>
      <c r="L63" s="319"/>
      <c r="M63" s="322"/>
      <c r="N63" s="293"/>
      <c r="O63" s="294"/>
      <c r="P63" s="294"/>
      <c r="Q63" s="295"/>
      <c r="R63" s="1"/>
      <c r="S63" s="2"/>
      <c r="T63" s="3"/>
      <c r="U63" s="4"/>
    </row>
    <row r="64" spans="1:21" ht="17.25" thickBot="1" x14ac:dyDescent="0.35">
      <c r="A64" s="313"/>
      <c r="B64" s="314"/>
      <c r="C64" s="314"/>
      <c r="D64" s="314"/>
      <c r="E64" s="314"/>
      <c r="F64" s="314"/>
      <c r="G64" s="314"/>
      <c r="H64" s="314"/>
      <c r="I64" s="317"/>
      <c r="J64" s="317"/>
      <c r="K64" s="317"/>
      <c r="L64" s="320"/>
      <c r="M64" s="323"/>
      <c r="N64" s="296"/>
      <c r="O64" s="297"/>
      <c r="P64" s="297"/>
      <c r="Q64" s="298"/>
      <c r="R64" s="299" t="s">
        <v>17</v>
      </c>
      <c r="S64" s="300"/>
      <c r="T64" s="300"/>
      <c r="U64" s="301"/>
    </row>
    <row r="65" spans="1:21" ht="17.25" thickBot="1" x14ac:dyDescent="0.35">
      <c r="A65" s="336" t="s">
        <v>24</v>
      </c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8"/>
    </row>
    <row r="66" spans="1:21" ht="17.25" thickBot="1" x14ac:dyDescent="0.35">
      <c r="A66" s="336" t="str">
        <f>A34</f>
        <v>4 - 4 - 2022</v>
      </c>
      <c r="B66" s="337"/>
      <c r="C66" s="337"/>
      <c r="D66" s="337"/>
      <c r="E66" s="337"/>
      <c r="F66" s="337"/>
      <c r="G66" s="338"/>
      <c r="H66" s="339" t="s">
        <v>49</v>
      </c>
      <c r="I66" s="340"/>
      <c r="J66" s="336" t="str">
        <f>J34</f>
        <v>SUNNY</v>
      </c>
      <c r="K66" s="338"/>
      <c r="L66" s="340" t="s">
        <v>50</v>
      </c>
      <c r="M66" s="341"/>
      <c r="N66" s="339"/>
      <c r="O66" s="337" t="str">
        <f>O34</f>
        <v>HENDRA</v>
      </c>
      <c r="P66" s="337"/>
      <c r="Q66" s="338"/>
      <c r="R66" s="340" t="s">
        <v>51</v>
      </c>
      <c r="S66" s="339"/>
      <c r="T66" s="328">
        <f>T34</f>
        <v>6</v>
      </c>
      <c r="U66" s="32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29" t="s">
        <v>8</v>
      </c>
      <c r="P68" s="329"/>
      <c r="Q68" s="329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3"/>
      <c r="P69" s="302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3"/>
      <c r="P71" s="302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3"/>
      <c r="P72" s="334"/>
      <c r="Q72" s="33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3"/>
      <c r="P73" s="334"/>
      <c r="Q73" s="33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5"/>
      <c r="P74" s="326"/>
      <c r="Q74" s="327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3"/>
      <c r="P75" s="302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3"/>
      <c r="P76" s="302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3"/>
      <c r="P77" s="302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3"/>
      <c r="P78" s="302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3"/>
      <c r="P79" s="302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3"/>
      <c r="P80" s="302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3"/>
      <c r="P81" s="302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3"/>
      <c r="P82" s="302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3"/>
      <c r="P83" s="302"/>
      <c r="Q83" s="302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3"/>
      <c r="P84" s="302"/>
      <c r="Q84" s="302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4"/>
      <c r="P85" s="303"/>
      <c r="Q85" s="30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4"/>
      <c r="P86" s="303"/>
      <c r="Q86" s="30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4"/>
      <c r="P87" s="303"/>
      <c r="Q87" s="30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2"/>
      <c r="P88" s="302"/>
      <c r="Q88" s="302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3"/>
      <c r="P89" s="302"/>
      <c r="Q89" s="302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2"/>
      <c r="P90" s="302"/>
      <c r="Q90" s="302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2"/>
      <c r="P91" s="302"/>
      <c r="Q91" s="302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3"/>
      <c r="P92" s="302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5"/>
      <c r="P93" s="306"/>
      <c r="Q93" s="307"/>
      <c r="R93" s="81"/>
      <c r="S93" s="68"/>
      <c r="T93" s="68"/>
      <c r="U93" s="77"/>
    </row>
    <row r="94" spans="1:21" x14ac:dyDescent="0.3">
      <c r="A94" s="308" t="s">
        <v>48</v>
      </c>
      <c r="B94" s="309"/>
      <c r="C94" s="309"/>
      <c r="D94" s="309"/>
      <c r="E94" s="310"/>
      <c r="F94" s="309"/>
      <c r="G94" s="309"/>
      <c r="H94" s="309">
        <f t="shared" ref="H94:M94" si="12">SUM(H69:H93)</f>
        <v>0</v>
      </c>
      <c r="I94" s="315">
        <f t="shared" si="12"/>
        <v>0</v>
      </c>
      <c r="J94" s="315">
        <f>J93+J92+J91+J90+J89+J88+J87+J86+J85+J84+J83+J82+J81+J80+J79+J78+J77+J76+J75+J74+J73+J72+J71+J70+J69</f>
        <v>0</v>
      </c>
      <c r="K94" s="315">
        <f>K93+K92+K91+K90+K89+K88+K87+K86+K85+K84+K83+K82+K81+K80+K79+K78+K77+K76+K75+K74+K73+K72+K71+K70+K69</f>
        <v>0</v>
      </c>
      <c r="L94" s="318">
        <f t="shared" si="12"/>
        <v>0</v>
      </c>
      <c r="M94" s="321">
        <f t="shared" si="12"/>
        <v>0</v>
      </c>
      <c r="N94" s="290"/>
      <c r="O94" s="291"/>
      <c r="P94" s="291"/>
      <c r="Q94" s="292"/>
      <c r="R94" s="5"/>
      <c r="S94" s="6"/>
      <c r="T94" s="7"/>
      <c r="U94" s="8"/>
    </row>
    <row r="95" spans="1:21" ht="17.25" thickBot="1" x14ac:dyDescent="0.35">
      <c r="A95" s="311"/>
      <c r="B95" s="312"/>
      <c r="C95" s="312"/>
      <c r="D95" s="312"/>
      <c r="E95" s="312"/>
      <c r="F95" s="312"/>
      <c r="G95" s="312"/>
      <c r="H95" s="312"/>
      <c r="I95" s="316"/>
      <c r="J95" s="316"/>
      <c r="K95" s="316"/>
      <c r="L95" s="319"/>
      <c r="M95" s="322"/>
      <c r="N95" s="293"/>
      <c r="O95" s="294"/>
      <c r="P95" s="294"/>
      <c r="Q95" s="295"/>
      <c r="R95" s="1"/>
      <c r="S95" s="2"/>
      <c r="T95" s="3"/>
      <c r="U95" s="4"/>
    </row>
    <row r="96" spans="1:21" ht="17.25" thickBot="1" x14ac:dyDescent="0.35">
      <c r="A96" s="313"/>
      <c r="B96" s="314"/>
      <c r="C96" s="314"/>
      <c r="D96" s="314"/>
      <c r="E96" s="314"/>
      <c r="F96" s="314"/>
      <c r="G96" s="314"/>
      <c r="H96" s="314"/>
      <c r="I96" s="317"/>
      <c r="J96" s="317"/>
      <c r="K96" s="317"/>
      <c r="L96" s="320"/>
      <c r="M96" s="323"/>
      <c r="N96" s="296"/>
      <c r="O96" s="297"/>
      <c r="P96" s="297"/>
      <c r="Q96" s="298"/>
      <c r="R96" s="299" t="s">
        <v>52</v>
      </c>
      <c r="S96" s="300"/>
      <c r="T96" s="300"/>
      <c r="U96" s="301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I22" sqref="I2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6" t="s">
        <v>77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8"/>
    </row>
    <row r="2" spans="1:44" ht="17.25" thickBot="1" x14ac:dyDescent="0.35">
      <c r="A2" s="336" t="s">
        <v>153</v>
      </c>
      <c r="B2" s="337"/>
      <c r="C2" s="337"/>
      <c r="D2" s="337"/>
      <c r="E2" s="337"/>
      <c r="F2" s="337"/>
      <c r="G2" s="338"/>
      <c r="H2" s="339" t="s">
        <v>49</v>
      </c>
      <c r="I2" s="340"/>
      <c r="J2" s="336" t="s">
        <v>98</v>
      </c>
      <c r="K2" s="338"/>
      <c r="L2" s="340" t="s">
        <v>96</v>
      </c>
      <c r="M2" s="341"/>
      <c r="N2" s="339"/>
      <c r="O2" s="337" t="s">
        <v>99</v>
      </c>
      <c r="P2" s="337"/>
      <c r="Q2" s="338"/>
      <c r="R2" s="340" t="s">
        <v>51</v>
      </c>
      <c r="S2" s="339"/>
      <c r="T2" s="328">
        <v>6</v>
      </c>
      <c r="U2" s="32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9" t="s">
        <v>8</v>
      </c>
      <c r="P4" s="329"/>
      <c r="Q4" s="329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3388</v>
      </c>
      <c r="C5" s="68" t="s">
        <v>154</v>
      </c>
      <c r="D5" s="200" t="s">
        <v>155</v>
      </c>
      <c r="E5" s="181" t="s">
        <v>91</v>
      </c>
      <c r="F5" s="170">
        <v>755</v>
      </c>
      <c r="G5" s="118" t="s">
        <v>44</v>
      </c>
      <c r="H5" s="91"/>
      <c r="I5" s="124"/>
      <c r="J5" s="130">
        <v>110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103</v>
      </c>
      <c r="O5" s="382" t="s">
        <v>156</v>
      </c>
      <c r="P5" s="383"/>
      <c r="Q5" s="384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3389</v>
      </c>
      <c r="C6" s="67" t="s">
        <v>157</v>
      </c>
      <c r="D6" s="200" t="s">
        <v>158</v>
      </c>
      <c r="E6" s="181" t="s">
        <v>92</v>
      </c>
      <c r="F6" s="171">
        <v>830</v>
      </c>
      <c r="G6" s="118" t="s">
        <v>159</v>
      </c>
      <c r="H6" s="91">
        <v>120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0"/>
      <c r="P6" s="331"/>
      <c r="Q6" s="332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3390</v>
      </c>
      <c r="C7" s="67" t="s">
        <v>162</v>
      </c>
      <c r="D7" s="200" t="s">
        <v>163</v>
      </c>
      <c r="E7" s="181" t="s">
        <v>91</v>
      </c>
      <c r="F7" s="171">
        <v>855</v>
      </c>
      <c r="G7" s="118" t="s">
        <v>164</v>
      </c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3" t="s">
        <v>165</v>
      </c>
      <c r="P7" s="302"/>
      <c r="Q7" s="304"/>
      <c r="R7" s="134" t="s">
        <v>105</v>
      </c>
      <c r="S7" s="31">
        <v>0.38541666666666669</v>
      </c>
      <c r="T7" s="32">
        <v>0.66666666666666663</v>
      </c>
      <c r="U7" s="92">
        <f t="shared" si="0"/>
        <v>6.7499999999999982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3391</v>
      </c>
      <c r="C8" s="27" t="s">
        <v>160</v>
      </c>
      <c r="D8" s="200" t="s">
        <v>161</v>
      </c>
      <c r="E8" s="181" t="s">
        <v>92</v>
      </c>
      <c r="F8" s="171">
        <v>920</v>
      </c>
      <c r="G8" s="118" t="s">
        <v>111</v>
      </c>
      <c r="H8" s="91"/>
      <c r="I8" s="124">
        <v>85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3"/>
      <c r="P8" s="334"/>
      <c r="Q8" s="335"/>
      <c r="R8" s="26" t="s">
        <v>106</v>
      </c>
      <c r="S8" s="31">
        <v>0.38541666666666669</v>
      </c>
      <c r="T8" s="32">
        <v>0.66666666666666663</v>
      </c>
      <c r="U8" s="92">
        <f t="shared" si="0"/>
        <v>6.7499999999999982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3392</v>
      </c>
      <c r="C9" s="63" t="s">
        <v>168</v>
      </c>
      <c r="D9" s="201" t="s">
        <v>169</v>
      </c>
      <c r="E9" s="181" t="s">
        <v>92</v>
      </c>
      <c r="F9" s="172">
        <v>1045</v>
      </c>
      <c r="G9" s="119" t="s">
        <v>118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3"/>
      <c r="P9" s="334"/>
      <c r="Q9" s="335"/>
      <c r="R9" s="26" t="s">
        <v>108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3393</v>
      </c>
      <c r="C10" s="28" t="s">
        <v>167</v>
      </c>
      <c r="D10" s="202" t="s">
        <v>163</v>
      </c>
      <c r="E10" s="181" t="s">
        <v>91</v>
      </c>
      <c r="F10" s="173">
        <v>1045</v>
      </c>
      <c r="G10" s="120" t="s">
        <v>164</v>
      </c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5" t="s">
        <v>166</v>
      </c>
      <c r="P10" s="326"/>
      <c r="Q10" s="327"/>
      <c r="R10" s="26" t="s">
        <v>107</v>
      </c>
      <c r="S10" s="31">
        <v>0.39583333333333331</v>
      </c>
      <c r="T10" s="32">
        <v>0.66666666666666663</v>
      </c>
      <c r="U10" s="92">
        <f t="shared" si="0"/>
        <v>6.5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3394</v>
      </c>
      <c r="C11" s="18" t="s">
        <v>170</v>
      </c>
      <c r="D11" s="203" t="s">
        <v>171</v>
      </c>
      <c r="E11" s="181" t="s">
        <v>92</v>
      </c>
      <c r="F11" s="66">
        <v>1130</v>
      </c>
      <c r="G11" s="121" t="s">
        <v>118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3"/>
      <c r="P11" s="302"/>
      <c r="Q11" s="30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3395</v>
      </c>
      <c r="C12" s="64" t="s">
        <v>172</v>
      </c>
      <c r="D12" s="204" t="s">
        <v>173</v>
      </c>
      <c r="E12" s="181" t="s">
        <v>92</v>
      </c>
      <c r="F12" s="173">
        <v>1200</v>
      </c>
      <c r="G12" s="119" t="s">
        <v>111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3"/>
      <c r="P12" s="302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3396</v>
      </c>
      <c r="C13" s="64" t="s">
        <v>174</v>
      </c>
      <c r="D13" s="204" t="s">
        <v>175</v>
      </c>
      <c r="E13" s="181" t="s">
        <v>92</v>
      </c>
      <c r="F13" s="173">
        <v>1200</v>
      </c>
      <c r="G13" s="119" t="s">
        <v>111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3"/>
      <c r="P13" s="302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3397</v>
      </c>
      <c r="C14" s="65" t="s">
        <v>176</v>
      </c>
      <c r="D14" s="205" t="s">
        <v>177</v>
      </c>
      <c r="E14" s="181" t="s">
        <v>92</v>
      </c>
      <c r="F14" s="174">
        <v>1215</v>
      </c>
      <c r="G14" s="122" t="s">
        <v>114</v>
      </c>
      <c r="H14" s="123"/>
      <c r="I14" s="125"/>
      <c r="J14" s="130" t="str">
        <f t="shared" si="1"/>
        <v>0</v>
      </c>
      <c r="K14" s="130">
        <v>116.6</v>
      </c>
      <c r="L14" s="131"/>
      <c r="M14" s="131"/>
      <c r="N14" s="134" t="s">
        <v>99</v>
      </c>
      <c r="O14" s="303" t="s">
        <v>178</v>
      </c>
      <c r="P14" s="302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3398</v>
      </c>
      <c r="C15" s="65" t="s">
        <v>182</v>
      </c>
      <c r="D15" s="205" t="s">
        <v>183</v>
      </c>
      <c r="E15" s="181" t="s">
        <v>91</v>
      </c>
      <c r="F15" s="174">
        <v>1245</v>
      </c>
      <c r="G15" s="122" t="s">
        <v>111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3"/>
      <c r="P15" s="302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3399</v>
      </c>
      <c r="C16" s="65" t="s">
        <v>179</v>
      </c>
      <c r="D16" s="205"/>
      <c r="E16" s="181" t="s">
        <v>92</v>
      </c>
      <c r="F16" s="174">
        <v>1245</v>
      </c>
      <c r="G16" s="122" t="s">
        <v>164</v>
      </c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3" t="s">
        <v>180</v>
      </c>
      <c r="P16" s="302"/>
      <c r="Q16" s="304"/>
      <c r="R16" s="82">
        <f>H32/U16</f>
        <v>0.36363636363636365</v>
      </c>
      <c r="S16" s="83">
        <f>H32/(U16-U5)</f>
        <v>0.45714285714285713</v>
      </c>
      <c r="T16" s="83">
        <f>C32/U16</f>
        <v>25.15</v>
      </c>
      <c r="U16" s="83">
        <f>SUM(U5:U15)</f>
        <v>44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3400</v>
      </c>
      <c r="C17" s="18" t="s">
        <v>186</v>
      </c>
      <c r="D17" s="203" t="s">
        <v>187</v>
      </c>
      <c r="E17" s="181" t="s">
        <v>91</v>
      </c>
      <c r="F17" s="66">
        <v>1300</v>
      </c>
      <c r="G17" s="121" t="s">
        <v>111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3"/>
      <c r="P17" s="302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3401</v>
      </c>
      <c r="C18" s="18" t="s">
        <v>181</v>
      </c>
      <c r="D18" s="203"/>
      <c r="E18" s="181" t="s">
        <v>92</v>
      </c>
      <c r="F18" s="66">
        <v>1400</v>
      </c>
      <c r="G18" s="20" t="s">
        <v>118</v>
      </c>
      <c r="H18" s="123">
        <v>55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3"/>
      <c r="P18" s="302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3402</v>
      </c>
      <c r="C19" s="18" t="s">
        <v>184</v>
      </c>
      <c r="D19" s="203" t="s">
        <v>185</v>
      </c>
      <c r="E19" s="181" t="s">
        <v>92</v>
      </c>
      <c r="F19" s="66">
        <v>1400</v>
      </c>
      <c r="G19" s="121" t="s">
        <v>118</v>
      </c>
      <c r="H19" s="123">
        <v>55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3"/>
      <c r="P19" s="302"/>
      <c r="Q19" s="30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3403</v>
      </c>
      <c r="C20" s="18" t="s">
        <v>188</v>
      </c>
      <c r="D20" s="203" t="s">
        <v>189</v>
      </c>
      <c r="E20" s="181" t="s">
        <v>92</v>
      </c>
      <c r="F20" s="66">
        <v>1435</v>
      </c>
      <c r="G20" s="121" t="s">
        <v>118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3"/>
      <c r="P21" s="302"/>
      <c r="Q21" s="30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3"/>
      <c r="P22" s="302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3"/>
      <c r="P24" s="302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3"/>
      <c r="P25" s="302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3</v>
      </c>
      <c r="U25" s="377">
        <f>((C32+(R26+S26+T26)*0.5))</f>
        <v>1181.5999999999999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3"/>
      <c r="P26" s="302"/>
      <c r="Q26" s="304"/>
      <c r="R26" s="112">
        <f>R25*37.5</f>
        <v>0</v>
      </c>
      <c r="S26" s="102">
        <f>S25*41.5</f>
        <v>0</v>
      </c>
      <c r="T26" s="102">
        <f>T25*50</f>
        <v>150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3"/>
      <c r="P27" s="302"/>
      <c r="Q27" s="304"/>
      <c r="R27" s="366" t="s">
        <v>56</v>
      </c>
      <c r="S27" s="367"/>
      <c r="T27" s="367"/>
      <c r="U27" s="36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3"/>
      <c r="P28" s="302"/>
      <c r="Q28" s="304"/>
      <c r="R28" s="359"/>
      <c r="S28" s="360"/>
      <c r="T28" s="36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6"/>
      <c r="P29" s="347"/>
      <c r="Q29" s="348"/>
      <c r="R29" s="349"/>
      <c r="S29" s="350"/>
      <c r="T29" s="35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2" t="s">
        <v>48</v>
      </c>
      <c r="B30" s="353"/>
      <c r="C30" s="353"/>
      <c r="D30" s="353"/>
      <c r="E30" s="354"/>
      <c r="F30" s="353"/>
      <c r="G30" s="353"/>
      <c r="H30" s="264">
        <f t="shared" ref="H30:M30" si="3">SUM(H5:H29)</f>
        <v>325</v>
      </c>
      <c r="I30" s="105">
        <f>SUM(I5:I29)</f>
        <v>555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116.6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5"/>
      <c r="S30" s="355"/>
      <c r="T30" s="35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7" t="s">
        <v>16</v>
      </c>
      <c r="B31" s="358"/>
      <c r="C31" s="358"/>
      <c r="D31" s="358"/>
      <c r="E31" s="358"/>
      <c r="F31" s="358"/>
      <c r="G31" s="358"/>
      <c r="H31" s="265">
        <f t="shared" ref="H31:J31" si="4">H30+H62+H94</f>
        <v>325</v>
      </c>
      <c r="I31" s="103">
        <f t="shared" si="4"/>
        <v>555</v>
      </c>
      <c r="J31" s="103">
        <f t="shared" si="4"/>
        <v>110</v>
      </c>
      <c r="K31" s="103">
        <f>K30+K62+K94</f>
        <v>116.6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325</v>
      </c>
      <c r="T31" s="342">
        <f>H31+I31+L31+M31</f>
        <v>880</v>
      </c>
      <c r="U31" s="34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2" t="s">
        <v>55</v>
      </c>
      <c r="B32" s="363"/>
      <c r="C32" s="107">
        <f>H31+I31+J31+K31</f>
        <v>1106.5999999999999</v>
      </c>
      <c r="D32" s="196"/>
      <c r="E32" s="107"/>
      <c r="F32" s="364" t="s">
        <v>53</v>
      </c>
      <c r="G32" s="364"/>
      <c r="H32" s="109">
        <f>COUNT(B5:B29,B37:B61,B69:B93)</f>
        <v>16</v>
      </c>
      <c r="I32" s="365" t="s">
        <v>54</v>
      </c>
      <c r="J32" s="365"/>
      <c r="K32" s="108">
        <f>C32/H32</f>
        <v>69.162499999999994</v>
      </c>
      <c r="L32" s="260"/>
      <c r="M32" s="260"/>
      <c r="N32" s="260">
        <f>H31/C32</f>
        <v>0.29369239110789808</v>
      </c>
      <c r="O32" s="260">
        <f>I31/C32</f>
        <v>0.50153623712271833</v>
      </c>
      <c r="P32" s="260">
        <f>K31/C32</f>
        <v>0.10536779324055666</v>
      </c>
      <c r="Q32" s="110">
        <f>J31/C32</f>
        <v>9.9403578528827044E-2</v>
      </c>
      <c r="R32" s="99" t="s">
        <v>82</v>
      </c>
      <c r="S32" s="266">
        <f>I31+M31</f>
        <v>555</v>
      </c>
      <c r="T32" s="344"/>
      <c r="U32" s="345"/>
      <c r="V32" s="55"/>
      <c r="W32" s="55"/>
      <c r="X32" s="56" t="s">
        <v>27</v>
      </c>
      <c r="Y32" s="56"/>
      <c r="Z32" s="54">
        <f>I31</f>
        <v>555</v>
      </c>
      <c r="AE32" s="37"/>
      <c r="AF32" s="37"/>
      <c r="AG32" s="37"/>
      <c r="AH32" s="37"/>
    </row>
    <row r="33" spans="1:34" ht="17.25" thickBot="1" x14ac:dyDescent="0.35">
      <c r="A33" s="296" t="s">
        <v>24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337"/>
      <c r="U33" s="338"/>
      <c r="X33" s="57" t="s">
        <v>29</v>
      </c>
      <c r="Y33" s="57"/>
      <c r="Z33" s="58">
        <f>SUM(Z31:Z32)</f>
        <v>-2190</v>
      </c>
      <c r="AE33" s="37"/>
      <c r="AF33" s="37"/>
      <c r="AG33" s="59"/>
      <c r="AH33" s="37"/>
    </row>
    <row r="34" spans="1:34" ht="17.25" thickBot="1" x14ac:dyDescent="0.35">
      <c r="A34" s="336" t="str">
        <f>A2</f>
        <v>5 - 4 - 2022</v>
      </c>
      <c r="B34" s="337"/>
      <c r="C34" s="337"/>
      <c r="D34" s="337"/>
      <c r="E34" s="337"/>
      <c r="F34" s="337"/>
      <c r="G34" s="338"/>
      <c r="H34" s="339" t="s">
        <v>49</v>
      </c>
      <c r="I34" s="340"/>
      <c r="J34" s="336" t="str">
        <f>J2</f>
        <v>SUNNY</v>
      </c>
      <c r="K34" s="338"/>
      <c r="L34" s="340" t="s">
        <v>50</v>
      </c>
      <c r="M34" s="341"/>
      <c r="N34" s="339"/>
      <c r="O34" s="337" t="str">
        <f>O2</f>
        <v>HENDRA</v>
      </c>
      <c r="P34" s="337"/>
      <c r="Q34" s="338"/>
      <c r="R34" s="340" t="s">
        <v>51</v>
      </c>
      <c r="S34" s="339"/>
      <c r="T34" s="328">
        <f>T2</f>
        <v>6</v>
      </c>
      <c r="U34" s="32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9" t="s">
        <v>8</v>
      </c>
      <c r="P36" s="329"/>
      <c r="Q36" s="329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3"/>
      <c r="P37" s="302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3"/>
      <c r="P39" s="302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3"/>
      <c r="P40" s="334"/>
      <c r="Q40" s="33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3"/>
      <c r="P41" s="334"/>
      <c r="Q41" s="33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5"/>
      <c r="P42" s="326"/>
      <c r="Q42" s="327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3"/>
      <c r="P43" s="302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3"/>
      <c r="P44" s="302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3"/>
      <c r="P45" s="302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3"/>
      <c r="P46" s="302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3"/>
      <c r="P47" s="302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3"/>
      <c r="P48" s="302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3"/>
      <c r="P49" s="302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3"/>
      <c r="P50" s="302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3"/>
      <c r="P51" s="302"/>
      <c r="Q51" s="302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3"/>
      <c r="P52" s="302"/>
      <c r="Q52" s="302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4"/>
      <c r="P53" s="303"/>
      <c r="Q53" s="30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4"/>
      <c r="P54" s="303"/>
      <c r="Q54" s="30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4"/>
      <c r="P55" s="303"/>
      <c r="Q55" s="30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2"/>
      <c r="P56" s="302"/>
      <c r="Q56" s="302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3"/>
      <c r="P57" s="302"/>
      <c r="Q57" s="302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2"/>
      <c r="P58" s="302"/>
      <c r="Q58" s="302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2"/>
      <c r="P59" s="302"/>
      <c r="Q59" s="302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3"/>
      <c r="P60" s="302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5"/>
      <c r="P61" s="306"/>
      <c r="Q61" s="307"/>
      <c r="R61" s="81"/>
      <c r="S61" s="68"/>
      <c r="T61" s="68"/>
      <c r="U61" s="77"/>
    </row>
    <row r="62" spans="1:21" x14ac:dyDescent="0.3">
      <c r="A62" s="308" t="s">
        <v>48</v>
      </c>
      <c r="B62" s="309"/>
      <c r="C62" s="309"/>
      <c r="D62" s="309"/>
      <c r="E62" s="309"/>
      <c r="F62" s="309"/>
      <c r="G62" s="309"/>
      <c r="H62" s="309">
        <f t="shared" ref="H62:M62" si="8">SUM(H37:H61)</f>
        <v>0</v>
      </c>
      <c r="I62" s="315">
        <f t="shared" si="8"/>
        <v>0</v>
      </c>
      <c r="J62" s="315">
        <f>J61+J60+J59+J58+J57+J56+J55+J54+J53+J52+J51+J50+J49+J48+J47+J46+J45+J44+J43+J42+J41+J40+J39+J38+J37</f>
        <v>0</v>
      </c>
      <c r="K62" s="315">
        <f>K61+K60+K59+K58+K57+K56+K55+K54+K53+K52+K51+K50+K49+K48+K47+K46+K45+K44+K43+K42+K41+K40+K39+K38+K37</f>
        <v>0</v>
      </c>
      <c r="L62" s="318">
        <f t="shared" si="8"/>
        <v>0</v>
      </c>
      <c r="M62" s="321">
        <f t="shared" si="8"/>
        <v>0</v>
      </c>
      <c r="N62" s="290"/>
      <c r="O62" s="291"/>
      <c r="P62" s="291"/>
      <c r="Q62" s="292"/>
      <c r="R62" s="5"/>
      <c r="S62" s="6"/>
      <c r="T62" s="7"/>
      <c r="U62" s="8"/>
    </row>
    <row r="63" spans="1:21" ht="17.25" thickBot="1" x14ac:dyDescent="0.35">
      <c r="A63" s="311"/>
      <c r="B63" s="312"/>
      <c r="C63" s="312"/>
      <c r="D63" s="312"/>
      <c r="E63" s="312"/>
      <c r="F63" s="312"/>
      <c r="G63" s="312"/>
      <c r="H63" s="312"/>
      <c r="I63" s="316"/>
      <c r="J63" s="316"/>
      <c r="K63" s="316"/>
      <c r="L63" s="319"/>
      <c r="M63" s="322"/>
      <c r="N63" s="293"/>
      <c r="O63" s="294"/>
      <c r="P63" s="294"/>
      <c r="Q63" s="295"/>
      <c r="R63" s="1"/>
      <c r="S63" s="2"/>
      <c r="T63" s="3"/>
      <c r="U63" s="4"/>
    </row>
    <row r="64" spans="1:21" ht="17.25" thickBot="1" x14ac:dyDescent="0.35">
      <c r="A64" s="313"/>
      <c r="B64" s="314"/>
      <c r="C64" s="314"/>
      <c r="D64" s="314"/>
      <c r="E64" s="314"/>
      <c r="F64" s="314"/>
      <c r="G64" s="314"/>
      <c r="H64" s="314"/>
      <c r="I64" s="317"/>
      <c r="J64" s="317"/>
      <c r="K64" s="317"/>
      <c r="L64" s="320"/>
      <c r="M64" s="323"/>
      <c r="N64" s="296"/>
      <c r="O64" s="297"/>
      <c r="P64" s="297"/>
      <c r="Q64" s="298"/>
      <c r="R64" s="299" t="s">
        <v>17</v>
      </c>
      <c r="S64" s="300"/>
      <c r="T64" s="300"/>
      <c r="U64" s="301"/>
    </row>
    <row r="65" spans="1:21" ht="17.25" thickBot="1" x14ac:dyDescent="0.35">
      <c r="A65" s="336" t="s">
        <v>24</v>
      </c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8"/>
    </row>
    <row r="66" spans="1:21" ht="17.25" thickBot="1" x14ac:dyDescent="0.35">
      <c r="A66" s="336" t="str">
        <f>A34</f>
        <v>5 - 4 - 2022</v>
      </c>
      <c r="B66" s="337"/>
      <c r="C66" s="337"/>
      <c r="D66" s="337"/>
      <c r="E66" s="337"/>
      <c r="F66" s="337"/>
      <c r="G66" s="338"/>
      <c r="H66" s="339" t="s">
        <v>49</v>
      </c>
      <c r="I66" s="340"/>
      <c r="J66" s="336" t="str">
        <f>J34</f>
        <v>SUNNY</v>
      </c>
      <c r="K66" s="338"/>
      <c r="L66" s="340" t="s">
        <v>50</v>
      </c>
      <c r="M66" s="341"/>
      <c r="N66" s="339"/>
      <c r="O66" s="337" t="str">
        <f>O34</f>
        <v>HENDRA</v>
      </c>
      <c r="P66" s="337"/>
      <c r="Q66" s="338"/>
      <c r="R66" s="340" t="s">
        <v>51</v>
      </c>
      <c r="S66" s="339"/>
      <c r="T66" s="328">
        <f>T34</f>
        <v>6</v>
      </c>
      <c r="U66" s="32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9" t="s">
        <v>8</v>
      </c>
      <c r="P68" s="329"/>
      <c r="Q68" s="329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3"/>
      <c r="P69" s="302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3"/>
      <c r="P71" s="302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3"/>
      <c r="P72" s="334"/>
      <c r="Q72" s="33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3"/>
      <c r="P73" s="334"/>
      <c r="Q73" s="33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5"/>
      <c r="P74" s="326"/>
      <c r="Q74" s="327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3"/>
      <c r="P75" s="302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3"/>
      <c r="P76" s="302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3"/>
      <c r="P77" s="302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3"/>
      <c r="P78" s="302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3"/>
      <c r="P79" s="302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3"/>
      <c r="P80" s="302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3"/>
      <c r="P81" s="302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3"/>
      <c r="P82" s="302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3"/>
      <c r="P83" s="302"/>
      <c r="Q83" s="302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3"/>
      <c r="P84" s="302"/>
      <c r="Q84" s="302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4"/>
      <c r="P85" s="303"/>
      <c r="Q85" s="30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4"/>
      <c r="P86" s="303"/>
      <c r="Q86" s="30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4"/>
      <c r="P87" s="303"/>
      <c r="Q87" s="30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2"/>
      <c r="P88" s="302"/>
      <c r="Q88" s="302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3"/>
      <c r="P89" s="302"/>
      <c r="Q89" s="302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2"/>
      <c r="P90" s="302"/>
      <c r="Q90" s="302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2"/>
      <c r="P91" s="302"/>
      <c r="Q91" s="302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3"/>
      <c r="P92" s="302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5"/>
      <c r="P93" s="306"/>
      <c r="Q93" s="307"/>
      <c r="R93" s="81"/>
      <c r="S93" s="68"/>
      <c r="T93" s="68"/>
      <c r="U93" s="77"/>
    </row>
    <row r="94" spans="1:21" x14ac:dyDescent="0.3">
      <c r="A94" s="308" t="s">
        <v>48</v>
      </c>
      <c r="B94" s="309"/>
      <c r="C94" s="309"/>
      <c r="D94" s="309"/>
      <c r="E94" s="310"/>
      <c r="F94" s="309"/>
      <c r="G94" s="309"/>
      <c r="H94" s="309">
        <f t="shared" ref="H94:M94" si="12">SUM(H69:H93)</f>
        <v>0</v>
      </c>
      <c r="I94" s="315">
        <f t="shared" si="12"/>
        <v>0</v>
      </c>
      <c r="J94" s="315">
        <f>J93+J92+J91+J90+J89+J88+J87+J86+J85+J84+J83+J82+J81+J80+J79+J78+J77+J76+J75+J74+J73+J72+J71+J70+J69</f>
        <v>0</v>
      </c>
      <c r="K94" s="315">
        <f>K93+K92+K91+K90+K89+K88+K87+K86+K85+K84+K83+K82+K81+K80+K79+K78+K77+K76+K75+K74+K73+K72+K71+K70+K69</f>
        <v>0</v>
      </c>
      <c r="L94" s="318">
        <f t="shared" si="12"/>
        <v>0</v>
      </c>
      <c r="M94" s="321">
        <f t="shared" si="12"/>
        <v>0</v>
      </c>
      <c r="N94" s="290"/>
      <c r="O94" s="291"/>
      <c r="P94" s="291"/>
      <c r="Q94" s="292"/>
      <c r="R94" s="5"/>
      <c r="S94" s="6"/>
      <c r="T94" s="7"/>
      <c r="U94" s="8"/>
    </row>
    <row r="95" spans="1:21" ht="17.25" thickBot="1" x14ac:dyDescent="0.35">
      <c r="A95" s="311"/>
      <c r="B95" s="312"/>
      <c r="C95" s="312"/>
      <c r="D95" s="312"/>
      <c r="E95" s="312"/>
      <c r="F95" s="312"/>
      <c r="G95" s="312"/>
      <c r="H95" s="312"/>
      <c r="I95" s="316"/>
      <c r="J95" s="316"/>
      <c r="K95" s="316"/>
      <c r="L95" s="319"/>
      <c r="M95" s="322"/>
      <c r="N95" s="293"/>
      <c r="O95" s="294"/>
      <c r="P95" s="294"/>
      <c r="Q95" s="295"/>
      <c r="R95" s="1"/>
      <c r="S95" s="2"/>
      <c r="T95" s="3"/>
      <c r="U95" s="4"/>
    </row>
    <row r="96" spans="1:21" ht="17.25" thickBot="1" x14ac:dyDescent="0.35">
      <c r="A96" s="313"/>
      <c r="B96" s="314"/>
      <c r="C96" s="314"/>
      <c r="D96" s="314"/>
      <c r="E96" s="314"/>
      <c r="F96" s="314"/>
      <c r="G96" s="314"/>
      <c r="H96" s="314"/>
      <c r="I96" s="317"/>
      <c r="J96" s="317"/>
      <c r="K96" s="317"/>
      <c r="L96" s="320"/>
      <c r="M96" s="323"/>
      <c r="N96" s="296"/>
      <c r="O96" s="297"/>
      <c r="P96" s="297"/>
      <c r="Q96" s="298"/>
      <c r="R96" s="299" t="s">
        <v>52</v>
      </c>
      <c r="S96" s="300"/>
      <c r="T96" s="300"/>
      <c r="U96" s="30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T9" sqref="T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6" t="s">
        <v>77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8"/>
    </row>
    <row r="2" spans="1:44" ht="17.25" thickBot="1" x14ac:dyDescent="0.35">
      <c r="A2" s="336" t="s">
        <v>190</v>
      </c>
      <c r="B2" s="337"/>
      <c r="C2" s="337"/>
      <c r="D2" s="337"/>
      <c r="E2" s="337"/>
      <c r="F2" s="337"/>
      <c r="G2" s="338"/>
      <c r="H2" s="339" t="s">
        <v>49</v>
      </c>
      <c r="I2" s="340"/>
      <c r="J2" s="336" t="s">
        <v>191</v>
      </c>
      <c r="K2" s="338"/>
      <c r="L2" s="340" t="s">
        <v>96</v>
      </c>
      <c r="M2" s="341"/>
      <c r="N2" s="339"/>
      <c r="O2" s="337" t="s">
        <v>99</v>
      </c>
      <c r="P2" s="337"/>
      <c r="Q2" s="338"/>
      <c r="R2" s="340" t="s">
        <v>51</v>
      </c>
      <c r="S2" s="339"/>
      <c r="T2" s="328">
        <v>4</v>
      </c>
      <c r="U2" s="32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9" t="s">
        <v>8</v>
      </c>
      <c r="P4" s="329"/>
      <c r="Q4" s="329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82">
        <v>3404</v>
      </c>
      <c r="C5" s="68" t="s">
        <v>192</v>
      </c>
      <c r="D5" s="200" t="s">
        <v>193</v>
      </c>
      <c r="E5" s="181" t="s">
        <v>92</v>
      </c>
      <c r="F5" s="170">
        <v>815</v>
      </c>
      <c r="G5" s="118" t="s">
        <v>111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82"/>
      <c r="P5" s="383"/>
      <c r="Q5" s="384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3405</v>
      </c>
      <c r="C6" s="67" t="s">
        <v>194</v>
      </c>
      <c r="D6" s="200" t="s">
        <v>195</v>
      </c>
      <c r="E6" s="181" t="s">
        <v>92</v>
      </c>
      <c r="F6" s="171">
        <v>845</v>
      </c>
      <c r="G6" s="118" t="s">
        <v>196</v>
      </c>
      <c r="H6" s="91"/>
      <c r="I6" s="124">
        <v>480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0" t="s">
        <v>197</v>
      </c>
      <c r="P6" s="331"/>
      <c r="Q6" s="332"/>
      <c r="R6" s="132" t="s">
        <v>103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3406</v>
      </c>
      <c r="C7" s="67" t="s">
        <v>198</v>
      </c>
      <c r="D7" s="200" t="s">
        <v>199</v>
      </c>
      <c r="E7" s="181" t="s">
        <v>91</v>
      </c>
      <c r="F7" s="171">
        <v>900</v>
      </c>
      <c r="G7" s="118" t="s">
        <v>118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3"/>
      <c r="P7" s="302"/>
      <c r="Q7" s="304"/>
      <c r="R7" s="134" t="s">
        <v>105</v>
      </c>
      <c r="S7" s="31">
        <v>0.375</v>
      </c>
      <c r="T7" s="32">
        <v>0.625</v>
      </c>
      <c r="U7" s="92">
        <f t="shared" si="0"/>
        <v>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3407</v>
      </c>
      <c r="C8" s="27" t="s">
        <v>200</v>
      </c>
      <c r="D8" s="200" t="s">
        <v>201</v>
      </c>
      <c r="E8" s="181" t="s">
        <v>91</v>
      </c>
      <c r="F8" s="171">
        <v>1215</v>
      </c>
      <c r="G8" s="118" t="s">
        <v>118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3"/>
      <c r="P8" s="334"/>
      <c r="Q8" s="335"/>
      <c r="R8" s="26" t="s">
        <v>108</v>
      </c>
      <c r="S8" s="31">
        <v>0.4375</v>
      </c>
      <c r="T8" s="32">
        <v>0.66666666666666663</v>
      </c>
      <c r="U8" s="92">
        <f t="shared" si="0"/>
        <v>5.4999999999999991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33"/>
      <c r="P9" s="334"/>
      <c r="Q9" s="335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25"/>
      <c r="P10" s="326"/>
      <c r="Q10" s="327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3"/>
      <c r="P11" s="302"/>
      <c r="Q11" s="30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3"/>
      <c r="P12" s="302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3"/>
      <c r="P13" s="302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3"/>
      <c r="P14" s="302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3"/>
      <c r="P15" s="302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3"/>
      <c r="P16" s="302"/>
      <c r="Q16" s="304"/>
      <c r="R16" s="82">
        <f>H32/U16</f>
        <v>0.14545454545454545</v>
      </c>
      <c r="S16" s="83">
        <f>H32/(U16-U5)</f>
        <v>0.20512820512820512</v>
      </c>
      <c r="T16" s="83">
        <f>C32/U16</f>
        <v>26.363636363636363</v>
      </c>
      <c r="U16" s="83">
        <f>SUM(U5:U15)</f>
        <v>27.5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3"/>
      <c r="P17" s="302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3"/>
      <c r="P18" s="302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3"/>
      <c r="P19" s="302"/>
      <c r="Q19" s="30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3"/>
      <c r="P21" s="302"/>
      <c r="Q21" s="30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3"/>
      <c r="P22" s="302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3"/>
      <c r="P24" s="302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3"/>
      <c r="P25" s="302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725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3"/>
      <c r="P26" s="302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3"/>
      <c r="P27" s="302"/>
      <c r="Q27" s="304"/>
      <c r="R27" s="366" t="s">
        <v>56</v>
      </c>
      <c r="S27" s="367"/>
      <c r="T27" s="367"/>
      <c r="U27" s="36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3"/>
      <c r="P28" s="302"/>
      <c r="Q28" s="304"/>
      <c r="R28" s="359"/>
      <c r="S28" s="360"/>
      <c r="T28" s="36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6"/>
      <c r="P29" s="347"/>
      <c r="Q29" s="348"/>
      <c r="R29" s="349"/>
      <c r="S29" s="350"/>
      <c r="T29" s="35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2" t="s">
        <v>48</v>
      </c>
      <c r="B30" s="353"/>
      <c r="C30" s="353"/>
      <c r="D30" s="353"/>
      <c r="E30" s="354"/>
      <c r="F30" s="353"/>
      <c r="G30" s="353"/>
      <c r="H30" s="264">
        <f t="shared" ref="H30:M30" si="3">SUM(H5:H29)</f>
        <v>75</v>
      </c>
      <c r="I30" s="105">
        <f>SUM(I5:I29)</f>
        <v>650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5"/>
      <c r="S30" s="355"/>
      <c r="T30" s="35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7" t="s">
        <v>16</v>
      </c>
      <c r="B31" s="358"/>
      <c r="C31" s="358"/>
      <c r="D31" s="358"/>
      <c r="E31" s="358"/>
      <c r="F31" s="358"/>
      <c r="G31" s="358"/>
      <c r="H31" s="265">
        <f t="shared" ref="H31:J31" si="4">H30+H62+H94</f>
        <v>75</v>
      </c>
      <c r="I31" s="103">
        <f t="shared" si="4"/>
        <v>650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75</v>
      </c>
      <c r="T31" s="342">
        <f>H31+I31+L31+M31</f>
        <v>725</v>
      </c>
      <c r="U31" s="34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2" t="s">
        <v>55</v>
      </c>
      <c r="B32" s="363"/>
      <c r="C32" s="107">
        <f>H31+I31+J31+K31</f>
        <v>725</v>
      </c>
      <c r="D32" s="196"/>
      <c r="E32" s="107"/>
      <c r="F32" s="364" t="s">
        <v>53</v>
      </c>
      <c r="G32" s="364"/>
      <c r="H32" s="109">
        <f>COUNT(B5:B29,B37:B61,B69:B93)</f>
        <v>4</v>
      </c>
      <c r="I32" s="365" t="s">
        <v>54</v>
      </c>
      <c r="J32" s="365"/>
      <c r="K32" s="108">
        <f>C32/H32</f>
        <v>181.25</v>
      </c>
      <c r="L32" s="260"/>
      <c r="M32" s="260"/>
      <c r="N32" s="260">
        <f>H31/C32</f>
        <v>0.10344827586206896</v>
      </c>
      <c r="O32" s="260">
        <f>I31/C32</f>
        <v>0.89655172413793105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650</v>
      </c>
      <c r="T32" s="344"/>
      <c r="U32" s="345"/>
      <c r="V32" s="55"/>
      <c r="W32" s="55"/>
      <c r="X32" s="56" t="s">
        <v>27</v>
      </c>
      <c r="Y32" s="56"/>
      <c r="Z32" s="54">
        <f>I31</f>
        <v>650</v>
      </c>
      <c r="AE32" s="37"/>
      <c r="AF32" s="37"/>
      <c r="AG32" s="37"/>
      <c r="AH32" s="37"/>
    </row>
    <row r="33" spans="1:34" ht="17.25" thickBot="1" x14ac:dyDescent="0.35">
      <c r="A33" s="296" t="s">
        <v>24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337"/>
      <c r="U33" s="338"/>
      <c r="X33" s="57" t="s">
        <v>29</v>
      </c>
      <c r="Y33" s="57"/>
      <c r="Z33" s="58">
        <f>SUM(Z31:Z32)</f>
        <v>-2095</v>
      </c>
      <c r="AE33" s="37"/>
      <c r="AF33" s="37"/>
      <c r="AG33" s="59"/>
      <c r="AH33" s="37"/>
    </row>
    <row r="34" spans="1:34" ht="17.25" thickBot="1" x14ac:dyDescent="0.35">
      <c r="A34" s="336" t="str">
        <f>A2</f>
        <v>6 - 4 - 2022</v>
      </c>
      <c r="B34" s="337"/>
      <c r="C34" s="337"/>
      <c r="D34" s="337"/>
      <c r="E34" s="337"/>
      <c r="F34" s="337"/>
      <c r="G34" s="338"/>
      <c r="H34" s="339" t="s">
        <v>49</v>
      </c>
      <c r="I34" s="340"/>
      <c r="J34" s="336" t="str">
        <f>J2</f>
        <v>SHOWER</v>
      </c>
      <c r="K34" s="338"/>
      <c r="L34" s="340" t="s">
        <v>50</v>
      </c>
      <c r="M34" s="341"/>
      <c r="N34" s="339"/>
      <c r="O34" s="337" t="str">
        <f>O2</f>
        <v>HENDRA</v>
      </c>
      <c r="P34" s="337"/>
      <c r="Q34" s="338"/>
      <c r="R34" s="340" t="s">
        <v>51</v>
      </c>
      <c r="S34" s="339"/>
      <c r="T34" s="328">
        <f>T2</f>
        <v>4</v>
      </c>
      <c r="U34" s="32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9" t="s">
        <v>8</v>
      </c>
      <c r="P36" s="329"/>
      <c r="Q36" s="329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3"/>
      <c r="P37" s="302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3"/>
      <c r="P39" s="302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3"/>
      <c r="P40" s="334"/>
      <c r="Q40" s="33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3"/>
      <c r="P41" s="334"/>
      <c r="Q41" s="33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5"/>
      <c r="P42" s="326"/>
      <c r="Q42" s="327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3"/>
      <c r="P43" s="302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3"/>
      <c r="P44" s="302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3"/>
      <c r="P45" s="302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3"/>
      <c r="P46" s="302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3"/>
      <c r="P47" s="302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3"/>
      <c r="P48" s="302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3"/>
      <c r="P49" s="302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3"/>
      <c r="P50" s="302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3"/>
      <c r="P51" s="302"/>
      <c r="Q51" s="302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3"/>
      <c r="P52" s="302"/>
      <c r="Q52" s="302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4"/>
      <c r="P53" s="303"/>
      <c r="Q53" s="30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4"/>
      <c r="P54" s="303"/>
      <c r="Q54" s="30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4"/>
      <c r="P55" s="303"/>
      <c r="Q55" s="30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2"/>
      <c r="P56" s="302"/>
      <c r="Q56" s="302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3"/>
      <c r="P57" s="302"/>
      <c r="Q57" s="302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2"/>
      <c r="P58" s="302"/>
      <c r="Q58" s="302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2"/>
      <c r="P59" s="302"/>
      <c r="Q59" s="302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3"/>
      <c r="P60" s="302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5"/>
      <c r="P61" s="306"/>
      <c r="Q61" s="307"/>
      <c r="R61" s="81"/>
      <c r="S61" s="68"/>
      <c r="T61" s="68"/>
      <c r="U61" s="77"/>
    </row>
    <row r="62" spans="1:21" x14ac:dyDescent="0.3">
      <c r="A62" s="308" t="s">
        <v>48</v>
      </c>
      <c r="B62" s="309"/>
      <c r="C62" s="309"/>
      <c r="D62" s="309"/>
      <c r="E62" s="309"/>
      <c r="F62" s="309"/>
      <c r="G62" s="309"/>
      <c r="H62" s="309">
        <f t="shared" ref="H62:M62" si="8">SUM(H37:H61)</f>
        <v>0</v>
      </c>
      <c r="I62" s="315">
        <f t="shared" si="8"/>
        <v>0</v>
      </c>
      <c r="J62" s="315">
        <f>J61+J60+J59+J58+J57+J56+J55+J54+J53+J52+J51+J50+J49+J48+J47+J46+J45+J44+J43+J42+J41+J40+J39+J38+J37</f>
        <v>0</v>
      </c>
      <c r="K62" s="315">
        <f>K61+K60+K59+K58+K57+K56+K55+K54+K53+K52+K51+K50+K49+K48+K47+K46+K45+K44+K43+K42+K41+K40+K39+K38+K37</f>
        <v>0</v>
      </c>
      <c r="L62" s="318">
        <f t="shared" si="8"/>
        <v>0</v>
      </c>
      <c r="M62" s="321">
        <f t="shared" si="8"/>
        <v>0</v>
      </c>
      <c r="N62" s="290"/>
      <c r="O62" s="291"/>
      <c r="P62" s="291"/>
      <c r="Q62" s="292"/>
      <c r="R62" s="5"/>
      <c r="S62" s="6"/>
      <c r="T62" s="7"/>
      <c r="U62" s="8"/>
    </row>
    <row r="63" spans="1:21" ht="17.25" thickBot="1" x14ac:dyDescent="0.35">
      <c r="A63" s="311"/>
      <c r="B63" s="312"/>
      <c r="C63" s="312"/>
      <c r="D63" s="312"/>
      <c r="E63" s="312"/>
      <c r="F63" s="312"/>
      <c r="G63" s="312"/>
      <c r="H63" s="312"/>
      <c r="I63" s="316"/>
      <c r="J63" s="316"/>
      <c r="K63" s="316"/>
      <c r="L63" s="319"/>
      <c r="M63" s="322"/>
      <c r="N63" s="293"/>
      <c r="O63" s="294"/>
      <c r="P63" s="294"/>
      <c r="Q63" s="295"/>
      <c r="R63" s="1"/>
      <c r="S63" s="2"/>
      <c r="T63" s="3"/>
      <c r="U63" s="4"/>
    </row>
    <row r="64" spans="1:21" ht="17.25" thickBot="1" x14ac:dyDescent="0.35">
      <c r="A64" s="313"/>
      <c r="B64" s="314"/>
      <c r="C64" s="314"/>
      <c r="D64" s="314"/>
      <c r="E64" s="314"/>
      <c r="F64" s="314"/>
      <c r="G64" s="314"/>
      <c r="H64" s="314"/>
      <c r="I64" s="317"/>
      <c r="J64" s="317"/>
      <c r="K64" s="317"/>
      <c r="L64" s="320"/>
      <c r="M64" s="323"/>
      <c r="N64" s="296"/>
      <c r="O64" s="297"/>
      <c r="P64" s="297"/>
      <c r="Q64" s="298"/>
      <c r="R64" s="299" t="s">
        <v>17</v>
      </c>
      <c r="S64" s="300"/>
      <c r="T64" s="300"/>
      <c r="U64" s="301"/>
    </row>
    <row r="65" spans="1:21" ht="17.25" thickBot="1" x14ac:dyDescent="0.35">
      <c r="A65" s="336" t="s">
        <v>24</v>
      </c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8"/>
    </row>
    <row r="66" spans="1:21" ht="17.25" thickBot="1" x14ac:dyDescent="0.35">
      <c r="A66" s="336" t="str">
        <f>A34</f>
        <v>6 - 4 - 2022</v>
      </c>
      <c r="B66" s="337"/>
      <c r="C66" s="337"/>
      <c r="D66" s="337"/>
      <c r="E66" s="337"/>
      <c r="F66" s="337"/>
      <c r="G66" s="338"/>
      <c r="H66" s="339" t="s">
        <v>49</v>
      </c>
      <c r="I66" s="340"/>
      <c r="J66" s="336" t="str">
        <f>J34</f>
        <v>SHOWER</v>
      </c>
      <c r="K66" s="338"/>
      <c r="L66" s="340" t="s">
        <v>50</v>
      </c>
      <c r="M66" s="341"/>
      <c r="N66" s="339"/>
      <c r="O66" s="337" t="str">
        <f>O34</f>
        <v>HENDRA</v>
      </c>
      <c r="P66" s="337"/>
      <c r="Q66" s="338"/>
      <c r="R66" s="340" t="s">
        <v>51</v>
      </c>
      <c r="S66" s="339"/>
      <c r="T66" s="328">
        <f>T34</f>
        <v>4</v>
      </c>
      <c r="U66" s="32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9" t="s">
        <v>8</v>
      </c>
      <c r="P68" s="329"/>
      <c r="Q68" s="329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3"/>
      <c r="P69" s="302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3"/>
      <c r="P71" s="302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3"/>
      <c r="P72" s="334"/>
      <c r="Q72" s="33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3"/>
      <c r="P73" s="334"/>
      <c r="Q73" s="33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5"/>
      <c r="P74" s="326"/>
      <c r="Q74" s="327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3"/>
      <c r="P75" s="302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3"/>
      <c r="P76" s="302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3"/>
      <c r="P77" s="302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3"/>
      <c r="P78" s="302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3"/>
      <c r="P79" s="302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3"/>
      <c r="P80" s="302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3"/>
      <c r="P81" s="302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3"/>
      <c r="P82" s="302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3"/>
      <c r="P83" s="302"/>
      <c r="Q83" s="302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3"/>
      <c r="P84" s="302"/>
      <c r="Q84" s="302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4"/>
      <c r="P85" s="303"/>
      <c r="Q85" s="30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4"/>
      <c r="P86" s="303"/>
      <c r="Q86" s="30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4"/>
      <c r="P87" s="303"/>
      <c r="Q87" s="30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2"/>
      <c r="P88" s="302"/>
      <c r="Q88" s="302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3"/>
      <c r="P89" s="302"/>
      <c r="Q89" s="302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2"/>
      <c r="P90" s="302"/>
      <c r="Q90" s="302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2"/>
      <c r="P91" s="302"/>
      <c r="Q91" s="302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3"/>
      <c r="P92" s="302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5"/>
      <c r="P93" s="306"/>
      <c r="Q93" s="307"/>
      <c r="R93" s="81"/>
      <c r="S93" s="68"/>
      <c r="T93" s="68"/>
      <c r="U93" s="77"/>
    </row>
    <row r="94" spans="1:21" x14ac:dyDescent="0.3">
      <c r="A94" s="308" t="s">
        <v>48</v>
      </c>
      <c r="B94" s="309"/>
      <c r="C94" s="309"/>
      <c r="D94" s="309"/>
      <c r="E94" s="310"/>
      <c r="F94" s="309"/>
      <c r="G94" s="309"/>
      <c r="H94" s="309">
        <f t="shared" ref="H94:M94" si="12">SUM(H69:H93)</f>
        <v>0</v>
      </c>
      <c r="I94" s="315">
        <f t="shared" si="12"/>
        <v>0</v>
      </c>
      <c r="J94" s="315">
        <f>J93+J92+J91+J90+J89+J88+J87+J86+J85+J84+J83+J82+J81+J80+J79+J78+J77+J76+J75+J74+J73+J72+J71+J70+J69</f>
        <v>0</v>
      </c>
      <c r="K94" s="315">
        <f>K93+K92+K91+K90+K89+K88+K87+K86+K85+K84+K83+K82+K81+K80+K79+K78+K77+K76+K75+K74+K73+K72+K71+K70+K69</f>
        <v>0</v>
      </c>
      <c r="L94" s="318">
        <f t="shared" si="12"/>
        <v>0</v>
      </c>
      <c r="M94" s="321">
        <f t="shared" si="12"/>
        <v>0</v>
      </c>
      <c r="N94" s="290"/>
      <c r="O94" s="291"/>
      <c r="P94" s="291"/>
      <c r="Q94" s="292"/>
      <c r="R94" s="5"/>
      <c r="S94" s="6"/>
      <c r="T94" s="7"/>
      <c r="U94" s="8"/>
    </row>
    <row r="95" spans="1:21" ht="17.25" thickBot="1" x14ac:dyDescent="0.35">
      <c r="A95" s="311"/>
      <c r="B95" s="312"/>
      <c r="C95" s="312"/>
      <c r="D95" s="312"/>
      <c r="E95" s="312"/>
      <c r="F95" s="312"/>
      <c r="G95" s="312"/>
      <c r="H95" s="312"/>
      <c r="I95" s="316"/>
      <c r="J95" s="316"/>
      <c r="K95" s="316"/>
      <c r="L95" s="319"/>
      <c r="M95" s="322"/>
      <c r="N95" s="293"/>
      <c r="O95" s="294"/>
      <c r="P95" s="294"/>
      <c r="Q95" s="295"/>
      <c r="R95" s="1"/>
      <c r="S95" s="2"/>
      <c r="T95" s="3"/>
      <c r="U95" s="4"/>
    </row>
    <row r="96" spans="1:21" ht="17.25" thickBot="1" x14ac:dyDescent="0.35">
      <c r="A96" s="313"/>
      <c r="B96" s="314"/>
      <c r="C96" s="314"/>
      <c r="D96" s="314"/>
      <c r="E96" s="314"/>
      <c r="F96" s="314"/>
      <c r="G96" s="314"/>
      <c r="H96" s="314"/>
      <c r="I96" s="317"/>
      <c r="J96" s="317"/>
      <c r="K96" s="317"/>
      <c r="L96" s="320"/>
      <c r="M96" s="323"/>
      <c r="N96" s="296"/>
      <c r="O96" s="297"/>
      <c r="P96" s="297"/>
      <c r="Q96" s="298"/>
      <c r="R96" s="299" t="s">
        <v>52</v>
      </c>
      <c r="S96" s="300"/>
      <c r="T96" s="300"/>
      <c r="U96" s="301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O19" sqref="O19:Q1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6" t="s">
        <v>77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8"/>
    </row>
    <row r="2" spans="1:44" ht="17.25" thickBot="1" x14ac:dyDescent="0.35">
      <c r="A2" s="336" t="s">
        <v>202</v>
      </c>
      <c r="B2" s="337"/>
      <c r="C2" s="337"/>
      <c r="D2" s="337"/>
      <c r="E2" s="337"/>
      <c r="F2" s="337"/>
      <c r="G2" s="338"/>
      <c r="H2" s="339" t="s">
        <v>49</v>
      </c>
      <c r="I2" s="340"/>
      <c r="J2" s="336" t="s">
        <v>191</v>
      </c>
      <c r="K2" s="338"/>
      <c r="L2" s="340" t="s">
        <v>96</v>
      </c>
      <c r="M2" s="341"/>
      <c r="N2" s="339"/>
      <c r="O2" s="337" t="s">
        <v>99</v>
      </c>
      <c r="P2" s="337"/>
      <c r="Q2" s="338"/>
      <c r="R2" s="340" t="s">
        <v>51</v>
      </c>
      <c r="S2" s="339"/>
      <c r="T2" s="328">
        <v>4</v>
      </c>
      <c r="U2" s="32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9" t="s">
        <v>8</v>
      </c>
      <c r="P4" s="329"/>
      <c r="Q4" s="329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3408</v>
      </c>
      <c r="C5" s="68" t="s">
        <v>204</v>
      </c>
      <c r="D5" s="200" t="s">
        <v>205</v>
      </c>
      <c r="E5" s="181" t="s">
        <v>92</v>
      </c>
      <c r="F5" s="170">
        <v>1030</v>
      </c>
      <c r="G5" s="118" t="s">
        <v>111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82"/>
      <c r="P5" s="383"/>
      <c r="Q5" s="384"/>
      <c r="R5" s="33" t="s">
        <v>99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3409</v>
      </c>
      <c r="C6" s="67" t="s">
        <v>211</v>
      </c>
      <c r="D6" s="200" t="s">
        <v>212</v>
      </c>
      <c r="E6" s="181" t="s">
        <v>92</v>
      </c>
      <c r="F6" s="171">
        <v>1100</v>
      </c>
      <c r="G6" s="118" t="s">
        <v>111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0"/>
      <c r="P6" s="331"/>
      <c r="Q6" s="332"/>
      <c r="R6" s="132" t="s">
        <v>105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3410</v>
      </c>
      <c r="C7" s="67" t="s">
        <v>206</v>
      </c>
      <c r="D7" s="200" t="s">
        <v>207</v>
      </c>
      <c r="E7" s="181" t="s">
        <v>92</v>
      </c>
      <c r="F7" s="171">
        <v>1115</v>
      </c>
      <c r="G7" s="118" t="s">
        <v>208</v>
      </c>
      <c r="H7" s="91"/>
      <c r="I7" s="124"/>
      <c r="J7" s="130" t="str">
        <f t="shared" si="1"/>
        <v>0</v>
      </c>
      <c r="K7" s="130" t="str">
        <f t="shared" si="2"/>
        <v>45.8</v>
      </c>
      <c r="L7" s="131"/>
      <c r="M7" s="131"/>
      <c r="N7" s="134" t="s">
        <v>99</v>
      </c>
      <c r="O7" s="303" t="s">
        <v>209</v>
      </c>
      <c r="P7" s="302"/>
      <c r="Q7" s="304"/>
      <c r="R7" s="134" t="s">
        <v>203</v>
      </c>
      <c r="S7" s="31">
        <v>0.375</v>
      </c>
      <c r="T7" s="32">
        <v>0.625</v>
      </c>
      <c r="U7" s="92">
        <f t="shared" si="0"/>
        <v>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3411</v>
      </c>
      <c r="C8" s="27" t="s">
        <v>210</v>
      </c>
      <c r="D8" s="200"/>
      <c r="E8" s="181" t="s">
        <v>91</v>
      </c>
      <c r="F8" s="171">
        <v>1200</v>
      </c>
      <c r="G8" s="118" t="s">
        <v>118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3"/>
      <c r="P8" s="334"/>
      <c r="Q8" s="335"/>
      <c r="R8" s="26" t="s">
        <v>108</v>
      </c>
      <c r="S8" s="31">
        <v>0.45833333333333331</v>
      </c>
      <c r="T8" s="32">
        <v>0.6875</v>
      </c>
      <c r="U8" s="92">
        <f t="shared" si="0"/>
        <v>5.5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276">
        <v>5</v>
      </c>
      <c r="B9" s="268">
        <v>3412</v>
      </c>
      <c r="C9" s="275" t="s">
        <v>216</v>
      </c>
      <c r="D9" s="283" t="s">
        <v>217</v>
      </c>
      <c r="E9" s="271" t="s">
        <v>91</v>
      </c>
      <c r="F9" s="284">
        <v>1300</v>
      </c>
      <c r="G9" s="277" t="s">
        <v>218</v>
      </c>
      <c r="H9" s="273"/>
      <c r="I9" s="273">
        <v>250</v>
      </c>
      <c r="J9" s="273" t="str">
        <f t="shared" si="1"/>
        <v>0</v>
      </c>
      <c r="K9" s="273" t="str">
        <f t="shared" si="2"/>
        <v>0</v>
      </c>
      <c r="L9" s="274"/>
      <c r="M9" s="274"/>
      <c r="N9" s="275" t="s">
        <v>105</v>
      </c>
      <c r="O9" s="369" t="s">
        <v>78</v>
      </c>
      <c r="P9" s="370"/>
      <c r="Q9" s="371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276">
        <v>6</v>
      </c>
      <c r="B10" s="277">
        <v>3413</v>
      </c>
      <c r="C10" s="278" t="s">
        <v>213</v>
      </c>
      <c r="D10" s="279" t="s">
        <v>214</v>
      </c>
      <c r="E10" s="271" t="s">
        <v>91</v>
      </c>
      <c r="F10" s="280">
        <v>1310</v>
      </c>
      <c r="G10" s="285" t="s">
        <v>215</v>
      </c>
      <c r="H10" s="281"/>
      <c r="I10" s="281">
        <v>280</v>
      </c>
      <c r="J10" s="273" t="str">
        <f t="shared" si="1"/>
        <v>0</v>
      </c>
      <c r="K10" s="273" t="str">
        <f t="shared" si="2"/>
        <v>0</v>
      </c>
      <c r="L10" s="274"/>
      <c r="M10" s="274"/>
      <c r="N10" s="275" t="s">
        <v>99</v>
      </c>
      <c r="O10" s="369" t="s">
        <v>80</v>
      </c>
      <c r="P10" s="370"/>
      <c r="Q10" s="37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3414</v>
      </c>
      <c r="C11" s="18" t="s">
        <v>219</v>
      </c>
      <c r="D11" s="203" t="s">
        <v>220</v>
      </c>
      <c r="E11" s="181" t="s">
        <v>92</v>
      </c>
      <c r="F11" s="66">
        <v>1510</v>
      </c>
      <c r="G11" s="121" t="s">
        <v>111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3"/>
      <c r="P11" s="302"/>
      <c r="Q11" s="30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3"/>
      <c r="P12" s="302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3"/>
      <c r="P13" s="302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3"/>
      <c r="P14" s="302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3"/>
      <c r="P15" s="302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3"/>
      <c r="P16" s="302"/>
      <c r="Q16" s="304"/>
      <c r="R16" s="82">
        <f>H32/U16</f>
        <v>0.24561403508771928</v>
      </c>
      <c r="S16" s="83">
        <f>H32/(U16-U5)</f>
        <v>0.35</v>
      </c>
      <c r="T16" s="83">
        <f>C32/U16</f>
        <v>31.431578947368418</v>
      </c>
      <c r="U16" s="83">
        <f>SUM(U5:U15)</f>
        <v>28.5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3"/>
      <c r="P17" s="302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3"/>
      <c r="P18" s="302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3"/>
      <c r="P19" s="302"/>
      <c r="Q19" s="30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3"/>
      <c r="P21" s="302"/>
      <c r="Q21" s="30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3"/>
      <c r="P22" s="302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3"/>
      <c r="P24" s="302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3"/>
      <c r="P25" s="302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895.8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3"/>
      <c r="P26" s="302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3"/>
      <c r="P27" s="302"/>
      <c r="Q27" s="304"/>
      <c r="R27" s="366" t="s">
        <v>56</v>
      </c>
      <c r="S27" s="367"/>
      <c r="T27" s="367"/>
      <c r="U27" s="36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3"/>
      <c r="P28" s="302"/>
      <c r="Q28" s="304"/>
      <c r="R28" s="359"/>
      <c r="S28" s="360"/>
      <c r="T28" s="36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6"/>
      <c r="P29" s="347"/>
      <c r="Q29" s="348"/>
      <c r="R29" s="349"/>
      <c r="S29" s="350"/>
      <c r="T29" s="35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2" t="s">
        <v>48</v>
      </c>
      <c r="B30" s="353"/>
      <c r="C30" s="353"/>
      <c r="D30" s="353"/>
      <c r="E30" s="354"/>
      <c r="F30" s="353"/>
      <c r="G30" s="353"/>
      <c r="H30" s="264">
        <f t="shared" ref="H30:M30" si="3">SUM(H5:H29)</f>
        <v>95</v>
      </c>
      <c r="I30" s="105">
        <f>SUM(I5:I29)</f>
        <v>755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45.8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5"/>
      <c r="S30" s="355"/>
      <c r="T30" s="35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7" t="s">
        <v>16</v>
      </c>
      <c r="B31" s="358"/>
      <c r="C31" s="358"/>
      <c r="D31" s="358"/>
      <c r="E31" s="358"/>
      <c r="F31" s="358"/>
      <c r="G31" s="358"/>
      <c r="H31" s="265">
        <f t="shared" ref="H31:J31" si="4">H30+H62+H94</f>
        <v>95</v>
      </c>
      <c r="I31" s="103">
        <f t="shared" si="4"/>
        <v>755</v>
      </c>
      <c r="J31" s="103">
        <f t="shared" si="4"/>
        <v>0</v>
      </c>
      <c r="K31" s="103">
        <f>K30+K62+K94</f>
        <v>45.8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95</v>
      </c>
      <c r="T31" s="342">
        <f>H31+I31+L31+M31</f>
        <v>850</v>
      </c>
      <c r="U31" s="34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2" t="s">
        <v>55</v>
      </c>
      <c r="B32" s="363"/>
      <c r="C32" s="107">
        <f>H31+I31+J31+K31</f>
        <v>895.8</v>
      </c>
      <c r="D32" s="196"/>
      <c r="E32" s="107"/>
      <c r="F32" s="364" t="s">
        <v>53</v>
      </c>
      <c r="G32" s="364"/>
      <c r="H32" s="109">
        <f>COUNT(B5:B29,B37:B61,B69:B93)</f>
        <v>7</v>
      </c>
      <c r="I32" s="365" t="s">
        <v>54</v>
      </c>
      <c r="J32" s="365"/>
      <c r="K32" s="108">
        <f>C32/H32</f>
        <v>127.97142857142856</v>
      </c>
      <c r="L32" s="260"/>
      <c r="M32" s="260"/>
      <c r="N32" s="260">
        <f>H31/C32</f>
        <v>0.106050457691449</v>
      </c>
      <c r="O32" s="260">
        <f>I31/C32</f>
        <v>0.84282205849519987</v>
      </c>
      <c r="P32" s="260">
        <f>K31/C32</f>
        <v>5.1127483813351193E-2</v>
      </c>
      <c r="Q32" s="110">
        <f>J31/C32</f>
        <v>0</v>
      </c>
      <c r="R32" s="99" t="s">
        <v>82</v>
      </c>
      <c r="S32" s="266">
        <f>I31+M31</f>
        <v>755</v>
      </c>
      <c r="T32" s="344"/>
      <c r="U32" s="345"/>
      <c r="V32" s="55"/>
      <c r="W32" s="55"/>
      <c r="X32" s="56" t="s">
        <v>27</v>
      </c>
      <c r="Y32" s="56"/>
      <c r="Z32" s="54">
        <f>I31</f>
        <v>755</v>
      </c>
      <c r="AE32" s="37"/>
      <c r="AF32" s="37"/>
      <c r="AG32" s="37"/>
      <c r="AH32" s="37"/>
    </row>
    <row r="33" spans="1:34" ht="17.25" thickBot="1" x14ac:dyDescent="0.35">
      <c r="A33" s="296" t="s">
        <v>24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337"/>
      <c r="U33" s="338"/>
      <c r="X33" s="57" t="s">
        <v>29</v>
      </c>
      <c r="Y33" s="57"/>
      <c r="Z33" s="58">
        <f>SUM(Z31:Z32)</f>
        <v>-1990</v>
      </c>
      <c r="AE33" s="37"/>
      <c r="AF33" s="37"/>
      <c r="AG33" s="59"/>
      <c r="AH33" s="37"/>
    </row>
    <row r="34" spans="1:34" ht="17.25" thickBot="1" x14ac:dyDescent="0.35">
      <c r="A34" s="336" t="str">
        <f>A2</f>
        <v>7 - 4 - 2022</v>
      </c>
      <c r="B34" s="337"/>
      <c r="C34" s="337"/>
      <c r="D34" s="337"/>
      <c r="E34" s="337"/>
      <c r="F34" s="337"/>
      <c r="G34" s="338"/>
      <c r="H34" s="339" t="s">
        <v>49</v>
      </c>
      <c r="I34" s="340"/>
      <c r="J34" s="336" t="str">
        <f>J2</f>
        <v>SHOWER</v>
      </c>
      <c r="K34" s="338"/>
      <c r="L34" s="340" t="s">
        <v>50</v>
      </c>
      <c r="M34" s="341"/>
      <c r="N34" s="339"/>
      <c r="O34" s="337" t="str">
        <f>O2</f>
        <v>HENDRA</v>
      </c>
      <c r="P34" s="337"/>
      <c r="Q34" s="338"/>
      <c r="R34" s="340" t="s">
        <v>51</v>
      </c>
      <c r="S34" s="339"/>
      <c r="T34" s="328">
        <f>T2</f>
        <v>4</v>
      </c>
      <c r="U34" s="32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9" t="s">
        <v>8</v>
      </c>
      <c r="P36" s="329"/>
      <c r="Q36" s="329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3"/>
      <c r="P37" s="302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3"/>
      <c r="P39" s="302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3"/>
      <c r="P40" s="334"/>
      <c r="Q40" s="33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3"/>
      <c r="P41" s="334"/>
      <c r="Q41" s="33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5"/>
      <c r="P42" s="326"/>
      <c r="Q42" s="327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3"/>
      <c r="P43" s="302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3"/>
      <c r="P44" s="302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3"/>
      <c r="P45" s="302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3"/>
      <c r="P46" s="302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3"/>
      <c r="P47" s="302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3"/>
      <c r="P48" s="302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3"/>
      <c r="P49" s="302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3"/>
      <c r="P50" s="302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3"/>
      <c r="P51" s="302"/>
      <c r="Q51" s="302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3"/>
      <c r="P52" s="302"/>
      <c r="Q52" s="302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4"/>
      <c r="P53" s="303"/>
      <c r="Q53" s="30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4"/>
      <c r="P54" s="303"/>
      <c r="Q54" s="30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4"/>
      <c r="P55" s="303"/>
      <c r="Q55" s="30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2"/>
      <c r="P56" s="302"/>
      <c r="Q56" s="302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3"/>
      <c r="P57" s="302"/>
      <c r="Q57" s="302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2"/>
      <c r="P58" s="302"/>
      <c r="Q58" s="302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2"/>
      <c r="P59" s="302"/>
      <c r="Q59" s="302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3"/>
      <c r="P60" s="302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5"/>
      <c r="P61" s="306"/>
      <c r="Q61" s="307"/>
      <c r="R61" s="81"/>
      <c r="S61" s="68"/>
      <c r="T61" s="68"/>
      <c r="U61" s="77"/>
    </row>
    <row r="62" spans="1:21" x14ac:dyDescent="0.3">
      <c r="A62" s="308" t="s">
        <v>48</v>
      </c>
      <c r="B62" s="309"/>
      <c r="C62" s="309"/>
      <c r="D62" s="309"/>
      <c r="E62" s="309"/>
      <c r="F62" s="309"/>
      <c r="G62" s="309"/>
      <c r="H62" s="309">
        <f t="shared" ref="H62:M62" si="8">SUM(H37:H61)</f>
        <v>0</v>
      </c>
      <c r="I62" s="315">
        <f t="shared" si="8"/>
        <v>0</v>
      </c>
      <c r="J62" s="315">
        <f>J61+J60+J59+J58+J57+J56+J55+J54+J53+J52+J51+J50+J49+J48+J47+J46+J45+J44+J43+J42+J41+J40+J39+J38+J37</f>
        <v>0</v>
      </c>
      <c r="K62" s="315">
        <f>K61+K60+K59+K58+K57+K56+K55+K54+K53+K52+K51+K50+K49+K48+K47+K46+K45+K44+K43+K42+K41+K40+K39+K38+K37</f>
        <v>0</v>
      </c>
      <c r="L62" s="318">
        <f t="shared" si="8"/>
        <v>0</v>
      </c>
      <c r="M62" s="321">
        <f t="shared" si="8"/>
        <v>0</v>
      </c>
      <c r="N62" s="290"/>
      <c r="O62" s="291"/>
      <c r="P62" s="291"/>
      <c r="Q62" s="292"/>
      <c r="R62" s="5"/>
      <c r="S62" s="6"/>
      <c r="T62" s="7"/>
      <c r="U62" s="8"/>
    </row>
    <row r="63" spans="1:21" ht="17.25" thickBot="1" x14ac:dyDescent="0.35">
      <c r="A63" s="311"/>
      <c r="B63" s="312"/>
      <c r="C63" s="312"/>
      <c r="D63" s="312"/>
      <c r="E63" s="312"/>
      <c r="F63" s="312"/>
      <c r="G63" s="312"/>
      <c r="H63" s="312"/>
      <c r="I63" s="316"/>
      <c r="J63" s="316"/>
      <c r="K63" s="316"/>
      <c r="L63" s="319"/>
      <c r="M63" s="322"/>
      <c r="N63" s="293"/>
      <c r="O63" s="294"/>
      <c r="P63" s="294"/>
      <c r="Q63" s="295"/>
      <c r="R63" s="1"/>
      <c r="S63" s="2"/>
      <c r="T63" s="3"/>
      <c r="U63" s="4"/>
    </row>
    <row r="64" spans="1:21" ht="17.25" thickBot="1" x14ac:dyDescent="0.35">
      <c r="A64" s="313"/>
      <c r="B64" s="314"/>
      <c r="C64" s="314"/>
      <c r="D64" s="314"/>
      <c r="E64" s="314"/>
      <c r="F64" s="314"/>
      <c r="G64" s="314"/>
      <c r="H64" s="314"/>
      <c r="I64" s="317"/>
      <c r="J64" s="317"/>
      <c r="K64" s="317"/>
      <c r="L64" s="320"/>
      <c r="M64" s="323"/>
      <c r="N64" s="296"/>
      <c r="O64" s="297"/>
      <c r="P64" s="297"/>
      <c r="Q64" s="298"/>
      <c r="R64" s="299" t="s">
        <v>17</v>
      </c>
      <c r="S64" s="300"/>
      <c r="T64" s="300"/>
      <c r="U64" s="301"/>
    </row>
    <row r="65" spans="1:21" ht="17.25" thickBot="1" x14ac:dyDescent="0.35">
      <c r="A65" s="336" t="s">
        <v>24</v>
      </c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8"/>
    </row>
    <row r="66" spans="1:21" ht="17.25" thickBot="1" x14ac:dyDescent="0.35">
      <c r="A66" s="336" t="str">
        <f>A34</f>
        <v>7 - 4 - 2022</v>
      </c>
      <c r="B66" s="337"/>
      <c r="C66" s="337"/>
      <c r="D66" s="337"/>
      <c r="E66" s="337"/>
      <c r="F66" s="337"/>
      <c r="G66" s="338"/>
      <c r="H66" s="339" t="s">
        <v>49</v>
      </c>
      <c r="I66" s="340"/>
      <c r="J66" s="336" t="str">
        <f>J34</f>
        <v>SHOWER</v>
      </c>
      <c r="K66" s="338"/>
      <c r="L66" s="340" t="s">
        <v>50</v>
      </c>
      <c r="M66" s="341"/>
      <c r="N66" s="339"/>
      <c r="O66" s="337" t="str">
        <f>O34</f>
        <v>HENDRA</v>
      </c>
      <c r="P66" s="337"/>
      <c r="Q66" s="338"/>
      <c r="R66" s="340" t="s">
        <v>51</v>
      </c>
      <c r="S66" s="339"/>
      <c r="T66" s="328">
        <f>T34</f>
        <v>4</v>
      </c>
      <c r="U66" s="32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9" t="s">
        <v>8</v>
      </c>
      <c r="P68" s="329"/>
      <c r="Q68" s="329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3"/>
      <c r="P69" s="302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3"/>
      <c r="P71" s="302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3"/>
      <c r="P72" s="334"/>
      <c r="Q72" s="33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3"/>
      <c r="P73" s="334"/>
      <c r="Q73" s="33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5"/>
      <c r="P74" s="326"/>
      <c r="Q74" s="327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3"/>
      <c r="P75" s="302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3"/>
      <c r="P76" s="302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3"/>
      <c r="P77" s="302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3"/>
      <c r="P78" s="302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3"/>
      <c r="P79" s="302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3"/>
      <c r="P80" s="302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3"/>
      <c r="P81" s="302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3"/>
      <c r="P82" s="302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3"/>
      <c r="P83" s="302"/>
      <c r="Q83" s="302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3"/>
      <c r="P84" s="302"/>
      <c r="Q84" s="302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4"/>
      <c r="P85" s="303"/>
      <c r="Q85" s="30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4"/>
      <c r="P86" s="303"/>
      <c r="Q86" s="30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4"/>
      <c r="P87" s="303"/>
      <c r="Q87" s="30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2"/>
      <c r="P88" s="302"/>
      <c r="Q88" s="302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3"/>
      <c r="P89" s="302"/>
      <c r="Q89" s="302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2"/>
      <c r="P90" s="302"/>
      <c r="Q90" s="302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2"/>
      <c r="P91" s="302"/>
      <c r="Q91" s="302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3"/>
      <c r="P92" s="302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5"/>
      <c r="P93" s="306"/>
      <c r="Q93" s="307"/>
      <c r="R93" s="81"/>
      <c r="S93" s="68"/>
      <c r="T93" s="68"/>
      <c r="U93" s="77"/>
    </row>
    <row r="94" spans="1:21" x14ac:dyDescent="0.3">
      <c r="A94" s="308" t="s">
        <v>48</v>
      </c>
      <c r="B94" s="309"/>
      <c r="C94" s="309"/>
      <c r="D94" s="309"/>
      <c r="E94" s="310"/>
      <c r="F94" s="309"/>
      <c r="G94" s="309"/>
      <c r="H94" s="309">
        <f t="shared" ref="H94:M94" si="12">SUM(H69:H93)</f>
        <v>0</v>
      </c>
      <c r="I94" s="315">
        <f t="shared" si="12"/>
        <v>0</v>
      </c>
      <c r="J94" s="315">
        <f>J93+J92+J91+J90+J89+J88+J87+J86+J85+J84+J83+J82+J81+J80+J79+J78+J77+J76+J75+J74+J73+J72+J71+J70+J69</f>
        <v>0</v>
      </c>
      <c r="K94" s="315">
        <f>K93+K92+K91+K90+K89+K88+K87+K86+K85+K84+K83+K82+K81+K80+K79+K78+K77+K76+K75+K74+K73+K72+K71+K70+K69</f>
        <v>0</v>
      </c>
      <c r="L94" s="318">
        <f t="shared" si="12"/>
        <v>0</v>
      </c>
      <c r="M94" s="321">
        <f t="shared" si="12"/>
        <v>0</v>
      </c>
      <c r="N94" s="290"/>
      <c r="O94" s="291"/>
      <c r="P94" s="291"/>
      <c r="Q94" s="292"/>
      <c r="R94" s="5"/>
      <c r="S94" s="6"/>
      <c r="T94" s="7"/>
      <c r="U94" s="8"/>
    </row>
    <row r="95" spans="1:21" ht="17.25" thickBot="1" x14ac:dyDescent="0.35">
      <c r="A95" s="311"/>
      <c r="B95" s="312"/>
      <c r="C95" s="312"/>
      <c r="D95" s="312"/>
      <c r="E95" s="312"/>
      <c r="F95" s="312"/>
      <c r="G95" s="312"/>
      <c r="H95" s="312"/>
      <c r="I95" s="316"/>
      <c r="J95" s="316"/>
      <c r="K95" s="316"/>
      <c r="L95" s="319"/>
      <c r="M95" s="322"/>
      <c r="N95" s="293"/>
      <c r="O95" s="294"/>
      <c r="P95" s="294"/>
      <c r="Q95" s="295"/>
      <c r="R95" s="1"/>
      <c r="S95" s="2"/>
      <c r="T95" s="3"/>
      <c r="U95" s="4"/>
    </row>
    <row r="96" spans="1:21" ht="17.25" thickBot="1" x14ac:dyDescent="0.35">
      <c r="A96" s="313"/>
      <c r="B96" s="314"/>
      <c r="C96" s="314"/>
      <c r="D96" s="314"/>
      <c r="E96" s="314"/>
      <c r="F96" s="314"/>
      <c r="G96" s="314"/>
      <c r="H96" s="314"/>
      <c r="I96" s="317"/>
      <c r="J96" s="317"/>
      <c r="K96" s="317"/>
      <c r="L96" s="320"/>
      <c r="M96" s="323"/>
      <c r="N96" s="296"/>
      <c r="O96" s="297"/>
      <c r="P96" s="297"/>
      <c r="Q96" s="298"/>
      <c r="R96" s="299" t="s">
        <v>52</v>
      </c>
      <c r="S96" s="300"/>
      <c r="T96" s="300"/>
      <c r="U96" s="301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O16" sqref="O16:Q1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6" t="s">
        <v>77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8"/>
    </row>
    <row r="2" spans="1:44" ht="17.25" thickBot="1" x14ac:dyDescent="0.35">
      <c r="A2" s="336" t="s">
        <v>221</v>
      </c>
      <c r="B2" s="337"/>
      <c r="C2" s="337"/>
      <c r="D2" s="337"/>
      <c r="E2" s="337"/>
      <c r="F2" s="337"/>
      <c r="G2" s="338"/>
      <c r="H2" s="339" t="s">
        <v>49</v>
      </c>
      <c r="I2" s="340"/>
      <c r="J2" s="336" t="s">
        <v>191</v>
      </c>
      <c r="K2" s="338"/>
      <c r="L2" s="340" t="s">
        <v>96</v>
      </c>
      <c r="M2" s="341"/>
      <c r="N2" s="339"/>
      <c r="O2" s="337" t="s">
        <v>99</v>
      </c>
      <c r="P2" s="337"/>
      <c r="Q2" s="338"/>
      <c r="R2" s="340" t="s">
        <v>51</v>
      </c>
      <c r="S2" s="339"/>
      <c r="T2" s="328">
        <v>4</v>
      </c>
      <c r="U2" s="32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9" t="s">
        <v>8</v>
      </c>
      <c r="P4" s="329"/>
      <c r="Q4" s="329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3415</v>
      </c>
      <c r="C5" s="68" t="s">
        <v>222</v>
      </c>
      <c r="D5" s="200" t="s">
        <v>223</v>
      </c>
      <c r="E5" s="181" t="s">
        <v>91</v>
      </c>
      <c r="F5" s="170">
        <v>900</v>
      </c>
      <c r="G5" s="118" t="s">
        <v>114</v>
      </c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58.3</v>
      </c>
      <c r="L5" s="131"/>
      <c r="M5" s="131"/>
      <c r="N5" s="134" t="s">
        <v>99</v>
      </c>
      <c r="O5" s="382" t="s">
        <v>224</v>
      </c>
      <c r="P5" s="383"/>
      <c r="Q5" s="384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3416</v>
      </c>
      <c r="C6" s="67" t="s">
        <v>225</v>
      </c>
      <c r="D6" s="200" t="s">
        <v>226</v>
      </c>
      <c r="E6" s="181" t="s">
        <v>92</v>
      </c>
      <c r="F6" s="171">
        <v>900</v>
      </c>
      <c r="G6" s="118" t="s">
        <v>111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0"/>
      <c r="P6" s="331"/>
      <c r="Q6" s="332"/>
      <c r="R6" s="132" t="s">
        <v>106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3417</v>
      </c>
      <c r="C7" s="67" t="s">
        <v>227</v>
      </c>
      <c r="D7" s="200" t="s">
        <v>228</v>
      </c>
      <c r="E7" s="181" t="s">
        <v>91</v>
      </c>
      <c r="F7" s="171">
        <v>935</v>
      </c>
      <c r="G7" s="118" t="s">
        <v>111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3"/>
      <c r="P7" s="302"/>
      <c r="Q7" s="304"/>
      <c r="R7" s="134" t="s">
        <v>203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3418</v>
      </c>
      <c r="C8" s="27" t="s">
        <v>229</v>
      </c>
      <c r="D8" s="200" t="s">
        <v>230</v>
      </c>
      <c r="E8" s="181" t="s">
        <v>91</v>
      </c>
      <c r="F8" s="171">
        <v>1220</v>
      </c>
      <c r="G8" s="118" t="s">
        <v>231</v>
      </c>
      <c r="H8" s="91"/>
      <c r="I8" s="124">
        <v>195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108</v>
      </c>
      <c r="O8" s="333"/>
      <c r="P8" s="334"/>
      <c r="Q8" s="335"/>
      <c r="R8" s="26" t="s">
        <v>108</v>
      </c>
      <c r="S8" s="31">
        <v>0.4375</v>
      </c>
      <c r="T8" s="32">
        <v>0.66666666666666663</v>
      </c>
      <c r="U8" s="92">
        <f t="shared" si="0"/>
        <v>5.4999999999999991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3419</v>
      </c>
      <c r="C9" s="63" t="s">
        <v>232</v>
      </c>
      <c r="D9" s="201" t="s">
        <v>233</v>
      </c>
      <c r="E9" s="181" t="s">
        <v>92</v>
      </c>
      <c r="F9" s="172">
        <v>1415</v>
      </c>
      <c r="G9" s="119" t="s">
        <v>159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108</v>
      </c>
      <c r="O9" s="333"/>
      <c r="P9" s="334"/>
      <c r="Q9" s="335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3420</v>
      </c>
      <c r="C10" s="28" t="s">
        <v>234</v>
      </c>
      <c r="D10" s="202" t="s">
        <v>235</v>
      </c>
      <c r="E10" s="181" t="s">
        <v>91</v>
      </c>
      <c r="F10" s="173">
        <v>1425</v>
      </c>
      <c r="G10" s="120" t="s">
        <v>44</v>
      </c>
      <c r="H10" s="123">
        <v>10</v>
      </c>
      <c r="I10" s="125"/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108</v>
      </c>
      <c r="O10" s="325" t="s">
        <v>236</v>
      </c>
      <c r="P10" s="326"/>
      <c r="Q10" s="327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3"/>
      <c r="P11" s="302"/>
      <c r="Q11" s="30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3"/>
      <c r="P12" s="302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3"/>
      <c r="P13" s="302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3"/>
      <c r="P14" s="302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3"/>
      <c r="P15" s="302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3"/>
      <c r="P16" s="302"/>
      <c r="Q16" s="304"/>
      <c r="R16" s="82">
        <f>H32/U16</f>
        <v>0.21052631578947367</v>
      </c>
      <c r="S16" s="83">
        <f>H32/(U16-U5)</f>
        <v>0.29268292682926828</v>
      </c>
      <c r="T16" s="83">
        <f>C32/U16</f>
        <v>22.396491228070175</v>
      </c>
      <c r="U16" s="83">
        <f>SUM(U5:U15)</f>
        <v>28.5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3"/>
      <c r="P17" s="302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3"/>
      <c r="P18" s="302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3"/>
      <c r="P19" s="302"/>
      <c r="Q19" s="30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3"/>
      <c r="P21" s="302"/>
      <c r="Q21" s="30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3"/>
      <c r="P22" s="302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3"/>
      <c r="P24" s="302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3"/>
      <c r="P25" s="302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638.29999999999995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3"/>
      <c r="P26" s="302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3"/>
      <c r="P27" s="302"/>
      <c r="Q27" s="304"/>
      <c r="R27" s="366" t="s">
        <v>56</v>
      </c>
      <c r="S27" s="367"/>
      <c r="T27" s="367"/>
      <c r="U27" s="36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3"/>
      <c r="P28" s="302"/>
      <c r="Q28" s="304"/>
      <c r="R28" s="359"/>
      <c r="S28" s="360"/>
      <c r="T28" s="36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6"/>
      <c r="P29" s="347"/>
      <c r="Q29" s="348"/>
      <c r="R29" s="349"/>
      <c r="S29" s="350"/>
      <c r="T29" s="35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2" t="s">
        <v>48</v>
      </c>
      <c r="B30" s="353"/>
      <c r="C30" s="353"/>
      <c r="D30" s="353"/>
      <c r="E30" s="354"/>
      <c r="F30" s="353"/>
      <c r="G30" s="353"/>
      <c r="H30" s="264">
        <f t="shared" ref="H30:M30" si="3">SUM(H5:H29)</f>
        <v>10</v>
      </c>
      <c r="I30" s="105">
        <f>SUM(I5:I29)</f>
        <v>515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5"/>
      <c r="S30" s="355"/>
      <c r="T30" s="35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7" t="s">
        <v>16</v>
      </c>
      <c r="B31" s="358"/>
      <c r="C31" s="358"/>
      <c r="D31" s="358"/>
      <c r="E31" s="358"/>
      <c r="F31" s="358"/>
      <c r="G31" s="358"/>
      <c r="H31" s="265">
        <f t="shared" ref="H31:J31" si="4">H30+H62+H94</f>
        <v>10</v>
      </c>
      <c r="I31" s="103">
        <f t="shared" si="4"/>
        <v>515</v>
      </c>
      <c r="J31" s="103">
        <f t="shared" si="4"/>
        <v>55</v>
      </c>
      <c r="K31" s="103">
        <f>K30+K62+K94</f>
        <v>58.3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10</v>
      </c>
      <c r="T31" s="342">
        <f>H31+I31+L31+M31</f>
        <v>525</v>
      </c>
      <c r="U31" s="34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2" t="s">
        <v>55</v>
      </c>
      <c r="B32" s="363"/>
      <c r="C32" s="107">
        <f>H31+I31+J31+K31</f>
        <v>638.29999999999995</v>
      </c>
      <c r="D32" s="196"/>
      <c r="E32" s="107"/>
      <c r="F32" s="364" t="s">
        <v>53</v>
      </c>
      <c r="G32" s="364"/>
      <c r="H32" s="109">
        <f>COUNT(B5:B29,B37:B61,B69:B93)</f>
        <v>6</v>
      </c>
      <c r="I32" s="365" t="s">
        <v>54</v>
      </c>
      <c r="J32" s="365"/>
      <c r="K32" s="108">
        <f>C32/H32</f>
        <v>106.38333333333333</v>
      </c>
      <c r="L32" s="260"/>
      <c r="M32" s="260"/>
      <c r="N32" s="260">
        <f>H31/C32</f>
        <v>1.5666614444618518E-2</v>
      </c>
      <c r="O32" s="260">
        <f>I31/C32</f>
        <v>0.80683064389785375</v>
      </c>
      <c r="P32" s="260">
        <f>K31/C32</f>
        <v>9.133636221212596E-2</v>
      </c>
      <c r="Q32" s="110">
        <f>J31/C32</f>
        <v>8.6166379445401856E-2</v>
      </c>
      <c r="R32" s="99" t="s">
        <v>82</v>
      </c>
      <c r="S32" s="266">
        <f>I31+M31</f>
        <v>515</v>
      </c>
      <c r="T32" s="344"/>
      <c r="U32" s="345"/>
      <c r="V32" s="55"/>
      <c r="W32" s="55"/>
      <c r="X32" s="56" t="s">
        <v>27</v>
      </c>
      <c r="Y32" s="56"/>
      <c r="Z32" s="54">
        <f>I31</f>
        <v>515</v>
      </c>
      <c r="AE32" s="37"/>
      <c r="AF32" s="37"/>
      <c r="AG32" s="37"/>
      <c r="AH32" s="37"/>
    </row>
    <row r="33" spans="1:34" ht="17.25" thickBot="1" x14ac:dyDescent="0.35">
      <c r="A33" s="296" t="s">
        <v>24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337"/>
      <c r="U33" s="338"/>
      <c r="X33" s="57" t="s">
        <v>29</v>
      </c>
      <c r="Y33" s="57"/>
      <c r="Z33" s="58">
        <f>SUM(Z31:Z32)</f>
        <v>-2230</v>
      </c>
      <c r="AE33" s="37"/>
      <c r="AF33" s="37"/>
      <c r="AG33" s="59"/>
      <c r="AH33" s="37"/>
    </row>
    <row r="34" spans="1:34" ht="17.25" thickBot="1" x14ac:dyDescent="0.35">
      <c r="A34" s="336" t="str">
        <f>A2</f>
        <v>8 - 4 - 2022</v>
      </c>
      <c r="B34" s="337"/>
      <c r="C34" s="337"/>
      <c r="D34" s="337"/>
      <c r="E34" s="337"/>
      <c r="F34" s="337"/>
      <c r="G34" s="338"/>
      <c r="H34" s="339" t="s">
        <v>49</v>
      </c>
      <c r="I34" s="340"/>
      <c r="J34" s="336" t="str">
        <f>J2</f>
        <v>SHOWER</v>
      </c>
      <c r="K34" s="338"/>
      <c r="L34" s="340" t="s">
        <v>50</v>
      </c>
      <c r="M34" s="341"/>
      <c r="N34" s="339"/>
      <c r="O34" s="337" t="str">
        <f>O2</f>
        <v>HENDRA</v>
      </c>
      <c r="P34" s="337"/>
      <c r="Q34" s="338"/>
      <c r="R34" s="340" t="s">
        <v>51</v>
      </c>
      <c r="S34" s="339"/>
      <c r="T34" s="328">
        <f>T2</f>
        <v>4</v>
      </c>
      <c r="U34" s="32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9" t="s">
        <v>8</v>
      </c>
      <c r="P36" s="329"/>
      <c r="Q36" s="329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3"/>
      <c r="P37" s="302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3"/>
      <c r="P39" s="302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3"/>
      <c r="P40" s="334"/>
      <c r="Q40" s="33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3"/>
      <c r="P41" s="334"/>
      <c r="Q41" s="33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5"/>
      <c r="P42" s="326"/>
      <c r="Q42" s="327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3"/>
      <c r="P43" s="302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3"/>
      <c r="P44" s="302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3"/>
      <c r="P45" s="302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3"/>
      <c r="P46" s="302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3"/>
      <c r="P47" s="302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3"/>
      <c r="P48" s="302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3"/>
      <c r="P49" s="302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3"/>
      <c r="P50" s="302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3"/>
      <c r="P51" s="302"/>
      <c r="Q51" s="302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3"/>
      <c r="P52" s="302"/>
      <c r="Q52" s="302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4"/>
      <c r="P53" s="303"/>
      <c r="Q53" s="30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4"/>
      <c r="P54" s="303"/>
      <c r="Q54" s="30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4"/>
      <c r="P55" s="303"/>
      <c r="Q55" s="30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2"/>
      <c r="P56" s="302"/>
      <c r="Q56" s="302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3"/>
      <c r="P57" s="302"/>
      <c r="Q57" s="302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2"/>
      <c r="P58" s="302"/>
      <c r="Q58" s="302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2"/>
      <c r="P59" s="302"/>
      <c r="Q59" s="302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3"/>
      <c r="P60" s="302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5"/>
      <c r="P61" s="306"/>
      <c r="Q61" s="307"/>
      <c r="R61" s="81"/>
      <c r="S61" s="68"/>
      <c r="T61" s="68"/>
      <c r="U61" s="77"/>
    </row>
    <row r="62" spans="1:21" x14ac:dyDescent="0.3">
      <c r="A62" s="308" t="s">
        <v>48</v>
      </c>
      <c r="B62" s="309"/>
      <c r="C62" s="309"/>
      <c r="D62" s="309"/>
      <c r="E62" s="309"/>
      <c r="F62" s="309"/>
      <c r="G62" s="309"/>
      <c r="H62" s="309">
        <f t="shared" ref="H62:M62" si="8">SUM(H37:H61)</f>
        <v>0</v>
      </c>
      <c r="I62" s="315">
        <f t="shared" si="8"/>
        <v>0</v>
      </c>
      <c r="J62" s="315">
        <f>J61+J60+J59+J58+J57+J56+J55+J54+J53+J52+J51+J50+J49+J48+J47+J46+J45+J44+J43+J42+J41+J40+J39+J38+J37</f>
        <v>0</v>
      </c>
      <c r="K62" s="315">
        <f>K61+K60+K59+K58+K57+K56+K55+K54+K53+K52+K51+K50+K49+K48+K47+K46+K45+K44+K43+K42+K41+K40+K39+K38+K37</f>
        <v>0</v>
      </c>
      <c r="L62" s="318">
        <f t="shared" si="8"/>
        <v>0</v>
      </c>
      <c r="M62" s="321">
        <f t="shared" si="8"/>
        <v>0</v>
      </c>
      <c r="N62" s="290"/>
      <c r="O62" s="291"/>
      <c r="P62" s="291"/>
      <c r="Q62" s="292"/>
      <c r="R62" s="5"/>
      <c r="S62" s="6"/>
      <c r="T62" s="7"/>
      <c r="U62" s="8"/>
    </row>
    <row r="63" spans="1:21" ht="17.25" thickBot="1" x14ac:dyDescent="0.35">
      <c r="A63" s="311"/>
      <c r="B63" s="312"/>
      <c r="C63" s="312"/>
      <c r="D63" s="312"/>
      <c r="E63" s="312"/>
      <c r="F63" s="312"/>
      <c r="G63" s="312"/>
      <c r="H63" s="312"/>
      <c r="I63" s="316"/>
      <c r="J63" s="316"/>
      <c r="K63" s="316"/>
      <c r="L63" s="319"/>
      <c r="M63" s="322"/>
      <c r="N63" s="293"/>
      <c r="O63" s="294"/>
      <c r="P63" s="294"/>
      <c r="Q63" s="295"/>
      <c r="R63" s="1"/>
      <c r="S63" s="2"/>
      <c r="T63" s="3"/>
      <c r="U63" s="4"/>
    </row>
    <row r="64" spans="1:21" ht="17.25" thickBot="1" x14ac:dyDescent="0.35">
      <c r="A64" s="313"/>
      <c r="B64" s="314"/>
      <c r="C64" s="314"/>
      <c r="D64" s="314"/>
      <c r="E64" s="314"/>
      <c r="F64" s="314"/>
      <c r="G64" s="314"/>
      <c r="H64" s="314"/>
      <c r="I64" s="317"/>
      <c r="J64" s="317"/>
      <c r="K64" s="317"/>
      <c r="L64" s="320"/>
      <c r="M64" s="323"/>
      <c r="N64" s="296"/>
      <c r="O64" s="297"/>
      <c r="P64" s="297"/>
      <c r="Q64" s="298"/>
      <c r="R64" s="299" t="s">
        <v>17</v>
      </c>
      <c r="S64" s="300"/>
      <c r="T64" s="300"/>
      <c r="U64" s="301"/>
    </row>
    <row r="65" spans="1:21" ht="17.25" thickBot="1" x14ac:dyDescent="0.35">
      <c r="A65" s="336" t="s">
        <v>24</v>
      </c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8"/>
    </row>
    <row r="66" spans="1:21" ht="17.25" thickBot="1" x14ac:dyDescent="0.35">
      <c r="A66" s="336" t="str">
        <f>A34</f>
        <v>8 - 4 - 2022</v>
      </c>
      <c r="B66" s="337"/>
      <c r="C66" s="337"/>
      <c r="D66" s="337"/>
      <c r="E66" s="337"/>
      <c r="F66" s="337"/>
      <c r="G66" s="338"/>
      <c r="H66" s="339" t="s">
        <v>49</v>
      </c>
      <c r="I66" s="340"/>
      <c r="J66" s="336" t="str">
        <f>J34</f>
        <v>SHOWER</v>
      </c>
      <c r="K66" s="338"/>
      <c r="L66" s="340" t="s">
        <v>50</v>
      </c>
      <c r="M66" s="341"/>
      <c r="N66" s="339"/>
      <c r="O66" s="337" t="str">
        <f>O34</f>
        <v>HENDRA</v>
      </c>
      <c r="P66" s="337"/>
      <c r="Q66" s="338"/>
      <c r="R66" s="340" t="s">
        <v>51</v>
      </c>
      <c r="S66" s="339"/>
      <c r="T66" s="328">
        <f>T34</f>
        <v>4</v>
      </c>
      <c r="U66" s="32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9" t="s">
        <v>8</v>
      </c>
      <c r="P68" s="329"/>
      <c r="Q68" s="329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3"/>
      <c r="P69" s="302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3"/>
      <c r="P71" s="302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3"/>
      <c r="P72" s="334"/>
      <c r="Q72" s="33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3"/>
      <c r="P73" s="334"/>
      <c r="Q73" s="33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5"/>
      <c r="P74" s="326"/>
      <c r="Q74" s="327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3"/>
      <c r="P75" s="302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3"/>
      <c r="P76" s="302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3"/>
      <c r="P77" s="302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3"/>
      <c r="P78" s="302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3"/>
      <c r="P79" s="302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3"/>
      <c r="P80" s="302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3"/>
      <c r="P81" s="302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3"/>
      <c r="P82" s="302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3"/>
      <c r="P83" s="302"/>
      <c r="Q83" s="302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3"/>
      <c r="P84" s="302"/>
      <c r="Q84" s="302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4"/>
      <c r="P85" s="303"/>
      <c r="Q85" s="30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4"/>
      <c r="P86" s="303"/>
      <c r="Q86" s="30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4"/>
      <c r="P87" s="303"/>
      <c r="Q87" s="30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2"/>
      <c r="P88" s="302"/>
      <c r="Q88" s="302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3"/>
      <c r="P89" s="302"/>
      <c r="Q89" s="302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2"/>
      <c r="P90" s="302"/>
      <c r="Q90" s="302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2"/>
      <c r="P91" s="302"/>
      <c r="Q91" s="302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3"/>
      <c r="P92" s="302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5"/>
      <c r="P93" s="306"/>
      <c r="Q93" s="307"/>
      <c r="R93" s="81"/>
      <c r="S93" s="68"/>
      <c r="T93" s="68"/>
      <c r="U93" s="77"/>
    </row>
    <row r="94" spans="1:21" x14ac:dyDescent="0.3">
      <c r="A94" s="308" t="s">
        <v>48</v>
      </c>
      <c r="B94" s="309"/>
      <c r="C94" s="309"/>
      <c r="D94" s="309"/>
      <c r="E94" s="310"/>
      <c r="F94" s="309"/>
      <c r="G94" s="309"/>
      <c r="H94" s="309">
        <f t="shared" ref="H94:M94" si="12">SUM(H69:H93)</f>
        <v>0</v>
      </c>
      <c r="I94" s="315">
        <f t="shared" si="12"/>
        <v>0</v>
      </c>
      <c r="J94" s="315">
        <f>J93+J92+J91+J90+J89+J88+J87+J86+J85+J84+J83+J82+J81+J80+J79+J78+J77+J76+J75+J74+J73+J72+J71+J70+J69</f>
        <v>0</v>
      </c>
      <c r="K94" s="315">
        <f>K93+K92+K91+K90+K89+K88+K87+K86+K85+K84+K83+K82+K81+K80+K79+K78+K77+K76+K75+K74+K73+K72+K71+K70+K69</f>
        <v>0</v>
      </c>
      <c r="L94" s="318">
        <f t="shared" si="12"/>
        <v>0</v>
      </c>
      <c r="M94" s="321">
        <f t="shared" si="12"/>
        <v>0</v>
      </c>
      <c r="N94" s="290"/>
      <c r="O94" s="291"/>
      <c r="P94" s="291"/>
      <c r="Q94" s="292"/>
      <c r="R94" s="5"/>
      <c r="S94" s="6"/>
      <c r="T94" s="7"/>
      <c r="U94" s="8"/>
    </row>
    <row r="95" spans="1:21" ht="17.25" thickBot="1" x14ac:dyDescent="0.35">
      <c r="A95" s="311"/>
      <c r="B95" s="312"/>
      <c r="C95" s="312"/>
      <c r="D95" s="312"/>
      <c r="E95" s="312"/>
      <c r="F95" s="312"/>
      <c r="G95" s="312"/>
      <c r="H95" s="312"/>
      <c r="I95" s="316"/>
      <c r="J95" s="316"/>
      <c r="K95" s="316"/>
      <c r="L95" s="319"/>
      <c r="M95" s="322"/>
      <c r="N95" s="293"/>
      <c r="O95" s="294"/>
      <c r="P95" s="294"/>
      <c r="Q95" s="295"/>
      <c r="R95" s="1"/>
      <c r="S95" s="2"/>
      <c r="T95" s="3"/>
      <c r="U95" s="4"/>
    </row>
    <row r="96" spans="1:21" ht="17.25" thickBot="1" x14ac:dyDescent="0.35">
      <c r="A96" s="313"/>
      <c r="B96" s="314"/>
      <c r="C96" s="314"/>
      <c r="D96" s="314"/>
      <c r="E96" s="314"/>
      <c r="F96" s="314"/>
      <c r="G96" s="314"/>
      <c r="H96" s="314"/>
      <c r="I96" s="317"/>
      <c r="J96" s="317"/>
      <c r="K96" s="317"/>
      <c r="L96" s="320"/>
      <c r="M96" s="323"/>
      <c r="N96" s="296"/>
      <c r="O96" s="297"/>
      <c r="P96" s="297"/>
      <c r="Q96" s="298"/>
      <c r="R96" s="299" t="s">
        <v>52</v>
      </c>
      <c r="S96" s="300"/>
      <c r="T96" s="300"/>
      <c r="U96" s="301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P23" sqref="P2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6" t="s">
        <v>77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8"/>
    </row>
    <row r="2" spans="1:44" ht="17.25" thickBot="1" x14ac:dyDescent="0.35">
      <c r="A2" s="336" t="s">
        <v>237</v>
      </c>
      <c r="B2" s="337"/>
      <c r="C2" s="337"/>
      <c r="D2" s="337"/>
      <c r="E2" s="337"/>
      <c r="F2" s="337"/>
      <c r="G2" s="338"/>
      <c r="H2" s="339" t="s">
        <v>49</v>
      </c>
      <c r="I2" s="340"/>
      <c r="J2" s="336" t="s">
        <v>284</v>
      </c>
      <c r="K2" s="338"/>
      <c r="L2" s="340" t="s">
        <v>96</v>
      </c>
      <c r="M2" s="341"/>
      <c r="N2" s="339"/>
      <c r="O2" s="337" t="s">
        <v>273</v>
      </c>
      <c r="P2" s="337"/>
      <c r="Q2" s="338"/>
      <c r="R2" s="340" t="s">
        <v>51</v>
      </c>
      <c r="S2" s="339"/>
      <c r="T2" s="328">
        <v>7</v>
      </c>
      <c r="U2" s="32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9" t="s">
        <v>8</v>
      </c>
      <c r="P4" s="329"/>
      <c r="Q4" s="329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3421</v>
      </c>
      <c r="C5" s="68" t="s">
        <v>238</v>
      </c>
      <c r="D5" s="200" t="s">
        <v>239</v>
      </c>
      <c r="E5" s="181" t="s">
        <v>240</v>
      </c>
      <c r="F5" s="170">
        <v>835</v>
      </c>
      <c r="G5" s="118" t="s">
        <v>159</v>
      </c>
      <c r="H5" s="91"/>
      <c r="I5" s="124">
        <v>120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273</v>
      </c>
      <c r="O5" s="382"/>
      <c r="P5" s="383"/>
      <c r="Q5" s="384"/>
      <c r="R5" s="33" t="s">
        <v>273</v>
      </c>
      <c r="S5" s="31">
        <v>0.35416666666666669</v>
      </c>
      <c r="T5" s="32">
        <v>0.71875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3422</v>
      </c>
      <c r="C6" s="67" t="s">
        <v>241</v>
      </c>
      <c r="D6" s="200" t="s">
        <v>242</v>
      </c>
      <c r="E6" s="181" t="s">
        <v>91</v>
      </c>
      <c r="F6" s="171">
        <v>835</v>
      </c>
      <c r="G6" s="118" t="s">
        <v>111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273</v>
      </c>
      <c r="O6" s="330"/>
      <c r="P6" s="331"/>
      <c r="Q6" s="332"/>
      <c r="R6" s="132" t="s">
        <v>103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3423</v>
      </c>
      <c r="C7" s="67" t="s">
        <v>243</v>
      </c>
      <c r="D7" s="200" t="s">
        <v>244</v>
      </c>
      <c r="E7" s="181" t="s">
        <v>245</v>
      </c>
      <c r="F7" s="171">
        <v>850</v>
      </c>
      <c r="G7" s="118" t="s">
        <v>111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273</v>
      </c>
      <c r="O7" s="303"/>
      <c r="P7" s="302"/>
      <c r="Q7" s="304"/>
      <c r="R7" s="134" t="s">
        <v>105</v>
      </c>
      <c r="S7" s="31">
        <v>0.375</v>
      </c>
      <c r="T7" s="32">
        <v>0.70833333333333337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3424</v>
      </c>
      <c r="C8" s="27" t="s">
        <v>246</v>
      </c>
      <c r="D8" s="200" t="s">
        <v>247</v>
      </c>
      <c r="E8" s="181" t="s">
        <v>91</v>
      </c>
      <c r="F8" s="171">
        <v>900</v>
      </c>
      <c r="G8" s="118" t="s">
        <v>159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273</v>
      </c>
      <c r="O8" s="333"/>
      <c r="P8" s="334"/>
      <c r="Q8" s="335"/>
      <c r="R8" s="26" t="s">
        <v>106</v>
      </c>
      <c r="S8" s="31">
        <v>0.39583333333333331</v>
      </c>
      <c r="T8" s="32">
        <v>0.71875</v>
      </c>
      <c r="U8" s="92">
        <f t="shared" si="0"/>
        <v>7.75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3425</v>
      </c>
      <c r="C9" s="63" t="s">
        <v>248</v>
      </c>
      <c r="D9" s="201" t="s">
        <v>249</v>
      </c>
      <c r="E9" s="181" t="s">
        <v>91</v>
      </c>
      <c r="F9" s="172">
        <v>930</v>
      </c>
      <c r="G9" s="119" t="s">
        <v>92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273</v>
      </c>
      <c r="O9" s="333"/>
      <c r="P9" s="334"/>
      <c r="Q9" s="335"/>
      <c r="R9" s="26" t="s">
        <v>287</v>
      </c>
      <c r="S9" s="31">
        <v>0.4375</v>
      </c>
      <c r="T9" s="32">
        <v>0.70833333333333337</v>
      </c>
      <c r="U9" s="92">
        <f t="shared" si="0"/>
        <v>6.5000000000000009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3426</v>
      </c>
      <c r="C10" s="28" t="s">
        <v>250</v>
      </c>
      <c r="D10" s="202" t="s">
        <v>251</v>
      </c>
      <c r="E10" s="181" t="s">
        <v>92</v>
      </c>
      <c r="F10" s="173">
        <v>1000</v>
      </c>
      <c r="G10" s="120" t="s">
        <v>118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273</v>
      </c>
      <c r="O10" s="325"/>
      <c r="P10" s="326"/>
      <c r="Q10" s="327"/>
      <c r="R10" s="26" t="s">
        <v>288</v>
      </c>
      <c r="S10" s="31">
        <v>0.39583333333333331</v>
      </c>
      <c r="T10" s="32">
        <v>0.71875</v>
      </c>
      <c r="U10" s="92">
        <f t="shared" si="0"/>
        <v>7.75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3427</v>
      </c>
      <c r="C11" s="18" t="s">
        <v>254</v>
      </c>
      <c r="D11" s="203" t="s">
        <v>255</v>
      </c>
      <c r="E11" s="181" t="s">
        <v>91</v>
      </c>
      <c r="F11" s="66">
        <v>1020</v>
      </c>
      <c r="G11" s="121" t="s">
        <v>256</v>
      </c>
      <c r="H11" s="123"/>
      <c r="I11" s="124">
        <v>220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273</v>
      </c>
      <c r="O11" s="303"/>
      <c r="P11" s="302"/>
      <c r="Q11" s="304"/>
      <c r="R11" s="26" t="s">
        <v>289</v>
      </c>
      <c r="S11" s="31">
        <v>0.38541666666666669</v>
      </c>
      <c r="T11" s="32">
        <v>0.70833333333333337</v>
      </c>
      <c r="U11" s="92">
        <f t="shared" si="0"/>
        <v>7.75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3428</v>
      </c>
      <c r="C12" s="64" t="s">
        <v>257</v>
      </c>
      <c r="D12" s="204" t="s">
        <v>258</v>
      </c>
      <c r="E12" s="181" t="s">
        <v>91</v>
      </c>
      <c r="F12" s="173">
        <v>1100</v>
      </c>
      <c r="G12" s="119" t="s">
        <v>259</v>
      </c>
      <c r="H12" s="123"/>
      <c r="I12" s="125">
        <v>180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273</v>
      </c>
      <c r="O12" s="303"/>
      <c r="P12" s="302"/>
      <c r="Q12" s="304"/>
      <c r="R12" s="26" t="s">
        <v>290</v>
      </c>
      <c r="S12" s="31">
        <v>0.33333333333333331</v>
      </c>
      <c r="T12" s="32">
        <v>0.39583333333333331</v>
      </c>
      <c r="U12" s="92">
        <f t="shared" si="0"/>
        <v>1.5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3429</v>
      </c>
      <c r="C13" s="64" t="s">
        <v>260</v>
      </c>
      <c r="D13" s="204" t="s">
        <v>261</v>
      </c>
      <c r="E13" s="181" t="s">
        <v>92</v>
      </c>
      <c r="F13" s="173">
        <v>1140</v>
      </c>
      <c r="G13" s="119" t="s">
        <v>262</v>
      </c>
      <c r="H13" s="169"/>
      <c r="I13" s="168">
        <v>180</v>
      </c>
      <c r="J13" s="130" t="str">
        <f t="shared" si="1"/>
        <v>0</v>
      </c>
      <c r="K13" s="130" t="str">
        <f t="shared" si="2"/>
        <v>0</v>
      </c>
      <c r="L13" s="131"/>
      <c r="M13" s="131"/>
      <c r="N13" s="33" t="s">
        <v>103</v>
      </c>
      <c r="O13" s="303"/>
      <c r="P13" s="302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3430</v>
      </c>
      <c r="C14" s="65" t="s">
        <v>263</v>
      </c>
      <c r="D14" s="205" t="s">
        <v>264</v>
      </c>
      <c r="E14" s="181" t="s">
        <v>92</v>
      </c>
      <c r="F14" s="174">
        <v>1145</v>
      </c>
      <c r="G14" s="122" t="s">
        <v>111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33" t="s">
        <v>103</v>
      </c>
      <c r="O14" s="303"/>
      <c r="P14" s="302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3431</v>
      </c>
      <c r="C15" s="65" t="s">
        <v>265</v>
      </c>
      <c r="D15" s="205" t="s">
        <v>266</v>
      </c>
      <c r="E15" s="181" t="s">
        <v>92</v>
      </c>
      <c r="F15" s="174">
        <v>1210</v>
      </c>
      <c r="G15" s="122" t="s">
        <v>111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33" t="s">
        <v>103</v>
      </c>
      <c r="O15" s="303"/>
      <c r="P15" s="302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3432</v>
      </c>
      <c r="C16" s="65" t="s">
        <v>267</v>
      </c>
      <c r="D16" s="205" t="s">
        <v>268</v>
      </c>
      <c r="E16" s="181" t="s">
        <v>92</v>
      </c>
      <c r="F16" s="174">
        <v>1220</v>
      </c>
      <c r="G16" s="122" t="s">
        <v>111</v>
      </c>
      <c r="H16" s="123"/>
      <c r="I16" s="124">
        <v>100</v>
      </c>
      <c r="J16" s="130" t="str">
        <f t="shared" si="1"/>
        <v>0</v>
      </c>
      <c r="K16" s="130" t="str">
        <f t="shared" si="2"/>
        <v>0</v>
      </c>
      <c r="L16" s="131"/>
      <c r="M16" s="131"/>
      <c r="N16" s="33" t="s">
        <v>103</v>
      </c>
      <c r="O16" s="303"/>
      <c r="P16" s="302"/>
      <c r="Q16" s="304"/>
      <c r="R16" s="82">
        <f>H32/U16</f>
        <v>0.36681222707423583</v>
      </c>
      <c r="S16" s="83">
        <f>H32/(U16-U5)</f>
        <v>0.4329896907216495</v>
      </c>
      <c r="T16" s="83">
        <f>C32/U16</f>
        <v>47.931877729257643</v>
      </c>
      <c r="U16" s="83">
        <f>SUM(U5:U15)</f>
        <v>57.25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3433</v>
      </c>
      <c r="C17" s="18" t="s">
        <v>269</v>
      </c>
      <c r="D17" s="203" t="s">
        <v>270</v>
      </c>
      <c r="E17" s="181" t="s">
        <v>92</v>
      </c>
      <c r="F17" s="66">
        <v>1230</v>
      </c>
      <c r="G17" s="121" t="s">
        <v>118</v>
      </c>
      <c r="H17" s="123"/>
      <c r="I17" s="124">
        <v>55</v>
      </c>
      <c r="J17" s="130" t="str">
        <f t="shared" si="1"/>
        <v>0</v>
      </c>
      <c r="K17" s="130" t="str">
        <f t="shared" si="2"/>
        <v>0</v>
      </c>
      <c r="L17" s="131"/>
      <c r="M17" s="131"/>
      <c r="N17" s="33" t="s">
        <v>103</v>
      </c>
      <c r="O17" s="303"/>
      <c r="P17" s="302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3434</v>
      </c>
      <c r="C18" s="18" t="s">
        <v>271</v>
      </c>
      <c r="D18" s="203" t="s">
        <v>272</v>
      </c>
      <c r="E18" s="181" t="s">
        <v>92</v>
      </c>
      <c r="F18" s="66">
        <v>1250</v>
      </c>
      <c r="G18" s="20" t="s">
        <v>111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273</v>
      </c>
      <c r="O18" s="303"/>
      <c r="P18" s="302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3435</v>
      </c>
      <c r="C19" s="18" t="s">
        <v>274</v>
      </c>
      <c r="D19" s="203" t="s">
        <v>275</v>
      </c>
      <c r="E19" s="181" t="s">
        <v>92</v>
      </c>
      <c r="F19" s="66">
        <v>1305</v>
      </c>
      <c r="G19" s="121" t="s">
        <v>111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273</v>
      </c>
      <c r="O19" s="303"/>
      <c r="P19" s="302"/>
      <c r="Q19" s="302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3436</v>
      </c>
      <c r="C20" s="18" t="s">
        <v>276</v>
      </c>
      <c r="D20" s="203" t="s">
        <v>277</v>
      </c>
      <c r="E20" s="181" t="s">
        <v>92</v>
      </c>
      <c r="F20" s="66">
        <v>1400</v>
      </c>
      <c r="G20" s="121" t="s">
        <v>111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273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268">
        <v>3437</v>
      </c>
      <c r="C21" s="286" t="s">
        <v>252</v>
      </c>
      <c r="D21" s="287" t="s">
        <v>253</v>
      </c>
      <c r="E21" s="271" t="s">
        <v>92</v>
      </c>
      <c r="F21" s="288">
        <v>1420</v>
      </c>
      <c r="G21" s="277" t="s">
        <v>114</v>
      </c>
      <c r="H21" s="281"/>
      <c r="I21" s="273"/>
      <c r="J21" s="273" t="str">
        <f t="shared" si="1"/>
        <v>0</v>
      </c>
      <c r="K21" s="273">
        <v>79.099999999999994</v>
      </c>
      <c r="L21" s="274">
        <v>475</v>
      </c>
      <c r="M21" s="274"/>
      <c r="N21" s="275" t="s">
        <v>273</v>
      </c>
      <c r="O21" s="369" t="s">
        <v>278</v>
      </c>
      <c r="P21" s="370"/>
      <c r="Q21" s="37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3438</v>
      </c>
      <c r="C22" s="127" t="s">
        <v>279</v>
      </c>
      <c r="D22" s="206" t="s">
        <v>280</v>
      </c>
      <c r="E22" s="181" t="s">
        <v>92</v>
      </c>
      <c r="F22" s="175">
        <v>1425</v>
      </c>
      <c r="G22" s="263" t="s">
        <v>281</v>
      </c>
      <c r="H22" s="89"/>
      <c r="I22" s="141">
        <v>70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273</v>
      </c>
      <c r="O22" s="303"/>
      <c r="P22" s="302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3439</v>
      </c>
      <c r="C23" s="136" t="s">
        <v>282</v>
      </c>
      <c r="D23" s="207" t="s">
        <v>283</v>
      </c>
      <c r="E23" s="181" t="s">
        <v>91</v>
      </c>
      <c r="F23" s="176">
        <v>1445</v>
      </c>
      <c r="G23" s="165" t="s">
        <v>259</v>
      </c>
      <c r="H23" s="89"/>
      <c r="I23" s="141">
        <v>150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273</v>
      </c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276">
        <v>20</v>
      </c>
      <c r="B24" s="277">
        <v>3440</v>
      </c>
      <c r="C24" s="278" t="s">
        <v>285</v>
      </c>
      <c r="D24" s="279" t="s">
        <v>286</v>
      </c>
      <c r="E24" s="271" t="s">
        <v>91</v>
      </c>
      <c r="F24" s="280">
        <v>1540</v>
      </c>
      <c r="G24" s="277" t="s">
        <v>102</v>
      </c>
      <c r="H24" s="281">
        <v>320</v>
      </c>
      <c r="I24" s="281"/>
      <c r="J24" s="273" t="str">
        <f t="shared" si="1"/>
        <v>0</v>
      </c>
      <c r="K24" s="273" t="str">
        <f t="shared" si="2"/>
        <v>0</v>
      </c>
      <c r="L24" s="273"/>
      <c r="M24" s="273"/>
      <c r="N24" s="275" t="s">
        <v>273</v>
      </c>
      <c r="O24" s="303"/>
      <c r="P24" s="302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276">
        <v>21</v>
      </c>
      <c r="B25" s="268">
        <v>3441</v>
      </c>
      <c r="C25" s="275" t="s">
        <v>291</v>
      </c>
      <c r="D25" s="283" t="s">
        <v>292</v>
      </c>
      <c r="E25" s="271" t="s">
        <v>92</v>
      </c>
      <c r="F25" s="280">
        <v>1540</v>
      </c>
      <c r="G25" s="277" t="s">
        <v>293</v>
      </c>
      <c r="H25" s="281"/>
      <c r="I25" s="281">
        <v>350</v>
      </c>
      <c r="J25" s="273" t="str">
        <f t="shared" si="1"/>
        <v>0</v>
      </c>
      <c r="K25" s="273" t="str">
        <f t="shared" si="2"/>
        <v>0</v>
      </c>
      <c r="L25" s="273"/>
      <c r="M25" s="273"/>
      <c r="N25" s="275" t="s">
        <v>273</v>
      </c>
      <c r="O25" s="303"/>
      <c r="P25" s="302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2744.1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3"/>
      <c r="P26" s="302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3"/>
      <c r="P27" s="302"/>
      <c r="Q27" s="304"/>
      <c r="R27" s="366" t="s">
        <v>56</v>
      </c>
      <c r="S27" s="367"/>
      <c r="T27" s="367"/>
      <c r="U27" s="36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3"/>
      <c r="P28" s="302"/>
      <c r="Q28" s="304"/>
      <c r="R28" s="359"/>
      <c r="S28" s="360"/>
      <c r="T28" s="36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6"/>
      <c r="P29" s="347"/>
      <c r="Q29" s="348"/>
      <c r="R29" s="349"/>
      <c r="S29" s="350"/>
      <c r="T29" s="35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2" t="s">
        <v>48</v>
      </c>
      <c r="B30" s="353"/>
      <c r="C30" s="353"/>
      <c r="D30" s="353"/>
      <c r="E30" s="354"/>
      <c r="F30" s="353"/>
      <c r="G30" s="353"/>
      <c r="H30" s="264">
        <f t="shared" ref="H30:M30" si="3">SUM(H5:H29)</f>
        <v>395</v>
      </c>
      <c r="I30" s="105">
        <f>SUM(I5:I29)</f>
        <v>2270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475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5"/>
      <c r="S30" s="355"/>
      <c r="T30" s="35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7" t="s">
        <v>16</v>
      </c>
      <c r="B31" s="358"/>
      <c r="C31" s="358"/>
      <c r="D31" s="358"/>
      <c r="E31" s="358"/>
      <c r="F31" s="358"/>
      <c r="G31" s="358"/>
      <c r="H31" s="265">
        <f t="shared" ref="H31:J31" si="4">H30+H62+H94</f>
        <v>395</v>
      </c>
      <c r="I31" s="103">
        <f t="shared" si="4"/>
        <v>2270</v>
      </c>
      <c r="J31" s="103">
        <f t="shared" si="4"/>
        <v>0</v>
      </c>
      <c r="K31" s="103">
        <f>K30+K62+K94</f>
        <v>79.099999999999994</v>
      </c>
      <c r="L31" s="97">
        <f>L30+L62+L94</f>
        <v>475</v>
      </c>
      <c r="M31" s="97">
        <f>M30+M62+M94</f>
        <v>0</v>
      </c>
      <c r="N31" s="262">
        <f>COUNT(H5:H29,H37:H61,H69:H93)</f>
        <v>2</v>
      </c>
      <c r="O31" s="104">
        <f>COUNT(I5:I29,I37:I61,I69:I93)</f>
        <v>18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870</v>
      </c>
      <c r="T31" s="342">
        <f>H31+I31+L31+M31</f>
        <v>3140</v>
      </c>
      <c r="U31" s="34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2" t="s">
        <v>55</v>
      </c>
      <c r="B32" s="363"/>
      <c r="C32" s="107">
        <f>H31+I31+J31+K31</f>
        <v>2744.1</v>
      </c>
      <c r="D32" s="196"/>
      <c r="E32" s="107"/>
      <c r="F32" s="364" t="s">
        <v>53</v>
      </c>
      <c r="G32" s="364"/>
      <c r="H32" s="109">
        <f>COUNT(B5:B29,B37:B61,B69:B93)</f>
        <v>21</v>
      </c>
      <c r="I32" s="365" t="s">
        <v>54</v>
      </c>
      <c r="J32" s="365"/>
      <c r="K32" s="108">
        <f>C32/H32</f>
        <v>130.67142857142858</v>
      </c>
      <c r="L32" s="260"/>
      <c r="M32" s="260"/>
      <c r="N32" s="260">
        <f>H31/C32</f>
        <v>0.14394519150176743</v>
      </c>
      <c r="O32" s="260">
        <f>I31/C32</f>
        <v>0.82722932837724572</v>
      </c>
      <c r="P32" s="260">
        <f>K31/C32</f>
        <v>2.8825480120986843E-2</v>
      </c>
      <c r="Q32" s="110">
        <f>J31/C32</f>
        <v>0</v>
      </c>
      <c r="R32" s="99" t="s">
        <v>82</v>
      </c>
      <c r="S32" s="266">
        <f>I31+M31</f>
        <v>2270</v>
      </c>
      <c r="T32" s="344"/>
      <c r="U32" s="345"/>
      <c r="V32" s="55"/>
      <c r="W32" s="55"/>
      <c r="X32" s="56" t="s">
        <v>27</v>
      </c>
      <c r="Y32" s="56"/>
      <c r="Z32" s="54">
        <f>I31</f>
        <v>2270</v>
      </c>
      <c r="AE32" s="37"/>
      <c r="AF32" s="37"/>
      <c r="AG32" s="37"/>
      <c r="AH32" s="37"/>
    </row>
    <row r="33" spans="1:34" ht="17.25" thickBot="1" x14ac:dyDescent="0.35">
      <c r="A33" s="296" t="s">
        <v>24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337"/>
      <c r="U33" s="338"/>
      <c r="X33" s="57" t="s">
        <v>29</v>
      </c>
      <c r="Y33" s="57"/>
      <c r="Z33" s="58">
        <f>SUM(Z31:Z32)</f>
        <v>-475</v>
      </c>
      <c r="AE33" s="37"/>
      <c r="AF33" s="37"/>
      <c r="AG33" s="59"/>
      <c r="AH33" s="37"/>
    </row>
    <row r="34" spans="1:34" ht="17.25" thickBot="1" x14ac:dyDescent="0.35">
      <c r="A34" s="336" t="str">
        <f>A2</f>
        <v>09-04-2022</v>
      </c>
      <c r="B34" s="337"/>
      <c r="C34" s="337"/>
      <c r="D34" s="337"/>
      <c r="E34" s="337"/>
      <c r="F34" s="337"/>
      <c r="G34" s="338"/>
      <c r="H34" s="339" t="s">
        <v>49</v>
      </c>
      <c r="I34" s="340"/>
      <c r="J34" s="336" t="str">
        <f>J2</f>
        <v>CLOUDY</v>
      </c>
      <c r="K34" s="338"/>
      <c r="L34" s="340" t="s">
        <v>50</v>
      </c>
      <c r="M34" s="341"/>
      <c r="N34" s="339"/>
      <c r="O34" s="337" t="str">
        <f>O2</f>
        <v>JOHN</v>
      </c>
      <c r="P34" s="337"/>
      <c r="Q34" s="338"/>
      <c r="R34" s="340" t="s">
        <v>51</v>
      </c>
      <c r="S34" s="339"/>
      <c r="T34" s="328">
        <f>T2</f>
        <v>7</v>
      </c>
      <c r="U34" s="32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9" t="s">
        <v>8</v>
      </c>
      <c r="P36" s="329"/>
      <c r="Q36" s="329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3"/>
      <c r="P37" s="302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3"/>
      <c r="P39" s="302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3"/>
      <c r="P40" s="334"/>
      <c r="Q40" s="33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3"/>
      <c r="P41" s="334"/>
      <c r="Q41" s="33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5"/>
      <c r="P42" s="326"/>
      <c r="Q42" s="327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3"/>
      <c r="P43" s="302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3"/>
      <c r="P44" s="302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3"/>
      <c r="P45" s="302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3"/>
      <c r="P46" s="302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3"/>
      <c r="P47" s="302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3"/>
      <c r="P48" s="302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3"/>
      <c r="P49" s="302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3"/>
      <c r="P50" s="302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3"/>
      <c r="P51" s="302"/>
      <c r="Q51" s="302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3"/>
      <c r="P52" s="302"/>
      <c r="Q52" s="302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4"/>
      <c r="P53" s="303"/>
      <c r="Q53" s="30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4"/>
      <c r="P54" s="303"/>
      <c r="Q54" s="30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4"/>
      <c r="P55" s="303"/>
      <c r="Q55" s="30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2"/>
      <c r="P56" s="302"/>
      <c r="Q56" s="302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3"/>
      <c r="P57" s="302"/>
      <c r="Q57" s="302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2"/>
      <c r="P58" s="302"/>
      <c r="Q58" s="302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2"/>
      <c r="P59" s="302"/>
      <c r="Q59" s="302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3"/>
      <c r="P60" s="302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5"/>
      <c r="P61" s="306"/>
      <c r="Q61" s="307"/>
      <c r="R61" s="81"/>
      <c r="S61" s="68"/>
      <c r="T61" s="68"/>
      <c r="U61" s="77"/>
    </row>
    <row r="62" spans="1:21" x14ac:dyDescent="0.3">
      <c r="A62" s="308" t="s">
        <v>48</v>
      </c>
      <c r="B62" s="309"/>
      <c r="C62" s="309"/>
      <c r="D62" s="309"/>
      <c r="E62" s="309"/>
      <c r="F62" s="309"/>
      <c r="G62" s="309"/>
      <c r="H62" s="309">
        <f t="shared" ref="H62:M62" si="8">SUM(H37:H61)</f>
        <v>0</v>
      </c>
      <c r="I62" s="315">
        <f t="shared" si="8"/>
        <v>0</v>
      </c>
      <c r="J62" s="315">
        <f>J61+J60+J59+J58+J57+J56+J55+J54+J53+J52+J51+J50+J49+J48+J47+J46+J45+J44+J43+J42+J41+J40+J39+J38+J37</f>
        <v>0</v>
      </c>
      <c r="K62" s="315">
        <f>K61+K60+K59+K58+K57+K56+K55+K54+K53+K52+K51+K50+K49+K48+K47+K46+K45+K44+K43+K42+K41+K40+K39+K38+K37</f>
        <v>0</v>
      </c>
      <c r="L62" s="318">
        <f t="shared" si="8"/>
        <v>0</v>
      </c>
      <c r="M62" s="321">
        <f t="shared" si="8"/>
        <v>0</v>
      </c>
      <c r="N62" s="290"/>
      <c r="O62" s="291"/>
      <c r="P62" s="291"/>
      <c r="Q62" s="292"/>
      <c r="R62" s="5"/>
      <c r="S62" s="6"/>
      <c r="T62" s="7"/>
      <c r="U62" s="8"/>
    </row>
    <row r="63" spans="1:21" ht="17.25" thickBot="1" x14ac:dyDescent="0.35">
      <c r="A63" s="311"/>
      <c r="B63" s="312"/>
      <c r="C63" s="312"/>
      <c r="D63" s="312"/>
      <c r="E63" s="312"/>
      <c r="F63" s="312"/>
      <c r="G63" s="312"/>
      <c r="H63" s="312"/>
      <c r="I63" s="316"/>
      <c r="J63" s="316"/>
      <c r="K63" s="316"/>
      <c r="L63" s="319"/>
      <c r="M63" s="322"/>
      <c r="N63" s="293"/>
      <c r="O63" s="294"/>
      <c r="P63" s="294"/>
      <c r="Q63" s="295"/>
      <c r="R63" s="1"/>
      <c r="S63" s="2"/>
      <c r="T63" s="3"/>
      <c r="U63" s="4"/>
    </row>
    <row r="64" spans="1:21" ht="17.25" thickBot="1" x14ac:dyDescent="0.35">
      <c r="A64" s="313"/>
      <c r="B64" s="314"/>
      <c r="C64" s="314"/>
      <c r="D64" s="314"/>
      <c r="E64" s="314"/>
      <c r="F64" s="314"/>
      <c r="G64" s="314"/>
      <c r="H64" s="314"/>
      <c r="I64" s="317"/>
      <c r="J64" s="317"/>
      <c r="K64" s="317"/>
      <c r="L64" s="320"/>
      <c r="M64" s="323"/>
      <c r="N64" s="296"/>
      <c r="O64" s="297"/>
      <c r="P64" s="297"/>
      <c r="Q64" s="298"/>
      <c r="R64" s="299" t="s">
        <v>17</v>
      </c>
      <c r="S64" s="300"/>
      <c r="T64" s="300"/>
      <c r="U64" s="301"/>
    </row>
    <row r="65" spans="1:21" ht="17.25" thickBot="1" x14ac:dyDescent="0.35">
      <c r="A65" s="336" t="s">
        <v>24</v>
      </c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8"/>
    </row>
    <row r="66" spans="1:21" ht="17.25" thickBot="1" x14ac:dyDescent="0.35">
      <c r="A66" s="336" t="str">
        <f>A34</f>
        <v>09-04-2022</v>
      </c>
      <c r="B66" s="337"/>
      <c r="C66" s="337"/>
      <c r="D66" s="337"/>
      <c r="E66" s="337"/>
      <c r="F66" s="337"/>
      <c r="G66" s="338"/>
      <c r="H66" s="339" t="s">
        <v>49</v>
      </c>
      <c r="I66" s="340"/>
      <c r="J66" s="336" t="str">
        <f>J34</f>
        <v>CLOUDY</v>
      </c>
      <c r="K66" s="338"/>
      <c r="L66" s="340" t="s">
        <v>50</v>
      </c>
      <c r="M66" s="341"/>
      <c r="N66" s="339"/>
      <c r="O66" s="337" t="str">
        <f>O34</f>
        <v>JOHN</v>
      </c>
      <c r="P66" s="337"/>
      <c r="Q66" s="338"/>
      <c r="R66" s="340" t="s">
        <v>51</v>
      </c>
      <c r="S66" s="339"/>
      <c r="T66" s="328">
        <f>T34</f>
        <v>7</v>
      </c>
      <c r="U66" s="32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9" t="s">
        <v>8</v>
      </c>
      <c r="P68" s="329"/>
      <c r="Q68" s="329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3"/>
      <c r="P69" s="302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3"/>
      <c r="P71" s="302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3"/>
      <c r="P72" s="334"/>
      <c r="Q72" s="33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3"/>
      <c r="P73" s="334"/>
      <c r="Q73" s="33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5"/>
      <c r="P74" s="326"/>
      <c r="Q74" s="327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3"/>
      <c r="P75" s="302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3"/>
      <c r="P76" s="302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3"/>
      <c r="P77" s="302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3"/>
      <c r="P78" s="302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3"/>
      <c r="P79" s="302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3"/>
      <c r="P80" s="302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3"/>
      <c r="P81" s="302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3"/>
      <c r="P82" s="302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3"/>
      <c r="P83" s="302"/>
      <c r="Q83" s="302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3"/>
      <c r="P84" s="302"/>
      <c r="Q84" s="302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4"/>
      <c r="P85" s="303"/>
      <c r="Q85" s="30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4"/>
      <c r="P86" s="303"/>
      <c r="Q86" s="30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4"/>
      <c r="P87" s="303"/>
      <c r="Q87" s="30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2"/>
      <c r="P88" s="302"/>
      <c r="Q88" s="302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3"/>
      <c r="P89" s="302"/>
      <c r="Q89" s="302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2"/>
      <c r="P90" s="302"/>
      <c r="Q90" s="302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2"/>
      <c r="P91" s="302"/>
      <c r="Q91" s="302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3"/>
      <c r="P92" s="302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5"/>
      <c r="P93" s="306"/>
      <c r="Q93" s="307"/>
      <c r="R93" s="81"/>
      <c r="S93" s="68"/>
      <c r="T93" s="68"/>
      <c r="U93" s="77"/>
    </row>
    <row r="94" spans="1:21" x14ac:dyDescent="0.3">
      <c r="A94" s="308" t="s">
        <v>48</v>
      </c>
      <c r="B94" s="309"/>
      <c r="C94" s="309"/>
      <c r="D94" s="309"/>
      <c r="E94" s="310"/>
      <c r="F94" s="309"/>
      <c r="G94" s="309"/>
      <c r="H94" s="309">
        <f t="shared" ref="H94:M94" si="12">SUM(H69:H93)</f>
        <v>0</v>
      </c>
      <c r="I94" s="315">
        <f t="shared" si="12"/>
        <v>0</v>
      </c>
      <c r="J94" s="315">
        <f>J93+J92+J91+J90+J89+J88+J87+J86+J85+J84+J83+J82+J81+J80+J79+J78+J77+J76+J75+J74+J73+J72+J71+J70+J69</f>
        <v>0</v>
      </c>
      <c r="K94" s="315">
        <f>K93+K92+K91+K90+K89+K88+K87+K86+K85+K84+K83+K82+K81+K80+K79+K78+K77+K76+K75+K74+K73+K72+K71+K70+K69</f>
        <v>0</v>
      </c>
      <c r="L94" s="318">
        <f t="shared" si="12"/>
        <v>0</v>
      </c>
      <c r="M94" s="321">
        <f t="shared" si="12"/>
        <v>0</v>
      </c>
      <c r="N94" s="290"/>
      <c r="O94" s="291"/>
      <c r="P94" s="291"/>
      <c r="Q94" s="292"/>
      <c r="R94" s="5"/>
      <c r="S94" s="6"/>
      <c r="T94" s="7"/>
      <c r="U94" s="8"/>
    </row>
    <row r="95" spans="1:21" ht="17.25" thickBot="1" x14ac:dyDescent="0.35">
      <c r="A95" s="311"/>
      <c r="B95" s="312"/>
      <c r="C95" s="312"/>
      <c r="D95" s="312"/>
      <c r="E95" s="312"/>
      <c r="F95" s="312"/>
      <c r="G95" s="312"/>
      <c r="H95" s="312"/>
      <c r="I95" s="316"/>
      <c r="J95" s="316"/>
      <c r="K95" s="316"/>
      <c r="L95" s="319"/>
      <c r="M95" s="322"/>
      <c r="N95" s="293"/>
      <c r="O95" s="294"/>
      <c r="P95" s="294"/>
      <c r="Q95" s="295"/>
      <c r="R95" s="1"/>
      <c r="S95" s="2"/>
      <c r="T95" s="3"/>
      <c r="U95" s="4"/>
    </row>
    <row r="96" spans="1:21" ht="17.25" thickBot="1" x14ac:dyDescent="0.35">
      <c r="A96" s="313"/>
      <c r="B96" s="314"/>
      <c r="C96" s="314"/>
      <c r="D96" s="314"/>
      <c r="E96" s="314"/>
      <c r="F96" s="314"/>
      <c r="G96" s="314"/>
      <c r="H96" s="314"/>
      <c r="I96" s="317"/>
      <c r="J96" s="317"/>
      <c r="K96" s="317"/>
      <c r="L96" s="320"/>
      <c r="M96" s="323"/>
      <c r="N96" s="296"/>
      <c r="O96" s="297"/>
      <c r="P96" s="297"/>
      <c r="Q96" s="298"/>
      <c r="R96" s="299" t="s">
        <v>52</v>
      </c>
      <c r="S96" s="300"/>
      <c r="T96" s="300"/>
      <c r="U96" s="301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A15" sqref="A15:N1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6" t="s">
        <v>77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8"/>
    </row>
    <row r="2" spans="1:44" ht="17.25" thickBot="1" x14ac:dyDescent="0.35">
      <c r="A2" s="336" t="s">
        <v>294</v>
      </c>
      <c r="B2" s="337"/>
      <c r="C2" s="337"/>
      <c r="D2" s="337"/>
      <c r="E2" s="337"/>
      <c r="F2" s="337"/>
      <c r="G2" s="338"/>
      <c r="H2" s="339" t="s">
        <v>49</v>
      </c>
      <c r="I2" s="340"/>
      <c r="J2" s="336" t="s">
        <v>98</v>
      </c>
      <c r="K2" s="338"/>
      <c r="L2" s="340" t="s">
        <v>96</v>
      </c>
      <c r="M2" s="341"/>
      <c r="N2" s="339"/>
      <c r="O2" s="337" t="s">
        <v>273</v>
      </c>
      <c r="P2" s="337"/>
      <c r="Q2" s="338"/>
      <c r="R2" s="340" t="s">
        <v>51</v>
      </c>
      <c r="S2" s="339"/>
      <c r="T2" s="328">
        <v>7</v>
      </c>
      <c r="U2" s="32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9" t="s">
        <v>8</v>
      </c>
      <c r="P4" s="329"/>
      <c r="Q4" s="329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3442</v>
      </c>
      <c r="C5" s="68" t="s">
        <v>295</v>
      </c>
      <c r="D5" s="200" t="s">
        <v>296</v>
      </c>
      <c r="E5" s="181" t="s">
        <v>240</v>
      </c>
      <c r="F5" s="170">
        <v>820</v>
      </c>
      <c r="G5" s="118" t="s">
        <v>111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103</v>
      </c>
      <c r="O5" s="382"/>
      <c r="P5" s="383"/>
      <c r="Q5" s="384"/>
      <c r="R5" s="33" t="s">
        <v>273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3443</v>
      </c>
      <c r="C6" s="67" t="s">
        <v>297</v>
      </c>
      <c r="D6" s="200" t="s">
        <v>298</v>
      </c>
      <c r="E6" s="181" t="s">
        <v>91</v>
      </c>
      <c r="F6" s="171">
        <v>840</v>
      </c>
      <c r="G6" s="118" t="s">
        <v>111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103</v>
      </c>
      <c r="O6" s="330" t="s">
        <v>299</v>
      </c>
      <c r="P6" s="331"/>
      <c r="Q6" s="332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3444</v>
      </c>
      <c r="C7" s="67" t="s">
        <v>300</v>
      </c>
      <c r="D7" s="200" t="s">
        <v>301</v>
      </c>
      <c r="E7" s="181" t="s">
        <v>91</v>
      </c>
      <c r="F7" s="171">
        <v>940</v>
      </c>
      <c r="G7" s="118" t="s">
        <v>118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273</v>
      </c>
      <c r="O7" s="303"/>
      <c r="P7" s="302"/>
      <c r="Q7" s="304"/>
      <c r="R7" s="134" t="s">
        <v>331</v>
      </c>
      <c r="S7" s="31">
        <v>0.375</v>
      </c>
      <c r="T7" s="32">
        <v>0.69791666666666663</v>
      </c>
      <c r="U7" s="92">
        <f t="shared" si="0"/>
        <v>7.7499999999999991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3445</v>
      </c>
      <c r="C8" s="27" t="s">
        <v>302</v>
      </c>
      <c r="D8" s="200" t="s">
        <v>303</v>
      </c>
      <c r="E8" s="181" t="s">
        <v>91</v>
      </c>
      <c r="F8" s="171">
        <v>955</v>
      </c>
      <c r="G8" s="118" t="s">
        <v>118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273</v>
      </c>
      <c r="O8" s="333"/>
      <c r="P8" s="334"/>
      <c r="Q8" s="335"/>
      <c r="R8" s="26" t="s">
        <v>289</v>
      </c>
      <c r="S8" s="31">
        <v>0.375</v>
      </c>
      <c r="T8" s="32">
        <v>0.69791666666666663</v>
      </c>
      <c r="U8" s="92">
        <f t="shared" si="0"/>
        <v>7.7499999999999991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3446</v>
      </c>
      <c r="C9" s="63" t="s">
        <v>304</v>
      </c>
      <c r="D9" s="201" t="s">
        <v>305</v>
      </c>
      <c r="E9" s="181" t="s">
        <v>91</v>
      </c>
      <c r="F9" s="172">
        <v>1050</v>
      </c>
      <c r="G9" s="119" t="s">
        <v>306</v>
      </c>
      <c r="H9" s="91"/>
      <c r="I9" s="91">
        <v>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273</v>
      </c>
      <c r="O9" s="333"/>
      <c r="P9" s="334"/>
      <c r="Q9" s="335"/>
      <c r="R9" s="26" t="s">
        <v>107</v>
      </c>
      <c r="S9" s="31">
        <v>0.38541666666666669</v>
      </c>
      <c r="T9" s="32">
        <v>0.69791666666666663</v>
      </c>
      <c r="U9" s="92">
        <f t="shared" si="0"/>
        <v>7.4999999999999982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3447</v>
      </c>
      <c r="C10" s="28" t="s">
        <v>307</v>
      </c>
      <c r="D10" s="202" t="s">
        <v>308</v>
      </c>
      <c r="E10" s="181" t="s">
        <v>91</v>
      </c>
      <c r="F10" s="173">
        <v>1115</v>
      </c>
      <c r="G10" s="120" t="s">
        <v>159</v>
      </c>
      <c r="H10" s="123"/>
      <c r="I10" s="125">
        <v>120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273</v>
      </c>
      <c r="O10" s="325"/>
      <c r="P10" s="326"/>
      <c r="Q10" s="327"/>
      <c r="R10" s="26" t="s">
        <v>106</v>
      </c>
      <c r="S10" s="31">
        <v>0.39583333333333331</v>
      </c>
      <c r="T10" s="32">
        <v>0.5625</v>
      </c>
      <c r="U10" s="92">
        <f t="shared" si="0"/>
        <v>4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3448</v>
      </c>
      <c r="C11" s="18" t="s">
        <v>309</v>
      </c>
      <c r="D11" s="203" t="s">
        <v>310</v>
      </c>
      <c r="E11" s="181" t="s">
        <v>245</v>
      </c>
      <c r="F11" s="66">
        <v>1115</v>
      </c>
      <c r="G11" s="121" t="s">
        <v>159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273</v>
      </c>
      <c r="O11" s="303"/>
      <c r="P11" s="302"/>
      <c r="Q11" s="304"/>
      <c r="R11" s="26"/>
      <c r="S11" s="31">
        <v>0.66666666666666663</v>
      </c>
      <c r="T11" s="32">
        <v>0.69791666666666663</v>
      </c>
      <c r="U11" s="92">
        <f t="shared" si="0"/>
        <v>0.75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3449</v>
      </c>
      <c r="C12" s="64" t="s">
        <v>311</v>
      </c>
      <c r="D12" s="204" t="s">
        <v>312</v>
      </c>
      <c r="E12" s="181" t="s">
        <v>92</v>
      </c>
      <c r="F12" s="173">
        <v>1125</v>
      </c>
      <c r="G12" s="119" t="s">
        <v>159</v>
      </c>
      <c r="H12" s="123"/>
      <c r="I12" s="125">
        <v>150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273</v>
      </c>
      <c r="O12" s="303"/>
      <c r="P12" s="302"/>
      <c r="Q12" s="304"/>
      <c r="R12" s="26" t="s">
        <v>290</v>
      </c>
      <c r="S12" s="31">
        <v>0.33333333333333331</v>
      </c>
      <c r="T12" s="32">
        <v>0.5625</v>
      </c>
      <c r="U12" s="92">
        <f t="shared" si="0"/>
        <v>5.5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3450</v>
      </c>
      <c r="C13" s="64" t="s">
        <v>313</v>
      </c>
      <c r="D13" s="204" t="s">
        <v>314</v>
      </c>
      <c r="E13" s="181" t="s">
        <v>92</v>
      </c>
      <c r="F13" s="173">
        <v>1130</v>
      </c>
      <c r="G13" s="119" t="s">
        <v>114</v>
      </c>
      <c r="H13" s="169"/>
      <c r="I13" s="168"/>
      <c r="J13" s="130" t="str">
        <f t="shared" si="1"/>
        <v>0</v>
      </c>
      <c r="K13" s="130">
        <v>125</v>
      </c>
      <c r="L13" s="131"/>
      <c r="M13" s="131"/>
      <c r="N13" s="134" t="s">
        <v>273</v>
      </c>
      <c r="O13" s="303" t="s">
        <v>315</v>
      </c>
      <c r="P13" s="302"/>
      <c r="Q13" s="304"/>
      <c r="R13" s="33"/>
      <c r="S13" s="31">
        <v>0.66666666666666663</v>
      </c>
      <c r="T13" s="32">
        <v>0.70833333333333337</v>
      </c>
      <c r="U13" s="92">
        <f t="shared" si="0"/>
        <v>1.0000000000000018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3451</v>
      </c>
      <c r="C14" s="65" t="s">
        <v>316</v>
      </c>
      <c r="D14" s="205" t="s">
        <v>317</v>
      </c>
      <c r="E14" s="181" t="s">
        <v>92</v>
      </c>
      <c r="F14" s="174">
        <v>1200</v>
      </c>
      <c r="G14" s="122" t="s">
        <v>111</v>
      </c>
      <c r="H14" s="123"/>
      <c r="I14" s="125">
        <v>120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273</v>
      </c>
      <c r="O14" s="303"/>
      <c r="P14" s="302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276">
        <v>11</v>
      </c>
      <c r="B15" s="268">
        <v>3452</v>
      </c>
      <c r="C15" s="756" t="s">
        <v>318</v>
      </c>
      <c r="D15" s="757" t="s">
        <v>319</v>
      </c>
      <c r="E15" s="271" t="s">
        <v>92</v>
      </c>
      <c r="F15" s="758">
        <v>1200</v>
      </c>
      <c r="G15" s="268" t="s">
        <v>102</v>
      </c>
      <c r="H15" s="281"/>
      <c r="I15" s="273">
        <v>350</v>
      </c>
      <c r="J15" s="273" t="str">
        <f t="shared" si="1"/>
        <v>0</v>
      </c>
      <c r="K15" s="273" t="str">
        <f t="shared" si="2"/>
        <v>0</v>
      </c>
      <c r="L15" s="274"/>
      <c r="M15" s="274"/>
      <c r="N15" s="275" t="s">
        <v>273</v>
      </c>
      <c r="O15" s="303"/>
      <c r="P15" s="302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76">
        <v>12</v>
      </c>
      <c r="B16" s="277">
        <v>3453</v>
      </c>
      <c r="C16" s="756" t="s">
        <v>326</v>
      </c>
      <c r="D16" s="757" t="s">
        <v>327</v>
      </c>
      <c r="E16" s="271" t="s">
        <v>92</v>
      </c>
      <c r="F16" s="758">
        <v>1345</v>
      </c>
      <c r="G16" s="268" t="s">
        <v>328</v>
      </c>
      <c r="H16" s="281"/>
      <c r="I16" s="273">
        <v>350</v>
      </c>
      <c r="J16" s="273" t="str">
        <f t="shared" si="1"/>
        <v>0</v>
      </c>
      <c r="K16" s="273" t="str">
        <f t="shared" si="2"/>
        <v>0</v>
      </c>
      <c r="L16" s="274"/>
      <c r="M16" s="274"/>
      <c r="N16" s="275" t="s">
        <v>273</v>
      </c>
      <c r="O16" s="303"/>
      <c r="P16" s="302"/>
      <c r="Q16" s="304"/>
      <c r="R16" s="82">
        <f>H32/U16</f>
        <v>0.32850241545893721</v>
      </c>
      <c r="S16" s="83">
        <f>H32/(U16-U5)</f>
        <v>0.39306358381502893</v>
      </c>
      <c r="T16" s="83">
        <f>C32/U16</f>
        <v>42.769082125603866</v>
      </c>
      <c r="U16" s="83">
        <f>SUM(U5:U15)</f>
        <v>51.75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3454</v>
      </c>
      <c r="C17" s="65" t="s">
        <v>320</v>
      </c>
      <c r="D17" s="205" t="s">
        <v>321</v>
      </c>
      <c r="E17" s="181" t="s">
        <v>91</v>
      </c>
      <c r="F17" s="174">
        <v>1345</v>
      </c>
      <c r="G17" s="122" t="s">
        <v>322</v>
      </c>
      <c r="H17" s="123">
        <v>120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273</v>
      </c>
      <c r="O17" s="303"/>
      <c r="P17" s="302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3455</v>
      </c>
      <c r="C18" s="18" t="s">
        <v>323</v>
      </c>
      <c r="D18" s="203" t="s">
        <v>324</v>
      </c>
      <c r="E18" s="181" t="s">
        <v>91</v>
      </c>
      <c r="F18" s="66">
        <v>1345</v>
      </c>
      <c r="G18" s="20" t="s">
        <v>208</v>
      </c>
      <c r="H18" s="123"/>
      <c r="I18" s="124"/>
      <c r="J18" s="130" t="str">
        <f t="shared" si="1"/>
        <v>0</v>
      </c>
      <c r="K18" s="130">
        <v>58.3</v>
      </c>
      <c r="L18" s="131"/>
      <c r="M18" s="131"/>
      <c r="N18" s="134" t="s">
        <v>273</v>
      </c>
      <c r="O18" s="303" t="s">
        <v>325</v>
      </c>
      <c r="P18" s="302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3456</v>
      </c>
      <c r="C19" s="18" t="s">
        <v>329</v>
      </c>
      <c r="D19" s="203" t="s">
        <v>330</v>
      </c>
      <c r="E19" s="181" t="s">
        <v>92</v>
      </c>
      <c r="F19" s="66">
        <v>1355</v>
      </c>
      <c r="G19" s="121" t="s">
        <v>111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273</v>
      </c>
      <c r="O19" s="303"/>
      <c r="P19" s="302"/>
      <c r="Q19" s="30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3457</v>
      </c>
      <c r="C20" s="18" t="s">
        <v>332</v>
      </c>
      <c r="D20" s="203" t="s">
        <v>335</v>
      </c>
      <c r="E20" s="181" t="s">
        <v>91</v>
      </c>
      <c r="F20" s="66">
        <v>1535</v>
      </c>
      <c r="G20" s="121" t="s">
        <v>111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273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3458</v>
      </c>
      <c r="C21" s="18" t="s">
        <v>333</v>
      </c>
      <c r="D21" s="203" t="s">
        <v>334</v>
      </c>
      <c r="E21" s="181" t="s">
        <v>91</v>
      </c>
      <c r="F21" s="66">
        <v>1545</v>
      </c>
      <c r="G21" s="20" t="s">
        <v>111</v>
      </c>
      <c r="H21" s="123"/>
      <c r="I21" s="289">
        <v>150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3"/>
      <c r="P21" s="302"/>
      <c r="Q21" s="30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3"/>
      <c r="P22" s="302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3"/>
      <c r="P24" s="302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3"/>
      <c r="P25" s="302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2213.3000000000002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3"/>
      <c r="P26" s="302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3"/>
      <c r="P27" s="302"/>
      <c r="Q27" s="304"/>
      <c r="R27" s="366" t="s">
        <v>56</v>
      </c>
      <c r="S27" s="367"/>
      <c r="T27" s="367"/>
      <c r="U27" s="36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3"/>
      <c r="P28" s="302"/>
      <c r="Q28" s="304"/>
      <c r="R28" s="359"/>
      <c r="S28" s="360"/>
      <c r="T28" s="36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6"/>
      <c r="P29" s="347"/>
      <c r="Q29" s="348"/>
      <c r="R29" s="349"/>
      <c r="S29" s="350"/>
      <c r="T29" s="35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2" t="s">
        <v>48</v>
      </c>
      <c r="B30" s="353"/>
      <c r="C30" s="353"/>
      <c r="D30" s="353"/>
      <c r="E30" s="354"/>
      <c r="F30" s="353"/>
      <c r="G30" s="353"/>
      <c r="H30" s="264">
        <f t="shared" ref="H30:M30" si="3">SUM(H5:H29)</f>
        <v>195</v>
      </c>
      <c r="I30" s="105">
        <f>SUM(I5:I29)</f>
        <v>1835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183.3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5"/>
      <c r="S30" s="355"/>
      <c r="T30" s="35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7" t="s">
        <v>16</v>
      </c>
      <c r="B31" s="358"/>
      <c r="C31" s="358"/>
      <c r="D31" s="358"/>
      <c r="E31" s="358"/>
      <c r="F31" s="358"/>
      <c r="G31" s="358"/>
      <c r="H31" s="265">
        <f t="shared" ref="H31:J31" si="4">H30+H62+H94</f>
        <v>195</v>
      </c>
      <c r="I31" s="103">
        <f t="shared" si="4"/>
        <v>1835</v>
      </c>
      <c r="J31" s="103">
        <f t="shared" si="4"/>
        <v>0</v>
      </c>
      <c r="K31" s="103">
        <f>K30+K62+K94</f>
        <v>183.3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195</v>
      </c>
      <c r="T31" s="342">
        <f>H31+I31+L31+M31</f>
        <v>2030</v>
      </c>
      <c r="U31" s="34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2" t="s">
        <v>55</v>
      </c>
      <c r="B32" s="363"/>
      <c r="C32" s="107">
        <f>H31+I31+J31+K31</f>
        <v>2213.3000000000002</v>
      </c>
      <c r="D32" s="196"/>
      <c r="E32" s="107"/>
      <c r="F32" s="364" t="s">
        <v>53</v>
      </c>
      <c r="G32" s="364"/>
      <c r="H32" s="109">
        <f>COUNT(B5:B29,B37:B61,B69:B93)</f>
        <v>17</v>
      </c>
      <c r="I32" s="365" t="s">
        <v>54</v>
      </c>
      <c r="J32" s="365"/>
      <c r="K32" s="108">
        <f>C32/H32</f>
        <v>130.19411764705885</v>
      </c>
      <c r="L32" s="260"/>
      <c r="M32" s="260"/>
      <c r="N32" s="260">
        <f>H31/C32</f>
        <v>8.8103736502055746E-2</v>
      </c>
      <c r="O32" s="260">
        <f>I31/C32</f>
        <v>0.82907875118601182</v>
      </c>
      <c r="P32" s="260">
        <f>K31/C32</f>
        <v>8.2817512311932406E-2</v>
      </c>
      <c r="Q32" s="110">
        <f>J31/C32</f>
        <v>0</v>
      </c>
      <c r="R32" s="99" t="s">
        <v>82</v>
      </c>
      <c r="S32" s="266">
        <f>I31+M31</f>
        <v>1835</v>
      </c>
      <c r="T32" s="344"/>
      <c r="U32" s="345"/>
      <c r="V32" s="55"/>
      <c r="W32" s="55"/>
      <c r="X32" s="56" t="s">
        <v>27</v>
      </c>
      <c r="Y32" s="56"/>
      <c r="Z32" s="54">
        <f>I31</f>
        <v>1835</v>
      </c>
      <c r="AE32" s="37"/>
      <c r="AF32" s="37"/>
      <c r="AG32" s="37"/>
      <c r="AH32" s="37"/>
    </row>
    <row r="33" spans="1:34" ht="17.25" thickBot="1" x14ac:dyDescent="0.35">
      <c r="A33" s="296" t="s">
        <v>24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337"/>
      <c r="U33" s="338"/>
      <c r="X33" s="57" t="s">
        <v>29</v>
      </c>
      <c r="Y33" s="57"/>
      <c r="Z33" s="58">
        <f>SUM(Z31:Z32)</f>
        <v>-910</v>
      </c>
      <c r="AE33" s="37"/>
      <c r="AF33" s="37"/>
      <c r="AG33" s="59"/>
      <c r="AH33" s="37"/>
    </row>
    <row r="34" spans="1:34" ht="17.25" thickBot="1" x14ac:dyDescent="0.35">
      <c r="A34" s="336" t="str">
        <f>A2</f>
        <v>10-04-2022</v>
      </c>
      <c r="B34" s="337"/>
      <c r="C34" s="337"/>
      <c r="D34" s="337"/>
      <c r="E34" s="337"/>
      <c r="F34" s="337"/>
      <c r="G34" s="338"/>
      <c r="H34" s="339" t="s">
        <v>49</v>
      </c>
      <c r="I34" s="340"/>
      <c r="J34" s="336" t="str">
        <f>J2</f>
        <v>SUNNY</v>
      </c>
      <c r="K34" s="338"/>
      <c r="L34" s="340" t="s">
        <v>50</v>
      </c>
      <c r="M34" s="341"/>
      <c r="N34" s="339"/>
      <c r="O34" s="337" t="str">
        <f>O2</f>
        <v>JOHN</v>
      </c>
      <c r="P34" s="337"/>
      <c r="Q34" s="338"/>
      <c r="R34" s="340" t="s">
        <v>51</v>
      </c>
      <c r="S34" s="339"/>
      <c r="T34" s="328">
        <f>T2</f>
        <v>7</v>
      </c>
      <c r="U34" s="32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9" t="s">
        <v>8</v>
      </c>
      <c r="P36" s="329"/>
      <c r="Q36" s="329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3"/>
      <c r="P37" s="302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3"/>
      <c r="P39" s="302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3"/>
      <c r="P40" s="334"/>
      <c r="Q40" s="33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3"/>
      <c r="P41" s="334"/>
      <c r="Q41" s="335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5"/>
      <c r="P42" s="326"/>
      <c r="Q42" s="327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3"/>
      <c r="P43" s="302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3"/>
      <c r="P44" s="302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3"/>
      <c r="P45" s="302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3"/>
      <c r="P46" s="302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3"/>
      <c r="P47" s="302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3"/>
      <c r="P48" s="302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3"/>
      <c r="P49" s="302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3"/>
      <c r="P50" s="302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3"/>
      <c r="P51" s="302"/>
      <c r="Q51" s="302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3"/>
      <c r="P52" s="302"/>
      <c r="Q52" s="302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4"/>
      <c r="P53" s="303"/>
      <c r="Q53" s="30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4"/>
      <c r="P54" s="303"/>
      <c r="Q54" s="30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4"/>
      <c r="P55" s="303"/>
      <c r="Q55" s="30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2"/>
      <c r="P56" s="302"/>
      <c r="Q56" s="302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3"/>
      <c r="P57" s="302"/>
      <c r="Q57" s="302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2"/>
      <c r="P58" s="302"/>
      <c r="Q58" s="302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2"/>
      <c r="P59" s="302"/>
      <c r="Q59" s="302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3"/>
      <c r="P60" s="302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5"/>
      <c r="P61" s="306"/>
      <c r="Q61" s="307"/>
      <c r="R61" s="81"/>
      <c r="S61" s="68"/>
      <c r="T61" s="68"/>
      <c r="U61" s="77"/>
    </row>
    <row r="62" spans="1:21" x14ac:dyDescent="0.3">
      <c r="A62" s="308" t="s">
        <v>48</v>
      </c>
      <c r="B62" s="309"/>
      <c r="C62" s="309"/>
      <c r="D62" s="309"/>
      <c r="E62" s="309"/>
      <c r="F62" s="309"/>
      <c r="G62" s="309"/>
      <c r="H62" s="309">
        <f t="shared" ref="H62:M62" si="8">SUM(H37:H61)</f>
        <v>0</v>
      </c>
      <c r="I62" s="315">
        <f t="shared" si="8"/>
        <v>0</v>
      </c>
      <c r="J62" s="315">
        <f>J61+J60+J59+J58+J57+J56+J55+J54+J53+J52+J51+J50+J49+J48+J47+J46+J45+J44+J43+J42+J41+J40+J39+J38+J37</f>
        <v>0</v>
      </c>
      <c r="K62" s="315">
        <f>K61+K60+K59+K58+K57+K56+K55+K54+K53+K52+K51+K50+K49+K48+K47+K46+K45+K44+K43+K42+K41+K40+K39+K38+K37</f>
        <v>0</v>
      </c>
      <c r="L62" s="318">
        <f t="shared" si="8"/>
        <v>0</v>
      </c>
      <c r="M62" s="321">
        <f t="shared" si="8"/>
        <v>0</v>
      </c>
      <c r="N62" s="290"/>
      <c r="O62" s="291"/>
      <c r="P62" s="291"/>
      <c r="Q62" s="292"/>
      <c r="R62" s="5"/>
      <c r="S62" s="6"/>
      <c r="T62" s="7"/>
      <c r="U62" s="8"/>
    </row>
    <row r="63" spans="1:21" ht="17.25" thickBot="1" x14ac:dyDescent="0.35">
      <c r="A63" s="311"/>
      <c r="B63" s="312"/>
      <c r="C63" s="312"/>
      <c r="D63" s="312"/>
      <c r="E63" s="312"/>
      <c r="F63" s="312"/>
      <c r="G63" s="312"/>
      <c r="H63" s="312"/>
      <c r="I63" s="316"/>
      <c r="J63" s="316"/>
      <c r="K63" s="316"/>
      <c r="L63" s="319"/>
      <c r="M63" s="322"/>
      <c r="N63" s="293"/>
      <c r="O63" s="294"/>
      <c r="P63" s="294"/>
      <c r="Q63" s="295"/>
      <c r="R63" s="1"/>
      <c r="S63" s="2"/>
      <c r="T63" s="3"/>
      <c r="U63" s="4"/>
    </row>
    <row r="64" spans="1:21" ht="17.25" thickBot="1" x14ac:dyDescent="0.35">
      <c r="A64" s="313"/>
      <c r="B64" s="314"/>
      <c r="C64" s="314"/>
      <c r="D64" s="314"/>
      <c r="E64" s="314"/>
      <c r="F64" s="314"/>
      <c r="G64" s="314"/>
      <c r="H64" s="314"/>
      <c r="I64" s="317"/>
      <c r="J64" s="317"/>
      <c r="K64" s="317"/>
      <c r="L64" s="320"/>
      <c r="M64" s="323"/>
      <c r="N64" s="296"/>
      <c r="O64" s="297"/>
      <c r="P64" s="297"/>
      <c r="Q64" s="298"/>
      <c r="R64" s="299" t="s">
        <v>17</v>
      </c>
      <c r="S64" s="300"/>
      <c r="T64" s="300"/>
      <c r="U64" s="301"/>
    </row>
    <row r="65" spans="1:21" ht="17.25" thickBot="1" x14ac:dyDescent="0.35">
      <c r="A65" s="336" t="s">
        <v>24</v>
      </c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8"/>
    </row>
    <row r="66" spans="1:21" ht="17.25" thickBot="1" x14ac:dyDescent="0.35">
      <c r="A66" s="336" t="str">
        <f>A34</f>
        <v>10-04-2022</v>
      </c>
      <c r="B66" s="337"/>
      <c r="C66" s="337"/>
      <c r="D66" s="337"/>
      <c r="E66" s="337"/>
      <c r="F66" s="337"/>
      <c r="G66" s="338"/>
      <c r="H66" s="339" t="s">
        <v>49</v>
      </c>
      <c r="I66" s="340"/>
      <c r="J66" s="336" t="str">
        <f>J34</f>
        <v>SUNNY</v>
      </c>
      <c r="K66" s="338"/>
      <c r="L66" s="340" t="s">
        <v>50</v>
      </c>
      <c r="M66" s="341"/>
      <c r="N66" s="339"/>
      <c r="O66" s="337" t="str">
        <f>O34</f>
        <v>JOHN</v>
      </c>
      <c r="P66" s="337"/>
      <c r="Q66" s="338"/>
      <c r="R66" s="340" t="s">
        <v>51</v>
      </c>
      <c r="S66" s="339"/>
      <c r="T66" s="328">
        <f>T34</f>
        <v>7</v>
      </c>
      <c r="U66" s="32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9" t="s">
        <v>8</v>
      </c>
      <c r="P68" s="329"/>
      <c r="Q68" s="329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3"/>
      <c r="P69" s="302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3"/>
      <c r="P71" s="302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3"/>
      <c r="P72" s="334"/>
      <c r="Q72" s="33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3"/>
      <c r="P73" s="334"/>
      <c r="Q73" s="33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5"/>
      <c r="P74" s="326"/>
      <c r="Q74" s="327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3"/>
      <c r="P75" s="302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3"/>
      <c r="P76" s="302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3"/>
      <c r="P77" s="302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3"/>
      <c r="P78" s="302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3"/>
      <c r="P79" s="302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3"/>
      <c r="P80" s="302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3"/>
      <c r="P81" s="302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3"/>
      <c r="P82" s="302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3"/>
      <c r="P83" s="302"/>
      <c r="Q83" s="302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3"/>
      <c r="P84" s="302"/>
      <c r="Q84" s="302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4"/>
      <c r="P85" s="303"/>
      <c r="Q85" s="30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4"/>
      <c r="P86" s="303"/>
      <c r="Q86" s="30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4"/>
      <c r="P87" s="303"/>
      <c r="Q87" s="30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2"/>
      <c r="P88" s="302"/>
      <c r="Q88" s="302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3"/>
      <c r="P89" s="302"/>
      <c r="Q89" s="302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2"/>
      <c r="P90" s="302"/>
      <c r="Q90" s="302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2"/>
      <c r="P91" s="302"/>
      <c r="Q91" s="302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3"/>
      <c r="P92" s="302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5"/>
      <c r="P93" s="306"/>
      <c r="Q93" s="307"/>
      <c r="R93" s="81"/>
      <c r="S93" s="68"/>
      <c r="T93" s="68"/>
      <c r="U93" s="77"/>
    </row>
    <row r="94" spans="1:21" x14ac:dyDescent="0.3">
      <c r="A94" s="308" t="s">
        <v>48</v>
      </c>
      <c r="B94" s="309"/>
      <c r="C94" s="309"/>
      <c r="D94" s="309"/>
      <c r="E94" s="310"/>
      <c r="F94" s="309"/>
      <c r="G94" s="309"/>
      <c r="H94" s="309">
        <f t="shared" ref="H94:M94" si="12">SUM(H69:H93)</f>
        <v>0</v>
      </c>
      <c r="I94" s="315">
        <f t="shared" si="12"/>
        <v>0</v>
      </c>
      <c r="J94" s="315">
        <f>J93+J92+J91+J90+J89+J88+J87+J86+J85+J84+J83+J82+J81+J80+J79+J78+J77+J76+J75+J74+J73+J72+J71+J70+J69</f>
        <v>0</v>
      </c>
      <c r="K94" s="315">
        <f>K93+K92+K91+K90+K89+K88+K87+K86+K85+K84+K83+K82+K81+K80+K79+K78+K77+K76+K75+K74+K73+K72+K71+K70+K69</f>
        <v>0</v>
      </c>
      <c r="L94" s="318">
        <f t="shared" si="12"/>
        <v>0</v>
      </c>
      <c r="M94" s="321">
        <f t="shared" si="12"/>
        <v>0</v>
      </c>
      <c r="N94" s="290"/>
      <c r="O94" s="291"/>
      <c r="P94" s="291"/>
      <c r="Q94" s="292"/>
      <c r="R94" s="5"/>
      <c r="S94" s="6"/>
      <c r="T94" s="7"/>
      <c r="U94" s="8"/>
    </row>
    <row r="95" spans="1:21" ht="17.25" thickBot="1" x14ac:dyDescent="0.35">
      <c r="A95" s="311"/>
      <c r="B95" s="312"/>
      <c r="C95" s="312"/>
      <c r="D95" s="312"/>
      <c r="E95" s="312"/>
      <c r="F95" s="312"/>
      <c r="G95" s="312"/>
      <c r="H95" s="312"/>
      <c r="I95" s="316"/>
      <c r="J95" s="316"/>
      <c r="K95" s="316"/>
      <c r="L95" s="319"/>
      <c r="M95" s="322"/>
      <c r="N95" s="293"/>
      <c r="O95" s="294"/>
      <c r="P95" s="294"/>
      <c r="Q95" s="295"/>
      <c r="R95" s="1"/>
      <c r="S95" s="2"/>
      <c r="T95" s="3"/>
      <c r="U95" s="4"/>
    </row>
    <row r="96" spans="1:21" ht="17.25" thickBot="1" x14ac:dyDescent="0.35">
      <c r="A96" s="313"/>
      <c r="B96" s="314"/>
      <c r="C96" s="314"/>
      <c r="D96" s="314"/>
      <c r="E96" s="314"/>
      <c r="F96" s="314"/>
      <c r="G96" s="314"/>
      <c r="H96" s="314"/>
      <c r="I96" s="317"/>
      <c r="J96" s="317"/>
      <c r="K96" s="317"/>
      <c r="L96" s="320"/>
      <c r="M96" s="323"/>
      <c r="N96" s="296"/>
      <c r="O96" s="297"/>
      <c r="P96" s="297"/>
      <c r="Q96" s="298"/>
      <c r="R96" s="299" t="s">
        <v>52</v>
      </c>
      <c r="S96" s="300"/>
      <c r="T96" s="300"/>
      <c r="U96" s="301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9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13"/>
      <c r="B1" s="613"/>
      <c r="C1" s="613"/>
      <c r="D1" s="613"/>
      <c r="E1" s="612" t="s">
        <v>59</v>
      </c>
      <c r="F1" s="612"/>
      <c r="G1" s="612"/>
      <c r="H1" s="612" t="s">
        <v>60</v>
      </c>
      <c r="I1" s="612"/>
      <c r="J1" s="612"/>
      <c r="K1" s="612"/>
      <c r="L1" s="612" t="s">
        <v>61</v>
      </c>
      <c r="M1" s="612"/>
      <c r="N1" s="612"/>
      <c r="O1" s="612"/>
      <c r="P1" s="612"/>
      <c r="Q1" s="612" t="s">
        <v>62</v>
      </c>
      <c r="R1" s="612"/>
      <c r="S1" s="612"/>
      <c r="T1" s="612"/>
      <c r="U1" s="612"/>
      <c r="V1" s="612" t="s">
        <v>63</v>
      </c>
      <c r="W1" s="612"/>
      <c r="X1" s="612"/>
      <c r="Y1" s="612"/>
      <c r="Z1" s="612"/>
      <c r="AA1" s="612" t="s">
        <v>64</v>
      </c>
      <c r="AB1" s="612"/>
      <c r="AC1" s="612"/>
      <c r="AD1" s="612"/>
    </row>
    <row r="2" spans="1:30" ht="20.100000000000001" customHeight="1" x14ac:dyDescent="0.3">
      <c r="A2" s="693" t="s">
        <v>66</v>
      </c>
      <c r="B2" s="504" t="s">
        <v>57</v>
      </c>
      <c r="C2" s="504"/>
      <c r="D2" s="528"/>
      <c r="E2" s="528">
        <f>MON!N31</f>
        <v>5</v>
      </c>
      <c r="F2" s="528"/>
      <c r="G2" s="528"/>
      <c r="H2" s="497">
        <f>MON!S31</f>
        <v>435</v>
      </c>
      <c r="I2" s="497"/>
      <c r="J2" s="497"/>
      <c r="K2" s="497"/>
      <c r="L2" s="498">
        <f>MON!N32</f>
        <v>0.23471645173474343</v>
      </c>
      <c r="M2" s="498"/>
      <c r="N2" s="498"/>
      <c r="O2" s="498"/>
      <c r="P2" s="498"/>
      <c r="Q2" s="558">
        <f>SUM(E2:G5)</f>
        <v>20</v>
      </c>
      <c r="R2" s="559"/>
      <c r="S2" s="559"/>
      <c r="T2" s="559"/>
      <c r="U2" s="560"/>
      <c r="V2" s="623">
        <f>SUM(H2,H3,H5)</f>
        <v>2170</v>
      </c>
      <c r="W2" s="624"/>
      <c r="X2" s="624"/>
      <c r="Y2" s="624"/>
      <c r="Z2" s="625"/>
      <c r="AA2" s="632">
        <f>V2/Q2</f>
        <v>108.5</v>
      </c>
      <c r="AB2" s="633"/>
      <c r="AC2" s="633"/>
      <c r="AD2" s="634"/>
    </row>
    <row r="3" spans="1:30" ht="20.100000000000001" customHeight="1" x14ac:dyDescent="0.3">
      <c r="A3" s="694"/>
      <c r="B3" s="504" t="s">
        <v>58</v>
      </c>
      <c r="C3" s="504"/>
      <c r="D3" s="528"/>
      <c r="E3" s="528">
        <f>MON!O31</f>
        <v>10</v>
      </c>
      <c r="F3" s="528"/>
      <c r="G3" s="528"/>
      <c r="H3" s="497">
        <f>MON!S32</f>
        <v>1460</v>
      </c>
      <c r="I3" s="497"/>
      <c r="J3" s="497"/>
      <c r="K3" s="497"/>
      <c r="L3" s="498">
        <f>MON!O32</f>
        <v>0.55846328171369986</v>
      </c>
      <c r="M3" s="498"/>
      <c r="N3" s="498"/>
      <c r="O3" s="498"/>
      <c r="P3" s="498"/>
      <c r="Q3" s="561"/>
      <c r="R3" s="562"/>
      <c r="S3" s="562"/>
      <c r="T3" s="562"/>
      <c r="U3" s="563"/>
      <c r="V3" s="626"/>
      <c r="W3" s="627"/>
      <c r="X3" s="627"/>
      <c r="Y3" s="627"/>
      <c r="Z3" s="628"/>
      <c r="AA3" s="635"/>
      <c r="AB3" s="636"/>
      <c r="AC3" s="636"/>
      <c r="AD3" s="637"/>
    </row>
    <row r="4" spans="1:30" ht="20.100000000000001" customHeight="1" x14ac:dyDescent="0.3">
      <c r="A4" s="694"/>
      <c r="B4" s="504" t="s">
        <v>45</v>
      </c>
      <c r="C4" s="504"/>
      <c r="D4" s="528"/>
      <c r="E4" s="528">
        <f>MON!P31</f>
        <v>2</v>
      </c>
      <c r="F4" s="528"/>
      <c r="G4" s="528"/>
      <c r="H4" s="497">
        <f>MON!K31</f>
        <v>108.3</v>
      </c>
      <c r="I4" s="497"/>
      <c r="J4" s="497"/>
      <c r="K4" s="497"/>
      <c r="L4" s="498">
        <f>MON!P32</f>
        <v>5.8436302811201643E-2</v>
      </c>
      <c r="M4" s="498"/>
      <c r="N4" s="498"/>
      <c r="O4" s="498"/>
      <c r="P4" s="498"/>
      <c r="Q4" s="561"/>
      <c r="R4" s="562"/>
      <c r="S4" s="562"/>
      <c r="T4" s="562"/>
      <c r="U4" s="563"/>
      <c r="V4" s="626"/>
      <c r="W4" s="627"/>
      <c r="X4" s="627"/>
      <c r="Y4" s="627"/>
      <c r="Z4" s="628"/>
      <c r="AA4" s="635"/>
      <c r="AB4" s="636"/>
      <c r="AC4" s="636"/>
      <c r="AD4" s="637"/>
    </row>
    <row r="5" spans="1:30" ht="20.100000000000001" customHeight="1" x14ac:dyDescent="0.3">
      <c r="A5" s="694"/>
      <c r="B5" s="502" t="s">
        <v>65</v>
      </c>
      <c r="C5" s="503"/>
      <c r="D5" s="504"/>
      <c r="E5" s="502">
        <f>MON!Q31</f>
        <v>3</v>
      </c>
      <c r="F5" s="503"/>
      <c r="G5" s="504"/>
      <c r="H5" s="550">
        <f>MON!J31</f>
        <v>275</v>
      </c>
      <c r="I5" s="551"/>
      <c r="J5" s="551"/>
      <c r="K5" s="552"/>
      <c r="L5" s="553">
        <f>MON!Q32</f>
        <v>0.14838396374035503</v>
      </c>
      <c r="M5" s="554"/>
      <c r="N5" s="554"/>
      <c r="O5" s="554"/>
      <c r="P5" s="555"/>
      <c r="Q5" s="564"/>
      <c r="R5" s="565"/>
      <c r="S5" s="565"/>
      <c r="T5" s="565"/>
      <c r="U5" s="566"/>
      <c r="V5" s="629"/>
      <c r="W5" s="630"/>
      <c r="X5" s="630"/>
      <c r="Y5" s="630"/>
      <c r="Z5" s="631"/>
      <c r="AA5" s="638"/>
      <c r="AB5" s="639"/>
      <c r="AC5" s="639"/>
      <c r="AD5" s="640"/>
    </row>
    <row r="6" spans="1:30" ht="20.100000000000001" customHeight="1" x14ac:dyDescent="0.3">
      <c r="A6" s="695"/>
      <c r="B6" s="502" t="s">
        <v>94</v>
      </c>
      <c r="C6" s="503"/>
      <c r="D6" s="504"/>
      <c r="E6" s="502">
        <f>MON!U16</f>
        <v>45.000000000000007</v>
      </c>
      <c r="F6" s="503"/>
      <c r="G6" s="504"/>
      <c r="H6" s="550" t="s">
        <v>95</v>
      </c>
      <c r="I6" s="551"/>
      <c r="J6" s="551"/>
      <c r="K6" s="552"/>
      <c r="L6" s="606">
        <f>MON!T2</f>
        <v>6</v>
      </c>
      <c r="M6" s="607"/>
      <c r="N6" s="607"/>
      <c r="O6" s="607"/>
      <c r="P6" s="608"/>
      <c r="Q6" s="609"/>
      <c r="R6" s="610"/>
      <c r="S6" s="610"/>
      <c r="T6" s="610"/>
      <c r="U6" s="611"/>
      <c r="V6" s="714"/>
      <c r="W6" s="715"/>
      <c r="X6" s="715"/>
      <c r="Y6" s="715"/>
      <c r="Z6" s="716"/>
      <c r="AA6" s="717"/>
      <c r="AB6" s="718"/>
      <c r="AC6" s="718"/>
      <c r="AD6" s="719"/>
    </row>
    <row r="7" spans="1:30" ht="20.100000000000001" customHeight="1" x14ac:dyDescent="0.3">
      <c r="A7" s="696" t="s">
        <v>67</v>
      </c>
      <c r="B7" s="520" t="s">
        <v>57</v>
      </c>
      <c r="C7" s="520"/>
      <c r="D7" s="521"/>
      <c r="E7" s="521">
        <f>TUE!N31</f>
        <v>4</v>
      </c>
      <c r="F7" s="521"/>
      <c r="G7" s="521"/>
      <c r="H7" s="499">
        <f>TUE!S31</f>
        <v>325</v>
      </c>
      <c r="I7" s="499"/>
      <c r="J7" s="499"/>
      <c r="K7" s="499"/>
      <c r="L7" s="512">
        <f>TUE!N32</f>
        <v>0.29369239110789808</v>
      </c>
      <c r="M7" s="513"/>
      <c r="N7" s="513"/>
      <c r="O7" s="513"/>
      <c r="P7" s="514"/>
      <c r="Q7" s="588">
        <f>SUM(E7:G10)</f>
        <v>16</v>
      </c>
      <c r="R7" s="589"/>
      <c r="S7" s="589"/>
      <c r="T7" s="589"/>
      <c r="U7" s="590"/>
      <c r="V7" s="614">
        <f>SUM(H7,H8,H10)</f>
        <v>990</v>
      </c>
      <c r="W7" s="615"/>
      <c r="X7" s="615"/>
      <c r="Y7" s="615"/>
      <c r="Z7" s="616"/>
      <c r="AA7" s="641">
        <f>V7/Q7</f>
        <v>61.875</v>
      </c>
      <c r="AB7" s="642"/>
      <c r="AC7" s="642"/>
      <c r="AD7" s="643"/>
    </row>
    <row r="8" spans="1:30" ht="20.100000000000001" customHeight="1" x14ac:dyDescent="0.3">
      <c r="A8" s="697"/>
      <c r="B8" s="520" t="s">
        <v>58</v>
      </c>
      <c r="C8" s="520"/>
      <c r="D8" s="521"/>
      <c r="E8" s="521">
        <f>TUE!O31</f>
        <v>7</v>
      </c>
      <c r="F8" s="521"/>
      <c r="G8" s="521"/>
      <c r="H8" s="499">
        <f>TUE!S32</f>
        <v>555</v>
      </c>
      <c r="I8" s="499"/>
      <c r="J8" s="499"/>
      <c r="K8" s="499"/>
      <c r="L8" s="512">
        <f>TUE!O32</f>
        <v>0.50153623712271833</v>
      </c>
      <c r="M8" s="513"/>
      <c r="N8" s="513"/>
      <c r="O8" s="513"/>
      <c r="P8" s="514"/>
      <c r="Q8" s="591"/>
      <c r="R8" s="592"/>
      <c r="S8" s="592"/>
      <c r="T8" s="592"/>
      <c r="U8" s="593"/>
      <c r="V8" s="617"/>
      <c r="W8" s="618"/>
      <c r="X8" s="618"/>
      <c r="Y8" s="618"/>
      <c r="Z8" s="619"/>
      <c r="AA8" s="644"/>
      <c r="AB8" s="645"/>
      <c r="AC8" s="645"/>
      <c r="AD8" s="646"/>
    </row>
    <row r="9" spans="1:30" ht="20.100000000000001" customHeight="1" x14ac:dyDescent="0.3">
      <c r="A9" s="697"/>
      <c r="B9" s="520" t="s">
        <v>45</v>
      </c>
      <c r="C9" s="520"/>
      <c r="D9" s="521"/>
      <c r="E9" s="521">
        <f>TUE!P31</f>
        <v>4</v>
      </c>
      <c r="F9" s="521"/>
      <c r="G9" s="521"/>
      <c r="H9" s="499">
        <f>TUE!K31</f>
        <v>116.6</v>
      </c>
      <c r="I9" s="499"/>
      <c r="J9" s="499"/>
      <c r="K9" s="499"/>
      <c r="L9" s="512">
        <f>TUE!P32</f>
        <v>0.10536779324055666</v>
      </c>
      <c r="M9" s="513"/>
      <c r="N9" s="513"/>
      <c r="O9" s="513"/>
      <c r="P9" s="514"/>
      <c r="Q9" s="591"/>
      <c r="R9" s="592"/>
      <c r="S9" s="592"/>
      <c r="T9" s="592"/>
      <c r="U9" s="593"/>
      <c r="V9" s="617"/>
      <c r="W9" s="618"/>
      <c r="X9" s="618"/>
      <c r="Y9" s="618"/>
      <c r="Z9" s="619"/>
      <c r="AA9" s="644"/>
      <c r="AB9" s="645"/>
      <c r="AC9" s="645"/>
      <c r="AD9" s="646"/>
    </row>
    <row r="10" spans="1:30" ht="20.100000000000001" customHeight="1" x14ac:dyDescent="0.3">
      <c r="A10" s="697"/>
      <c r="B10" s="556" t="s">
        <v>65</v>
      </c>
      <c r="C10" s="557"/>
      <c r="D10" s="520"/>
      <c r="E10" s="556">
        <f>TUE!Q31</f>
        <v>1</v>
      </c>
      <c r="F10" s="557"/>
      <c r="G10" s="520"/>
      <c r="H10" s="529">
        <f>TUE!J31</f>
        <v>110</v>
      </c>
      <c r="I10" s="530"/>
      <c r="J10" s="530"/>
      <c r="K10" s="531"/>
      <c r="L10" s="512">
        <f>TUE!Q32</f>
        <v>9.9403578528827044E-2</v>
      </c>
      <c r="M10" s="513"/>
      <c r="N10" s="513"/>
      <c r="O10" s="513"/>
      <c r="P10" s="514"/>
      <c r="Q10" s="594"/>
      <c r="R10" s="595"/>
      <c r="S10" s="595"/>
      <c r="T10" s="595"/>
      <c r="U10" s="596"/>
      <c r="V10" s="620"/>
      <c r="W10" s="621"/>
      <c r="X10" s="621"/>
      <c r="Y10" s="621"/>
      <c r="Z10" s="622"/>
      <c r="AA10" s="647"/>
      <c r="AB10" s="648"/>
      <c r="AC10" s="648"/>
      <c r="AD10" s="649"/>
    </row>
    <row r="11" spans="1:30" ht="20.100000000000001" customHeight="1" x14ac:dyDescent="0.3">
      <c r="A11" s="698"/>
      <c r="B11" s="556" t="s">
        <v>94</v>
      </c>
      <c r="C11" s="557"/>
      <c r="D11" s="520"/>
      <c r="E11" s="556">
        <f>TUE!U16</f>
        <v>44</v>
      </c>
      <c r="F11" s="557"/>
      <c r="G11" s="520"/>
      <c r="H11" s="529" t="s">
        <v>95</v>
      </c>
      <c r="I11" s="530"/>
      <c r="J11" s="530"/>
      <c r="K11" s="531"/>
      <c r="L11" s="720">
        <f>TUE!T2</f>
        <v>6</v>
      </c>
      <c r="M11" s="721"/>
      <c r="N11" s="721"/>
      <c r="O11" s="721"/>
      <c r="P11" s="722"/>
      <c r="Q11" s="723"/>
      <c r="R11" s="724"/>
      <c r="S11" s="724"/>
      <c r="T11" s="724"/>
      <c r="U11" s="725"/>
      <c r="V11" s="726"/>
      <c r="W11" s="727"/>
      <c r="X11" s="727"/>
      <c r="Y11" s="727"/>
      <c r="Z11" s="728"/>
      <c r="AA11" s="729"/>
      <c r="AB11" s="730"/>
      <c r="AC11" s="730"/>
      <c r="AD11" s="731"/>
    </row>
    <row r="12" spans="1:30" ht="20.100000000000001" customHeight="1" x14ac:dyDescent="0.3">
      <c r="A12" s="699" t="s">
        <v>68</v>
      </c>
      <c r="B12" s="505" t="s">
        <v>57</v>
      </c>
      <c r="C12" s="505"/>
      <c r="D12" s="312"/>
      <c r="E12" s="312">
        <f>WED!N31</f>
        <v>1</v>
      </c>
      <c r="F12" s="312"/>
      <c r="G12" s="312"/>
      <c r="H12" s="506">
        <f>WED!S31</f>
        <v>75</v>
      </c>
      <c r="I12" s="507"/>
      <c r="J12" s="507"/>
      <c r="K12" s="508"/>
      <c r="L12" s="509">
        <f>WED!N32</f>
        <v>0.10344827586206896</v>
      </c>
      <c r="M12" s="510"/>
      <c r="N12" s="510"/>
      <c r="O12" s="510"/>
      <c r="P12" s="511"/>
      <c r="Q12" s="567">
        <f>SUM(E12:G15)</f>
        <v>4</v>
      </c>
      <c r="R12" s="568"/>
      <c r="S12" s="568"/>
      <c r="T12" s="568"/>
      <c r="U12" s="569"/>
      <c r="V12" s="741">
        <f>SUM(H12,H13,H15)</f>
        <v>725</v>
      </c>
      <c r="W12" s="742"/>
      <c r="X12" s="742"/>
      <c r="Y12" s="742"/>
      <c r="Z12" s="743"/>
      <c r="AA12" s="732">
        <f>V12/Q12</f>
        <v>181.25</v>
      </c>
      <c r="AB12" s="733"/>
      <c r="AC12" s="733"/>
      <c r="AD12" s="734"/>
    </row>
    <row r="13" spans="1:30" ht="20.100000000000001" customHeight="1" x14ac:dyDescent="0.3">
      <c r="A13" s="700"/>
      <c r="B13" s="505" t="s">
        <v>58</v>
      </c>
      <c r="C13" s="505"/>
      <c r="D13" s="312"/>
      <c r="E13" s="312">
        <f>WED!O31</f>
        <v>3</v>
      </c>
      <c r="F13" s="312"/>
      <c r="G13" s="312"/>
      <c r="H13" s="506">
        <f>WED!S32</f>
        <v>650</v>
      </c>
      <c r="I13" s="507"/>
      <c r="J13" s="507"/>
      <c r="K13" s="508"/>
      <c r="L13" s="509">
        <f>WED!O32</f>
        <v>0.89655172413793105</v>
      </c>
      <c r="M13" s="510"/>
      <c r="N13" s="510"/>
      <c r="O13" s="510"/>
      <c r="P13" s="511"/>
      <c r="Q13" s="570"/>
      <c r="R13" s="571"/>
      <c r="S13" s="571"/>
      <c r="T13" s="571"/>
      <c r="U13" s="572"/>
      <c r="V13" s="744"/>
      <c r="W13" s="745"/>
      <c r="X13" s="745"/>
      <c r="Y13" s="745"/>
      <c r="Z13" s="746"/>
      <c r="AA13" s="735"/>
      <c r="AB13" s="736"/>
      <c r="AC13" s="736"/>
      <c r="AD13" s="737"/>
    </row>
    <row r="14" spans="1:30" ht="20.100000000000001" customHeight="1" x14ac:dyDescent="0.3">
      <c r="A14" s="700"/>
      <c r="B14" s="505" t="s">
        <v>45</v>
      </c>
      <c r="C14" s="505"/>
      <c r="D14" s="312"/>
      <c r="E14" s="312">
        <f>WED!P31</f>
        <v>0</v>
      </c>
      <c r="F14" s="312"/>
      <c r="G14" s="312"/>
      <c r="H14" s="506">
        <f>WED!K31</f>
        <v>0</v>
      </c>
      <c r="I14" s="507"/>
      <c r="J14" s="507"/>
      <c r="K14" s="508"/>
      <c r="L14" s="509">
        <f>WED!P32</f>
        <v>0</v>
      </c>
      <c r="M14" s="510"/>
      <c r="N14" s="510"/>
      <c r="O14" s="510"/>
      <c r="P14" s="511"/>
      <c r="Q14" s="570"/>
      <c r="R14" s="571"/>
      <c r="S14" s="571"/>
      <c r="T14" s="571"/>
      <c r="U14" s="572"/>
      <c r="V14" s="744"/>
      <c r="W14" s="745"/>
      <c r="X14" s="745"/>
      <c r="Y14" s="745"/>
      <c r="Z14" s="746"/>
      <c r="AA14" s="735"/>
      <c r="AB14" s="736"/>
      <c r="AC14" s="736"/>
      <c r="AD14" s="737"/>
    </row>
    <row r="15" spans="1:30" ht="20.100000000000001" customHeight="1" x14ac:dyDescent="0.3">
      <c r="A15" s="700"/>
      <c r="B15" s="522" t="s">
        <v>65</v>
      </c>
      <c r="C15" s="523"/>
      <c r="D15" s="505"/>
      <c r="E15" s="522">
        <f>WED!Q31</f>
        <v>0</v>
      </c>
      <c r="F15" s="523"/>
      <c r="G15" s="505"/>
      <c r="H15" s="506">
        <f>WED!J31</f>
        <v>0</v>
      </c>
      <c r="I15" s="507"/>
      <c r="J15" s="507"/>
      <c r="K15" s="508"/>
      <c r="L15" s="509">
        <f>WED!Q32</f>
        <v>0</v>
      </c>
      <c r="M15" s="510"/>
      <c r="N15" s="510"/>
      <c r="O15" s="510"/>
      <c r="P15" s="511"/>
      <c r="Q15" s="573"/>
      <c r="R15" s="574"/>
      <c r="S15" s="574"/>
      <c r="T15" s="574"/>
      <c r="U15" s="575"/>
      <c r="V15" s="747"/>
      <c r="W15" s="748"/>
      <c r="X15" s="748"/>
      <c r="Y15" s="748"/>
      <c r="Z15" s="749"/>
      <c r="AA15" s="738"/>
      <c r="AB15" s="739"/>
      <c r="AC15" s="739"/>
      <c r="AD15" s="740"/>
    </row>
    <row r="16" spans="1:30" ht="20.100000000000001" customHeight="1" x14ac:dyDescent="0.3">
      <c r="A16" s="701"/>
      <c r="B16" s="522" t="s">
        <v>94</v>
      </c>
      <c r="C16" s="523"/>
      <c r="D16" s="505"/>
      <c r="E16" s="522">
        <f>WED!U16</f>
        <v>27.5</v>
      </c>
      <c r="F16" s="523"/>
      <c r="G16" s="505"/>
      <c r="H16" s="506" t="s">
        <v>95</v>
      </c>
      <c r="I16" s="507"/>
      <c r="J16" s="507"/>
      <c r="K16" s="508"/>
      <c r="L16" s="525">
        <f>WED!T2</f>
        <v>4</v>
      </c>
      <c r="M16" s="526"/>
      <c r="N16" s="526"/>
      <c r="O16" s="526"/>
      <c r="P16" s="527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02" t="s">
        <v>69</v>
      </c>
      <c r="B17" s="469" t="s">
        <v>57</v>
      </c>
      <c r="C17" s="469"/>
      <c r="D17" s="516"/>
      <c r="E17" s="516">
        <f>THU!N31</f>
        <v>1</v>
      </c>
      <c r="F17" s="516"/>
      <c r="G17" s="516"/>
      <c r="H17" s="524">
        <f>THU!S31</f>
        <v>95</v>
      </c>
      <c r="I17" s="524"/>
      <c r="J17" s="524"/>
      <c r="K17" s="524"/>
      <c r="L17" s="515">
        <f>THU!N32</f>
        <v>0.106050457691449</v>
      </c>
      <c r="M17" s="515"/>
      <c r="N17" s="515"/>
      <c r="O17" s="515"/>
      <c r="P17" s="515"/>
      <c r="Q17" s="597">
        <f>SUM(E17:G20)</f>
        <v>7</v>
      </c>
      <c r="R17" s="598"/>
      <c r="S17" s="598"/>
      <c r="T17" s="598"/>
      <c r="U17" s="599"/>
      <c r="V17" s="541">
        <f>SUM(H17,H18,H20)</f>
        <v>850</v>
      </c>
      <c r="W17" s="542"/>
      <c r="X17" s="542"/>
      <c r="Y17" s="542"/>
      <c r="Z17" s="543"/>
      <c r="AA17" s="532">
        <f>V17/Q17</f>
        <v>121.42857142857143</v>
      </c>
      <c r="AB17" s="533"/>
      <c r="AC17" s="533"/>
      <c r="AD17" s="534"/>
    </row>
    <row r="18" spans="1:30" ht="20.100000000000001" customHeight="1" x14ac:dyDescent="0.3">
      <c r="A18" s="703"/>
      <c r="B18" s="469" t="s">
        <v>58</v>
      </c>
      <c r="C18" s="469"/>
      <c r="D18" s="516"/>
      <c r="E18" s="516">
        <f>THU!O31</f>
        <v>5</v>
      </c>
      <c r="F18" s="516"/>
      <c r="G18" s="516"/>
      <c r="H18" s="524">
        <f>THU!S32</f>
        <v>755</v>
      </c>
      <c r="I18" s="524"/>
      <c r="J18" s="524"/>
      <c r="K18" s="524"/>
      <c r="L18" s="515">
        <f>THU!O32</f>
        <v>0.84282205849519987</v>
      </c>
      <c r="M18" s="515"/>
      <c r="N18" s="515"/>
      <c r="O18" s="515"/>
      <c r="P18" s="515"/>
      <c r="Q18" s="600"/>
      <c r="R18" s="601"/>
      <c r="S18" s="601"/>
      <c r="T18" s="601"/>
      <c r="U18" s="602"/>
      <c r="V18" s="544"/>
      <c r="W18" s="545"/>
      <c r="X18" s="545"/>
      <c r="Y18" s="545"/>
      <c r="Z18" s="546"/>
      <c r="AA18" s="535"/>
      <c r="AB18" s="536"/>
      <c r="AC18" s="536"/>
      <c r="AD18" s="537"/>
    </row>
    <row r="19" spans="1:30" ht="20.100000000000001" customHeight="1" x14ac:dyDescent="0.3">
      <c r="A19" s="703"/>
      <c r="B19" s="469" t="s">
        <v>45</v>
      </c>
      <c r="C19" s="469"/>
      <c r="D19" s="516"/>
      <c r="E19" s="516">
        <f>THU!P31</f>
        <v>1</v>
      </c>
      <c r="F19" s="516"/>
      <c r="G19" s="516"/>
      <c r="H19" s="524">
        <f>THU!K31</f>
        <v>45.8</v>
      </c>
      <c r="I19" s="524"/>
      <c r="J19" s="524"/>
      <c r="K19" s="524"/>
      <c r="L19" s="515">
        <f>THU!P32</f>
        <v>5.1127483813351193E-2</v>
      </c>
      <c r="M19" s="515"/>
      <c r="N19" s="515"/>
      <c r="O19" s="515"/>
      <c r="P19" s="515"/>
      <c r="Q19" s="600"/>
      <c r="R19" s="601"/>
      <c r="S19" s="601"/>
      <c r="T19" s="601"/>
      <c r="U19" s="602"/>
      <c r="V19" s="544"/>
      <c r="W19" s="545"/>
      <c r="X19" s="545"/>
      <c r="Y19" s="545"/>
      <c r="Z19" s="546"/>
      <c r="AA19" s="535"/>
      <c r="AB19" s="536"/>
      <c r="AC19" s="536"/>
      <c r="AD19" s="537"/>
    </row>
    <row r="20" spans="1:30" ht="20.100000000000001" customHeight="1" x14ac:dyDescent="0.3">
      <c r="A20" s="703"/>
      <c r="B20" s="467" t="s">
        <v>65</v>
      </c>
      <c r="C20" s="468"/>
      <c r="D20" s="469"/>
      <c r="E20" s="467">
        <f>THU!Q31</f>
        <v>0</v>
      </c>
      <c r="F20" s="468"/>
      <c r="G20" s="469"/>
      <c r="H20" s="461">
        <f>THU!J31</f>
        <v>0</v>
      </c>
      <c r="I20" s="462"/>
      <c r="J20" s="462"/>
      <c r="K20" s="463"/>
      <c r="L20" s="517">
        <f>THU!Q32</f>
        <v>0</v>
      </c>
      <c r="M20" s="518"/>
      <c r="N20" s="518"/>
      <c r="O20" s="518"/>
      <c r="P20" s="519"/>
      <c r="Q20" s="603"/>
      <c r="R20" s="604"/>
      <c r="S20" s="604"/>
      <c r="T20" s="604"/>
      <c r="U20" s="605"/>
      <c r="V20" s="547"/>
      <c r="W20" s="548"/>
      <c r="X20" s="548"/>
      <c r="Y20" s="548"/>
      <c r="Z20" s="549"/>
      <c r="AA20" s="538"/>
      <c r="AB20" s="539"/>
      <c r="AC20" s="539"/>
      <c r="AD20" s="540"/>
    </row>
    <row r="21" spans="1:30" ht="20.100000000000001" customHeight="1" x14ac:dyDescent="0.3">
      <c r="A21" s="704"/>
      <c r="B21" s="467" t="s">
        <v>94</v>
      </c>
      <c r="C21" s="468"/>
      <c r="D21" s="469"/>
      <c r="E21" s="467">
        <f>THU!U16</f>
        <v>28.5</v>
      </c>
      <c r="F21" s="468"/>
      <c r="G21" s="469"/>
      <c r="H21" s="461" t="s">
        <v>95</v>
      </c>
      <c r="I21" s="462"/>
      <c r="J21" s="462"/>
      <c r="K21" s="463"/>
      <c r="L21" s="426">
        <f>THU!T2</f>
        <v>4</v>
      </c>
      <c r="M21" s="427"/>
      <c r="N21" s="427"/>
      <c r="O21" s="427"/>
      <c r="P21" s="428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05" t="s">
        <v>93</v>
      </c>
      <c r="B22" s="424" t="s">
        <v>57</v>
      </c>
      <c r="C22" s="424"/>
      <c r="D22" s="425"/>
      <c r="E22" s="425">
        <f>FRI!N31</f>
        <v>1</v>
      </c>
      <c r="F22" s="425"/>
      <c r="G22" s="425"/>
      <c r="H22" s="500">
        <f>FRI!S31</f>
        <v>10</v>
      </c>
      <c r="I22" s="500"/>
      <c r="J22" s="500"/>
      <c r="K22" s="500"/>
      <c r="L22" s="501">
        <f>FRI!N32</f>
        <v>1.5666614444618518E-2</v>
      </c>
      <c r="M22" s="501"/>
      <c r="N22" s="501"/>
      <c r="O22" s="501"/>
      <c r="P22" s="501"/>
      <c r="Q22" s="479">
        <f>SUM(E22:G25)</f>
        <v>7</v>
      </c>
      <c r="R22" s="480"/>
      <c r="S22" s="480"/>
      <c r="T22" s="480"/>
      <c r="U22" s="481"/>
      <c r="V22" s="488">
        <f>SUM(H22,H23,H25)</f>
        <v>580</v>
      </c>
      <c r="W22" s="489"/>
      <c r="X22" s="489"/>
      <c r="Y22" s="489"/>
      <c r="Z22" s="490"/>
      <c r="AA22" s="432">
        <f>V22/Q22</f>
        <v>82.857142857142861</v>
      </c>
      <c r="AB22" s="433"/>
      <c r="AC22" s="433"/>
      <c r="AD22" s="434"/>
    </row>
    <row r="23" spans="1:30" ht="20.100000000000001" customHeight="1" x14ac:dyDescent="0.3">
      <c r="A23" s="706"/>
      <c r="B23" s="424" t="s">
        <v>58</v>
      </c>
      <c r="C23" s="424"/>
      <c r="D23" s="425"/>
      <c r="E23" s="425">
        <f>FRI!O31</f>
        <v>4</v>
      </c>
      <c r="F23" s="425"/>
      <c r="G23" s="425"/>
      <c r="H23" s="500">
        <f>FRI!S32</f>
        <v>515</v>
      </c>
      <c r="I23" s="500"/>
      <c r="J23" s="500"/>
      <c r="K23" s="500"/>
      <c r="L23" s="501">
        <f>FRI!O32</f>
        <v>0.80683064389785375</v>
      </c>
      <c r="M23" s="501"/>
      <c r="N23" s="501"/>
      <c r="O23" s="501"/>
      <c r="P23" s="501"/>
      <c r="Q23" s="482"/>
      <c r="R23" s="483"/>
      <c r="S23" s="483"/>
      <c r="T23" s="483"/>
      <c r="U23" s="484"/>
      <c r="V23" s="491"/>
      <c r="W23" s="492"/>
      <c r="X23" s="492"/>
      <c r="Y23" s="492"/>
      <c r="Z23" s="493"/>
      <c r="AA23" s="435"/>
      <c r="AB23" s="436"/>
      <c r="AC23" s="436"/>
      <c r="AD23" s="437"/>
    </row>
    <row r="24" spans="1:30" ht="20.100000000000001" customHeight="1" x14ac:dyDescent="0.3">
      <c r="A24" s="706"/>
      <c r="B24" s="424" t="s">
        <v>45</v>
      </c>
      <c r="C24" s="424"/>
      <c r="D24" s="425"/>
      <c r="E24" s="425">
        <f>FRI!P31</f>
        <v>1</v>
      </c>
      <c r="F24" s="425"/>
      <c r="G24" s="425"/>
      <c r="H24" s="500">
        <f>FRI!K31</f>
        <v>58.3</v>
      </c>
      <c r="I24" s="500"/>
      <c r="J24" s="500"/>
      <c r="K24" s="500"/>
      <c r="L24" s="501">
        <f>FRI!P32</f>
        <v>9.133636221212596E-2</v>
      </c>
      <c r="M24" s="501"/>
      <c r="N24" s="501"/>
      <c r="O24" s="501"/>
      <c r="P24" s="501"/>
      <c r="Q24" s="482"/>
      <c r="R24" s="483"/>
      <c r="S24" s="483"/>
      <c r="T24" s="483"/>
      <c r="U24" s="484"/>
      <c r="V24" s="491"/>
      <c r="W24" s="492"/>
      <c r="X24" s="492"/>
      <c r="Y24" s="492"/>
      <c r="Z24" s="493"/>
      <c r="AA24" s="435"/>
      <c r="AB24" s="436"/>
      <c r="AC24" s="436"/>
      <c r="AD24" s="437"/>
    </row>
    <row r="25" spans="1:30" ht="20.100000000000001" customHeight="1" x14ac:dyDescent="0.3">
      <c r="A25" s="706"/>
      <c r="B25" s="470" t="s">
        <v>65</v>
      </c>
      <c r="C25" s="471"/>
      <c r="D25" s="424"/>
      <c r="E25" s="470">
        <f>FRI!Q31</f>
        <v>1</v>
      </c>
      <c r="F25" s="471"/>
      <c r="G25" s="424"/>
      <c r="H25" s="464">
        <f>FRI!J31</f>
        <v>55</v>
      </c>
      <c r="I25" s="465"/>
      <c r="J25" s="465"/>
      <c r="K25" s="466"/>
      <c r="L25" s="476">
        <f>FRI!Q32</f>
        <v>8.6166379445401856E-2</v>
      </c>
      <c r="M25" s="477"/>
      <c r="N25" s="477"/>
      <c r="O25" s="477"/>
      <c r="P25" s="478"/>
      <c r="Q25" s="485"/>
      <c r="R25" s="486"/>
      <c r="S25" s="486"/>
      <c r="T25" s="486"/>
      <c r="U25" s="487"/>
      <c r="V25" s="494"/>
      <c r="W25" s="495"/>
      <c r="X25" s="495"/>
      <c r="Y25" s="495"/>
      <c r="Z25" s="496"/>
      <c r="AA25" s="438"/>
      <c r="AB25" s="439"/>
      <c r="AC25" s="439"/>
      <c r="AD25" s="440"/>
    </row>
    <row r="26" spans="1:30" ht="20.100000000000001" customHeight="1" x14ac:dyDescent="0.3">
      <c r="A26" s="707"/>
      <c r="B26" s="470" t="s">
        <v>94</v>
      </c>
      <c r="C26" s="471"/>
      <c r="D26" s="424"/>
      <c r="E26" s="470">
        <f>FRI!U16</f>
        <v>28.5</v>
      </c>
      <c r="F26" s="471"/>
      <c r="G26" s="424"/>
      <c r="H26" s="464" t="s">
        <v>95</v>
      </c>
      <c r="I26" s="465"/>
      <c r="J26" s="465"/>
      <c r="K26" s="466"/>
      <c r="L26" s="429">
        <f>FRI!T2</f>
        <v>4</v>
      </c>
      <c r="M26" s="430"/>
      <c r="N26" s="430"/>
      <c r="O26" s="430"/>
      <c r="P26" s="431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08" t="s">
        <v>70</v>
      </c>
      <c r="B27" s="474" t="s">
        <v>57</v>
      </c>
      <c r="C27" s="474"/>
      <c r="D27" s="459"/>
      <c r="E27" s="459">
        <f>SAT!N31</f>
        <v>2</v>
      </c>
      <c r="F27" s="459"/>
      <c r="G27" s="459"/>
      <c r="H27" s="460">
        <f>SAT!S31</f>
        <v>870</v>
      </c>
      <c r="I27" s="460"/>
      <c r="J27" s="460"/>
      <c r="K27" s="460"/>
      <c r="L27" s="475">
        <f>SAT!N32</f>
        <v>0.14394519150176743</v>
      </c>
      <c r="M27" s="475"/>
      <c r="N27" s="475"/>
      <c r="O27" s="475"/>
      <c r="P27" s="475"/>
      <c r="Q27" s="576">
        <f>SUM(E27:G30)</f>
        <v>21</v>
      </c>
      <c r="R27" s="577"/>
      <c r="S27" s="577"/>
      <c r="T27" s="577"/>
      <c r="U27" s="578"/>
      <c r="V27" s="450">
        <f>SUM(H27,H28,H30)</f>
        <v>3140</v>
      </c>
      <c r="W27" s="451"/>
      <c r="X27" s="451"/>
      <c r="Y27" s="451"/>
      <c r="Z27" s="452"/>
      <c r="AA27" s="441">
        <f>V27/Q27</f>
        <v>149.52380952380952</v>
      </c>
      <c r="AB27" s="442"/>
      <c r="AC27" s="442"/>
      <c r="AD27" s="443"/>
    </row>
    <row r="28" spans="1:30" ht="20.100000000000001" customHeight="1" x14ac:dyDescent="0.3">
      <c r="A28" s="709"/>
      <c r="B28" s="474" t="s">
        <v>58</v>
      </c>
      <c r="C28" s="474"/>
      <c r="D28" s="459"/>
      <c r="E28" s="459">
        <f>SAT!O31</f>
        <v>18</v>
      </c>
      <c r="F28" s="459"/>
      <c r="G28" s="459"/>
      <c r="H28" s="460">
        <f>SAT!S32</f>
        <v>2270</v>
      </c>
      <c r="I28" s="460"/>
      <c r="J28" s="460"/>
      <c r="K28" s="460"/>
      <c r="L28" s="475">
        <f>SAT!O32</f>
        <v>0.82722932837724572</v>
      </c>
      <c r="M28" s="475"/>
      <c r="N28" s="475"/>
      <c r="O28" s="475"/>
      <c r="P28" s="475"/>
      <c r="Q28" s="579"/>
      <c r="R28" s="580"/>
      <c r="S28" s="580"/>
      <c r="T28" s="580"/>
      <c r="U28" s="581"/>
      <c r="V28" s="453"/>
      <c r="W28" s="454"/>
      <c r="X28" s="454"/>
      <c r="Y28" s="454"/>
      <c r="Z28" s="455"/>
      <c r="AA28" s="444"/>
      <c r="AB28" s="445"/>
      <c r="AC28" s="445"/>
      <c r="AD28" s="446"/>
    </row>
    <row r="29" spans="1:30" ht="20.100000000000001" customHeight="1" x14ac:dyDescent="0.3">
      <c r="A29" s="709"/>
      <c r="B29" s="474" t="s">
        <v>45</v>
      </c>
      <c r="C29" s="474"/>
      <c r="D29" s="459"/>
      <c r="E29" s="459">
        <f>SAT!P31</f>
        <v>1</v>
      </c>
      <c r="F29" s="459"/>
      <c r="G29" s="459"/>
      <c r="H29" s="460">
        <f>SAT!K31</f>
        <v>79.099999999999994</v>
      </c>
      <c r="I29" s="460"/>
      <c r="J29" s="460"/>
      <c r="K29" s="460"/>
      <c r="L29" s="475">
        <f>SAT!P32</f>
        <v>2.8825480120986843E-2</v>
      </c>
      <c r="M29" s="475"/>
      <c r="N29" s="475"/>
      <c r="O29" s="475"/>
      <c r="P29" s="475"/>
      <c r="Q29" s="579"/>
      <c r="R29" s="580"/>
      <c r="S29" s="580"/>
      <c r="T29" s="580"/>
      <c r="U29" s="581"/>
      <c r="V29" s="453"/>
      <c r="W29" s="454"/>
      <c r="X29" s="454"/>
      <c r="Y29" s="454"/>
      <c r="Z29" s="455"/>
      <c r="AA29" s="444"/>
      <c r="AB29" s="445"/>
      <c r="AC29" s="445"/>
      <c r="AD29" s="446"/>
    </row>
    <row r="30" spans="1:30" ht="20.100000000000001" customHeight="1" x14ac:dyDescent="0.3">
      <c r="A30" s="709"/>
      <c r="B30" s="472" t="s">
        <v>65</v>
      </c>
      <c r="C30" s="473"/>
      <c r="D30" s="474"/>
      <c r="E30" s="472">
        <f>SAT!Q31</f>
        <v>0</v>
      </c>
      <c r="F30" s="473"/>
      <c r="G30" s="474"/>
      <c r="H30" s="753">
        <f>SAT!J31</f>
        <v>0</v>
      </c>
      <c r="I30" s="754"/>
      <c r="J30" s="754"/>
      <c r="K30" s="755"/>
      <c r="L30" s="585">
        <f>SAT!Q32</f>
        <v>0</v>
      </c>
      <c r="M30" s="586"/>
      <c r="N30" s="586"/>
      <c r="O30" s="586"/>
      <c r="P30" s="587"/>
      <c r="Q30" s="582"/>
      <c r="R30" s="583"/>
      <c r="S30" s="583"/>
      <c r="T30" s="583"/>
      <c r="U30" s="584"/>
      <c r="V30" s="456"/>
      <c r="W30" s="457"/>
      <c r="X30" s="457"/>
      <c r="Y30" s="457"/>
      <c r="Z30" s="458"/>
      <c r="AA30" s="447"/>
      <c r="AB30" s="448"/>
      <c r="AC30" s="448"/>
      <c r="AD30" s="449"/>
    </row>
    <row r="31" spans="1:30" ht="20.100000000000001" customHeight="1" x14ac:dyDescent="0.3">
      <c r="A31" s="710"/>
      <c r="B31" s="472" t="s">
        <v>94</v>
      </c>
      <c r="C31" s="473"/>
      <c r="D31" s="474"/>
      <c r="E31" s="472">
        <f>SAT!U16</f>
        <v>57.25</v>
      </c>
      <c r="F31" s="473"/>
      <c r="G31" s="474"/>
      <c r="H31" s="753" t="s">
        <v>95</v>
      </c>
      <c r="I31" s="754"/>
      <c r="J31" s="754"/>
      <c r="K31" s="755"/>
      <c r="L31" s="750">
        <f>SAT!T2</f>
        <v>7</v>
      </c>
      <c r="M31" s="751"/>
      <c r="N31" s="751"/>
      <c r="O31" s="751"/>
      <c r="P31" s="752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11" t="s">
        <v>71</v>
      </c>
      <c r="B32" s="395" t="s">
        <v>57</v>
      </c>
      <c r="C32" s="396"/>
      <c r="D32" s="396"/>
      <c r="E32" s="396">
        <f>SUN!N31</f>
        <v>2</v>
      </c>
      <c r="F32" s="396"/>
      <c r="G32" s="396"/>
      <c r="H32" s="421">
        <f>SUN!S31</f>
        <v>195</v>
      </c>
      <c r="I32" s="421"/>
      <c r="J32" s="421"/>
      <c r="K32" s="421"/>
      <c r="L32" s="422">
        <f>SUN!N32</f>
        <v>8.8103736502055746E-2</v>
      </c>
      <c r="M32" s="422"/>
      <c r="N32" s="422"/>
      <c r="O32" s="422"/>
      <c r="P32" s="422"/>
      <c r="Q32" s="423">
        <f>SUM(E32:G35)</f>
        <v>17</v>
      </c>
      <c r="R32" s="423"/>
      <c r="S32" s="423"/>
      <c r="T32" s="423"/>
      <c r="U32" s="423"/>
      <c r="V32" s="394">
        <f>SUM(H32,H33,H35)</f>
        <v>2030</v>
      </c>
      <c r="W32" s="394"/>
      <c r="X32" s="394"/>
      <c r="Y32" s="394"/>
      <c r="Z32" s="394"/>
      <c r="AA32" s="413">
        <f>V32/Q32</f>
        <v>119.41176470588235</v>
      </c>
      <c r="AB32" s="414"/>
      <c r="AC32" s="414"/>
      <c r="AD32" s="414"/>
    </row>
    <row r="33" spans="1:30" ht="20.100000000000001" customHeight="1" x14ac:dyDescent="0.3">
      <c r="A33" s="712"/>
      <c r="B33" s="395" t="s">
        <v>58</v>
      </c>
      <c r="C33" s="396"/>
      <c r="D33" s="396"/>
      <c r="E33" s="396">
        <f>SUN!O31</f>
        <v>13</v>
      </c>
      <c r="F33" s="396"/>
      <c r="G33" s="396"/>
      <c r="H33" s="421">
        <f>SUN!S32</f>
        <v>1835</v>
      </c>
      <c r="I33" s="421"/>
      <c r="J33" s="421"/>
      <c r="K33" s="421"/>
      <c r="L33" s="422">
        <f>SUN!O32</f>
        <v>0.82907875118601182</v>
      </c>
      <c r="M33" s="422"/>
      <c r="N33" s="422"/>
      <c r="O33" s="422"/>
      <c r="P33" s="422"/>
      <c r="Q33" s="423"/>
      <c r="R33" s="423"/>
      <c r="S33" s="423"/>
      <c r="T33" s="423"/>
      <c r="U33" s="423"/>
      <c r="V33" s="394"/>
      <c r="W33" s="394"/>
      <c r="X33" s="394"/>
      <c r="Y33" s="394"/>
      <c r="Z33" s="394"/>
      <c r="AA33" s="414"/>
      <c r="AB33" s="414"/>
      <c r="AC33" s="414"/>
      <c r="AD33" s="414"/>
    </row>
    <row r="34" spans="1:30" ht="20.100000000000001" customHeight="1" x14ac:dyDescent="0.3">
      <c r="A34" s="712"/>
      <c r="B34" s="395" t="s">
        <v>45</v>
      </c>
      <c r="C34" s="396"/>
      <c r="D34" s="396"/>
      <c r="E34" s="396">
        <f>SUN!P31</f>
        <v>2</v>
      </c>
      <c r="F34" s="396"/>
      <c r="G34" s="396"/>
      <c r="H34" s="421">
        <f>SUN!K31</f>
        <v>183.3</v>
      </c>
      <c r="I34" s="421"/>
      <c r="J34" s="421"/>
      <c r="K34" s="421"/>
      <c r="L34" s="422">
        <f>SUN!P32</f>
        <v>8.2817512311932406E-2</v>
      </c>
      <c r="M34" s="422"/>
      <c r="N34" s="422"/>
      <c r="O34" s="422"/>
      <c r="P34" s="422"/>
      <c r="Q34" s="423"/>
      <c r="R34" s="423"/>
      <c r="S34" s="423"/>
      <c r="T34" s="423"/>
      <c r="U34" s="423"/>
      <c r="V34" s="394"/>
      <c r="W34" s="394"/>
      <c r="X34" s="394"/>
      <c r="Y34" s="394"/>
      <c r="Z34" s="394"/>
      <c r="AA34" s="414"/>
      <c r="AB34" s="414"/>
      <c r="AC34" s="414"/>
      <c r="AD34" s="414"/>
    </row>
    <row r="35" spans="1:30" ht="20.100000000000001" customHeight="1" x14ac:dyDescent="0.3">
      <c r="A35" s="712"/>
      <c r="B35" s="395" t="s">
        <v>65</v>
      </c>
      <c r="C35" s="396"/>
      <c r="D35" s="396"/>
      <c r="E35" s="396">
        <f>SUN!Q31</f>
        <v>0</v>
      </c>
      <c r="F35" s="396"/>
      <c r="G35" s="396"/>
      <c r="H35" s="421">
        <f>SUN!J31</f>
        <v>0</v>
      </c>
      <c r="I35" s="421"/>
      <c r="J35" s="421"/>
      <c r="K35" s="421"/>
      <c r="L35" s="422">
        <f>SUN!Q32</f>
        <v>0</v>
      </c>
      <c r="M35" s="422"/>
      <c r="N35" s="422"/>
      <c r="O35" s="422"/>
      <c r="P35" s="422"/>
      <c r="Q35" s="423"/>
      <c r="R35" s="423"/>
      <c r="S35" s="423"/>
      <c r="T35" s="423"/>
      <c r="U35" s="423"/>
      <c r="V35" s="394"/>
      <c r="W35" s="394"/>
      <c r="X35" s="394"/>
      <c r="Y35" s="394"/>
      <c r="Z35" s="394"/>
      <c r="AA35" s="414"/>
      <c r="AB35" s="414"/>
      <c r="AC35" s="414"/>
      <c r="AD35" s="414"/>
    </row>
    <row r="36" spans="1:30" ht="20.100000000000001" customHeight="1" thickBot="1" x14ac:dyDescent="0.35">
      <c r="A36" s="713"/>
      <c r="B36" s="399" t="s">
        <v>94</v>
      </c>
      <c r="C36" s="400"/>
      <c r="D36" s="401"/>
      <c r="E36" s="399">
        <f>SUN!U16</f>
        <v>51.75</v>
      </c>
      <c r="F36" s="400"/>
      <c r="G36" s="401"/>
      <c r="H36" s="399" t="s">
        <v>95</v>
      </c>
      <c r="I36" s="400"/>
      <c r="J36" s="400"/>
      <c r="K36" s="401"/>
      <c r="L36" s="415">
        <f>SUN!T2</f>
        <v>7</v>
      </c>
      <c r="M36" s="416"/>
      <c r="N36" s="416"/>
      <c r="O36" s="416"/>
      <c r="P36" s="417"/>
      <c r="Q36" s="418"/>
      <c r="R36" s="419"/>
      <c r="S36" s="419"/>
      <c r="T36" s="419"/>
      <c r="U36" s="420"/>
      <c r="V36" s="402"/>
      <c r="W36" s="403"/>
      <c r="X36" s="403"/>
      <c r="Y36" s="403"/>
      <c r="Z36" s="404"/>
      <c r="AA36" s="405"/>
      <c r="AB36" s="406"/>
      <c r="AC36" s="406"/>
      <c r="AD36" s="407"/>
    </row>
    <row r="37" spans="1:30" ht="16.5" customHeight="1" x14ac:dyDescent="0.3">
      <c r="A37" s="385" t="s">
        <v>72</v>
      </c>
      <c r="B37" s="386"/>
      <c r="C37" s="386"/>
      <c r="D37" s="386"/>
      <c r="E37" s="386" t="s">
        <v>73</v>
      </c>
      <c r="F37" s="386"/>
      <c r="G37" s="386"/>
      <c r="H37" s="386"/>
      <c r="I37" s="386"/>
      <c r="J37" s="386"/>
      <c r="K37" s="386" t="s">
        <v>74</v>
      </c>
      <c r="L37" s="386"/>
      <c r="M37" s="386"/>
      <c r="N37" s="386"/>
      <c r="O37" s="386" t="s">
        <v>65</v>
      </c>
      <c r="P37" s="386"/>
      <c r="Q37" s="386"/>
      <c r="R37" s="386"/>
      <c r="S37" s="386"/>
      <c r="T37" s="386" t="s">
        <v>75</v>
      </c>
      <c r="U37" s="386"/>
      <c r="V37" s="386"/>
      <c r="W37" s="386"/>
      <c r="X37" s="386"/>
      <c r="Y37" s="386" t="s">
        <v>76</v>
      </c>
      <c r="Z37" s="386"/>
      <c r="AA37" s="386"/>
      <c r="AB37" s="386"/>
      <c r="AC37" s="386"/>
      <c r="AD37" s="397"/>
    </row>
    <row r="38" spans="1:30" ht="16.5" customHeight="1" x14ac:dyDescent="0.3">
      <c r="A38" s="387"/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  <c r="AC38" s="388"/>
      <c r="AD38" s="398"/>
    </row>
    <row r="39" spans="1:30" ht="16.5" customHeight="1" x14ac:dyDescent="0.3">
      <c r="A39" s="389">
        <f>SUM(Q2:U35)</f>
        <v>92</v>
      </c>
      <c r="B39" s="390"/>
      <c r="C39" s="390"/>
      <c r="D39" s="390"/>
      <c r="E39" s="393">
        <f>SUM(V2:Z35)</f>
        <v>10485</v>
      </c>
      <c r="F39" s="390"/>
      <c r="G39" s="390"/>
      <c r="H39" s="390"/>
      <c r="I39" s="390"/>
      <c r="J39" s="390"/>
      <c r="K39" s="393">
        <f>E39/A39</f>
        <v>113.96739130434783</v>
      </c>
      <c r="L39" s="390"/>
      <c r="M39" s="390"/>
      <c r="N39" s="390"/>
      <c r="O39" s="390">
        <f>SUM(MON:SUN!Q31)</f>
        <v>5</v>
      </c>
      <c r="P39" s="390"/>
      <c r="Q39" s="390"/>
      <c r="R39" s="390"/>
      <c r="S39" s="390"/>
      <c r="T39" s="390">
        <f>SUM(MON:SUN!P31)</f>
        <v>11</v>
      </c>
      <c r="U39" s="390"/>
      <c r="V39" s="390"/>
      <c r="W39" s="390"/>
      <c r="X39" s="390"/>
      <c r="Y39" s="390">
        <f>SUM(MON:SUN!S19)</f>
        <v>2</v>
      </c>
      <c r="Z39" s="390"/>
      <c r="AA39" s="390"/>
      <c r="AB39" s="390"/>
      <c r="AC39" s="390"/>
      <c r="AD39" s="410"/>
    </row>
    <row r="40" spans="1:30" ht="16.5" customHeight="1" x14ac:dyDescent="0.3">
      <c r="A40" s="389"/>
      <c r="B40" s="390"/>
      <c r="C40" s="390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390"/>
      <c r="X40" s="390"/>
      <c r="Y40" s="390"/>
      <c r="Z40" s="390"/>
      <c r="AA40" s="390"/>
      <c r="AB40" s="390"/>
      <c r="AC40" s="390"/>
      <c r="AD40" s="410"/>
    </row>
    <row r="41" spans="1:30" ht="16.5" customHeight="1" x14ac:dyDescent="0.3">
      <c r="A41" s="389"/>
      <c r="B41" s="39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408">
        <f>SUM(MON:SUN!J31)</f>
        <v>440</v>
      </c>
      <c r="P41" s="408"/>
      <c r="Q41" s="408"/>
      <c r="R41" s="408"/>
      <c r="S41" s="408"/>
      <c r="T41" s="408">
        <f>SUM(MON:SUN!K31)</f>
        <v>591.40000000000009</v>
      </c>
      <c r="U41" s="408"/>
      <c r="V41" s="408"/>
      <c r="W41" s="408"/>
      <c r="X41" s="408"/>
      <c r="Y41" s="408">
        <f>SUM(MON:SUN!T19)</f>
        <v>900</v>
      </c>
      <c r="Z41" s="408"/>
      <c r="AA41" s="408"/>
      <c r="AB41" s="408"/>
      <c r="AC41" s="408"/>
      <c r="AD41" s="411"/>
    </row>
    <row r="42" spans="1:30" ht="16.5" customHeight="1" thickBot="1" x14ac:dyDescent="0.35">
      <c r="A42" s="391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2"/>
      <c r="M42" s="392"/>
      <c r="N42" s="392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12"/>
    </row>
    <row r="43" spans="1:30" ht="17.45" customHeight="1" x14ac:dyDescent="0.3">
      <c r="A43" s="668" t="s">
        <v>84</v>
      </c>
      <c r="B43" s="669"/>
      <c r="C43" s="669"/>
      <c r="D43" s="669"/>
      <c r="E43" s="670"/>
      <c r="F43" s="668" t="s">
        <v>85</v>
      </c>
      <c r="G43" s="669"/>
      <c r="H43" s="669"/>
      <c r="I43" s="669"/>
      <c r="J43" s="670"/>
      <c r="K43" s="668" t="s">
        <v>86</v>
      </c>
      <c r="L43" s="669"/>
      <c r="M43" s="669"/>
      <c r="N43" s="669"/>
      <c r="O43" s="670"/>
      <c r="P43" s="668" t="s">
        <v>87</v>
      </c>
      <c r="Q43" s="669"/>
      <c r="R43" s="669"/>
      <c r="S43" s="669"/>
      <c r="T43" s="670"/>
      <c r="U43" s="668" t="s">
        <v>90</v>
      </c>
      <c r="V43" s="669"/>
      <c r="W43" s="669"/>
      <c r="X43" s="669"/>
      <c r="Y43" s="670"/>
      <c r="Z43" s="674" t="s">
        <v>95</v>
      </c>
      <c r="AA43" s="675"/>
      <c r="AB43" s="675"/>
      <c r="AC43" s="675"/>
      <c r="AD43" s="676"/>
    </row>
    <row r="44" spans="1:30" ht="17.45" customHeight="1" x14ac:dyDescent="0.3">
      <c r="A44" s="671"/>
      <c r="B44" s="672"/>
      <c r="C44" s="672"/>
      <c r="D44" s="672"/>
      <c r="E44" s="673"/>
      <c r="F44" s="671"/>
      <c r="G44" s="672"/>
      <c r="H44" s="672"/>
      <c r="I44" s="672"/>
      <c r="J44" s="673"/>
      <c r="K44" s="671"/>
      <c r="L44" s="672"/>
      <c r="M44" s="672"/>
      <c r="N44" s="672"/>
      <c r="O44" s="673"/>
      <c r="P44" s="671"/>
      <c r="Q44" s="672"/>
      <c r="R44" s="672"/>
      <c r="S44" s="672"/>
      <c r="T44" s="673"/>
      <c r="U44" s="671"/>
      <c r="V44" s="672"/>
      <c r="W44" s="672"/>
      <c r="X44" s="672"/>
      <c r="Y44" s="673"/>
      <c r="Z44" s="677"/>
      <c r="AA44" s="678"/>
      <c r="AB44" s="678"/>
      <c r="AC44" s="678"/>
      <c r="AD44" s="679"/>
    </row>
    <row r="45" spans="1:30" x14ac:dyDescent="0.3">
      <c r="A45" s="680">
        <f>SUM(H2,H7,H12,H17,H22,H27,H32)</f>
        <v>2005</v>
      </c>
      <c r="B45" s="681"/>
      <c r="C45" s="681"/>
      <c r="D45" s="681"/>
      <c r="E45" s="682"/>
      <c r="F45" s="680">
        <f>SUM(,H3,H8,H13,H18,H23,H28,H33)</f>
        <v>8040</v>
      </c>
      <c r="G45" s="681"/>
      <c r="H45" s="681"/>
      <c r="I45" s="681"/>
      <c r="J45" s="682"/>
      <c r="K45" s="680">
        <f>SUM(H5,H10,H15,H20,H25,H30,H35)</f>
        <v>440</v>
      </c>
      <c r="L45" s="681"/>
      <c r="M45" s="681"/>
      <c r="N45" s="681"/>
      <c r="O45" s="682"/>
      <c r="P45" s="680">
        <f>SUM(H4,H9,H14,H19,H24,H29,H34)</f>
        <v>591.40000000000009</v>
      </c>
      <c r="Q45" s="681"/>
      <c r="R45" s="681"/>
      <c r="S45" s="681"/>
      <c r="T45" s="682"/>
      <c r="U45" s="689">
        <f>SUM(E6,E11,E16,E21,E26,E31,E36)</f>
        <v>282.5</v>
      </c>
      <c r="V45" s="681"/>
      <c r="W45" s="681"/>
      <c r="X45" s="681"/>
      <c r="Y45" s="682"/>
      <c r="Z45" s="689">
        <f>SUM(L6,L11,L16,L21,L26,L31,L36)</f>
        <v>38</v>
      </c>
      <c r="AA45" s="681"/>
      <c r="AB45" s="681"/>
      <c r="AC45" s="681"/>
      <c r="AD45" s="690"/>
    </row>
    <row r="46" spans="1:30" x14ac:dyDescent="0.3">
      <c r="A46" s="683"/>
      <c r="B46" s="684"/>
      <c r="C46" s="684"/>
      <c r="D46" s="684"/>
      <c r="E46" s="685"/>
      <c r="F46" s="683"/>
      <c r="G46" s="684"/>
      <c r="H46" s="684"/>
      <c r="I46" s="684"/>
      <c r="J46" s="685"/>
      <c r="K46" s="683"/>
      <c r="L46" s="684"/>
      <c r="M46" s="684"/>
      <c r="N46" s="684"/>
      <c r="O46" s="685"/>
      <c r="P46" s="683"/>
      <c r="Q46" s="684"/>
      <c r="R46" s="684"/>
      <c r="S46" s="684"/>
      <c r="T46" s="685"/>
      <c r="U46" s="683"/>
      <c r="V46" s="684"/>
      <c r="W46" s="684"/>
      <c r="X46" s="684"/>
      <c r="Y46" s="685"/>
      <c r="Z46" s="683"/>
      <c r="AA46" s="684"/>
      <c r="AB46" s="684"/>
      <c r="AC46" s="684"/>
      <c r="AD46" s="691"/>
    </row>
    <row r="47" spans="1:30" x14ac:dyDescent="0.3">
      <c r="A47" s="683"/>
      <c r="B47" s="684"/>
      <c r="C47" s="684"/>
      <c r="D47" s="684"/>
      <c r="E47" s="685"/>
      <c r="F47" s="683"/>
      <c r="G47" s="684"/>
      <c r="H47" s="684"/>
      <c r="I47" s="684"/>
      <c r="J47" s="685"/>
      <c r="K47" s="683"/>
      <c r="L47" s="684"/>
      <c r="M47" s="684"/>
      <c r="N47" s="684"/>
      <c r="O47" s="685"/>
      <c r="P47" s="683"/>
      <c r="Q47" s="684"/>
      <c r="R47" s="684"/>
      <c r="S47" s="684"/>
      <c r="T47" s="685"/>
      <c r="U47" s="683"/>
      <c r="V47" s="684"/>
      <c r="W47" s="684"/>
      <c r="X47" s="684"/>
      <c r="Y47" s="685"/>
      <c r="Z47" s="683"/>
      <c r="AA47" s="684"/>
      <c r="AB47" s="684"/>
      <c r="AC47" s="684"/>
      <c r="AD47" s="691"/>
    </row>
    <row r="48" spans="1:30" ht="17.25" thickBot="1" x14ac:dyDescent="0.35">
      <c r="A48" s="686"/>
      <c r="B48" s="687"/>
      <c r="C48" s="687"/>
      <c r="D48" s="687"/>
      <c r="E48" s="688"/>
      <c r="F48" s="686"/>
      <c r="G48" s="687"/>
      <c r="H48" s="687"/>
      <c r="I48" s="687"/>
      <c r="J48" s="688"/>
      <c r="K48" s="686"/>
      <c r="L48" s="687"/>
      <c r="M48" s="687"/>
      <c r="N48" s="687"/>
      <c r="O48" s="688"/>
      <c r="P48" s="686"/>
      <c r="Q48" s="687"/>
      <c r="R48" s="687"/>
      <c r="S48" s="687"/>
      <c r="T48" s="688"/>
      <c r="U48" s="686"/>
      <c r="V48" s="687"/>
      <c r="W48" s="687"/>
      <c r="X48" s="687"/>
      <c r="Y48" s="688"/>
      <c r="Z48" s="686"/>
      <c r="AA48" s="687"/>
      <c r="AB48" s="687"/>
      <c r="AC48" s="687"/>
      <c r="AD48" s="692"/>
    </row>
    <row r="49" spans="1:30" ht="17.45" customHeight="1" x14ac:dyDescent="0.3">
      <c r="A49" s="650">
        <f>A45/E39</f>
        <v>0.19122556032427276</v>
      </c>
      <c r="B49" s="651"/>
      <c r="C49" s="651"/>
      <c r="D49" s="651"/>
      <c r="E49" s="652"/>
      <c r="F49" s="650">
        <f>F45/E39</f>
        <v>0.76680972818311877</v>
      </c>
      <c r="G49" s="651"/>
      <c r="H49" s="651"/>
      <c r="I49" s="651"/>
      <c r="J49" s="652"/>
      <c r="K49" s="650">
        <f>K45/E39</f>
        <v>4.196471149260849E-2</v>
      </c>
      <c r="L49" s="651"/>
      <c r="M49" s="651"/>
      <c r="N49" s="651"/>
      <c r="O49" s="652"/>
      <c r="P49" s="650">
        <f>P45/E39</f>
        <v>5.640438721983787E-2</v>
      </c>
      <c r="Q49" s="651"/>
      <c r="R49" s="651"/>
      <c r="S49" s="651"/>
      <c r="T49" s="652"/>
      <c r="U49" s="659">
        <f>U45/7</f>
        <v>40.357142857142854</v>
      </c>
      <c r="V49" s="660"/>
      <c r="W49" s="660"/>
      <c r="X49" s="660"/>
      <c r="Y49" s="661"/>
      <c r="Z49" s="659">
        <f>U45/Z45</f>
        <v>7.4342105263157894</v>
      </c>
      <c r="AA49" s="660"/>
      <c r="AB49" s="660"/>
      <c r="AC49" s="660"/>
      <c r="AD49" s="661"/>
    </row>
    <row r="50" spans="1:30" ht="17.45" customHeight="1" x14ac:dyDescent="0.3">
      <c r="A50" s="653"/>
      <c r="B50" s="654"/>
      <c r="C50" s="654"/>
      <c r="D50" s="654"/>
      <c r="E50" s="655"/>
      <c r="F50" s="653"/>
      <c r="G50" s="654"/>
      <c r="H50" s="654"/>
      <c r="I50" s="654"/>
      <c r="J50" s="655"/>
      <c r="K50" s="653"/>
      <c r="L50" s="654"/>
      <c r="M50" s="654"/>
      <c r="N50" s="654"/>
      <c r="O50" s="655"/>
      <c r="P50" s="653"/>
      <c r="Q50" s="654"/>
      <c r="R50" s="654"/>
      <c r="S50" s="654"/>
      <c r="T50" s="655"/>
      <c r="U50" s="662"/>
      <c r="V50" s="663"/>
      <c r="W50" s="663"/>
      <c r="X50" s="663"/>
      <c r="Y50" s="664"/>
      <c r="Z50" s="662"/>
      <c r="AA50" s="663"/>
      <c r="AB50" s="663"/>
      <c r="AC50" s="663"/>
      <c r="AD50" s="664"/>
    </row>
    <row r="51" spans="1:30" ht="17.45" customHeight="1" x14ac:dyDescent="0.3">
      <c r="A51" s="653"/>
      <c r="B51" s="654"/>
      <c r="C51" s="654"/>
      <c r="D51" s="654"/>
      <c r="E51" s="655"/>
      <c r="F51" s="653"/>
      <c r="G51" s="654"/>
      <c r="H51" s="654"/>
      <c r="I51" s="654"/>
      <c r="J51" s="655"/>
      <c r="K51" s="653"/>
      <c r="L51" s="654"/>
      <c r="M51" s="654"/>
      <c r="N51" s="654"/>
      <c r="O51" s="655"/>
      <c r="P51" s="653"/>
      <c r="Q51" s="654"/>
      <c r="R51" s="654"/>
      <c r="S51" s="654"/>
      <c r="T51" s="655"/>
      <c r="U51" s="662"/>
      <c r="V51" s="663"/>
      <c r="W51" s="663"/>
      <c r="X51" s="663"/>
      <c r="Y51" s="664"/>
      <c r="Z51" s="662"/>
      <c r="AA51" s="663"/>
      <c r="AB51" s="663"/>
      <c r="AC51" s="663"/>
      <c r="AD51" s="664"/>
    </row>
    <row r="52" spans="1:30" ht="18" customHeight="1" thickBot="1" x14ac:dyDescent="0.35">
      <c r="A52" s="656"/>
      <c r="B52" s="657"/>
      <c r="C52" s="657"/>
      <c r="D52" s="657"/>
      <c r="E52" s="658"/>
      <c r="F52" s="656"/>
      <c r="G52" s="657"/>
      <c r="H52" s="657"/>
      <c r="I52" s="657"/>
      <c r="J52" s="658"/>
      <c r="K52" s="656"/>
      <c r="L52" s="657"/>
      <c r="M52" s="657"/>
      <c r="N52" s="657"/>
      <c r="O52" s="658"/>
      <c r="P52" s="656"/>
      <c r="Q52" s="657"/>
      <c r="R52" s="657"/>
      <c r="S52" s="657"/>
      <c r="T52" s="658"/>
      <c r="U52" s="665"/>
      <c r="V52" s="666"/>
      <c r="W52" s="666"/>
      <c r="X52" s="666"/>
      <c r="Y52" s="667"/>
      <c r="Z52" s="665"/>
      <c r="AA52" s="666"/>
      <c r="AB52" s="666"/>
      <c r="AC52" s="666"/>
      <c r="AD52" s="667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1448CD8C-51AC-45A5-930E-1AAA3E3B1808}"/>
</file>

<file path=customXml/itemProps2.xml><?xml version="1.0" encoding="utf-8"?>
<ds:datastoreItem xmlns:ds="http://schemas.openxmlformats.org/officeDocument/2006/customXml" ds:itemID="{E32DE535-4D25-4943-9F16-8BA089CDFFC4}"/>
</file>

<file path=customXml/itemProps3.xml><?xml version="1.0" encoding="utf-8"?>
<ds:datastoreItem xmlns:ds="http://schemas.openxmlformats.org/officeDocument/2006/customXml" ds:itemID="{0CD90F68-1C49-4EC0-A0D6-9164FB08D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2022-04-12T00:05:58Z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