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8AC2B688-BD3F-4603-BDB0-0D397F4CFAF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6" l="1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A66" i="6" s="1"/>
  <c r="H32" i="6"/>
  <c r="Z31" i="6"/>
  <c r="Q31" i="6"/>
  <c r="P31" i="6"/>
  <c r="O31" i="6"/>
  <c r="N31" i="6"/>
  <c r="M31" i="6"/>
  <c r="I31" i="6"/>
  <c r="S32" i="6" s="1"/>
  <c r="M30" i="6"/>
  <c r="L30" i="6"/>
  <c r="L31" i="6" s="1"/>
  <c r="I30" i="6"/>
  <c r="H30" i="6"/>
  <c r="H31" i="6" s="1"/>
  <c r="K29" i="6"/>
  <c r="J29" i="6"/>
  <c r="K28" i="6"/>
  <c r="J28" i="6"/>
  <c r="K27" i="6"/>
  <c r="J27" i="6"/>
  <c r="S26" i="6"/>
  <c r="R26" i="6"/>
  <c r="J26" i="6"/>
  <c r="AH25" i="6"/>
  <c r="AG25" i="6"/>
  <c r="T25" i="6"/>
  <c r="T26" i="6" s="1"/>
  <c r="S25" i="6"/>
  <c r="R25" i="6"/>
  <c r="K25" i="6"/>
  <c r="J25" i="6"/>
  <c r="K24" i="6"/>
  <c r="J24" i="6"/>
  <c r="K23" i="6"/>
  <c r="J23" i="6"/>
  <c r="AR22" i="6"/>
  <c r="AQ22" i="6"/>
  <c r="AP22" i="6"/>
  <c r="AF25" i="6" s="1"/>
  <c r="AG22" i="6"/>
  <c r="AF22" i="6"/>
  <c r="AE22" i="6"/>
  <c r="AE25" i="6" s="1"/>
  <c r="K22" i="6"/>
  <c r="K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K30" i="6" s="1"/>
  <c r="U5" i="6"/>
  <c r="U16" i="6" s="1"/>
  <c r="S16" i="6" s="1"/>
  <c r="K5" i="6"/>
  <c r="J5" i="6"/>
  <c r="J30" i="6" s="1"/>
  <c r="J31" i="6" s="1"/>
  <c r="C32" i="6" l="1"/>
  <c r="T31" i="6"/>
  <c r="S31" i="6"/>
  <c r="K31" i="6"/>
  <c r="Q32" i="6"/>
  <c r="AI25" i="6"/>
  <c r="AD25" i="6"/>
  <c r="R16" i="6"/>
  <c r="O32" i="6"/>
  <c r="Z32" i="6"/>
  <c r="Z33" i="6" s="1"/>
  <c r="T16" i="6" l="1"/>
  <c r="U25" i="6"/>
  <c r="K32" i="6"/>
  <c r="P32" i="6"/>
  <c r="N32" i="6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H31" i="1"/>
  <c r="M30" i="1"/>
  <c r="L30" i="1"/>
  <c r="I30" i="1"/>
  <c r="I31" i="1" s="1"/>
  <c r="S32" i="1" s="1"/>
  <c r="H28" i="8" s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U14" i="3"/>
  <c r="K14" i="3"/>
  <c r="J14" i="3"/>
  <c r="U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J18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6" i="5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J5" i="5"/>
  <c r="H8" i="8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5" i="7"/>
  <c r="J14" i="7"/>
  <c r="J13" i="7"/>
  <c r="J11" i="7"/>
  <c r="J10" i="7"/>
  <c r="J9" i="7"/>
  <c r="J8" i="7"/>
  <c r="J7" i="7"/>
  <c r="J6" i="7"/>
  <c r="J5" i="7"/>
  <c r="T19" i="7"/>
  <c r="S19" i="7"/>
  <c r="K24" i="7"/>
  <c r="K62" i="2" l="1"/>
  <c r="J62" i="2"/>
  <c r="J30" i="2"/>
  <c r="K30" i="2"/>
  <c r="U16" i="2"/>
  <c r="R16" i="2" s="1"/>
  <c r="J62" i="1"/>
  <c r="K62" i="1"/>
  <c r="K30" i="1"/>
  <c r="J30" i="1"/>
  <c r="U16" i="1"/>
  <c r="S16" i="1" s="1"/>
  <c r="I31" i="3"/>
  <c r="S32" i="3" s="1"/>
  <c r="H23" i="8" s="1"/>
  <c r="K62" i="3"/>
  <c r="J62" i="3"/>
  <c r="K30" i="3"/>
  <c r="J30" i="3"/>
  <c r="U16" i="3"/>
  <c r="S16" i="3" s="1"/>
  <c r="S32" i="4"/>
  <c r="H18" i="8" s="1"/>
  <c r="K30" i="4"/>
  <c r="K31" i="4" s="1"/>
  <c r="J30" i="4"/>
  <c r="J31" i="4" s="1"/>
  <c r="U16" i="4"/>
  <c r="R16" i="4" s="1"/>
  <c r="K30" i="5"/>
  <c r="K31" i="5" s="1"/>
  <c r="J30" i="5"/>
  <c r="J31" i="5" s="1"/>
  <c r="C32" i="5" s="1"/>
  <c r="P32" i="5" s="1"/>
  <c r="U16" i="5"/>
  <c r="S16" i="5" s="1"/>
  <c r="AD25" i="2"/>
  <c r="AI25" i="2"/>
  <c r="Z32" i="2"/>
  <c r="Z33" i="2" s="1"/>
  <c r="S31" i="2"/>
  <c r="T31" i="2"/>
  <c r="AD25" i="1"/>
  <c r="AI25" i="1"/>
  <c r="Z32" i="1"/>
  <c r="Z33" i="1" s="1"/>
  <c r="S31" i="1"/>
  <c r="H27" i="8" s="1"/>
  <c r="T31" i="1"/>
  <c r="AD25" i="3"/>
  <c r="AI25" i="3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H7" i="8"/>
  <c r="H32" i="8"/>
  <c r="H13" i="8"/>
  <c r="L36" i="8"/>
  <c r="L31" i="8"/>
  <c r="L26" i="8"/>
  <c r="L21" i="8"/>
  <c r="L16" i="8"/>
  <c r="L11" i="8"/>
  <c r="L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U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S16" i="2" l="1"/>
  <c r="E36" i="8"/>
  <c r="K31" i="2"/>
  <c r="H34" i="8" s="1"/>
  <c r="J31" i="2"/>
  <c r="K31" i="1"/>
  <c r="J31" i="1"/>
  <c r="R16" i="1"/>
  <c r="E31" i="8"/>
  <c r="Z32" i="3"/>
  <c r="Z33" i="3" s="1"/>
  <c r="J31" i="3"/>
  <c r="K31" i="3"/>
  <c r="E26" i="8"/>
  <c r="R16" i="3"/>
  <c r="S16" i="4"/>
  <c r="C32" i="4"/>
  <c r="K32" i="4" s="1"/>
  <c r="O32" i="5"/>
  <c r="R16" i="5"/>
  <c r="V7" i="8"/>
  <c r="U25" i="5"/>
  <c r="K32" i="5"/>
  <c r="T16" i="5"/>
  <c r="N32" i="5"/>
  <c r="Q32" i="5"/>
  <c r="K30" i="7"/>
  <c r="L10" i="8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AI25" i="7"/>
  <c r="AD25" i="7"/>
  <c r="Z32" i="7"/>
  <c r="Z33" i="7" s="1"/>
  <c r="T31" i="7"/>
  <c r="C32" i="2" l="1"/>
  <c r="Q32" i="2" s="1"/>
  <c r="L35" i="8" s="1"/>
  <c r="O32" i="2"/>
  <c r="L33" i="8" s="1"/>
  <c r="H35" i="8"/>
  <c r="V32" i="8" s="1"/>
  <c r="K32" i="2"/>
  <c r="P32" i="2"/>
  <c r="L34" i="8" s="1"/>
  <c r="C32" i="1"/>
  <c r="P32" i="1" s="1"/>
  <c r="K32" i="1"/>
  <c r="C32" i="3"/>
  <c r="O32" i="3" s="1"/>
  <c r="N32" i="3"/>
  <c r="L22" i="8" s="1"/>
  <c r="K32" i="3"/>
  <c r="T16" i="3"/>
  <c r="Q32" i="3"/>
  <c r="L25" i="8" s="1"/>
  <c r="U25" i="3"/>
  <c r="P32" i="3"/>
  <c r="L24" i="8" s="1"/>
  <c r="U25" i="4"/>
  <c r="O32" i="4"/>
  <c r="P32" i="4"/>
  <c r="Q32" i="4"/>
  <c r="T16" i="4"/>
  <c r="N32" i="4"/>
  <c r="L8" i="8"/>
  <c r="L7" i="8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T16" i="2" l="1"/>
  <c r="N32" i="2"/>
  <c r="L32" i="8" s="1"/>
  <c r="U25" i="2"/>
  <c r="N32" i="1"/>
  <c r="Q32" i="1"/>
  <c r="O32" i="1"/>
  <c r="T16" i="1"/>
  <c r="U25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<sst xmlns="http://schemas.openxmlformats.org/spreadsheetml/2006/main" count="2040" uniqueCount="532">
  <si>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</si>
  <si>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</si>
  <si>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</si>
  <si>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</si>
  <si>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</si>
  <si>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</si>
  <si>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</si>
  <si>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</si>
  <si>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</si>
  <si>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</si>
  <si>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</si>
  <si>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</si>
  <si>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</si>
  <si>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</si>
  <si>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</si>
  <si>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</si>
  <si>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</si>
  <si>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</si>
  <si>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</si>
  <si>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</si>
  <si>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</si>
  <si>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</si>
  <si>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</si>
  <si>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</si>
  <si>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</si>
  <si>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</si>
  <si>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</si>
  <si>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</si>
  <si>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</si>
  <si>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</si>
  <si>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</si>
  <si>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</si>
  <si>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</si>
  <si>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</si>
  <si>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</si>
  <si>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</si>
  <si>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</si>
  <si>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</si>
  <si>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</si>
  <si>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</si>
  <si>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</si>
  <si>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</si>
  <si>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</si>
  <si>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</si>
  <si>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</si>
  <si>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</si>
  <si>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</si>
  <si>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</si>
  <si>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</si>
  <si>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</si>
  <si>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</si>
  <si>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</si>
  <si>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</si>
  <si>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</si>
  <si>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</si>
  <si>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</si>
  <si>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</si>
  <si>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</si>
  <si>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</si>
  <si>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</si>
  <si>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</si>
  <si>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</si>
  <si>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</si>
  <si>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</si>
  <si>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</si>
  <si>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</si>
  <si>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</si>
  <si>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</si>
  <si>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</si>
  <si>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</si>
  <si>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</si>
  <si>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</si>
  <si>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</si>
  <si>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</si>
  <si>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</si>
  <si>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</si>
  <si>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</si>
  <si>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</si>
  <si>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</si>
  <si>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</si>
  <si>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</si>
  <si>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</si>
  <si>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</si>
  <si>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</si>
  <si>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</si>
  <si>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</si>
  <si>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</si>
  <si>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</si>
  <si>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</si>
  <si>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</si>
  <si>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</si>
  <si>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</si>
  <si>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</si>
  <si>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</si>
  <si>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</si>
  <si>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</si>
  <si>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</si>
  <si>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30 - 5 - 2022</t>
    <phoneticPr fontId="5" type="noConversion"/>
  </si>
  <si>
    <t>MIX</t>
    <phoneticPr fontId="5" type="noConversion"/>
  </si>
  <si>
    <t>HENDRA</t>
    <phoneticPr fontId="5" type="noConversion"/>
  </si>
  <si>
    <t>JUNIOR</t>
    <phoneticPr fontId="5" type="noConversion"/>
  </si>
  <si>
    <t>ARIANTO</t>
    <phoneticPr fontId="5" type="noConversion"/>
  </si>
  <si>
    <t>PRINCY</t>
    <phoneticPr fontId="5" type="noConversion"/>
  </si>
  <si>
    <t>VINNY</t>
    <phoneticPr fontId="5" type="noConversion"/>
  </si>
  <si>
    <t>EPD61D</t>
    <phoneticPr fontId="5" type="noConversion"/>
  </si>
  <si>
    <t>0435955200</t>
    <phoneticPr fontId="5" type="noConversion"/>
  </si>
  <si>
    <t>PCL</t>
    <phoneticPr fontId="5" type="noConversion"/>
  </si>
  <si>
    <t># 22020 2/6</t>
    <phoneticPr fontId="5" type="noConversion"/>
  </si>
  <si>
    <t>EIG73P</t>
    <phoneticPr fontId="5" type="noConversion"/>
  </si>
  <si>
    <t>0424932073</t>
    <phoneticPr fontId="5" type="noConversion"/>
  </si>
  <si>
    <t>GV3</t>
    <phoneticPr fontId="5" type="noConversion"/>
  </si>
  <si>
    <t># 202849 6/6</t>
    <phoneticPr fontId="5" type="noConversion"/>
  </si>
  <si>
    <t>ENF98Q</t>
    <phoneticPr fontId="5" type="noConversion"/>
  </si>
  <si>
    <t>0412255630</t>
    <phoneticPr fontId="5" type="noConversion"/>
  </si>
  <si>
    <t># 21060 5/6</t>
    <phoneticPr fontId="5" type="noConversion"/>
  </si>
  <si>
    <t>DFZ53M</t>
    <phoneticPr fontId="5" type="noConversion"/>
  </si>
  <si>
    <t>0451185659</t>
    <phoneticPr fontId="5" type="noConversion"/>
  </si>
  <si>
    <t># 21062 6/6</t>
    <phoneticPr fontId="5" type="noConversion"/>
  </si>
  <si>
    <t>EGN15W</t>
    <phoneticPr fontId="5" type="noConversion"/>
  </si>
  <si>
    <t>0401787738</t>
    <phoneticPr fontId="5" type="noConversion"/>
  </si>
  <si>
    <t>X</t>
    <phoneticPr fontId="5" type="noConversion"/>
  </si>
  <si>
    <t>EMH39W</t>
    <phoneticPr fontId="5" type="noConversion"/>
  </si>
  <si>
    <t>0434219119</t>
    <phoneticPr fontId="5" type="noConversion"/>
  </si>
  <si>
    <t>D</t>
    <phoneticPr fontId="5" type="noConversion"/>
  </si>
  <si>
    <t>MAL179</t>
    <phoneticPr fontId="5" type="noConversion"/>
  </si>
  <si>
    <t>0407068224</t>
    <phoneticPr fontId="5" type="noConversion"/>
  </si>
  <si>
    <t>H</t>
    <phoneticPr fontId="5" type="noConversion"/>
  </si>
  <si>
    <t>ERH83R</t>
    <phoneticPr fontId="5" type="noConversion"/>
  </si>
  <si>
    <t>????</t>
    <phoneticPr fontId="5" type="noConversion"/>
  </si>
  <si>
    <t># 202203063 #202204049</t>
    <phoneticPr fontId="5" type="noConversion"/>
  </si>
  <si>
    <t>EKW80U</t>
    <phoneticPr fontId="5" type="noConversion"/>
  </si>
  <si>
    <t>0423100672</t>
    <phoneticPr fontId="5" type="noConversion"/>
  </si>
  <si>
    <t>DVT83R</t>
    <phoneticPr fontId="5" type="noConversion"/>
  </si>
  <si>
    <t>GV1</t>
    <phoneticPr fontId="5" type="noConversion"/>
  </si>
  <si>
    <t># 202906 6/6</t>
    <phoneticPr fontId="5" type="noConversion"/>
  </si>
  <si>
    <t>0410686290</t>
    <phoneticPr fontId="5" type="noConversion"/>
  </si>
  <si>
    <t>DKH77J</t>
    <phoneticPr fontId="5" type="noConversion"/>
  </si>
  <si>
    <t>DD69HM</t>
    <phoneticPr fontId="5" type="noConversion"/>
  </si>
  <si>
    <t>04111398782</t>
    <phoneticPr fontId="5" type="noConversion"/>
  </si>
  <si>
    <t># 202203076 # 202204014</t>
    <phoneticPr fontId="5" type="noConversion"/>
  </si>
  <si>
    <t>0417662543</t>
    <phoneticPr fontId="5" type="noConversion"/>
  </si>
  <si>
    <t>CPY668</t>
    <phoneticPr fontId="5" type="noConversion"/>
  </si>
  <si>
    <t>DCE60E</t>
    <phoneticPr fontId="5" type="noConversion"/>
  </si>
  <si>
    <t>0450165496</t>
    <phoneticPr fontId="5" type="noConversion"/>
  </si>
  <si>
    <t>0408763516</t>
    <phoneticPr fontId="5" type="noConversion"/>
  </si>
  <si>
    <t>EKY86R</t>
    <phoneticPr fontId="5" type="noConversion"/>
  </si>
  <si>
    <t>APC88H</t>
    <phoneticPr fontId="5" type="noConversion"/>
  </si>
  <si>
    <t>0410062214</t>
    <phoneticPr fontId="5" type="noConversion"/>
  </si>
  <si>
    <t># 202203085</t>
    <phoneticPr fontId="5" type="noConversion"/>
  </si>
  <si>
    <t>CXX27L</t>
    <phoneticPr fontId="5" type="noConversion"/>
  </si>
  <si>
    <t>0478179194</t>
    <phoneticPr fontId="5" type="noConversion"/>
  </si>
  <si>
    <t># 202203078</t>
    <phoneticPr fontId="5" type="noConversion"/>
  </si>
  <si>
    <t>LAU777</t>
    <phoneticPr fontId="5" type="noConversion"/>
  </si>
  <si>
    <t>0416462000</t>
    <phoneticPr fontId="5" type="noConversion"/>
  </si>
  <si>
    <t>PCS</t>
    <phoneticPr fontId="5" type="noConversion"/>
  </si>
  <si>
    <t># 202203014</t>
    <phoneticPr fontId="5" type="noConversion"/>
  </si>
  <si>
    <t>BLE07C</t>
    <phoneticPr fontId="5" type="noConversion"/>
  </si>
  <si>
    <t>0421873258</t>
    <phoneticPr fontId="5" type="noConversion"/>
  </si>
  <si>
    <t># 220212</t>
    <phoneticPr fontId="5" type="noConversion"/>
  </si>
  <si>
    <t>YCS30L</t>
    <phoneticPr fontId="5" type="noConversion"/>
  </si>
  <si>
    <t>0434279318</t>
    <phoneticPr fontId="5" type="noConversion"/>
  </si>
  <si>
    <t>31 - 5 - 2022</t>
    <phoneticPr fontId="5" type="noConversion"/>
  </si>
  <si>
    <t>SUNNY</t>
    <phoneticPr fontId="5" type="noConversion"/>
  </si>
  <si>
    <t>BE11EW</t>
    <phoneticPr fontId="5" type="noConversion"/>
  </si>
  <si>
    <t>0410626063</t>
    <phoneticPr fontId="5" type="noConversion"/>
  </si>
  <si>
    <t>DSK36Z</t>
    <phoneticPr fontId="5" type="noConversion"/>
  </si>
  <si>
    <t>0450687838</t>
    <phoneticPr fontId="5" type="noConversion"/>
  </si>
  <si>
    <t># 202203034, 202203035</t>
    <phoneticPr fontId="5" type="noConversion"/>
  </si>
  <si>
    <t>EGI61S</t>
    <phoneticPr fontId="5" type="noConversion"/>
  </si>
  <si>
    <t>0423768252</t>
    <phoneticPr fontId="5" type="noConversion"/>
  </si>
  <si>
    <t>EKL90B</t>
    <phoneticPr fontId="5" type="noConversion"/>
  </si>
  <si>
    <t>0408864207</t>
    <phoneticPr fontId="5" type="noConversion"/>
  </si>
  <si>
    <t>KUROSH</t>
    <phoneticPr fontId="5" type="noConversion"/>
  </si>
  <si>
    <t>NBX89A</t>
    <phoneticPr fontId="5" type="noConversion"/>
  </si>
  <si>
    <t>0416035981</t>
    <phoneticPr fontId="5" type="noConversion"/>
  </si>
  <si>
    <t>D/ST</t>
    <phoneticPr fontId="5" type="noConversion"/>
  </si>
  <si>
    <t>COB30F</t>
    <phoneticPr fontId="5" type="noConversion"/>
  </si>
  <si>
    <t>0414299706</t>
    <phoneticPr fontId="5" type="noConversion"/>
  </si>
  <si>
    <t>AUS318</t>
    <phoneticPr fontId="5" type="noConversion"/>
  </si>
  <si>
    <t>0416097328</t>
    <phoneticPr fontId="5" type="noConversion"/>
  </si>
  <si>
    <t># 202203030</t>
    <phoneticPr fontId="5" type="noConversion"/>
  </si>
  <si>
    <t>CYI65I</t>
    <phoneticPr fontId="5" type="noConversion"/>
  </si>
  <si>
    <t>0430372903</t>
    <phoneticPr fontId="5" type="noConversion"/>
  </si>
  <si>
    <t>FD</t>
    <phoneticPr fontId="5" type="noConversion"/>
  </si>
  <si>
    <t>ZK1105</t>
    <phoneticPr fontId="5" type="noConversion"/>
  </si>
  <si>
    <t>0412770418</t>
    <phoneticPr fontId="5" type="noConversion"/>
  </si>
  <si>
    <t>CVG30W</t>
    <phoneticPr fontId="5" type="noConversion"/>
  </si>
  <si>
    <t>0400900120</t>
    <phoneticPr fontId="5" type="noConversion"/>
  </si>
  <si>
    <t>ALLON</t>
    <phoneticPr fontId="5" type="noConversion"/>
  </si>
  <si>
    <t>0477000888</t>
    <phoneticPr fontId="5" type="noConversion"/>
  </si>
  <si>
    <t>DWG03L</t>
    <phoneticPr fontId="5" type="noConversion"/>
  </si>
  <si>
    <t>0423416782</t>
    <phoneticPr fontId="5" type="noConversion"/>
  </si>
  <si>
    <t>SN1515</t>
    <phoneticPr fontId="5" type="noConversion"/>
  </si>
  <si>
    <t>0407918506</t>
    <phoneticPr fontId="5" type="noConversion"/>
  </si>
  <si>
    <t>ELV06M</t>
    <phoneticPr fontId="5" type="noConversion"/>
  </si>
  <si>
    <t>0451899950</t>
    <phoneticPr fontId="5" type="noConversion"/>
  </si>
  <si>
    <t>EOD56V</t>
    <phoneticPr fontId="5" type="noConversion"/>
  </si>
  <si>
    <t>0478104783</t>
    <phoneticPr fontId="5" type="noConversion"/>
  </si>
  <si>
    <t># 202203042</t>
    <phoneticPr fontId="5" type="noConversion"/>
  </si>
  <si>
    <t>ATX11C</t>
    <phoneticPr fontId="5" type="noConversion"/>
  </si>
  <si>
    <t>0488442898</t>
    <phoneticPr fontId="5" type="noConversion"/>
  </si>
  <si>
    <t># 202204057, 202203068</t>
    <phoneticPr fontId="5" type="noConversion"/>
  </si>
  <si>
    <t>CQL74Q</t>
    <phoneticPr fontId="5" type="noConversion"/>
  </si>
  <si>
    <t>0428888046</t>
    <phoneticPr fontId="5" type="noConversion"/>
  </si>
  <si>
    <t># 21006 6/6, PCM 22007</t>
    <phoneticPr fontId="5" type="noConversion"/>
  </si>
  <si>
    <t>EOI30W</t>
    <phoneticPr fontId="5" type="noConversion"/>
  </si>
  <si>
    <t>0418432402</t>
    <phoneticPr fontId="5" type="noConversion"/>
  </si>
  <si>
    <t># 202203032, 202203033</t>
    <phoneticPr fontId="5" type="noConversion"/>
  </si>
  <si>
    <t>CA26LS</t>
    <phoneticPr fontId="5" type="noConversion"/>
  </si>
  <si>
    <t>0432219595</t>
    <phoneticPr fontId="5" type="noConversion"/>
  </si>
  <si>
    <t>H/CLAY</t>
    <phoneticPr fontId="5" type="noConversion"/>
  </si>
  <si>
    <t>JKD988</t>
    <phoneticPr fontId="5" type="noConversion"/>
  </si>
  <si>
    <t>0412822216</t>
    <phoneticPr fontId="5" type="noConversion"/>
  </si>
  <si>
    <t># 202203062</t>
    <phoneticPr fontId="5" type="noConversion"/>
  </si>
  <si>
    <t>DME16L</t>
    <phoneticPr fontId="5" type="noConversion"/>
  </si>
  <si>
    <t>0452664818</t>
    <phoneticPr fontId="5" type="noConversion"/>
  </si>
  <si>
    <t># 202204074</t>
    <phoneticPr fontId="5" type="noConversion"/>
  </si>
  <si>
    <t>AWC668</t>
    <phoneticPr fontId="5" type="noConversion"/>
  </si>
  <si>
    <t>0425517888</t>
    <phoneticPr fontId="5" type="noConversion"/>
  </si>
  <si>
    <t># 21122812 1/6</t>
    <phoneticPr fontId="5" type="noConversion"/>
  </si>
  <si>
    <t>CF35UP</t>
    <phoneticPr fontId="5" type="noConversion"/>
  </si>
  <si>
    <t>0403162362</t>
    <phoneticPr fontId="5" type="noConversion"/>
  </si>
  <si>
    <t>EAH890</t>
    <phoneticPr fontId="5" type="noConversion"/>
  </si>
  <si>
    <t>4948 #202205067, 202202055</t>
    <phoneticPr fontId="5" type="noConversion"/>
  </si>
  <si>
    <t>NRS66R</t>
    <phoneticPr fontId="5" type="noConversion"/>
  </si>
  <si>
    <t>0402557569</t>
    <phoneticPr fontId="5" type="noConversion"/>
  </si>
  <si>
    <t>01/06/2022</t>
    <phoneticPr fontId="5" type="noConversion"/>
  </si>
  <si>
    <t>JIMMY</t>
    <phoneticPr fontId="5" type="noConversion"/>
  </si>
  <si>
    <t>ROSHAN</t>
    <phoneticPr fontId="5" type="noConversion"/>
  </si>
  <si>
    <t>NBW54H</t>
    <phoneticPr fontId="5" type="noConversion"/>
  </si>
  <si>
    <t>0413383540</t>
    <phoneticPr fontId="5" type="noConversion"/>
  </si>
  <si>
    <t>JUL</t>
    <phoneticPr fontId="5" type="noConversion"/>
  </si>
  <si>
    <t>0403073338</t>
    <phoneticPr fontId="5" type="noConversion"/>
  </si>
  <si>
    <t># 22011 2/6</t>
    <phoneticPr fontId="5" type="noConversion"/>
  </si>
  <si>
    <t>EBD70E</t>
    <phoneticPr fontId="5" type="noConversion"/>
  </si>
  <si>
    <t>0403733460</t>
    <phoneticPr fontId="5" type="noConversion"/>
  </si>
  <si>
    <t>DDA89U</t>
    <phoneticPr fontId="5" type="noConversion"/>
  </si>
  <si>
    <t>0488682806</t>
    <phoneticPr fontId="5" type="noConversion"/>
  </si>
  <si>
    <t>JPT001</t>
    <phoneticPr fontId="5" type="noConversion"/>
  </si>
  <si>
    <t>0457525581</t>
    <phoneticPr fontId="5" type="noConversion"/>
  </si>
  <si>
    <t>CTS98V</t>
    <phoneticPr fontId="5" type="noConversion"/>
  </si>
  <si>
    <t>0404886881</t>
    <phoneticPr fontId="5" type="noConversion"/>
  </si>
  <si>
    <t>BZB84A</t>
    <phoneticPr fontId="5" type="noConversion"/>
  </si>
  <si>
    <t>0484145806</t>
    <phoneticPr fontId="5" type="noConversion"/>
  </si>
  <si>
    <t>EIM54J</t>
    <phoneticPr fontId="5" type="noConversion"/>
  </si>
  <si>
    <t>0421053344</t>
    <phoneticPr fontId="5" type="noConversion"/>
  </si>
  <si>
    <t>EQL12V</t>
    <phoneticPr fontId="5" type="noConversion"/>
  </si>
  <si>
    <t>0414807108</t>
    <phoneticPr fontId="5" type="noConversion"/>
  </si>
  <si>
    <t>W/O</t>
    <phoneticPr fontId="5" type="noConversion"/>
  </si>
  <si>
    <t>NBR31B</t>
    <phoneticPr fontId="5" type="noConversion"/>
  </si>
  <si>
    <t>0411522188</t>
    <phoneticPr fontId="5" type="noConversion"/>
  </si>
  <si>
    <t>NXU83V</t>
    <phoneticPr fontId="5" type="noConversion"/>
  </si>
  <si>
    <t>0448900101</t>
    <phoneticPr fontId="5" type="noConversion"/>
  </si>
  <si>
    <t># 2202862 6/6</t>
    <phoneticPr fontId="5" type="noConversion"/>
  </si>
  <si>
    <t>EIR80E</t>
    <phoneticPr fontId="5" type="noConversion"/>
  </si>
  <si>
    <t>0411476486</t>
    <phoneticPr fontId="5" type="noConversion"/>
  </si>
  <si>
    <t>EGQ52E</t>
    <phoneticPr fontId="5" type="noConversion"/>
  </si>
  <si>
    <t>0402313774</t>
    <phoneticPr fontId="5" type="noConversion"/>
  </si>
  <si>
    <t>JIMMY : TRIAL NEW BOY</t>
    <phoneticPr fontId="5" type="noConversion"/>
  </si>
  <si>
    <t>NBV97V</t>
    <phoneticPr fontId="5" type="noConversion"/>
  </si>
  <si>
    <t>0411628623</t>
    <phoneticPr fontId="5" type="noConversion"/>
  </si>
  <si>
    <t># 192597 3-6/6</t>
    <phoneticPr fontId="5" type="noConversion"/>
  </si>
  <si>
    <t>JJJ236</t>
    <phoneticPr fontId="5" type="noConversion"/>
  </si>
  <si>
    <t>0448777778</t>
    <phoneticPr fontId="5" type="noConversion"/>
  </si>
  <si>
    <t>D/LTH</t>
    <phoneticPr fontId="5" type="noConversion"/>
  </si>
  <si>
    <t>DC66SO</t>
    <phoneticPr fontId="5" type="noConversion"/>
  </si>
  <si>
    <t>0431339618</t>
    <phoneticPr fontId="5" type="noConversion"/>
  </si>
  <si>
    <t>DHU51S</t>
    <phoneticPr fontId="5" type="noConversion"/>
  </si>
  <si>
    <t>0425217260</t>
    <phoneticPr fontId="5" type="noConversion"/>
  </si>
  <si>
    <t>2 - 6 - 2022</t>
    <phoneticPr fontId="5" type="noConversion"/>
  </si>
  <si>
    <t>ATET</t>
    <phoneticPr fontId="5" type="noConversion"/>
  </si>
  <si>
    <t>ERIC</t>
    <phoneticPr fontId="5" type="noConversion"/>
  </si>
  <si>
    <t>COM84M</t>
    <phoneticPr fontId="5" type="noConversion"/>
  </si>
  <si>
    <t>0405232880</t>
    <phoneticPr fontId="5" type="noConversion"/>
  </si>
  <si>
    <t># 22022 1/6</t>
    <phoneticPr fontId="5" type="noConversion"/>
  </si>
  <si>
    <t>CKC333</t>
    <phoneticPr fontId="5" type="noConversion"/>
  </si>
  <si>
    <t>0411889693</t>
    <phoneticPr fontId="5" type="noConversion"/>
  </si>
  <si>
    <t>EPG56Z</t>
    <phoneticPr fontId="5" type="noConversion"/>
  </si>
  <si>
    <t>0433926819</t>
    <phoneticPr fontId="5" type="noConversion"/>
  </si>
  <si>
    <t>BKI56F</t>
    <phoneticPr fontId="5" type="noConversion"/>
  </si>
  <si>
    <t>0413523212</t>
    <phoneticPr fontId="5" type="noConversion"/>
  </si>
  <si>
    <t>EEP29V</t>
    <phoneticPr fontId="5" type="noConversion"/>
  </si>
  <si>
    <t>0433670519</t>
    <phoneticPr fontId="5" type="noConversion"/>
  </si>
  <si>
    <t>DA52HN</t>
    <phoneticPr fontId="5" type="noConversion"/>
  </si>
  <si>
    <t>0400997790</t>
    <phoneticPr fontId="5" type="noConversion"/>
  </si>
  <si>
    <t>NBY26J</t>
    <phoneticPr fontId="5" type="noConversion"/>
  </si>
  <si>
    <t>0418687334</t>
    <phoneticPr fontId="5" type="noConversion"/>
  </si>
  <si>
    <t>CWH70C</t>
    <phoneticPr fontId="5" type="noConversion"/>
  </si>
  <si>
    <t>0409764250</t>
    <phoneticPr fontId="5" type="noConversion"/>
  </si>
  <si>
    <t>EGD62L</t>
    <phoneticPr fontId="5" type="noConversion"/>
  </si>
  <si>
    <t>0400790442</t>
    <phoneticPr fontId="5" type="noConversion"/>
  </si>
  <si>
    <t>DQG86M</t>
    <phoneticPr fontId="5" type="noConversion"/>
  </si>
  <si>
    <t>0411832570</t>
    <phoneticPr fontId="5" type="noConversion"/>
  </si>
  <si>
    <t># 21027 4/6 5/6</t>
    <phoneticPr fontId="5" type="noConversion"/>
  </si>
  <si>
    <t>NCB77Z</t>
    <phoneticPr fontId="5" type="noConversion"/>
  </si>
  <si>
    <t>0438570575</t>
    <phoneticPr fontId="5" type="noConversion"/>
  </si>
  <si>
    <t># 21060 6/6,22035</t>
    <phoneticPr fontId="5" type="noConversion"/>
  </si>
  <si>
    <t>ENV70R</t>
    <phoneticPr fontId="5" type="noConversion"/>
  </si>
  <si>
    <t>0409987259</t>
    <phoneticPr fontId="5" type="noConversion"/>
  </si>
  <si>
    <t>JCJ091</t>
    <phoneticPr fontId="5" type="noConversion"/>
  </si>
  <si>
    <t>0409322110</t>
    <phoneticPr fontId="5" type="noConversion"/>
  </si>
  <si>
    <t>LP127</t>
    <phoneticPr fontId="5" type="noConversion"/>
  </si>
  <si>
    <t>0419417072</t>
    <phoneticPr fontId="5" type="noConversion"/>
  </si>
  <si>
    <t>NCD50L</t>
    <phoneticPr fontId="5" type="noConversion"/>
  </si>
  <si>
    <t>0433665704</t>
    <phoneticPr fontId="5" type="noConversion"/>
  </si>
  <si>
    <t>EPN10K</t>
    <phoneticPr fontId="5" type="noConversion"/>
  </si>
  <si>
    <t>0432017715</t>
    <phoneticPr fontId="5" type="noConversion"/>
  </si>
  <si>
    <t>INS</t>
    <phoneticPr fontId="5" type="noConversion"/>
  </si>
  <si>
    <t>EIL68E</t>
    <phoneticPr fontId="5" type="noConversion"/>
  </si>
  <si>
    <t>0405658556</t>
    <phoneticPr fontId="5" type="noConversion"/>
  </si>
  <si>
    <t>EEA06J</t>
    <phoneticPr fontId="5" type="noConversion"/>
  </si>
  <si>
    <t>0404095442</t>
    <phoneticPr fontId="5" type="noConversion"/>
  </si>
  <si>
    <t>BJZ01A</t>
    <phoneticPr fontId="5" type="noConversion"/>
  </si>
  <si>
    <t>0411390022</t>
    <phoneticPr fontId="5" type="noConversion"/>
  </si>
  <si>
    <t>DND77N</t>
    <phoneticPr fontId="5" type="noConversion"/>
  </si>
  <si>
    <t>0432436432</t>
    <phoneticPr fontId="5" type="noConversion"/>
  </si>
  <si>
    <t>CDF76C</t>
    <phoneticPr fontId="5" type="noConversion"/>
  </si>
  <si>
    <t>0455027102</t>
    <phoneticPr fontId="5" type="noConversion"/>
  </si>
  <si>
    <t>RR88LL</t>
    <phoneticPr fontId="5" type="noConversion"/>
  </si>
  <si>
    <t>0452501019</t>
    <phoneticPr fontId="5" type="noConversion"/>
  </si>
  <si>
    <t>ALF76K</t>
    <phoneticPr fontId="5" type="noConversion"/>
  </si>
  <si>
    <t>0431954611</t>
    <phoneticPr fontId="5" type="noConversion"/>
  </si>
  <si>
    <t>3 - 6 - 2022</t>
    <phoneticPr fontId="5" type="noConversion"/>
  </si>
  <si>
    <t>PETER</t>
    <phoneticPr fontId="5" type="noConversion"/>
  </si>
  <si>
    <t>CHRIS</t>
    <phoneticPr fontId="5" type="noConversion"/>
  </si>
  <si>
    <t>0438354090</t>
    <phoneticPr fontId="5" type="noConversion"/>
  </si>
  <si>
    <t>CRQ96X</t>
    <phoneticPr fontId="5" type="noConversion"/>
  </si>
  <si>
    <t>0408062082</t>
    <phoneticPr fontId="5" type="noConversion"/>
  </si>
  <si>
    <t>EBW63U</t>
    <phoneticPr fontId="5" type="noConversion"/>
  </si>
  <si>
    <t>YDU76F</t>
    <phoneticPr fontId="5" type="noConversion"/>
  </si>
  <si>
    <t>0411269390</t>
    <phoneticPr fontId="5" type="noConversion"/>
  </si>
  <si>
    <t>EER85W</t>
    <phoneticPr fontId="5" type="noConversion"/>
  </si>
  <si>
    <t>0414330980</t>
    <phoneticPr fontId="5" type="noConversion"/>
  </si>
  <si>
    <t>CZY84V</t>
    <phoneticPr fontId="5" type="noConversion"/>
  </si>
  <si>
    <t>0409587073</t>
    <phoneticPr fontId="5" type="noConversion"/>
  </si>
  <si>
    <t>DYA82G</t>
    <phoneticPr fontId="5" type="noConversion"/>
  </si>
  <si>
    <t>0481011888</t>
    <phoneticPr fontId="5" type="noConversion"/>
  </si>
  <si>
    <t>DAH83G</t>
    <phoneticPr fontId="5" type="noConversion"/>
  </si>
  <si>
    <t>0408182800</t>
    <phoneticPr fontId="5" type="noConversion"/>
  </si>
  <si>
    <t>ACE818</t>
    <phoneticPr fontId="5" type="noConversion"/>
  </si>
  <si>
    <t>0404185259</t>
    <phoneticPr fontId="5" type="noConversion"/>
  </si>
  <si>
    <t># 21069 4/6</t>
    <phoneticPr fontId="5" type="noConversion"/>
  </si>
  <si>
    <t>CAC84W</t>
    <phoneticPr fontId="5" type="noConversion"/>
  </si>
  <si>
    <t>0450188519</t>
    <phoneticPr fontId="5" type="noConversion"/>
  </si>
  <si>
    <t>EOL52D</t>
    <phoneticPr fontId="5" type="noConversion"/>
  </si>
  <si>
    <t>0422919821</t>
    <phoneticPr fontId="5" type="noConversion"/>
  </si>
  <si>
    <t># 202204010, 202205029</t>
    <phoneticPr fontId="5" type="noConversion"/>
  </si>
  <si>
    <t>YGW00E</t>
    <phoneticPr fontId="5" type="noConversion"/>
  </si>
  <si>
    <t>0413782222</t>
    <phoneticPr fontId="5" type="noConversion"/>
  </si>
  <si>
    <t>AB430</t>
    <phoneticPr fontId="5" type="noConversion"/>
  </si>
  <si>
    <t>0414929488</t>
    <phoneticPr fontId="5" type="noConversion"/>
  </si>
  <si>
    <t>DFM47L</t>
    <phoneticPr fontId="5" type="noConversion"/>
  </si>
  <si>
    <t>0401286565</t>
    <phoneticPr fontId="5" type="noConversion"/>
  </si>
  <si>
    <t>DKU68R</t>
    <phoneticPr fontId="5" type="noConversion"/>
  </si>
  <si>
    <t>0431793197</t>
    <phoneticPr fontId="5" type="noConversion"/>
  </si>
  <si>
    <t>BH68UX</t>
    <phoneticPr fontId="5" type="noConversion"/>
  </si>
  <si>
    <t>0414188113</t>
    <phoneticPr fontId="5" type="noConversion"/>
  </si>
  <si>
    <t>EKX62Y</t>
    <phoneticPr fontId="5" type="noConversion"/>
  </si>
  <si>
    <t>0431323338</t>
    <phoneticPr fontId="5" type="noConversion"/>
  </si>
  <si>
    <t># 202206013</t>
    <phoneticPr fontId="5" type="noConversion"/>
  </si>
  <si>
    <t>NCA39A</t>
    <phoneticPr fontId="5" type="noConversion"/>
  </si>
  <si>
    <t>0422412188</t>
    <phoneticPr fontId="5" type="noConversion"/>
  </si>
  <si>
    <t>SM369</t>
    <phoneticPr fontId="5" type="noConversion"/>
  </si>
  <si>
    <t>0412640097</t>
    <phoneticPr fontId="5" type="noConversion"/>
  </si>
  <si>
    <t>DTS48D</t>
    <phoneticPr fontId="5" type="noConversion"/>
  </si>
  <si>
    <t>0400437434</t>
    <phoneticPr fontId="5" type="noConversion"/>
  </si>
  <si>
    <t>ERB14Z</t>
    <phoneticPr fontId="5" type="noConversion"/>
  </si>
  <si>
    <t>0424784261</t>
    <phoneticPr fontId="5" type="noConversion"/>
  </si>
  <si>
    <t>EJF68S</t>
    <phoneticPr fontId="5" type="noConversion"/>
  </si>
  <si>
    <t>0404202987</t>
    <phoneticPr fontId="5" type="noConversion"/>
  </si>
  <si>
    <t xml:space="preserve">  </t>
    <phoneticPr fontId="5" type="noConversion"/>
  </si>
  <si>
    <t>ERV25N</t>
    <phoneticPr fontId="5" type="noConversion"/>
  </si>
  <si>
    <t>0402525389</t>
    <phoneticPr fontId="5" type="noConversion"/>
  </si>
  <si>
    <t>YJW60B</t>
    <phoneticPr fontId="5" type="noConversion"/>
  </si>
  <si>
    <t>0420600043</t>
    <phoneticPr fontId="5" type="noConversion"/>
  </si>
  <si>
    <t>EBB08Q</t>
    <phoneticPr fontId="5" type="noConversion"/>
  </si>
  <si>
    <t>0408197480</t>
    <phoneticPr fontId="5" type="noConversion"/>
  </si>
  <si>
    <t>\</t>
    <phoneticPr fontId="5" type="noConversion"/>
  </si>
  <si>
    <t>DYG35N</t>
    <phoneticPr fontId="5" type="noConversion"/>
  </si>
  <si>
    <t>0414245365</t>
    <phoneticPr fontId="5" type="noConversion"/>
  </si>
  <si>
    <t>BHV73V</t>
    <phoneticPr fontId="5" type="noConversion"/>
  </si>
  <si>
    <t>0413049660</t>
    <phoneticPr fontId="5" type="noConversion"/>
  </si>
  <si>
    <t>DVA82Z</t>
    <phoneticPr fontId="5" type="noConversion"/>
  </si>
  <si>
    <t>0438757466</t>
    <phoneticPr fontId="5" type="noConversion"/>
  </si>
  <si>
    <t>4 - 6 - 2022</t>
    <phoneticPr fontId="5" type="noConversion"/>
  </si>
  <si>
    <t>KEVIN</t>
    <phoneticPr fontId="5" type="noConversion"/>
  </si>
  <si>
    <t>BIVEK</t>
    <phoneticPr fontId="5" type="noConversion"/>
  </si>
  <si>
    <t>GRACE</t>
    <phoneticPr fontId="5" type="noConversion"/>
  </si>
  <si>
    <t>KADAM</t>
    <phoneticPr fontId="5" type="noConversion"/>
  </si>
  <si>
    <t>DQA34U</t>
    <phoneticPr fontId="5" type="noConversion"/>
  </si>
  <si>
    <t>0404869355</t>
    <phoneticPr fontId="5" type="noConversion"/>
  </si>
  <si>
    <t>CGA18Y</t>
    <phoneticPr fontId="5" type="noConversion"/>
  </si>
  <si>
    <t>0417428700</t>
    <phoneticPr fontId="5" type="noConversion"/>
  </si>
  <si>
    <t>EEN92X</t>
    <phoneticPr fontId="5" type="noConversion"/>
  </si>
  <si>
    <t>0404393931</t>
    <phoneticPr fontId="5" type="noConversion"/>
  </si>
  <si>
    <t>DNH70C</t>
    <phoneticPr fontId="5" type="noConversion"/>
  </si>
  <si>
    <t>DLX98T</t>
    <phoneticPr fontId="5" type="noConversion"/>
  </si>
  <si>
    <t>0412858567</t>
    <phoneticPr fontId="5" type="noConversion"/>
  </si>
  <si>
    <t>DFX57V</t>
    <phoneticPr fontId="5" type="noConversion"/>
  </si>
  <si>
    <t>0417062375</t>
    <phoneticPr fontId="5" type="noConversion"/>
  </si>
  <si>
    <t>CPT87W</t>
    <phoneticPr fontId="5" type="noConversion"/>
  </si>
  <si>
    <t>0414258028</t>
    <phoneticPr fontId="5" type="noConversion"/>
  </si>
  <si>
    <t>#192417 6/6</t>
    <phoneticPr fontId="5" type="noConversion"/>
  </si>
  <si>
    <t>NCE55H</t>
    <phoneticPr fontId="5" type="noConversion"/>
  </si>
  <si>
    <t>0481002570</t>
    <phoneticPr fontId="5" type="noConversion"/>
  </si>
  <si>
    <t>DNS76E</t>
    <phoneticPr fontId="5" type="noConversion"/>
  </si>
  <si>
    <t>0402450410</t>
    <phoneticPr fontId="5" type="noConversion"/>
  </si>
  <si>
    <t>66MRZZ</t>
    <phoneticPr fontId="5" type="noConversion"/>
  </si>
  <si>
    <t>0433366659</t>
    <phoneticPr fontId="5" type="noConversion"/>
  </si>
  <si>
    <t>NCE33C</t>
    <phoneticPr fontId="5" type="noConversion"/>
  </si>
  <si>
    <t>0422812404</t>
    <phoneticPr fontId="5" type="noConversion"/>
  </si>
  <si>
    <t>EHU87A</t>
    <phoneticPr fontId="5" type="noConversion"/>
  </si>
  <si>
    <t>0420694860</t>
    <phoneticPr fontId="5" type="noConversion"/>
  </si>
  <si>
    <t># 21054 4/6 5/6</t>
    <phoneticPr fontId="5" type="noConversion"/>
  </si>
  <si>
    <t>CLOONY</t>
    <phoneticPr fontId="5" type="noConversion"/>
  </si>
  <si>
    <t>0432818161</t>
    <phoneticPr fontId="5" type="noConversion"/>
  </si>
  <si>
    <t>EMB57Z</t>
    <phoneticPr fontId="5" type="noConversion"/>
  </si>
  <si>
    <t>0418181444</t>
    <phoneticPr fontId="5" type="noConversion"/>
  </si>
  <si>
    <t>CG35LX</t>
    <phoneticPr fontId="5" type="noConversion"/>
  </si>
  <si>
    <t>0407780898</t>
    <phoneticPr fontId="5" type="noConversion"/>
  </si>
  <si>
    <t>LY7778</t>
    <phoneticPr fontId="5" type="noConversion"/>
  </si>
  <si>
    <t>0419998830</t>
    <phoneticPr fontId="5" type="noConversion"/>
  </si>
  <si>
    <t>TAX</t>
    <phoneticPr fontId="5" type="noConversion"/>
  </si>
  <si>
    <t>EEB90G</t>
    <phoneticPr fontId="5" type="noConversion"/>
  </si>
  <si>
    <t>0400914200</t>
    <phoneticPr fontId="5" type="noConversion"/>
  </si>
  <si>
    <t>CTA46S</t>
    <phoneticPr fontId="5" type="noConversion"/>
  </si>
  <si>
    <t>0404264636</t>
    <phoneticPr fontId="5" type="noConversion"/>
  </si>
  <si>
    <t>CSI98Z</t>
    <phoneticPr fontId="5" type="noConversion"/>
  </si>
  <si>
    <t>0411402208</t>
    <phoneticPr fontId="5" type="noConversion"/>
  </si>
  <si>
    <t>EFAN</t>
    <phoneticPr fontId="5" type="noConversion"/>
  </si>
  <si>
    <t>0450601088</t>
    <phoneticPr fontId="5" type="noConversion"/>
  </si>
  <si>
    <t>DGF78A</t>
    <phoneticPr fontId="5" type="noConversion"/>
  </si>
  <si>
    <t>0452633999</t>
    <phoneticPr fontId="5" type="noConversion"/>
  </si>
  <si>
    <t>CSIS</t>
    <phoneticPr fontId="5" type="noConversion"/>
  </si>
  <si>
    <t>0403596570</t>
    <phoneticPr fontId="5" type="noConversion"/>
  </si>
  <si>
    <t>ARI025</t>
    <phoneticPr fontId="5" type="noConversion"/>
  </si>
  <si>
    <t>0414340967</t>
    <phoneticPr fontId="5" type="noConversion"/>
  </si>
  <si>
    <t>EAH02A</t>
    <phoneticPr fontId="5" type="noConversion"/>
  </si>
  <si>
    <t>0433989807</t>
    <phoneticPr fontId="5" type="noConversion"/>
  </si>
  <si>
    <t>ERF65W</t>
    <phoneticPr fontId="5" type="noConversion"/>
  </si>
  <si>
    <t>0411928818</t>
    <phoneticPr fontId="5" type="noConversion"/>
  </si>
  <si>
    <t>AMY82B</t>
    <phoneticPr fontId="5" type="noConversion"/>
  </si>
  <si>
    <t>0416210816</t>
    <phoneticPr fontId="5" type="noConversion"/>
  </si>
  <si>
    <t>GBI</t>
    <phoneticPr fontId="5" type="noConversion"/>
  </si>
  <si>
    <t>GEORGE CAR</t>
    <phoneticPr fontId="5" type="noConversion"/>
  </si>
  <si>
    <t>DKY92Q</t>
    <phoneticPr fontId="5" type="noConversion"/>
  </si>
  <si>
    <t>0406367777</t>
    <phoneticPr fontId="5" type="noConversion"/>
  </si>
  <si>
    <t>EQY95A</t>
    <phoneticPr fontId="5" type="noConversion"/>
  </si>
  <si>
    <t>0401000831</t>
    <phoneticPr fontId="5" type="noConversion"/>
  </si>
  <si>
    <t>CYQ98P</t>
    <phoneticPr fontId="5" type="noConversion"/>
  </si>
  <si>
    <t>0403149263</t>
    <phoneticPr fontId="5" type="noConversion"/>
  </si>
  <si>
    <t>NCB29M</t>
    <phoneticPr fontId="5" type="noConversion"/>
  </si>
  <si>
    <t>0424100321</t>
    <phoneticPr fontId="5" type="noConversion"/>
  </si>
  <si>
    <t>DZJ63J</t>
    <phoneticPr fontId="5" type="noConversion"/>
  </si>
  <si>
    <t>0403100555</t>
    <phoneticPr fontId="5" type="noConversion"/>
  </si>
  <si>
    <t>DPY53R</t>
    <phoneticPr fontId="5" type="noConversion"/>
  </si>
  <si>
    <t>0458453232</t>
    <phoneticPr fontId="5" type="noConversion"/>
  </si>
  <si>
    <t>DKW35Y</t>
    <phoneticPr fontId="5" type="noConversion"/>
  </si>
  <si>
    <t>0423401478</t>
    <phoneticPr fontId="5" type="noConversion"/>
  </si>
  <si>
    <t>YGD16N</t>
    <phoneticPr fontId="5" type="noConversion"/>
  </si>
  <si>
    <t>0481270241</t>
    <phoneticPr fontId="5" type="noConversion"/>
  </si>
  <si>
    <t>EPG36F</t>
    <phoneticPr fontId="5" type="noConversion"/>
  </si>
  <si>
    <t>0431209212</t>
    <phoneticPr fontId="5" type="noConversion"/>
  </si>
  <si>
    <t>DMF57K</t>
    <phoneticPr fontId="5" type="noConversion"/>
  </si>
  <si>
    <t>0405003003</t>
    <phoneticPr fontId="5" type="noConversion"/>
  </si>
  <si>
    <t>ERC57F</t>
    <phoneticPr fontId="5" type="noConversion"/>
  </si>
  <si>
    <t>0425271424</t>
    <phoneticPr fontId="5" type="noConversion"/>
  </si>
  <si>
    <t>5 - 6 - 2022</t>
    <phoneticPr fontId="5" type="noConversion"/>
  </si>
  <si>
    <t>JOHN</t>
    <phoneticPr fontId="5" type="noConversion"/>
  </si>
  <si>
    <t>PRAGATI</t>
    <phoneticPr fontId="5" type="noConversion"/>
  </si>
  <si>
    <t>AMAN</t>
    <phoneticPr fontId="5" type="noConversion"/>
  </si>
  <si>
    <t>NCD930J</t>
    <phoneticPr fontId="5" type="noConversion"/>
  </si>
  <si>
    <t>0415846912</t>
    <phoneticPr fontId="5" type="noConversion"/>
  </si>
  <si>
    <t>NXQ42P</t>
    <phoneticPr fontId="5" type="noConversion"/>
  </si>
  <si>
    <t>0412711333</t>
    <phoneticPr fontId="5" type="noConversion"/>
  </si>
  <si>
    <t>DWK94W</t>
    <phoneticPr fontId="5" type="noConversion"/>
  </si>
  <si>
    <t>0415902984</t>
    <phoneticPr fontId="5" type="noConversion"/>
  </si>
  <si>
    <t>21061(3/6)</t>
    <phoneticPr fontId="5" type="noConversion"/>
  </si>
  <si>
    <t>6YLH02A</t>
    <phoneticPr fontId="5" type="noConversion"/>
  </si>
  <si>
    <t>0433879601</t>
    <phoneticPr fontId="5" type="noConversion"/>
  </si>
  <si>
    <t>EHU88E</t>
    <phoneticPr fontId="5" type="noConversion"/>
  </si>
  <si>
    <t>0431366177</t>
    <phoneticPr fontId="5" type="noConversion"/>
  </si>
  <si>
    <t>DYP87M</t>
    <phoneticPr fontId="5" type="noConversion"/>
  </si>
  <si>
    <t>0422809380</t>
    <phoneticPr fontId="5" type="noConversion"/>
  </si>
  <si>
    <t>EEH08B</t>
    <phoneticPr fontId="5" type="noConversion"/>
  </si>
  <si>
    <t>0402129276</t>
    <phoneticPr fontId="5" type="noConversion"/>
  </si>
  <si>
    <t>VOY520</t>
    <phoneticPr fontId="5" type="noConversion"/>
  </si>
  <si>
    <t>0407927524</t>
    <phoneticPr fontId="5" type="noConversion"/>
  </si>
  <si>
    <t>BKV46Q</t>
    <phoneticPr fontId="5" type="noConversion"/>
  </si>
  <si>
    <t>0401991911</t>
    <phoneticPr fontId="5" type="noConversion"/>
  </si>
  <si>
    <t>192683(4-6/6)</t>
    <phoneticPr fontId="5" type="noConversion"/>
  </si>
  <si>
    <t>DAO64Z</t>
    <phoneticPr fontId="5" type="noConversion"/>
  </si>
  <si>
    <t>0402359189</t>
    <phoneticPr fontId="5" type="noConversion"/>
  </si>
  <si>
    <t>DXM59L</t>
    <phoneticPr fontId="5" type="noConversion"/>
  </si>
  <si>
    <t>0405506810</t>
    <phoneticPr fontId="5" type="noConversion"/>
  </si>
  <si>
    <t>CJD17M</t>
    <phoneticPr fontId="5" type="noConversion"/>
  </si>
  <si>
    <t>0408404757</t>
    <phoneticPr fontId="5" type="noConversion"/>
  </si>
  <si>
    <t>DJJ84H</t>
    <phoneticPr fontId="5" type="noConversion"/>
  </si>
  <si>
    <t>0449561220</t>
    <phoneticPr fontId="5" type="noConversion"/>
  </si>
  <si>
    <t>WK489</t>
    <phoneticPr fontId="5" type="noConversion"/>
  </si>
  <si>
    <t>0418231454</t>
    <phoneticPr fontId="5" type="noConversion"/>
  </si>
  <si>
    <t>ES087J</t>
    <phoneticPr fontId="5" type="noConversion"/>
  </si>
  <si>
    <t>0432148708</t>
    <phoneticPr fontId="5" type="noConversion"/>
  </si>
  <si>
    <t>AWG89L</t>
    <phoneticPr fontId="5" type="noConversion"/>
  </si>
  <si>
    <t>0403894530</t>
    <phoneticPr fontId="5" type="noConversion"/>
  </si>
  <si>
    <t>CMB828</t>
    <phoneticPr fontId="5" type="noConversion"/>
  </si>
  <si>
    <t>0427668269</t>
    <phoneticPr fontId="5" type="noConversion"/>
  </si>
  <si>
    <t>CII15F</t>
    <phoneticPr fontId="5" type="noConversion"/>
  </si>
  <si>
    <t>0421600810</t>
    <phoneticPr fontId="5" type="noConversion"/>
  </si>
  <si>
    <t>CHX60R</t>
    <phoneticPr fontId="5" type="noConversion"/>
  </si>
  <si>
    <t>0490091737</t>
    <phoneticPr fontId="5" type="noConversion"/>
  </si>
  <si>
    <t>BOOKING</t>
    <phoneticPr fontId="5" type="noConversion"/>
  </si>
  <si>
    <t>EPW57Y</t>
    <phoneticPr fontId="5" type="noConversion"/>
  </si>
  <si>
    <t>0408189137</t>
    <phoneticPr fontId="5" type="noConversion"/>
  </si>
  <si>
    <t>CX10QB</t>
    <phoneticPr fontId="5" type="noConversion"/>
  </si>
  <si>
    <t>0450673966</t>
    <phoneticPr fontId="5" type="noConversion"/>
  </si>
  <si>
    <t>ATG</t>
    <phoneticPr fontId="5" type="noConversion"/>
  </si>
  <si>
    <t>0413616191</t>
    <phoneticPr fontId="5" type="noConversion"/>
  </si>
  <si>
    <t>SCO221</t>
    <phoneticPr fontId="5" type="noConversion"/>
  </si>
  <si>
    <t>0418249876</t>
    <phoneticPr fontId="5" type="noConversion"/>
  </si>
  <si>
    <t>BHL974</t>
    <phoneticPr fontId="5" type="noConversion"/>
  </si>
  <si>
    <t>0401737391</t>
    <phoneticPr fontId="5" type="noConversion"/>
  </si>
  <si>
    <t># 21061</t>
    <phoneticPr fontId="5" type="noConversion"/>
  </si>
  <si>
    <t>CAJ19V</t>
    <phoneticPr fontId="5" type="noConversion"/>
  </si>
  <si>
    <t>0416394779</t>
    <phoneticPr fontId="5" type="noConversion"/>
  </si>
  <si>
    <t>NCC34T</t>
    <phoneticPr fontId="5" type="noConversion"/>
  </si>
  <si>
    <t>0458302303</t>
    <phoneticPr fontId="5" type="noConversion"/>
  </si>
  <si>
    <t>NBP92C</t>
    <phoneticPr fontId="5" type="noConversion"/>
  </si>
  <si>
    <t>0405633236</t>
    <phoneticPr fontId="5" type="noConversion"/>
  </si>
  <si>
    <t># 21045 5-6/6</t>
    <phoneticPr fontId="5" type="noConversion"/>
  </si>
  <si>
    <t>TONG</t>
    <phoneticPr fontId="5" type="noConversion"/>
  </si>
  <si>
    <t>0433354745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</si>
</sst>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9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82" fontId="0" fillId="0" borderId="0" xfId="0" applyNumberFormat="1" applyAlignment="1">
      <alignment shrinkToFit="1"/>
    </xf>
    <xf numFmtId="0" fontId="2" fillId="2" borderId="1" xfId="0" applyFont="1" applyFill="1" applyBorder="1" applyAlignment="1">
      <alignment horizontal="center" shrinkToFit="1"/>
    </xf>
    <xf numFmtId="0" fontId="25" fillId="14" borderId="9" xfId="4" applyBorder="1" applyAlignment="1">
      <alignment horizont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49" fontId="25" fillId="14" borderId="2" xfId="4" applyNumberFormat="1" applyBorder="1" applyAlignment="1">
      <alignment horizontal="left" shrinkToFit="1"/>
    </xf>
    <xf numFmtId="0" fontId="25" fillId="14" borderId="62" xfId="4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0" fontId="25" fillId="14" borderId="1" xfId="4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178" fontId="25" fillId="14" borderId="1" xfId="4" applyNumberFormat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0" fontId="0" fillId="0" borderId="0" xfId="0" applyAlignment="1">
      <alignment horizontal="left" shrinkToFit="1"/>
    </xf>
    <xf numFmtId="178" fontId="2" fillId="2" borderId="1" xfId="0" applyNumberFormat="1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0" fillId="2" borderId="0" xfId="0" applyFill="1" applyAlignment="1">
      <alignment horizontal="left" shrinkToFit="1"/>
    </xf>
    <xf numFmtId="26" fontId="15" fillId="0" borderId="0" xfId="0" applyNumberFormat="1" applyFont="1" applyAlignment="1">
      <alignment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0" fontId="1" fillId="2" borderId="4" xfId="0" applyFont="1" applyFill="1" applyBorder="1" applyAlignment="1">
      <alignment horizontal="center" shrinkToFit="1"/>
    </xf>
    <xf numFmtId="0" fontId="25" fillId="14" borderId="54" xfId="4" applyBorder="1" applyAlignment="1">
      <alignment horizontal="center" shrinkToFit="1"/>
    </xf>
    <xf numFmtId="0" fontId="25" fillId="14" borderId="26" xfId="4" applyBorder="1" applyAlignment="1">
      <alignment shrinkToFit="1"/>
    </xf>
    <xf numFmtId="49" fontId="25" fillId="14" borderId="29" xfId="4" applyNumberFormat="1" applyBorder="1" applyAlignment="1">
      <alignment shrinkToFit="1"/>
    </xf>
    <xf numFmtId="0" fontId="25" fillId="14" borderId="63" xfId="4" applyBorder="1" applyAlignment="1">
      <alignment horizontal="center" shrinkToFit="1"/>
    </xf>
    <xf numFmtId="0" fontId="25" fillId="14" borderId="19" xfId="4" applyBorder="1" applyAlignment="1">
      <alignment horizontal="center" shrinkToFit="1"/>
    </xf>
    <xf numFmtId="0" fontId="25" fillId="14" borderId="1" xfId="4" applyBorder="1" applyAlignment="1"/>
    <xf numFmtId="49" fontId="25" fillId="14" borderId="2" xfId="4" applyNumberFormat="1" applyBorder="1" applyAlignment="1">
      <alignment horizontal="left"/>
    </xf>
    <xf numFmtId="179" fontId="25" fillId="14" borderId="39" xfId="4" applyNumberFormat="1" applyBorder="1" applyAlignment="1">
      <alignment horizontal="left"/>
    </xf>
    <xf numFmtId="0" fontId="25" fillId="14" borderId="1" xfId="4" applyBorder="1" applyAlignment="1">
      <alignment horizontal="left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176" fontId="15" fillId="0" borderId="0" xfId="0" applyNumberFormat="1" applyFont="1" applyAlignment="1">
      <alignment horizontal="center" shrinkToFit="1"/>
    </xf>
    <xf numFmtId="26" fontId="15" fillId="0" borderId="0" xfId="0" applyNumberFormat="1" applyFont="1" applyAlignment="1">
      <alignment horizont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25" fillId="14" borderId="5" xfId="4" applyBorder="1" applyAlignment="1">
      <alignment horizontal="center" shrinkToFit="1"/>
    </xf>
    <xf numFmtId="0" fontId="25" fillId="14" borderId="56" xfId="4" applyBorder="1" applyAlignment="1">
      <alignment horizontal="center" shrinkToFit="1"/>
    </xf>
    <xf numFmtId="0" fontId="25" fillId="14" borderId="49" xfId="4" applyBorder="1" applyAlignment="1">
      <alignment horizontal="center" shrinkToFit="1"/>
    </xf>
    <xf numFmtId="0" fontId="25" fillId="14" borderId="2" xfId="4" applyBorder="1" applyAlignment="1">
      <alignment horizontal="center" vertical="center" shrinkToFit="1"/>
    </xf>
    <xf numFmtId="0" fontId="25" fillId="14" borderId="29" xfId="4" applyBorder="1" applyAlignment="1">
      <alignment horizontal="center" vertical="center" shrinkToFit="1"/>
    </xf>
    <xf numFmtId="0" fontId="25" fillId="14" borderId="17" xfId="4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2" zoomScale="110" zoomScaleNormal="110" zoomScaleSheetLayoutView="100" workbookViewId="0">
      <selection activeCell="A33" sqref="A33:U33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97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98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5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58" t="s">
        <v>8</v>
      </c>
      <c r="P4" s="358"/>
      <c r="Q4" s="358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4913</v>
      </c>
      <c r="C5" s="68" t="s">
        <v>104</v>
      </c>
      <c r="D5" s="200" t="s">
        <v>105</v>
      </c>
      <c r="E5" s="181" t="s">
        <v>91</v>
      </c>
      <c r="F5" s="170">
        <v>845</v>
      </c>
      <c r="G5" s="118" t="s">
        <v>106</v>
      </c>
      <c r="H5" s="91"/>
      <c r="I5" s="124"/>
      <c r="J5" s="130" t="str">
        <f>IF(G5="RSL","55","0")</f>
        <v>0</v>
      </c>
      <c r="K5" s="130">
        <v>79.16</v>
      </c>
      <c r="L5" s="131"/>
      <c r="M5" s="131"/>
      <c r="N5" s="134" t="s">
        <v>99</v>
      </c>
      <c r="O5" s="404" t="s">
        <v>107</v>
      </c>
      <c r="P5" s="405"/>
      <c r="Q5" s="406"/>
      <c r="R5" s="33" t="s">
        <v>99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4914</v>
      </c>
      <c r="C6" s="67" t="s">
        <v>108</v>
      </c>
      <c r="D6" s="200" t="s">
        <v>109</v>
      </c>
      <c r="E6" s="181" t="s">
        <v>92</v>
      </c>
      <c r="F6" s="171">
        <v>920</v>
      </c>
      <c r="G6" s="118" t="s">
        <v>110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9" t="s">
        <v>111</v>
      </c>
      <c r="P6" s="360"/>
      <c r="Q6" s="361"/>
      <c r="R6" s="132" t="s">
        <v>100</v>
      </c>
      <c r="S6" s="31">
        <v>0.35416666666666669</v>
      </c>
      <c r="T6" s="32">
        <v>0.6875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4915</v>
      </c>
      <c r="C7" s="67" t="s">
        <v>112</v>
      </c>
      <c r="D7" s="200" t="s">
        <v>113</v>
      </c>
      <c r="E7" s="181" t="s">
        <v>92</v>
      </c>
      <c r="F7" s="171">
        <v>930</v>
      </c>
      <c r="G7" s="118" t="s">
        <v>106</v>
      </c>
      <c r="H7" s="91"/>
      <c r="I7" s="124"/>
      <c r="J7" s="130" t="str">
        <f t="shared" si="1"/>
        <v>0</v>
      </c>
      <c r="K7" s="130">
        <v>79.16</v>
      </c>
      <c r="L7" s="131"/>
      <c r="M7" s="131"/>
      <c r="N7" s="134" t="s">
        <v>99</v>
      </c>
      <c r="O7" s="332" t="s">
        <v>114</v>
      </c>
      <c r="P7" s="331"/>
      <c r="Q7" s="333"/>
      <c r="R7" s="134" t="s">
        <v>101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4916</v>
      </c>
      <c r="C8" s="27" t="s">
        <v>115</v>
      </c>
      <c r="D8" s="200" t="s">
        <v>116</v>
      </c>
      <c r="E8" s="181" t="s">
        <v>92</v>
      </c>
      <c r="F8" s="171">
        <v>1000</v>
      </c>
      <c r="G8" s="118" t="s">
        <v>106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99</v>
      </c>
      <c r="O8" s="362" t="s">
        <v>117</v>
      </c>
      <c r="P8" s="363"/>
      <c r="Q8" s="364"/>
      <c r="R8" s="26" t="s">
        <v>103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4917</v>
      </c>
      <c r="C9" s="63" t="s">
        <v>118</v>
      </c>
      <c r="D9" s="201" t="s">
        <v>119</v>
      </c>
      <c r="E9" s="181" t="s">
        <v>92</v>
      </c>
      <c r="F9" s="172">
        <v>1000</v>
      </c>
      <c r="G9" s="119" t="s">
        <v>120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102</v>
      </c>
      <c r="S9" s="31">
        <v>0.375</v>
      </c>
      <c r="T9" s="32">
        <v>0.6875</v>
      </c>
      <c r="U9" s="92">
        <f t="shared" si="0"/>
        <v>7.5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4918</v>
      </c>
      <c r="C10" s="28" t="s">
        <v>121</v>
      </c>
      <c r="D10" s="202" t="s">
        <v>122</v>
      </c>
      <c r="E10" s="181" t="s">
        <v>91</v>
      </c>
      <c r="F10" s="173">
        <v>1040</v>
      </c>
      <c r="G10" s="120" t="s">
        <v>123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4"/>
      <c r="P10" s="355"/>
      <c r="Q10" s="35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4919</v>
      </c>
      <c r="C11" s="18" t="s">
        <v>124</v>
      </c>
      <c r="D11" s="203" t="s">
        <v>125</v>
      </c>
      <c r="E11" s="181" t="s">
        <v>92</v>
      </c>
      <c r="F11" s="66">
        <v>1045</v>
      </c>
      <c r="G11" s="121" t="s">
        <v>126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2"/>
      <c r="P11" s="331"/>
      <c r="Q11" s="33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4920</v>
      </c>
      <c r="C12" s="64" t="s">
        <v>127</v>
      </c>
      <c r="D12" s="204" t="s">
        <v>128</v>
      </c>
      <c r="E12" s="181" t="s">
        <v>92</v>
      </c>
      <c r="F12" s="173">
        <v>1045</v>
      </c>
      <c r="G12" s="119" t="s">
        <v>44</v>
      </c>
      <c r="H12" s="123"/>
      <c r="I12" s="125"/>
      <c r="J12" s="130">
        <v>110</v>
      </c>
      <c r="K12" s="130" t="str">
        <f t="shared" si="2"/>
        <v>0</v>
      </c>
      <c r="L12" s="131"/>
      <c r="M12" s="131"/>
      <c r="N12" s="134" t="s">
        <v>99</v>
      </c>
      <c r="O12" s="332" t="s">
        <v>129</v>
      </c>
      <c r="P12" s="331"/>
      <c r="Q12" s="33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4921</v>
      </c>
      <c r="C13" s="64" t="s">
        <v>130</v>
      </c>
      <c r="D13" s="204" t="s">
        <v>131</v>
      </c>
      <c r="E13" s="181" t="s">
        <v>92</v>
      </c>
      <c r="F13" s="173">
        <v>1045</v>
      </c>
      <c r="G13" s="119" t="s">
        <v>123</v>
      </c>
      <c r="H13" s="169"/>
      <c r="I13" s="168">
        <v>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2"/>
      <c r="P13" s="331"/>
      <c r="Q13" s="33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4922</v>
      </c>
      <c r="C14" s="65" t="s">
        <v>132</v>
      </c>
      <c r="D14" s="205" t="s">
        <v>128</v>
      </c>
      <c r="E14" s="181" t="s">
        <v>91</v>
      </c>
      <c r="F14" s="174">
        <v>1105</v>
      </c>
      <c r="G14" s="122" t="s">
        <v>133</v>
      </c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2" t="s">
        <v>134</v>
      </c>
      <c r="P14" s="331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33">
        <v>4923</v>
      </c>
      <c r="C15" s="65" t="s">
        <v>136</v>
      </c>
      <c r="D15" s="205" t="s">
        <v>135</v>
      </c>
      <c r="E15" s="181" t="s">
        <v>92</v>
      </c>
      <c r="F15" s="174">
        <v>1115</v>
      </c>
      <c r="G15" s="122" t="s">
        <v>120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2"/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4924</v>
      </c>
      <c r="C16" s="65" t="s">
        <v>137</v>
      </c>
      <c r="D16" s="205" t="s">
        <v>138</v>
      </c>
      <c r="E16" s="181" t="s">
        <v>92</v>
      </c>
      <c r="F16" s="174">
        <v>1115</v>
      </c>
      <c r="G16" s="122" t="s">
        <v>44</v>
      </c>
      <c r="H16" s="123"/>
      <c r="I16" s="124"/>
      <c r="J16" s="130">
        <v>110</v>
      </c>
      <c r="K16" s="130" t="str">
        <f t="shared" si="2"/>
        <v>0</v>
      </c>
      <c r="L16" s="131"/>
      <c r="M16" s="131"/>
      <c r="N16" s="134" t="s">
        <v>99</v>
      </c>
      <c r="O16" s="332" t="s">
        <v>139</v>
      </c>
      <c r="P16" s="331"/>
      <c r="Q16" s="333"/>
      <c r="R16" s="82">
        <f>H32/U16</f>
        <v>0.5298013245033113</v>
      </c>
      <c r="S16" s="83">
        <f>H32/(U16-U5)</f>
        <v>0.68376068376068377</v>
      </c>
      <c r="T16" s="83">
        <f>C32/U16</f>
        <v>39.602119205298017</v>
      </c>
      <c r="U16" s="83">
        <f>SUM(U5:U15)</f>
        <v>37.75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33">
        <v>4925</v>
      </c>
      <c r="C17" s="18" t="s">
        <v>141</v>
      </c>
      <c r="D17" s="203" t="s">
        <v>140</v>
      </c>
      <c r="E17" s="181" t="s">
        <v>92</v>
      </c>
      <c r="F17" s="66">
        <v>1230</v>
      </c>
      <c r="G17" s="121" t="s">
        <v>126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4926</v>
      </c>
      <c r="C18" s="18" t="s">
        <v>142</v>
      </c>
      <c r="D18" s="203" t="s">
        <v>143</v>
      </c>
      <c r="E18" s="181" t="s">
        <v>92</v>
      </c>
      <c r="F18" s="66">
        <v>1300</v>
      </c>
      <c r="G18" s="20" t="s">
        <v>123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33">
        <v>4927</v>
      </c>
      <c r="C19" s="18" t="s">
        <v>145</v>
      </c>
      <c r="D19" s="203" t="s">
        <v>144</v>
      </c>
      <c r="E19" s="181" t="s">
        <v>91</v>
      </c>
      <c r="F19" s="66">
        <v>1300</v>
      </c>
      <c r="G19" s="121" t="s">
        <v>123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2"/>
      <c r="P19" s="331"/>
      <c r="Q19" s="33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4928</v>
      </c>
      <c r="C20" s="18" t="s">
        <v>146</v>
      </c>
      <c r="D20" s="203" t="s">
        <v>147</v>
      </c>
      <c r="E20" s="181" t="s">
        <v>92</v>
      </c>
      <c r="F20" s="66">
        <v>1300</v>
      </c>
      <c r="G20" s="121" t="s">
        <v>44</v>
      </c>
      <c r="H20" s="123"/>
      <c r="I20" s="219"/>
      <c r="J20" s="130" t="str">
        <f t="shared" si="1"/>
        <v>55</v>
      </c>
      <c r="K20" s="221" t="str">
        <f t="shared" si="2"/>
        <v>0</v>
      </c>
      <c r="L20" s="220"/>
      <c r="M20" s="220"/>
      <c r="N20" s="134" t="s">
        <v>99</v>
      </c>
      <c r="O20" s="400" t="s">
        <v>148</v>
      </c>
      <c r="P20" s="401"/>
      <c r="Q20" s="40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33">
        <v>4929</v>
      </c>
      <c r="C21" s="18" t="s">
        <v>149</v>
      </c>
      <c r="D21" s="203" t="s">
        <v>150</v>
      </c>
      <c r="E21" s="181" t="s">
        <v>91</v>
      </c>
      <c r="F21" s="66">
        <v>1300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99</v>
      </c>
      <c r="O21" s="332" t="s">
        <v>151</v>
      </c>
      <c r="P21" s="331"/>
      <c r="Q21" s="33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4930</v>
      </c>
      <c r="C22" s="127" t="s">
        <v>156</v>
      </c>
      <c r="D22" s="206" t="s">
        <v>157</v>
      </c>
      <c r="E22" s="181" t="s">
        <v>91</v>
      </c>
      <c r="F22" s="175">
        <v>1315</v>
      </c>
      <c r="G22" s="214" t="s">
        <v>44</v>
      </c>
      <c r="H22" s="89"/>
      <c r="I22" s="141"/>
      <c r="J22" s="130" t="str">
        <f t="shared" si="1"/>
        <v>55</v>
      </c>
      <c r="K22" s="130" t="str">
        <f t="shared" si="2"/>
        <v>0</v>
      </c>
      <c r="L22" s="69"/>
      <c r="M22" s="69"/>
      <c r="N22" s="134" t="s">
        <v>99</v>
      </c>
      <c r="O22" s="332" t="s">
        <v>155</v>
      </c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4931</v>
      </c>
      <c r="C23" s="136" t="s">
        <v>152</v>
      </c>
      <c r="D23" s="207" t="s">
        <v>153</v>
      </c>
      <c r="E23" s="181" t="s">
        <v>92</v>
      </c>
      <c r="F23" s="176">
        <v>1345</v>
      </c>
      <c r="G23" s="165" t="s">
        <v>154</v>
      </c>
      <c r="H23" s="89"/>
      <c r="I23" s="141"/>
      <c r="J23" s="130" t="str">
        <f t="shared" si="1"/>
        <v>0</v>
      </c>
      <c r="K23" s="130">
        <v>62.5</v>
      </c>
      <c r="L23" s="126"/>
      <c r="M23" s="126"/>
      <c r="N23" s="126" t="s">
        <v>103</v>
      </c>
      <c r="O23" s="163" t="s">
        <v>158</v>
      </c>
      <c r="P23" s="164"/>
      <c r="Q23" s="159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4932</v>
      </c>
      <c r="C24" s="127" t="s">
        <v>159</v>
      </c>
      <c r="D24" s="206" t="s">
        <v>160</v>
      </c>
      <c r="E24" s="181" t="s">
        <v>92</v>
      </c>
      <c r="F24" s="175">
        <v>1520</v>
      </c>
      <c r="G24" s="214" t="s">
        <v>123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103</v>
      </c>
      <c r="O24" s="332"/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2"/>
      <c r="P25" s="331"/>
      <c r="Q25" s="333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402">
        <f>((C32+(R26+S26+T26)*0.5))</f>
        <v>1538.73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2"/>
      <c r="P26" s="331"/>
      <c r="Q26" s="333"/>
      <c r="R26" s="112">
        <f>R25*37.5</f>
        <v>37.5</v>
      </c>
      <c r="S26" s="102">
        <f>S25*41.5</f>
        <v>0</v>
      </c>
      <c r="T26" s="102">
        <f>T25*50</f>
        <v>50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2"/>
      <c r="P28" s="331"/>
      <c r="Q28" s="333"/>
      <c r="R28" s="388"/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11">
        <f t="shared" ref="H30:M30" si="3">SUM(H5:H29)</f>
        <v>55</v>
      </c>
      <c r="I30" s="105">
        <f>SUM(I5:I29)</f>
        <v>755</v>
      </c>
      <c r="J30" s="105">
        <f>J5+J6+J7+J8+J9+J10+J11+J12+J13+J14+J15+J16+J18+J19+J17+J20+J22+J23+J21+J24+J25+J26+J27+J28+J29</f>
        <v>385</v>
      </c>
      <c r="K30" s="105">
        <f>K5+K6+K7+K8+K9+K10+K11+K12+K13+K14+K15+K16+K18+K19+K17+K20+K22+K23+K21+K24+K25+K26+K27+K28+K29</f>
        <v>299.98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12">
        <f t="shared" ref="H31:J31" si="4">H30+H62+H94</f>
        <v>55</v>
      </c>
      <c r="I31" s="103">
        <f t="shared" si="4"/>
        <v>755</v>
      </c>
      <c r="J31" s="103">
        <f t="shared" si="4"/>
        <v>385</v>
      </c>
      <c r="K31" s="103">
        <f>K30+K62+K94</f>
        <v>299.98</v>
      </c>
      <c r="L31" s="97">
        <f>L30+L62+L94</f>
        <v>0</v>
      </c>
      <c r="M31" s="97">
        <f>M30+M62+M94</f>
        <v>0</v>
      </c>
      <c r="N31" s="217">
        <f>COUNT(H5:H29,H37:H61,H69:H93)</f>
        <v>1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5</v>
      </c>
      <c r="R31" s="98" t="s">
        <v>83</v>
      </c>
      <c r="S31" s="111">
        <f>H31+L31-U28-U29-U30</f>
        <v>55</v>
      </c>
      <c r="T31" s="371">
        <f>H31+I31+L31+M31</f>
        <v>810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1494.98</v>
      </c>
      <c r="D32" s="196"/>
      <c r="E32" s="107"/>
      <c r="F32" s="393" t="s">
        <v>53</v>
      </c>
      <c r="G32" s="393"/>
      <c r="H32" s="109">
        <f>COUNT(B5:B29,B37:B61,B69:B93)</f>
        <v>20</v>
      </c>
      <c r="I32" s="394" t="s">
        <v>54</v>
      </c>
      <c r="J32" s="394"/>
      <c r="K32" s="108">
        <f>C32/H32</f>
        <v>74.748999999999995</v>
      </c>
      <c r="L32" s="218"/>
      <c r="M32" s="218"/>
      <c r="N32" s="218">
        <f>H31/C32</f>
        <v>3.6789789829964281E-2</v>
      </c>
      <c r="O32" s="218">
        <f>I31/C32</f>
        <v>0.50502347857496421</v>
      </c>
      <c r="P32" s="218">
        <f>K31/C32</f>
        <v>0.20065820278532157</v>
      </c>
      <c r="Q32" s="110">
        <f>J31/C32</f>
        <v>0.25752852880974997</v>
      </c>
      <c r="R32" s="99" t="s">
        <v>82</v>
      </c>
      <c r="S32" s="213">
        <f>I31+M31</f>
        <v>755</v>
      </c>
      <c r="T32" s="373"/>
      <c r="U32" s="374"/>
      <c r="V32" s="55"/>
      <c r="W32" s="55"/>
      <c r="X32" s="56" t="s">
        <v>27</v>
      </c>
      <c r="Y32" s="56"/>
      <c r="Z32" s="54">
        <f>I31</f>
        <v>755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-1990</v>
      </c>
      <c r="AE33" s="37"/>
      <c r="AF33" s="37"/>
      <c r="AG33" s="59"/>
      <c r="AH33" s="37"/>
    </row>
    <row r="34" spans="1:34" ht="18" thickBot="1">
      <c r="A34" s="365" t="str">
        <f>A2</f>
        <v>30 - 5 - 2022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MIX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5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58" t="s">
        <v>8</v>
      </c>
      <c r="P36" s="358"/>
      <c r="Q36" s="358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2"/>
      <c r="P37" s="331"/>
      <c r="Q37" s="333"/>
      <c r="R37" s="60"/>
      <c r="S37" s="61"/>
      <c r="T37" s="61"/>
      <c r="U37" s="70"/>
    </row>
    <row r="38" spans="1:3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9"/>
      <c r="P38" s="360"/>
      <c r="Q38" s="36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2"/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0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30 - 5 - 2022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MIX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5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58" t="s">
        <v>8</v>
      </c>
      <c r="P68" s="358"/>
      <c r="Q68" s="358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O16" sqref="O16:Q16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161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162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6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67" t="s">
        <v>21</v>
      </c>
      <c r="C4" s="167" t="s">
        <v>7</v>
      </c>
      <c r="D4" s="194" t="s">
        <v>88</v>
      </c>
      <c r="E4" s="167" t="s">
        <v>89</v>
      </c>
      <c r="F4" s="267" t="s">
        <v>25</v>
      </c>
      <c r="G4" s="267" t="s">
        <v>1</v>
      </c>
      <c r="H4" s="267" t="s">
        <v>22</v>
      </c>
      <c r="I4" s="267" t="s">
        <v>20</v>
      </c>
      <c r="J4" s="267" t="s">
        <v>44</v>
      </c>
      <c r="K4" s="267" t="s">
        <v>45</v>
      </c>
      <c r="L4" s="267" t="s">
        <v>47</v>
      </c>
      <c r="M4" s="267" t="s">
        <v>46</v>
      </c>
      <c r="N4" s="267" t="s">
        <v>2</v>
      </c>
      <c r="O4" s="358" t="s">
        <v>8</v>
      </c>
      <c r="P4" s="358"/>
      <c r="Q4" s="358"/>
      <c r="R4" s="267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E4" s="35" t="s">
        <v>32</v>
      </c>
      <c r="AF4" s="35" t="s">
        <v>35</v>
      </c>
      <c r="AG4" s="35" t="s">
        <v>36</v>
      </c>
      <c r="AK4" s="35" t="s">
        <v>38</v>
      </c>
      <c r="AL4" s="35" t="s">
        <v>35</v>
      </c>
      <c r="AM4" s="35" t="s">
        <v>36</v>
      </c>
      <c r="AP4" s="35" t="s">
        <v>38</v>
      </c>
      <c r="AQ4" s="35" t="s">
        <v>35</v>
      </c>
      <c r="AR4" s="35" t="s">
        <v>36</v>
      </c>
    </row>
    <row r="5" spans="1:44" ht="16.5" customHeight="1">
      <c r="A5" s="128">
        <v>1</v>
      </c>
      <c r="B5" s="275">
        <v>4933</v>
      </c>
      <c r="C5" s="68" t="s">
        <v>163</v>
      </c>
      <c r="D5" s="200" t="s">
        <v>164</v>
      </c>
      <c r="E5" s="181" t="s">
        <v>92</v>
      </c>
      <c r="F5" s="170">
        <v>850</v>
      </c>
      <c r="G5" s="118" t="s">
        <v>120</v>
      </c>
      <c r="H5" s="91"/>
      <c r="I5" s="276">
        <v>95</v>
      </c>
      <c r="J5" s="277" t="str">
        <f>IF(G5="RSL","55","0")</f>
        <v>0</v>
      </c>
      <c r="K5" s="277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4"/>
      <c r="P5" s="405"/>
      <c r="Q5" s="406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278"/>
      <c r="AD5" s="166">
        <v>16</v>
      </c>
      <c r="AE5" s="23"/>
      <c r="AF5" s="23"/>
      <c r="AG5" s="23"/>
      <c r="AI5" s="166" t="s">
        <v>43</v>
      </c>
      <c r="AJ5" s="166">
        <v>1</v>
      </c>
      <c r="AK5" s="158"/>
      <c r="AL5" s="158"/>
      <c r="AM5" s="158"/>
      <c r="AN5" s="27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279">
        <v>4934</v>
      </c>
      <c r="C6" s="67" t="s">
        <v>165</v>
      </c>
      <c r="D6" s="200" t="s">
        <v>166</v>
      </c>
      <c r="E6" s="181" t="s">
        <v>92</v>
      </c>
      <c r="F6" s="171">
        <v>910</v>
      </c>
      <c r="G6" s="118" t="s">
        <v>44</v>
      </c>
      <c r="H6" s="91">
        <v>10</v>
      </c>
      <c r="I6" s="276"/>
      <c r="J6" s="277">
        <v>110</v>
      </c>
      <c r="K6" s="277" t="str">
        <f t="shared" ref="K6:K29" si="1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9" t="s">
        <v>167</v>
      </c>
      <c r="P6" s="360"/>
      <c r="Q6" s="361"/>
      <c r="R6" s="132" t="s">
        <v>100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278"/>
      <c r="AD6" s="166">
        <v>17</v>
      </c>
      <c r="AE6" s="23"/>
      <c r="AF6" s="23"/>
      <c r="AG6" s="23"/>
      <c r="AI6" s="166"/>
      <c r="AJ6" s="166">
        <v>2</v>
      </c>
      <c r="AK6" s="158"/>
      <c r="AL6" s="158"/>
      <c r="AM6" s="158"/>
      <c r="AN6" s="27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275">
        <v>4935</v>
      </c>
      <c r="C7" s="67" t="s">
        <v>168</v>
      </c>
      <c r="D7" s="200" t="s">
        <v>169</v>
      </c>
      <c r="E7" s="181" t="s">
        <v>92</v>
      </c>
      <c r="F7" s="171">
        <v>910</v>
      </c>
      <c r="G7" s="118" t="s">
        <v>123</v>
      </c>
      <c r="H7" s="91"/>
      <c r="I7" s="276">
        <v>55</v>
      </c>
      <c r="J7" s="277" t="str">
        <f t="shared" ref="J7:J29" si="2">IF(G7="RSL","55","0")</f>
        <v>0</v>
      </c>
      <c r="K7" s="277" t="str">
        <f t="shared" si="1"/>
        <v>0</v>
      </c>
      <c r="L7" s="131"/>
      <c r="M7" s="131"/>
      <c r="N7" s="134" t="s">
        <v>99</v>
      </c>
      <c r="O7" s="332"/>
      <c r="P7" s="331"/>
      <c r="Q7" s="333"/>
      <c r="R7" s="134" t="s">
        <v>101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278"/>
      <c r="AD7" s="166">
        <v>18</v>
      </c>
      <c r="AE7" s="23"/>
      <c r="AF7" s="23"/>
      <c r="AG7" s="23"/>
      <c r="AJ7" s="166">
        <v>3</v>
      </c>
      <c r="AK7" s="158"/>
      <c r="AL7" s="158"/>
      <c r="AM7" s="158"/>
      <c r="AN7" s="27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279">
        <v>4936</v>
      </c>
      <c r="C8" s="27" t="s">
        <v>170</v>
      </c>
      <c r="D8" s="200" t="s">
        <v>171</v>
      </c>
      <c r="E8" s="181" t="s">
        <v>92</v>
      </c>
      <c r="F8" s="171">
        <v>930</v>
      </c>
      <c r="G8" s="118" t="s">
        <v>123</v>
      </c>
      <c r="H8" s="91">
        <v>55</v>
      </c>
      <c r="I8" s="276"/>
      <c r="J8" s="277" t="str">
        <f t="shared" si="2"/>
        <v>0</v>
      </c>
      <c r="K8" s="277" t="str">
        <f t="shared" si="1"/>
        <v>0</v>
      </c>
      <c r="L8" s="131"/>
      <c r="M8" s="131"/>
      <c r="N8" s="134" t="s">
        <v>99</v>
      </c>
      <c r="O8" s="362"/>
      <c r="P8" s="363"/>
      <c r="Q8" s="364"/>
      <c r="R8" s="26" t="s">
        <v>172</v>
      </c>
      <c r="S8" s="31">
        <v>0.375</v>
      </c>
      <c r="T8" s="32">
        <v>0.71875</v>
      </c>
      <c r="U8" s="92">
        <f t="shared" si="0"/>
        <v>8.25</v>
      </c>
      <c r="Y8" s="166">
        <v>4</v>
      </c>
      <c r="Z8" s="23"/>
      <c r="AA8" s="23"/>
      <c r="AB8" s="23"/>
      <c r="AC8" s="278"/>
      <c r="AD8" s="166">
        <v>19</v>
      </c>
      <c r="AE8" s="23"/>
      <c r="AF8" s="23"/>
      <c r="AG8" s="23"/>
      <c r="AJ8" s="166">
        <v>4</v>
      </c>
      <c r="AK8" s="158"/>
      <c r="AL8" s="158"/>
      <c r="AM8" s="158"/>
      <c r="AN8" s="278"/>
      <c r="AO8" s="166">
        <v>19</v>
      </c>
      <c r="AP8" s="158"/>
      <c r="AQ8" s="158"/>
      <c r="AR8" s="158"/>
    </row>
    <row r="9" spans="1:44" ht="16.5" customHeight="1">
      <c r="A9" s="280">
        <v>5</v>
      </c>
      <c r="B9" s="281">
        <v>4937</v>
      </c>
      <c r="C9" s="282" t="s">
        <v>173</v>
      </c>
      <c r="D9" s="283" t="s">
        <v>174</v>
      </c>
      <c r="E9" s="284" t="s">
        <v>92</v>
      </c>
      <c r="F9" s="285">
        <v>930</v>
      </c>
      <c r="G9" s="286" t="s">
        <v>175</v>
      </c>
      <c r="H9" s="287"/>
      <c r="I9" s="287">
        <v>300</v>
      </c>
      <c r="J9" s="287" t="str">
        <f t="shared" si="2"/>
        <v>0</v>
      </c>
      <c r="K9" s="287" t="str">
        <f t="shared" si="1"/>
        <v>0</v>
      </c>
      <c r="L9" s="288"/>
      <c r="M9" s="288"/>
      <c r="N9" s="282" t="s">
        <v>99</v>
      </c>
      <c r="O9" s="407" t="s">
        <v>80</v>
      </c>
      <c r="P9" s="408"/>
      <c r="Q9" s="409"/>
      <c r="R9" s="26" t="s">
        <v>102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278"/>
      <c r="AD9" s="166">
        <v>20</v>
      </c>
      <c r="AE9" s="23"/>
      <c r="AF9" s="23"/>
      <c r="AG9" s="23"/>
      <c r="AJ9" s="166">
        <v>5</v>
      </c>
      <c r="AK9" s="158"/>
      <c r="AL9" s="158"/>
      <c r="AM9" s="158"/>
      <c r="AN9" s="27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279">
        <v>4938</v>
      </c>
      <c r="C10" s="28" t="s">
        <v>176</v>
      </c>
      <c r="D10" s="202" t="s">
        <v>177</v>
      </c>
      <c r="E10" s="181" t="s">
        <v>92</v>
      </c>
      <c r="F10" s="173">
        <v>1015</v>
      </c>
      <c r="G10" s="120" t="s">
        <v>120</v>
      </c>
      <c r="H10" s="123"/>
      <c r="I10" s="289">
        <v>95</v>
      </c>
      <c r="J10" s="277" t="str">
        <f t="shared" si="2"/>
        <v>0</v>
      </c>
      <c r="K10" s="277" t="str">
        <f t="shared" si="1"/>
        <v>0</v>
      </c>
      <c r="L10" s="131"/>
      <c r="M10" s="131"/>
      <c r="N10" s="134" t="s">
        <v>99</v>
      </c>
      <c r="O10" s="354"/>
      <c r="P10" s="355"/>
      <c r="Q10" s="356"/>
      <c r="R10" s="26" t="s">
        <v>103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278"/>
      <c r="AD10" s="166">
        <v>21</v>
      </c>
      <c r="AE10" s="23"/>
      <c r="AF10" s="23"/>
      <c r="AG10" s="23"/>
      <c r="AI10" s="39"/>
      <c r="AJ10" s="166">
        <v>6</v>
      </c>
      <c r="AK10" s="158"/>
      <c r="AL10" s="158"/>
      <c r="AM10" s="158"/>
      <c r="AN10" s="27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275">
        <v>4939</v>
      </c>
      <c r="C11" s="18" t="s">
        <v>178</v>
      </c>
      <c r="D11" s="203" t="s">
        <v>179</v>
      </c>
      <c r="E11" s="181" t="s">
        <v>92</v>
      </c>
      <c r="F11" s="66">
        <v>1035</v>
      </c>
      <c r="G11" s="121" t="s">
        <v>44</v>
      </c>
      <c r="H11" s="123"/>
      <c r="I11" s="276"/>
      <c r="J11" s="277" t="str">
        <f t="shared" si="2"/>
        <v>55</v>
      </c>
      <c r="K11" s="277" t="str">
        <f t="shared" si="1"/>
        <v>0</v>
      </c>
      <c r="L11" s="131"/>
      <c r="M11" s="131"/>
      <c r="N11" s="134" t="s">
        <v>99</v>
      </c>
      <c r="O11" s="332" t="s">
        <v>180</v>
      </c>
      <c r="P11" s="331"/>
      <c r="Q11" s="33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278"/>
      <c r="AD11" s="166">
        <v>22</v>
      </c>
      <c r="AE11" s="23"/>
      <c r="AF11" s="23"/>
      <c r="AG11" s="23"/>
      <c r="AJ11" s="166">
        <v>7</v>
      </c>
      <c r="AK11" s="158"/>
      <c r="AL11" s="158"/>
      <c r="AM11" s="158"/>
      <c r="AN11" s="278"/>
      <c r="AO11" s="166">
        <v>22</v>
      </c>
      <c r="AP11" s="158"/>
      <c r="AQ11" s="158"/>
      <c r="AR11" s="158"/>
    </row>
    <row r="12" spans="1:44" ht="16.5" customHeight="1">
      <c r="A12" s="280">
        <v>8</v>
      </c>
      <c r="B12" s="286">
        <v>4940</v>
      </c>
      <c r="C12" s="290" t="s">
        <v>181</v>
      </c>
      <c r="D12" s="291" t="s">
        <v>182</v>
      </c>
      <c r="E12" s="284" t="s">
        <v>92</v>
      </c>
      <c r="F12" s="292">
        <v>1145</v>
      </c>
      <c r="G12" s="286" t="s">
        <v>183</v>
      </c>
      <c r="H12" s="293"/>
      <c r="I12" s="293">
        <v>500</v>
      </c>
      <c r="J12" s="287" t="str">
        <f t="shared" si="2"/>
        <v>0</v>
      </c>
      <c r="K12" s="287" t="str">
        <f t="shared" si="1"/>
        <v>0</v>
      </c>
      <c r="L12" s="288"/>
      <c r="M12" s="288"/>
      <c r="N12" s="282" t="s">
        <v>99</v>
      </c>
      <c r="O12" s="407" t="s">
        <v>80</v>
      </c>
      <c r="P12" s="408"/>
      <c r="Q12" s="4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278"/>
      <c r="AD12" s="166">
        <v>23</v>
      </c>
      <c r="AE12" s="23"/>
      <c r="AF12" s="23"/>
      <c r="AG12" s="23"/>
      <c r="AJ12" s="166">
        <v>8</v>
      </c>
      <c r="AK12" s="158"/>
      <c r="AL12" s="158"/>
      <c r="AM12" s="158"/>
      <c r="AN12" s="27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275">
        <v>4941</v>
      </c>
      <c r="C13" s="64" t="s">
        <v>184</v>
      </c>
      <c r="D13" s="204" t="s">
        <v>185</v>
      </c>
      <c r="E13" s="181" t="s">
        <v>92</v>
      </c>
      <c r="F13" s="173">
        <v>1050</v>
      </c>
      <c r="G13" s="119" t="s">
        <v>126</v>
      </c>
      <c r="H13" s="169">
        <v>150</v>
      </c>
      <c r="I13" s="294"/>
      <c r="J13" s="277" t="str">
        <f t="shared" si="2"/>
        <v>0</v>
      </c>
      <c r="K13" s="277" t="str">
        <f t="shared" si="1"/>
        <v>0</v>
      </c>
      <c r="L13" s="131"/>
      <c r="M13" s="131"/>
      <c r="N13" s="134" t="s">
        <v>99</v>
      </c>
      <c r="O13" s="332"/>
      <c r="P13" s="331"/>
      <c r="Q13" s="333"/>
      <c r="R13" s="33"/>
      <c r="S13" s="31"/>
      <c r="T13" s="32"/>
      <c r="U13" s="92">
        <f t="shared" si="0"/>
        <v>0</v>
      </c>
      <c r="Y13" s="166">
        <v>9</v>
      </c>
      <c r="Z13" s="23"/>
      <c r="AA13" s="23"/>
      <c r="AB13" s="23"/>
      <c r="AC13" s="278"/>
      <c r="AD13" s="166">
        <v>24</v>
      </c>
      <c r="AE13" s="23"/>
      <c r="AF13" s="23"/>
      <c r="AG13" s="23"/>
      <c r="AJ13" s="166">
        <v>9</v>
      </c>
      <c r="AK13" s="158"/>
      <c r="AL13" s="158"/>
      <c r="AM13" s="158"/>
      <c r="AN13" s="27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279">
        <v>4942</v>
      </c>
      <c r="C14" s="65" t="s">
        <v>186</v>
      </c>
      <c r="D14" s="205" t="s">
        <v>187</v>
      </c>
      <c r="E14" s="181" t="s">
        <v>92</v>
      </c>
      <c r="F14" s="174">
        <v>1050</v>
      </c>
      <c r="G14" s="122" t="s">
        <v>120</v>
      </c>
      <c r="H14" s="123"/>
      <c r="I14" s="289">
        <v>95</v>
      </c>
      <c r="J14" s="277" t="str">
        <f t="shared" si="2"/>
        <v>0</v>
      </c>
      <c r="K14" s="277" t="str">
        <f t="shared" si="1"/>
        <v>0</v>
      </c>
      <c r="L14" s="131"/>
      <c r="M14" s="131"/>
      <c r="N14" s="134" t="s">
        <v>99</v>
      </c>
      <c r="O14" s="332"/>
      <c r="P14" s="331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278"/>
      <c r="AD14" s="166">
        <v>25</v>
      </c>
      <c r="AE14" s="23"/>
      <c r="AF14" s="23"/>
      <c r="AG14" s="23"/>
      <c r="AJ14" s="166">
        <v>10</v>
      </c>
      <c r="AK14" s="158"/>
      <c r="AL14" s="158"/>
      <c r="AM14" s="158"/>
      <c r="AN14" s="27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275">
        <v>4943</v>
      </c>
      <c r="C15" s="65" t="s">
        <v>188</v>
      </c>
      <c r="D15" s="205" t="s">
        <v>189</v>
      </c>
      <c r="E15" s="181" t="s">
        <v>91</v>
      </c>
      <c r="F15" s="174">
        <v>1115</v>
      </c>
      <c r="G15" s="122" t="s">
        <v>120</v>
      </c>
      <c r="H15" s="123"/>
      <c r="I15" s="276">
        <v>75</v>
      </c>
      <c r="J15" s="277" t="str">
        <f t="shared" si="2"/>
        <v>0</v>
      </c>
      <c r="K15" s="277" t="str">
        <f t="shared" si="1"/>
        <v>0</v>
      </c>
      <c r="L15" s="131"/>
      <c r="M15" s="131"/>
      <c r="N15" s="134" t="s">
        <v>99</v>
      </c>
      <c r="O15" s="332"/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278"/>
      <c r="AD15" s="166">
        <v>26</v>
      </c>
      <c r="AE15" s="23"/>
      <c r="AF15" s="23"/>
      <c r="AG15" s="23"/>
      <c r="AJ15" s="166">
        <v>11</v>
      </c>
      <c r="AK15" s="158"/>
      <c r="AL15" s="158"/>
      <c r="AM15" s="158"/>
      <c r="AN15" s="27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279">
        <v>4944</v>
      </c>
      <c r="C16" s="65" t="s">
        <v>190</v>
      </c>
      <c r="D16" s="205" t="s">
        <v>191</v>
      </c>
      <c r="E16" s="181" t="s">
        <v>92</v>
      </c>
      <c r="F16" s="174">
        <v>1115</v>
      </c>
      <c r="G16" s="122" t="s">
        <v>123</v>
      </c>
      <c r="H16" s="123"/>
      <c r="I16" s="276">
        <v>55</v>
      </c>
      <c r="J16" s="277" t="str">
        <f t="shared" si="2"/>
        <v>0</v>
      </c>
      <c r="K16" s="277" t="str">
        <f t="shared" si="1"/>
        <v>0</v>
      </c>
      <c r="L16" s="131"/>
      <c r="M16" s="131"/>
      <c r="N16" s="134" t="s">
        <v>99</v>
      </c>
      <c r="O16" s="332"/>
      <c r="P16" s="331"/>
      <c r="Q16" s="333"/>
      <c r="R16" s="82">
        <f>H32/U16</f>
        <v>0.52631578947368418</v>
      </c>
      <c r="S16" s="83">
        <f>H32/(U16-U5)</f>
        <v>0.65359477124183007</v>
      </c>
      <c r="T16" s="83">
        <f>C32/U16</f>
        <v>59.508631578947366</v>
      </c>
      <c r="U16" s="83">
        <f>SUM(U5:U15)</f>
        <v>47.5</v>
      </c>
      <c r="Y16" s="166">
        <v>12</v>
      </c>
      <c r="Z16" s="23"/>
      <c r="AA16" s="23"/>
      <c r="AB16" s="23"/>
      <c r="AC16" s="278"/>
      <c r="AD16" s="166">
        <v>27</v>
      </c>
      <c r="AE16" s="23"/>
      <c r="AF16" s="23"/>
      <c r="AG16" s="23"/>
      <c r="AJ16" s="166">
        <v>12</v>
      </c>
      <c r="AK16" s="158"/>
      <c r="AL16" s="158"/>
      <c r="AM16" s="158"/>
      <c r="AN16" s="27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275">
        <v>4945</v>
      </c>
      <c r="C17" s="18" t="s">
        <v>192</v>
      </c>
      <c r="D17" s="203" t="s">
        <v>193</v>
      </c>
      <c r="E17" s="181" t="s">
        <v>92</v>
      </c>
      <c r="F17" s="66">
        <v>1200</v>
      </c>
      <c r="G17" s="121" t="s">
        <v>123</v>
      </c>
      <c r="H17" s="123"/>
      <c r="I17" s="276">
        <v>75</v>
      </c>
      <c r="J17" s="277" t="str">
        <f t="shared" si="2"/>
        <v>0</v>
      </c>
      <c r="K17" s="277" t="str">
        <f t="shared" si="1"/>
        <v>0</v>
      </c>
      <c r="L17" s="131"/>
      <c r="M17" s="131"/>
      <c r="N17" s="134" t="s">
        <v>99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278"/>
      <c r="AD17" s="166">
        <v>28</v>
      </c>
      <c r="AE17" s="23"/>
      <c r="AF17" s="23"/>
      <c r="AG17" s="23"/>
      <c r="AJ17" s="166">
        <v>13</v>
      </c>
      <c r="AK17" s="158"/>
      <c r="AL17" s="158"/>
      <c r="AM17" s="158"/>
      <c r="AN17" s="27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279">
        <v>4946</v>
      </c>
      <c r="C18" s="18" t="s">
        <v>194</v>
      </c>
      <c r="D18" s="203" t="s">
        <v>195</v>
      </c>
      <c r="E18" s="181" t="s">
        <v>91</v>
      </c>
      <c r="F18" s="66">
        <v>1200</v>
      </c>
      <c r="G18" s="20" t="s">
        <v>123</v>
      </c>
      <c r="H18" s="123"/>
      <c r="I18" s="276">
        <v>75</v>
      </c>
      <c r="J18" s="277" t="str">
        <f t="shared" si="2"/>
        <v>0</v>
      </c>
      <c r="K18" s="277" t="str">
        <f t="shared" si="1"/>
        <v>0</v>
      </c>
      <c r="L18" s="131"/>
      <c r="M18" s="131"/>
      <c r="N18" s="134" t="s">
        <v>99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278"/>
      <c r="AD18" s="166">
        <v>29</v>
      </c>
      <c r="AE18" s="23"/>
      <c r="AF18" s="23"/>
      <c r="AG18" s="23"/>
      <c r="AJ18" s="166">
        <v>14</v>
      </c>
      <c r="AK18" s="158"/>
      <c r="AL18" s="158"/>
      <c r="AM18" s="158"/>
      <c r="AN18" s="27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275">
        <v>4947</v>
      </c>
      <c r="C19" s="18" t="s">
        <v>196</v>
      </c>
      <c r="D19" s="203" t="s">
        <v>197</v>
      </c>
      <c r="E19" s="181" t="s">
        <v>92</v>
      </c>
      <c r="F19" s="66">
        <v>1200</v>
      </c>
      <c r="G19" s="121" t="s">
        <v>44</v>
      </c>
      <c r="H19" s="123"/>
      <c r="I19" s="276"/>
      <c r="J19" s="277" t="str">
        <f t="shared" si="2"/>
        <v>55</v>
      </c>
      <c r="K19" s="277" t="str">
        <f t="shared" si="1"/>
        <v>0</v>
      </c>
      <c r="L19" s="131"/>
      <c r="M19" s="131"/>
      <c r="N19" s="134" t="s">
        <v>99</v>
      </c>
      <c r="O19" s="332" t="s">
        <v>198</v>
      </c>
      <c r="P19" s="331"/>
      <c r="Q19" s="331"/>
      <c r="R19" s="93" t="s">
        <v>45</v>
      </c>
      <c r="S19" s="94">
        <f>COUNT(L5:M29,L37:M61,L69:M93)</f>
        <v>1</v>
      </c>
      <c r="T19" s="116">
        <f>SUM(L5:M29,L37:M61,L69:M93)</f>
        <v>425</v>
      </c>
      <c r="U19" s="95"/>
      <c r="Y19" s="166">
        <v>15</v>
      </c>
      <c r="Z19" s="23"/>
      <c r="AA19" s="23"/>
      <c r="AB19" s="23"/>
      <c r="AC19" s="278"/>
      <c r="AD19" s="166">
        <v>30</v>
      </c>
      <c r="AE19" s="23"/>
      <c r="AF19" s="23"/>
      <c r="AG19" s="23"/>
      <c r="AH19" s="39"/>
      <c r="AJ19" s="166">
        <v>15</v>
      </c>
      <c r="AK19" s="158"/>
      <c r="AL19" s="158"/>
      <c r="AM19" s="158"/>
      <c r="AN19" s="278"/>
      <c r="AO19" s="166">
        <v>30</v>
      </c>
      <c r="AP19" s="158"/>
      <c r="AQ19" s="158"/>
      <c r="AR19" s="158"/>
    </row>
    <row r="20" spans="1:44" ht="16.5" customHeight="1">
      <c r="A20" s="280">
        <v>16</v>
      </c>
      <c r="B20" s="286">
        <v>4948</v>
      </c>
      <c r="C20" s="295" t="s">
        <v>199</v>
      </c>
      <c r="D20" s="296" t="s">
        <v>200</v>
      </c>
      <c r="E20" s="284" t="s">
        <v>92</v>
      </c>
      <c r="F20" s="297">
        <v>1215</v>
      </c>
      <c r="G20" s="298" t="s">
        <v>44</v>
      </c>
      <c r="H20" s="293"/>
      <c r="I20" s="287"/>
      <c r="J20" s="287">
        <v>220</v>
      </c>
      <c r="K20" s="287" t="str">
        <f t="shared" si="1"/>
        <v>0</v>
      </c>
      <c r="L20" s="288"/>
      <c r="M20" s="288"/>
      <c r="N20" s="282" t="s">
        <v>99</v>
      </c>
      <c r="O20" s="407" t="s">
        <v>201</v>
      </c>
      <c r="P20" s="408"/>
      <c r="Q20" s="408"/>
      <c r="R20" s="137"/>
      <c r="S20" s="138"/>
      <c r="T20" s="139"/>
      <c r="U20" s="140"/>
      <c r="X20" s="299"/>
      <c r="Y20" s="166"/>
      <c r="Z20" s="299"/>
      <c r="AD20" s="166">
        <v>31</v>
      </c>
      <c r="AE20" s="23"/>
      <c r="AF20" s="23"/>
      <c r="AG20" s="23"/>
      <c r="AI20" s="299"/>
      <c r="AJ20" s="166"/>
      <c r="AK20" s="299"/>
      <c r="AO20" s="166">
        <v>31</v>
      </c>
      <c r="AP20" s="158"/>
      <c r="AQ20" s="278"/>
      <c r="AR20" s="158"/>
    </row>
    <row r="21" spans="1:44" ht="16.5" customHeight="1">
      <c r="A21" s="280">
        <v>17</v>
      </c>
      <c r="B21" s="281">
        <v>4949</v>
      </c>
      <c r="C21" s="295" t="s">
        <v>202</v>
      </c>
      <c r="D21" s="296" t="s">
        <v>203</v>
      </c>
      <c r="E21" s="284" t="s">
        <v>92</v>
      </c>
      <c r="F21" s="297">
        <v>1245</v>
      </c>
      <c r="G21" s="286" t="s">
        <v>154</v>
      </c>
      <c r="H21" s="293"/>
      <c r="I21" s="287"/>
      <c r="J21" s="287"/>
      <c r="K21" s="287">
        <v>62.5</v>
      </c>
      <c r="L21" s="288"/>
      <c r="M21" s="288">
        <v>425</v>
      </c>
      <c r="N21" s="282" t="s">
        <v>99</v>
      </c>
      <c r="O21" s="407" t="s">
        <v>204</v>
      </c>
      <c r="P21" s="408"/>
      <c r="Q21" s="408"/>
      <c r="R21" s="113"/>
      <c r="S21" s="161"/>
      <c r="T21" s="160"/>
      <c r="U21" s="115"/>
      <c r="X21" s="44"/>
      <c r="Z21" s="55"/>
      <c r="AK21" s="55"/>
    </row>
    <row r="22" spans="1:44" ht="16.5" customHeight="1">
      <c r="A22" s="142">
        <v>18</v>
      </c>
      <c r="B22" s="279">
        <v>4950</v>
      </c>
      <c r="C22" s="127" t="s">
        <v>205</v>
      </c>
      <c r="D22" s="206" t="s">
        <v>206</v>
      </c>
      <c r="E22" s="181" t="s">
        <v>91</v>
      </c>
      <c r="F22" s="175">
        <v>1300</v>
      </c>
      <c r="G22" s="271" t="s">
        <v>44</v>
      </c>
      <c r="H22" s="89"/>
      <c r="I22" s="300"/>
      <c r="J22" s="277">
        <v>110</v>
      </c>
      <c r="K22" s="277" t="str">
        <f t="shared" si="1"/>
        <v>0</v>
      </c>
      <c r="L22" s="69"/>
      <c r="M22" s="69"/>
      <c r="N22" s="134" t="s">
        <v>99</v>
      </c>
      <c r="O22" s="332" t="s">
        <v>207</v>
      </c>
      <c r="P22" s="331"/>
      <c r="Q22" s="333"/>
      <c r="R22" s="113"/>
      <c r="S22" s="114"/>
      <c r="T22" s="114"/>
      <c r="U22" s="115"/>
      <c r="AD22" s="35" t="s">
        <v>34</v>
      </c>
      <c r="AE22" s="45">
        <f>SUM(Z5:Z19,AE5:AE20)</f>
        <v>0</v>
      </c>
      <c r="AF22" s="45">
        <f>SUM(AA5:AA19,AF5:AF20,)</f>
        <v>0</v>
      </c>
      <c r="AG22" s="45">
        <f>SUM(AB5:AB19,AG5:AG20)</f>
        <v>0</v>
      </c>
      <c r="AI22" s="35" t="s">
        <v>6</v>
      </c>
      <c r="AO22" s="35" t="s">
        <v>34</v>
      </c>
      <c r="AP22" s="45">
        <f>SUM(AK5:AK19,AP5:AP20)</f>
        <v>0</v>
      </c>
      <c r="AQ22" s="45">
        <f>SUM(AL5:AL19,AQ5:AQ20,)</f>
        <v>0</v>
      </c>
      <c r="AR22" s="45">
        <f>SUM(AM5:AM19,AR5:AR20)</f>
        <v>0</v>
      </c>
    </row>
    <row r="23" spans="1:44" ht="16.5" customHeight="1" thickBot="1">
      <c r="A23" s="280">
        <v>19</v>
      </c>
      <c r="B23" s="281">
        <v>4951</v>
      </c>
      <c r="C23" s="290" t="s">
        <v>208</v>
      </c>
      <c r="D23" s="291" t="s">
        <v>209</v>
      </c>
      <c r="E23" s="284" t="s">
        <v>92</v>
      </c>
      <c r="F23" s="292">
        <v>1315</v>
      </c>
      <c r="G23" s="286" t="s">
        <v>210</v>
      </c>
      <c r="H23" s="293"/>
      <c r="I23" s="293">
        <v>200</v>
      </c>
      <c r="J23" s="287" t="str">
        <f t="shared" si="2"/>
        <v>0</v>
      </c>
      <c r="K23" s="287" t="str">
        <f t="shared" si="1"/>
        <v>0</v>
      </c>
      <c r="L23" s="287"/>
      <c r="M23" s="287"/>
      <c r="N23" s="287" t="s">
        <v>99</v>
      </c>
      <c r="O23" s="301"/>
      <c r="P23" s="302" t="s">
        <v>78</v>
      </c>
      <c r="Q23" s="303"/>
      <c r="R23" s="113"/>
      <c r="S23" s="114"/>
      <c r="T23" s="114"/>
      <c r="U23" s="115"/>
      <c r="X23" s="410"/>
      <c r="Y23" s="411"/>
      <c r="Z23" s="411"/>
    </row>
    <row r="24" spans="1:44" ht="16.5" customHeight="1" thickBot="1">
      <c r="A24" s="135">
        <v>20</v>
      </c>
      <c r="B24" s="279">
        <v>4952</v>
      </c>
      <c r="C24" s="127" t="s">
        <v>211</v>
      </c>
      <c r="D24" s="206" t="s">
        <v>212</v>
      </c>
      <c r="E24" s="181" t="s">
        <v>92</v>
      </c>
      <c r="F24" s="175">
        <v>1415</v>
      </c>
      <c r="G24" s="271" t="s">
        <v>44</v>
      </c>
      <c r="H24" s="89"/>
      <c r="I24" s="300"/>
      <c r="J24" s="277" t="str">
        <f t="shared" si="2"/>
        <v>55</v>
      </c>
      <c r="K24" s="277" t="str">
        <f t="shared" si="1"/>
        <v>0</v>
      </c>
      <c r="L24" s="69"/>
      <c r="M24" s="69"/>
      <c r="N24" s="134" t="s">
        <v>99</v>
      </c>
      <c r="O24" s="332" t="s">
        <v>213</v>
      </c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127" t="s">
        <v>32</v>
      </c>
      <c r="AF24" s="127" t="s">
        <v>38</v>
      </c>
      <c r="AG24" s="127" t="s">
        <v>35</v>
      </c>
      <c r="AH24" s="127" t="s">
        <v>40</v>
      </c>
      <c r="AI24" s="127" t="s">
        <v>5</v>
      </c>
    </row>
    <row r="25" spans="1:44" ht="16.5" customHeight="1">
      <c r="A25" s="135">
        <v>21</v>
      </c>
      <c r="B25" s="275">
        <v>4953</v>
      </c>
      <c r="C25" s="132" t="s">
        <v>214</v>
      </c>
      <c r="D25" s="208" t="s">
        <v>215</v>
      </c>
      <c r="E25" s="181" t="s">
        <v>91</v>
      </c>
      <c r="F25" s="175">
        <v>1430</v>
      </c>
      <c r="G25" s="271" t="s">
        <v>44</v>
      </c>
      <c r="H25" s="90"/>
      <c r="I25" s="90"/>
      <c r="J25" s="277" t="str">
        <f t="shared" si="2"/>
        <v>55</v>
      </c>
      <c r="K25" s="277" t="str">
        <f t="shared" si="1"/>
        <v>0</v>
      </c>
      <c r="L25" s="69"/>
      <c r="M25" s="69"/>
      <c r="N25" s="134" t="s">
        <v>103</v>
      </c>
      <c r="O25" s="332" t="s">
        <v>216</v>
      </c>
      <c r="P25" s="331"/>
      <c r="Q25" s="33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2">
        <f>((C32+(R26+S26+T26)*0.5))</f>
        <v>2826.66</v>
      </c>
      <c r="AD25" s="25">
        <f>SUM(AE25:AF25)</f>
        <v>0</v>
      </c>
      <c r="AE25" s="45">
        <f>SUM(AE22)</f>
        <v>0</v>
      </c>
      <c r="AF25" s="45">
        <f>SUM(AP22)</f>
        <v>0</v>
      </c>
      <c r="AG25" s="45">
        <f>SUM(AF22+AQ22)</f>
        <v>0</v>
      </c>
      <c r="AH25" s="45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279">
        <v>4954</v>
      </c>
      <c r="C26" s="27" t="s">
        <v>217</v>
      </c>
      <c r="D26" s="209" t="s">
        <v>218</v>
      </c>
      <c r="E26" s="181" t="s">
        <v>91</v>
      </c>
      <c r="F26" s="177">
        <v>1445</v>
      </c>
      <c r="G26" s="20" t="s">
        <v>106</v>
      </c>
      <c r="H26" s="89"/>
      <c r="I26" s="300"/>
      <c r="J26" s="277" t="str">
        <f t="shared" si="2"/>
        <v>0</v>
      </c>
      <c r="K26" s="277">
        <v>79.16</v>
      </c>
      <c r="L26" s="69"/>
      <c r="M26" s="69"/>
      <c r="N26" s="134" t="s">
        <v>99</v>
      </c>
      <c r="O26" s="332" t="s">
        <v>219</v>
      </c>
      <c r="P26" s="331"/>
      <c r="Q26" s="333"/>
      <c r="R26" s="112">
        <f>R25*37.5</f>
        <v>0</v>
      </c>
      <c r="S26" s="102">
        <f>S25*41.5</f>
        <v>0</v>
      </c>
      <c r="T26" s="102">
        <f>T25*50</f>
        <v>0</v>
      </c>
      <c r="U26" s="403"/>
      <c r="X26" s="304" t="s">
        <v>30</v>
      </c>
      <c r="Y26" s="304"/>
      <c r="Z26" s="304"/>
      <c r="AD26" s="48"/>
      <c r="AE26" s="49"/>
      <c r="AF26" s="50"/>
    </row>
    <row r="27" spans="1:44" ht="16.5" customHeight="1" thickBot="1">
      <c r="A27" s="135">
        <v>23</v>
      </c>
      <c r="B27" s="275">
        <v>4955</v>
      </c>
      <c r="C27" s="27" t="s">
        <v>220</v>
      </c>
      <c r="D27" s="209" t="s">
        <v>221</v>
      </c>
      <c r="E27" s="181" t="s">
        <v>92</v>
      </c>
      <c r="F27" s="177">
        <v>1450</v>
      </c>
      <c r="G27" s="20" t="s">
        <v>120</v>
      </c>
      <c r="H27" s="89"/>
      <c r="I27" s="300">
        <v>75</v>
      </c>
      <c r="J27" s="277" t="str">
        <f t="shared" si="2"/>
        <v>0</v>
      </c>
      <c r="K27" s="277" t="str">
        <f t="shared" si="1"/>
        <v>0</v>
      </c>
      <c r="L27" s="69"/>
      <c r="M27" s="69"/>
      <c r="N27" s="134" t="s">
        <v>99</v>
      </c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305"/>
      <c r="Z27" s="51">
        <v>-2745</v>
      </c>
    </row>
    <row r="28" spans="1:44" ht="16.5" customHeight="1">
      <c r="A28" s="135">
        <v>24</v>
      </c>
      <c r="B28" s="279">
        <v>4956</v>
      </c>
      <c r="C28" s="27" t="s">
        <v>222</v>
      </c>
      <c r="D28" s="209" t="s">
        <v>128</v>
      </c>
      <c r="E28" s="181" t="s">
        <v>92</v>
      </c>
      <c r="F28" s="177">
        <v>1510</v>
      </c>
      <c r="G28" s="20" t="s">
        <v>123</v>
      </c>
      <c r="H28" s="89">
        <v>55</v>
      </c>
      <c r="I28" s="300"/>
      <c r="J28" s="277" t="str">
        <f t="shared" si="2"/>
        <v>0</v>
      </c>
      <c r="K28" s="277" t="str">
        <f t="shared" si="1"/>
        <v>0</v>
      </c>
      <c r="L28" s="69"/>
      <c r="M28" s="69"/>
      <c r="N28" s="134" t="s">
        <v>99</v>
      </c>
      <c r="O28" s="332"/>
      <c r="P28" s="331"/>
      <c r="Q28" s="333"/>
      <c r="R28" s="388" t="s">
        <v>223</v>
      </c>
      <c r="S28" s="389"/>
      <c r="T28" s="390"/>
      <c r="U28" s="146"/>
      <c r="X28" s="35">
        <v>2</v>
      </c>
      <c r="Z28" s="51"/>
      <c r="AE28" s="55"/>
    </row>
    <row r="29" spans="1:44" ht="16.5" customHeight="1" thickBot="1">
      <c r="A29" s="147">
        <v>25</v>
      </c>
      <c r="B29" s="275">
        <v>4957</v>
      </c>
      <c r="C29" s="34" t="s">
        <v>224</v>
      </c>
      <c r="D29" s="210" t="s">
        <v>225</v>
      </c>
      <c r="E29" s="182" t="s">
        <v>91</v>
      </c>
      <c r="F29" s="177">
        <v>1535</v>
      </c>
      <c r="G29" s="20" t="s">
        <v>123</v>
      </c>
      <c r="H29" s="89">
        <v>60</v>
      </c>
      <c r="I29" s="89"/>
      <c r="J29" s="277" t="str">
        <f t="shared" si="2"/>
        <v>0</v>
      </c>
      <c r="K29" s="277" t="str">
        <f t="shared" si="1"/>
        <v>0</v>
      </c>
      <c r="L29" s="69"/>
      <c r="M29" s="69"/>
      <c r="N29" s="134" t="s">
        <v>99</v>
      </c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5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72">
        <f t="shared" ref="H30:M30" si="3">SUM(H5:H29)</f>
        <v>330</v>
      </c>
      <c r="I30" s="105">
        <f>SUM(I5:I29)</f>
        <v>1695</v>
      </c>
      <c r="J30" s="105">
        <f>J5+J6+J7+J8+J9+J10+J11+J12+J13+J14+J15+J16+J18+J19+J17+J20+J22+J23+J21+J24+J25+J26+J27+J28+J29</f>
        <v>660</v>
      </c>
      <c r="K30" s="105">
        <f>K5+K6+K7+K8+K9+K10+K11+K12+K13+K14+K15+K16+K18+K19+K17+K20+K22+K23+K21+K24+K25+K26+K27+K28+K29</f>
        <v>141.66</v>
      </c>
      <c r="L30" s="106">
        <f t="shared" si="3"/>
        <v>0</v>
      </c>
      <c r="M30" s="106">
        <f t="shared" si="3"/>
        <v>425</v>
      </c>
      <c r="N30" s="269" t="s">
        <v>15</v>
      </c>
      <c r="O30" s="269" t="s">
        <v>20</v>
      </c>
      <c r="P30" s="269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73">
        <f t="shared" ref="H31:J31" si="4">H30+H62+H94</f>
        <v>330</v>
      </c>
      <c r="I31" s="103">
        <f t="shared" si="4"/>
        <v>1695</v>
      </c>
      <c r="J31" s="103">
        <f t="shared" si="4"/>
        <v>660</v>
      </c>
      <c r="K31" s="103">
        <f>K30+K62+K94</f>
        <v>141.66</v>
      </c>
      <c r="L31" s="97">
        <f>L30+L62+L94</f>
        <v>0</v>
      </c>
      <c r="M31" s="97">
        <f>M30+M62+M94</f>
        <v>425</v>
      </c>
      <c r="N31" s="270">
        <f>COUNT(H5:H29,H37:H61,H69:H93)</f>
        <v>5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7</v>
      </c>
      <c r="R31" s="98" t="s">
        <v>83</v>
      </c>
      <c r="S31" s="111">
        <f>H31+L31-U28-U29-U30</f>
        <v>330</v>
      </c>
      <c r="T31" s="371">
        <f>H31+I31+L31+M31</f>
        <v>2450</v>
      </c>
      <c r="U31" s="372"/>
      <c r="X31" s="54" t="s">
        <v>28</v>
      </c>
      <c r="Y31" s="54"/>
      <c r="Z31" s="54">
        <f>SUM(Z27:Z30)</f>
        <v>-2745</v>
      </c>
      <c r="AE31" s="55"/>
    </row>
    <row r="32" spans="1:44" ht="18" thickBot="1">
      <c r="A32" s="391" t="s">
        <v>55</v>
      </c>
      <c r="B32" s="392"/>
      <c r="C32" s="107">
        <f>H31+I31+J31+K31</f>
        <v>2826.66</v>
      </c>
      <c r="D32" s="196"/>
      <c r="E32" s="107"/>
      <c r="F32" s="393" t="s">
        <v>53</v>
      </c>
      <c r="G32" s="393"/>
      <c r="H32" s="109">
        <f>COUNT(B5:B29,B37:B61,B69:B93)</f>
        <v>25</v>
      </c>
      <c r="I32" s="394" t="s">
        <v>54</v>
      </c>
      <c r="J32" s="394"/>
      <c r="K32" s="108">
        <f>C32/H32</f>
        <v>113.06639999999999</v>
      </c>
      <c r="L32" s="268"/>
      <c r="M32" s="268"/>
      <c r="N32" s="268">
        <f>H31/C32</f>
        <v>0.11674555836216595</v>
      </c>
      <c r="O32" s="268">
        <f>I31/C32</f>
        <v>0.59964764067839782</v>
      </c>
      <c r="P32" s="268">
        <f>K31/C32</f>
        <v>5.0115684235104332E-2</v>
      </c>
      <c r="Q32" s="110">
        <f>J31/C32</f>
        <v>0.2334911167243319</v>
      </c>
      <c r="R32" s="99" t="s">
        <v>82</v>
      </c>
      <c r="S32" s="274">
        <f>I31+M31</f>
        <v>2120</v>
      </c>
      <c r="T32" s="373"/>
      <c r="U32" s="374"/>
      <c r="V32" s="55"/>
      <c r="W32" s="55"/>
      <c r="X32" s="56" t="s">
        <v>27</v>
      </c>
      <c r="Y32" s="56"/>
      <c r="Z32" s="54">
        <f>I31</f>
        <v>1695</v>
      </c>
    </row>
    <row r="33" spans="1:33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-1050</v>
      </c>
      <c r="AG33" s="278"/>
    </row>
    <row r="34" spans="1:33" ht="18" thickBot="1">
      <c r="A34" s="365" t="str">
        <f>A2</f>
        <v>31 - 5 - 2022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SUNNY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6</v>
      </c>
      <c r="U34" s="357"/>
      <c r="Z34" s="55"/>
    </row>
    <row r="35" spans="1:33" ht="18" thickBot="1">
      <c r="A35" s="15" t="s">
        <v>6</v>
      </c>
      <c r="H35" s="9"/>
      <c r="I35" s="19"/>
      <c r="T35" s="10"/>
      <c r="U35" s="11"/>
    </row>
    <row r="36" spans="1:33" ht="18" thickBot="1">
      <c r="A36" s="154" t="s">
        <v>0</v>
      </c>
      <c r="B36" s="267" t="s">
        <v>21</v>
      </c>
      <c r="C36" s="167" t="s">
        <v>7</v>
      </c>
      <c r="D36" s="194" t="s">
        <v>88</v>
      </c>
      <c r="E36" s="167" t="s">
        <v>89</v>
      </c>
      <c r="F36" s="267" t="s">
        <v>25</v>
      </c>
      <c r="G36" s="267" t="s">
        <v>1</v>
      </c>
      <c r="H36" s="267" t="s">
        <v>22</v>
      </c>
      <c r="I36" s="267" t="s">
        <v>20</v>
      </c>
      <c r="J36" s="267" t="s">
        <v>44</v>
      </c>
      <c r="K36" s="267" t="s">
        <v>45</v>
      </c>
      <c r="L36" s="267" t="s">
        <v>47</v>
      </c>
      <c r="M36" s="267" t="s">
        <v>46</v>
      </c>
      <c r="N36" s="267" t="s">
        <v>2</v>
      </c>
      <c r="O36" s="358" t="s">
        <v>8</v>
      </c>
      <c r="P36" s="358"/>
      <c r="Q36" s="358"/>
      <c r="R36" s="267" t="s">
        <v>26</v>
      </c>
      <c r="S36" s="155" t="s">
        <v>3</v>
      </c>
      <c r="T36" s="155" t="s">
        <v>4</v>
      </c>
      <c r="U36" s="156" t="s">
        <v>18</v>
      </c>
    </row>
    <row r="37" spans="1:3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276"/>
      <c r="J37" s="277" t="str">
        <f>IF(G37="RSL","55","0")</f>
        <v>0</v>
      </c>
      <c r="K37" s="277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2"/>
      <c r="P37" s="331"/>
      <c r="Q37" s="333"/>
      <c r="R37" s="60"/>
      <c r="S37" s="61"/>
      <c r="T37" s="61"/>
      <c r="U37" s="70"/>
    </row>
    <row r="38" spans="1:33">
      <c r="A38" s="128">
        <f>A37+1</f>
        <v>27</v>
      </c>
      <c r="B38" s="271"/>
      <c r="C38" s="67"/>
      <c r="D38" s="195"/>
      <c r="E38" s="181"/>
      <c r="F38" s="179"/>
      <c r="G38" s="118"/>
      <c r="H38" s="91"/>
      <c r="I38" s="276"/>
      <c r="J38" s="277" t="str">
        <f t="shared" ref="J38:J61" si="6">IF(G38="RSL","55","0")</f>
        <v>0</v>
      </c>
      <c r="K38" s="277" t="str">
        <f t="shared" si="5"/>
        <v>0</v>
      </c>
      <c r="L38" s="131"/>
      <c r="M38" s="131"/>
      <c r="N38" s="69"/>
      <c r="O38" s="359"/>
      <c r="P38" s="360"/>
      <c r="Q38" s="361"/>
      <c r="R38" s="78"/>
      <c r="S38" s="71"/>
      <c r="T38" s="16"/>
      <c r="U38" s="72"/>
    </row>
    <row r="39" spans="1:3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276"/>
      <c r="J39" s="277" t="str">
        <f t="shared" si="6"/>
        <v>0</v>
      </c>
      <c r="K39" s="277" t="str">
        <f t="shared" si="5"/>
        <v>0</v>
      </c>
      <c r="L39" s="131"/>
      <c r="M39" s="131"/>
      <c r="N39" s="69"/>
      <c r="O39" s="332"/>
      <c r="P39" s="331"/>
      <c r="Q39" s="333"/>
      <c r="R39" s="79"/>
      <c r="S39" s="13"/>
      <c r="T39" s="12"/>
      <c r="U39" s="72"/>
    </row>
    <row r="40" spans="1:33">
      <c r="A40" s="128">
        <f t="shared" si="7"/>
        <v>29</v>
      </c>
      <c r="B40" s="271"/>
      <c r="C40" s="63"/>
      <c r="D40" s="184"/>
      <c r="E40" s="181"/>
      <c r="F40" s="180"/>
      <c r="G40" s="119"/>
      <c r="H40" s="91"/>
      <c r="I40" s="91"/>
      <c r="J40" s="277" t="str">
        <f t="shared" si="6"/>
        <v>0</v>
      </c>
      <c r="K40" s="277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277" t="str">
        <f t="shared" si="6"/>
        <v>0</v>
      </c>
      <c r="K41" s="277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3">
      <c r="A42" s="128">
        <f t="shared" si="7"/>
        <v>31</v>
      </c>
      <c r="B42" s="271"/>
      <c r="C42" s="28"/>
      <c r="D42" s="185"/>
      <c r="E42" s="181"/>
      <c r="F42" s="173"/>
      <c r="G42" s="120"/>
      <c r="H42" s="123"/>
      <c r="I42" s="289"/>
      <c r="J42" s="277" t="str">
        <f t="shared" si="6"/>
        <v>0</v>
      </c>
      <c r="K42" s="277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276"/>
      <c r="J43" s="277" t="str">
        <f t="shared" si="6"/>
        <v>0</v>
      </c>
      <c r="K43" s="277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3">
      <c r="A44" s="128">
        <f t="shared" si="7"/>
        <v>33</v>
      </c>
      <c r="B44" s="271"/>
      <c r="C44" s="64"/>
      <c r="D44" s="186"/>
      <c r="E44" s="181"/>
      <c r="F44" s="173"/>
      <c r="G44" s="119"/>
      <c r="H44" s="123"/>
      <c r="I44" s="289"/>
      <c r="J44" s="277" t="str">
        <f t="shared" si="6"/>
        <v>0</v>
      </c>
      <c r="K44" s="277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289"/>
      <c r="J45" s="277" t="str">
        <f t="shared" si="6"/>
        <v>0</v>
      </c>
      <c r="K45" s="277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3">
      <c r="A46" s="128">
        <f t="shared" si="7"/>
        <v>35</v>
      </c>
      <c r="B46" s="271"/>
      <c r="C46" s="65"/>
      <c r="D46" s="187"/>
      <c r="E46" s="181"/>
      <c r="F46" s="170"/>
      <c r="G46" s="122"/>
      <c r="H46" s="123"/>
      <c r="I46" s="276"/>
      <c r="J46" s="277" t="str">
        <f t="shared" si="6"/>
        <v>0</v>
      </c>
      <c r="K46" s="277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276"/>
      <c r="J47" s="277" t="str">
        <f t="shared" si="6"/>
        <v>0</v>
      </c>
      <c r="K47" s="277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3">
      <c r="A48" s="128">
        <f t="shared" si="7"/>
        <v>37</v>
      </c>
      <c r="B48" s="271"/>
      <c r="C48" s="65"/>
      <c r="D48" s="187"/>
      <c r="E48" s="181"/>
      <c r="F48" s="170"/>
      <c r="G48" s="122"/>
      <c r="H48" s="123"/>
      <c r="I48" s="276"/>
      <c r="J48" s="277" t="str">
        <f t="shared" si="6"/>
        <v>0</v>
      </c>
      <c r="K48" s="277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71"/>
      <c r="C49" s="18"/>
      <c r="D49" s="191"/>
      <c r="E49" s="181"/>
      <c r="F49" s="66"/>
      <c r="G49" s="121"/>
      <c r="H49" s="123"/>
      <c r="I49" s="276"/>
      <c r="J49" s="277" t="str">
        <f t="shared" si="6"/>
        <v>0</v>
      </c>
      <c r="K49" s="277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71"/>
      <c r="C50" s="18"/>
      <c r="D50" s="191"/>
      <c r="E50" s="181"/>
      <c r="F50" s="66"/>
      <c r="G50" s="20"/>
      <c r="H50" s="123"/>
      <c r="I50" s="276"/>
      <c r="J50" s="277" t="str">
        <f t="shared" si="6"/>
        <v>0</v>
      </c>
      <c r="K50" s="277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71"/>
      <c r="C51" s="18"/>
      <c r="D51" s="191"/>
      <c r="E51" s="181"/>
      <c r="F51" s="66"/>
      <c r="G51" s="121"/>
      <c r="H51" s="123"/>
      <c r="I51" s="276"/>
      <c r="J51" s="277" t="str">
        <f t="shared" si="6"/>
        <v>0</v>
      </c>
      <c r="K51" s="277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71"/>
      <c r="C52" s="66"/>
      <c r="D52" s="192"/>
      <c r="E52" s="181"/>
      <c r="F52" s="66"/>
      <c r="G52" s="121"/>
      <c r="H52" s="123"/>
      <c r="I52" s="276"/>
      <c r="J52" s="277" t="str">
        <f t="shared" si="6"/>
        <v>0</v>
      </c>
      <c r="K52" s="277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71"/>
      <c r="C53" s="127"/>
      <c r="D53" s="188"/>
      <c r="E53" s="181"/>
      <c r="F53" s="175"/>
      <c r="G53" s="271"/>
      <c r="H53" s="89"/>
      <c r="I53" s="300"/>
      <c r="J53" s="277" t="str">
        <f t="shared" si="6"/>
        <v>0</v>
      </c>
      <c r="K53" s="277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71"/>
      <c r="C54" s="127"/>
      <c r="D54" s="188"/>
      <c r="E54" s="181"/>
      <c r="F54" s="175"/>
      <c r="G54" s="271"/>
      <c r="H54" s="89"/>
      <c r="I54" s="300"/>
      <c r="J54" s="277" t="str">
        <f t="shared" si="6"/>
        <v>0</v>
      </c>
      <c r="K54" s="277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71"/>
      <c r="C55" s="127"/>
      <c r="D55" s="188"/>
      <c r="E55" s="181"/>
      <c r="F55" s="175"/>
      <c r="G55" s="271"/>
      <c r="H55" s="89"/>
      <c r="I55" s="300"/>
      <c r="J55" s="277" t="str">
        <f t="shared" si="6"/>
        <v>0</v>
      </c>
      <c r="K55" s="277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71"/>
      <c r="C56" s="132"/>
      <c r="D56" s="189"/>
      <c r="E56" s="181"/>
      <c r="F56" s="175"/>
      <c r="G56" s="271"/>
      <c r="H56" s="90"/>
      <c r="I56" s="90"/>
      <c r="J56" s="277" t="str">
        <f t="shared" si="6"/>
        <v>0</v>
      </c>
      <c r="K56" s="277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71"/>
      <c r="C57" s="27"/>
      <c r="D57" s="183"/>
      <c r="E57" s="181"/>
      <c r="F57" s="177"/>
      <c r="G57" s="20"/>
      <c r="H57" s="89"/>
      <c r="I57" s="300"/>
      <c r="J57" s="277" t="str">
        <f t="shared" si="6"/>
        <v>0</v>
      </c>
      <c r="K57" s="277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71"/>
      <c r="C58" s="27"/>
      <c r="D58" s="183"/>
      <c r="E58" s="181"/>
      <c r="F58" s="177"/>
      <c r="G58" s="20"/>
      <c r="H58" s="89"/>
      <c r="I58" s="300"/>
      <c r="J58" s="277" t="str">
        <f t="shared" si="6"/>
        <v>0</v>
      </c>
      <c r="K58" s="277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71"/>
      <c r="C59" s="27"/>
      <c r="D59" s="183"/>
      <c r="E59" s="181"/>
      <c r="F59" s="177"/>
      <c r="G59" s="20"/>
      <c r="H59" s="89"/>
      <c r="I59" s="300"/>
      <c r="J59" s="277" t="str">
        <f t="shared" si="6"/>
        <v>0</v>
      </c>
      <c r="K59" s="277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71"/>
      <c r="C60" s="34"/>
      <c r="D60" s="190"/>
      <c r="E60" s="181"/>
      <c r="F60" s="177"/>
      <c r="G60" s="20"/>
      <c r="H60" s="89"/>
      <c r="I60" s="89"/>
      <c r="J60" s="277" t="str">
        <f t="shared" si="6"/>
        <v>0</v>
      </c>
      <c r="K60" s="277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71"/>
      <c r="C61" s="30"/>
      <c r="D61" s="198"/>
      <c r="F61" s="30"/>
      <c r="G61" s="271"/>
      <c r="H61" s="148"/>
      <c r="I61" s="148"/>
      <c r="J61" s="277" t="str">
        <f t="shared" si="6"/>
        <v>0</v>
      </c>
      <c r="K61" s="277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0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31 - 5 - 2022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SUNNY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6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67" t="s">
        <v>21</v>
      </c>
      <c r="C68" s="167" t="s">
        <v>7</v>
      </c>
      <c r="D68" s="194" t="s">
        <v>88</v>
      </c>
      <c r="E68" s="167" t="s">
        <v>89</v>
      </c>
      <c r="F68" s="267" t="s">
        <v>25</v>
      </c>
      <c r="G68" s="267" t="s">
        <v>1</v>
      </c>
      <c r="H68" s="267" t="s">
        <v>22</v>
      </c>
      <c r="I68" s="267" t="s">
        <v>20</v>
      </c>
      <c r="J68" s="267" t="s">
        <v>44</v>
      </c>
      <c r="K68" s="267" t="s">
        <v>45</v>
      </c>
      <c r="L68" s="267" t="s">
        <v>47</v>
      </c>
      <c r="M68" s="267" t="s">
        <v>46</v>
      </c>
      <c r="N68" s="267" t="s">
        <v>2</v>
      </c>
      <c r="O68" s="358" t="s">
        <v>8</v>
      </c>
      <c r="P68" s="358"/>
      <c r="Q68" s="358"/>
      <c r="R68" s="267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71"/>
      <c r="C69" s="68"/>
      <c r="D69" s="197"/>
      <c r="E69" s="181"/>
      <c r="F69" s="171"/>
      <c r="G69" s="118"/>
      <c r="H69" s="91"/>
      <c r="I69" s="276"/>
      <c r="J69" s="277" t="str">
        <f>IF(G69="RSL","55","0")</f>
        <v>0</v>
      </c>
      <c r="K69" s="277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71"/>
      <c r="C70" s="67"/>
      <c r="D70" s="195"/>
      <c r="E70" s="181"/>
      <c r="F70" s="171"/>
      <c r="G70" s="118"/>
      <c r="H70" s="91"/>
      <c r="I70" s="276"/>
      <c r="J70" s="277" t="str">
        <f t="shared" ref="J70:J93" si="10">IF(G70="RSL","55","0")</f>
        <v>0</v>
      </c>
      <c r="K70" s="277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71"/>
      <c r="C71" s="27"/>
      <c r="D71" s="183"/>
      <c r="E71" s="181"/>
      <c r="F71" s="171"/>
      <c r="G71" s="118"/>
      <c r="H71" s="91"/>
      <c r="I71" s="276"/>
      <c r="J71" s="277" t="str">
        <f t="shared" si="10"/>
        <v>0</v>
      </c>
      <c r="K71" s="277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71"/>
      <c r="C72" s="63"/>
      <c r="D72" s="184"/>
      <c r="E72" s="181"/>
      <c r="F72" s="172"/>
      <c r="G72" s="119"/>
      <c r="H72" s="91"/>
      <c r="I72" s="91"/>
      <c r="J72" s="277" t="str">
        <f t="shared" si="10"/>
        <v>0</v>
      </c>
      <c r="K72" s="277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71"/>
      <c r="C73" s="63"/>
      <c r="D73" s="184"/>
      <c r="E73" s="181"/>
      <c r="F73" s="172"/>
      <c r="G73" s="119"/>
      <c r="H73" s="91"/>
      <c r="I73" s="91"/>
      <c r="J73" s="277" t="str">
        <f t="shared" si="10"/>
        <v>0</v>
      </c>
      <c r="K73" s="277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71"/>
      <c r="C74" s="28"/>
      <c r="D74" s="185"/>
      <c r="E74" s="181"/>
      <c r="F74" s="173"/>
      <c r="G74" s="120"/>
      <c r="H74" s="123"/>
      <c r="I74" s="289"/>
      <c r="J74" s="277" t="str">
        <f t="shared" si="10"/>
        <v>0</v>
      </c>
      <c r="K74" s="277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71"/>
      <c r="C75" s="18"/>
      <c r="D75" s="191"/>
      <c r="E75" s="181"/>
      <c r="F75" s="66"/>
      <c r="G75" s="121"/>
      <c r="H75" s="123"/>
      <c r="I75" s="276"/>
      <c r="J75" s="277" t="str">
        <f t="shared" si="10"/>
        <v>0</v>
      </c>
      <c r="K75" s="277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71"/>
      <c r="C76" s="64"/>
      <c r="D76" s="186"/>
      <c r="E76" s="181"/>
      <c r="F76" s="173"/>
      <c r="G76" s="119"/>
      <c r="H76" s="123"/>
      <c r="I76" s="289"/>
      <c r="J76" s="277" t="str">
        <f t="shared" si="10"/>
        <v>0</v>
      </c>
      <c r="K76" s="277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71"/>
      <c r="C77" s="64"/>
      <c r="D77" s="186"/>
      <c r="E77" s="181"/>
      <c r="F77" s="173"/>
      <c r="G77" s="119"/>
      <c r="H77" s="123"/>
      <c r="I77" s="289"/>
      <c r="J77" s="277" t="str">
        <f t="shared" si="10"/>
        <v>0</v>
      </c>
      <c r="K77" s="277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71"/>
      <c r="C78" s="65"/>
      <c r="D78" s="187"/>
      <c r="E78" s="181"/>
      <c r="F78" s="170"/>
      <c r="G78" s="122"/>
      <c r="H78" s="123"/>
      <c r="I78" s="276"/>
      <c r="J78" s="277" t="str">
        <f t="shared" si="10"/>
        <v>0</v>
      </c>
      <c r="K78" s="277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71"/>
      <c r="C79" s="18"/>
      <c r="D79" s="191"/>
      <c r="E79" s="181"/>
      <c r="F79" s="66"/>
      <c r="G79" s="121"/>
      <c r="H79" s="123"/>
      <c r="I79" s="276"/>
      <c r="J79" s="277" t="str">
        <f t="shared" si="10"/>
        <v>0</v>
      </c>
      <c r="K79" s="277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71"/>
      <c r="C80" s="65"/>
      <c r="D80" s="187"/>
      <c r="E80" s="181"/>
      <c r="F80" s="170"/>
      <c r="G80" s="122"/>
      <c r="H80" s="123"/>
      <c r="I80" s="276"/>
      <c r="J80" s="277" t="str">
        <f t="shared" si="10"/>
        <v>0</v>
      </c>
      <c r="K80" s="277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71"/>
      <c r="C81" s="18"/>
      <c r="D81" s="191"/>
      <c r="E81" s="181"/>
      <c r="F81" s="66"/>
      <c r="G81" s="121"/>
      <c r="H81" s="123"/>
      <c r="I81" s="276"/>
      <c r="J81" s="277" t="str">
        <f t="shared" si="10"/>
        <v>0</v>
      </c>
      <c r="K81" s="277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71"/>
      <c r="C82" s="18"/>
      <c r="D82" s="191"/>
      <c r="E82" s="181"/>
      <c r="F82" s="66"/>
      <c r="G82" s="20"/>
      <c r="H82" s="123"/>
      <c r="I82" s="276"/>
      <c r="J82" s="277" t="str">
        <f t="shared" si="10"/>
        <v>0</v>
      </c>
      <c r="K82" s="277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71"/>
      <c r="C83" s="18"/>
      <c r="D83" s="191"/>
      <c r="E83" s="181"/>
      <c r="F83" s="66"/>
      <c r="G83" s="121"/>
      <c r="H83" s="123"/>
      <c r="I83" s="276"/>
      <c r="J83" s="277" t="str">
        <f t="shared" si="10"/>
        <v>0</v>
      </c>
      <c r="K83" s="277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71"/>
      <c r="C84" s="66"/>
      <c r="D84" s="192"/>
      <c r="E84" s="181"/>
      <c r="F84" s="66"/>
      <c r="G84" s="121"/>
      <c r="H84" s="123"/>
      <c r="I84" s="276"/>
      <c r="J84" s="277" t="str">
        <f t="shared" si="10"/>
        <v>0</v>
      </c>
      <c r="K84" s="277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71"/>
      <c r="C85" s="127"/>
      <c r="D85" s="188"/>
      <c r="E85" s="181"/>
      <c r="F85" s="175"/>
      <c r="G85" s="271"/>
      <c r="H85" s="89"/>
      <c r="I85" s="300"/>
      <c r="J85" s="277" t="str">
        <f t="shared" si="10"/>
        <v>0</v>
      </c>
      <c r="K85" s="277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71"/>
      <c r="C86" s="127"/>
      <c r="D86" s="188"/>
      <c r="E86" s="181"/>
      <c r="F86" s="175"/>
      <c r="G86" s="271"/>
      <c r="H86" s="89"/>
      <c r="I86" s="300"/>
      <c r="J86" s="277" t="str">
        <f t="shared" si="10"/>
        <v>0</v>
      </c>
      <c r="K86" s="277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71"/>
      <c r="C87" s="127"/>
      <c r="D87" s="188"/>
      <c r="E87" s="181"/>
      <c r="F87" s="175"/>
      <c r="G87" s="271"/>
      <c r="H87" s="89"/>
      <c r="I87" s="300"/>
      <c r="J87" s="277" t="str">
        <f t="shared" si="10"/>
        <v>0</v>
      </c>
      <c r="K87" s="277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71"/>
      <c r="C88" s="132"/>
      <c r="D88" s="189"/>
      <c r="E88" s="181"/>
      <c r="F88" s="175"/>
      <c r="G88" s="271"/>
      <c r="H88" s="90"/>
      <c r="I88" s="90"/>
      <c r="J88" s="277" t="str">
        <f t="shared" si="10"/>
        <v>0</v>
      </c>
      <c r="K88" s="277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71"/>
      <c r="C89" s="27"/>
      <c r="D89" s="183"/>
      <c r="E89" s="181"/>
      <c r="F89" s="177"/>
      <c r="G89" s="20"/>
      <c r="H89" s="89"/>
      <c r="I89" s="300"/>
      <c r="J89" s="277" t="str">
        <f t="shared" si="10"/>
        <v>0</v>
      </c>
      <c r="K89" s="277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71"/>
      <c r="C90" s="27"/>
      <c r="D90" s="183"/>
      <c r="E90" s="181"/>
      <c r="F90" s="177"/>
      <c r="G90" s="20"/>
      <c r="H90" s="89"/>
      <c r="I90" s="300"/>
      <c r="J90" s="277" t="str">
        <f t="shared" si="10"/>
        <v>0</v>
      </c>
      <c r="K90" s="277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71"/>
      <c r="C91" s="27"/>
      <c r="D91" s="183"/>
      <c r="E91" s="181"/>
      <c r="F91" s="177"/>
      <c r="G91" s="20"/>
      <c r="H91" s="89"/>
      <c r="I91" s="300"/>
      <c r="J91" s="277" t="str">
        <f t="shared" si="10"/>
        <v>0</v>
      </c>
      <c r="K91" s="277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71"/>
      <c r="C92" s="34"/>
      <c r="D92" s="190"/>
      <c r="E92" s="181"/>
      <c r="F92" s="177"/>
      <c r="G92" s="20"/>
      <c r="H92" s="89"/>
      <c r="I92" s="89"/>
      <c r="J92" s="277" t="str">
        <f t="shared" si="10"/>
        <v>0</v>
      </c>
      <c r="K92" s="277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71"/>
      <c r="C93" s="30"/>
      <c r="D93" s="199"/>
      <c r="E93" s="182"/>
      <c r="F93" s="178"/>
      <c r="G93" s="271"/>
      <c r="H93" s="148"/>
      <c r="I93" s="148"/>
      <c r="J93" s="277" t="str">
        <f t="shared" si="10"/>
        <v>0</v>
      </c>
      <c r="K93" s="277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disablePrompts="1" count="1">
    <dataValidation type="list" allowBlank="1" showInputMessage="1" showErrorMessage="1" sqref="X7 W5 E69:E93 E37:E61 E5:E29" xr:uid="{5AA040B6-E505-4889-B36E-97FDEA7F083B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abSelected="1" zoomScaleNormal="100" zoomScaleSheetLayoutView="77" workbookViewId="0">
      <selection activeCell="T11" sqref="T11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226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/>
      <c r="K2" s="367"/>
      <c r="L2" s="369" t="s">
        <v>96</v>
      </c>
      <c r="M2" s="370"/>
      <c r="N2" s="368"/>
      <c r="O2" s="366"/>
      <c r="P2" s="366"/>
      <c r="Q2" s="367"/>
      <c r="R2" s="369" t="s">
        <v>51</v>
      </c>
      <c r="S2" s="368"/>
      <c r="T2" s="357">
        <v>6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8" t="s">
        <v>8</v>
      </c>
      <c r="P4" s="358"/>
      <c r="Q4" s="35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4958</v>
      </c>
      <c r="C5" s="68" t="s">
        <v>229</v>
      </c>
      <c r="D5" s="200" t="s">
        <v>230</v>
      </c>
      <c r="E5" s="181" t="s">
        <v>92</v>
      </c>
      <c r="F5" s="170">
        <v>930</v>
      </c>
      <c r="G5" s="118" t="s">
        <v>126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4"/>
      <c r="P5" s="405"/>
      <c r="Q5" s="406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4959</v>
      </c>
      <c r="C6" s="67" t="s">
        <v>231</v>
      </c>
      <c r="D6" s="200" t="s">
        <v>232</v>
      </c>
      <c r="E6" s="181" t="s">
        <v>91</v>
      </c>
      <c r="F6" s="171">
        <v>900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99</v>
      </c>
      <c r="O6" s="359" t="s">
        <v>233</v>
      </c>
      <c r="P6" s="360"/>
      <c r="Q6" s="361"/>
      <c r="R6" s="132" t="s">
        <v>101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4960</v>
      </c>
      <c r="C7" s="67" t="s">
        <v>234</v>
      </c>
      <c r="D7" s="200" t="s">
        <v>235</v>
      </c>
      <c r="E7" s="181" t="s">
        <v>92</v>
      </c>
      <c r="F7" s="171">
        <v>910</v>
      </c>
      <c r="G7" s="118" t="s">
        <v>126</v>
      </c>
      <c r="H7" s="91"/>
      <c r="I7" s="124">
        <v>140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32"/>
      <c r="P7" s="331"/>
      <c r="Q7" s="333"/>
      <c r="R7" s="134" t="s">
        <v>172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4961</v>
      </c>
      <c r="C8" s="27" t="s">
        <v>236</v>
      </c>
      <c r="D8" s="200" t="s">
        <v>237</v>
      </c>
      <c r="E8" s="181" t="s">
        <v>92</v>
      </c>
      <c r="F8" s="171">
        <v>945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2"/>
      <c r="P8" s="363"/>
      <c r="Q8" s="364"/>
      <c r="R8" s="26" t="s">
        <v>103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4962</v>
      </c>
      <c r="C9" s="63" t="s">
        <v>238</v>
      </c>
      <c r="D9" s="201" t="s">
        <v>239</v>
      </c>
      <c r="E9" s="181" t="s">
        <v>92</v>
      </c>
      <c r="F9" s="172">
        <v>1000</v>
      </c>
      <c r="G9" s="119" t="s">
        <v>123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102</v>
      </c>
      <c r="S9" s="31">
        <v>0.375</v>
      </c>
      <c r="T9" s="32">
        <v>0.40625</v>
      </c>
      <c r="U9" s="92">
        <f t="shared" si="0"/>
        <v>0.75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4963</v>
      </c>
      <c r="C10" s="28" t="s">
        <v>240</v>
      </c>
      <c r="D10" s="202" t="s">
        <v>241</v>
      </c>
      <c r="E10" s="181" t="s">
        <v>92</v>
      </c>
      <c r="F10" s="173">
        <v>1020</v>
      </c>
      <c r="G10" s="120" t="s">
        <v>120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354"/>
      <c r="P10" s="355"/>
      <c r="Q10" s="356"/>
      <c r="R10" s="26" t="s">
        <v>227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4964</v>
      </c>
      <c r="C11" s="18" t="s">
        <v>242</v>
      </c>
      <c r="D11" s="203" t="s">
        <v>243</v>
      </c>
      <c r="E11" s="181" t="s">
        <v>92</v>
      </c>
      <c r="F11" s="66">
        <v>1020</v>
      </c>
      <c r="G11" s="121" t="s">
        <v>123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32"/>
      <c r="P11" s="331"/>
      <c r="Q11" s="333"/>
      <c r="R11" s="26" t="s">
        <v>228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4965</v>
      </c>
      <c r="C12" s="64" t="s">
        <v>244</v>
      </c>
      <c r="D12" s="204" t="s">
        <v>245</v>
      </c>
      <c r="E12" s="181" t="s">
        <v>92</v>
      </c>
      <c r="F12" s="173">
        <v>1110</v>
      </c>
      <c r="G12" s="119" t="s">
        <v>123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2"/>
      <c r="P12" s="331"/>
      <c r="Q12" s="33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4966</v>
      </c>
      <c r="C13" s="64" t="s">
        <v>246</v>
      </c>
      <c r="D13" s="204" t="s">
        <v>247</v>
      </c>
      <c r="E13" s="181" t="s">
        <v>92</v>
      </c>
      <c r="F13" s="173">
        <v>1150</v>
      </c>
      <c r="G13" s="119" t="s">
        <v>248</v>
      </c>
      <c r="H13" s="169"/>
      <c r="I13" s="168">
        <v>70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2"/>
      <c r="P13" s="331"/>
      <c r="Q13" s="33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4967</v>
      </c>
      <c r="C14" s="65" t="s">
        <v>249</v>
      </c>
      <c r="D14" s="205" t="s">
        <v>250</v>
      </c>
      <c r="E14" s="181" t="s">
        <v>92</v>
      </c>
      <c r="F14" s="174">
        <v>1215</v>
      </c>
      <c r="G14" s="122" t="s">
        <v>126</v>
      </c>
      <c r="H14" s="123">
        <v>120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2"/>
      <c r="P14" s="331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4968</v>
      </c>
      <c r="C15" s="65" t="s">
        <v>251</v>
      </c>
      <c r="D15" s="205" t="s">
        <v>252</v>
      </c>
      <c r="E15" s="181" t="s">
        <v>92</v>
      </c>
      <c r="F15" s="174">
        <v>1250</v>
      </c>
      <c r="G15" s="122" t="s">
        <v>110</v>
      </c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2" t="s">
        <v>253</v>
      </c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4969</v>
      </c>
      <c r="C16" s="65" t="s">
        <v>259</v>
      </c>
      <c r="D16" s="205" t="s">
        <v>260</v>
      </c>
      <c r="E16" s="181" t="s">
        <v>91</v>
      </c>
      <c r="F16" s="174">
        <v>1330</v>
      </c>
      <c r="G16" s="122" t="s">
        <v>133</v>
      </c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2" t="s">
        <v>261</v>
      </c>
      <c r="P16" s="331"/>
      <c r="Q16" s="333"/>
      <c r="R16" s="82">
        <f>H32/U16</f>
        <v>0.35789473684210527</v>
      </c>
      <c r="S16" s="83">
        <f>H32/(U16-U5)</f>
        <v>0.44155844155844154</v>
      </c>
      <c r="T16" s="83">
        <f>C32/U16</f>
        <v>32.719157894736846</v>
      </c>
      <c r="U16" s="83">
        <f>SUM(U5:U15)</f>
        <v>47.5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4970</v>
      </c>
      <c r="C17" s="18" t="s">
        <v>254</v>
      </c>
      <c r="D17" s="203" t="s">
        <v>255</v>
      </c>
      <c r="E17" s="181" t="s">
        <v>92</v>
      </c>
      <c r="F17" s="66">
        <v>1330</v>
      </c>
      <c r="G17" s="121" t="s">
        <v>126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4971</v>
      </c>
      <c r="C18" s="18" t="s">
        <v>256</v>
      </c>
      <c r="D18" s="203" t="s">
        <v>257</v>
      </c>
      <c r="E18" s="181" t="s">
        <v>92</v>
      </c>
      <c r="F18" s="66">
        <v>1345</v>
      </c>
      <c r="G18" s="20" t="s">
        <v>123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4972</v>
      </c>
      <c r="C19" s="18" t="s">
        <v>265</v>
      </c>
      <c r="D19" s="203" t="s">
        <v>266</v>
      </c>
      <c r="E19" s="181" t="s">
        <v>91</v>
      </c>
      <c r="F19" s="66">
        <v>1510</v>
      </c>
      <c r="G19" s="121" t="s">
        <v>248</v>
      </c>
      <c r="H19" s="123"/>
      <c r="I19" s="124">
        <v>60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2"/>
      <c r="P19" s="331"/>
      <c r="Q19" s="33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280">
        <v>16</v>
      </c>
      <c r="B20" s="286">
        <v>4973</v>
      </c>
      <c r="C20" s="295" t="s">
        <v>262</v>
      </c>
      <c r="D20" s="296" t="s">
        <v>263</v>
      </c>
      <c r="E20" s="284" t="s">
        <v>92</v>
      </c>
      <c r="F20" s="297">
        <v>1530</v>
      </c>
      <c r="G20" s="298" t="s">
        <v>264</v>
      </c>
      <c r="H20" s="293">
        <v>300</v>
      </c>
      <c r="I20" s="287"/>
      <c r="J20" s="287" t="str">
        <f t="shared" si="1"/>
        <v>0</v>
      </c>
      <c r="K20" s="287" t="str">
        <f t="shared" si="2"/>
        <v>0</v>
      </c>
      <c r="L20" s="288"/>
      <c r="M20" s="288"/>
      <c r="N20" s="282" t="s">
        <v>99</v>
      </c>
      <c r="O20" s="407" t="s">
        <v>80</v>
      </c>
      <c r="P20" s="408"/>
      <c r="Q20" s="40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4974</v>
      </c>
      <c r="C21" s="18" t="s">
        <v>267</v>
      </c>
      <c r="D21" s="203" t="s">
        <v>268</v>
      </c>
      <c r="E21" s="181" t="s">
        <v>91</v>
      </c>
      <c r="F21" s="66">
        <v>1610</v>
      </c>
      <c r="G21" s="20" t="s">
        <v>123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32"/>
      <c r="P21" s="331"/>
      <c r="Q21" s="33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2"/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2"/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2"/>
      <c r="P25" s="331"/>
      <c r="Q25" s="333"/>
      <c r="R25" s="100">
        <v>4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402">
        <f>((C32+(R26+S26+T26)*0.5))</f>
        <v>1654.16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2"/>
      <c r="P26" s="331"/>
      <c r="Q26" s="333"/>
      <c r="R26" s="112">
        <f>R25*37.5</f>
        <v>150</v>
      </c>
      <c r="S26" s="102">
        <f>S25*41.5</f>
        <v>0</v>
      </c>
      <c r="T26" s="102">
        <f>T25*50</f>
        <v>50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2"/>
      <c r="P28" s="331"/>
      <c r="Q28" s="333"/>
      <c r="R28" s="388" t="s">
        <v>258</v>
      </c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64">
        <f t="shared" ref="H30:M30" si="3">SUM(H5:H29)</f>
        <v>475</v>
      </c>
      <c r="I30" s="105">
        <f>SUM(I5:I29)</f>
        <v>1000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65">
        <f t="shared" ref="H31:J31" si="4">H30+H62+H94</f>
        <v>475</v>
      </c>
      <c r="I31" s="103">
        <f t="shared" si="4"/>
        <v>1000</v>
      </c>
      <c r="J31" s="103">
        <f t="shared" si="4"/>
        <v>0</v>
      </c>
      <c r="K31" s="103">
        <f>K30+K62+K94</f>
        <v>79.16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475</v>
      </c>
      <c r="T31" s="371">
        <f>H31+I31+L31+M31</f>
        <v>1475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1554.16</v>
      </c>
      <c r="D32" s="196"/>
      <c r="E32" s="107"/>
      <c r="F32" s="393" t="s">
        <v>53</v>
      </c>
      <c r="G32" s="393"/>
      <c r="H32" s="109">
        <f>COUNT(B5:B29,B37:B61,B69:B93)</f>
        <v>17</v>
      </c>
      <c r="I32" s="394" t="s">
        <v>54</v>
      </c>
      <c r="J32" s="394"/>
      <c r="K32" s="108">
        <f>C32/H32</f>
        <v>91.421176470588236</v>
      </c>
      <c r="L32" s="260"/>
      <c r="M32" s="260"/>
      <c r="N32" s="260">
        <f>H31/C32</f>
        <v>0.30563133782879498</v>
      </c>
      <c r="O32" s="260">
        <f>I31/C32</f>
        <v>0.64343439542904202</v>
      </c>
      <c r="P32" s="260">
        <f>K31/C32</f>
        <v>5.0934266742162962E-2</v>
      </c>
      <c r="Q32" s="110">
        <f>J31/C32</f>
        <v>0</v>
      </c>
      <c r="R32" s="99" t="s">
        <v>82</v>
      </c>
      <c r="S32" s="266">
        <f>I31+M31</f>
        <v>1000</v>
      </c>
      <c r="T32" s="373"/>
      <c r="U32" s="374"/>
      <c r="V32" s="55"/>
      <c r="W32" s="55"/>
      <c r="X32" s="56" t="s">
        <v>27</v>
      </c>
      <c r="Y32" s="56"/>
      <c r="Z32" s="54">
        <f>I31</f>
        <v>1000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-1745</v>
      </c>
      <c r="AE33" s="37"/>
      <c r="AF33" s="37"/>
      <c r="AG33" s="59"/>
      <c r="AH33" s="37"/>
    </row>
    <row r="34" spans="1:34" ht="18" thickBot="1">
      <c r="A34" s="365" t="str">
        <f>A2</f>
        <v>01/06/2022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>
        <f>J2</f>
        <v>0</v>
      </c>
      <c r="K34" s="367"/>
      <c r="L34" s="369" t="s">
        <v>50</v>
      </c>
      <c r="M34" s="370"/>
      <c r="N34" s="368"/>
      <c r="O34" s="366">
        <f>O2</f>
        <v>0</v>
      </c>
      <c r="P34" s="366"/>
      <c r="Q34" s="367"/>
      <c r="R34" s="369" t="s">
        <v>51</v>
      </c>
      <c r="S34" s="368"/>
      <c r="T34" s="357">
        <f>T2</f>
        <v>6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8" t="s">
        <v>8</v>
      </c>
      <c r="P36" s="358"/>
      <c r="Q36" s="35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2"/>
      <c r="P37" s="331"/>
      <c r="Q37" s="333"/>
      <c r="R37" s="60"/>
      <c r="S37" s="61"/>
      <c r="T37" s="61"/>
      <c r="U37" s="70"/>
    </row>
    <row r="38" spans="1:3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9"/>
      <c r="P38" s="360"/>
      <c r="Q38" s="36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2"/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0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01/06/2022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>
        <f>J34</f>
        <v>0</v>
      </c>
      <c r="K66" s="367"/>
      <c r="L66" s="369" t="s">
        <v>50</v>
      </c>
      <c r="M66" s="370"/>
      <c r="N66" s="368"/>
      <c r="O66" s="366">
        <f>O34</f>
        <v>0</v>
      </c>
      <c r="P66" s="366"/>
      <c r="Q66" s="367"/>
      <c r="R66" s="369" t="s">
        <v>51</v>
      </c>
      <c r="S66" s="368"/>
      <c r="T66" s="357">
        <f>T34</f>
        <v>6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8" t="s">
        <v>8</v>
      </c>
      <c r="P68" s="358"/>
      <c r="Q68" s="35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I28" sqref="I28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269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162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7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8" t="s">
        <v>8</v>
      </c>
      <c r="P4" s="358"/>
      <c r="Q4" s="35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4975</v>
      </c>
      <c r="C5" s="68" t="s">
        <v>272</v>
      </c>
      <c r="D5" s="200" t="s">
        <v>273</v>
      </c>
      <c r="E5" s="181" t="s">
        <v>92</v>
      </c>
      <c r="F5" s="170">
        <v>930</v>
      </c>
      <c r="G5" s="118" t="s">
        <v>106</v>
      </c>
      <c r="H5" s="91"/>
      <c r="I5" s="124"/>
      <c r="J5" s="130" t="str">
        <f>IF(G5="RSL","55","0")</f>
        <v>0</v>
      </c>
      <c r="K5" s="130">
        <v>79.16</v>
      </c>
      <c r="L5" s="131"/>
      <c r="M5" s="131"/>
      <c r="N5" s="134" t="s">
        <v>99</v>
      </c>
      <c r="O5" s="404" t="s">
        <v>274</v>
      </c>
      <c r="P5" s="405"/>
      <c r="Q5" s="406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4976</v>
      </c>
      <c r="C6" s="67" t="s">
        <v>279</v>
      </c>
      <c r="D6" s="200" t="s">
        <v>280</v>
      </c>
      <c r="E6" s="181" t="s">
        <v>92</v>
      </c>
      <c r="F6" s="171">
        <v>930</v>
      </c>
      <c r="G6" s="118" t="s">
        <v>123</v>
      </c>
      <c r="H6" s="91">
        <v>55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9"/>
      <c r="P6" s="360"/>
      <c r="Q6" s="361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4977</v>
      </c>
      <c r="C7" s="67" t="s">
        <v>275</v>
      </c>
      <c r="D7" s="200" t="s">
        <v>276</v>
      </c>
      <c r="E7" s="181" t="s">
        <v>91</v>
      </c>
      <c r="F7" s="171">
        <v>950</v>
      </c>
      <c r="G7" s="118" t="s">
        <v>44</v>
      </c>
      <c r="H7" s="91"/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99</v>
      </c>
      <c r="O7" s="332">
        <v>202204038</v>
      </c>
      <c r="P7" s="331"/>
      <c r="Q7" s="333"/>
      <c r="R7" s="134" t="s">
        <v>270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4978</v>
      </c>
      <c r="C8" s="27" t="s">
        <v>277</v>
      </c>
      <c r="D8" s="200" t="s">
        <v>278</v>
      </c>
      <c r="E8" s="181" t="s">
        <v>91</v>
      </c>
      <c r="F8" s="171">
        <v>1000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2"/>
      <c r="P8" s="363"/>
      <c r="Q8" s="364"/>
      <c r="R8" s="26" t="s">
        <v>172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4979</v>
      </c>
      <c r="C9" s="63" t="s">
        <v>281</v>
      </c>
      <c r="D9" s="201" t="s">
        <v>282</v>
      </c>
      <c r="E9" s="181" t="s">
        <v>91</v>
      </c>
      <c r="F9" s="172">
        <v>1010</v>
      </c>
      <c r="G9" s="119" t="s">
        <v>123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271</v>
      </c>
      <c r="S9" s="31">
        <v>0.35416666666666669</v>
      </c>
      <c r="T9" s="32">
        <v>0.70833333333333337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4980</v>
      </c>
      <c r="C10" s="28" t="s">
        <v>283</v>
      </c>
      <c r="D10" s="202" t="s">
        <v>284</v>
      </c>
      <c r="E10" s="181" t="s">
        <v>92</v>
      </c>
      <c r="F10" s="173">
        <v>1015</v>
      </c>
      <c r="G10" s="120" t="s">
        <v>120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4"/>
      <c r="P10" s="355"/>
      <c r="Q10" s="356"/>
      <c r="R10" s="26" t="s">
        <v>227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4981</v>
      </c>
      <c r="C11" s="18" t="s">
        <v>285</v>
      </c>
      <c r="D11" s="203" t="s">
        <v>286</v>
      </c>
      <c r="E11" s="181" t="s">
        <v>92</v>
      </c>
      <c r="F11" s="66">
        <v>1015</v>
      </c>
      <c r="G11" s="121" t="s">
        <v>120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2"/>
      <c r="P11" s="331"/>
      <c r="Q11" s="333"/>
      <c r="R11" s="26" t="s">
        <v>103</v>
      </c>
      <c r="S11" s="31">
        <v>0.46875</v>
      </c>
      <c r="T11" s="32">
        <v>0.70833333333333337</v>
      </c>
      <c r="U11" s="92">
        <f t="shared" si="0"/>
        <v>5.7500000000000009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4982</v>
      </c>
      <c r="C12" s="64" t="s">
        <v>287</v>
      </c>
      <c r="D12" s="204" t="s">
        <v>288</v>
      </c>
      <c r="E12" s="181" t="s">
        <v>92</v>
      </c>
      <c r="F12" s="173">
        <v>1025</v>
      </c>
      <c r="G12" s="119" t="s">
        <v>123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2"/>
      <c r="P12" s="331"/>
      <c r="Q12" s="33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4983</v>
      </c>
      <c r="C13" s="64" t="s">
        <v>299</v>
      </c>
      <c r="D13" s="204" t="s">
        <v>300</v>
      </c>
      <c r="E13" s="181" t="s">
        <v>92</v>
      </c>
      <c r="F13" s="173">
        <v>1045</v>
      </c>
      <c r="G13" s="119" t="s">
        <v>123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2"/>
      <c r="P13" s="331"/>
      <c r="Q13" s="33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280">
        <v>10</v>
      </c>
      <c r="B14" s="286">
        <v>4984</v>
      </c>
      <c r="C14" s="306" t="s">
        <v>310</v>
      </c>
      <c r="D14" s="307" t="s">
        <v>311</v>
      </c>
      <c r="E14" s="284" t="s">
        <v>92</v>
      </c>
      <c r="F14" s="308">
        <v>1100</v>
      </c>
      <c r="G14" s="281" t="s">
        <v>175</v>
      </c>
      <c r="H14" s="293"/>
      <c r="I14" s="293">
        <v>250</v>
      </c>
      <c r="J14" s="287" t="str">
        <f t="shared" si="1"/>
        <v>0</v>
      </c>
      <c r="K14" s="287" t="str">
        <f t="shared" si="2"/>
        <v>0</v>
      </c>
      <c r="L14" s="288"/>
      <c r="M14" s="288"/>
      <c r="N14" s="282" t="s">
        <v>99</v>
      </c>
      <c r="O14" s="407" t="s">
        <v>78</v>
      </c>
      <c r="P14" s="408"/>
      <c r="Q14" s="4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4985</v>
      </c>
      <c r="C15" s="65" t="s">
        <v>289</v>
      </c>
      <c r="D15" s="205" t="s">
        <v>290</v>
      </c>
      <c r="E15" s="181" t="s">
        <v>92</v>
      </c>
      <c r="F15" s="174">
        <v>1105</v>
      </c>
      <c r="G15" s="122" t="s">
        <v>248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2"/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4986</v>
      </c>
      <c r="C16" s="65" t="s">
        <v>308</v>
      </c>
      <c r="D16" s="205" t="s">
        <v>309</v>
      </c>
      <c r="E16" s="181" t="s">
        <v>92</v>
      </c>
      <c r="F16" s="174">
        <v>1110</v>
      </c>
      <c r="G16" s="122" t="s">
        <v>120</v>
      </c>
      <c r="H16" s="123"/>
      <c r="I16" s="124">
        <v>85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2"/>
      <c r="P16" s="331"/>
      <c r="Q16" s="333"/>
      <c r="R16" s="82">
        <f>H32/U16</f>
        <v>0.40528634361233473</v>
      </c>
      <c r="S16" s="83">
        <f>H32/(U16-U5)</f>
        <v>0.48167539267015702</v>
      </c>
      <c r="T16" s="83">
        <f>C32/U16</f>
        <v>36.358061674008809</v>
      </c>
      <c r="U16" s="83">
        <f>SUM(U5:U15)</f>
        <v>56.750000000000007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4987</v>
      </c>
      <c r="C17" s="18" t="s">
        <v>291</v>
      </c>
      <c r="D17" s="203" t="s">
        <v>292</v>
      </c>
      <c r="E17" s="181" t="s">
        <v>91</v>
      </c>
      <c r="F17" s="66">
        <v>1130</v>
      </c>
      <c r="G17" s="121" t="s">
        <v>154</v>
      </c>
      <c r="H17" s="123"/>
      <c r="I17" s="124"/>
      <c r="J17" s="130" t="str">
        <f t="shared" si="1"/>
        <v>0</v>
      </c>
      <c r="K17" s="130">
        <v>125</v>
      </c>
      <c r="L17" s="131"/>
      <c r="M17" s="131"/>
      <c r="N17" s="134" t="s">
        <v>99</v>
      </c>
      <c r="O17" s="332" t="s">
        <v>293</v>
      </c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280">
        <v>14</v>
      </c>
      <c r="B18" s="286">
        <v>4988</v>
      </c>
      <c r="C18" s="295" t="s">
        <v>294</v>
      </c>
      <c r="D18" s="296" t="s">
        <v>295</v>
      </c>
      <c r="E18" s="284" t="s">
        <v>91</v>
      </c>
      <c r="F18" s="297">
        <v>1145</v>
      </c>
      <c r="G18" s="286" t="s">
        <v>106</v>
      </c>
      <c r="H18" s="293"/>
      <c r="I18" s="287"/>
      <c r="J18" s="287" t="str">
        <f t="shared" si="1"/>
        <v>0</v>
      </c>
      <c r="K18" s="287">
        <v>79.16</v>
      </c>
      <c r="L18" s="288"/>
      <c r="M18" s="288">
        <v>475</v>
      </c>
      <c r="N18" s="282" t="s">
        <v>99</v>
      </c>
      <c r="O18" s="407" t="s">
        <v>296</v>
      </c>
      <c r="P18" s="408"/>
      <c r="Q18" s="4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4989</v>
      </c>
      <c r="C19" s="18" t="s">
        <v>297</v>
      </c>
      <c r="D19" s="203" t="s">
        <v>298</v>
      </c>
      <c r="E19" s="181" t="s">
        <v>92</v>
      </c>
      <c r="F19" s="66">
        <v>1200</v>
      </c>
      <c r="G19" s="121" t="s">
        <v>120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2"/>
      <c r="P19" s="331"/>
      <c r="Q19" s="331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4990</v>
      </c>
      <c r="C20" s="18" t="s">
        <v>301</v>
      </c>
      <c r="D20" s="203" t="s">
        <v>302</v>
      </c>
      <c r="E20" s="181" t="s">
        <v>92</v>
      </c>
      <c r="F20" s="66">
        <v>1215</v>
      </c>
      <c r="G20" s="121" t="s">
        <v>123</v>
      </c>
      <c r="H20" s="123"/>
      <c r="I20" s="21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400"/>
      <c r="P20" s="401"/>
      <c r="Q20" s="40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280">
        <v>17</v>
      </c>
      <c r="B21" s="281">
        <v>4991</v>
      </c>
      <c r="C21" s="295" t="s">
        <v>316</v>
      </c>
      <c r="D21" s="296" t="s">
        <v>317</v>
      </c>
      <c r="E21" s="284" t="s">
        <v>92</v>
      </c>
      <c r="F21" s="297">
        <v>1300</v>
      </c>
      <c r="G21" s="286" t="s">
        <v>175</v>
      </c>
      <c r="H21" s="293"/>
      <c r="I21" s="287">
        <v>250</v>
      </c>
      <c r="J21" s="287" t="str">
        <f t="shared" si="1"/>
        <v>0</v>
      </c>
      <c r="K21" s="287" t="str">
        <f t="shared" si="2"/>
        <v>0</v>
      </c>
      <c r="L21" s="288"/>
      <c r="M21" s="288"/>
      <c r="N21" s="282" t="s">
        <v>99</v>
      </c>
      <c r="O21" s="407" t="s">
        <v>78</v>
      </c>
      <c r="P21" s="408"/>
      <c r="Q21" s="4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4992</v>
      </c>
      <c r="C22" s="127" t="s">
        <v>303</v>
      </c>
      <c r="D22" s="206" t="s">
        <v>304</v>
      </c>
      <c r="E22" s="181" t="s">
        <v>92</v>
      </c>
      <c r="F22" s="175">
        <v>1300</v>
      </c>
      <c r="G22" s="263" t="s">
        <v>120</v>
      </c>
      <c r="H22" s="89">
        <v>95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32"/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4993</v>
      </c>
      <c r="C23" s="136" t="s">
        <v>312</v>
      </c>
      <c r="D23" s="207" t="s">
        <v>313</v>
      </c>
      <c r="E23" s="181" t="s">
        <v>92</v>
      </c>
      <c r="F23" s="176">
        <v>1325</v>
      </c>
      <c r="G23" s="165" t="s">
        <v>123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103</v>
      </c>
      <c r="O23" s="163"/>
      <c r="P23" s="164"/>
      <c r="Q23" s="159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4994</v>
      </c>
      <c r="C24" s="127" t="s">
        <v>305</v>
      </c>
      <c r="D24" s="206" t="s">
        <v>306</v>
      </c>
      <c r="E24" s="181" t="s">
        <v>92</v>
      </c>
      <c r="F24" s="175">
        <v>1330</v>
      </c>
      <c r="G24" s="263" t="s">
        <v>307</v>
      </c>
      <c r="H24" s="89"/>
      <c r="I24" s="141">
        <v>65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32"/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4995</v>
      </c>
      <c r="C25" s="132" t="s">
        <v>314</v>
      </c>
      <c r="D25" s="208" t="s">
        <v>315</v>
      </c>
      <c r="E25" s="181" t="s">
        <v>92</v>
      </c>
      <c r="F25" s="175">
        <v>1330</v>
      </c>
      <c r="G25" s="263" t="s">
        <v>123</v>
      </c>
      <c r="H25" s="90"/>
      <c r="I25" s="90">
        <v>65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32"/>
      <c r="P25" s="331"/>
      <c r="Q25" s="33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2">
        <f>((C32+(R26+S26+T26)*0.5))</f>
        <v>2063.3200000000002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>
        <v>4996</v>
      </c>
      <c r="C26" s="27" t="s">
        <v>318</v>
      </c>
      <c r="D26" s="209" t="s">
        <v>319</v>
      </c>
      <c r="E26" s="181" t="s">
        <v>92</v>
      </c>
      <c r="F26" s="177">
        <v>1530</v>
      </c>
      <c r="G26" s="20" t="s">
        <v>123</v>
      </c>
      <c r="H26" s="89"/>
      <c r="I26" s="141">
        <v>55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32"/>
      <c r="P26" s="331"/>
      <c r="Q26" s="333"/>
      <c r="R26" s="112">
        <f>R25*37.5</f>
        <v>0</v>
      </c>
      <c r="S26" s="102">
        <f>S25*41.5</f>
        <v>0</v>
      </c>
      <c r="T26" s="102">
        <f>T25*50</f>
        <v>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>
        <v>4997</v>
      </c>
      <c r="C27" s="27" t="s">
        <v>320</v>
      </c>
      <c r="D27" s="209" t="s">
        <v>321</v>
      </c>
      <c r="E27" s="181" t="s">
        <v>92</v>
      </c>
      <c r="F27" s="177">
        <v>1615</v>
      </c>
      <c r="G27" s="20" t="s">
        <v>123</v>
      </c>
      <c r="H27" s="89"/>
      <c r="I27" s="141">
        <v>55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2"/>
      <c r="P28" s="331"/>
      <c r="Q28" s="333"/>
      <c r="R28" s="388"/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64">
        <f t="shared" ref="H30:M30" si="3">SUM(H5:H29)</f>
        <v>150</v>
      </c>
      <c r="I30" s="105">
        <f>SUM(I5:I29)</f>
        <v>1575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283.32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65">
        <f t="shared" ref="H31:J31" si="4">H30+H62+H94</f>
        <v>150</v>
      </c>
      <c r="I31" s="103">
        <f t="shared" si="4"/>
        <v>1575</v>
      </c>
      <c r="J31" s="103">
        <f t="shared" si="4"/>
        <v>55</v>
      </c>
      <c r="K31" s="103">
        <f>K30+K62+K94</f>
        <v>283.32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17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150</v>
      </c>
      <c r="T31" s="371">
        <f>H31+I31+L31+M31</f>
        <v>2200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2063.3200000000002</v>
      </c>
      <c r="D32" s="196"/>
      <c r="E32" s="107"/>
      <c r="F32" s="393" t="s">
        <v>53</v>
      </c>
      <c r="G32" s="393"/>
      <c r="H32" s="109">
        <f>COUNT(B5:B29,B37:B61,B69:B93)</f>
        <v>23</v>
      </c>
      <c r="I32" s="394" t="s">
        <v>54</v>
      </c>
      <c r="J32" s="394"/>
      <c r="K32" s="108">
        <f>C32/H32</f>
        <v>89.709565217391315</v>
      </c>
      <c r="L32" s="260"/>
      <c r="M32" s="260"/>
      <c r="N32" s="260">
        <f>H31/C32</f>
        <v>7.2698369617897357E-2</v>
      </c>
      <c r="O32" s="260">
        <f>I31/C32</f>
        <v>0.76333288098792229</v>
      </c>
      <c r="P32" s="260">
        <f>K31/C32</f>
        <v>0.13731268053428453</v>
      </c>
      <c r="Q32" s="110">
        <f>J31/C32</f>
        <v>2.6656068859895701E-2</v>
      </c>
      <c r="R32" s="99" t="s">
        <v>82</v>
      </c>
      <c r="S32" s="266">
        <f>I31+M31</f>
        <v>2050</v>
      </c>
      <c r="T32" s="373"/>
      <c r="U32" s="374"/>
      <c r="V32" s="55"/>
      <c r="W32" s="55"/>
      <c r="X32" s="56" t="s">
        <v>27</v>
      </c>
      <c r="Y32" s="56"/>
      <c r="Z32" s="54">
        <f>I31</f>
        <v>1575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-1170</v>
      </c>
      <c r="AE33" s="37"/>
      <c r="AF33" s="37"/>
      <c r="AG33" s="59"/>
      <c r="AH33" s="37"/>
    </row>
    <row r="34" spans="1:34" ht="18" thickBot="1">
      <c r="A34" s="365" t="str">
        <f>A2</f>
        <v>2 - 6 - 2022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SUNNY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7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8" t="s">
        <v>8</v>
      </c>
      <c r="P36" s="358"/>
      <c r="Q36" s="35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2"/>
      <c r="P37" s="331"/>
      <c r="Q37" s="333"/>
      <c r="R37" s="60"/>
      <c r="S37" s="61"/>
      <c r="T37" s="61"/>
      <c r="U37" s="70"/>
    </row>
    <row r="38" spans="1:3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9"/>
      <c r="P38" s="360"/>
      <c r="Q38" s="36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2"/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0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2 - 6 - 2022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SUNNY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7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8" t="s">
        <v>8</v>
      </c>
      <c r="P68" s="358"/>
      <c r="Q68" s="35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T13" sqref="T13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322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162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6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8" t="s">
        <v>370</v>
      </c>
      <c r="P4" s="358"/>
      <c r="Q4" s="35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314">
        <v>1</v>
      </c>
      <c r="B5" s="281">
        <v>4998</v>
      </c>
      <c r="C5" s="315" t="s">
        <v>378</v>
      </c>
      <c r="D5" s="316" t="s">
        <v>379</v>
      </c>
      <c r="E5" s="284" t="s">
        <v>92</v>
      </c>
      <c r="F5" s="317">
        <v>850</v>
      </c>
      <c r="G5" s="281" t="s">
        <v>183</v>
      </c>
      <c r="H5" s="287"/>
      <c r="I5" s="287">
        <v>500</v>
      </c>
      <c r="J5" s="287" t="str">
        <f>IF(G5="RSL","55","0")</f>
        <v>0</v>
      </c>
      <c r="K5" s="287" t="str">
        <f>IF(G5="GVS","37.5",IF(G5="GVM","41.5",IF(G5="GVL","50",IF(G5="PCS","45.8",IF(G5="PCM","50",IF(G5="PCL","58.3","0"))))))</f>
        <v>0</v>
      </c>
      <c r="L5" s="288"/>
      <c r="M5" s="288"/>
      <c r="N5" s="282" t="s">
        <v>99</v>
      </c>
      <c r="O5" s="412" t="s">
        <v>80</v>
      </c>
      <c r="P5" s="413"/>
      <c r="Q5" s="414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4999</v>
      </c>
      <c r="C6" s="67" t="s">
        <v>328</v>
      </c>
      <c r="D6" s="200" t="s">
        <v>325</v>
      </c>
      <c r="E6" s="181" t="s">
        <v>92</v>
      </c>
      <c r="F6" s="171">
        <v>905</v>
      </c>
      <c r="G6" s="118" t="s">
        <v>123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9"/>
      <c r="P6" s="360"/>
      <c r="Q6" s="361"/>
      <c r="R6" s="132" t="s">
        <v>271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5000</v>
      </c>
      <c r="C7" s="67" t="s">
        <v>326</v>
      </c>
      <c r="D7" s="200" t="s">
        <v>327</v>
      </c>
      <c r="E7" s="181" t="s">
        <v>92</v>
      </c>
      <c r="F7" s="171">
        <v>915</v>
      </c>
      <c r="G7" s="118" t="s">
        <v>120</v>
      </c>
      <c r="H7" s="91">
        <v>85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2"/>
      <c r="P7" s="331"/>
      <c r="Q7" s="333"/>
      <c r="R7" s="134" t="s">
        <v>172</v>
      </c>
      <c r="S7" s="31">
        <v>0.35416666666666669</v>
      </c>
      <c r="T7" s="32">
        <v>0.72916666666666663</v>
      </c>
      <c r="U7" s="92">
        <f t="shared" si="0"/>
        <v>8.9999999999999982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1801</v>
      </c>
      <c r="C8" s="27" t="s">
        <v>329</v>
      </c>
      <c r="D8" s="200" t="s">
        <v>330</v>
      </c>
      <c r="E8" s="181" t="s">
        <v>92</v>
      </c>
      <c r="F8" s="171">
        <v>920</v>
      </c>
      <c r="G8" s="118" t="s">
        <v>120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2"/>
      <c r="P8" s="363"/>
      <c r="Q8" s="364"/>
      <c r="R8" s="26" t="s">
        <v>227</v>
      </c>
      <c r="S8" s="31">
        <v>0.375</v>
      </c>
      <c r="T8" s="32">
        <v>0.72916666666666663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309">
        <v>1802</v>
      </c>
      <c r="C9" s="63" t="s">
        <v>331</v>
      </c>
      <c r="D9" s="201" t="s">
        <v>332</v>
      </c>
      <c r="E9" s="181" t="s">
        <v>92</v>
      </c>
      <c r="F9" s="172">
        <v>945</v>
      </c>
      <c r="G9" s="119" t="s">
        <v>120</v>
      </c>
      <c r="H9" s="91"/>
      <c r="I9" s="91">
        <v>85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103</v>
      </c>
      <c r="S9" s="31">
        <v>0.41666666666666669</v>
      </c>
      <c r="T9" s="32">
        <v>0.72916666666666663</v>
      </c>
      <c r="U9" s="92">
        <f t="shared" si="0"/>
        <v>7.4999999999999982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1803</v>
      </c>
      <c r="C10" s="28" t="s">
        <v>333</v>
      </c>
      <c r="D10" s="202" t="s">
        <v>334</v>
      </c>
      <c r="E10" s="181" t="s">
        <v>92</v>
      </c>
      <c r="F10" s="173">
        <v>1000</v>
      </c>
      <c r="G10" s="120" t="s">
        <v>126</v>
      </c>
      <c r="H10" s="123">
        <v>140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4"/>
      <c r="P10" s="355"/>
      <c r="Q10" s="356"/>
      <c r="R10" s="26" t="s">
        <v>100</v>
      </c>
      <c r="S10" s="31">
        <v>0.45833333333333331</v>
      </c>
      <c r="T10" s="32">
        <v>0.72916666666666663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1804</v>
      </c>
      <c r="C11" s="18" t="s">
        <v>335</v>
      </c>
      <c r="D11" s="203" t="s">
        <v>336</v>
      </c>
      <c r="E11" s="181" t="s">
        <v>91</v>
      </c>
      <c r="F11" s="66">
        <v>1000</v>
      </c>
      <c r="G11" s="121" t="s">
        <v>120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2"/>
      <c r="P11" s="331"/>
      <c r="Q11" s="333"/>
      <c r="R11" s="26" t="s">
        <v>323</v>
      </c>
      <c r="S11" s="31">
        <v>0.33333333333333331</v>
      </c>
      <c r="T11" s="32">
        <v>0.58333333333333337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1805</v>
      </c>
      <c r="C12" s="64" t="s">
        <v>337</v>
      </c>
      <c r="D12" s="204" t="s">
        <v>338</v>
      </c>
      <c r="E12" s="181" t="s">
        <v>92</v>
      </c>
      <c r="F12" s="173">
        <v>1005</v>
      </c>
      <c r="G12" s="119" t="s">
        <v>123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2"/>
      <c r="P12" s="331"/>
      <c r="Q12" s="333"/>
      <c r="R12" s="26" t="s">
        <v>324</v>
      </c>
      <c r="S12" s="31">
        <v>0.375</v>
      </c>
      <c r="T12" s="32">
        <v>0.58333333333333337</v>
      </c>
      <c r="U12" s="92">
        <f t="shared" si="0"/>
        <v>5.0000000000000009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1806</v>
      </c>
      <c r="C13" s="64" t="s">
        <v>339</v>
      </c>
      <c r="D13" s="204" t="s">
        <v>340</v>
      </c>
      <c r="E13" s="181" t="s">
        <v>91</v>
      </c>
      <c r="F13" s="173">
        <v>1020</v>
      </c>
      <c r="G13" s="119" t="s">
        <v>106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99</v>
      </c>
      <c r="O13" s="332" t="s">
        <v>341</v>
      </c>
      <c r="P13" s="331"/>
      <c r="Q13" s="33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1807</v>
      </c>
      <c r="C14" s="65" t="s">
        <v>342</v>
      </c>
      <c r="D14" s="205" t="s">
        <v>343</v>
      </c>
      <c r="E14" s="181" t="s">
        <v>92</v>
      </c>
      <c r="F14" s="174">
        <v>1020</v>
      </c>
      <c r="G14" s="122" t="s">
        <v>123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2"/>
      <c r="P14" s="331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1808</v>
      </c>
      <c r="C15" s="65" t="s">
        <v>344</v>
      </c>
      <c r="D15" s="205" t="s">
        <v>345</v>
      </c>
      <c r="E15" s="181" t="s">
        <v>91</v>
      </c>
      <c r="F15" s="174">
        <v>1030</v>
      </c>
      <c r="G15" s="122" t="s">
        <v>44</v>
      </c>
      <c r="H15" s="123"/>
      <c r="I15" s="124"/>
      <c r="J15" s="130">
        <v>110</v>
      </c>
      <c r="K15" s="130" t="str">
        <f t="shared" si="2"/>
        <v>0</v>
      </c>
      <c r="L15" s="131"/>
      <c r="M15" s="131"/>
      <c r="N15" s="134" t="s">
        <v>99</v>
      </c>
      <c r="O15" s="332" t="s">
        <v>346</v>
      </c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1809</v>
      </c>
      <c r="C16" s="65" t="s">
        <v>347</v>
      </c>
      <c r="D16" s="205" t="s">
        <v>348</v>
      </c>
      <c r="E16" s="181" t="s">
        <v>92</v>
      </c>
      <c r="F16" s="174">
        <v>1030</v>
      </c>
      <c r="G16" s="122" t="s">
        <v>120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2"/>
      <c r="P16" s="331"/>
      <c r="Q16" s="333"/>
      <c r="R16" s="82">
        <f>H32/U16</f>
        <v>0.44081632653061226</v>
      </c>
      <c r="S16" s="83">
        <f>H32/(U16-U5)</f>
        <v>0.52173913043478259</v>
      </c>
      <c r="T16" s="83">
        <f>C32/U16</f>
        <v>51.414857142857137</v>
      </c>
      <c r="U16" s="83">
        <f>SUM(U5:U15)</f>
        <v>61.25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1810</v>
      </c>
      <c r="C17" s="18" t="s">
        <v>349</v>
      </c>
      <c r="D17" s="203" t="s">
        <v>350</v>
      </c>
      <c r="E17" s="181" t="s">
        <v>92</v>
      </c>
      <c r="F17" s="66">
        <v>1115</v>
      </c>
      <c r="G17" s="121" t="s">
        <v>123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1811</v>
      </c>
      <c r="C18" s="18" t="s">
        <v>351</v>
      </c>
      <c r="D18" s="203" t="s">
        <v>352</v>
      </c>
      <c r="E18" s="181" t="s">
        <v>92</v>
      </c>
      <c r="F18" s="66">
        <v>1115</v>
      </c>
      <c r="G18" s="20" t="s">
        <v>123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1812</v>
      </c>
      <c r="C19" s="18" t="s">
        <v>353</v>
      </c>
      <c r="D19" s="203" t="s">
        <v>354</v>
      </c>
      <c r="E19" s="181" t="s">
        <v>92</v>
      </c>
      <c r="F19" s="66">
        <v>1130</v>
      </c>
      <c r="G19" s="121" t="s">
        <v>126</v>
      </c>
      <c r="H19" s="123"/>
      <c r="I19" s="124">
        <v>180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2"/>
      <c r="P19" s="331"/>
      <c r="Q19" s="33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1813</v>
      </c>
      <c r="C20" s="18" t="s">
        <v>355</v>
      </c>
      <c r="D20" s="203" t="s">
        <v>356</v>
      </c>
      <c r="E20" s="181" t="s">
        <v>92</v>
      </c>
      <c r="F20" s="66">
        <v>1145</v>
      </c>
      <c r="G20" s="121" t="s">
        <v>126</v>
      </c>
      <c r="H20" s="123"/>
      <c r="I20" s="219">
        <v>120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400"/>
      <c r="P20" s="401"/>
      <c r="Q20" s="40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1814</v>
      </c>
      <c r="C21" s="18" t="s">
        <v>357</v>
      </c>
      <c r="D21" s="203" t="s">
        <v>358</v>
      </c>
      <c r="E21" s="181" t="s">
        <v>91</v>
      </c>
      <c r="F21" s="66">
        <v>1210</v>
      </c>
      <c r="G21" s="20" t="s">
        <v>44</v>
      </c>
      <c r="H21" s="123">
        <v>20</v>
      </c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99</v>
      </c>
      <c r="O21" s="332" t="s">
        <v>359</v>
      </c>
      <c r="P21" s="331"/>
      <c r="Q21" s="33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1815</v>
      </c>
      <c r="C22" s="127" t="s">
        <v>360</v>
      </c>
      <c r="D22" s="206" t="s">
        <v>361</v>
      </c>
      <c r="E22" s="181" t="s">
        <v>92</v>
      </c>
      <c r="F22" s="175">
        <v>1115</v>
      </c>
      <c r="G22" s="263" t="s">
        <v>123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32"/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1816</v>
      </c>
      <c r="C23" s="136" t="s">
        <v>362</v>
      </c>
      <c r="D23" s="207" t="s">
        <v>363</v>
      </c>
      <c r="E23" s="181" t="s">
        <v>92</v>
      </c>
      <c r="F23" s="176">
        <v>1215</v>
      </c>
      <c r="G23" s="165" t="s">
        <v>123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280">
        <v>20</v>
      </c>
      <c r="B24" s="286">
        <v>1817</v>
      </c>
      <c r="C24" s="290" t="s">
        <v>364</v>
      </c>
      <c r="D24" s="291" t="s">
        <v>365</v>
      </c>
      <c r="E24" s="284" t="s">
        <v>92</v>
      </c>
      <c r="F24" s="292">
        <v>1230</v>
      </c>
      <c r="G24" s="286" t="s">
        <v>210</v>
      </c>
      <c r="H24" s="293"/>
      <c r="I24" s="293">
        <v>240</v>
      </c>
      <c r="J24" s="287" t="str">
        <f t="shared" si="1"/>
        <v>0</v>
      </c>
      <c r="K24" s="287" t="str">
        <f t="shared" si="2"/>
        <v>0</v>
      </c>
      <c r="L24" s="287"/>
      <c r="M24" s="287"/>
      <c r="N24" s="282" t="s">
        <v>99</v>
      </c>
      <c r="O24" s="407" t="s">
        <v>80</v>
      </c>
      <c r="P24" s="408"/>
      <c r="Q24" s="4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1818</v>
      </c>
      <c r="C25" s="132" t="s">
        <v>366</v>
      </c>
      <c r="D25" s="208" t="s">
        <v>367</v>
      </c>
      <c r="E25" s="181" t="s">
        <v>91</v>
      </c>
      <c r="F25" s="175">
        <v>1245</v>
      </c>
      <c r="G25" s="263" t="s">
        <v>126</v>
      </c>
      <c r="H25" s="90"/>
      <c r="I25" s="90">
        <v>120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32"/>
      <c r="P25" s="331"/>
      <c r="Q25" s="33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2">
        <f>((C32+(R26+S26+T26)*0.5))</f>
        <v>3149.16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280">
        <v>22</v>
      </c>
      <c r="B26" s="286">
        <v>1819</v>
      </c>
      <c r="C26" s="282" t="s">
        <v>371</v>
      </c>
      <c r="D26" s="283" t="s">
        <v>372</v>
      </c>
      <c r="E26" s="284" t="s">
        <v>91</v>
      </c>
      <c r="F26" s="292">
        <v>1315</v>
      </c>
      <c r="G26" s="286" t="s">
        <v>175</v>
      </c>
      <c r="H26" s="293"/>
      <c r="I26" s="293">
        <v>250</v>
      </c>
      <c r="J26" s="287" t="str">
        <f t="shared" si="1"/>
        <v>0</v>
      </c>
      <c r="K26" s="287" t="str">
        <f t="shared" si="2"/>
        <v>0</v>
      </c>
      <c r="L26" s="287"/>
      <c r="M26" s="287"/>
      <c r="N26" s="282" t="s">
        <v>99</v>
      </c>
      <c r="O26" s="407" t="s">
        <v>78</v>
      </c>
      <c r="P26" s="408"/>
      <c r="Q26" s="409"/>
      <c r="R26" s="112">
        <f>R25*37.5</f>
        <v>0</v>
      </c>
      <c r="S26" s="102">
        <f>S25*41.5</f>
        <v>0</v>
      </c>
      <c r="T26" s="102">
        <f>T25*50</f>
        <v>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309">
        <v>1820</v>
      </c>
      <c r="C27" s="27" t="s">
        <v>373</v>
      </c>
      <c r="D27" s="209" t="s">
        <v>374</v>
      </c>
      <c r="E27" s="181" t="s">
        <v>92</v>
      </c>
      <c r="F27" s="177">
        <v>1330</v>
      </c>
      <c r="G27" s="20" t="s">
        <v>123</v>
      </c>
      <c r="H27" s="89"/>
      <c r="I27" s="141">
        <v>85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>
        <v>1821</v>
      </c>
      <c r="C28" s="27" t="s">
        <v>368</v>
      </c>
      <c r="D28" s="209" t="s">
        <v>369</v>
      </c>
      <c r="E28" s="181" t="s">
        <v>92</v>
      </c>
      <c r="F28" s="177">
        <v>1400</v>
      </c>
      <c r="G28" s="20" t="s">
        <v>248</v>
      </c>
      <c r="H28" s="89"/>
      <c r="I28" s="141">
        <v>50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32"/>
      <c r="P28" s="331"/>
      <c r="Q28" s="333"/>
      <c r="R28" s="388"/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310">
        <v>25</v>
      </c>
      <c r="B29" s="281">
        <v>1822</v>
      </c>
      <c r="C29" s="311" t="s">
        <v>375</v>
      </c>
      <c r="D29" s="312" t="s">
        <v>376</v>
      </c>
      <c r="E29" s="313" t="s">
        <v>92</v>
      </c>
      <c r="F29" s="292">
        <v>1500</v>
      </c>
      <c r="G29" s="286" t="s">
        <v>175</v>
      </c>
      <c r="H29" s="293"/>
      <c r="I29" s="293">
        <v>250</v>
      </c>
      <c r="J29" s="287" t="str">
        <f t="shared" si="1"/>
        <v>0</v>
      </c>
      <c r="K29" s="287" t="str">
        <f t="shared" si="2"/>
        <v>0</v>
      </c>
      <c r="L29" s="287"/>
      <c r="M29" s="287"/>
      <c r="N29" s="282" t="s">
        <v>99</v>
      </c>
      <c r="O29" s="415" t="s">
        <v>78</v>
      </c>
      <c r="P29" s="416"/>
      <c r="Q29" s="41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64">
        <f t="shared" ref="H30:M30" si="3">SUM(H5:H29)</f>
        <v>320</v>
      </c>
      <c r="I30" s="105">
        <f>SUM(I5:I29)</f>
        <v>2435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79.16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377</v>
      </c>
      <c r="P30" s="261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65">
        <f t="shared" ref="H31:J31" si="4">H30+H62+H94</f>
        <v>320</v>
      </c>
      <c r="I31" s="103">
        <f t="shared" si="4"/>
        <v>2585</v>
      </c>
      <c r="J31" s="103">
        <f t="shared" si="4"/>
        <v>165</v>
      </c>
      <c r="K31" s="103">
        <f>K30+K62+K94</f>
        <v>79.16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21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320</v>
      </c>
      <c r="T31" s="371">
        <f>H31+I31+L31+M31</f>
        <v>2905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3149.16</v>
      </c>
      <c r="D32" s="196"/>
      <c r="E32" s="107"/>
      <c r="F32" s="393" t="s">
        <v>53</v>
      </c>
      <c r="G32" s="393"/>
      <c r="H32" s="109">
        <f>COUNT(B5:B29,B37:B61,B69:B93)</f>
        <v>27</v>
      </c>
      <c r="I32" s="394" t="s">
        <v>54</v>
      </c>
      <c r="J32" s="394"/>
      <c r="K32" s="108">
        <f>C32/H32</f>
        <v>116.63555555555556</v>
      </c>
      <c r="L32" s="260"/>
      <c r="M32" s="260"/>
      <c r="N32" s="260">
        <f>H31/C32</f>
        <v>0.10161439876030434</v>
      </c>
      <c r="O32" s="260">
        <f>I31/C32</f>
        <v>0.82085381498558352</v>
      </c>
      <c r="P32" s="260">
        <f>K31/C32</f>
        <v>2.5136861893330285E-2</v>
      </c>
      <c r="Q32" s="110">
        <f>J31/C32</f>
        <v>5.2394924360781928E-2</v>
      </c>
      <c r="R32" s="99" t="s">
        <v>82</v>
      </c>
      <c r="S32" s="266">
        <f>I31+M31</f>
        <v>2585</v>
      </c>
      <c r="T32" s="373"/>
      <c r="U32" s="374"/>
      <c r="V32" s="55"/>
      <c r="W32" s="55"/>
      <c r="X32" s="56" t="s">
        <v>27</v>
      </c>
      <c r="Y32" s="56"/>
      <c r="Z32" s="54">
        <f>I31</f>
        <v>2585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-160</v>
      </c>
      <c r="AE33" s="37"/>
      <c r="AF33" s="37"/>
      <c r="AG33" s="59"/>
      <c r="AH33" s="37"/>
    </row>
    <row r="34" spans="1:34" ht="18" thickBot="1">
      <c r="A34" s="365" t="str">
        <f>A2</f>
        <v>3 - 6 - 2022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SUNNY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6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8" t="s">
        <v>8</v>
      </c>
      <c r="P36" s="358"/>
      <c r="Q36" s="35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>
        <v>1823</v>
      </c>
      <c r="C37" s="68" t="s">
        <v>380</v>
      </c>
      <c r="D37" s="258" t="s">
        <v>381</v>
      </c>
      <c r="E37" s="181" t="s">
        <v>92</v>
      </c>
      <c r="F37" s="174">
        <v>1545</v>
      </c>
      <c r="G37" s="118" t="s">
        <v>123</v>
      </c>
      <c r="H37" s="91"/>
      <c r="I37" s="124">
        <v>55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32"/>
      <c r="P37" s="331"/>
      <c r="Q37" s="333"/>
      <c r="R37" s="60"/>
      <c r="S37" s="61"/>
      <c r="T37" s="61"/>
      <c r="U37" s="70"/>
    </row>
    <row r="38" spans="1:34">
      <c r="A38" s="128">
        <f>A37+1</f>
        <v>27</v>
      </c>
      <c r="B38" s="263">
        <v>1824</v>
      </c>
      <c r="C38" s="67" t="s">
        <v>382</v>
      </c>
      <c r="D38" s="195" t="s">
        <v>383</v>
      </c>
      <c r="E38" s="181" t="s">
        <v>92</v>
      </c>
      <c r="F38" s="179">
        <v>1600</v>
      </c>
      <c r="G38" s="118" t="s">
        <v>120</v>
      </c>
      <c r="H38" s="91"/>
      <c r="I38" s="124">
        <v>95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59"/>
      <c r="P38" s="360"/>
      <c r="Q38" s="36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2"/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150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3 - 6 - 2022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SUNNY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6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8" t="s">
        <v>8</v>
      </c>
      <c r="P68" s="358"/>
      <c r="Q68" s="35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19" zoomScaleNormal="100" zoomScaleSheetLayoutView="77" workbookViewId="0">
      <selection activeCell="T12" sqref="T12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384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162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9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8" t="s">
        <v>8</v>
      </c>
      <c r="P4" s="358"/>
      <c r="Q4" s="35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1825</v>
      </c>
      <c r="C5" s="68" t="s">
        <v>389</v>
      </c>
      <c r="D5" s="200" t="s">
        <v>390</v>
      </c>
      <c r="E5" s="181" t="s">
        <v>91</v>
      </c>
      <c r="F5" s="170">
        <v>900</v>
      </c>
      <c r="G5" s="118" t="s">
        <v>120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4"/>
      <c r="P5" s="405"/>
      <c r="Q5" s="406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1826</v>
      </c>
      <c r="C6" s="67" t="s">
        <v>391</v>
      </c>
      <c r="D6" s="200" t="s">
        <v>392</v>
      </c>
      <c r="E6" s="181" t="s">
        <v>92</v>
      </c>
      <c r="F6" s="171">
        <v>910</v>
      </c>
      <c r="G6" s="118" t="s">
        <v>123</v>
      </c>
      <c r="H6" s="91"/>
      <c r="I6" s="124">
        <v>70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9"/>
      <c r="P6" s="360"/>
      <c r="Q6" s="361"/>
      <c r="R6" s="132" t="s">
        <v>100</v>
      </c>
      <c r="S6" s="31">
        <v>0.34375</v>
      </c>
      <c r="T6" s="32">
        <v>0.70833333333333337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1827</v>
      </c>
      <c r="C7" s="67" t="s">
        <v>393</v>
      </c>
      <c r="D7" s="200" t="s">
        <v>394</v>
      </c>
      <c r="E7" s="181" t="s">
        <v>91</v>
      </c>
      <c r="F7" s="171">
        <v>915</v>
      </c>
      <c r="G7" s="118" t="s">
        <v>120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2"/>
      <c r="P7" s="331"/>
      <c r="Q7" s="333"/>
      <c r="R7" s="134" t="s">
        <v>101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1828</v>
      </c>
      <c r="C8" s="27" t="s">
        <v>395</v>
      </c>
      <c r="D8" s="200" t="s">
        <v>128</v>
      </c>
      <c r="E8" s="181" t="s">
        <v>92</v>
      </c>
      <c r="F8" s="171">
        <v>925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2"/>
      <c r="P8" s="363"/>
      <c r="Q8" s="364"/>
      <c r="R8" s="26" t="s">
        <v>172</v>
      </c>
      <c r="S8" s="31">
        <v>0.35416666666666669</v>
      </c>
      <c r="T8" s="32">
        <v>0.72916666666666663</v>
      </c>
      <c r="U8" s="92">
        <f t="shared" si="0"/>
        <v>8.9999999999999982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1829</v>
      </c>
      <c r="C9" s="63" t="s">
        <v>396</v>
      </c>
      <c r="D9" s="201" t="s">
        <v>397</v>
      </c>
      <c r="E9" s="181" t="s">
        <v>92</v>
      </c>
      <c r="F9" s="172">
        <v>930</v>
      </c>
      <c r="G9" s="119" t="s">
        <v>120</v>
      </c>
      <c r="H9" s="91"/>
      <c r="I9" s="91">
        <v>85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385</v>
      </c>
      <c r="S9" s="31">
        <v>0.375</v>
      </c>
      <c r="T9" s="32">
        <v>0.72916666666666663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1830</v>
      </c>
      <c r="C10" s="28" t="s">
        <v>398</v>
      </c>
      <c r="D10" s="202" t="s">
        <v>399</v>
      </c>
      <c r="E10" s="181" t="s">
        <v>92</v>
      </c>
      <c r="F10" s="173">
        <v>940</v>
      </c>
      <c r="G10" s="120" t="s">
        <v>123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4"/>
      <c r="P10" s="355"/>
      <c r="Q10" s="356"/>
      <c r="R10" s="26" t="s">
        <v>386</v>
      </c>
      <c r="S10" s="31">
        <v>0.375</v>
      </c>
      <c r="T10" s="32">
        <v>0.71875</v>
      </c>
      <c r="U10" s="92">
        <f t="shared" si="0"/>
        <v>8.25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1831</v>
      </c>
      <c r="C11" s="18" t="s">
        <v>400</v>
      </c>
      <c r="D11" s="203" t="s">
        <v>401</v>
      </c>
      <c r="E11" s="181" t="s">
        <v>92</v>
      </c>
      <c r="F11" s="66">
        <v>1000</v>
      </c>
      <c r="G11" s="121" t="s">
        <v>110</v>
      </c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2" t="s">
        <v>402</v>
      </c>
      <c r="P11" s="331"/>
      <c r="Q11" s="333"/>
      <c r="R11" s="26" t="s">
        <v>387</v>
      </c>
      <c r="S11" s="31">
        <v>0.39583333333333331</v>
      </c>
      <c r="T11" s="32">
        <v>0.72916666666666663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1832</v>
      </c>
      <c r="C12" s="64" t="s">
        <v>403</v>
      </c>
      <c r="D12" s="204" t="s">
        <v>404</v>
      </c>
      <c r="E12" s="181" t="s">
        <v>92</v>
      </c>
      <c r="F12" s="173">
        <v>1005</v>
      </c>
      <c r="G12" s="119" t="s">
        <v>123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2"/>
      <c r="P12" s="331"/>
      <c r="Q12" s="333"/>
      <c r="R12" s="26" t="s">
        <v>388</v>
      </c>
      <c r="S12" s="31">
        <v>0.4375</v>
      </c>
      <c r="T12" s="32">
        <v>0.71875</v>
      </c>
      <c r="U12" s="92">
        <f t="shared" si="0"/>
        <v>6.75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1833</v>
      </c>
      <c r="C13" s="64" t="s">
        <v>405</v>
      </c>
      <c r="D13" s="204" t="s">
        <v>406</v>
      </c>
      <c r="E13" s="181" t="s">
        <v>92</v>
      </c>
      <c r="F13" s="173">
        <v>1010</v>
      </c>
      <c r="G13" s="119" t="s">
        <v>123</v>
      </c>
      <c r="H13" s="169"/>
      <c r="I13" s="168">
        <v>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2"/>
      <c r="P13" s="331"/>
      <c r="Q13" s="333"/>
      <c r="R13" s="33" t="s">
        <v>228</v>
      </c>
      <c r="S13" s="31">
        <v>0.4375</v>
      </c>
      <c r="T13" s="32">
        <v>0.71875</v>
      </c>
      <c r="U13" s="92">
        <f t="shared" si="0"/>
        <v>6.75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1834</v>
      </c>
      <c r="C14" s="65" t="s">
        <v>407</v>
      </c>
      <c r="D14" s="205" t="s">
        <v>408</v>
      </c>
      <c r="E14" s="181" t="s">
        <v>91</v>
      </c>
      <c r="F14" s="174">
        <v>1040</v>
      </c>
      <c r="G14" s="122" t="s">
        <v>126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2"/>
      <c r="P14" s="331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1835</v>
      </c>
      <c r="C15" s="65" t="s">
        <v>409</v>
      </c>
      <c r="D15" s="205" t="s">
        <v>410</v>
      </c>
      <c r="E15" s="181" t="s">
        <v>92</v>
      </c>
      <c r="F15" s="174">
        <v>1055</v>
      </c>
      <c r="G15" s="122" t="s">
        <v>123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2"/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1836</v>
      </c>
      <c r="C16" s="65" t="s">
        <v>411</v>
      </c>
      <c r="D16" s="205" t="s">
        <v>412</v>
      </c>
      <c r="E16" s="181" t="s">
        <v>91</v>
      </c>
      <c r="F16" s="174">
        <v>1100</v>
      </c>
      <c r="G16" s="122" t="s">
        <v>106</v>
      </c>
      <c r="H16" s="123"/>
      <c r="I16" s="124"/>
      <c r="J16" s="130" t="str">
        <f t="shared" si="1"/>
        <v>0</v>
      </c>
      <c r="K16" s="130">
        <v>158.32</v>
      </c>
      <c r="L16" s="131"/>
      <c r="M16" s="131"/>
      <c r="N16" s="134" t="s">
        <v>99</v>
      </c>
      <c r="O16" s="332" t="s">
        <v>413</v>
      </c>
      <c r="P16" s="331"/>
      <c r="Q16" s="333"/>
      <c r="R16" s="82">
        <f>H32/U16</f>
        <v>0.51351351351351349</v>
      </c>
      <c r="S16" s="83">
        <f>H32/(U16-U5)</f>
        <v>0.58914728682170547</v>
      </c>
      <c r="T16" s="83">
        <f>C32/U16</f>
        <v>47.139459459459459</v>
      </c>
      <c r="U16" s="83">
        <f>SUM(U5:U15)</f>
        <v>74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1837</v>
      </c>
      <c r="C17" s="18" t="s">
        <v>414</v>
      </c>
      <c r="D17" s="203" t="s">
        <v>415</v>
      </c>
      <c r="E17" s="181" t="s">
        <v>91</v>
      </c>
      <c r="F17" s="66">
        <v>1105</v>
      </c>
      <c r="G17" s="121" t="s">
        <v>248</v>
      </c>
      <c r="H17" s="123">
        <v>65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1838</v>
      </c>
      <c r="C18" s="18" t="s">
        <v>416</v>
      </c>
      <c r="D18" s="203" t="s">
        <v>417</v>
      </c>
      <c r="E18" s="181" t="s">
        <v>91</v>
      </c>
      <c r="F18" s="66">
        <v>1115</v>
      </c>
      <c r="G18" s="20" t="s">
        <v>120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1839</v>
      </c>
      <c r="C19" s="18" t="s">
        <v>418</v>
      </c>
      <c r="D19" s="203" t="s">
        <v>419</v>
      </c>
      <c r="E19" s="181" t="s">
        <v>92</v>
      </c>
      <c r="F19" s="66">
        <v>1140</v>
      </c>
      <c r="G19" s="121" t="s">
        <v>123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2"/>
      <c r="P19" s="331"/>
      <c r="Q19" s="33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280">
        <v>16</v>
      </c>
      <c r="B20" s="286">
        <v>1840</v>
      </c>
      <c r="C20" s="295" t="s">
        <v>420</v>
      </c>
      <c r="D20" s="296" t="s">
        <v>421</v>
      </c>
      <c r="E20" s="284" t="s">
        <v>91</v>
      </c>
      <c r="F20" s="297">
        <v>1145</v>
      </c>
      <c r="G20" s="298" t="s">
        <v>183</v>
      </c>
      <c r="H20" s="293"/>
      <c r="I20" s="287">
        <v>295</v>
      </c>
      <c r="J20" s="287" t="str">
        <f t="shared" si="1"/>
        <v>0</v>
      </c>
      <c r="K20" s="287" t="str">
        <f t="shared" si="2"/>
        <v>0</v>
      </c>
      <c r="L20" s="288"/>
      <c r="M20" s="288"/>
      <c r="N20" s="282" t="s">
        <v>99</v>
      </c>
      <c r="O20" s="407" t="s">
        <v>422</v>
      </c>
      <c r="P20" s="408"/>
      <c r="Q20" s="40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1841</v>
      </c>
      <c r="C21" s="18" t="s">
        <v>423</v>
      </c>
      <c r="D21" s="203" t="s">
        <v>424</v>
      </c>
      <c r="E21" s="181" t="s">
        <v>91</v>
      </c>
      <c r="F21" s="66">
        <v>1150</v>
      </c>
      <c r="G21" s="20" t="s">
        <v>123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324</v>
      </c>
      <c r="O21" s="332"/>
      <c r="P21" s="331"/>
      <c r="Q21" s="33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1842</v>
      </c>
      <c r="C22" s="127" t="s">
        <v>425</v>
      </c>
      <c r="D22" s="206" t="s">
        <v>426</v>
      </c>
      <c r="E22" s="181" t="s">
        <v>92</v>
      </c>
      <c r="F22" s="175">
        <v>1200</v>
      </c>
      <c r="G22" s="263" t="s">
        <v>120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32"/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1843</v>
      </c>
      <c r="C23" s="136" t="s">
        <v>427</v>
      </c>
      <c r="D23" s="207" t="s">
        <v>428</v>
      </c>
      <c r="E23" s="181" t="s">
        <v>92</v>
      </c>
      <c r="F23" s="176">
        <v>1200</v>
      </c>
      <c r="G23" s="165" t="s">
        <v>123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1844</v>
      </c>
      <c r="C24" s="127" t="s">
        <v>429</v>
      </c>
      <c r="D24" s="206" t="s">
        <v>430</v>
      </c>
      <c r="E24" s="181" t="s">
        <v>91</v>
      </c>
      <c r="F24" s="175">
        <v>1200</v>
      </c>
      <c r="G24" s="263" t="s">
        <v>123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32"/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1845</v>
      </c>
      <c r="C25" s="132" t="s">
        <v>431</v>
      </c>
      <c r="D25" s="208" t="s">
        <v>432</v>
      </c>
      <c r="E25" s="181" t="s">
        <v>91</v>
      </c>
      <c r="F25" s="175">
        <v>1200</v>
      </c>
      <c r="G25" s="263" t="s">
        <v>123</v>
      </c>
      <c r="H25" s="90"/>
      <c r="I25" s="90">
        <v>55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32"/>
      <c r="P25" s="331"/>
      <c r="Q25" s="333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402">
        <f>((C32+(R26+S26+T26)*0.5))</f>
        <v>3513.32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>
        <v>1846</v>
      </c>
      <c r="C26" s="27" t="s">
        <v>433</v>
      </c>
      <c r="D26" s="209" t="s">
        <v>434</v>
      </c>
      <c r="E26" s="181" t="s">
        <v>92</v>
      </c>
      <c r="F26" s="177">
        <v>1210</v>
      </c>
      <c r="G26" s="20" t="s">
        <v>123</v>
      </c>
      <c r="H26" s="89"/>
      <c r="I26" s="141">
        <v>55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324</v>
      </c>
      <c r="O26" s="332"/>
      <c r="P26" s="331"/>
      <c r="Q26" s="333"/>
      <c r="R26" s="112">
        <f>R25*37.5</f>
        <v>0</v>
      </c>
      <c r="S26" s="102">
        <f>S25*41.5</f>
        <v>0</v>
      </c>
      <c r="T26" s="102">
        <f>T25*50</f>
        <v>50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>
        <v>1847</v>
      </c>
      <c r="C27" s="27" t="s">
        <v>435</v>
      </c>
      <c r="D27" s="209" t="s">
        <v>436</v>
      </c>
      <c r="E27" s="181" t="s">
        <v>92</v>
      </c>
      <c r="F27" s="177">
        <v>1215</v>
      </c>
      <c r="G27" s="20" t="s">
        <v>123</v>
      </c>
      <c r="H27" s="89"/>
      <c r="I27" s="141">
        <v>55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324</v>
      </c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>
        <v>1848</v>
      </c>
      <c r="C28" s="27" t="s">
        <v>437</v>
      </c>
      <c r="D28" s="209" t="s">
        <v>438</v>
      </c>
      <c r="E28" s="181" t="s">
        <v>91</v>
      </c>
      <c r="F28" s="177">
        <v>1220</v>
      </c>
      <c r="G28" s="20" t="s">
        <v>123</v>
      </c>
      <c r="H28" s="89">
        <v>75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32"/>
      <c r="P28" s="331"/>
      <c r="Q28" s="333"/>
      <c r="R28" s="388"/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>
        <v>1849</v>
      </c>
      <c r="C29" s="34" t="s">
        <v>439</v>
      </c>
      <c r="D29" s="210" t="s">
        <v>440</v>
      </c>
      <c r="E29" s="182" t="s">
        <v>92</v>
      </c>
      <c r="F29" s="177">
        <v>1230</v>
      </c>
      <c r="G29" s="20" t="s">
        <v>120</v>
      </c>
      <c r="H29" s="89"/>
      <c r="I29" s="89">
        <v>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64">
        <f t="shared" ref="H30:M30" si="3">SUM(H5:H29)</f>
        <v>140</v>
      </c>
      <c r="I30" s="105">
        <f>SUM(I5:I29)</f>
        <v>1790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158.32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65">
        <f t="shared" ref="H31:J31" si="4">H30+H62+H94</f>
        <v>385</v>
      </c>
      <c r="I31" s="103">
        <f t="shared" si="4"/>
        <v>2945</v>
      </c>
      <c r="J31" s="103">
        <f t="shared" si="4"/>
        <v>0</v>
      </c>
      <c r="K31" s="103">
        <f>K30+K62+K94</f>
        <v>158.32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31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385</v>
      </c>
      <c r="T31" s="371">
        <f>H31+I31+L31+M31</f>
        <v>3330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3488.32</v>
      </c>
      <c r="D32" s="196"/>
      <c r="E32" s="107"/>
      <c r="F32" s="393" t="s">
        <v>53</v>
      </c>
      <c r="G32" s="393"/>
      <c r="H32" s="109">
        <f>COUNT(B5:B29,B37:B61,B69:B93)</f>
        <v>38</v>
      </c>
      <c r="I32" s="394" t="s">
        <v>54</v>
      </c>
      <c r="J32" s="394"/>
      <c r="K32" s="108">
        <f>C32/H32</f>
        <v>91.79789473684211</v>
      </c>
      <c r="L32" s="260"/>
      <c r="M32" s="260"/>
      <c r="N32" s="260">
        <f>H31/C32</f>
        <v>0.11036831483350151</v>
      </c>
      <c r="O32" s="260">
        <f>I31/C32</f>
        <v>0.84424594073938164</v>
      </c>
      <c r="P32" s="260">
        <f>K31/C32</f>
        <v>4.5385744427116771E-2</v>
      </c>
      <c r="Q32" s="110">
        <f>J31/C32</f>
        <v>0</v>
      </c>
      <c r="R32" s="99" t="s">
        <v>82</v>
      </c>
      <c r="S32" s="266">
        <f>I31+M31</f>
        <v>2945</v>
      </c>
      <c r="T32" s="373"/>
      <c r="U32" s="374"/>
      <c r="V32" s="55"/>
      <c r="W32" s="55"/>
      <c r="X32" s="56" t="s">
        <v>27</v>
      </c>
      <c r="Y32" s="56"/>
      <c r="Z32" s="54">
        <f>I31</f>
        <v>2945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200</v>
      </c>
      <c r="AE33" s="37"/>
      <c r="AF33" s="37"/>
      <c r="AG33" s="59"/>
      <c r="AH33" s="37"/>
    </row>
    <row r="34" spans="1:34" ht="18" thickBot="1">
      <c r="A34" s="365" t="str">
        <f>A2</f>
        <v>4 - 6 - 2022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SUNNY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9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8" t="s">
        <v>8</v>
      </c>
      <c r="P36" s="358"/>
      <c r="Q36" s="35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>
        <v>1850</v>
      </c>
      <c r="C37" s="68" t="s">
        <v>441</v>
      </c>
      <c r="D37" s="258" t="s">
        <v>442</v>
      </c>
      <c r="E37" s="181" t="s">
        <v>92</v>
      </c>
      <c r="F37" s="174">
        <v>1230</v>
      </c>
      <c r="G37" s="118" t="s">
        <v>123</v>
      </c>
      <c r="H37" s="91"/>
      <c r="I37" s="124">
        <v>55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324</v>
      </c>
      <c r="O37" s="332"/>
      <c r="P37" s="331"/>
      <c r="Q37" s="333"/>
      <c r="R37" s="60"/>
      <c r="S37" s="61"/>
      <c r="T37" s="61"/>
      <c r="U37" s="70"/>
    </row>
    <row r="38" spans="1:34">
      <c r="A38" s="314">
        <f>A37+1</f>
        <v>27</v>
      </c>
      <c r="B38" s="286">
        <v>1851</v>
      </c>
      <c r="C38" s="318" t="s">
        <v>443</v>
      </c>
      <c r="D38" s="316" t="s">
        <v>128</v>
      </c>
      <c r="E38" s="284" t="s">
        <v>91</v>
      </c>
      <c r="F38" s="297">
        <v>1250</v>
      </c>
      <c r="G38" s="281" t="s">
        <v>126</v>
      </c>
      <c r="H38" s="287"/>
      <c r="I38" s="287">
        <v>180</v>
      </c>
      <c r="J38" s="287" t="str">
        <f t="shared" ref="J38:J61" si="6">IF(G38="RSL","55","0")</f>
        <v>0</v>
      </c>
      <c r="K38" s="287" t="str">
        <f t="shared" si="5"/>
        <v>0</v>
      </c>
      <c r="L38" s="288"/>
      <c r="M38" s="288"/>
      <c r="N38" s="287" t="s">
        <v>324</v>
      </c>
      <c r="O38" s="418" t="s">
        <v>444</v>
      </c>
      <c r="P38" s="419"/>
      <c r="Q38" s="420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>
        <v>1852</v>
      </c>
      <c r="C39" s="27" t="s">
        <v>445</v>
      </c>
      <c r="D39" s="183" t="s">
        <v>446</v>
      </c>
      <c r="E39" s="181" t="s">
        <v>91</v>
      </c>
      <c r="F39" s="179">
        <v>1300</v>
      </c>
      <c r="G39" s="118" t="s">
        <v>120</v>
      </c>
      <c r="H39" s="91">
        <v>95</v>
      </c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99</v>
      </c>
      <c r="O39" s="332"/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63">
        <v>1853</v>
      </c>
      <c r="C40" s="63" t="s">
        <v>447</v>
      </c>
      <c r="D40" s="184" t="s">
        <v>448</v>
      </c>
      <c r="E40" s="181" t="s">
        <v>91</v>
      </c>
      <c r="F40" s="180">
        <v>1320</v>
      </c>
      <c r="G40" s="119" t="s">
        <v>123</v>
      </c>
      <c r="H40" s="91"/>
      <c r="I40" s="91">
        <v>75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99</v>
      </c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>
        <v>1854</v>
      </c>
      <c r="C41" s="63" t="s">
        <v>449</v>
      </c>
      <c r="D41" s="184" t="s">
        <v>450</v>
      </c>
      <c r="E41" s="181" t="s">
        <v>92</v>
      </c>
      <c r="F41" s="180">
        <v>1320</v>
      </c>
      <c r="G41" s="119" t="s">
        <v>123</v>
      </c>
      <c r="H41" s="91"/>
      <c r="I41" s="91">
        <v>55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324</v>
      </c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63">
        <v>1855</v>
      </c>
      <c r="C42" s="28" t="s">
        <v>451</v>
      </c>
      <c r="D42" s="185" t="s">
        <v>452</v>
      </c>
      <c r="E42" s="181" t="s">
        <v>92</v>
      </c>
      <c r="F42" s="173">
        <v>1340</v>
      </c>
      <c r="G42" s="120" t="s">
        <v>120</v>
      </c>
      <c r="H42" s="123">
        <v>75</v>
      </c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324</v>
      </c>
      <c r="O42" s="354"/>
      <c r="P42" s="355"/>
      <c r="Q42" s="356"/>
      <c r="R42" s="80"/>
      <c r="S42" s="73"/>
      <c r="T42" s="73"/>
      <c r="U42" s="74"/>
    </row>
    <row r="43" spans="1:34">
      <c r="A43" s="314">
        <f t="shared" si="7"/>
        <v>32</v>
      </c>
      <c r="B43" s="281">
        <v>1856</v>
      </c>
      <c r="C43" s="295" t="s">
        <v>453</v>
      </c>
      <c r="D43" s="296" t="s">
        <v>454</v>
      </c>
      <c r="E43" s="284" t="s">
        <v>91</v>
      </c>
      <c r="F43" s="297">
        <v>1430</v>
      </c>
      <c r="G43" s="298" t="s">
        <v>175</v>
      </c>
      <c r="H43" s="293"/>
      <c r="I43" s="287">
        <v>300</v>
      </c>
      <c r="J43" s="287" t="str">
        <f t="shared" si="6"/>
        <v>0</v>
      </c>
      <c r="K43" s="287" t="str">
        <f t="shared" si="5"/>
        <v>0</v>
      </c>
      <c r="L43" s="288"/>
      <c r="M43" s="288"/>
      <c r="N43" s="287" t="s">
        <v>99</v>
      </c>
      <c r="O43" s="407" t="s">
        <v>80</v>
      </c>
      <c r="P43" s="408"/>
      <c r="Q43" s="409"/>
      <c r="R43" s="78"/>
      <c r="S43" s="71"/>
      <c r="T43" s="71"/>
      <c r="U43" s="72"/>
    </row>
    <row r="44" spans="1:34">
      <c r="A44" s="128">
        <f t="shared" si="7"/>
        <v>33</v>
      </c>
      <c r="B44" s="263">
        <v>1857</v>
      </c>
      <c r="C44" s="64" t="s">
        <v>455</v>
      </c>
      <c r="D44" s="186" t="s">
        <v>456</v>
      </c>
      <c r="E44" s="181" t="s">
        <v>92</v>
      </c>
      <c r="F44" s="173">
        <v>1500</v>
      </c>
      <c r="G44" s="119" t="s">
        <v>123</v>
      </c>
      <c r="H44" s="123"/>
      <c r="I44" s="125">
        <v>55</v>
      </c>
      <c r="J44" s="130" t="str">
        <f t="shared" si="6"/>
        <v>0</v>
      </c>
      <c r="K44" s="130" t="str">
        <f t="shared" si="5"/>
        <v>0</v>
      </c>
      <c r="L44" s="131"/>
      <c r="M44" s="131"/>
      <c r="N44" s="69" t="s">
        <v>99</v>
      </c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>
        <v>1858</v>
      </c>
      <c r="C45" s="64" t="s">
        <v>457</v>
      </c>
      <c r="D45" s="186" t="s">
        <v>458</v>
      </c>
      <c r="E45" s="181" t="s">
        <v>92</v>
      </c>
      <c r="F45" s="173">
        <v>1510</v>
      </c>
      <c r="G45" s="119" t="s">
        <v>123</v>
      </c>
      <c r="H45" s="123"/>
      <c r="I45" s="125">
        <v>55</v>
      </c>
      <c r="J45" s="130" t="str">
        <f t="shared" si="6"/>
        <v>0</v>
      </c>
      <c r="K45" s="130" t="str">
        <f t="shared" si="5"/>
        <v>0</v>
      </c>
      <c r="L45" s="131"/>
      <c r="M45" s="131"/>
      <c r="N45" s="69" t="s">
        <v>99</v>
      </c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63">
        <v>1859</v>
      </c>
      <c r="C46" s="65" t="s">
        <v>459</v>
      </c>
      <c r="D46" s="187" t="s">
        <v>460</v>
      </c>
      <c r="E46" s="181" t="s">
        <v>92</v>
      </c>
      <c r="F46" s="170">
        <v>1525</v>
      </c>
      <c r="G46" s="122" t="s">
        <v>120</v>
      </c>
      <c r="H46" s="123"/>
      <c r="I46" s="124">
        <v>75</v>
      </c>
      <c r="J46" s="130" t="str">
        <f t="shared" si="6"/>
        <v>0</v>
      </c>
      <c r="K46" s="130" t="str">
        <f t="shared" si="5"/>
        <v>0</v>
      </c>
      <c r="L46" s="131"/>
      <c r="M46" s="131"/>
      <c r="N46" s="69" t="s">
        <v>99</v>
      </c>
      <c r="O46" s="332"/>
      <c r="P46" s="331"/>
      <c r="Q46" s="333"/>
      <c r="R46" s="5"/>
      <c r="S46" s="71"/>
      <c r="T46" s="71"/>
      <c r="U46" s="72"/>
    </row>
    <row r="47" spans="1:34">
      <c r="A47" s="314">
        <f t="shared" si="7"/>
        <v>36</v>
      </c>
      <c r="B47" s="281">
        <v>1860</v>
      </c>
      <c r="C47" s="295" t="s">
        <v>461</v>
      </c>
      <c r="D47" s="296" t="s">
        <v>462</v>
      </c>
      <c r="E47" s="284" t="s">
        <v>91</v>
      </c>
      <c r="F47" s="297">
        <v>1545</v>
      </c>
      <c r="G47" s="298" t="s">
        <v>175</v>
      </c>
      <c r="H47" s="293"/>
      <c r="I47" s="287">
        <v>250</v>
      </c>
      <c r="J47" s="287" t="str">
        <f t="shared" si="6"/>
        <v>0</v>
      </c>
      <c r="K47" s="287" t="str">
        <f t="shared" si="5"/>
        <v>0</v>
      </c>
      <c r="L47" s="288"/>
      <c r="M47" s="288"/>
      <c r="N47" s="287" t="s">
        <v>99</v>
      </c>
      <c r="O47" s="407" t="s">
        <v>78</v>
      </c>
      <c r="P47" s="408"/>
      <c r="Q47" s="409"/>
      <c r="R47" s="5"/>
      <c r="S47" s="71"/>
      <c r="T47" s="71"/>
      <c r="U47" s="72"/>
    </row>
    <row r="48" spans="1:34">
      <c r="A48" s="128">
        <f t="shared" si="7"/>
        <v>37</v>
      </c>
      <c r="B48" s="263">
        <v>1861</v>
      </c>
      <c r="C48" s="65" t="s">
        <v>463</v>
      </c>
      <c r="D48" s="187" t="s">
        <v>464</v>
      </c>
      <c r="E48" s="181" t="s">
        <v>91</v>
      </c>
      <c r="F48" s="170">
        <v>1600</v>
      </c>
      <c r="G48" s="122" t="s">
        <v>120</v>
      </c>
      <c r="H48" s="123">
        <v>75</v>
      </c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 t="s">
        <v>99</v>
      </c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63">
        <v>1862</v>
      </c>
      <c r="C49" s="18" t="s">
        <v>465</v>
      </c>
      <c r="D49" s="191" t="s">
        <v>466</v>
      </c>
      <c r="E49" s="181" t="s">
        <v>91</v>
      </c>
      <c r="F49" s="66">
        <v>1610</v>
      </c>
      <c r="G49" s="121" t="s">
        <v>123</v>
      </c>
      <c r="H49" s="123"/>
      <c r="I49" s="124">
        <v>55</v>
      </c>
      <c r="J49" s="130" t="str">
        <f t="shared" si="6"/>
        <v>0</v>
      </c>
      <c r="K49" s="130" t="str">
        <f t="shared" si="5"/>
        <v>0</v>
      </c>
      <c r="L49" s="131"/>
      <c r="M49" s="131"/>
      <c r="N49" s="69" t="s">
        <v>99</v>
      </c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245</v>
      </c>
      <c r="I62" s="344">
        <f t="shared" si="8"/>
        <v>1155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0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4 - 6 - 2022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SUNNY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9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8" t="s">
        <v>8</v>
      </c>
      <c r="P68" s="358"/>
      <c r="Q68" s="35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F39" sqref="F3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65" t="s">
        <v>77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7"/>
    </row>
    <row r="2" spans="1:44" ht="18" thickBot="1">
      <c r="A2" s="365" t="s">
        <v>467</v>
      </c>
      <c r="B2" s="366"/>
      <c r="C2" s="366"/>
      <c r="D2" s="366"/>
      <c r="E2" s="366"/>
      <c r="F2" s="366"/>
      <c r="G2" s="367"/>
      <c r="H2" s="368" t="s">
        <v>49</v>
      </c>
      <c r="I2" s="369"/>
      <c r="J2" s="365" t="s">
        <v>162</v>
      </c>
      <c r="K2" s="367"/>
      <c r="L2" s="369" t="s">
        <v>96</v>
      </c>
      <c r="M2" s="370"/>
      <c r="N2" s="368"/>
      <c r="O2" s="366" t="s">
        <v>99</v>
      </c>
      <c r="P2" s="366"/>
      <c r="Q2" s="367"/>
      <c r="R2" s="369" t="s">
        <v>51</v>
      </c>
      <c r="S2" s="368"/>
      <c r="T2" s="357">
        <v>9</v>
      </c>
      <c r="U2" s="35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8" t="s">
        <v>8</v>
      </c>
      <c r="P4" s="358"/>
      <c r="Q4" s="358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1863</v>
      </c>
      <c r="C5" s="68" t="s">
        <v>471</v>
      </c>
      <c r="D5" s="200" t="s">
        <v>472</v>
      </c>
      <c r="E5" s="181" t="s">
        <v>91</v>
      </c>
      <c r="F5" s="170">
        <v>900</v>
      </c>
      <c r="G5" s="118" t="s">
        <v>120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468</v>
      </c>
      <c r="O5" s="404"/>
      <c r="P5" s="405"/>
      <c r="Q5" s="406"/>
      <c r="R5" s="33" t="s">
        <v>468</v>
      </c>
      <c r="S5" s="31">
        <v>0.33333333333333331</v>
      </c>
      <c r="T5" s="32">
        <v>0.625</v>
      </c>
      <c r="U5" s="92">
        <f t="shared" ref="U5:U15" si="0">(T5-S5)*24</f>
        <v>7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1864</v>
      </c>
      <c r="C6" s="67" t="s">
        <v>475</v>
      </c>
      <c r="D6" s="200" t="s">
        <v>476</v>
      </c>
      <c r="E6" s="181" t="s">
        <v>92</v>
      </c>
      <c r="F6" s="171">
        <v>1000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99</v>
      </c>
      <c r="O6" s="359" t="s">
        <v>477</v>
      </c>
      <c r="P6" s="360"/>
      <c r="Q6" s="361"/>
      <c r="R6" s="132" t="s">
        <v>99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1865</v>
      </c>
      <c r="C7" s="67" t="s">
        <v>473</v>
      </c>
      <c r="D7" s="200" t="s">
        <v>474</v>
      </c>
      <c r="E7" s="181" t="s">
        <v>91</v>
      </c>
      <c r="F7" s="171">
        <v>1005</v>
      </c>
      <c r="G7" s="118" t="s">
        <v>123</v>
      </c>
      <c r="H7" s="91"/>
      <c r="I7" s="124">
        <v>75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32"/>
      <c r="P7" s="331"/>
      <c r="Q7" s="333"/>
      <c r="R7" s="134" t="s">
        <v>100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1866</v>
      </c>
      <c r="C8" s="27" t="s">
        <v>478</v>
      </c>
      <c r="D8" s="200" t="s">
        <v>479</v>
      </c>
      <c r="E8" s="181" t="s">
        <v>91</v>
      </c>
      <c r="F8" s="171">
        <v>1030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2"/>
      <c r="P8" s="363"/>
      <c r="Q8" s="364"/>
      <c r="R8" s="26" t="s">
        <v>172</v>
      </c>
      <c r="S8" s="31">
        <v>0.35416666666666669</v>
      </c>
      <c r="T8" s="32">
        <v>0.72916666666666663</v>
      </c>
      <c r="U8" s="92">
        <f t="shared" si="0"/>
        <v>8.9999999999999982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1867</v>
      </c>
      <c r="C9" s="63" t="s">
        <v>480</v>
      </c>
      <c r="D9" s="201" t="s">
        <v>481</v>
      </c>
      <c r="E9" s="181" t="s">
        <v>92</v>
      </c>
      <c r="F9" s="172">
        <v>1040</v>
      </c>
      <c r="G9" s="119" t="s">
        <v>123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2"/>
      <c r="P9" s="363"/>
      <c r="Q9" s="364"/>
      <c r="R9" s="26" t="s">
        <v>385</v>
      </c>
      <c r="S9" s="31">
        <v>0.35416666666666669</v>
      </c>
      <c r="T9" s="32">
        <v>0.72916666666666663</v>
      </c>
      <c r="U9" s="92">
        <f t="shared" si="0"/>
        <v>8.9999999999999982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1868</v>
      </c>
      <c r="C10" s="28" t="s">
        <v>484</v>
      </c>
      <c r="D10" s="202" t="s">
        <v>485</v>
      </c>
      <c r="E10" s="181" t="s">
        <v>92</v>
      </c>
      <c r="F10" s="173">
        <v>1040</v>
      </c>
      <c r="G10" s="120" t="s">
        <v>120</v>
      </c>
      <c r="H10" s="123"/>
      <c r="I10" s="125">
        <v>85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4"/>
      <c r="P10" s="355"/>
      <c r="Q10" s="356"/>
      <c r="R10" s="26" t="s">
        <v>469</v>
      </c>
      <c r="S10" s="31">
        <v>0.375</v>
      </c>
      <c r="T10" s="32">
        <v>0.41666666666666669</v>
      </c>
      <c r="U10" s="92">
        <f t="shared" si="0"/>
        <v>1.0000000000000004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1869</v>
      </c>
      <c r="C11" s="28" t="s">
        <v>482</v>
      </c>
      <c r="D11" s="202" t="s">
        <v>483</v>
      </c>
      <c r="E11" s="181" t="s">
        <v>92</v>
      </c>
      <c r="F11" s="173">
        <v>1045</v>
      </c>
      <c r="G11" s="120" t="s">
        <v>123</v>
      </c>
      <c r="H11" s="123"/>
      <c r="I11" s="125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2" t="s">
        <v>422</v>
      </c>
      <c r="P11" s="331"/>
      <c r="Q11" s="333"/>
      <c r="R11" s="26" t="s">
        <v>228</v>
      </c>
      <c r="S11" s="31">
        <v>0.41666666666666669</v>
      </c>
      <c r="T11" s="32">
        <v>0.71875</v>
      </c>
      <c r="U11" s="92">
        <f t="shared" si="0"/>
        <v>7.25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1870</v>
      </c>
      <c r="C12" s="64" t="s">
        <v>486</v>
      </c>
      <c r="D12" s="204" t="s">
        <v>487</v>
      </c>
      <c r="E12" s="181" t="s">
        <v>92</v>
      </c>
      <c r="F12" s="173">
        <v>1045</v>
      </c>
      <c r="G12" s="119" t="s">
        <v>120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2"/>
      <c r="P12" s="331"/>
      <c r="Q12" s="333"/>
      <c r="R12" s="26" t="s">
        <v>470</v>
      </c>
      <c r="S12" s="31">
        <v>0.4375</v>
      </c>
      <c r="T12" s="32">
        <v>0.625</v>
      </c>
      <c r="U12" s="92">
        <f t="shared" si="0"/>
        <v>4.5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1871</v>
      </c>
      <c r="C13" s="64" t="s">
        <v>488</v>
      </c>
      <c r="D13" s="204" t="s">
        <v>489</v>
      </c>
      <c r="E13" s="181" t="s">
        <v>92</v>
      </c>
      <c r="F13" s="173">
        <v>1050</v>
      </c>
      <c r="G13" s="119" t="s">
        <v>133</v>
      </c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2" t="s">
        <v>490</v>
      </c>
      <c r="P13" s="331"/>
      <c r="Q13" s="333"/>
      <c r="R13" s="33" t="s">
        <v>103</v>
      </c>
      <c r="S13" s="31">
        <v>0.45833333333333331</v>
      </c>
      <c r="T13" s="32">
        <v>0.72916666666666663</v>
      </c>
      <c r="U13" s="92">
        <f t="shared" si="0"/>
        <v>6.5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1872</v>
      </c>
      <c r="C14" s="65" t="s">
        <v>491</v>
      </c>
      <c r="D14" s="205" t="s">
        <v>492</v>
      </c>
      <c r="E14" s="181" t="s">
        <v>91</v>
      </c>
      <c r="F14" s="174">
        <v>1050</v>
      </c>
      <c r="G14" s="122" t="s">
        <v>126</v>
      </c>
      <c r="H14" s="123"/>
      <c r="I14" s="125">
        <v>140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2"/>
      <c r="P14" s="331"/>
      <c r="Q14" s="333"/>
      <c r="R14" s="26" t="s">
        <v>388</v>
      </c>
      <c r="S14" s="31">
        <v>0.45833333333333331</v>
      </c>
      <c r="T14" s="32">
        <v>0.71875</v>
      </c>
      <c r="U14" s="92">
        <f t="shared" si="0"/>
        <v>6.25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1873</v>
      </c>
      <c r="C15" s="65" t="s">
        <v>493</v>
      </c>
      <c r="D15" s="205" t="s">
        <v>494</v>
      </c>
      <c r="E15" s="181" t="s">
        <v>92</v>
      </c>
      <c r="F15" s="174">
        <v>1110</v>
      </c>
      <c r="G15" s="122" t="s">
        <v>120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2"/>
      <c r="P15" s="331"/>
      <c r="Q15" s="33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1874</v>
      </c>
      <c r="C16" s="65" t="s">
        <v>495</v>
      </c>
      <c r="D16" s="205" t="s">
        <v>496</v>
      </c>
      <c r="E16" s="181" t="s">
        <v>92</v>
      </c>
      <c r="F16" s="174">
        <v>1120</v>
      </c>
      <c r="G16" s="122" t="s">
        <v>120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468</v>
      </c>
      <c r="O16" s="332"/>
      <c r="P16" s="331"/>
      <c r="Q16" s="333"/>
      <c r="R16" s="82">
        <f>H32/U16</f>
        <v>0.40287769784172661</v>
      </c>
      <c r="S16" s="83">
        <f>H32/(U16-U5)</f>
        <v>0.44800000000000001</v>
      </c>
      <c r="T16" s="83">
        <f>C32/U16</f>
        <v>35.491223021582734</v>
      </c>
      <c r="U16" s="83">
        <f>SUM(U5:U15)</f>
        <v>69.5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1875</v>
      </c>
      <c r="C17" s="18" t="s">
        <v>497</v>
      </c>
      <c r="D17" s="203" t="s">
        <v>498</v>
      </c>
      <c r="E17" s="181" t="s">
        <v>92</v>
      </c>
      <c r="F17" s="66">
        <v>1120</v>
      </c>
      <c r="G17" s="121" t="s">
        <v>126</v>
      </c>
      <c r="H17" s="123"/>
      <c r="I17" s="124">
        <v>120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468</v>
      </c>
      <c r="O17" s="332"/>
      <c r="P17" s="331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1876</v>
      </c>
      <c r="C18" s="18" t="s">
        <v>499</v>
      </c>
      <c r="D18" s="203" t="s">
        <v>500</v>
      </c>
      <c r="E18" s="181" t="s">
        <v>92</v>
      </c>
      <c r="F18" s="66">
        <v>1135</v>
      </c>
      <c r="G18" s="20" t="s">
        <v>120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468</v>
      </c>
      <c r="O18" s="332"/>
      <c r="P18" s="331"/>
      <c r="Q18" s="333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1877</v>
      </c>
      <c r="C19" s="18" t="s">
        <v>501</v>
      </c>
      <c r="D19" s="203" t="s">
        <v>502</v>
      </c>
      <c r="E19" s="181" t="s">
        <v>92</v>
      </c>
      <c r="F19" s="66">
        <v>1145</v>
      </c>
      <c r="G19" s="121" t="s">
        <v>120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468</v>
      </c>
      <c r="O19" s="332"/>
      <c r="P19" s="331"/>
      <c r="Q19" s="33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1878</v>
      </c>
      <c r="C20" s="18" t="s">
        <v>503</v>
      </c>
      <c r="D20" s="203" t="s">
        <v>504</v>
      </c>
      <c r="E20" s="181" t="s">
        <v>92</v>
      </c>
      <c r="F20" s="66">
        <v>1145</v>
      </c>
      <c r="G20" s="121" t="s">
        <v>120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468</v>
      </c>
      <c r="O20" s="400"/>
      <c r="P20" s="401"/>
      <c r="Q20" s="40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1879</v>
      </c>
      <c r="C21" s="18" t="s">
        <v>505</v>
      </c>
      <c r="D21" s="203" t="s">
        <v>506</v>
      </c>
      <c r="E21" s="181" t="s">
        <v>92</v>
      </c>
      <c r="F21" s="66">
        <v>1210</v>
      </c>
      <c r="G21" s="20" t="s">
        <v>123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468</v>
      </c>
      <c r="O21" s="332"/>
      <c r="P21" s="331"/>
      <c r="Q21" s="33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1880</v>
      </c>
      <c r="C22" s="127" t="s">
        <v>507</v>
      </c>
      <c r="D22" s="206" t="s">
        <v>508</v>
      </c>
      <c r="E22" s="181" t="s">
        <v>92</v>
      </c>
      <c r="F22" s="175">
        <v>1215</v>
      </c>
      <c r="G22" s="263" t="s">
        <v>126</v>
      </c>
      <c r="H22" s="89"/>
      <c r="I22" s="141">
        <v>120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468</v>
      </c>
      <c r="O22" s="332"/>
      <c r="P22" s="331"/>
      <c r="Q22" s="333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1881</v>
      </c>
      <c r="C23" s="136" t="s">
        <v>509</v>
      </c>
      <c r="D23" s="207" t="s">
        <v>510</v>
      </c>
      <c r="E23" s="181" t="s">
        <v>91</v>
      </c>
      <c r="F23" s="176">
        <v>1245</v>
      </c>
      <c r="G23" s="165" t="s">
        <v>126</v>
      </c>
      <c r="H23" s="89"/>
      <c r="I23" s="141">
        <v>100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468</v>
      </c>
      <c r="O23" s="332" t="s">
        <v>511</v>
      </c>
      <c r="P23" s="331"/>
      <c r="Q23" s="333"/>
      <c r="R23" s="113"/>
      <c r="S23" s="114"/>
      <c r="T23" s="114"/>
      <c r="U23" s="115"/>
      <c r="X23" s="398"/>
      <c r="Y23" s="399"/>
      <c r="Z23" s="399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1882</v>
      </c>
      <c r="C24" s="127" t="s">
        <v>512</v>
      </c>
      <c r="D24" s="206" t="s">
        <v>513</v>
      </c>
      <c r="E24" s="181" t="s">
        <v>91</v>
      </c>
      <c r="F24" s="175">
        <v>1245</v>
      </c>
      <c r="G24" s="263" t="s">
        <v>123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468</v>
      </c>
      <c r="O24" s="332"/>
      <c r="P24" s="331"/>
      <c r="Q24" s="33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1883</v>
      </c>
      <c r="C25" s="132" t="s">
        <v>514</v>
      </c>
      <c r="D25" s="208" t="s">
        <v>515</v>
      </c>
      <c r="E25" s="181" t="s">
        <v>92</v>
      </c>
      <c r="F25" s="175">
        <v>1300</v>
      </c>
      <c r="G25" s="263" t="s">
        <v>126</v>
      </c>
      <c r="H25" s="90"/>
      <c r="I25" s="90">
        <v>120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468</v>
      </c>
      <c r="O25" s="332"/>
      <c r="P25" s="331"/>
      <c r="Q25" s="333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2">
        <f>((C32+(R26+S26+T26)*0.5))</f>
        <v>2485.39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>
        <v>1884</v>
      </c>
      <c r="C26" s="27" t="s">
        <v>516</v>
      </c>
      <c r="D26" s="209" t="s">
        <v>517</v>
      </c>
      <c r="E26" s="181" t="s">
        <v>91</v>
      </c>
      <c r="F26" s="177">
        <v>1330</v>
      </c>
      <c r="G26" s="20" t="s">
        <v>123</v>
      </c>
      <c r="H26" s="89"/>
      <c r="I26" s="141">
        <v>55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468</v>
      </c>
      <c r="O26" s="332"/>
      <c r="P26" s="331"/>
      <c r="Q26" s="333"/>
      <c r="R26" s="112">
        <f>R25*37.5</f>
        <v>37.5</v>
      </c>
      <c r="S26" s="102">
        <f>S25*41.5</f>
        <v>0</v>
      </c>
      <c r="T26" s="102">
        <f>T25*50</f>
        <v>0</v>
      </c>
      <c r="U26" s="40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>
        <v>1885</v>
      </c>
      <c r="C27" s="27" t="s">
        <v>518</v>
      </c>
      <c r="D27" s="209" t="s">
        <v>519</v>
      </c>
      <c r="E27" s="181" t="s">
        <v>92</v>
      </c>
      <c r="F27" s="177">
        <v>1355</v>
      </c>
      <c r="G27" s="20" t="s">
        <v>120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468</v>
      </c>
      <c r="O27" s="332"/>
      <c r="P27" s="331"/>
      <c r="Q27" s="333"/>
      <c r="R27" s="395" t="s">
        <v>56</v>
      </c>
      <c r="S27" s="396"/>
      <c r="T27" s="396"/>
      <c r="U27" s="39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>
        <v>1886</v>
      </c>
      <c r="C28" s="27" t="s">
        <v>520</v>
      </c>
      <c r="D28" s="209" t="s">
        <v>521</v>
      </c>
      <c r="E28" s="181" t="s">
        <v>91</v>
      </c>
      <c r="F28" s="177">
        <v>1450</v>
      </c>
      <c r="G28" s="20" t="s">
        <v>106</v>
      </c>
      <c r="H28" s="89"/>
      <c r="I28" s="141"/>
      <c r="J28" s="130" t="str">
        <f t="shared" si="1"/>
        <v>0</v>
      </c>
      <c r="K28" s="130">
        <v>79.16</v>
      </c>
      <c r="L28" s="69"/>
      <c r="M28" s="69"/>
      <c r="N28" s="134" t="s">
        <v>468</v>
      </c>
      <c r="O28" s="332" t="s">
        <v>522</v>
      </c>
      <c r="P28" s="331"/>
      <c r="Q28" s="333"/>
      <c r="R28" s="388"/>
      <c r="S28" s="389"/>
      <c r="T28" s="39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>
        <v>1887</v>
      </c>
      <c r="C29" s="34" t="s">
        <v>523</v>
      </c>
      <c r="D29" s="210" t="s">
        <v>524</v>
      </c>
      <c r="E29" s="182" t="s">
        <v>92</v>
      </c>
      <c r="F29" s="177">
        <v>1500</v>
      </c>
      <c r="G29" s="20" t="s">
        <v>120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468</v>
      </c>
      <c r="O29" s="375"/>
      <c r="P29" s="376"/>
      <c r="Q29" s="377"/>
      <c r="R29" s="378"/>
      <c r="S29" s="379"/>
      <c r="T29" s="380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81" t="s">
        <v>48</v>
      </c>
      <c r="B30" s="382"/>
      <c r="C30" s="382"/>
      <c r="D30" s="382"/>
      <c r="E30" s="383"/>
      <c r="F30" s="382"/>
      <c r="G30" s="382"/>
      <c r="H30" s="264">
        <f t="shared" ref="H30:M30" si="3">SUM(H5:H29)</f>
        <v>0</v>
      </c>
      <c r="I30" s="105">
        <f>SUM(I5:I29)</f>
        <v>1905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158.32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4"/>
      <c r="S30" s="384"/>
      <c r="T30" s="385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86" t="s">
        <v>16</v>
      </c>
      <c r="B31" s="387"/>
      <c r="C31" s="387"/>
      <c r="D31" s="387"/>
      <c r="E31" s="387"/>
      <c r="F31" s="387"/>
      <c r="G31" s="387"/>
      <c r="H31" s="265">
        <f t="shared" ref="H31:J31" si="4">H30+H62+H94</f>
        <v>0</v>
      </c>
      <c r="I31" s="103">
        <f t="shared" si="4"/>
        <v>2150</v>
      </c>
      <c r="J31" s="103">
        <f t="shared" si="4"/>
        <v>0</v>
      </c>
      <c r="K31" s="103">
        <f>K30+K62+K94</f>
        <v>316.64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24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71">
        <f>H31+I31+L31+M31</f>
        <v>2150</v>
      </c>
      <c r="U31" s="372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91" t="s">
        <v>55</v>
      </c>
      <c r="B32" s="392"/>
      <c r="C32" s="107">
        <f>H31+I31+J31+K31</f>
        <v>2466.64</v>
      </c>
      <c r="D32" s="196"/>
      <c r="E32" s="107"/>
      <c r="F32" s="393" t="s">
        <v>53</v>
      </c>
      <c r="G32" s="393"/>
      <c r="H32" s="109">
        <f>COUNT(B5:B29,B37:B61,B69:B93)</f>
        <v>28</v>
      </c>
      <c r="I32" s="394" t="s">
        <v>54</v>
      </c>
      <c r="J32" s="394"/>
      <c r="K32" s="108">
        <f>C32/H32</f>
        <v>88.094285714285704</v>
      </c>
      <c r="L32" s="260"/>
      <c r="M32" s="260"/>
      <c r="N32" s="260">
        <f>H31/C32</f>
        <v>0</v>
      </c>
      <c r="O32" s="260">
        <f>I31/C32</f>
        <v>0.87163104465994234</v>
      </c>
      <c r="P32" s="260">
        <f>K31/C32</f>
        <v>0.12836895534005774</v>
      </c>
      <c r="Q32" s="110">
        <f>J31/C32</f>
        <v>0</v>
      </c>
      <c r="R32" s="99" t="s">
        <v>82</v>
      </c>
      <c r="S32" s="266">
        <f>I31+M31</f>
        <v>2150</v>
      </c>
      <c r="T32" s="373"/>
      <c r="U32" s="374"/>
      <c r="V32" s="55"/>
      <c r="W32" s="55"/>
      <c r="X32" s="56" t="s">
        <v>27</v>
      </c>
      <c r="Y32" s="56"/>
      <c r="Z32" s="54">
        <f>I31</f>
        <v>2150</v>
      </c>
      <c r="AE32" s="37"/>
      <c r="AF32" s="37"/>
      <c r="AG32" s="37"/>
      <c r="AH32" s="37"/>
    </row>
    <row r="33" spans="1:34" ht="18" thickBot="1">
      <c r="A33" s="325" t="s">
        <v>24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66"/>
      <c r="U33" s="367"/>
      <c r="X33" s="57" t="s">
        <v>29</v>
      </c>
      <c r="Y33" s="57"/>
      <c r="Z33" s="58">
        <f>SUM(Z31:Z32)</f>
        <v>-595</v>
      </c>
      <c r="AE33" s="37"/>
      <c r="AF33" s="37"/>
      <c r="AG33" s="59"/>
      <c r="AH33" s="37"/>
    </row>
    <row r="34" spans="1:34" ht="18" thickBot="1">
      <c r="A34" s="365" t="str">
        <f>A2</f>
        <v>5 - 6 - 2022</v>
      </c>
      <c r="B34" s="366"/>
      <c r="C34" s="366"/>
      <c r="D34" s="366"/>
      <c r="E34" s="366"/>
      <c r="F34" s="366"/>
      <c r="G34" s="367"/>
      <c r="H34" s="368" t="s">
        <v>49</v>
      </c>
      <c r="I34" s="369"/>
      <c r="J34" s="365" t="str">
        <f>J2</f>
        <v>SUNNY</v>
      </c>
      <c r="K34" s="367"/>
      <c r="L34" s="369" t="s">
        <v>50</v>
      </c>
      <c r="M34" s="370"/>
      <c r="N34" s="368"/>
      <c r="O34" s="366" t="str">
        <f>O2</f>
        <v>HENDRA</v>
      </c>
      <c r="P34" s="366"/>
      <c r="Q34" s="367"/>
      <c r="R34" s="369" t="s">
        <v>51</v>
      </c>
      <c r="S34" s="368"/>
      <c r="T34" s="357">
        <f>T2</f>
        <v>9</v>
      </c>
      <c r="U34" s="357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8" t="s">
        <v>8</v>
      </c>
      <c r="P36" s="358"/>
      <c r="Q36" s="358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>
        <v>1888</v>
      </c>
      <c r="C37" s="68" t="s">
        <v>525</v>
      </c>
      <c r="D37" s="258" t="s">
        <v>526</v>
      </c>
      <c r="E37" s="181" t="s">
        <v>91</v>
      </c>
      <c r="F37" s="174">
        <v>1530</v>
      </c>
      <c r="G37" s="118" t="s">
        <v>126</v>
      </c>
      <c r="H37" s="91"/>
      <c r="I37" s="124">
        <v>150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32"/>
      <c r="P37" s="331"/>
      <c r="Q37" s="333"/>
      <c r="R37" s="60"/>
      <c r="S37" s="61"/>
      <c r="T37" s="61"/>
      <c r="U37" s="70"/>
    </row>
    <row r="38" spans="1:34">
      <c r="A38" s="128">
        <f>A37+1</f>
        <v>27</v>
      </c>
      <c r="B38" s="263">
        <v>1889</v>
      </c>
      <c r="C38" s="67" t="s">
        <v>527</v>
      </c>
      <c r="D38" s="195" t="s">
        <v>528</v>
      </c>
      <c r="E38" s="181" t="s">
        <v>91</v>
      </c>
      <c r="F38" s="179">
        <v>1600</v>
      </c>
      <c r="G38" s="118" t="s">
        <v>120</v>
      </c>
      <c r="H38" s="91"/>
      <c r="I38" s="124">
        <v>95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59"/>
      <c r="P38" s="360"/>
      <c r="Q38" s="36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>
        <v>1890</v>
      </c>
      <c r="C39" s="27" t="s">
        <v>530</v>
      </c>
      <c r="D39" s="183" t="s">
        <v>531</v>
      </c>
      <c r="E39" s="181" t="s">
        <v>91</v>
      </c>
      <c r="F39" s="179">
        <v>1605</v>
      </c>
      <c r="G39" s="118" t="s">
        <v>106</v>
      </c>
      <c r="H39" s="91"/>
      <c r="I39" s="124"/>
      <c r="J39" s="130" t="str">
        <f t="shared" si="6"/>
        <v>0</v>
      </c>
      <c r="K39" s="130">
        <v>158.32</v>
      </c>
      <c r="L39" s="131"/>
      <c r="M39" s="131"/>
      <c r="N39" s="69" t="s">
        <v>99</v>
      </c>
      <c r="O39" s="332" t="s">
        <v>529</v>
      </c>
      <c r="P39" s="331"/>
      <c r="Q39" s="333"/>
      <c r="R39" s="79"/>
      <c r="S39" s="13"/>
      <c r="T39" s="12"/>
      <c r="U39" s="72"/>
    </row>
    <row r="40" spans="1:3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2"/>
      <c r="P40" s="363"/>
      <c r="Q40" s="364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2"/>
      <c r="P41" s="363"/>
      <c r="Q41" s="364"/>
      <c r="R41" s="80"/>
      <c r="S41" s="73"/>
      <c r="T41" s="73"/>
      <c r="U41" s="74"/>
    </row>
    <row r="42" spans="1:3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4"/>
      <c r="P42" s="355"/>
      <c r="Q42" s="356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2"/>
      <c r="P43" s="331"/>
      <c r="Q43" s="333"/>
      <c r="R43" s="78"/>
      <c r="S43" s="71"/>
      <c r="T43" s="71"/>
      <c r="U43" s="72"/>
    </row>
    <row r="44" spans="1:3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2"/>
      <c r="P44" s="331"/>
      <c r="Q44" s="333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2"/>
      <c r="P45" s="331"/>
      <c r="Q45" s="333"/>
      <c r="R45" s="5"/>
      <c r="S45" s="71"/>
      <c r="T45" s="71"/>
      <c r="U45" s="72"/>
    </row>
    <row r="46" spans="1:3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2"/>
      <c r="P46" s="331"/>
      <c r="Q46" s="333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2"/>
      <c r="P47" s="331"/>
      <c r="Q47" s="333"/>
      <c r="R47" s="5"/>
      <c r="S47" s="71"/>
      <c r="T47" s="71"/>
      <c r="U47" s="72"/>
    </row>
    <row r="48" spans="1:3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2"/>
      <c r="P48" s="331"/>
      <c r="Q48" s="333"/>
      <c r="R48" s="5"/>
      <c r="S48" s="71"/>
      <c r="T48" s="71"/>
      <c r="U48" s="72"/>
    </row>
    <row r="49" spans="1:21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2"/>
      <c r="P49" s="331"/>
      <c r="Q49" s="333"/>
      <c r="R49" s="5"/>
      <c r="S49" s="71"/>
      <c r="T49" s="75"/>
      <c r="U49" s="72"/>
    </row>
    <row r="50" spans="1:21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2"/>
      <c r="P50" s="331"/>
      <c r="Q50" s="333"/>
      <c r="R50" s="5"/>
      <c r="S50" s="71"/>
      <c r="T50" s="75"/>
      <c r="U50" s="72"/>
    </row>
    <row r="51" spans="1:21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2"/>
      <c r="P51" s="331"/>
      <c r="Q51" s="331"/>
      <c r="R51" s="5"/>
      <c r="S51" s="71"/>
      <c r="T51" s="75"/>
      <c r="U51" s="72"/>
    </row>
    <row r="52" spans="1:21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2"/>
      <c r="P52" s="331"/>
      <c r="Q52" s="331"/>
      <c r="R52" s="81"/>
      <c r="S52" s="68"/>
      <c r="T52" s="76"/>
      <c r="U52" s="77"/>
    </row>
    <row r="53" spans="1:21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32"/>
      <c r="Q53" s="332"/>
      <c r="R53" s="81"/>
      <c r="S53" s="68"/>
      <c r="T53" s="76"/>
      <c r="U53" s="77"/>
    </row>
    <row r="54" spans="1:21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32"/>
      <c r="Q54" s="332"/>
      <c r="R54" s="81"/>
      <c r="S54" s="68"/>
      <c r="T54" s="76"/>
      <c r="U54" s="77"/>
    </row>
    <row r="55" spans="1:21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32"/>
      <c r="Q55" s="332"/>
      <c r="R55" s="81"/>
      <c r="S55" s="68"/>
      <c r="T55" s="76"/>
      <c r="U55" s="77"/>
    </row>
    <row r="56" spans="1:21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1"/>
      <c r="P56" s="331"/>
      <c r="Q56" s="331"/>
      <c r="R56" s="81"/>
      <c r="S56" s="68"/>
      <c r="T56" s="76"/>
      <c r="U56" s="77"/>
    </row>
    <row r="57" spans="1:21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2"/>
      <c r="P57" s="331"/>
      <c r="Q57" s="331"/>
      <c r="R57" s="81"/>
      <c r="S57" s="68"/>
      <c r="T57" s="68"/>
      <c r="U57" s="77"/>
    </row>
    <row r="58" spans="1:21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1"/>
      <c r="P58" s="331"/>
      <c r="Q58" s="331"/>
      <c r="R58" s="81"/>
      <c r="S58" s="68"/>
      <c r="T58" s="68"/>
      <c r="U58" s="77"/>
    </row>
    <row r="59" spans="1:21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1"/>
      <c r="P59" s="331"/>
      <c r="Q59" s="331"/>
      <c r="R59" s="81"/>
      <c r="S59" s="68"/>
      <c r="T59" s="68"/>
      <c r="U59" s="77"/>
    </row>
    <row r="60" spans="1:21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2"/>
      <c r="P60" s="331"/>
      <c r="Q60" s="333"/>
      <c r="R60" s="81"/>
      <c r="S60" s="68"/>
      <c r="T60" s="68"/>
      <c r="U60" s="77"/>
    </row>
    <row r="61" spans="1:21" ht="18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4"/>
      <c r="P61" s="335"/>
      <c r="Q61" s="336"/>
      <c r="R61" s="81"/>
      <c r="S61" s="68"/>
      <c r="T61" s="68"/>
      <c r="U61" s="77"/>
    </row>
    <row r="62" spans="1:21">
      <c r="A62" s="337" t="s">
        <v>48</v>
      </c>
      <c r="B62" s="338"/>
      <c r="C62" s="338"/>
      <c r="D62" s="338"/>
      <c r="E62" s="338"/>
      <c r="F62" s="338"/>
      <c r="G62" s="338"/>
      <c r="H62" s="338">
        <f t="shared" ref="H62:M62" si="8">SUM(H37:H61)</f>
        <v>0</v>
      </c>
      <c r="I62" s="344">
        <f t="shared" si="8"/>
        <v>245</v>
      </c>
      <c r="J62" s="344">
        <f>J61+J60+J59+J58+J57+J56+J55+J54+J53+J52+J51+J50+J49+J48+J47+J46+J45+J44+J43+J42+J41+J40+J39+J38+J37</f>
        <v>0</v>
      </c>
      <c r="K62" s="344">
        <f>K61+K60+K59+K58+K57+K56+K55+K54+K53+K52+K51+K50+K49+K48+K47+K46+K45+K44+K43+K42+K41+K40+K39+K38+K37</f>
        <v>158.32</v>
      </c>
      <c r="L62" s="347">
        <f t="shared" si="8"/>
        <v>0</v>
      </c>
      <c r="M62" s="350">
        <f t="shared" si="8"/>
        <v>0</v>
      </c>
      <c r="N62" s="319"/>
      <c r="O62" s="320"/>
      <c r="P62" s="320"/>
      <c r="Q62" s="321"/>
      <c r="R62" s="5"/>
      <c r="S62" s="6"/>
      <c r="T62" s="7"/>
      <c r="U62" s="8"/>
    </row>
    <row r="63" spans="1:21" ht="18" thickBot="1">
      <c r="A63" s="340"/>
      <c r="B63" s="341"/>
      <c r="C63" s="341"/>
      <c r="D63" s="341"/>
      <c r="E63" s="341"/>
      <c r="F63" s="341"/>
      <c r="G63" s="341"/>
      <c r="H63" s="341"/>
      <c r="I63" s="345"/>
      <c r="J63" s="345"/>
      <c r="K63" s="345"/>
      <c r="L63" s="348"/>
      <c r="M63" s="351"/>
      <c r="N63" s="322"/>
      <c r="O63" s="323"/>
      <c r="P63" s="323"/>
      <c r="Q63" s="324"/>
      <c r="R63" s="1"/>
      <c r="S63" s="2"/>
      <c r="T63" s="3"/>
      <c r="U63" s="4"/>
    </row>
    <row r="64" spans="1:21" ht="18" thickBot="1">
      <c r="A64" s="342"/>
      <c r="B64" s="343"/>
      <c r="C64" s="343"/>
      <c r="D64" s="343"/>
      <c r="E64" s="343"/>
      <c r="F64" s="343"/>
      <c r="G64" s="343"/>
      <c r="H64" s="343"/>
      <c r="I64" s="346"/>
      <c r="J64" s="346"/>
      <c r="K64" s="346"/>
      <c r="L64" s="349"/>
      <c r="M64" s="352"/>
      <c r="N64" s="325"/>
      <c r="O64" s="326"/>
      <c r="P64" s="326"/>
      <c r="Q64" s="327"/>
      <c r="R64" s="328" t="s">
        <v>17</v>
      </c>
      <c r="S64" s="329"/>
      <c r="T64" s="329"/>
      <c r="U64" s="330"/>
    </row>
    <row r="65" spans="1:21" ht="18" thickBot="1">
      <c r="A65" s="365" t="s">
        <v>24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7"/>
    </row>
    <row r="66" spans="1:21" ht="18" thickBot="1">
      <c r="A66" s="365" t="str">
        <f>A34</f>
        <v>5 - 6 - 2022</v>
      </c>
      <c r="B66" s="366"/>
      <c r="C66" s="366"/>
      <c r="D66" s="366"/>
      <c r="E66" s="366"/>
      <c r="F66" s="366"/>
      <c r="G66" s="367"/>
      <c r="H66" s="368" t="s">
        <v>49</v>
      </c>
      <c r="I66" s="369"/>
      <c r="J66" s="365" t="str">
        <f>J34</f>
        <v>SUNNY</v>
      </c>
      <c r="K66" s="367"/>
      <c r="L66" s="369" t="s">
        <v>50</v>
      </c>
      <c r="M66" s="370"/>
      <c r="N66" s="368"/>
      <c r="O66" s="366" t="str">
        <f>O34</f>
        <v>HENDRA</v>
      </c>
      <c r="P66" s="366"/>
      <c r="Q66" s="367"/>
      <c r="R66" s="369" t="s">
        <v>51</v>
      </c>
      <c r="S66" s="368"/>
      <c r="T66" s="357">
        <f>T34</f>
        <v>9</v>
      </c>
      <c r="U66" s="357"/>
    </row>
    <row r="67" spans="1:21" ht="18" thickBot="1">
      <c r="A67" s="15" t="s">
        <v>6</v>
      </c>
      <c r="H67" s="9"/>
      <c r="I67" s="19"/>
      <c r="T67" s="10"/>
      <c r="U67" s="11"/>
    </row>
    <row r="68" spans="1:21" ht="18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8" t="s">
        <v>8</v>
      </c>
      <c r="P68" s="358"/>
      <c r="Q68" s="358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2"/>
      <c r="P69" s="331"/>
      <c r="Q69" s="333"/>
      <c r="R69" s="60"/>
      <c r="S69" s="61"/>
      <c r="T69" s="61"/>
      <c r="U69" s="70"/>
    </row>
    <row r="70" spans="1:21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9"/>
      <c r="P70" s="360"/>
      <c r="Q70" s="36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2"/>
      <c r="P71" s="331"/>
      <c r="Q71" s="333"/>
      <c r="R71" s="79"/>
      <c r="S71" s="13"/>
      <c r="T71" s="12"/>
      <c r="U71" s="72"/>
    </row>
    <row r="72" spans="1:21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2"/>
      <c r="P72" s="363"/>
      <c r="Q72" s="364"/>
      <c r="R72" s="78"/>
      <c r="S72" s="71"/>
      <c r="T72" s="71"/>
      <c r="U72" s="72"/>
    </row>
    <row r="73" spans="1:21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2"/>
      <c r="P73" s="363"/>
      <c r="Q73" s="364"/>
      <c r="R73" s="80"/>
      <c r="S73" s="73"/>
      <c r="T73" s="73"/>
      <c r="U73" s="74"/>
    </row>
    <row r="74" spans="1:21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4"/>
      <c r="P74" s="355"/>
      <c r="Q74" s="356"/>
      <c r="R74" s="80"/>
      <c r="S74" s="73"/>
      <c r="T74" s="73"/>
      <c r="U74" s="74"/>
    </row>
    <row r="75" spans="1:21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2"/>
      <c r="P75" s="331"/>
      <c r="Q75" s="333"/>
      <c r="R75" s="78"/>
      <c r="S75" s="71"/>
      <c r="T75" s="71"/>
      <c r="U75" s="72"/>
    </row>
    <row r="76" spans="1:21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2"/>
      <c r="P76" s="331"/>
      <c r="Q76" s="333"/>
      <c r="R76" s="5"/>
      <c r="S76" s="71"/>
      <c r="T76" s="71"/>
      <c r="U76" s="72"/>
    </row>
    <row r="77" spans="1:21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2"/>
      <c r="P77" s="331"/>
      <c r="Q77" s="333"/>
      <c r="R77" s="5"/>
      <c r="S77" s="71"/>
      <c r="T77" s="71"/>
      <c r="U77" s="72"/>
    </row>
    <row r="78" spans="1:21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2"/>
      <c r="P78" s="331"/>
      <c r="Q78" s="333"/>
      <c r="R78" s="5"/>
      <c r="S78" s="71"/>
      <c r="T78" s="71"/>
      <c r="U78" s="72"/>
    </row>
    <row r="79" spans="1:21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2"/>
      <c r="P79" s="331"/>
      <c r="Q79" s="333"/>
      <c r="R79" s="5"/>
      <c r="S79" s="71"/>
      <c r="T79" s="71"/>
      <c r="U79" s="72"/>
    </row>
    <row r="80" spans="1:21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2"/>
      <c r="P80" s="331"/>
      <c r="Q80" s="333"/>
      <c r="R80" s="5"/>
      <c r="S80" s="71"/>
      <c r="T80" s="71"/>
      <c r="U80" s="72"/>
    </row>
    <row r="81" spans="1:21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2"/>
      <c r="P81" s="331"/>
      <c r="Q81" s="333"/>
      <c r="R81" s="5"/>
      <c r="S81" s="71"/>
      <c r="T81" s="75"/>
      <c r="U81" s="72"/>
    </row>
    <row r="82" spans="1:21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2"/>
      <c r="P82" s="331"/>
      <c r="Q82" s="333"/>
      <c r="R82" s="5"/>
      <c r="S82" s="71"/>
      <c r="T82" s="75"/>
      <c r="U82" s="72"/>
    </row>
    <row r="83" spans="1:21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2"/>
      <c r="P83" s="331"/>
      <c r="Q83" s="331"/>
      <c r="R83" s="5"/>
      <c r="S83" s="71"/>
      <c r="T83" s="75"/>
      <c r="U83" s="72"/>
    </row>
    <row r="84" spans="1:21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2"/>
      <c r="P84" s="331"/>
      <c r="Q84" s="331"/>
      <c r="R84" s="81"/>
      <c r="S84" s="68"/>
      <c r="T84" s="76"/>
      <c r="U84" s="77"/>
    </row>
    <row r="85" spans="1:21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32"/>
      <c r="Q85" s="332"/>
      <c r="R85" s="81"/>
      <c r="S85" s="68"/>
      <c r="T85" s="76"/>
      <c r="U85" s="77"/>
    </row>
    <row r="86" spans="1:21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32"/>
      <c r="Q86" s="332"/>
      <c r="R86" s="81"/>
      <c r="S86" s="68"/>
      <c r="T86" s="76"/>
      <c r="U86" s="77"/>
    </row>
    <row r="87" spans="1:21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32"/>
      <c r="Q87" s="332"/>
      <c r="R87" s="81"/>
      <c r="S87" s="68"/>
      <c r="T87" s="76"/>
      <c r="U87" s="77"/>
    </row>
    <row r="88" spans="1:21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1"/>
      <c r="P88" s="331"/>
      <c r="Q88" s="331"/>
      <c r="R88" s="81"/>
      <c r="S88" s="68"/>
      <c r="T88" s="76"/>
      <c r="U88" s="77"/>
    </row>
    <row r="89" spans="1:21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2"/>
      <c r="P89" s="331"/>
      <c r="Q89" s="331"/>
      <c r="R89" s="81"/>
      <c r="S89" s="68"/>
      <c r="T89" s="68"/>
      <c r="U89" s="77"/>
    </row>
    <row r="90" spans="1:21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1"/>
      <c r="P90" s="331"/>
      <c r="Q90" s="331"/>
      <c r="R90" s="81"/>
      <c r="S90" s="68"/>
      <c r="T90" s="68"/>
      <c r="U90" s="77"/>
    </row>
    <row r="91" spans="1:21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1"/>
      <c r="P91" s="331"/>
      <c r="Q91" s="331"/>
      <c r="R91" s="81"/>
      <c r="S91" s="68"/>
      <c r="T91" s="68"/>
      <c r="U91" s="77"/>
    </row>
    <row r="92" spans="1:21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2"/>
      <c r="P92" s="331"/>
      <c r="Q92" s="333"/>
      <c r="R92" s="81"/>
      <c r="S92" s="68"/>
      <c r="T92" s="68"/>
      <c r="U92" s="77"/>
    </row>
    <row r="93" spans="1:21" ht="18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4"/>
      <c r="P93" s="335"/>
      <c r="Q93" s="336"/>
      <c r="R93" s="81"/>
      <c r="S93" s="68"/>
      <c r="T93" s="68"/>
      <c r="U93" s="77"/>
    </row>
    <row r="94" spans="1:21">
      <c r="A94" s="337" t="s">
        <v>48</v>
      </c>
      <c r="B94" s="338"/>
      <c r="C94" s="338"/>
      <c r="D94" s="338"/>
      <c r="E94" s="339"/>
      <c r="F94" s="338"/>
      <c r="G94" s="338"/>
      <c r="H94" s="338">
        <f t="shared" ref="H94:M94" si="12">SUM(H69:H93)</f>
        <v>0</v>
      </c>
      <c r="I94" s="344">
        <f t="shared" si="12"/>
        <v>0</v>
      </c>
      <c r="J94" s="344">
        <f>J93+J92+J91+J90+J89+J88+J87+J86+J85+J84+J83+J82+J81+J80+J79+J78+J77+J76+J75+J74+J73+J72+J71+J70+J69</f>
        <v>0</v>
      </c>
      <c r="K94" s="344">
        <f>K93+K92+K91+K90+K89+K88+K87+K86+K85+K84+K83+K82+K81+K80+K79+K78+K77+K76+K75+K74+K73+K72+K71+K70+K69</f>
        <v>0</v>
      </c>
      <c r="L94" s="347">
        <f t="shared" si="12"/>
        <v>0</v>
      </c>
      <c r="M94" s="350">
        <f t="shared" si="12"/>
        <v>0</v>
      </c>
      <c r="N94" s="319"/>
      <c r="O94" s="320"/>
      <c r="P94" s="320"/>
      <c r="Q94" s="321"/>
      <c r="R94" s="5"/>
      <c r="S94" s="6"/>
      <c r="T94" s="7"/>
      <c r="U94" s="8"/>
    </row>
    <row r="95" spans="1:21" ht="18" thickBot="1">
      <c r="A95" s="340"/>
      <c r="B95" s="341"/>
      <c r="C95" s="341"/>
      <c r="D95" s="341"/>
      <c r="E95" s="341"/>
      <c r="F95" s="341"/>
      <c r="G95" s="341"/>
      <c r="H95" s="341"/>
      <c r="I95" s="345"/>
      <c r="J95" s="345"/>
      <c r="K95" s="345"/>
      <c r="L95" s="348"/>
      <c r="M95" s="351"/>
      <c r="N95" s="322"/>
      <c r="O95" s="323"/>
      <c r="P95" s="323"/>
      <c r="Q95" s="324"/>
      <c r="R95" s="1"/>
      <c r="S95" s="2"/>
      <c r="T95" s="3"/>
      <c r="U95" s="4"/>
    </row>
    <row r="96" spans="1:21" ht="18" thickBot="1">
      <c r="A96" s="342"/>
      <c r="B96" s="343"/>
      <c r="C96" s="343"/>
      <c r="D96" s="343"/>
      <c r="E96" s="343"/>
      <c r="F96" s="343"/>
      <c r="G96" s="343"/>
      <c r="H96" s="343"/>
      <c r="I96" s="346"/>
      <c r="J96" s="346"/>
      <c r="K96" s="346"/>
      <c r="L96" s="349"/>
      <c r="M96" s="352"/>
      <c r="N96" s="325"/>
      <c r="O96" s="326"/>
      <c r="P96" s="326"/>
      <c r="Q96" s="327"/>
      <c r="R96" s="328" t="s">
        <v>52</v>
      </c>
      <c r="S96" s="329"/>
      <c r="T96" s="329"/>
      <c r="U96" s="330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4" workbookViewId="0">
      <selection activeCell="H23" sqref="H23:K23"/>
    </sheetView>
  </sheetViews>
  <sheetFormatPr defaultColWidth="9" defaultRowHeight="17.399999999999999"/>
  <cols>
    <col min="1" max="477" width="2.59765625" style="35" customWidth="1"/>
    <col min="478" max="16384" width="9" style="35"/>
  </cols>
  <sheetData>
    <row r="1" spans="1:30" ht="32.25" customHeight="1">
      <c r="A1" s="649"/>
      <c r="B1" s="649"/>
      <c r="C1" s="649"/>
      <c r="D1" s="649"/>
      <c r="E1" s="648" t="s">
        <v>59</v>
      </c>
      <c r="F1" s="648"/>
      <c r="G1" s="648"/>
      <c r="H1" s="648" t="s">
        <v>60</v>
      </c>
      <c r="I1" s="648"/>
      <c r="J1" s="648"/>
      <c r="K1" s="648"/>
      <c r="L1" s="648" t="s">
        <v>61</v>
      </c>
      <c r="M1" s="648"/>
      <c r="N1" s="648"/>
      <c r="O1" s="648"/>
      <c r="P1" s="648"/>
      <c r="Q1" s="648" t="s">
        <v>62</v>
      </c>
      <c r="R1" s="648"/>
      <c r="S1" s="648"/>
      <c r="T1" s="648"/>
      <c r="U1" s="648"/>
      <c r="V1" s="648" t="s">
        <v>63</v>
      </c>
      <c r="W1" s="648"/>
      <c r="X1" s="648"/>
      <c r="Y1" s="648"/>
      <c r="Z1" s="648"/>
      <c r="AA1" s="648" t="s">
        <v>64</v>
      </c>
      <c r="AB1" s="648"/>
      <c r="AC1" s="648"/>
      <c r="AD1" s="648"/>
    </row>
    <row r="2" spans="1:30" ht="20.100000000000001" customHeight="1">
      <c r="A2" s="729" t="s">
        <v>66</v>
      </c>
      <c r="B2" s="540" t="s">
        <v>57</v>
      </c>
      <c r="C2" s="540"/>
      <c r="D2" s="564"/>
      <c r="E2" s="564">
        <f>MON!N31</f>
        <v>1</v>
      </c>
      <c r="F2" s="564"/>
      <c r="G2" s="564"/>
      <c r="H2" s="533">
        <f>MON!S31</f>
        <v>55</v>
      </c>
      <c r="I2" s="533"/>
      <c r="J2" s="533"/>
      <c r="K2" s="533"/>
      <c r="L2" s="534">
        <f>MON!N32</f>
        <v>3.6789789829964281E-2</v>
      </c>
      <c r="M2" s="534"/>
      <c r="N2" s="534"/>
      <c r="O2" s="534"/>
      <c r="P2" s="534"/>
      <c r="Q2" s="594">
        <f>SUM(E2:G5)</f>
        <v>20</v>
      </c>
      <c r="R2" s="595"/>
      <c r="S2" s="595"/>
      <c r="T2" s="595"/>
      <c r="U2" s="596"/>
      <c r="V2" s="659">
        <f>SUM(H2,H3,H5)</f>
        <v>1195</v>
      </c>
      <c r="W2" s="660"/>
      <c r="X2" s="660"/>
      <c r="Y2" s="660"/>
      <c r="Z2" s="661"/>
      <c r="AA2" s="668">
        <f>V2/Q2</f>
        <v>59.75</v>
      </c>
      <c r="AB2" s="669"/>
      <c r="AC2" s="669"/>
      <c r="AD2" s="670"/>
    </row>
    <row r="3" spans="1:30" ht="20.100000000000001" customHeight="1">
      <c r="A3" s="730"/>
      <c r="B3" s="540" t="s">
        <v>58</v>
      </c>
      <c r="C3" s="540"/>
      <c r="D3" s="564"/>
      <c r="E3" s="564">
        <f>MON!O31</f>
        <v>8</v>
      </c>
      <c r="F3" s="564"/>
      <c r="G3" s="564"/>
      <c r="H3" s="533">
        <f>MON!S32</f>
        <v>755</v>
      </c>
      <c r="I3" s="533"/>
      <c r="J3" s="533"/>
      <c r="K3" s="533"/>
      <c r="L3" s="534">
        <f>MON!O32</f>
        <v>0.50502347857496421</v>
      </c>
      <c r="M3" s="534"/>
      <c r="N3" s="534"/>
      <c r="O3" s="534"/>
      <c r="P3" s="534"/>
      <c r="Q3" s="597"/>
      <c r="R3" s="598"/>
      <c r="S3" s="598"/>
      <c r="T3" s="598"/>
      <c r="U3" s="599"/>
      <c r="V3" s="662"/>
      <c r="W3" s="663"/>
      <c r="X3" s="663"/>
      <c r="Y3" s="663"/>
      <c r="Z3" s="664"/>
      <c r="AA3" s="671"/>
      <c r="AB3" s="672"/>
      <c r="AC3" s="672"/>
      <c r="AD3" s="673"/>
    </row>
    <row r="4" spans="1:30" ht="20.100000000000001" customHeight="1">
      <c r="A4" s="730"/>
      <c r="B4" s="540" t="s">
        <v>45</v>
      </c>
      <c r="C4" s="540"/>
      <c r="D4" s="564"/>
      <c r="E4" s="564">
        <f>MON!P31</f>
        <v>6</v>
      </c>
      <c r="F4" s="564"/>
      <c r="G4" s="564"/>
      <c r="H4" s="533">
        <f>MON!K31</f>
        <v>299.98</v>
      </c>
      <c r="I4" s="533"/>
      <c r="J4" s="533"/>
      <c r="K4" s="533"/>
      <c r="L4" s="534">
        <f>MON!P32</f>
        <v>0.20065820278532157</v>
      </c>
      <c r="M4" s="534"/>
      <c r="N4" s="534"/>
      <c r="O4" s="534"/>
      <c r="P4" s="534"/>
      <c r="Q4" s="597"/>
      <c r="R4" s="598"/>
      <c r="S4" s="598"/>
      <c r="T4" s="598"/>
      <c r="U4" s="599"/>
      <c r="V4" s="662"/>
      <c r="W4" s="663"/>
      <c r="X4" s="663"/>
      <c r="Y4" s="663"/>
      <c r="Z4" s="664"/>
      <c r="AA4" s="671"/>
      <c r="AB4" s="672"/>
      <c r="AC4" s="672"/>
      <c r="AD4" s="673"/>
    </row>
    <row r="5" spans="1:30" ht="20.100000000000001" customHeight="1">
      <c r="A5" s="730"/>
      <c r="B5" s="538" t="s">
        <v>65</v>
      </c>
      <c r="C5" s="539"/>
      <c r="D5" s="540"/>
      <c r="E5" s="538">
        <f>MON!Q31</f>
        <v>5</v>
      </c>
      <c r="F5" s="539"/>
      <c r="G5" s="540"/>
      <c r="H5" s="586">
        <f>MON!J31</f>
        <v>385</v>
      </c>
      <c r="I5" s="587"/>
      <c r="J5" s="587"/>
      <c r="K5" s="588"/>
      <c r="L5" s="589">
        <f>MON!Q32</f>
        <v>0.25752852880974997</v>
      </c>
      <c r="M5" s="590"/>
      <c r="N5" s="590"/>
      <c r="O5" s="590"/>
      <c r="P5" s="591"/>
      <c r="Q5" s="600"/>
      <c r="R5" s="601"/>
      <c r="S5" s="601"/>
      <c r="T5" s="601"/>
      <c r="U5" s="602"/>
      <c r="V5" s="665"/>
      <c r="W5" s="666"/>
      <c r="X5" s="666"/>
      <c r="Y5" s="666"/>
      <c r="Z5" s="667"/>
      <c r="AA5" s="674"/>
      <c r="AB5" s="675"/>
      <c r="AC5" s="675"/>
      <c r="AD5" s="676"/>
    </row>
    <row r="6" spans="1:30" ht="20.100000000000001" customHeight="1">
      <c r="A6" s="731"/>
      <c r="B6" s="538" t="s">
        <v>94</v>
      </c>
      <c r="C6" s="539"/>
      <c r="D6" s="540"/>
      <c r="E6" s="538">
        <f>MON!U16</f>
        <v>37.75</v>
      </c>
      <c r="F6" s="539"/>
      <c r="G6" s="540"/>
      <c r="H6" s="586" t="s">
        <v>95</v>
      </c>
      <c r="I6" s="587"/>
      <c r="J6" s="587"/>
      <c r="K6" s="588"/>
      <c r="L6" s="642">
        <f>MON!T2</f>
        <v>5</v>
      </c>
      <c r="M6" s="643"/>
      <c r="N6" s="643"/>
      <c r="O6" s="643"/>
      <c r="P6" s="644"/>
      <c r="Q6" s="645"/>
      <c r="R6" s="646"/>
      <c r="S6" s="646"/>
      <c r="T6" s="646"/>
      <c r="U6" s="647"/>
      <c r="V6" s="750"/>
      <c r="W6" s="751"/>
      <c r="X6" s="751"/>
      <c r="Y6" s="751"/>
      <c r="Z6" s="752"/>
      <c r="AA6" s="753"/>
      <c r="AB6" s="754"/>
      <c r="AC6" s="754"/>
      <c r="AD6" s="755"/>
    </row>
    <row r="7" spans="1:30" ht="20.100000000000001" customHeight="1">
      <c r="A7" s="732" t="s">
        <v>67</v>
      </c>
      <c r="B7" s="556" t="s">
        <v>57</v>
      </c>
      <c r="C7" s="556"/>
      <c r="D7" s="557"/>
      <c r="E7" s="557">
        <f>TUE!N31</f>
        <v>5</v>
      </c>
      <c r="F7" s="557"/>
      <c r="G7" s="557"/>
      <c r="H7" s="535">
        <f>TUE!S31</f>
        <v>330</v>
      </c>
      <c r="I7" s="535"/>
      <c r="J7" s="535"/>
      <c r="K7" s="535"/>
      <c r="L7" s="548">
        <f>TUE!N32</f>
        <v>0.11674555836216595</v>
      </c>
      <c r="M7" s="549"/>
      <c r="N7" s="549"/>
      <c r="O7" s="549"/>
      <c r="P7" s="550"/>
      <c r="Q7" s="624">
        <f>SUM(E7:G10)</f>
        <v>26</v>
      </c>
      <c r="R7" s="625"/>
      <c r="S7" s="625"/>
      <c r="T7" s="625"/>
      <c r="U7" s="626"/>
      <c r="V7" s="650">
        <f>SUM(H7,H8,H10)</f>
        <v>3110</v>
      </c>
      <c r="W7" s="651"/>
      <c r="X7" s="651"/>
      <c r="Y7" s="651"/>
      <c r="Z7" s="652"/>
      <c r="AA7" s="677">
        <f>V7/Q7</f>
        <v>119.61538461538461</v>
      </c>
      <c r="AB7" s="678"/>
      <c r="AC7" s="678"/>
      <c r="AD7" s="679"/>
    </row>
    <row r="8" spans="1:30" ht="20.100000000000001" customHeight="1">
      <c r="A8" s="733"/>
      <c r="B8" s="556" t="s">
        <v>58</v>
      </c>
      <c r="C8" s="556"/>
      <c r="D8" s="557"/>
      <c r="E8" s="557">
        <f>TUE!O31</f>
        <v>12</v>
      </c>
      <c r="F8" s="557"/>
      <c r="G8" s="557"/>
      <c r="H8" s="535">
        <f>TUE!S32</f>
        <v>2120</v>
      </c>
      <c r="I8" s="535"/>
      <c r="J8" s="535"/>
      <c r="K8" s="535"/>
      <c r="L8" s="548">
        <f>TUE!O32</f>
        <v>0.59964764067839782</v>
      </c>
      <c r="M8" s="549"/>
      <c r="N8" s="549"/>
      <c r="O8" s="549"/>
      <c r="P8" s="550"/>
      <c r="Q8" s="627"/>
      <c r="R8" s="628"/>
      <c r="S8" s="628"/>
      <c r="T8" s="628"/>
      <c r="U8" s="629"/>
      <c r="V8" s="653"/>
      <c r="W8" s="654"/>
      <c r="X8" s="654"/>
      <c r="Y8" s="654"/>
      <c r="Z8" s="655"/>
      <c r="AA8" s="680"/>
      <c r="AB8" s="681"/>
      <c r="AC8" s="681"/>
      <c r="AD8" s="682"/>
    </row>
    <row r="9" spans="1:30" ht="20.100000000000001" customHeight="1">
      <c r="A9" s="733"/>
      <c r="B9" s="556" t="s">
        <v>45</v>
      </c>
      <c r="C9" s="556"/>
      <c r="D9" s="557"/>
      <c r="E9" s="557">
        <f>TUE!P31</f>
        <v>2</v>
      </c>
      <c r="F9" s="557"/>
      <c r="G9" s="557"/>
      <c r="H9" s="535">
        <f>TUE!K31</f>
        <v>141.66</v>
      </c>
      <c r="I9" s="535"/>
      <c r="J9" s="535"/>
      <c r="K9" s="535"/>
      <c r="L9" s="548">
        <f>TUE!P32</f>
        <v>5.0115684235104332E-2</v>
      </c>
      <c r="M9" s="549"/>
      <c r="N9" s="549"/>
      <c r="O9" s="549"/>
      <c r="P9" s="550"/>
      <c r="Q9" s="627"/>
      <c r="R9" s="628"/>
      <c r="S9" s="628"/>
      <c r="T9" s="628"/>
      <c r="U9" s="629"/>
      <c r="V9" s="653"/>
      <c r="W9" s="654"/>
      <c r="X9" s="654"/>
      <c r="Y9" s="654"/>
      <c r="Z9" s="655"/>
      <c r="AA9" s="680"/>
      <c r="AB9" s="681"/>
      <c r="AC9" s="681"/>
      <c r="AD9" s="682"/>
    </row>
    <row r="10" spans="1:30" ht="20.100000000000001" customHeight="1">
      <c r="A10" s="733"/>
      <c r="B10" s="592" t="s">
        <v>65</v>
      </c>
      <c r="C10" s="593"/>
      <c r="D10" s="556"/>
      <c r="E10" s="592">
        <f>TUE!Q31</f>
        <v>7</v>
      </c>
      <c r="F10" s="593"/>
      <c r="G10" s="556"/>
      <c r="H10" s="565">
        <f>TUE!J31</f>
        <v>660</v>
      </c>
      <c r="I10" s="566"/>
      <c r="J10" s="566"/>
      <c r="K10" s="567"/>
      <c r="L10" s="548">
        <f>TUE!Q32</f>
        <v>0.2334911167243319</v>
      </c>
      <c r="M10" s="549"/>
      <c r="N10" s="549"/>
      <c r="O10" s="549"/>
      <c r="P10" s="550"/>
      <c r="Q10" s="630"/>
      <c r="R10" s="631"/>
      <c r="S10" s="631"/>
      <c r="T10" s="631"/>
      <c r="U10" s="632"/>
      <c r="V10" s="656"/>
      <c r="W10" s="657"/>
      <c r="X10" s="657"/>
      <c r="Y10" s="657"/>
      <c r="Z10" s="658"/>
      <c r="AA10" s="683"/>
      <c r="AB10" s="684"/>
      <c r="AC10" s="684"/>
      <c r="AD10" s="685"/>
    </row>
    <row r="11" spans="1:30" ht="20.100000000000001" customHeight="1">
      <c r="A11" s="734"/>
      <c r="B11" s="592" t="s">
        <v>94</v>
      </c>
      <c r="C11" s="593"/>
      <c r="D11" s="556"/>
      <c r="E11" s="592">
        <f>TUE!U16</f>
        <v>47.5</v>
      </c>
      <c r="F11" s="593"/>
      <c r="G11" s="556"/>
      <c r="H11" s="565" t="s">
        <v>95</v>
      </c>
      <c r="I11" s="566"/>
      <c r="J11" s="566"/>
      <c r="K11" s="567"/>
      <c r="L11" s="756">
        <f>TUE!T2</f>
        <v>6</v>
      </c>
      <c r="M11" s="757"/>
      <c r="N11" s="757"/>
      <c r="O11" s="757"/>
      <c r="P11" s="758"/>
      <c r="Q11" s="759"/>
      <c r="R11" s="760"/>
      <c r="S11" s="760"/>
      <c r="T11" s="760"/>
      <c r="U11" s="761"/>
      <c r="V11" s="762"/>
      <c r="W11" s="763"/>
      <c r="X11" s="763"/>
      <c r="Y11" s="763"/>
      <c r="Z11" s="764"/>
      <c r="AA11" s="765"/>
      <c r="AB11" s="766"/>
      <c r="AC11" s="766"/>
      <c r="AD11" s="767"/>
    </row>
    <row r="12" spans="1:30" ht="20.100000000000001" customHeight="1">
      <c r="A12" s="735" t="s">
        <v>68</v>
      </c>
      <c r="B12" s="541" t="s">
        <v>57</v>
      </c>
      <c r="C12" s="541"/>
      <c r="D12" s="341"/>
      <c r="E12" s="341">
        <f>WED!N31</f>
        <v>3</v>
      </c>
      <c r="F12" s="341"/>
      <c r="G12" s="341"/>
      <c r="H12" s="542">
        <f>WED!S31</f>
        <v>475</v>
      </c>
      <c r="I12" s="543"/>
      <c r="J12" s="543"/>
      <c r="K12" s="544"/>
      <c r="L12" s="545">
        <f>WED!N32</f>
        <v>0.30563133782879498</v>
      </c>
      <c r="M12" s="546"/>
      <c r="N12" s="546"/>
      <c r="O12" s="546"/>
      <c r="P12" s="547"/>
      <c r="Q12" s="603">
        <f>SUM(E12:G15)</f>
        <v>17</v>
      </c>
      <c r="R12" s="604"/>
      <c r="S12" s="604"/>
      <c r="T12" s="604"/>
      <c r="U12" s="605"/>
      <c r="V12" s="777">
        <f>SUM(H12,H13,H15)</f>
        <v>1475</v>
      </c>
      <c r="W12" s="778"/>
      <c r="X12" s="778"/>
      <c r="Y12" s="778"/>
      <c r="Z12" s="779"/>
      <c r="AA12" s="768">
        <f>V12/Q12</f>
        <v>86.764705882352942</v>
      </c>
      <c r="AB12" s="769"/>
      <c r="AC12" s="769"/>
      <c r="AD12" s="770"/>
    </row>
    <row r="13" spans="1:30" ht="20.100000000000001" customHeight="1">
      <c r="A13" s="736"/>
      <c r="B13" s="541" t="s">
        <v>58</v>
      </c>
      <c r="C13" s="541"/>
      <c r="D13" s="341"/>
      <c r="E13" s="341">
        <f>WED!O31</f>
        <v>11</v>
      </c>
      <c r="F13" s="341"/>
      <c r="G13" s="341"/>
      <c r="H13" s="542">
        <f>WED!S32</f>
        <v>1000</v>
      </c>
      <c r="I13" s="543"/>
      <c r="J13" s="543"/>
      <c r="K13" s="544"/>
      <c r="L13" s="545">
        <f>WED!O32</f>
        <v>0.64343439542904202</v>
      </c>
      <c r="M13" s="546"/>
      <c r="N13" s="546"/>
      <c r="O13" s="546"/>
      <c r="P13" s="547"/>
      <c r="Q13" s="606"/>
      <c r="R13" s="607"/>
      <c r="S13" s="607"/>
      <c r="T13" s="607"/>
      <c r="U13" s="608"/>
      <c r="V13" s="780"/>
      <c r="W13" s="781"/>
      <c r="X13" s="781"/>
      <c r="Y13" s="781"/>
      <c r="Z13" s="782"/>
      <c r="AA13" s="771"/>
      <c r="AB13" s="772"/>
      <c r="AC13" s="772"/>
      <c r="AD13" s="773"/>
    </row>
    <row r="14" spans="1:30" ht="20.100000000000001" customHeight="1">
      <c r="A14" s="736"/>
      <c r="B14" s="541" t="s">
        <v>45</v>
      </c>
      <c r="C14" s="541"/>
      <c r="D14" s="341"/>
      <c r="E14" s="341">
        <f>WED!P31</f>
        <v>3</v>
      </c>
      <c r="F14" s="341"/>
      <c r="G14" s="341"/>
      <c r="H14" s="542">
        <f>WED!K31</f>
        <v>79.16</v>
      </c>
      <c r="I14" s="543"/>
      <c r="J14" s="543"/>
      <c r="K14" s="544"/>
      <c r="L14" s="545">
        <f>WED!P32</f>
        <v>5.0934266742162962E-2</v>
      </c>
      <c r="M14" s="546"/>
      <c r="N14" s="546"/>
      <c r="O14" s="546"/>
      <c r="P14" s="547"/>
      <c r="Q14" s="606"/>
      <c r="R14" s="607"/>
      <c r="S14" s="607"/>
      <c r="T14" s="607"/>
      <c r="U14" s="608"/>
      <c r="V14" s="780"/>
      <c r="W14" s="781"/>
      <c r="X14" s="781"/>
      <c r="Y14" s="781"/>
      <c r="Z14" s="782"/>
      <c r="AA14" s="771"/>
      <c r="AB14" s="772"/>
      <c r="AC14" s="772"/>
      <c r="AD14" s="773"/>
    </row>
    <row r="15" spans="1:30" ht="20.100000000000001" customHeight="1">
      <c r="A15" s="736"/>
      <c r="B15" s="558" t="s">
        <v>65</v>
      </c>
      <c r="C15" s="559"/>
      <c r="D15" s="541"/>
      <c r="E15" s="558">
        <f>WED!Q31</f>
        <v>0</v>
      </c>
      <c r="F15" s="559"/>
      <c r="G15" s="541"/>
      <c r="H15" s="542">
        <f>WED!J31</f>
        <v>0</v>
      </c>
      <c r="I15" s="543"/>
      <c r="J15" s="543"/>
      <c r="K15" s="544"/>
      <c r="L15" s="545">
        <f>WED!Q32</f>
        <v>0</v>
      </c>
      <c r="M15" s="546"/>
      <c r="N15" s="546"/>
      <c r="O15" s="546"/>
      <c r="P15" s="547"/>
      <c r="Q15" s="609"/>
      <c r="R15" s="610"/>
      <c r="S15" s="610"/>
      <c r="T15" s="610"/>
      <c r="U15" s="611"/>
      <c r="V15" s="783"/>
      <c r="W15" s="784"/>
      <c r="X15" s="784"/>
      <c r="Y15" s="784"/>
      <c r="Z15" s="785"/>
      <c r="AA15" s="774"/>
      <c r="AB15" s="775"/>
      <c r="AC15" s="775"/>
      <c r="AD15" s="776"/>
    </row>
    <row r="16" spans="1:30" ht="20.100000000000001" customHeight="1">
      <c r="A16" s="737"/>
      <c r="B16" s="558" t="s">
        <v>94</v>
      </c>
      <c r="C16" s="559"/>
      <c r="D16" s="541"/>
      <c r="E16" s="558">
        <f>WED!U16</f>
        <v>47.5</v>
      </c>
      <c r="F16" s="559"/>
      <c r="G16" s="541"/>
      <c r="H16" s="542" t="s">
        <v>95</v>
      </c>
      <c r="I16" s="543"/>
      <c r="J16" s="543"/>
      <c r="K16" s="544"/>
      <c r="L16" s="561">
        <f>WED!T2</f>
        <v>6</v>
      </c>
      <c r="M16" s="562"/>
      <c r="N16" s="562"/>
      <c r="O16" s="562"/>
      <c r="P16" s="563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>
      <c r="A17" s="738" t="s">
        <v>69</v>
      </c>
      <c r="B17" s="505" t="s">
        <v>57</v>
      </c>
      <c r="C17" s="505"/>
      <c r="D17" s="552"/>
      <c r="E17" s="552">
        <f>THU!N31</f>
        <v>2</v>
      </c>
      <c r="F17" s="552"/>
      <c r="G17" s="552"/>
      <c r="H17" s="560">
        <f>THU!S31</f>
        <v>150</v>
      </c>
      <c r="I17" s="560"/>
      <c r="J17" s="560"/>
      <c r="K17" s="560"/>
      <c r="L17" s="551">
        <f>THU!N32</f>
        <v>7.2698369617897357E-2</v>
      </c>
      <c r="M17" s="551"/>
      <c r="N17" s="551"/>
      <c r="O17" s="551"/>
      <c r="P17" s="551"/>
      <c r="Q17" s="633">
        <f>SUM(E17:G20)</f>
        <v>23</v>
      </c>
      <c r="R17" s="634"/>
      <c r="S17" s="634"/>
      <c r="T17" s="634"/>
      <c r="U17" s="635"/>
      <c r="V17" s="577">
        <f>SUM(H17,H18,H20)</f>
        <v>2255</v>
      </c>
      <c r="W17" s="578"/>
      <c r="X17" s="578"/>
      <c r="Y17" s="578"/>
      <c r="Z17" s="579"/>
      <c r="AA17" s="568">
        <f>V17/Q17</f>
        <v>98.043478260869563</v>
      </c>
      <c r="AB17" s="569"/>
      <c r="AC17" s="569"/>
      <c r="AD17" s="570"/>
    </row>
    <row r="18" spans="1:30" ht="20.100000000000001" customHeight="1">
      <c r="A18" s="739"/>
      <c r="B18" s="505" t="s">
        <v>58</v>
      </c>
      <c r="C18" s="505"/>
      <c r="D18" s="552"/>
      <c r="E18" s="552">
        <f>THU!O31</f>
        <v>17</v>
      </c>
      <c r="F18" s="552"/>
      <c r="G18" s="552"/>
      <c r="H18" s="560">
        <f>THU!S32</f>
        <v>2050</v>
      </c>
      <c r="I18" s="560"/>
      <c r="J18" s="560"/>
      <c r="K18" s="560"/>
      <c r="L18" s="551">
        <f>THU!O32</f>
        <v>0.76333288098792229</v>
      </c>
      <c r="M18" s="551"/>
      <c r="N18" s="551"/>
      <c r="O18" s="551"/>
      <c r="P18" s="551"/>
      <c r="Q18" s="636"/>
      <c r="R18" s="637"/>
      <c r="S18" s="637"/>
      <c r="T18" s="637"/>
      <c r="U18" s="638"/>
      <c r="V18" s="580"/>
      <c r="W18" s="581"/>
      <c r="X18" s="581"/>
      <c r="Y18" s="581"/>
      <c r="Z18" s="582"/>
      <c r="AA18" s="571"/>
      <c r="AB18" s="572"/>
      <c r="AC18" s="572"/>
      <c r="AD18" s="573"/>
    </row>
    <row r="19" spans="1:30" ht="20.100000000000001" customHeight="1">
      <c r="A19" s="739"/>
      <c r="B19" s="505" t="s">
        <v>45</v>
      </c>
      <c r="C19" s="505"/>
      <c r="D19" s="552"/>
      <c r="E19" s="552">
        <f>THU!P31</f>
        <v>3</v>
      </c>
      <c r="F19" s="552"/>
      <c r="G19" s="552"/>
      <c r="H19" s="560">
        <f>THU!K31</f>
        <v>283.32</v>
      </c>
      <c r="I19" s="560"/>
      <c r="J19" s="560"/>
      <c r="K19" s="560"/>
      <c r="L19" s="551">
        <f>THU!P32</f>
        <v>0.13731268053428453</v>
      </c>
      <c r="M19" s="551"/>
      <c r="N19" s="551"/>
      <c r="O19" s="551"/>
      <c r="P19" s="551"/>
      <c r="Q19" s="636"/>
      <c r="R19" s="637"/>
      <c r="S19" s="637"/>
      <c r="T19" s="637"/>
      <c r="U19" s="638"/>
      <c r="V19" s="580"/>
      <c r="W19" s="581"/>
      <c r="X19" s="581"/>
      <c r="Y19" s="581"/>
      <c r="Z19" s="582"/>
      <c r="AA19" s="571"/>
      <c r="AB19" s="572"/>
      <c r="AC19" s="572"/>
      <c r="AD19" s="573"/>
    </row>
    <row r="20" spans="1:30" ht="20.100000000000001" customHeight="1">
      <c r="A20" s="739"/>
      <c r="B20" s="503" t="s">
        <v>65</v>
      </c>
      <c r="C20" s="504"/>
      <c r="D20" s="505"/>
      <c r="E20" s="503">
        <f>THU!Q31</f>
        <v>1</v>
      </c>
      <c r="F20" s="504"/>
      <c r="G20" s="505"/>
      <c r="H20" s="497">
        <f>THU!J31</f>
        <v>55</v>
      </c>
      <c r="I20" s="498"/>
      <c r="J20" s="498"/>
      <c r="K20" s="499"/>
      <c r="L20" s="553">
        <f>THU!Q32</f>
        <v>2.6656068859895701E-2</v>
      </c>
      <c r="M20" s="554"/>
      <c r="N20" s="554"/>
      <c r="O20" s="554"/>
      <c r="P20" s="555"/>
      <c r="Q20" s="639"/>
      <c r="R20" s="640"/>
      <c r="S20" s="640"/>
      <c r="T20" s="640"/>
      <c r="U20" s="641"/>
      <c r="V20" s="583"/>
      <c r="W20" s="584"/>
      <c r="X20" s="584"/>
      <c r="Y20" s="584"/>
      <c r="Z20" s="585"/>
      <c r="AA20" s="574"/>
      <c r="AB20" s="575"/>
      <c r="AC20" s="575"/>
      <c r="AD20" s="576"/>
    </row>
    <row r="21" spans="1:30" ht="20.100000000000001" customHeight="1">
      <c r="A21" s="740"/>
      <c r="B21" s="503" t="s">
        <v>94</v>
      </c>
      <c r="C21" s="504"/>
      <c r="D21" s="505"/>
      <c r="E21" s="503">
        <f>THU!U16</f>
        <v>56.750000000000007</v>
      </c>
      <c r="F21" s="504"/>
      <c r="G21" s="505"/>
      <c r="H21" s="497" t="s">
        <v>95</v>
      </c>
      <c r="I21" s="498"/>
      <c r="J21" s="498"/>
      <c r="K21" s="499"/>
      <c r="L21" s="462">
        <f>THU!T2</f>
        <v>7</v>
      </c>
      <c r="M21" s="463"/>
      <c r="N21" s="463"/>
      <c r="O21" s="463"/>
      <c r="P21" s="46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>
      <c r="A22" s="741" t="s">
        <v>93</v>
      </c>
      <c r="B22" s="460" t="s">
        <v>57</v>
      </c>
      <c r="C22" s="460"/>
      <c r="D22" s="461"/>
      <c r="E22" s="461">
        <f>FRI!N31</f>
        <v>4</v>
      </c>
      <c r="F22" s="461"/>
      <c r="G22" s="461"/>
      <c r="H22" s="536">
        <f>FRI!S31</f>
        <v>320</v>
      </c>
      <c r="I22" s="536"/>
      <c r="J22" s="536"/>
      <c r="K22" s="536"/>
      <c r="L22" s="537">
        <f>FRI!N32</f>
        <v>0.10161439876030434</v>
      </c>
      <c r="M22" s="537"/>
      <c r="N22" s="537"/>
      <c r="O22" s="537"/>
      <c r="P22" s="537"/>
      <c r="Q22" s="515">
        <f>SUM(E22:G25)</f>
        <v>28</v>
      </c>
      <c r="R22" s="516"/>
      <c r="S22" s="516"/>
      <c r="T22" s="516"/>
      <c r="U22" s="517"/>
      <c r="V22" s="524">
        <f>SUM(H22,H23,H25)</f>
        <v>3070</v>
      </c>
      <c r="W22" s="525"/>
      <c r="X22" s="525"/>
      <c r="Y22" s="525"/>
      <c r="Z22" s="526"/>
      <c r="AA22" s="468">
        <f>V22/Q22</f>
        <v>109.64285714285714</v>
      </c>
      <c r="AB22" s="469"/>
      <c r="AC22" s="469"/>
      <c r="AD22" s="470"/>
    </row>
    <row r="23" spans="1:30" ht="20.100000000000001" customHeight="1">
      <c r="A23" s="742"/>
      <c r="B23" s="460" t="s">
        <v>58</v>
      </c>
      <c r="C23" s="460"/>
      <c r="D23" s="461"/>
      <c r="E23" s="461">
        <f>FRI!O31</f>
        <v>21</v>
      </c>
      <c r="F23" s="461"/>
      <c r="G23" s="461"/>
      <c r="H23" s="536">
        <f>FRI!S32</f>
        <v>2585</v>
      </c>
      <c r="I23" s="536"/>
      <c r="J23" s="536"/>
      <c r="K23" s="536"/>
      <c r="L23" s="537">
        <f>FRI!O32</f>
        <v>0.82085381498558352</v>
      </c>
      <c r="M23" s="537"/>
      <c r="N23" s="537"/>
      <c r="O23" s="537"/>
      <c r="P23" s="537"/>
      <c r="Q23" s="518"/>
      <c r="R23" s="519"/>
      <c r="S23" s="519"/>
      <c r="T23" s="519"/>
      <c r="U23" s="520"/>
      <c r="V23" s="527"/>
      <c r="W23" s="528"/>
      <c r="X23" s="528"/>
      <c r="Y23" s="528"/>
      <c r="Z23" s="529"/>
      <c r="AA23" s="471"/>
      <c r="AB23" s="472"/>
      <c r="AC23" s="472"/>
      <c r="AD23" s="473"/>
    </row>
    <row r="24" spans="1:30" ht="20.100000000000001" customHeight="1">
      <c r="A24" s="742"/>
      <c r="B24" s="460" t="s">
        <v>45</v>
      </c>
      <c r="C24" s="460"/>
      <c r="D24" s="461"/>
      <c r="E24" s="461">
        <f>FRI!P31</f>
        <v>1</v>
      </c>
      <c r="F24" s="461"/>
      <c r="G24" s="461"/>
      <c r="H24" s="536">
        <f>FRI!K31</f>
        <v>79.16</v>
      </c>
      <c r="I24" s="536"/>
      <c r="J24" s="536"/>
      <c r="K24" s="536"/>
      <c r="L24" s="537">
        <f>FRI!P32</f>
        <v>2.5136861893330285E-2</v>
      </c>
      <c r="M24" s="537"/>
      <c r="N24" s="537"/>
      <c r="O24" s="537"/>
      <c r="P24" s="537"/>
      <c r="Q24" s="518"/>
      <c r="R24" s="519"/>
      <c r="S24" s="519"/>
      <c r="T24" s="519"/>
      <c r="U24" s="520"/>
      <c r="V24" s="527"/>
      <c r="W24" s="528"/>
      <c r="X24" s="528"/>
      <c r="Y24" s="528"/>
      <c r="Z24" s="529"/>
      <c r="AA24" s="471"/>
      <c r="AB24" s="472"/>
      <c r="AC24" s="472"/>
      <c r="AD24" s="473"/>
    </row>
    <row r="25" spans="1:30" ht="20.100000000000001" customHeight="1">
      <c r="A25" s="742"/>
      <c r="B25" s="506" t="s">
        <v>65</v>
      </c>
      <c r="C25" s="507"/>
      <c r="D25" s="460"/>
      <c r="E25" s="506">
        <f>FRI!Q31</f>
        <v>2</v>
      </c>
      <c r="F25" s="507"/>
      <c r="G25" s="460"/>
      <c r="H25" s="500">
        <f>FRI!J31</f>
        <v>165</v>
      </c>
      <c r="I25" s="501"/>
      <c r="J25" s="501"/>
      <c r="K25" s="502"/>
      <c r="L25" s="512">
        <f>FRI!Q32</f>
        <v>5.2394924360781928E-2</v>
      </c>
      <c r="M25" s="513"/>
      <c r="N25" s="513"/>
      <c r="O25" s="513"/>
      <c r="P25" s="514"/>
      <c r="Q25" s="521"/>
      <c r="R25" s="522"/>
      <c r="S25" s="522"/>
      <c r="T25" s="522"/>
      <c r="U25" s="523"/>
      <c r="V25" s="530"/>
      <c r="W25" s="531"/>
      <c r="X25" s="531"/>
      <c r="Y25" s="531"/>
      <c r="Z25" s="532"/>
      <c r="AA25" s="474"/>
      <c r="AB25" s="475"/>
      <c r="AC25" s="475"/>
      <c r="AD25" s="476"/>
    </row>
    <row r="26" spans="1:30" ht="20.100000000000001" customHeight="1">
      <c r="A26" s="743"/>
      <c r="B26" s="506" t="s">
        <v>94</v>
      </c>
      <c r="C26" s="507"/>
      <c r="D26" s="460"/>
      <c r="E26" s="506">
        <f>FRI!U16</f>
        <v>61.25</v>
      </c>
      <c r="F26" s="507"/>
      <c r="G26" s="460"/>
      <c r="H26" s="500" t="s">
        <v>95</v>
      </c>
      <c r="I26" s="501"/>
      <c r="J26" s="501"/>
      <c r="K26" s="502"/>
      <c r="L26" s="465">
        <f>FRI!T2</f>
        <v>6</v>
      </c>
      <c r="M26" s="466"/>
      <c r="N26" s="466"/>
      <c r="O26" s="466"/>
      <c r="P26" s="46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>
      <c r="A27" s="744" t="s">
        <v>70</v>
      </c>
      <c r="B27" s="510" t="s">
        <v>57</v>
      </c>
      <c r="C27" s="510"/>
      <c r="D27" s="495"/>
      <c r="E27" s="495">
        <f>SAT!N31</f>
        <v>5</v>
      </c>
      <c r="F27" s="495"/>
      <c r="G27" s="495"/>
      <c r="H27" s="496">
        <f>SAT!S31</f>
        <v>385</v>
      </c>
      <c r="I27" s="496"/>
      <c r="J27" s="496"/>
      <c r="K27" s="496"/>
      <c r="L27" s="511">
        <f>SAT!N32</f>
        <v>0.11036831483350151</v>
      </c>
      <c r="M27" s="511"/>
      <c r="N27" s="511"/>
      <c r="O27" s="511"/>
      <c r="P27" s="511"/>
      <c r="Q27" s="612">
        <f>SUM(E27:G30)</f>
        <v>38</v>
      </c>
      <c r="R27" s="613"/>
      <c r="S27" s="613"/>
      <c r="T27" s="613"/>
      <c r="U27" s="614"/>
      <c r="V27" s="486">
        <f>SUM(H27,H28,H30)</f>
        <v>3330</v>
      </c>
      <c r="W27" s="487"/>
      <c r="X27" s="487"/>
      <c r="Y27" s="487"/>
      <c r="Z27" s="488"/>
      <c r="AA27" s="477">
        <f>V27/Q27</f>
        <v>87.631578947368425</v>
      </c>
      <c r="AB27" s="478"/>
      <c r="AC27" s="478"/>
      <c r="AD27" s="479"/>
    </row>
    <row r="28" spans="1:30" ht="20.100000000000001" customHeight="1">
      <c r="A28" s="745"/>
      <c r="B28" s="510" t="s">
        <v>58</v>
      </c>
      <c r="C28" s="510"/>
      <c r="D28" s="495"/>
      <c r="E28" s="495">
        <f>SAT!O31</f>
        <v>31</v>
      </c>
      <c r="F28" s="495"/>
      <c r="G28" s="495"/>
      <c r="H28" s="496">
        <f>SAT!S32</f>
        <v>2945</v>
      </c>
      <c r="I28" s="496"/>
      <c r="J28" s="496"/>
      <c r="K28" s="496"/>
      <c r="L28" s="511">
        <f>SAT!O32</f>
        <v>0.84424594073938164</v>
      </c>
      <c r="M28" s="511"/>
      <c r="N28" s="511"/>
      <c r="O28" s="511"/>
      <c r="P28" s="511"/>
      <c r="Q28" s="615"/>
      <c r="R28" s="616"/>
      <c r="S28" s="616"/>
      <c r="T28" s="616"/>
      <c r="U28" s="617"/>
      <c r="V28" s="489"/>
      <c r="W28" s="490"/>
      <c r="X28" s="490"/>
      <c r="Y28" s="490"/>
      <c r="Z28" s="491"/>
      <c r="AA28" s="480"/>
      <c r="AB28" s="481"/>
      <c r="AC28" s="481"/>
      <c r="AD28" s="482"/>
    </row>
    <row r="29" spans="1:30" ht="20.100000000000001" customHeight="1">
      <c r="A29" s="745"/>
      <c r="B29" s="510" t="s">
        <v>45</v>
      </c>
      <c r="C29" s="510"/>
      <c r="D29" s="495"/>
      <c r="E29" s="495">
        <f>SAT!P31</f>
        <v>2</v>
      </c>
      <c r="F29" s="495"/>
      <c r="G29" s="495"/>
      <c r="H29" s="496">
        <f>SAT!K31</f>
        <v>158.32</v>
      </c>
      <c r="I29" s="496"/>
      <c r="J29" s="496"/>
      <c r="K29" s="496"/>
      <c r="L29" s="511">
        <f>SAT!P32</f>
        <v>4.5385744427116771E-2</v>
      </c>
      <c r="M29" s="511"/>
      <c r="N29" s="511"/>
      <c r="O29" s="511"/>
      <c r="P29" s="511"/>
      <c r="Q29" s="615"/>
      <c r="R29" s="616"/>
      <c r="S29" s="616"/>
      <c r="T29" s="616"/>
      <c r="U29" s="617"/>
      <c r="V29" s="489"/>
      <c r="W29" s="490"/>
      <c r="X29" s="490"/>
      <c r="Y29" s="490"/>
      <c r="Z29" s="491"/>
      <c r="AA29" s="480"/>
      <c r="AB29" s="481"/>
      <c r="AC29" s="481"/>
      <c r="AD29" s="482"/>
    </row>
    <row r="30" spans="1:30" ht="20.100000000000001" customHeight="1">
      <c r="A30" s="745"/>
      <c r="B30" s="508" t="s">
        <v>65</v>
      </c>
      <c r="C30" s="509"/>
      <c r="D30" s="510"/>
      <c r="E30" s="508">
        <f>SAT!Q31</f>
        <v>0</v>
      </c>
      <c r="F30" s="509"/>
      <c r="G30" s="510"/>
      <c r="H30" s="789">
        <f>SAT!J31</f>
        <v>0</v>
      </c>
      <c r="I30" s="790"/>
      <c r="J30" s="790"/>
      <c r="K30" s="791"/>
      <c r="L30" s="621">
        <f>SAT!Q32</f>
        <v>0</v>
      </c>
      <c r="M30" s="622"/>
      <c r="N30" s="622"/>
      <c r="O30" s="622"/>
      <c r="P30" s="623"/>
      <c r="Q30" s="618"/>
      <c r="R30" s="619"/>
      <c r="S30" s="619"/>
      <c r="T30" s="619"/>
      <c r="U30" s="620"/>
      <c r="V30" s="492"/>
      <c r="W30" s="493"/>
      <c r="X30" s="493"/>
      <c r="Y30" s="493"/>
      <c r="Z30" s="494"/>
      <c r="AA30" s="483"/>
      <c r="AB30" s="484"/>
      <c r="AC30" s="484"/>
      <c r="AD30" s="485"/>
    </row>
    <row r="31" spans="1:30" ht="20.100000000000001" customHeight="1">
      <c r="A31" s="746"/>
      <c r="B31" s="508" t="s">
        <v>94</v>
      </c>
      <c r="C31" s="509"/>
      <c r="D31" s="510"/>
      <c r="E31" s="508">
        <f>SAT!U16</f>
        <v>74</v>
      </c>
      <c r="F31" s="509"/>
      <c r="G31" s="510"/>
      <c r="H31" s="789" t="s">
        <v>95</v>
      </c>
      <c r="I31" s="790"/>
      <c r="J31" s="790"/>
      <c r="K31" s="791"/>
      <c r="L31" s="786">
        <f>SAT!T2</f>
        <v>9</v>
      </c>
      <c r="M31" s="787"/>
      <c r="N31" s="787"/>
      <c r="O31" s="787"/>
      <c r="P31" s="788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>
      <c r="A32" s="747" t="s">
        <v>71</v>
      </c>
      <c r="B32" s="431" t="s">
        <v>57</v>
      </c>
      <c r="C32" s="432"/>
      <c r="D32" s="432"/>
      <c r="E32" s="432">
        <f>SUN!N31</f>
        <v>0</v>
      </c>
      <c r="F32" s="432"/>
      <c r="G32" s="432"/>
      <c r="H32" s="457">
        <f>SUN!S31</f>
        <v>0</v>
      </c>
      <c r="I32" s="457"/>
      <c r="J32" s="457"/>
      <c r="K32" s="457"/>
      <c r="L32" s="458">
        <f>SUN!N32</f>
        <v>0</v>
      </c>
      <c r="M32" s="458"/>
      <c r="N32" s="458"/>
      <c r="O32" s="458"/>
      <c r="P32" s="458"/>
      <c r="Q32" s="459">
        <f>SUM(E32:G35)</f>
        <v>28</v>
      </c>
      <c r="R32" s="459"/>
      <c r="S32" s="459"/>
      <c r="T32" s="459"/>
      <c r="U32" s="459"/>
      <c r="V32" s="430">
        <f>SUM(H32,H33,H35)</f>
        <v>2150</v>
      </c>
      <c r="W32" s="430"/>
      <c r="X32" s="430"/>
      <c r="Y32" s="430"/>
      <c r="Z32" s="430"/>
      <c r="AA32" s="449">
        <f>V32/Q32</f>
        <v>76.785714285714292</v>
      </c>
      <c r="AB32" s="450"/>
      <c r="AC32" s="450"/>
      <c r="AD32" s="450"/>
    </row>
    <row r="33" spans="1:30" ht="20.100000000000001" customHeight="1">
      <c r="A33" s="748"/>
      <c r="B33" s="431" t="s">
        <v>58</v>
      </c>
      <c r="C33" s="432"/>
      <c r="D33" s="432"/>
      <c r="E33" s="432">
        <f>SUN!O31</f>
        <v>24</v>
      </c>
      <c r="F33" s="432"/>
      <c r="G33" s="432"/>
      <c r="H33" s="457">
        <f>SUN!S32</f>
        <v>2150</v>
      </c>
      <c r="I33" s="457"/>
      <c r="J33" s="457"/>
      <c r="K33" s="457"/>
      <c r="L33" s="458">
        <f>SUN!O32</f>
        <v>0.87163104465994234</v>
      </c>
      <c r="M33" s="458"/>
      <c r="N33" s="458"/>
      <c r="O33" s="458"/>
      <c r="P33" s="458"/>
      <c r="Q33" s="459"/>
      <c r="R33" s="459"/>
      <c r="S33" s="459"/>
      <c r="T33" s="459"/>
      <c r="U33" s="459"/>
      <c r="V33" s="430"/>
      <c r="W33" s="430"/>
      <c r="X33" s="430"/>
      <c r="Y33" s="430"/>
      <c r="Z33" s="430"/>
      <c r="AA33" s="450"/>
      <c r="AB33" s="450"/>
      <c r="AC33" s="450"/>
      <c r="AD33" s="450"/>
    </row>
    <row r="34" spans="1:30" ht="20.100000000000001" customHeight="1">
      <c r="A34" s="748"/>
      <c r="B34" s="431" t="s">
        <v>45</v>
      </c>
      <c r="C34" s="432"/>
      <c r="D34" s="432"/>
      <c r="E34" s="432">
        <f>SUN!P31</f>
        <v>4</v>
      </c>
      <c r="F34" s="432"/>
      <c r="G34" s="432"/>
      <c r="H34" s="457">
        <f>SUN!K31</f>
        <v>316.64</v>
      </c>
      <c r="I34" s="457"/>
      <c r="J34" s="457"/>
      <c r="K34" s="457"/>
      <c r="L34" s="458">
        <f>SUN!P32</f>
        <v>0.12836895534005774</v>
      </c>
      <c r="M34" s="458"/>
      <c r="N34" s="458"/>
      <c r="O34" s="458"/>
      <c r="P34" s="458"/>
      <c r="Q34" s="459"/>
      <c r="R34" s="459"/>
      <c r="S34" s="459"/>
      <c r="T34" s="459"/>
      <c r="U34" s="459"/>
      <c r="V34" s="430"/>
      <c r="W34" s="430"/>
      <c r="X34" s="430"/>
      <c r="Y34" s="430"/>
      <c r="Z34" s="430"/>
      <c r="AA34" s="450"/>
      <c r="AB34" s="450"/>
      <c r="AC34" s="450"/>
      <c r="AD34" s="450"/>
    </row>
    <row r="35" spans="1:30" ht="20.100000000000001" customHeight="1">
      <c r="A35" s="748"/>
      <c r="B35" s="431" t="s">
        <v>65</v>
      </c>
      <c r="C35" s="432"/>
      <c r="D35" s="432"/>
      <c r="E35" s="432">
        <f>SUN!Q31</f>
        <v>0</v>
      </c>
      <c r="F35" s="432"/>
      <c r="G35" s="432"/>
      <c r="H35" s="457">
        <f>SUN!J31</f>
        <v>0</v>
      </c>
      <c r="I35" s="457"/>
      <c r="J35" s="457"/>
      <c r="K35" s="457"/>
      <c r="L35" s="458">
        <f>SUN!Q32</f>
        <v>0</v>
      </c>
      <c r="M35" s="458"/>
      <c r="N35" s="458"/>
      <c r="O35" s="458"/>
      <c r="P35" s="458"/>
      <c r="Q35" s="459"/>
      <c r="R35" s="459"/>
      <c r="S35" s="459"/>
      <c r="T35" s="459"/>
      <c r="U35" s="459"/>
      <c r="V35" s="430"/>
      <c r="W35" s="430"/>
      <c r="X35" s="430"/>
      <c r="Y35" s="430"/>
      <c r="Z35" s="430"/>
      <c r="AA35" s="450"/>
      <c r="AB35" s="450"/>
      <c r="AC35" s="450"/>
      <c r="AD35" s="450"/>
    </row>
    <row r="36" spans="1:30" ht="20.100000000000001" customHeight="1" thickBot="1">
      <c r="A36" s="749"/>
      <c r="B36" s="435" t="s">
        <v>94</v>
      </c>
      <c r="C36" s="436"/>
      <c r="D36" s="437"/>
      <c r="E36" s="435">
        <f>SUN!U16</f>
        <v>69.5</v>
      </c>
      <c r="F36" s="436"/>
      <c r="G36" s="437"/>
      <c r="H36" s="435" t="s">
        <v>95</v>
      </c>
      <c r="I36" s="436"/>
      <c r="J36" s="436"/>
      <c r="K36" s="437"/>
      <c r="L36" s="451">
        <f>SUN!T2</f>
        <v>9</v>
      </c>
      <c r="M36" s="452"/>
      <c r="N36" s="452"/>
      <c r="O36" s="452"/>
      <c r="P36" s="453"/>
      <c r="Q36" s="454"/>
      <c r="R36" s="455"/>
      <c r="S36" s="455"/>
      <c r="T36" s="455"/>
      <c r="U36" s="456"/>
      <c r="V36" s="438"/>
      <c r="W36" s="439"/>
      <c r="X36" s="439"/>
      <c r="Y36" s="439"/>
      <c r="Z36" s="440"/>
      <c r="AA36" s="441"/>
      <c r="AB36" s="442"/>
      <c r="AC36" s="442"/>
      <c r="AD36" s="443"/>
    </row>
    <row r="37" spans="1:30" ht="16.5" customHeight="1">
      <c r="A37" s="421" t="s">
        <v>72</v>
      </c>
      <c r="B37" s="422"/>
      <c r="C37" s="422"/>
      <c r="D37" s="422"/>
      <c r="E37" s="422" t="s">
        <v>73</v>
      </c>
      <c r="F37" s="422"/>
      <c r="G37" s="422"/>
      <c r="H37" s="422"/>
      <c r="I37" s="422"/>
      <c r="J37" s="422"/>
      <c r="K37" s="422" t="s">
        <v>74</v>
      </c>
      <c r="L37" s="422"/>
      <c r="M37" s="422"/>
      <c r="N37" s="422"/>
      <c r="O37" s="422" t="s">
        <v>65</v>
      </c>
      <c r="P37" s="422"/>
      <c r="Q37" s="422"/>
      <c r="R37" s="422"/>
      <c r="S37" s="422"/>
      <c r="T37" s="422" t="s">
        <v>75</v>
      </c>
      <c r="U37" s="422"/>
      <c r="V37" s="422"/>
      <c r="W37" s="422"/>
      <c r="X37" s="422"/>
      <c r="Y37" s="422" t="s">
        <v>76</v>
      </c>
      <c r="Z37" s="422"/>
      <c r="AA37" s="422"/>
      <c r="AB37" s="422"/>
      <c r="AC37" s="422"/>
      <c r="AD37" s="433"/>
    </row>
    <row r="38" spans="1:30" ht="16.5" customHeight="1">
      <c r="A38" s="423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34"/>
    </row>
    <row r="39" spans="1:30" ht="16.5" customHeight="1">
      <c r="A39" s="425">
        <f>SUM(Q2:U35)</f>
        <v>180</v>
      </c>
      <c r="B39" s="426"/>
      <c r="C39" s="426"/>
      <c r="D39" s="426"/>
      <c r="E39" s="429">
        <f>SUM(V2:Z35)</f>
        <v>16585</v>
      </c>
      <c r="F39" s="426"/>
      <c r="G39" s="426"/>
      <c r="H39" s="426"/>
      <c r="I39" s="426"/>
      <c r="J39" s="426"/>
      <c r="K39" s="429">
        <f>E39/A39</f>
        <v>92.138888888888886</v>
      </c>
      <c r="L39" s="426"/>
      <c r="M39" s="426"/>
      <c r="N39" s="426"/>
      <c r="O39" s="426">
        <f>SUM(MON:SUN!Q31)</f>
        <v>15</v>
      </c>
      <c r="P39" s="426"/>
      <c r="Q39" s="426"/>
      <c r="R39" s="426"/>
      <c r="S39" s="426"/>
      <c r="T39" s="426">
        <f>SUM(MON:SUN!P31)</f>
        <v>21</v>
      </c>
      <c r="U39" s="426"/>
      <c r="V39" s="426"/>
      <c r="W39" s="426"/>
      <c r="X39" s="426"/>
      <c r="Y39" s="426">
        <f>SUM(MON:SUN!S19)</f>
        <v>2</v>
      </c>
      <c r="Z39" s="426"/>
      <c r="AA39" s="426"/>
      <c r="AB39" s="426"/>
      <c r="AC39" s="426"/>
      <c r="AD39" s="446"/>
    </row>
    <row r="40" spans="1:30" ht="16.5" customHeight="1">
      <c r="A40" s="425"/>
      <c r="B40" s="426"/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46"/>
    </row>
    <row r="41" spans="1:30" ht="16.5" customHeight="1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44">
        <f>SUM(MON:SUN!J31)</f>
        <v>1265</v>
      </c>
      <c r="P41" s="444"/>
      <c r="Q41" s="444"/>
      <c r="R41" s="444"/>
      <c r="S41" s="444"/>
      <c r="T41" s="444">
        <f>SUM(MON:SUN!K31)</f>
        <v>1358.2399999999998</v>
      </c>
      <c r="U41" s="444"/>
      <c r="V41" s="444"/>
      <c r="W41" s="444"/>
      <c r="X41" s="444"/>
      <c r="Y41" s="444">
        <f>SUM(MON:SUN!T19)</f>
        <v>900</v>
      </c>
      <c r="Z41" s="444"/>
      <c r="AA41" s="444"/>
      <c r="AB41" s="444"/>
      <c r="AC41" s="444"/>
      <c r="AD41" s="447"/>
    </row>
    <row r="42" spans="1:30" ht="16.5" customHeight="1" thickBot="1">
      <c r="A42" s="427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  <c r="AA42" s="445"/>
      <c r="AB42" s="445"/>
      <c r="AC42" s="445"/>
      <c r="AD42" s="448"/>
    </row>
    <row r="43" spans="1:30" ht="17.399999999999999" customHeight="1">
      <c r="A43" s="704" t="s">
        <v>84</v>
      </c>
      <c r="B43" s="705"/>
      <c r="C43" s="705"/>
      <c r="D43" s="705"/>
      <c r="E43" s="706"/>
      <c r="F43" s="704" t="s">
        <v>85</v>
      </c>
      <c r="G43" s="705"/>
      <c r="H43" s="705"/>
      <c r="I43" s="705"/>
      <c r="J43" s="706"/>
      <c r="K43" s="704" t="s">
        <v>86</v>
      </c>
      <c r="L43" s="705"/>
      <c r="M43" s="705"/>
      <c r="N43" s="705"/>
      <c r="O43" s="706"/>
      <c r="P43" s="704" t="s">
        <v>87</v>
      </c>
      <c r="Q43" s="705"/>
      <c r="R43" s="705"/>
      <c r="S43" s="705"/>
      <c r="T43" s="706"/>
      <c r="U43" s="704" t="s">
        <v>90</v>
      </c>
      <c r="V43" s="705"/>
      <c r="W43" s="705"/>
      <c r="X43" s="705"/>
      <c r="Y43" s="706"/>
      <c r="Z43" s="710" t="s">
        <v>95</v>
      </c>
      <c r="AA43" s="711"/>
      <c r="AB43" s="711"/>
      <c r="AC43" s="711"/>
      <c r="AD43" s="712"/>
    </row>
    <row r="44" spans="1:30" ht="17.399999999999999" customHeight="1">
      <c r="A44" s="707"/>
      <c r="B44" s="708"/>
      <c r="C44" s="708"/>
      <c r="D44" s="708"/>
      <c r="E44" s="709"/>
      <c r="F44" s="707"/>
      <c r="G44" s="708"/>
      <c r="H44" s="708"/>
      <c r="I44" s="708"/>
      <c r="J44" s="709"/>
      <c r="K44" s="707"/>
      <c r="L44" s="708"/>
      <c r="M44" s="708"/>
      <c r="N44" s="708"/>
      <c r="O44" s="709"/>
      <c r="P44" s="707"/>
      <c r="Q44" s="708"/>
      <c r="R44" s="708"/>
      <c r="S44" s="708"/>
      <c r="T44" s="709"/>
      <c r="U44" s="707"/>
      <c r="V44" s="708"/>
      <c r="W44" s="708"/>
      <c r="X44" s="708"/>
      <c r="Y44" s="709"/>
      <c r="Z44" s="713"/>
      <c r="AA44" s="714"/>
      <c r="AB44" s="714"/>
      <c r="AC44" s="714"/>
      <c r="AD44" s="715"/>
    </row>
    <row r="45" spans="1:30">
      <c r="A45" s="716">
        <f>SUM(H2,H7,H12,H17,H22,H27,H32)</f>
        <v>1715</v>
      </c>
      <c r="B45" s="717"/>
      <c r="C45" s="717"/>
      <c r="D45" s="717"/>
      <c r="E45" s="718"/>
      <c r="F45" s="716">
        <f>SUM(,H3,H8,H13,H18,H23,H28,H33)</f>
        <v>13605</v>
      </c>
      <c r="G45" s="717"/>
      <c r="H45" s="717"/>
      <c r="I45" s="717"/>
      <c r="J45" s="718"/>
      <c r="K45" s="716">
        <f>SUM(H5,H10,H15,H20,H25,H30,H35)</f>
        <v>1265</v>
      </c>
      <c r="L45" s="717"/>
      <c r="M45" s="717"/>
      <c r="N45" s="717"/>
      <c r="O45" s="718"/>
      <c r="P45" s="716">
        <f>SUM(H4,H9,H14,H19,H24,H29,H34)</f>
        <v>1358.2399999999998</v>
      </c>
      <c r="Q45" s="717"/>
      <c r="R45" s="717"/>
      <c r="S45" s="717"/>
      <c r="T45" s="718"/>
      <c r="U45" s="725">
        <f>SUM(E6,E11,E16,E21,E26,E31,E36)</f>
        <v>394.25</v>
      </c>
      <c r="V45" s="717"/>
      <c r="W45" s="717"/>
      <c r="X45" s="717"/>
      <c r="Y45" s="718"/>
      <c r="Z45" s="725">
        <f>SUM(L6,L11,L16,L21,L26,L31,L36)</f>
        <v>48</v>
      </c>
      <c r="AA45" s="717"/>
      <c r="AB45" s="717"/>
      <c r="AC45" s="717"/>
      <c r="AD45" s="726"/>
    </row>
    <row r="46" spans="1:30">
      <c r="A46" s="719"/>
      <c r="B46" s="720"/>
      <c r="C46" s="720"/>
      <c r="D46" s="720"/>
      <c r="E46" s="721"/>
      <c r="F46" s="719"/>
      <c r="G46" s="720"/>
      <c r="H46" s="720"/>
      <c r="I46" s="720"/>
      <c r="J46" s="721"/>
      <c r="K46" s="719"/>
      <c r="L46" s="720"/>
      <c r="M46" s="720"/>
      <c r="N46" s="720"/>
      <c r="O46" s="721"/>
      <c r="P46" s="719"/>
      <c r="Q46" s="720"/>
      <c r="R46" s="720"/>
      <c r="S46" s="720"/>
      <c r="T46" s="721"/>
      <c r="U46" s="719"/>
      <c r="V46" s="720"/>
      <c r="W46" s="720"/>
      <c r="X46" s="720"/>
      <c r="Y46" s="721"/>
      <c r="Z46" s="719"/>
      <c r="AA46" s="720"/>
      <c r="AB46" s="720"/>
      <c r="AC46" s="720"/>
      <c r="AD46" s="727"/>
    </row>
    <row r="47" spans="1:30">
      <c r="A47" s="719"/>
      <c r="B47" s="720"/>
      <c r="C47" s="720"/>
      <c r="D47" s="720"/>
      <c r="E47" s="721"/>
      <c r="F47" s="719"/>
      <c r="G47" s="720"/>
      <c r="H47" s="720"/>
      <c r="I47" s="720"/>
      <c r="J47" s="721"/>
      <c r="K47" s="719"/>
      <c r="L47" s="720"/>
      <c r="M47" s="720"/>
      <c r="N47" s="720"/>
      <c r="O47" s="721"/>
      <c r="P47" s="719"/>
      <c r="Q47" s="720"/>
      <c r="R47" s="720"/>
      <c r="S47" s="720"/>
      <c r="T47" s="721"/>
      <c r="U47" s="719"/>
      <c r="V47" s="720"/>
      <c r="W47" s="720"/>
      <c r="X47" s="720"/>
      <c r="Y47" s="721"/>
      <c r="Z47" s="719"/>
      <c r="AA47" s="720"/>
      <c r="AB47" s="720"/>
      <c r="AC47" s="720"/>
      <c r="AD47" s="727"/>
    </row>
    <row r="48" spans="1:30" ht="18" thickBot="1">
      <c r="A48" s="722"/>
      <c r="B48" s="723"/>
      <c r="C48" s="723"/>
      <c r="D48" s="723"/>
      <c r="E48" s="724"/>
      <c r="F48" s="722"/>
      <c r="G48" s="723"/>
      <c r="H48" s="723"/>
      <c r="I48" s="723"/>
      <c r="J48" s="724"/>
      <c r="K48" s="722"/>
      <c r="L48" s="723"/>
      <c r="M48" s="723"/>
      <c r="N48" s="723"/>
      <c r="O48" s="724"/>
      <c r="P48" s="722"/>
      <c r="Q48" s="723"/>
      <c r="R48" s="723"/>
      <c r="S48" s="723"/>
      <c r="T48" s="724"/>
      <c r="U48" s="722"/>
      <c r="V48" s="723"/>
      <c r="W48" s="723"/>
      <c r="X48" s="723"/>
      <c r="Y48" s="724"/>
      <c r="Z48" s="722"/>
      <c r="AA48" s="723"/>
      <c r="AB48" s="723"/>
      <c r="AC48" s="723"/>
      <c r="AD48" s="728"/>
    </row>
    <row r="49" spans="1:30" ht="17.399999999999999" customHeight="1">
      <c r="A49" s="686">
        <f>A45/E39</f>
        <v>0.103406692794694</v>
      </c>
      <c r="B49" s="687"/>
      <c r="C49" s="687"/>
      <c r="D49" s="687"/>
      <c r="E49" s="688"/>
      <c r="F49" s="686">
        <f>F45/E39</f>
        <v>0.82031956587277666</v>
      </c>
      <c r="G49" s="687"/>
      <c r="H49" s="687"/>
      <c r="I49" s="687"/>
      <c r="J49" s="688"/>
      <c r="K49" s="686">
        <f>K45/E39</f>
        <v>7.6273741332529399E-2</v>
      </c>
      <c r="L49" s="687"/>
      <c r="M49" s="687"/>
      <c r="N49" s="687"/>
      <c r="O49" s="688"/>
      <c r="P49" s="686">
        <f>P45/E39</f>
        <v>8.1895688875489883E-2</v>
      </c>
      <c r="Q49" s="687"/>
      <c r="R49" s="687"/>
      <c r="S49" s="687"/>
      <c r="T49" s="688"/>
      <c r="U49" s="695">
        <f>U45/7</f>
        <v>56.321428571428569</v>
      </c>
      <c r="V49" s="696"/>
      <c r="W49" s="696"/>
      <c r="X49" s="696"/>
      <c r="Y49" s="697"/>
      <c r="Z49" s="695">
        <f>U45/Z45</f>
        <v>8.2135416666666661</v>
      </c>
      <c r="AA49" s="696"/>
      <c r="AB49" s="696"/>
      <c r="AC49" s="696"/>
      <c r="AD49" s="697"/>
    </row>
    <row r="50" spans="1:30" ht="17.399999999999999" customHeight="1">
      <c r="A50" s="689"/>
      <c r="B50" s="690"/>
      <c r="C50" s="690"/>
      <c r="D50" s="690"/>
      <c r="E50" s="691"/>
      <c r="F50" s="689"/>
      <c r="G50" s="690"/>
      <c r="H50" s="690"/>
      <c r="I50" s="690"/>
      <c r="J50" s="691"/>
      <c r="K50" s="689"/>
      <c r="L50" s="690"/>
      <c r="M50" s="690"/>
      <c r="N50" s="690"/>
      <c r="O50" s="691"/>
      <c r="P50" s="689"/>
      <c r="Q50" s="690"/>
      <c r="R50" s="690"/>
      <c r="S50" s="690"/>
      <c r="T50" s="691"/>
      <c r="U50" s="698"/>
      <c r="V50" s="699"/>
      <c r="W50" s="699"/>
      <c r="X50" s="699"/>
      <c r="Y50" s="700"/>
      <c r="Z50" s="698"/>
      <c r="AA50" s="699"/>
      <c r="AB50" s="699"/>
      <c r="AC50" s="699"/>
      <c r="AD50" s="700"/>
    </row>
    <row r="51" spans="1:30" ht="17.399999999999999" customHeight="1">
      <c r="A51" s="689"/>
      <c r="B51" s="690"/>
      <c r="C51" s="690"/>
      <c r="D51" s="690"/>
      <c r="E51" s="691"/>
      <c r="F51" s="689"/>
      <c r="G51" s="690"/>
      <c r="H51" s="690"/>
      <c r="I51" s="690"/>
      <c r="J51" s="691"/>
      <c r="K51" s="689"/>
      <c r="L51" s="690"/>
      <c r="M51" s="690"/>
      <c r="N51" s="690"/>
      <c r="O51" s="691"/>
      <c r="P51" s="689"/>
      <c r="Q51" s="690"/>
      <c r="R51" s="690"/>
      <c r="S51" s="690"/>
      <c r="T51" s="691"/>
      <c r="U51" s="698"/>
      <c r="V51" s="699"/>
      <c r="W51" s="699"/>
      <c r="X51" s="699"/>
      <c r="Y51" s="700"/>
      <c r="Z51" s="698"/>
      <c r="AA51" s="699"/>
      <c r="AB51" s="699"/>
      <c r="AC51" s="699"/>
      <c r="AD51" s="700"/>
    </row>
    <row r="52" spans="1:30" ht="18" customHeight="1" thickBot="1">
      <c r="A52" s="692"/>
      <c r="B52" s="693"/>
      <c r="C52" s="693"/>
      <c r="D52" s="693"/>
      <c r="E52" s="694"/>
      <c r="F52" s="692"/>
      <c r="G52" s="693"/>
      <c r="H52" s="693"/>
      <c r="I52" s="693"/>
      <c r="J52" s="694"/>
      <c r="K52" s="692"/>
      <c r="L52" s="693"/>
      <c r="M52" s="693"/>
      <c r="N52" s="693"/>
      <c r="O52" s="694"/>
      <c r="P52" s="692"/>
      <c r="Q52" s="693"/>
      <c r="R52" s="693"/>
      <c r="S52" s="693"/>
      <c r="T52" s="694"/>
      <c r="U52" s="701"/>
      <c r="V52" s="702"/>
      <c r="W52" s="702"/>
      <c r="X52" s="702"/>
      <c r="Y52" s="703"/>
      <c r="Z52" s="701"/>
      <c r="AA52" s="702"/>
      <c r="AB52" s="702"/>
      <c r="AC52" s="702"/>
      <c r="AD52" s="703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83AC1AFF-608D-4D67-897A-A12776F7B832}"/>
</file>

<file path=customXml/itemProps2.xml><?xml version="1.0" encoding="utf-8"?>
<ds:datastoreItem xmlns:ds="http://schemas.openxmlformats.org/officeDocument/2006/customXml" ds:itemID="{B4B86255-7FFB-4DA9-B273-6CE957B62A1D}"/>
</file>

<file path=customXml/itemProps3.xml><?xml version="1.0" encoding="utf-8"?>
<ds:datastoreItem xmlns:ds="http://schemas.openxmlformats.org/officeDocument/2006/customXml" ds:itemID="{51585776-D24B-45D8-92EF-E88548D6E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2021-12-02T06:53:47Z</cp:lastPrinted>
  <dcterms:created xsi:type="dcterms:W3CDTF">2011-11-24T03:16:40Z</dcterms:created>
  <dcterms:modified xsi:type="dcterms:W3CDTF">2022-06-09T23:58:29Z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