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home\2022\"/>
    </mc:Choice>
  </mc:AlternateContent>
  <xr:revisionPtr revIDLastSave="0" documentId="13_ncr:1_{66991629-EB49-4825-AB86-153BD65AF8FC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2" l="1"/>
  <c r="H32" i="2"/>
  <c r="Q31" i="2"/>
  <c r="P31" i="2"/>
  <c r="O31" i="2"/>
  <c r="N31" i="2"/>
  <c r="M31" i="2"/>
  <c r="L31" i="2"/>
  <c r="M30" i="2"/>
  <c r="L30" i="2"/>
  <c r="J30" i="2"/>
  <c r="J31" i="2" s="1"/>
  <c r="I30" i="2"/>
  <c r="I31" i="2" s="1"/>
  <c r="H30" i="2"/>
  <c r="H31" i="2" s="1"/>
  <c r="K43" i="1"/>
  <c r="J43" i="1"/>
  <c r="M94" i="2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M62" i="2"/>
  <c r="L62" i="2"/>
  <c r="I62" i="2"/>
  <c r="H62" i="2"/>
  <c r="K61" i="2"/>
  <c r="K62" i="2" s="1"/>
  <c r="J61" i="2"/>
  <c r="J62" i="2" s="1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J66" i="2" s="1"/>
  <c r="A34" i="2"/>
  <c r="A66" i="2" s="1"/>
  <c r="Z31" i="2"/>
  <c r="K29" i="2"/>
  <c r="J29" i="2"/>
  <c r="K28" i="2"/>
  <c r="K30" i="2" s="1"/>
  <c r="K31" i="2" s="1"/>
  <c r="J28" i="2"/>
  <c r="K27" i="2"/>
  <c r="J27" i="2"/>
  <c r="K26" i="2"/>
  <c r="J26" i="2"/>
  <c r="AH25" i="2"/>
  <c r="T25" i="2"/>
  <c r="T26" i="2" s="1"/>
  <c r="S25" i="2"/>
  <c r="S26" i="2" s="1"/>
  <c r="R25" i="2"/>
  <c r="R26" i="2" s="1"/>
  <c r="K25" i="2"/>
  <c r="J25" i="2"/>
  <c r="K24" i="2"/>
  <c r="J24" i="2"/>
  <c r="J23" i="2"/>
  <c r="AR22" i="2"/>
  <c r="AQ22" i="2"/>
  <c r="AG25" i="2" s="1"/>
  <c r="AP22" i="2"/>
  <c r="AF25" i="2" s="1"/>
  <c r="AG22" i="2"/>
  <c r="AF22" i="2"/>
  <c r="AE22" i="2"/>
  <c r="AE25" i="2" s="1"/>
  <c r="K22" i="2"/>
  <c r="J22" i="2"/>
  <c r="J21" i="2"/>
  <c r="K20" i="2"/>
  <c r="J20" i="2"/>
  <c r="T19" i="2"/>
  <c r="S19" i="2"/>
  <c r="K19" i="2"/>
  <c r="J19" i="2"/>
  <c r="J18" i="2"/>
  <c r="K17" i="2"/>
  <c r="J17" i="2"/>
  <c r="K16" i="2"/>
  <c r="J16" i="2"/>
  <c r="U15" i="2"/>
  <c r="K15" i="2"/>
  <c r="J15" i="2"/>
  <c r="U14" i="2"/>
  <c r="J14" i="2"/>
  <c r="U13" i="2"/>
  <c r="K13" i="2"/>
  <c r="J13" i="2"/>
  <c r="U12" i="2"/>
  <c r="K12" i="2"/>
  <c r="J12" i="2"/>
  <c r="U11" i="2"/>
  <c r="J11" i="2"/>
  <c r="U10" i="2"/>
  <c r="K10" i="2"/>
  <c r="J10" i="2"/>
  <c r="U9" i="2"/>
  <c r="K9" i="2"/>
  <c r="J9" i="2"/>
  <c r="U8" i="2"/>
  <c r="J8" i="2"/>
  <c r="U7" i="2"/>
  <c r="K7" i="2"/>
  <c r="J7" i="2"/>
  <c r="U6" i="2"/>
  <c r="K6" i="2"/>
  <c r="J6" i="2"/>
  <c r="U5" i="2"/>
  <c r="J5" i="2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M62" i="1"/>
  <c r="M31" i="1" s="1"/>
  <c r="L62" i="1"/>
  <c r="I62" i="1"/>
  <c r="H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2" i="1"/>
  <c r="J42" i="1"/>
  <c r="J41" i="1"/>
  <c r="K40" i="1"/>
  <c r="J40" i="1"/>
  <c r="K39" i="1"/>
  <c r="J39" i="1"/>
  <c r="K38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T66" i="1" s="1"/>
  <c r="O34" i="1"/>
  <c r="O66" i="1" s="1"/>
  <c r="J34" i="1"/>
  <c r="J66" i="1" s="1"/>
  <c r="A34" i="1"/>
  <c r="A66" i="1" s="1"/>
  <c r="H32" i="1"/>
  <c r="Z31" i="1"/>
  <c r="Q31" i="1"/>
  <c r="P31" i="1"/>
  <c r="O31" i="1"/>
  <c r="N31" i="1"/>
  <c r="L31" i="1"/>
  <c r="M30" i="1"/>
  <c r="L30" i="1"/>
  <c r="I30" i="1"/>
  <c r="H30" i="1"/>
  <c r="K29" i="1"/>
  <c r="J29" i="1"/>
  <c r="K28" i="1"/>
  <c r="J28" i="1"/>
  <c r="K27" i="1"/>
  <c r="J27" i="1"/>
  <c r="K26" i="1"/>
  <c r="J26" i="1"/>
  <c r="AH25" i="1"/>
  <c r="T25" i="1"/>
  <c r="T26" i="1" s="1"/>
  <c r="S25" i="1"/>
  <c r="S26" i="1" s="1"/>
  <c r="R25" i="1"/>
  <c r="R26" i="1" s="1"/>
  <c r="K25" i="1"/>
  <c r="J25" i="1"/>
  <c r="K24" i="1"/>
  <c r="J24" i="1"/>
  <c r="K23" i="1"/>
  <c r="J23" i="1"/>
  <c r="AR22" i="1"/>
  <c r="AQ22" i="1"/>
  <c r="AG25" i="1" s="1"/>
  <c r="AP22" i="1"/>
  <c r="AF25" i="1" s="1"/>
  <c r="AG22" i="1"/>
  <c r="AF22" i="1"/>
  <c r="AE22" i="1"/>
  <c r="AE25" i="1" s="1"/>
  <c r="J22" i="1"/>
  <c r="K21" i="1"/>
  <c r="J21" i="1"/>
  <c r="K20" i="1"/>
  <c r="J20" i="1"/>
  <c r="T19" i="1"/>
  <c r="S19" i="1"/>
  <c r="K19" i="1"/>
  <c r="J19" i="1"/>
  <c r="K18" i="1"/>
  <c r="J18" i="1"/>
  <c r="K17" i="1"/>
  <c r="J17" i="1"/>
  <c r="K16" i="1"/>
  <c r="J16" i="1"/>
  <c r="U15" i="1"/>
  <c r="K15" i="1"/>
  <c r="J15" i="1"/>
  <c r="U14" i="1"/>
  <c r="K14" i="1"/>
  <c r="J14" i="1"/>
  <c r="U13" i="1"/>
  <c r="J13" i="1"/>
  <c r="U12" i="1"/>
  <c r="K12" i="1"/>
  <c r="J12" i="1"/>
  <c r="U11" i="1"/>
  <c r="K11" i="1"/>
  <c r="J11" i="1"/>
  <c r="U10" i="1"/>
  <c r="K10" i="1"/>
  <c r="J10" i="1"/>
  <c r="U9" i="1"/>
  <c r="K9" i="1"/>
  <c r="J9" i="1"/>
  <c r="U8" i="1"/>
  <c r="K8" i="1"/>
  <c r="J8" i="1"/>
  <c r="U7" i="1"/>
  <c r="J7" i="1"/>
  <c r="U6" i="1"/>
  <c r="K6" i="1"/>
  <c r="J6" i="1"/>
  <c r="U5" i="1"/>
  <c r="K5" i="1"/>
  <c r="J5" i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M62" i="3"/>
  <c r="L62" i="3"/>
  <c r="I62" i="3"/>
  <c r="H62" i="3"/>
  <c r="K61" i="3"/>
  <c r="K62" i="3" s="1"/>
  <c r="J61" i="3"/>
  <c r="J62" i="3" s="1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J66" i="3" s="1"/>
  <c r="A34" i="3"/>
  <c r="A66" i="3" s="1"/>
  <c r="H32" i="3"/>
  <c r="Z31" i="3"/>
  <c r="Q31" i="3"/>
  <c r="P31" i="3"/>
  <c r="O31" i="3"/>
  <c r="N31" i="3"/>
  <c r="M31" i="3"/>
  <c r="L31" i="3"/>
  <c r="M30" i="3"/>
  <c r="L30" i="3"/>
  <c r="I30" i="3"/>
  <c r="I31" i="3" s="1"/>
  <c r="S32" i="3" s="1"/>
  <c r="H23" i="8" s="1"/>
  <c r="H30" i="3"/>
  <c r="H31" i="3" s="1"/>
  <c r="K29" i="3"/>
  <c r="J29" i="3"/>
  <c r="K28" i="3"/>
  <c r="J28" i="3"/>
  <c r="K27" i="3"/>
  <c r="J27" i="3"/>
  <c r="K26" i="3"/>
  <c r="J26" i="3"/>
  <c r="AH25" i="3"/>
  <c r="T25" i="3"/>
  <c r="T26" i="3" s="1"/>
  <c r="S25" i="3"/>
  <c r="S26" i="3" s="1"/>
  <c r="R25" i="3"/>
  <c r="R26" i="3" s="1"/>
  <c r="K25" i="3"/>
  <c r="J25" i="3"/>
  <c r="K24" i="3"/>
  <c r="J24" i="3"/>
  <c r="K23" i="3"/>
  <c r="J23" i="3"/>
  <c r="AR22" i="3"/>
  <c r="AQ22" i="3"/>
  <c r="AG25" i="3" s="1"/>
  <c r="AP22" i="3"/>
  <c r="AF25" i="3" s="1"/>
  <c r="AG22" i="3"/>
  <c r="AF22" i="3"/>
  <c r="AE22" i="3"/>
  <c r="AE25" i="3" s="1"/>
  <c r="K22" i="3"/>
  <c r="J22" i="3"/>
  <c r="K21" i="3"/>
  <c r="J21" i="3"/>
  <c r="K20" i="3"/>
  <c r="J20" i="3"/>
  <c r="T19" i="3"/>
  <c r="S19" i="3"/>
  <c r="K19" i="3"/>
  <c r="J19" i="3"/>
  <c r="K18" i="3"/>
  <c r="J18" i="3"/>
  <c r="K17" i="3"/>
  <c r="J17" i="3"/>
  <c r="K16" i="3"/>
  <c r="J16" i="3"/>
  <c r="U15" i="3"/>
  <c r="K15" i="3"/>
  <c r="J15" i="3"/>
  <c r="U14" i="3"/>
  <c r="K14" i="3"/>
  <c r="J14" i="3"/>
  <c r="U13" i="3"/>
  <c r="K13" i="3"/>
  <c r="J13" i="3"/>
  <c r="U12" i="3"/>
  <c r="K12" i="3"/>
  <c r="J12" i="3"/>
  <c r="U11" i="3"/>
  <c r="K11" i="3"/>
  <c r="J11" i="3"/>
  <c r="U10" i="3"/>
  <c r="K10" i="3"/>
  <c r="J10" i="3"/>
  <c r="U9" i="3"/>
  <c r="K9" i="3"/>
  <c r="J9" i="3"/>
  <c r="U8" i="3"/>
  <c r="J8" i="3"/>
  <c r="U7" i="3"/>
  <c r="K7" i="3"/>
  <c r="J7" i="3"/>
  <c r="U6" i="3"/>
  <c r="K6" i="3"/>
  <c r="J6" i="3"/>
  <c r="U5" i="3"/>
  <c r="K5" i="3"/>
  <c r="J5" i="3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M62" i="4"/>
  <c r="L62" i="4"/>
  <c r="I62" i="4"/>
  <c r="H62" i="4"/>
  <c r="K61" i="4"/>
  <c r="K62" i="4" s="1"/>
  <c r="J61" i="4"/>
  <c r="J62" i="4" s="1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J66" i="4" s="1"/>
  <c r="A34" i="4"/>
  <c r="A66" i="4" s="1"/>
  <c r="H32" i="4"/>
  <c r="Z31" i="4"/>
  <c r="Q31" i="4"/>
  <c r="P31" i="4"/>
  <c r="O31" i="4"/>
  <c r="N31" i="4"/>
  <c r="M31" i="4"/>
  <c r="L31" i="4"/>
  <c r="M30" i="4"/>
  <c r="L30" i="4"/>
  <c r="I30" i="4"/>
  <c r="I31" i="4" s="1"/>
  <c r="S32" i="4" s="1"/>
  <c r="H18" i="8" s="1"/>
  <c r="H30" i="4"/>
  <c r="H31" i="4" s="1"/>
  <c r="K29" i="4"/>
  <c r="J29" i="4"/>
  <c r="K28" i="4"/>
  <c r="J28" i="4"/>
  <c r="K27" i="4"/>
  <c r="J27" i="4"/>
  <c r="K26" i="4"/>
  <c r="J26" i="4"/>
  <c r="AH25" i="4"/>
  <c r="T25" i="4"/>
  <c r="T26" i="4" s="1"/>
  <c r="S25" i="4"/>
  <c r="S26" i="4" s="1"/>
  <c r="R25" i="4"/>
  <c r="R26" i="4" s="1"/>
  <c r="K25" i="4"/>
  <c r="J25" i="4"/>
  <c r="K24" i="4"/>
  <c r="J24" i="4"/>
  <c r="K23" i="4"/>
  <c r="J23" i="4"/>
  <c r="AR22" i="4"/>
  <c r="AQ22" i="4"/>
  <c r="AG25" i="4" s="1"/>
  <c r="AP22" i="4"/>
  <c r="AF25" i="4" s="1"/>
  <c r="AG22" i="4"/>
  <c r="AF22" i="4"/>
  <c r="AE22" i="4"/>
  <c r="AE25" i="4" s="1"/>
  <c r="K22" i="4"/>
  <c r="J22" i="4"/>
  <c r="K21" i="4"/>
  <c r="J21" i="4"/>
  <c r="K20" i="4"/>
  <c r="J20" i="4"/>
  <c r="T19" i="4"/>
  <c r="S19" i="4"/>
  <c r="K19" i="4"/>
  <c r="J19" i="4"/>
  <c r="K18" i="4"/>
  <c r="J18" i="4"/>
  <c r="K17" i="4"/>
  <c r="J17" i="4"/>
  <c r="K16" i="4"/>
  <c r="J16" i="4"/>
  <c r="U15" i="4"/>
  <c r="K15" i="4"/>
  <c r="J15" i="4"/>
  <c r="U14" i="4"/>
  <c r="K14" i="4"/>
  <c r="J14" i="4"/>
  <c r="U13" i="4"/>
  <c r="K13" i="4"/>
  <c r="J13" i="4"/>
  <c r="U12" i="4"/>
  <c r="K12" i="4"/>
  <c r="J12" i="4"/>
  <c r="U11" i="4"/>
  <c r="K11" i="4"/>
  <c r="J11" i="4"/>
  <c r="U10" i="4"/>
  <c r="K10" i="4"/>
  <c r="J10" i="4"/>
  <c r="U9" i="4"/>
  <c r="K9" i="4"/>
  <c r="J9" i="4"/>
  <c r="U8" i="4"/>
  <c r="K8" i="4"/>
  <c r="J8" i="4"/>
  <c r="U7" i="4"/>
  <c r="K7" i="4"/>
  <c r="J7" i="4"/>
  <c r="U6" i="4"/>
  <c r="K6" i="4"/>
  <c r="J6" i="4"/>
  <c r="U5" i="4"/>
  <c r="K5" i="4"/>
  <c r="J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M62" i="5"/>
  <c r="L62" i="5"/>
  <c r="I62" i="5"/>
  <c r="H62" i="5"/>
  <c r="K61" i="5"/>
  <c r="K62" i="5" s="1"/>
  <c r="J61" i="5"/>
  <c r="J62" i="5" s="1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T66" i="5" s="1"/>
  <c r="O34" i="5"/>
  <c r="O66" i="5" s="1"/>
  <c r="J34" i="5"/>
  <c r="J66" i="5" s="1"/>
  <c r="A34" i="5"/>
  <c r="A66" i="5" s="1"/>
  <c r="H32" i="5"/>
  <c r="Z31" i="5"/>
  <c r="Q31" i="5"/>
  <c r="P31" i="5"/>
  <c r="O31" i="5"/>
  <c r="N31" i="5"/>
  <c r="M31" i="5"/>
  <c r="L31" i="5"/>
  <c r="I31" i="5"/>
  <c r="S32" i="5" s="1"/>
  <c r="M30" i="5"/>
  <c r="L30" i="5"/>
  <c r="I30" i="5"/>
  <c r="H30" i="5"/>
  <c r="H31" i="5" s="1"/>
  <c r="K29" i="5"/>
  <c r="J29" i="5"/>
  <c r="K28" i="5"/>
  <c r="J28" i="5"/>
  <c r="K27" i="5"/>
  <c r="J27" i="5"/>
  <c r="K26" i="5"/>
  <c r="J26" i="5"/>
  <c r="AH25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G25" i="5" s="1"/>
  <c r="AP22" i="5"/>
  <c r="AF25" i="5" s="1"/>
  <c r="AG22" i="5"/>
  <c r="AF22" i="5"/>
  <c r="AE22" i="5"/>
  <c r="AE25" i="5" s="1"/>
  <c r="K22" i="5"/>
  <c r="J22" i="5"/>
  <c r="K21" i="5"/>
  <c r="J21" i="5"/>
  <c r="K20" i="5"/>
  <c r="J20" i="5"/>
  <c r="T19" i="5"/>
  <c r="S19" i="5"/>
  <c r="K19" i="5"/>
  <c r="J19" i="5"/>
  <c r="K18" i="5"/>
  <c r="J18" i="5"/>
  <c r="K17" i="5"/>
  <c r="J17" i="5"/>
  <c r="K16" i="5"/>
  <c r="J16" i="5"/>
  <c r="U15" i="5"/>
  <c r="K15" i="5"/>
  <c r="J15" i="5"/>
  <c r="U14" i="5"/>
  <c r="K14" i="5"/>
  <c r="J14" i="5"/>
  <c r="U13" i="5"/>
  <c r="K13" i="5"/>
  <c r="J13" i="5"/>
  <c r="U12" i="5"/>
  <c r="K12" i="5"/>
  <c r="J12" i="5"/>
  <c r="U11" i="5"/>
  <c r="K11" i="5"/>
  <c r="J11" i="5"/>
  <c r="U10" i="5"/>
  <c r="K10" i="5"/>
  <c r="J10" i="5"/>
  <c r="U9" i="5"/>
  <c r="K9" i="5"/>
  <c r="J9" i="5"/>
  <c r="U8" i="5"/>
  <c r="J8" i="5"/>
  <c r="U7" i="5"/>
  <c r="K7" i="5"/>
  <c r="J7" i="5"/>
  <c r="U6" i="5"/>
  <c r="J6" i="5"/>
  <c r="U5" i="5"/>
  <c r="K5" i="5"/>
  <c r="J5" i="5"/>
  <c r="M94" i="6"/>
  <c r="L94" i="6"/>
  <c r="I94" i="6"/>
  <c r="H94" i="6"/>
  <c r="K93" i="6"/>
  <c r="K94" i="6" s="1"/>
  <c r="J93" i="6"/>
  <c r="J94" i="6" s="1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M62" i="6"/>
  <c r="L62" i="6"/>
  <c r="I62" i="6"/>
  <c r="H62" i="6"/>
  <c r="K61" i="6"/>
  <c r="K62" i="6" s="1"/>
  <c r="J61" i="6"/>
  <c r="J62" i="6" s="1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J66" i="6" s="1"/>
  <c r="A34" i="6"/>
  <c r="A66" i="6" s="1"/>
  <c r="H32" i="6"/>
  <c r="Z31" i="6"/>
  <c r="Q31" i="6"/>
  <c r="P31" i="6"/>
  <c r="O31" i="6"/>
  <c r="N31" i="6"/>
  <c r="L31" i="6"/>
  <c r="M30" i="6"/>
  <c r="M31" i="6" s="1"/>
  <c r="L30" i="6"/>
  <c r="I30" i="6"/>
  <c r="I31" i="6" s="1"/>
  <c r="H30" i="6"/>
  <c r="H31" i="6" s="1"/>
  <c r="K29" i="6"/>
  <c r="J29" i="6"/>
  <c r="K28" i="6"/>
  <c r="J28" i="6"/>
  <c r="K27" i="6"/>
  <c r="J27" i="6"/>
  <c r="K26" i="6"/>
  <c r="J26" i="6"/>
  <c r="AH25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G25" i="6" s="1"/>
  <c r="AP22" i="6"/>
  <c r="AF25" i="6" s="1"/>
  <c r="AG22" i="6"/>
  <c r="AF22" i="6"/>
  <c r="AE22" i="6"/>
  <c r="AE25" i="6" s="1"/>
  <c r="K22" i="6"/>
  <c r="J22" i="6"/>
  <c r="K21" i="6"/>
  <c r="J21" i="6"/>
  <c r="K20" i="6"/>
  <c r="J20" i="6"/>
  <c r="T19" i="6"/>
  <c r="S19" i="6"/>
  <c r="K19" i="6"/>
  <c r="J19" i="6"/>
  <c r="K18" i="6"/>
  <c r="J18" i="6"/>
  <c r="K17" i="6"/>
  <c r="J17" i="6"/>
  <c r="K16" i="6"/>
  <c r="J16" i="6"/>
  <c r="U15" i="6"/>
  <c r="J15" i="6"/>
  <c r="U14" i="6"/>
  <c r="K14" i="6"/>
  <c r="J14" i="6"/>
  <c r="U13" i="6"/>
  <c r="K13" i="6"/>
  <c r="J13" i="6"/>
  <c r="U12" i="6"/>
  <c r="K12" i="6"/>
  <c r="J12" i="6"/>
  <c r="U11" i="6"/>
  <c r="K11" i="6"/>
  <c r="J11" i="6"/>
  <c r="U10" i="6"/>
  <c r="J10" i="6"/>
  <c r="U9" i="6"/>
  <c r="K9" i="6"/>
  <c r="J9" i="6"/>
  <c r="U8" i="6"/>
  <c r="J8" i="6"/>
  <c r="U7" i="6"/>
  <c r="J7" i="6"/>
  <c r="U6" i="6"/>
  <c r="K6" i="6"/>
  <c r="J6" i="6"/>
  <c r="U5" i="6"/>
  <c r="K5" i="6"/>
  <c r="J5" i="6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T19" i="7"/>
  <c r="S19" i="7"/>
  <c r="K24" i="7"/>
  <c r="C32" i="2" l="1"/>
  <c r="K32" i="2" s="1"/>
  <c r="N32" i="2"/>
  <c r="H34" i="8"/>
  <c r="H35" i="8"/>
  <c r="S32" i="2"/>
  <c r="H33" i="8" s="1"/>
  <c r="U16" i="2"/>
  <c r="E36" i="8" s="1"/>
  <c r="I31" i="1"/>
  <c r="S32" i="1"/>
  <c r="H28" i="8" s="1"/>
  <c r="H31" i="1"/>
  <c r="J62" i="1"/>
  <c r="K62" i="1"/>
  <c r="K30" i="1"/>
  <c r="J30" i="1"/>
  <c r="U16" i="1"/>
  <c r="S16" i="1" s="1"/>
  <c r="K30" i="3"/>
  <c r="K31" i="3" s="1"/>
  <c r="J30" i="3"/>
  <c r="J31" i="3" s="1"/>
  <c r="U16" i="3"/>
  <c r="R16" i="3" s="1"/>
  <c r="U16" i="4"/>
  <c r="R16" i="4" s="1"/>
  <c r="K30" i="4"/>
  <c r="K31" i="4" s="1"/>
  <c r="J30" i="4"/>
  <c r="J31" i="4" s="1"/>
  <c r="K30" i="5"/>
  <c r="K31" i="5" s="1"/>
  <c r="J30" i="5"/>
  <c r="J31" i="5" s="1"/>
  <c r="U16" i="5"/>
  <c r="S16" i="5" s="1"/>
  <c r="S32" i="6"/>
  <c r="H8" i="8" s="1"/>
  <c r="K30" i="6"/>
  <c r="K31" i="6" s="1"/>
  <c r="J30" i="6"/>
  <c r="J31" i="6" s="1"/>
  <c r="U16" i="6"/>
  <c r="S16" i="6" s="1"/>
  <c r="AD25" i="2"/>
  <c r="AI25" i="2"/>
  <c r="Z32" i="2"/>
  <c r="Z33" i="2" s="1"/>
  <c r="S31" i="2"/>
  <c r="H32" i="8" s="1"/>
  <c r="T31" i="2"/>
  <c r="AD25" i="1"/>
  <c r="AI25" i="1"/>
  <c r="Z32" i="1"/>
  <c r="Z33" i="1" s="1"/>
  <c r="S31" i="1"/>
  <c r="H27" i="8" s="1"/>
  <c r="AD25" i="3"/>
  <c r="AI25" i="3"/>
  <c r="Z32" i="3"/>
  <c r="Z33" i="3" s="1"/>
  <c r="S31" i="3"/>
  <c r="T31" i="3"/>
  <c r="AD25" i="4"/>
  <c r="AI25" i="4"/>
  <c r="Z32" i="4"/>
  <c r="Z33" i="4" s="1"/>
  <c r="S31" i="4"/>
  <c r="Y39" i="8"/>
  <c r="T31" i="4"/>
  <c r="AI25" i="5"/>
  <c r="AD25" i="5"/>
  <c r="Z33" i="5"/>
  <c r="R16" i="5"/>
  <c r="S31" i="5"/>
  <c r="H12" i="8" s="1"/>
  <c r="Z32" i="5"/>
  <c r="T31" i="5"/>
  <c r="AD25" i="6"/>
  <c r="AI25" i="6"/>
  <c r="S31" i="6"/>
  <c r="H7" i="8" s="1"/>
  <c r="Z32" i="6"/>
  <c r="Z33" i="6" s="1"/>
  <c r="T31" i="6"/>
  <c r="H22" i="8"/>
  <c r="H13" i="8"/>
  <c r="H17" i="8"/>
  <c r="L36" i="8"/>
  <c r="L31" i="8"/>
  <c r="L26" i="8"/>
  <c r="L21" i="8"/>
  <c r="L16" i="8"/>
  <c r="L11" i="8"/>
  <c r="L6" i="8"/>
  <c r="E35" i="8"/>
  <c r="E25" i="8"/>
  <c r="E20" i="8"/>
  <c r="E19" i="8"/>
  <c r="E18" i="8"/>
  <c r="E17" i="8"/>
  <c r="E15" i="8"/>
  <c r="E14" i="8"/>
  <c r="E13" i="8"/>
  <c r="E12" i="8"/>
  <c r="Y41" i="8"/>
  <c r="E10" i="8"/>
  <c r="M94" i="7"/>
  <c r="L94" i="7"/>
  <c r="I94" i="7"/>
  <c r="H94" i="7"/>
  <c r="K93" i="7"/>
  <c r="K94" i="7" s="1"/>
  <c r="K92" i="7"/>
  <c r="K91" i="7"/>
  <c r="K90" i="7"/>
  <c r="K89" i="7"/>
  <c r="J94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H32" i="7"/>
  <c r="Z31" i="7"/>
  <c r="Q31" i="7"/>
  <c r="O39" i="8" s="1"/>
  <c r="P31" i="7"/>
  <c r="T39" i="8" s="1"/>
  <c r="O31" i="7"/>
  <c r="N31" i="7"/>
  <c r="E2" i="8" s="1"/>
  <c r="M31" i="7"/>
  <c r="L31" i="7"/>
  <c r="M30" i="7"/>
  <c r="L30" i="7"/>
  <c r="I30" i="7"/>
  <c r="I31" i="7" s="1"/>
  <c r="S32" i="7" s="1"/>
  <c r="H3" i="8" s="1"/>
  <c r="H30" i="7"/>
  <c r="H31" i="7" s="1"/>
  <c r="S31" i="7" s="1"/>
  <c r="H2" i="8" s="1"/>
  <c r="K29" i="7"/>
  <c r="K28" i="7"/>
  <c r="K27" i="7"/>
  <c r="K26" i="7"/>
  <c r="AH25" i="7"/>
  <c r="T25" i="7"/>
  <c r="T26" i="7" s="1"/>
  <c r="S25" i="7"/>
  <c r="S26" i="7" s="1"/>
  <c r="R25" i="7"/>
  <c r="R26" i="7" s="1"/>
  <c r="K25" i="7"/>
  <c r="K23" i="7"/>
  <c r="AR22" i="7"/>
  <c r="AQ22" i="7"/>
  <c r="AG25" i="7" s="1"/>
  <c r="AP22" i="7"/>
  <c r="AF25" i="7" s="1"/>
  <c r="AG22" i="7"/>
  <c r="AF22" i="7"/>
  <c r="AE22" i="7"/>
  <c r="AE25" i="7" s="1"/>
  <c r="K22" i="7"/>
  <c r="K21" i="7"/>
  <c r="K20" i="7"/>
  <c r="K19" i="7"/>
  <c r="K18" i="7"/>
  <c r="K17" i="7"/>
  <c r="K16" i="7"/>
  <c r="U15" i="7"/>
  <c r="K15" i="7"/>
  <c r="U14" i="7"/>
  <c r="K14" i="7"/>
  <c r="U13" i="7"/>
  <c r="K13" i="7"/>
  <c r="U12" i="7"/>
  <c r="K12" i="7"/>
  <c r="U11" i="7"/>
  <c r="K11" i="7"/>
  <c r="U10" i="7"/>
  <c r="K10" i="7"/>
  <c r="U9" i="7"/>
  <c r="U8" i="7"/>
  <c r="K8" i="7"/>
  <c r="U7" i="7"/>
  <c r="K7" i="7"/>
  <c r="U6" i="7"/>
  <c r="K6" i="7"/>
  <c r="U5" i="7"/>
  <c r="K5" i="7"/>
  <c r="J30" i="7"/>
  <c r="A34" i="7"/>
  <c r="A66" i="7" s="1"/>
  <c r="E34" i="8"/>
  <c r="E33" i="8"/>
  <c r="E32" i="8"/>
  <c r="E24" i="8"/>
  <c r="E23" i="8"/>
  <c r="E22" i="8"/>
  <c r="E9" i="8"/>
  <c r="E8" i="8"/>
  <c r="E7" i="8"/>
  <c r="P32" i="2" l="1"/>
  <c r="O32" i="2"/>
  <c r="L33" i="8" s="1"/>
  <c r="Q32" i="2"/>
  <c r="V32" i="8"/>
  <c r="S16" i="2"/>
  <c r="R16" i="2"/>
  <c r="T31" i="1"/>
  <c r="J31" i="1"/>
  <c r="K31" i="1"/>
  <c r="E31" i="8"/>
  <c r="R16" i="1"/>
  <c r="C32" i="3"/>
  <c r="O32" i="3" s="1"/>
  <c r="S16" i="3"/>
  <c r="E26" i="8"/>
  <c r="S16" i="4"/>
  <c r="C32" i="4"/>
  <c r="K32" i="4" s="1"/>
  <c r="C32" i="5"/>
  <c r="P32" i="5" s="1"/>
  <c r="E11" i="8"/>
  <c r="R16" i="6"/>
  <c r="C32" i="6"/>
  <c r="P32" i="6" s="1"/>
  <c r="K30" i="7"/>
  <c r="Z45" i="8"/>
  <c r="E21" i="8"/>
  <c r="E16" i="8"/>
  <c r="H15" i="8"/>
  <c r="V12" i="8" s="1"/>
  <c r="U16" i="7"/>
  <c r="E6" i="8" s="1"/>
  <c r="J62" i="7"/>
  <c r="K62" i="7"/>
  <c r="Q7" i="8"/>
  <c r="Q32" i="8"/>
  <c r="Q22" i="8"/>
  <c r="Q17" i="8"/>
  <c r="Q12" i="8"/>
  <c r="H10" i="8"/>
  <c r="V7" i="8" s="1"/>
  <c r="AI25" i="7"/>
  <c r="AD25" i="7"/>
  <c r="Z32" i="7"/>
  <c r="Z33" i="7" s="1"/>
  <c r="T31" i="7"/>
  <c r="U25" i="2" l="1"/>
  <c r="L32" i="8"/>
  <c r="L35" i="8"/>
  <c r="T16" i="2"/>
  <c r="L34" i="8"/>
  <c r="C32" i="1"/>
  <c r="P32" i="1" s="1"/>
  <c r="U25" i="3"/>
  <c r="P32" i="3"/>
  <c r="L24" i="8" s="1"/>
  <c r="N32" i="3"/>
  <c r="T16" i="3"/>
  <c r="Q32" i="3"/>
  <c r="L25" i="8" s="1"/>
  <c r="K32" i="3"/>
  <c r="P32" i="4"/>
  <c r="O32" i="4"/>
  <c r="U25" i="4"/>
  <c r="Q32" i="4"/>
  <c r="T16" i="4"/>
  <c r="N32" i="4"/>
  <c r="N32" i="5"/>
  <c r="T16" i="5"/>
  <c r="K32" i="5"/>
  <c r="O32" i="5"/>
  <c r="Q32" i="5"/>
  <c r="U25" i="5"/>
  <c r="Q32" i="6"/>
  <c r="L10" i="8" s="1"/>
  <c r="U25" i="6"/>
  <c r="K32" i="6"/>
  <c r="T16" i="6"/>
  <c r="O32" i="6"/>
  <c r="L8" i="8" s="1"/>
  <c r="N32" i="6"/>
  <c r="L7" i="8" s="1"/>
  <c r="H19" i="8"/>
  <c r="H20" i="8"/>
  <c r="V17" i="8" s="1"/>
  <c r="U45" i="8"/>
  <c r="Z49" i="8" s="1"/>
  <c r="R16" i="7"/>
  <c r="S16" i="7"/>
  <c r="J31" i="7"/>
  <c r="O41" i="8" s="1"/>
  <c r="K31" i="7"/>
  <c r="T41" i="8" s="1"/>
  <c r="L23" i="8"/>
  <c r="H25" i="8"/>
  <c r="V22" i="8" s="1"/>
  <c r="H24" i="8"/>
  <c r="L22" i="8"/>
  <c r="H14" i="8"/>
  <c r="H9" i="8"/>
  <c r="L9" i="8"/>
  <c r="E30" i="8"/>
  <c r="E29" i="8"/>
  <c r="E28" i="8"/>
  <c r="E27" i="8"/>
  <c r="Q32" i="1" l="1"/>
  <c r="K32" i="1"/>
  <c r="T16" i="1"/>
  <c r="O32" i="1"/>
  <c r="U25" i="1"/>
  <c r="N32" i="1"/>
  <c r="U49" i="8"/>
  <c r="C32" i="7"/>
  <c r="Q32" i="7" s="1"/>
  <c r="L18" i="8"/>
  <c r="L15" i="8"/>
  <c r="L14" i="8"/>
  <c r="L12" i="8"/>
  <c r="L13" i="8"/>
  <c r="Q27" i="8"/>
  <c r="H29" i="8"/>
  <c r="T16" i="7" l="1"/>
  <c r="O32" i="7"/>
  <c r="K32" i="7"/>
  <c r="P32" i="7"/>
  <c r="N32" i="7"/>
  <c r="U25" i="7"/>
  <c r="L19" i="8"/>
  <c r="L20" i="8"/>
  <c r="L17" i="8"/>
  <c r="L28" i="8"/>
  <c r="H30" i="8"/>
  <c r="V27" i="8" s="1"/>
  <c r="L30" i="8" l="1"/>
  <c r="L27" i="8"/>
  <c r="L29" i="8"/>
  <c r="E4" i="8" l="1"/>
  <c r="E5" i="8"/>
  <c r="E3" i="8" l="1"/>
  <c r="Q2" i="8" s="1"/>
  <c r="A39" i="8" l="1"/>
  <c r="H4" i="8" l="1"/>
  <c r="H5" i="8"/>
  <c r="V2" i="8" s="1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<sst xmlns="http://schemas.openxmlformats.org/spreadsheetml/2006/main" count="1735" uniqueCount="401">
  <si>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</si>
  <si>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</si>
  <si>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</si>
  <si>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</si>
  <si>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</si>
  <si>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</si>
  <si>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</si>
  <si>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</si>
  <si>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</si>
  <si>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</si>
  <si>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</si>
  <si>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</si>
  <si>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</si>
  <si>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</si>
  <si>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</si>
  <si>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</si>
  <si>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</si>
  <si>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</si>
  <si>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3" type="noConversion"/>
  </si>
  <si>
    <t>RMKS</t>
    <phoneticPr fontId="3" type="noConversion"/>
  </si>
  <si>
    <t>CARD</t>
    <phoneticPr fontId="3" type="noConversion"/>
  </si>
  <si>
    <t>Docket No</t>
    <phoneticPr fontId="3" type="noConversion"/>
  </si>
  <si>
    <t>CASH</t>
    <phoneticPr fontId="3" type="noConversion"/>
  </si>
  <si>
    <t>ITEM</t>
    <phoneticPr fontId="3" type="noConversion"/>
  </si>
  <si>
    <t>Daily Report</t>
    <phoneticPr fontId="3" type="noConversion"/>
  </si>
  <si>
    <t>TIME</t>
    <phoneticPr fontId="3" type="noConversion"/>
  </si>
  <si>
    <t>NAME</t>
    <phoneticPr fontId="3" type="noConversion"/>
  </si>
  <si>
    <t>B2 card</t>
    <phoneticPr fontId="3" type="noConversion"/>
  </si>
  <si>
    <t>Subtotal</t>
    <phoneticPr fontId="3" type="noConversion"/>
  </si>
  <si>
    <t>Settlement</t>
    <phoneticPr fontId="3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</si>
  <si>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</si>
  <si>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</si>
  <si>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</si>
  <si>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</si>
  <si>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</si>
  <si>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</si>
  <si>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</si>
  <si>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</si>
  <si>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</si>
  <si>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</si>
  <si>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</si>
  <si>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3" type="noConversion"/>
  </si>
  <si>
    <t>EXCL RSL</t>
    <phoneticPr fontId="3" type="noConversion"/>
  </si>
  <si>
    <t>NOV</t>
    <phoneticPr fontId="3" type="noConversion"/>
  </si>
  <si>
    <t>RSL</t>
    <phoneticPr fontId="3" type="noConversion"/>
  </si>
  <si>
    <t>GV</t>
    <phoneticPr fontId="3" type="noConversion"/>
  </si>
  <si>
    <t>GV CARD</t>
    <phoneticPr fontId="3" type="noConversion"/>
  </si>
  <si>
    <t>GV CASH</t>
    <phoneticPr fontId="3" type="noConversion"/>
  </si>
  <si>
    <t>Page total</t>
    <phoneticPr fontId="3" type="noConversion"/>
  </si>
  <si>
    <t>WEATHER</t>
    <phoneticPr fontId="3" type="noConversion"/>
  </si>
  <si>
    <t>REPORT by</t>
    <phoneticPr fontId="3" type="noConversion"/>
  </si>
  <si>
    <t>TOTAL STAFF</t>
    <phoneticPr fontId="3" type="noConversion"/>
  </si>
  <si>
    <t>Page: 3</t>
    <phoneticPr fontId="3" type="noConversion"/>
  </si>
  <si>
    <t>No of Cars</t>
    <phoneticPr fontId="3" type="noConversion"/>
  </si>
  <si>
    <t>Average</t>
    <phoneticPr fontId="3" type="noConversion"/>
  </si>
  <si>
    <t>TOTAL SALES</t>
    <phoneticPr fontId="3" type="noConversion"/>
  </si>
  <si>
    <t>Expense</t>
    <phoneticPr fontId="3" type="noConversion"/>
  </si>
  <si>
    <t>Cash</t>
    <phoneticPr fontId="3" type="noConversion"/>
  </si>
  <si>
    <t>Card</t>
    <phoneticPr fontId="3" type="noConversion"/>
  </si>
  <si>
    <t>CARS</t>
    <phoneticPr fontId="3" type="noConversion"/>
  </si>
  <si>
    <t>AMOUNT</t>
    <phoneticPr fontId="3" type="noConversion"/>
  </si>
  <si>
    <t>PERCENTAGE</t>
    <phoneticPr fontId="3" type="noConversion"/>
  </si>
  <si>
    <t>TOTAL CARS</t>
    <phoneticPr fontId="3" type="noConversion"/>
  </si>
  <si>
    <t>TOTAL AMOUNT</t>
    <phoneticPr fontId="3" type="noConversion"/>
  </si>
  <si>
    <t>AVERAGE</t>
    <phoneticPr fontId="3" type="noConversion"/>
  </si>
  <si>
    <t>RSL</t>
    <phoneticPr fontId="3" type="noConversion"/>
  </si>
  <si>
    <t>MON</t>
    <phoneticPr fontId="3" type="noConversion"/>
  </si>
  <si>
    <t>TUE</t>
    <phoneticPr fontId="3" type="noConversion"/>
  </si>
  <si>
    <t>WED</t>
    <phoneticPr fontId="3" type="noConversion"/>
  </si>
  <si>
    <t>THU</t>
    <phoneticPr fontId="3" type="noConversion"/>
  </si>
  <si>
    <t>SAT</t>
    <phoneticPr fontId="3" type="noConversion"/>
  </si>
  <si>
    <t>SUN</t>
    <phoneticPr fontId="3" type="noConversion"/>
  </si>
  <si>
    <t>TOTAL CARS</t>
  </si>
  <si>
    <t>TOTAL SALES</t>
    <phoneticPr fontId="3" type="noConversion"/>
  </si>
  <si>
    <t>AVERAGE</t>
    <phoneticPr fontId="3" type="noConversion"/>
  </si>
  <si>
    <t>GV</t>
    <phoneticPr fontId="3" type="noConversion"/>
  </si>
  <si>
    <t>GV SOLD</t>
    <phoneticPr fontId="3" type="noConversion"/>
  </si>
  <si>
    <t>B2 Daily Report</t>
    <phoneticPr fontId="3" type="noConversion"/>
  </si>
  <si>
    <t>SMALL</t>
    <phoneticPr fontId="3" type="noConversion"/>
  </si>
  <si>
    <t>MEDIUM</t>
    <phoneticPr fontId="3" type="noConversion"/>
  </si>
  <si>
    <t>LARGE</t>
    <phoneticPr fontId="3" type="noConversion"/>
  </si>
  <si>
    <t>TOTAL</t>
    <phoneticPr fontId="3" type="noConversion"/>
  </si>
  <si>
    <t>CARD CLOSING</t>
    <phoneticPr fontId="3" type="noConversion"/>
  </si>
  <si>
    <t>CASH CLOSING</t>
    <phoneticPr fontId="3" type="noConversion"/>
  </si>
  <si>
    <t>TOTAL CASH</t>
    <phoneticPr fontId="3" type="noConversion"/>
  </si>
  <si>
    <t>TOTAL CARD</t>
    <phoneticPr fontId="3" type="noConversion"/>
  </si>
  <si>
    <t>TOTAL RSL</t>
    <phoneticPr fontId="3" type="noConversion"/>
  </si>
  <si>
    <t>TOTAL GV</t>
    <phoneticPr fontId="3" type="noConversion"/>
  </si>
  <si>
    <t>Mobile</t>
    <phoneticPr fontId="3" type="noConversion"/>
  </si>
  <si>
    <t>Gender</t>
    <phoneticPr fontId="3" type="noConversion"/>
  </si>
  <si>
    <t>STAFF HRS</t>
    <phoneticPr fontId="3" type="noConversion"/>
  </si>
  <si>
    <t>M</t>
    <phoneticPr fontId="3" type="noConversion"/>
  </si>
  <si>
    <t>F</t>
    <phoneticPr fontId="3" type="noConversion"/>
  </si>
  <si>
    <t>FR I</t>
    <phoneticPr fontId="3" type="noConversion"/>
  </si>
  <si>
    <t xml:space="preserve">hrs </t>
    <phoneticPr fontId="3" type="noConversion"/>
  </si>
  <si>
    <t>no. staff</t>
    <phoneticPr fontId="3" type="noConversion"/>
  </si>
  <si>
    <t>REPORT BY</t>
    <phoneticPr fontId="3" type="noConversion"/>
  </si>
  <si>
    <t>1 - 8 - 2022</t>
    <phoneticPr fontId="3" type="noConversion"/>
  </si>
  <si>
    <t>CLOUDY</t>
    <phoneticPr fontId="3" type="noConversion"/>
  </si>
  <si>
    <t>JOHN</t>
    <phoneticPr fontId="3" type="noConversion"/>
  </si>
  <si>
    <t>HENDRA</t>
    <phoneticPr fontId="3" type="noConversion"/>
  </si>
  <si>
    <t>JUNIOR</t>
    <phoneticPr fontId="3" type="noConversion"/>
  </si>
  <si>
    <t>ARIANTO</t>
    <phoneticPr fontId="3" type="noConversion"/>
  </si>
  <si>
    <t>KUROSH</t>
    <phoneticPr fontId="3" type="noConversion"/>
  </si>
  <si>
    <t>CALAN</t>
    <phoneticPr fontId="3" type="noConversion"/>
  </si>
  <si>
    <t>EIR53H</t>
    <phoneticPr fontId="3" type="noConversion"/>
  </si>
  <si>
    <t>0407660541</t>
    <phoneticPr fontId="3" type="noConversion"/>
  </si>
  <si>
    <t>M</t>
  </si>
  <si>
    <t>H/ST</t>
    <phoneticPr fontId="3" type="noConversion"/>
  </si>
  <si>
    <t>YLB24G</t>
    <phoneticPr fontId="3" type="noConversion"/>
  </si>
  <si>
    <t>0414580094</t>
    <phoneticPr fontId="3" type="noConversion"/>
  </si>
  <si>
    <t>X</t>
    <phoneticPr fontId="3" type="noConversion"/>
  </si>
  <si>
    <t>MICKYB</t>
    <phoneticPr fontId="3" type="noConversion"/>
  </si>
  <si>
    <t>0472777888</t>
    <phoneticPr fontId="3" type="noConversion"/>
  </si>
  <si>
    <t>H</t>
    <phoneticPr fontId="3" type="noConversion"/>
  </si>
  <si>
    <t>DQR98N</t>
    <phoneticPr fontId="3" type="noConversion"/>
  </si>
  <si>
    <t>0447531703</t>
    <phoneticPr fontId="3" type="noConversion"/>
  </si>
  <si>
    <t>DCZ77D</t>
    <phoneticPr fontId="3" type="noConversion"/>
  </si>
  <si>
    <t>0404093436</t>
    <phoneticPr fontId="3" type="noConversion"/>
  </si>
  <si>
    <t>TS6888</t>
    <phoneticPr fontId="3" type="noConversion"/>
  </si>
  <si>
    <t>0417880888</t>
    <phoneticPr fontId="3" type="noConversion"/>
  </si>
  <si>
    <t>PCS</t>
    <phoneticPr fontId="3" type="noConversion"/>
  </si>
  <si>
    <t>22002(2/6)</t>
    <phoneticPr fontId="3" type="noConversion"/>
  </si>
  <si>
    <t>EDJ82U</t>
    <phoneticPr fontId="3" type="noConversion"/>
  </si>
  <si>
    <t>0417190374</t>
    <phoneticPr fontId="3" type="noConversion"/>
  </si>
  <si>
    <t>BKK43P</t>
    <phoneticPr fontId="3" type="noConversion"/>
  </si>
  <si>
    <t>0414942485</t>
    <phoneticPr fontId="3" type="noConversion"/>
  </si>
  <si>
    <t>BGS57V</t>
    <phoneticPr fontId="3" type="noConversion"/>
  </si>
  <si>
    <t>0439625178</t>
    <phoneticPr fontId="3" type="noConversion"/>
  </si>
  <si>
    <t>D</t>
    <phoneticPr fontId="3" type="noConversion"/>
  </si>
  <si>
    <t>NBZ88H</t>
    <phoneticPr fontId="3" type="noConversion"/>
  </si>
  <si>
    <t>0424757466</t>
    <phoneticPr fontId="3" type="noConversion"/>
  </si>
  <si>
    <t>EML20Y</t>
    <phoneticPr fontId="3" type="noConversion"/>
  </si>
  <si>
    <t>0401649251</t>
    <phoneticPr fontId="3" type="noConversion"/>
  </si>
  <si>
    <t>W/O</t>
    <phoneticPr fontId="3" type="noConversion"/>
  </si>
  <si>
    <t>DDA89U</t>
    <phoneticPr fontId="3" type="noConversion"/>
  </si>
  <si>
    <t>0488682860</t>
    <phoneticPr fontId="3" type="noConversion"/>
  </si>
  <si>
    <t>ECT55S</t>
    <phoneticPr fontId="3" type="noConversion"/>
  </si>
  <si>
    <t>0414996373</t>
    <phoneticPr fontId="3" type="noConversion"/>
  </si>
  <si>
    <t>2 - 8 - 2022</t>
    <phoneticPr fontId="3" type="noConversion"/>
  </si>
  <si>
    <t>SUNNY</t>
    <phoneticPr fontId="3" type="noConversion"/>
  </si>
  <si>
    <t>KAMAL</t>
    <phoneticPr fontId="3" type="noConversion"/>
  </si>
  <si>
    <t>PAJ888</t>
    <phoneticPr fontId="3" type="noConversion"/>
  </si>
  <si>
    <t>0450758988</t>
    <phoneticPr fontId="3" type="noConversion"/>
  </si>
  <si>
    <t>W222</t>
    <phoneticPr fontId="3" type="noConversion"/>
  </si>
  <si>
    <t>0404651215</t>
    <phoneticPr fontId="3" type="noConversion"/>
  </si>
  <si>
    <t>EBJ31J</t>
    <phoneticPr fontId="3" type="noConversion"/>
  </si>
  <si>
    <t>0435955200</t>
    <phoneticPr fontId="3" type="noConversion"/>
  </si>
  <si>
    <t>PCL</t>
    <phoneticPr fontId="3" type="noConversion"/>
  </si>
  <si>
    <t>#22020 2/6</t>
    <phoneticPr fontId="3" type="noConversion"/>
  </si>
  <si>
    <t>DVL10H</t>
    <phoneticPr fontId="3" type="noConversion"/>
  </si>
  <si>
    <t>0413872437</t>
    <phoneticPr fontId="3" type="noConversion"/>
  </si>
  <si>
    <t>#2112064 6/6</t>
    <phoneticPr fontId="3" type="noConversion"/>
  </si>
  <si>
    <t>CM64VB</t>
    <phoneticPr fontId="3" type="noConversion"/>
  </si>
  <si>
    <t>0412854483</t>
    <phoneticPr fontId="3" type="noConversion"/>
  </si>
  <si>
    <t>CQL74Q</t>
    <phoneticPr fontId="3" type="noConversion"/>
  </si>
  <si>
    <t>0428888046</t>
    <phoneticPr fontId="3" type="noConversion"/>
  </si>
  <si>
    <t>PCM</t>
    <phoneticPr fontId="3" type="noConversion"/>
  </si>
  <si>
    <t># 22007 1/6</t>
    <phoneticPr fontId="3" type="noConversion"/>
  </si>
  <si>
    <t>CYI65J</t>
    <phoneticPr fontId="3" type="noConversion"/>
  </si>
  <si>
    <t>0417213717</t>
    <phoneticPr fontId="3" type="noConversion"/>
  </si>
  <si>
    <t>S/D</t>
    <phoneticPr fontId="3" type="noConversion"/>
  </si>
  <si>
    <t>EKC89S</t>
    <phoneticPr fontId="3" type="noConversion"/>
  </si>
  <si>
    <t>0438354090</t>
    <phoneticPr fontId="3" type="noConversion"/>
  </si>
  <si>
    <t>DGA54U</t>
    <phoneticPr fontId="3" type="noConversion"/>
  </si>
  <si>
    <t>0431334855</t>
    <phoneticPr fontId="3" type="noConversion"/>
  </si>
  <si>
    <t>JG173</t>
    <phoneticPr fontId="3" type="noConversion"/>
  </si>
  <si>
    <t>0418230559</t>
    <phoneticPr fontId="3" type="noConversion"/>
  </si>
  <si>
    <t>CVQ54S</t>
    <phoneticPr fontId="3" type="noConversion"/>
  </si>
  <si>
    <t>0437293069</t>
    <phoneticPr fontId="3" type="noConversion"/>
  </si>
  <si>
    <t>EBP42L</t>
    <phoneticPr fontId="3" type="noConversion"/>
  </si>
  <si>
    <t>0408808314</t>
    <phoneticPr fontId="3" type="noConversion"/>
  </si>
  <si>
    <t>DQW95</t>
    <phoneticPr fontId="3" type="noConversion"/>
  </si>
  <si>
    <t>0490876826</t>
    <phoneticPr fontId="3" type="noConversion"/>
  </si>
  <si>
    <t>ETY27Y</t>
    <phoneticPr fontId="3" type="noConversion"/>
  </si>
  <si>
    <t>0410587779</t>
    <phoneticPr fontId="3" type="noConversion"/>
  </si>
  <si>
    <t># 22060 1/6</t>
    <phoneticPr fontId="3" type="noConversion"/>
  </si>
  <si>
    <t>03-08-2022</t>
    <phoneticPr fontId="3" type="noConversion"/>
  </si>
  <si>
    <t>DWT19M</t>
    <phoneticPr fontId="3" type="noConversion"/>
  </si>
  <si>
    <t>0421741376</t>
    <phoneticPr fontId="3" type="noConversion"/>
  </si>
  <si>
    <t>F</t>
  </si>
  <si>
    <t>SAA333</t>
    <phoneticPr fontId="3" type="noConversion"/>
  </si>
  <si>
    <t>0418433469</t>
    <phoneticPr fontId="3" type="noConversion"/>
  </si>
  <si>
    <t>22033(3/6)</t>
    <phoneticPr fontId="3" type="noConversion"/>
  </si>
  <si>
    <t>00NUGZ</t>
    <phoneticPr fontId="3" type="noConversion"/>
  </si>
  <si>
    <t>0431036123</t>
    <phoneticPr fontId="3" type="noConversion"/>
  </si>
  <si>
    <t>CTI78H</t>
    <phoneticPr fontId="3" type="noConversion"/>
  </si>
  <si>
    <t>0406816699</t>
    <phoneticPr fontId="3" type="noConversion"/>
  </si>
  <si>
    <t>22050(2/6)</t>
    <phoneticPr fontId="3" type="noConversion"/>
  </si>
  <si>
    <t>ERT66C</t>
    <phoneticPr fontId="3" type="noConversion"/>
  </si>
  <si>
    <t>0478145116</t>
    <phoneticPr fontId="3" type="noConversion"/>
  </si>
  <si>
    <t>NBZ17J</t>
    <phoneticPr fontId="3" type="noConversion"/>
  </si>
  <si>
    <t>0416582857</t>
    <phoneticPr fontId="3" type="noConversion"/>
  </si>
  <si>
    <t>EQD26K</t>
    <phoneticPr fontId="3" type="noConversion"/>
  </si>
  <si>
    <t>0415636969</t>
    <phoneticPr fontId="3" type="noConversion"/>
  </si>
  <si>
    <t>NGF78S</t>
    <phoneticPr fontId="3" type="noConversion"/>
  </si>
  <si>
    <t>0418297788</t>
    <phoneticPr fontId="3" type="noConversion"/>
  </si>
  <si>
    <t>DDH71P</t>
    <phoneticPr fontId="3" type="noConversion"/>
  </si>
  <si>
    <t>0408974954</t>
    <phoneticPr fontId="3" type="noConversion"/>
  </si>
  <si>
    <t>TAX</t>
    <phoneticPr fontId="3" type="noConversion"/>
  </si>
  <si>
    <t>AE59PH</t>
    <phoneticPr fontId="3" type="noConversion"/>
  </si>
  <si>
    <t>JM259</t>
    <phoneticPr fontId="3" type="noConversion"/>
  </si>
  <si>
    <t>0412645095</t>
    <phoneticPr fontId="3" type="noConversion"/>
  </si>
  <si>
    <t>E3LY65W</t>
    <phoneticPr fontId="3" type="noConversion"/>
  </si>
  <si>
    <t>CH04GL</t>
    <phoneticPr fontId="3" type="noConversion"/>
  </si>
  <si>
    <t>0490214406</t>
    <phoneticPr fontId="3" type="noConversion"/>
  </si>
  <si>
    <t>F/D</t>
    <phoneticPr fontId="3" type="noConversion"/>
  </si>
  <si>
    <t>04-08-2022</t>
    <phoneticPr fontId="3" type="noConversion"/>
  </si>
  <si>
    <t>CES68N</t>
    <phoneticPr fontId="3" type="noConversion"/>
  </si>
  <si>
    <t>0410609236</t>
    <phoneticPr fontId="3" type="noConversion"/>
  </si>
  <si>
    <t>DMW10T</t>
    <phoneticPr fontId="3" type="noConversion"/>
  </si>
  <si>
    <t>0450230772</t>
    <phoneticPr fontId="3" type="noConversion"/>
  </si>
  <si>
    <t>EMJ32S</t>
    <phoneticPr fontId="3" type="noConversion"/>
  </si>
  <si>
    <t>0478844282</t>
    <phoneticPr fontId="3" type="noConversion"/>
  </si>
  <si>
    <t>DFP77F</t>
    <phoneticPr fontId="3" type="noConversion"/>
  </si>
  <si>
    <t>0408957556</t>
    <phoneticPr fontId="3" type="noConversion"/>
  </si>
  <si>
    <t>CMC84X</t>
    <phoneticPr fontId="3" type="noConversion"/>
  </si>
  <si>
    <t>0414946845</t>
    <phoneticPr fontId="3" type="noConversion"/>
  </si>
  <si>
    <t>DP469</t>
    <phoneticPr fontId="3" type="noConversion"/>
  </si>
  <si>
    <t>0408417669</t>
    <phoneticPr fontId="3" type="noConversion"/>
  </si>
  <si>
    <t>CWZ94G</t>
    <phoneticPr fontId="3" type="noConversion"/>
  </si>
  <si>
    <t>0435886154</t>
    <phoneticPr fontId="3" type="noConversion"/>
  </si>
  <si>
    <t>DVL94V</t>
    <phoneticPr fontId="3" type="noConversion"/>
  </si>
  <si>
    <t>0422139386</t>
    <phoneticPr fontId="3" type="noConversion"/>
  </si>
  <si>
    <t>ANDREW</t>
    <phoneticPr fontId="3" type="noConversion"/>
  </si>
  <si>
    <t>CGI02N</t>
    <phoneticPr fontId="3" type="noConversion"/>
  </si>
  <si>
    <t>0418161100</t>
    <phoneticPr fontId="3" type="noConversion"/>
  </si>
  <si>
    <t>TT923</t>
    <phoneticPr fontId="3" type="noConversion"/>
  </si>
  <si>
    <t>0403118814</t>
    <phoneticPr fontId="3" type="noConversion"/>
  </si>
  <si>
    <t>5 - 8 - 2022</t>
    <phoneticPr fontId="3" type="noConversion"/>
  </si>
  <si>
    <t>HARIYANTO TRIAL NEW BOYS</t>
    <phoneticPr fontId="3" type="noConversion"/>
  </si>
  <si>
    <t>CHARLIE</t>
    <phoneticPr fontId="3" type="noConversion"/>
  </si>
  <si>
    <t>DJT90D</t>
    <phoneticPr fontId="3" type="noConversion"/>
  </si>
  <si>
    <t>045080939</t>
    <phoneticPr fontId="3" type="noConversion"/>
  </si>
  <si>
    <t>EJK98V</t>
    <phoneticPr fontId="3" type="noConversion"/>
  </si>
  <si>
    <t>0404000970</t>
    <phoneticPr fontId="3" type="noConversion"/>
  </si>
  <si>
    <t>ERH89H</t>
    <phoneticPr fontId="3" type="noConversion"/>
  </si>
  <si>
    <t>0412168168</t>
    <phoneticPr fontId="3" type="noConversion"/>
  </si>
  <si>
    <t>DGC99E</t>
    <phoneticPr fontId="3" type="noConversion"/>
  </si>
  <si>
    <t>0406318751</t>
    <phoneticPr fontId="3" type="noConversion"/>
  </si>
  <si>
    <t>#22014 1/6 2/6</t>
    <phoneticPr fontId="3" type="noConversion"/>
  </si>
  <si>
    <t>DTK31T</t>
    <phoneticPr fontId="3" type="noConversion"/>
  </si>
  <si>
    <t>0423022592</t>
    <phoneticPr fontId="3" type="noConversion"/>
  </si>
  <si>
    <t>ETE35E</t>
    <phoneticPr fontId="3" type="noConversion"/>
  </si>
  <si>
    <t>0450135799</t>
    <phoneticPr fontId="3" type="noConversion"/>
  </si>
  <si>
    <t>CZU88A</t>
    <phoneticPr fontId="3" type="noConversion"/>
  </si>
  <si>
    <t>0425805518</t>
    <phoneticPr fontId="3" type="noConversion"/>
  </si>
  <si>
    <t>EAK02M</t>
    <phoneticPr fontId="3" type="noConversion"/>
  </si>
  <si>
    <t>0417677341</t>
    <phoneticPr fontId="3" type="noConversion"/>
  </si>
  <si>
    <t>ERL37P</t>
    <phoneticPr fontId="3" type="noConversion"/>
  </si>
  <si>
    <t>0401197684</t>
    <phoneticPr fontId="3" type="noConversion"/>
  </si>
  <si>
    <t>CZP55R</t>
    <phoneticPr fontId="3" type="noConversion"/>
  </si>
  <si>
    <t>0422293104</t>
    <phoneticPr fontId="3" type="noConversion"/>
  </si>
  <si>
    <t>NCE76E</t>
    <phoneticPr fontId="3" type="noConversion"/>
  </si>
  <si>
    <t>0414796249</t>
    <phoneticPr fontId="3" type="noConversion"/>
  </si>
  <si>
    <t>NCB89U</t>
    <phoneticPr fontId="3" type="noConversion"/>
  </si>
  <si>
    <t>0411819649</t>
    <phoneticPr fontId="3" type="noConversion"/>
  </si>
  <si>
    <t>D/ST</t>
    <phoneticPr fontId="3" type="noConversion"/>
  </si>
  <si>
    <t>LED99W</t>
    <phoneticPr fontId="3" type="noConversion"/>
  </si>
  <si>
    <t>0466428566</t>
    <phoneticPr fontId="3" type="noConversion"/>
  </si>
  <si>
    <t>D/LTH</t>
    <phoneticPr fontId="3" type="noConversion"/>
  </si>
  <si>
    <t>DXT14W</t>
    <phoneticPr fontId="3" type="noConversion"/>
  </si>
  <si>
    <t>0433915654</t>
    <phoneticPr fontId="3" type="noConversion"/>
  </si>
  <si>
    <t>RO323</t>
    <phoneticPr fontId="3" type="noConversion"/>
  </si>
  <si>
    <t>0412546677</t>
    <phoneticPr fontId="3" type="noConversion"/>
  </si>
  <si>
    <t>IW132</t>
    <phoneticPr fontId="3" type="noConversion"/>
  </si>
  <si>
    <t>0414561844</t>
    <phoneticPr fontId="3" type="noConversion"/>
  </si>
  <si>
    <t>D/CLAY</t>
    <phoneticPr fontId="3" type="noConversion"/>
  </si>
  <si>
    <t>APE88H</t>
    <phoneticPr fontId="3" type="noConversion"/>
  </si>
  <si>
    <t>0410062241</t>
    <phoneticPr fontId="3" type="noConversion"/>
  </si>
  <si>
    <t>GEA111</t>
    <phoneticPr fontId="3" type="noConversion"/>
  </si>
  <si>
    <t>0413584483</t>
    <phoneticPr fontId="3" type="noConversion"/>
  </si>
  <si>
    <t>01ATG</t>
    <phoneticPr fontId="3" type="noConversion"/>
  </si>
  <si>
    <t>0428303336</t>
    <phoneticPr fontId="3" type="noConversion"/>
  </si>
  <si>
    <t>06-08-2022</t>
    <phoneticPr fontId="3" type="noConversion"/>
  </si>
  <si>
    <t>KEVIN</t>
    <phoneticPr fontId="3" type="noConversion"/>
  </si>
  <si>
    <t>KADAM</t>
    <phoneticPr fontId="3" type="noConversion"/>
  </si>
  <si>
    <t>76KATH</t>
    <phoneticPr fontId="3" type="noConversion"/>
  </si>
  <si>
    <t>0408971485</t>
    <phoneticPr fontId="3" type="noConversion"/>
  </si>
  <si>
    <t>D/CLA</t>
    <phoneticPr fontId="3" type="noConversion"/>
  </si>
  <si>
    <t>BNI55Y</t>
    <phoneticPr fontId="3" type="noConversion"/>
  </si>
  <si>
    <t>0486034144</t>
    <phoneticPr fontId="3" type="noConversion"/>
  </si>
  <si>
    <t>0400167996</t>
    <phoneticPr fontId="3" type="noConversion"/>
  </si>
  <si>
    <t>22004(5/6)</t>
    <phoneticPr fontId="3" type="noConversion"/>
  </si>
  <si>
    <t>DJP71U</t>
    <phoneticPr fontId="3" type="noConversion"/>
  </si>
  <si>
    <t>0422847376</t>
    <phoneticPr fontId="3" type="noConversion"/>
  </si>
  <si>
    <t>DPU13H</t>
    <phoneticPr fontId="3" type="noConversion"/>
  </si>
  <si>
    <t>0415316520</t>
    <phoneticPr fontId="3" type="noConversion"/>
  </si>
  <si>
    <t>202206061(D)</t>
    <phoneticPr fontId="3" type="noConversion"/>
  </si>
  <si>
    <t>DPC33X</t>
    <phoneticPr fontId="3" type="noConversion"/>
  </si>
  <si>
    <t>0450110777</t>
    <phoneticPr fontId="3" type="noConversion"/>
  </si>
  <si>
    <t>DKA88A</t>
    <phoneticPr fontId="3" type="noConversion"/>
  </si>
  <si>
    <t>0497999969</t>
    <phoneticPr fontId="3" type="noConversion"/>
  </si>
  <si>
    <t>CTJ78A</t>
    <phoneticPr fontId="3" type="noConversion"/>
  </si>
  <si>
    <t>0410040243</t>
    <phoneticPr fontId="3" type="noConversion"/>
  </si>
  <si>
    <t>NKL238</t>
    <phoneticPr fontId="3" type="noConversion"/>
  </si>
  <si>
    <t>0478936198</t>
    <phoneticPr fontId="3" type="noConversion"/>
  </si>
  <si>
    <t>NCF27J</t>
    <phoneticPr fontId="3" type="noConversion"/>
  </si>
  <si>
    <t>0409129674</t>
    <phoneticPr fontId="3" type="noConversion"/>
  </si>
  <si>
    <t>DHT98E</t>
    <phoneticPr fontId="3" type="noConversion"/>
  </si>
  <si>
    <t>0451101191</t>
    <phoneticPr fontId="3" type="noConversion"/>
  </si>
  <si>
    <t>YIR28P</t>
    <phoneticPr fontId="3" type="noConversion"/>
  </si>
  <si>
    <t>0431742688</t>
    <phoneticPr fontId="3" type="noConversion"/>
  </si>
  <si>
    <t>21122818(5/6)</t>
    <phoneticPr fontId="3" type="noConversion"/>
  </si>
  <si>
    <t>P9999</t>
    <phoneticPr fontId="3" type="noConversion"/>
  </si>
  <si>
    <t>0481855555</t>
    <phoneticPr fontId="3" type="noConversion"/>
  </si>
  <si>
    <t>CS700</t>
    <phoneticPr fontId="3" type="noConversion"/>
  </si>
  <si>
    <t>0477504539</t>
    <phoneticPr fontId="3" type="noConversion"/>
  </si>
  <si>
    <t>YJO17F</t>
    <phoneticPr fontId="3" type="noConversion"/>
  </si>
  <si>
    <t>0458982720</t>
    <phoneticPr fontId="3" type="noConversion"/>
  </si>
  <si>
    <t>DTO79C</t>
    <phoneticPr fontId="3" type="noConversion"/>
  </si>
  <si>
    <t>0483265392</t>
    <phoneticPr fontId="3" type="noConversion"/>
  </si>
  <si>
    <t>EJW57Y</t>
    <phoneticPr fontId="3" type="noConversion"/>
  </si>
  <si>
    <t>0402929999</t>
    <phoneticPr fontId="3" type="noConversion"/>
  </si>
  <si>
    <t>EKH52N</t>
    <phoneticPr fontId="3" type="noConversion"/>
  </si>
  <si>
    <t>0420866899</t>
    <phoneticPr fontId="3" type="noConversion"/>
  </si>
  <si>
    <t>22032(2/6)</t>
    <phoneticPr fontId="3" type="noConversion"/>
  </si>
  <si>
    <t>EDA58E</t>
    <phoneticPr fontId="3" type="noConversion"/>
  </si>
  <si>
    <t>0450816167</t>
    <phoneticPr fontId="3" type="noConversion"/>
  </si>
  <si>
    <t>EGD12N</t>
    <phoneticPr fontId="3" type="noConversion"/>
  </si>
  <si>
    <t>0414730777</t>
    <phoneticPr fontId="3" type="noConversion"/>
  </si>
  <si>
    <t>WSE74A</t>
    <phoneticPr fontId="3" type="noConversion"/>
  </si>
  <si>
    <t>0417259029</t>
    <phoneticPr fontId="3" type="noConversion"/>
  </si>
  <si>
    <t>EPK68N</t>
    <phoneticPr fontId="3" type="noConversion"/>
  </si>
  <si>
    <t>0401754220</t>
    <phoneticPr fontId="3" type="noConversion"/>
  </si>
  <si>
    <t>ELV56T</t>
    <phoneticPr fontId="3" type="noConversion"/>
  </si>
  <si>
    <t>0422035455</t>
    <phoneticPr fontId="3" type="noConversion"/>
  </si>
  <si>
    <t>DBN10R</t>
    <phoneticPr fontId="3" type="noConversion"/>
  </si>
  <si>
    <t>0435891561</t>
    <phoneticPr fontId="3" type="noConversion"/>
  </si>
  <si>
    <t>EAV79J</t>
    <phoneticPr fontId="3" type="noConversion"/>
  </si>
  <si>
    <t>0403277039</t>
    <phoneticPr fontId="3" type="noConversion"/>
  </si>
  <si>
    <t>GV3</t>
    <phoneticPr fontId="3" type="noConversion"/>
  </si>
  <si>
    <t>192655()5-6/6),22061(NEW)</t>
    <phoneticPr fontId="3" type="noConversion"/>
  </si>
  <si>
    <t>EQX19F</t>
    <phoneticPr fontId="3" type="noConversion"/>
  </si>
  <si>
    <t>0451114859</t>
    <phoneticPr fontId="3" type="noConversion"/>
  </si>
  <si>
    <t>BN11UD</t>
    <phoneticPr fontId="3" type="noConversion"/>
  </si>
  <si>
    <t>0408817748</t>
    <phoneticPr fontId="3" type="noConversion"/>
  </si>
  <si>
    <t>ELL53C</t>
    <phoneticPr fontId="3" type="noConversion"/>
  </si>
  <si>
    <t>0432509935</t>
    <phoneticPr fontId="3" type="noConversion"/>
  </si>
  <si>
    <t>DBO92E</t>
    <phoneticPr fontId="3" type="noConversion"/>
  </si>
  <si>
    <t>0452636280</t>
    <phoneticPr fontId="3" type="noConversion"/>
  </si>
  <si>
    <t>EPD61D</t>
    <phoneticPr fontId="3" type="noConversion"/>
  </si>
  <si>
    <t>22020(4/6)</t>
    <phoneticPr fontId="3" type="noConversion"/>
  </si>
  <si>
    <t>EHU87A</t>
    <phoneticPr fontId="3" type="noConversion"/>
  </si>
  <si>
    <t>0420694860</t>
    <phoneticPr fontId="3" type="noConversion"/>
  </si>
  <si>
    <t>21054(6/6),22062(NEW)</t>
    <phoneticPr fontId="3" type="noConversion"/>
  </si>
  <si>
    <t>ECI46J</t>
    <phoneticPr fontId="3" type="noConversion"/>
  </si>
  <si>
    <t>0424559886</t>
    <phoneticPr fontId="3" type="noConversion"/>
  </si>
  <si>
    <t>07-08-2022</t>
    <phoneticPr fontId="3" type="noConversion"/>
  </si>
  <si>
    <t>22004(6/6),22040(NEW)</t>
    <phoneticPr fontId="3" type="noConversion"/>
  </si>
  <si>
    <t>PF888</t>
    <phoneticPr fontId="3" type="noConversion"/>
  </si>
  <si>
    <t>IDR11L</t>
    <phoneticPr fontId="3" type="noConversion"/>
  </si>
  <si>
    <t>0416105510</t>
    <phoneticPr fontId="3" type="noConversion"/>
  </si>
  <si>
    <t>BJ69RS</t>
    <phoneticPr fontId="3" type="noConversion"/>
  </si>
  <si>
    <t>0432638117</t>
    <phoneticPr fontId="3" type="noConversion"/>
  </si>
  <si>
    <t>ECS07C</t>
    <phoneticPr fontId="3" type="noConversion"/>
  </si>
  <si>
    <t>0404113366</t>
    <phoneticPr fontId="3" type="noConversion"/>
  </si>
  <si>
    <t>22053(2/6)</t>
    <phoneticPr fontId="3" type="noConversion"/>
  </si>
  <si>
    <t>DMB76X</t>
    <phoneticPr fontId="3" type="noConversion"/>
  </si>
  <si>
    <t>0406998080</t>
    <phoneticPr fontId="3" type="noConversion"/>
  </si>
  <si>
    <t>NBJ85M</t>
    <phoneticPr fontId="3" type="noConversion"/>
  </si>
  <si>
    <t>0477535312</t>
    <phoneticPr fontId="3" type="noConversion"/>
  </si>
  <si>
    <t>CEC64E</t>
    <phoneticPr fontId="3" type="noConversion"/>
  </si>
  <si>
    <t>0434166888</t>
    <phoneticPr fontId="3" type="noConversion"/>
  </si>
  <si>
    <t>0418645365</t>
    <phoneticPr fontId="3" type="noConversion"/>
  </si>
  <si>
    <t>0431875158</t>
    <phoneticPr fontId="3" type="noConversion"/>
  </si>
  <si>
    <t>22013(3/6)</t>
    <phoneticPr fontId="3" type="noConversion"/>
  </si>
  <si>
    <t>EQQ61U</t>
    <phoneticPr fontId="3" type="noConversion"/>
  </si>
  <si>
    <t>0420985202</t>
    <phoneticPr fontId="3" type="noConversion"/>
  </si>
  <si>
    <t>EUD97J</t>
    <phoneticPr fontId="3" type="noConversion"/>
  </si>
  <si>
    <t>0414509793</t>
    <phoneticPr fontId="3" type="noConversion"/>
  </si>
  <si>
    <t>ERY93F</t>
    <phoneticPr fontId="3" type="noConversion"/>
  </si>
  <si>
    <t>0468949433</t>
    <phoneticPr fontId="3" type="noConversion"/>
  </si>
  <si>
    <t>EEB90G</t>
    <phoneticPr fontId="3" type="noConversion"/>
  </si>
  <si>
    <t>0400914200</t>
    <phoneticPr fontId="3" type="noConversion"/>
  </si>
  <si>
    <t>22063(1/6)</t>
    <phoneticPr fontId="3" type="noConversion"/>
  </si>
  <si>
    <t>CJE47U</t>
    <phoneticPr fontId="3" type="noConversion"/>
  </si>
  <si>
    <t>0434342612</t>
    <phoneticPr fontId="3" type="noConversion"/>
  </si>
  <si>
    <t>BZD29T</t>
    <phoneticPr fontId="3" type="noConversion"/>
  </si>
  <si>
    <t>0412373911</t>
    <phoneticPr fontId="3" type="noConversion"/>
  </si>
  <si>
    <t>OSMEN</t>
    <phoneticPr fontId="3" type="noConversion"/>
  </si>
  <si>
    <t>0488181888</t>
    <phoneticPr fontId="3" type="noConversion"/>
  </si>
  <si>
    <t>22064(1/6)</t>
    <phoneticPr fontId="3" type="noConversion"/>
  </si>
  <si>
    <t>0481162703</t>
    <phoneticPr fontId="3" type="noConversion"/>
  </si>
  <si>
    <t>ETQ39Y</t>
    <phoneticPr fontId="3" type="noConversion"/>
  </si>
  <si>
    <t>0452255040</t>
    <phoneticPr fontId="3" type="noConversion"/>
  </si>
  <si>
    <t>EKY86R</t>
    <phoneticPr fontId="3" type="noConversion"/>
  </si>
  <si>
    <t>0408673516</t>
    <phoneticPr fontId="3" type="noConversion"/>
  </si>
  <si>
    <t>22041(1/6)</t>
    <phoneticPr fontId="3" type="noConversion"/>
  </si>
  <si>
    <t>GBI</t>
    <phoneticPr fontId="3" type="noConversion"/>
  </si>
  <si>
    <t>0415888891</t>
    <phoneticPr fontId="3" type="noConversion"/>
  </si>
  <si>
    <t>CCC868</t>
    <phoneticPr fontId="3" type="noConversion"/>
  </si>
  <si>
    <t>0423624668</t>
    <phoneticPr fontId="3" type="noConversion"/>
  </si>
  <si>
    <t>BH89FQ</t>
    <phoneticPr fontId="3" type="noConversion"/>
  </si>
  <si>
    <t>0420915579</t>
    <phoneticPr fontId="3" type="noConversion"/>
  </si>
  <si>
    <t>BGI557</t>
    <phoneticPr fontId="3" type="noConversion"/>
  </si>
  <si>
    <t>0429892228</t>
    <phoneticPr fontId="3" type="noConversion"/>
  </si>
  <si>
    <t>600AAA</t>
    <phoneticPr fontId="3" type="noConversion"/>
  </si>
  <si>
    <t>0472999555</t>
    <phoneticPr fontId="3" type="noConversion"/>
  </si>
  <si>
    <t>????</t>
    <phoneticPr fontId="3" type="noConversion"/>
  </si>
  <si>
    <t>HARIANTO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</si>
</sst>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24" formatCode="\$#,##0_);[Red]\(\$#,##0\)"/>
    <numFmt numFmtId="26" formatCode="\$#,##0.00_);[Red]\(\$#,##0.00\)"/>
    <numFmt numFmtId="176" formatCode="\$#,##0.00"/>
    <numFmt numFmtId="177" formatCode="h:mm;@"/>
    <numFmt numFmtId="178" formatCode="0.00_);[Red]\(0.00\)"/>
    <numFmt numFmtId="179" formatCode="0_);[Red]\(0\)"/>
    <numFmt numFmtId="180" formatCode="0.00_ "/>
    <numFmt numFmtId="181" formatCode="#,##0.0;[Red]#,##0.0"/>
    <numFmt numFmtId="182" formatCode="[$$-C09]#,##0.00"/>
    <numFmt numFmtId="183" formatCode="_-\$* #,##0.00_ ;_-\$* \-#,##0.00\ ;_-\$* &quot;-&quot;??_ ;_-@_ "/>
    <numFmt numFmtId="184" formatCode="#,##0.00_);[Red]\(#,##0.00\)"/>
  </numFmts>
  <fonts count="2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7" fillId="3" borderId="33" applyNumberFormat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4" borderId="36" applyNumberFormat="0" applyAlignment="0" applyProtection="0">
      <alignment vertical="center"/>
    </xf>
    <xf numFmtId="0" fontId="23" fillId="14" borderId="0" applyNumberFormat="0" applyBorder="0" applyAlignment="0" applyProtection="0">
      <alignment vertical="center"/>
    </xf>
  </cellStyleXfs>
  <cellXfs count="760">
    <xf numFmtId="0" fontId="0" fillId="0" borderId="0" xfId="0"/>
    <xf numFmtId="0" fontId="0" fillId="0" borderId="10" xfId="0" applyBorder="1"/>
    <xf numFmtId="177" fontId="0" fillId="0" borderId="3" xfId="0" applyNumberFormat="1" applyBorder="1"/>
    <xf numFmtId="177" fontId="0" fillId="0" borderId="5" xfId="0" applyNumberFormat="1" applyBorder="1"/>
    <xf numFmtId="178" fontId="0" fillId="0" borderId="16" xfId="0" applyNumberFormat="1" applyBorder="1"/>
    <xf numFmtId="0" fontId="0" fillId="0" borderId="9" xfId="0" applyBorder="1"/>
    <xf numFmtId="177" fontId="0" fillId="0" borderId="1" xfId="0" applyNumberFormat="1" applyBorder="1"/>
    <xf numFmtId="177" fontId="0" fillId="0" borderId="2" xfId="0" applyNumberFormat="1" applyBorder="1"/>
    <xf numFmtId="178" fontId="0" fillId="0" borderId="15" xfId="0" applyNumberFormat="1" applyBorder="1"/>
    <xf numFmtId="0" fontId="0" fillId="0" borderId="25" xfId="0" applyBorder="1" applyAlignment="1">
      <alignment shrinkToFit="1"/>
    </xf>
    <xf numFmtId="177" fontId="0" fillId="0" borderId="25" xfId="0" applyNumberFormat="1" applyBorder="1" applyAlignment="1">
      <alignment shrinkToFit="1"/>
    </xf>
    <xf numFmtId="178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79" fontId="0" fillId="2" borderId="4" xfId="0" applyNumberFormat="1" applyFill="1" applyBorder="1" applyAlignment="1">
      <alignment horizontal="center" vertical="center" shrinkToFit="1"/>
    </xf>
    <xf numFmtId="0" fontId="0" fillId="0" borderId="0" xfId="0" applyBorder="1" applyAlignment="1">
      <alignment shrinkToFit="1"/>
    </xf>
    <xf numFmtId="0" fontId="0" fillId="0" borderId="31" xfId="0" applyBorder="1" applyAlignment="1">
      <alignment shrinkToFit="1"/>
    </xf>
    <xf numFmtId="42" fontId="6" fillId="0" borderId="1" xfId="2" applyFont="1" applyFill="1" applyBorder="1" applyAlignment="1">
      <alignment vertical="center" shrinkToFit="1"/>
    </xf>
    <xf numFmtId="0" fontId="0" fillId="0" borderId="0" xfId="0" applyFill="1" applyBorder="1" applyAlignment="1">
      <alignment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5" fillId="0" borderId="1" xfId="3" applyFont="1" applyFill="1" applyBorder="1" applyAlignment="1">
      <alignment horizontal="center" shrinkToFit="1"/>
    </xf>
    <xf numFmtId="182" fontId="0" fillId="0" borderId="1" xfId="0" applyNumberFormat="1" applyFill="1" applyBorder="1" applyAlignment="1">
      <alignment shrinkToFit="1"/>
    </xf>
    <xf numFmtId="0" fontId="0" fillId="0" borderId="1" xfId="0" applyFill="1" applyBorder="1" applyAlignment="1">
      <alignment shrinkToFit="1"/>
    </xf>
    <xf numFmtId="182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2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5" fillId="0" borderId="1" xfId="3" applyFont="1" applyFill="1" applyBorder="1" applyAlignment="1">
      <alignment horizontal="left" shrinkToFit="1"/>
    </xf>
    <xf numFmtId="0" fontId="15" fillId="0" borderId="1" xfId="3" applyFont="1" applyFill="1" applyBorder="1" applyAlignment="1">
      <alignment shrinkToFit="1"/>
    </xf>
    <xf numFmtId="26" fontId="13" fillId="0" borderId="0" xfId="0" applyNumberFormat="1" applyFont="1" applyFill="1" applyBorder="1" applyAlignment="1">
      <alignment shrinkToFit="1"/>
    </xf>
    <xf numFmtId="0" fontId="15" fillId="0" borderId="40" xfId="3" applyFont="1" applyFill="1" applyBorder="1" applyAlignment="1">
      <alignment horizontal="left" shrinkToFit="1"/>
    </xf>
    <xf numFmtId="177" fontId="0" fillId="2" borderId="4" xfId="0" applyNumberFormat="1" applyFill="1" applyBorder="1" applyAlignment="1">
      <alignment horizontal="center" shrinkToFit="1"/>
    </xf>
    <xf numFmtId="177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5" fillId="0" borderId="26" xfId="3" applyFont="1" applyFill="1" applyBorder="1" applyAlignment="1">
      <alignment shrinkToFit="1"/>
    </xf>
    <xf numFmtId="0" fontId="0" fillId="0" borderId="0" xfId="0" applyAlignment="1">
      <alignment shrinkToFit="1"/>
    </xf>
    <xf numFmtId="0" fontId="0" fillId="5" borderId="0" xfId="0" applyFill="1" applyAlignment="1">
      <alignment shrinkToFit="1"/>
    </xf>
    <xf numFmtId="0" fontId="0" fillId="0" borderId="0" xfId="0" applyFill="1" applyAlignment="1">
      <alignment shrinkToFit="1"/>
    </xf>
    <xf numFmtId="182" fontId="0" fillId="0" borderId="0" xfId="0" applyNumberFormat="1" applyFill="1" applyBorder="1" applyAlignment="1">
      <alignment shrinkToFit="1"/>
    </xf>
    <xf numFmtId="178" fontId="0" fillId="0" borderId="0" xfId="0" applyNumberFormat="1" applyAlignment="1">
      <alignment shrinkToFit="1"/>
    </xf>
    <xf numFmtId="178" fontId="0" fillId="0" borderId="0" xfId="0" applyNumberFormat="1" applyFill="1" applyAlignment="1">
      <alignment shrinkToFit="1"/>
    </xf>
    <xf numFmtId="0" fontId="0" fillId="0" borderId="0" xfId="0" applyFill="1" applyBorder="1" applyAlignment="1">
      <alignment horizontal="left" shrinkToFit="1"/>
    </xf>
    <xf numFmtId="176" fontId="0" fillId="0" borderId="0" xfId="0" applyNumberFormat="1" applyFill="1" applyBorder="1" applyAlignment="1">
      <alignment shrinkToFit="1"/>
    </xf>
    <xf numFmtId="26" fontId="0" fillId="0" borderId="0" xfId="0" applyNumberFormat="1" applyFill="1" applyBorder="1" applyAlignment="1">
      <alignment shrinkToFit="1"/>
    </xf>
    <xf numFmtId="176" fontId="0" fillId="0" borderId="0" xfId="0" applyNumberFormat="1" applyAlignment="1">
      <alignment shrinkToFit="1"/>
    </xf>
    <xf numFmtId="182" fontId="0" fillId="0" borderId="1" xfId="0" applyNumberFormat="1" applyBorder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Border="1" applyAlignment="1">
      <alignment horizontal="left" shrinkToFit="1"/>
    </xf>
    <xf numFmtId="180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2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26" fontId="0" fillId="0" borderId="0" xfId="0" applyNumberFormat="1" applyFill="1" applyAlignment="1">
      <alignment shrinkToFit="1"/>
    </xf>
    <xf numFmtId="181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26" fontId="0" fillId="0" borderId="0" xfId="0" applyNumberFormat="1" applyAlignment="1">
      <alignment shrinkToFit="1"/>
    </xf>
    <xf numFmtId="180" fontId="0" fillId="0" borderId="1" xfId="0" applyNumberFormat="1" applyBorder="1" applyAlignment="1">
      <alignment shrinkToFit="1"/>
    </xf>
    <xf numFmtId="0" fontId="4" fillId="0" borderId="1" xfId="0" applyFont="1" applyBorder="1" applyAlignment="1">
      <alignment shrinkToFit="1"/>
    </xf>
    <xf numFmtId="26" fontId="4" fillId="0" borderId="1" xfId="0" applyNumberFormat="1" applyFont="1" applyBorder="1" applyAlignment="1">
      <alignment shrinkToFit="1"/>
    </xf>
    <xf numFmtId="182" fontId="0" fillId="0" borderId="0" xfId="0" applyNumberFormat="1" applyFill="1" applyAlignment="1">
      <alignment shrinkToFit="1"/>
    </xf>
    <xf numFmtId="0" fontId="4" fillId="0" borderId="13" xfId="0" applyFont="1" applyBorder="1" applyAlignment="1">
      <alignment shrinkToFit="1"/>
    </xf>
    <xf numFmtId="0" fontId="4" fillId="0" borderId="14" xfId="0" applyFont="1" applyBorder="1" applyAlignment="1">
      <alignment shrinkToFit="1"/>
    </xf>
    <xf numFmtId="177" fontId="0" fillId="0" borderId="0" xfId="0" applyNumberFormat="1" applyAlignment="1">
      <alignment shrinkToFit="1"/>
    </xf>
    <xf numFmtId="0" fontId="10" fillId="0" borderId="1" xfId="0" applyFont="1" applyBorder="1" applyAlignment="1">
      <alignment horizontal="left" shrinkToFit="1"/>
    </xf>
    <xf numFmtId="0" fontId="13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8" fontId="15" fillId="0" borderId="4" xfId="0" applyNumberFormat="1" applyFont="1" applyBorder="1" applyAlignment="1">
      <alignment horizontal="center" shrinkToFit="1"/>
    </xf>
    <xf numFmtId="0" fontId="4" fillId="0" borderId="28" xfId="0" applyFont="1" applyBorder="1" applyAlignment="1">
      <alignment shrinkToFit="1"/>
    </xf>
    <xf numFmtId="176" fontId="6" fillId="0" borderId="1" xfId="0" applyNumberFormat="1" applyFont="1" applyBorder="1" applyAlignment="1">
      <alignment vertical="center" shrinkToFit="1"/>
    </xf>
    <xf numFmtId="176" fontId="6" fillId="0" borderId="15" xfId="0" applyNumberFormat="1" applyFont="1" applyBorder="1" applyAlignment="1">
      <alignment vertical="center" shrinkToFit="1"/>
    </xf>
    <xf numFmtId="26" fontId="6" fillId="0" borderId="1" xfId="0" applyNumberFormat="1" applyFont="1" applyBorder="1" applyAlignment="1">
      <alignment vertical="center" shrinkToFit="1"/>
    </xf>
    <xf numFmtId="26" fontId="6" fillId="0" borderId="15" xfId="0" applyNumberFormat="1" applyFont="1" applyBorder="1" applyAlignment="1">
      <alignment vertical="center" shrinkToFit="1"/>
    </xf>
    <xf numFmtId="24" fontId="6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6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6" fillId="0" borderId="9" xfId="0" applyNumberFormat="1" applyFont="1" applyBorder="1" applyAlignment="1">
      <alignment vertical="center" shrinkToFit="1"/>
    </xf>
    <xf numFmtId="0" fontId="0" fillId="0" borderId="42" xfId="0" applyBorder="1"/>
    <xf numFmtId="178" fontId="4" fillId="6" borderId="12" xfId="0" applyNumberFormat="1" applyFont="1" applyFill="1" applyBorder="1" applyAlignment="1">
      <alignment shrinkToFit="1"/>
    </xf>
    <xf numFmtId="178" fontId="4" fillId="6" borderId="12" xfId="0" applyNumberFormat="1" applyFont="1" applyFill="1" applyBorder="1" applyAlignment="1">
      <alignment horizontal="center" shrinkToFit="1"/>
    </xf>
    <xf numFmtId="177" fontId="4" fillId="6" borderId="12" xfId="0" applyNumberFormat="1" applyFont="1" applyFill="1" applyBorder="1" applyAlignment="1">
      <alignment shrinkToFit="1"/>
    </xf>
    <xf numFmtId="177" fontId="4" fillId="6" borderId="12" xfId="0" applyNumberFormat="1" applyFont="1" applyFill="1" applyBorder="1" applyAlignment="1">
      <alignment horizontal="center" shrinkToFit="1"/>
    </xf>
    <xf numFmtId="0" fontId="4" fillId="6" borderId="41" xfId="0" applyFont="1" applyFill="1" applyBorder="1" applyAlignment="1">
      <alignment horizontal="center" shrinkToFit="1"/>
    </xf>
    <xf numFmtId="177" fontId="4" fillId="6" borderId="41" xfId="0" applyNumberFormat="1" applyFont="1" applyFill="1" applyBorder="1" applyAlignment="1">
      <alignment horizontal="center" shrinkToFit="1"/>
    </xf>
    <xf numFmtId="178" fontId="4" fillId="6" borderId="41" xfId="0" applyNumberFormat="1" applyFont="1" applyFill="1" applyBorder="1" applyAlignment="1">
      <alignment horizontal="center" shrinkToFit="1"/>
    </xf>
    <xf numFmtId="178" fontId="15" fillId="2" borderId="1" xfId="3" applyNumberFormat="1" applyFont="1" applyFill="1" applyBorder="1" applyAlignment="1">
      <alignment horizontal="center" shrinkToFit="1"/>
    </xf>
    <xf numFmtId="178" fontId="0" fillId="2" borderId="1" xfId="0" applyNumberFormat="1" applyFill="1" applyBorder="1" applyAlignment="1">
      <alignment horizontal="center" shrinkToFit="1"/>
    </xf>
    <xf numFmtId="178" fontId="13" fillId="0" borderId="4" xfId="0" applyNumberFormat="1" applyFont="1" applyBorder="1" applyAlignment="1">
      <alignment horizontal="center" shrinkToFit="1"/>
    </xf>
    <xf numFmtId="178" fontId="0" fillId="6" borderId="20" xfId="0" applyNumberFormat="1" applyFill="1" applyBorder="1" applyAlignment="1">
      <alignment horizontal="center" shrinkToFit="1"/>
    </xf>
    <xf numFmtId="0" fontId="13" fillId="6" borderId="52" xfId="0" applyFont="1" applyFill="1" applyBorder="1" applyAlignment="1">
      <alignment horizontal="left" shrinkToFit="1"/>
    </xf>
    <xf numFmtId="179" fontId="13" fillId="6" borderId="50" xfId="0" applyNumberFormat="1" applyFont="1" applyFill="1" applyBorder="1" applyAlignment="1">
      <alignment horizontal="center" vertical="center" shrinkToFit="1"/>
    </xf>
    <xf numFmtId="179" fontId="10" fillId="6" borderId="53" xfId="0" applyNumberFormat="1" applyFont="1" applyFill="1" applyBorder="1" applyAlignment="1">
      <alignment horizontal="left" shrinkToFit="1"/>
    </xf>
    <xf numFmtId="0" fontId="4" fillId="6" borderId="28" xfId="0" applyFont="1" applyFill="1" applyBorder="1" applyAlignment="1">
      <alignment horizontal="center" shrinkToFit="1"/>
    </xf>
    <xf numFmtId="178" fontId="4" fillId="6" borderId="1" xfId="0" applyNumberFormat="1" applyFont="1" applyFill="1" applyBorder="1" applyAlignment="1">
      <alignment horizontal="center" shrinkToFit="1"/>
    </xf>
    <xf numFmtId="176" fontId="4" fillId="6" borderId="13" xfId="0" applyNumberFormat="1" applyFont="1" applyFill="1" applyBorder="1" applyAlignment="1">
      <alignment horizontal="center" vertical="center" shrinkToFit="1"/>
    </xf>
    <xf numFmtId="176" fontId="4" fillId="6" borderId="10" xfId="0" applyNumberFormat="1" applyFont="1" applyFill="1" applyBorder="1" applyAlignment="1">
      <alignment horizontal="center" vertical="center" shrinkToFit="1"/>
    </xf>
    <xf numFmtId="0" fontId="13" fillId="6" borderId="19" xfId="0" applyFont="1" applyFill="1" applyBorder="1" applyAlignment="1">
      <alignment horizontal="center" shrinkToFit="1"/>
    </xf>
    <xf numFmtId="0" fontId="13" fillId="6" borderId="4" xfId="0" applyFont="1" applyFill="1" applyBorder="1" applyAlignment="1">
      <alignment horizontal="center" shrinkToFit="1"/>
    </xf>
    <xf numFmtId="0" fontId="14" fillId="6" borderId="3" xfId="0" applyFont="1" applyFill="1" applyBorder="1" applyAlignment="1">
      <alignment horizontal="center" shrinkToFit="1"/>
    </xf>
    <xf numFmtId="180" fontId="4" fillId="6" borderId="1" xfId="0" applyNumberFormat="1" applyFont="1" applyFill="1" applyBorder="1" applyAlignment="1">
      <alignment horizontal="center" shrinkToFit="1"/>
    </xf>
    <xf numFmtId="179" fontId="4" fillId="6" borderId="1" xfId="0" applyNumberFormat="1" applyFont="1" applyFill="1" applyBorder="1" applyAlignment="1">
      <alignment horizontal="center" shrinkToFit="1"/>
    </xf>
    <xf numFmtId="180" fontId="4" fillId="6" borderId="14" xfId="0" applyNumberFormat="1" applyFont="1" applyFill="1" applyBorder="1" applyAlignment="1">
      <alignment horizontal="center" shrinkToFit="1"/>
    </xf>
    <xf numFmtId="178" fontId="4" fillId="6" borderId="14" xfId="0" applyNumberFormat="1" applyFont="1" applyFill="1" applyBorder="1" applyAlignment="1">
      <alignment horizontal="center" shrinkToFit="1"/>
    </xf>
    <xf numFmtId="176" fontId="4" fillId="6" borderId="3" xfId="0" applyNumberFormat="1" applyFont="1" applyFill="1" applyBorder="1" applyAlignment="1">
      <alignment horizontal="center" shrinkToFit="1"/>
    </xf>
    <xf numFmtId="180" fontId="4" fillId="6" borderId="3" xfId="0" applyNumberFormat="1" applyFont="1" applyFill="1" applyBorder="1" applyAlignment="1">
      <alignment horizontal="center" shrinkToFit="1"/>
    </xf>
    <xf numFmtId="179" fontId="8" fillId="6" borderId="3" xfId="1" applyNumberFormat="1" applyFont="1" applyFill="1" applyBorder="1" applyAlignment="1">
      <alignment horizontal="center" vertical="center"/>
    </xf>
    <xf numFmtId="9" fontId="4" fillId="6" borderId="5" xfId="0" applyNumberFormat="1" applyFont="1" applyFill="1" applyBorder="1" applyAlignment="1">
      <alignment horizontal="center" shrinkToFit="1"/>
    </xf>
    <xf numFmtId="178" fontId="16" fillId="6" borderId="28" xfId="0" applyNumberFormat="1" applyFont="1" applyFill="1" applyBorder="1" applyAlignment="1">
      <alignment horizontal="center" vertical="center" shrinkToFit="1"/>
    </xf>
    <xf numFmtId="180" fontId="14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7" fontId="0" fillId="0" borderId="11" xfId="0" applyNumberFormat="1" applyBorder="1" applyAlignment="1">
      <alignment shrinkToFit="1"/>
    </xf>
    <xf numFmtId="178" fontId="0" fillId="0" borderId="38" xfId="0" applyNumberFormat="1" applyBorder="1" applyAlignment="1">
      <alignment shrinkToFit="1"/>
    </xf>
    <xf numFmtId="184" fontId="13" fillId="6" borderId="50" xfId="0" applyNumberFormat="1" applyFont="1" applyFill="1" applyBorder="1" applyAlignment="1">
      <alignment shrinkToFit="1"/>
    </xf>
    <xf numFmtId="179" fontId="4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3" fillId="0" borderId="1" xfId="0" applyFont="1" applyBorder="1" applyAlignment="1">
      <alignment horizontal="center" shrinkToFit="1"/>
    </xf>
    <xf numFmtId="0" fontId="13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0" fillId="0" borderId="4" xfId="0" applyFont="1" applyBorder="1" applyAlignment="1">
      <alignment horizontal="center" shrinkToFit="1"/>
    </xf>
    <xf numFmtId="178" fontId="15" fillId="0" borderId="1" xfId="3" applyNumberFormat="1" applyFont="1" applyFill="1" applyBorder="1" applyAlignment="1">
      <alignment horizontal="center" shrinkToFit="1"/>
    </xf>
    <xf numFmtId="178" fontId="1" fillId="0" borderId="4" xfId="0" applyNumberFormat="1" applyFont="1" applyBorder="1" applyAlignment="1">
      <alignment horizontal="center" shrinkToFit="1"/>
    </xf>
    <xf numFmtId="178" fontId="1" fillId="0" borderId="1" xfId="0" applyNumberFormat="1" applyFont="1" applyBorder="1" applyAlignment="1">
      <alignment horizontal="center" shrinkToFit="1"/>
    </xf>
    <xf numFmtId="178" fontId="15" fillId="2" borderId="4" xfId="0" applyNumberFormat="1" applyFont="1" applyFill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2" fillId="0" borderId="19" xfId="0" applyFont="1" applyBorder="1" applyAlignment="1">
      <alignment horizontal="center" shrinkToFit="1"/>
    </xf>
    <xf numFmtId="0" fontId="1" fillId="2" borderId="4" xfId="0" applyFont="1" applyFill="1" applyBorder="1" applyAlignment="1">
      <alignment horizontal="center" shrinkToFit="1"/>
    </xf>
    <xf numFmtId="178" fontId="1" fillId="6" borderId="4" xfId="0" applyNumberFormat="1" applyFont="1" applyFill="1" applyBorder="1" applyAlignment="1">
      <alignment horizontal="center" shrinkToFit="1"/>
    </xf>
    <xf numFmtId="178" fontId="15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1" fillId="2" borderId="1" xfId="0" applyFont="1" applyFill="1" applyBorder="1" applyAlignment="1">
      <alignment horizontal="center" shrinkToFit="1"/>
    </xf>
    <xf numFmtId="0" fontId="6" fillId="2" borderId="1" xfId="0" applyFont="1" applyFill="1" applyBorder="1" applyAlignment="1">
      <alignment horizontal="left" shrinkToFit="1"/>
    </xf>
    <xf numFmtId="0" fontId="2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3" fillId="0" borderId="13" xfId="0" applyFont="1" applyBorder="1" applyAlignment="1">
      <alignment horizontal="left" shrinkToFit="1"/>
    </xf>
    <xf numFmtId="179" fontId="13" fillId="0" borderId="14" xfId="0" applyNumberFormat="1" applyFont="1" applyBorder="1" applyAlignment="1">
      <alignment horizontal="center" vertical="center" shrinkToFit="1"/>
    </xf>
    <xf numFmtId="26" fontId="13" fillId="0" borderId="14" xfId="0" applyNumberFormat="1" applyFont="1" applyBorder="1" applyAlignment="1">
      <alignment shrinkToFit="1"/>
    </xf>
    <xf numFmtId="179" fontId="6" fillId="0" borderId="28" xfId="0" applyNumberFormat="1" applyFont="1" applyBorder="1" applyAlignment="1">
      <alignment vertical="center" shrinkToFit="1"/>
    </xf>
    <xf numFmtId="178" fontId="1" fillId="2" borderId="1" xfId="0" applyNumberFormat="1" applyFont="1" applyFill="1" applyBorder="1" applyAlignment="1">
      <alignment horizontal="center" shrinkToFit="1"/>
    </xf>
    <xf numFmtId="0" fontId="2" fillId="2" borderId="9" xfId="0" applyFont="1" applyFill="1" applyBorder="1" applyAlignment="1">
      <alignment horizontal="center" shrinkToFit="1"/>
    </xf>
    <xf numFmtId="0" fontId="16" fillId="6" borderId="7" xfId="0" applyFont="1" applyFill="1" applyBorder="1" applyAlignment="1">
      <alignment horizontal="center" shrinkToFit="1"/>
    </xf>
    <xf numFmtId="0" fontId="16" fillId="6" borderId="8" xfId="0" applyFont="1" applyFill="1" applyBorder="1" applyAlignment="1">
      <alignment horizontal="center" shrinkToFit="1"/>
    </xf>
    <xf numFmtId="178" fontId="4" fillId="6" borderId="48" xfId="0" applyNumberFormat="1" applyFont="1" applyFill="1" applyBorder="1" applyAlignment="1">
      <alignment vertical="center" shrinkToFit="1"/>
    </xf>
    <xf numFmtId="178" fontId="13" fillId="0" borderId="47" xfId="0" applyNumberFormat="1" applyFont="1" applyBorder="1" applyAlignment="1">
      <alignment shrinkToFit="1"/>
    </xf>
    <xf numFmtId="0" fontId="2" fillId="0" borderId="54" xfId="0" applyFont="1" applyBorder="1" applyAlignment="1">
      <alignment horizontal="center" shrinkToFit="1"/>
    </xf>
    <xf numFmtId="178" fontId="0" fillId="2" borderId="11" xfId="0" applyNumberFormat="1" applyFill="1" applyBorder="1" applyAlignment="1">
      <alignment horizontal="center" shrinkToFit="1"/>
    </xf>
    <xf numFmtId="178" fontId="15" fillId="0" borderId="40" xfId="0" applyNumberFormat="1" applyFont="1" applyBorder="1" applyAlignment="1">
      <alignment horizontal="center" shrinkToFit="1"/>
    </xf>
    <xf numFmtId="178" fontId="13" fillId="0" borderId="17" xfId="0" applyNumberFormat="1" applyFont="1" applyBorder="1" applyAlignment="1">
      <alignment shrinkToFit="1"/>
    </xf>
    <xf numFmtId="178" fontId="13" fillId="0" borderId="49" xfId="0" applyNumberFormat="1" applyFont="1" applyBorder="1" applyAlignment="1">
      <alignment shrinkToFit="1"/>
    </xf>
    <xf numFmtId="0" fontId="2" fillId="0" borderId="13" xfId="0" applyFont="1" applyBorder="1" applyAlignment="1">
      <alignment horizontal="center" shrinkToFit="1"/>
    </xf>
    <xf numFmtId="0" fontId="22" fillId="0" borderId="1" xfId="0" applyFont="1" applyBorder="1" applyAlignment="1">
      <alignment horizontal="center"/>
    </xf>
    <xf numFmtId="0" fontId="16" fillId="13" borderId="7" xfId="0" applyFont="1" applyFill="1" applyBorder="1" applyAlignment="1">
      <alignment horizontal="center" shrinkToFit="1"/>
    </xf>
    <xf numFmtId="177" fontId="16" fillId="13" borderId="8" xfId="0" applyNumberFormat="1" applyFont="1" applyFill="1" applyBorder="1" applyAlignment="1">
      <alignment horizontal="center" shrinkToFit="1"/>
    </xf>
    <xf numFmtId="178" fontId="16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2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79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6" fillId="13" borderId="50" xfId="0" applyFont="1" applyFill="1" applyBorder="1" applyAlignment="1">
      <alignment horizontal="center" shrinkToFit="1"/>
    </xf>
    <xf numFmtId="178" fontId="1" fillId="0" borderId="26" xfId="0" applyNumberFormat="1" applyFont="1" applyBorder="1" applyAlignment="1">
      <alignment horizontal="center" shrinkToFit="1"/>
    </xf>
    <xf numFmtId="178" fontId="15" fillId="0" borderId="61" xfId="3" applyNumberFormat="1" applyFont="1" applyFill="1" applyBorder="1" applyAlignment="1">
      <alignment horizontal="center" shrinkToFit="1"/>
    </xf>
    <xf numFmtId="179" fontId="6" fillId="0" borderId="39" xfId="0" applyNumberFormat="1" applyFont="1" applyBorder="1" applyAlignment="1">
      <alignment horizontal="left"/>
    </xf>
    <xf numFmtId="179" fontId="6" fillId="0" borderId="26" xfId="0" applyNumberFormat="1" applyFont="1" applyBorder="1" applyAlignment="1">
      <alignment horizontal="left"/>
    </xf>
    <xf numFmtId="179" fontId="13" fillId="0" borderId="26" xfId="0" applyNumberFormat="1" applyFont="1" applyBorder="1" applyAlignment="1">
      <alignment horizontal="left"/>
    </xf>
    <xf numFmtId="0" fontId="13" fillId="0" borderId="26" xfId="0" applyFont="1" applyBorder="1" applyAlignment="1">
      <alignment horizontal="left" shrinkToFit="1"/>
    </xf>
    <xf numFmtId="0" fontId="6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5" fillId="0" borderId="26" xfId="3" applyFont="1" applyFill="1" applyBorder="1" applyAlignment="1">
      <alignment horizontal="left" shrinkToFit="1"/>
    </xf>
    <xf numFmtId="0" fontId="15" fillId="0" borderId="46" xfId="3" applyFont="1" applyFill="1" applyBorder="1" applyAlignment="1">
      <alignment horizontal="left" shrinkToFit="1"/>
    </xf>
    <xf numFmtId="0" fontId="6" fillId="0" borderId="26" xfId="0" applyFont="1" applyBorder="1" applyAlignment="1">
      <alignment horizontal="left"/>
    </xf>
    <xf numFmtId="0" fontId="13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5" fillId="0" borderId="2" xfId="3" applyNumberFormat="1" applyFont="1" applyFill="1" applyBorder="1" applyAlignment="1">
      <alignment horizontal="left" shrinkToFit="1"/>
    </xf>
    <xf numFmtId="49" fontId="10" fillId="0" borderId="2" xfId="0" applyNumberFormat="1" applyFont="1" applyBorder="1" applyAlignment="1">
      <alignment horizontal="left" shrinkToFit="1"/>
    </xf>
    <xf numFmtId="49" fontId="15" fillId="0" borderId="2" xfId="3" applyNumberFormat="1" applyFont="1" applyFill="1" applyBorder="1" applyAlignment="1">
      <alignment shrinkToFit="1"/>
    </xf>
    <xf numFmtId="49" fontId="13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5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6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4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5" fillId="0" borderId="40" xfId="3" applyNumberFormat="1" applyFont="1" applyFill="1" applyBorder="1" applyAlignment="1">
      <alignment horizontal="left" shrinkToFit="1"/>
    </xf>
    <xf numFmtId="49" fontId="15" fillId="0" borderId="45" xfId="3" applyNumberFormat="1" applyFont="1" applyFill="1" applyBorder="1" applyAlignment="1">
      <alignment horizontal="left" shrinkToFit="1"/>
    </xf>
    <xf numFmtId="49" fontId="24" fillId="0" borderId="2" xfId="0" applyNumberFormat="1" applyFont="1" applyBorder="1" applyAlignment="1">
      <alignment horizontal="left"/>
    </xf>
    <xf numFmtId="49" fontId="25" fillId="0" borderId="2" xfId="0" applyNumberFormat="1" applyFont="1" applyBorder="1" applyAlignment="1">
      <alignment horizontal="left" shrinkToFit="1"/>
    </xf>
    <xf numFmtId="49" fontId="25" fillId="0" borderId="2" xfId="3" applyNumberFormat="1" applyFont="1" applyFill="1" applyBorder="1" applyAlignment="1">
      <alignment shrinkToFit="1"/>
    </xf>
    <xf numFmtId="49" fontId="24" fillId="0" borderId="29" xfId="0" applyNumberFormat="1" applyFont="1" applyBorder="1"/>
    <xf numFmtId="49" fontId="25" fillId="0" borderId="2" xfId="0" applyNumberFormat="1" applyFont="1" applyBorder="1" applyAlignment="1">
      <alignment shrinkToFit="1"/>
    </xf>
    <xf numFmtId="49" fontId="24" fillId="0" borderId="37" xfId="0" applyNumberFormat="1" applyFont="1" applyBorder="1" applyAlignment="1">
      <alignment horizontal="left" shrinkToFit="1"/>
    </xf>
    <xf numFmtId="49" fontId="24" fillId="0" borderId="2" xfId="0" applyNumberFormat="1" applyFont="1" applyBorder="1" applyAlignment="1">
      <alignment shrinkToFit="1"/>
    </xf>
    <xf numFmtId="49" fontId="24" fillId="2" borderId="2" xfId="0" applyNumberFormat="1" applyFont="1" applyFill="1" applyBorder="1" applyAlignment="1">
      <alignment shrinkToFit="1"/>
    </xf>
    <xf numFmtId="49" fontId="24" fillId="0" borderId="2" xfId="0" applyNumberFormat="1" applyFont="1" applyBorder="1" applyAlignment="1">
      <alignment horizontal="left" shrinkToFit="1"/>
    </xf>
    <xf numFmtId="49" fontId="25" fillId="0" borderId="2" xfId="3" applyNumberFormat="1" applyFont="1" applyFill="1" applyBorder="1" applyAlignment="1">
      <alignment horizontal="left" shrinkToFit="1"/>
    </xf>
    <xf numFmtId="49" fontId="25" fillId="0" borderId="29" xfId="3" applyNumberFormat="1" applyFont="1" applyFill="1" applyBorder="1" applyAlignment="1">
      <alignment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178" fontId="4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6" fillId="13" borderId="8" xfId="0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178" fontId="23" fillId="2" borderId="4" xfId="4" applyNumberFormat="1" applyFill="1" applyBorder="1" applyAlignment="1">
      <alignment horizontal="center" shrinkToFit="1"/>
    </xf>
    <xf numFmtId="178" fontId="23" fillId="2" borderId="6" xfId="4" applyNumberFormat="1" applyFill="1" applyBorder="1" applyAlignment="1">
      <alignment horizontal="center" shrinkToFit="1"/>
    </xf>
    <xf numFmtId="178" fontId="10" fillId="6" borderId="4" xfId="4" applyNumberFormat="1" applyFont="1" applyFill="1" applyBorder="1" applyAlignment="1">
      <alignment horizontal="center" shrinkToFit="1"/>
    </xf>
    <xf numFmtId="26" fontId="20" fillId="6" borderId="45" xfId="0" applyNumberFormat="1" applyFont="1" applyFill="1" applyBorder="1" applyAlignment="1">
      <alignment horizontal="center" vertical="center" shrinkToFit="1"/>
    </xf>
    <xf numFmtId="26" fontId="20" fillId="6" borderId="0" xfId="0" applyNumberFormat="1" applyFont="1" applyFill="1" applyBorder="1" applyAlignment="1">
      <alignment horizontal="center" vertical="center" shrinkToFit="1"/>
    </xf>
    <xf numFmtId="26" fontId="20" fillId="6" borderId="46" xfId="0" applyNumberFormat="1" applyFont="1" applyFill="1" applyBorder="1" applyAlignment="1">
      <alignment horizontal="center" vertical="center" shrinkToFit="1"/>
    </xf>
    <xf numFmtId="183" fontId="20" fillId="6" borderId="45" xfId="0" applyNumberFormat="1" applyFont="1" applyFill="1" applyBorder="1" applyAlignment="1">
      <alignment horizontal="center" vertical="center" shrinkToFit="1"/>
    </xf>
    <xf numFmtId="183" fontId="20" fillId="6" borderId="0" xfId="0" applyNumberFormat="1" applyFont="1" applyFill="1" applyBorder="1" applyAlignment="1">
      <alignment horizontal="center" vertical="center" shrinkToFit="1"/>
    </xf>
    <xf numFmtId="183" fontId="20" fillId="6" borderId="46" xfId="0" applyNumberFormat="1" applyFont="1" applyFill="1" applyBorder="1" applyAlignment="1">
      <alignment horizontal="center" vertical="center" shrinkToFit="1"/>
    </xf>
    <xf numFmtId="26" fontId="20" fillId="10" borderId="45" xfId="0" applyNumberFormat="1" applyFont="1" applyFill="1" applyBorder="1" applyAlignment="1">
      <alignment horizontal="center" vertical="center" shrinkToFit="1"/>
    </xf>
    <xf numFmtId="26" fontId="20" fillId="10" borderId="0" xfId="0" applyNumberFormat="1" applyFont="1" applyFill="1" applyBorder="1" applyAlignment="1">
      <alignment horizontal="center" vertical="center" shrinkToFit="1"/>
    </xf>
    <xf numFmtId="26" fontId="20" fillId="10" borderId="46" xfId="0" applyNumberFormat="1" applyFont="1" applyFill="1" applyBorder="1" applyAlignment="1">
      <alignment horizontal="center" vertical="center" shrinkToFit="1"/>
    </xf>
    <xf numFmtId="183" fontId="20" fillId="10" borderId="45" xfId="0" applyNumberFormat="1" applyFont="1" applyFill="1" applyBorder="1" applyAlignment="1">
      <alignment horizontal="center" vertical="center" shrinkToFit="1"/>
    </xf>
    <xf numFmtId="183" fontId="20" fillId="10" borderId="0" xfId="0" applyNumberFormat="1" applyFont="1" applyFill="1" applyBorder="1" applyAlignment="1">
      <alignment horizontal="center" vertical="center" shrinkToFit="1"/>
    </xf>
    <xf numFmtId="183" fontId="20" fillId="10" borderId="46" xfId="0" applyNumberFormat="1" applyFont="1" applyFill="1" applyBorder="1" applyAlignment="1">
      <alignment horizontal="center" vertical="center" shrinkToFit="1"/>
    </xf>
    <xf numFmtId="0" fontId="19" fillId="6" borderId="45" xfId="0" applyFont="1" applyFill="1" applyBorder="1" applyAlignment="1">
      <alignment horizontal="center" vertical="center" shrinkToFit="1"/>
    </xf>
    <xf numFmtId="0" fontId="19" fillId="6" borderId="0" xfId="0" applyFont="1" applyFill="1" applyBorder="1" applyAlignment="1">
      <alignment horizontal="center" vertical="center" shrinkToFit="1"/>
    </xf>
    <xf numFmtId="0" fontId="19" fillId="6" borderId="46" xfId="0" applyFont="1" applyFill="1" applyBorder="1" applyAlignment="1">
      <alignment horizontal="center" vertical="center" shrinkToFit="1"/>
    </xf>
    <xf numFmtId="0" fontId="19" fillId="11" borderId="6" xfId="0" applyFont="1" applyFill="1" applyBorder="1" applyAlignment="1">
      <alignment horizontal="center" vertical="center" shrinkToFit="1"/>
    </xf>
    <xf numFmtId="0" fontId="19" fillId="11" borderId="37" xfId="0" applyFont="1" applyFill="1" applyBorder="1" applyAlignment="1">
      <alignment horizontal="center" vertical="center" shrinkToFit="1"/>
    </xf>
    <xf numFmtId="0" fontId="19" fillId="11" borderId="39" xfId="0" applyFont="1" applyFill="1" applyBorder="1" applyAlignment="1">
      <alignment horizontal="center" vertical="center" shrinkToFit="1"/>
    </xf>
    <xf numFmtId="0" fontId="19" fillId="10" borderId="45" xfId="0" applyFont="1" applyFill="1" applyBorder="1" applyAlignment="1">
      <alignment horizontal="center" vertical="center" shrinkToFit="1"/>
    </xf>
    <xf numFmtId="0" fontId="19" fillId="10" borderId="0" xfId="0" applyFont="1" applyFill="1" applyBorder="1" applyAlignment="1">
      <alignment horizontal="center" vertical="center" shrinkToFit="1"/>
    </xf>
    <xf numFmtId="0" fontId="19" fillId="10" borderId="46" xfId="0" applyFont="1" applyFill="1" applyBorder="1" applyAlignment="1">
      <alignment horizontal="center" vertical="center" shrinkToFit="1"/>
    </xf>
    <xf numFmtId="0" fontId="19" fillId="7" borderId="45" xfId="0" applyFont="1" applyFill="1" applyBorder="1" applyAlignment="1">
      <alignment horizontal="center" vertical="center" shrinkToFit="1"/>
    </xf>
    <xf numFmtId="0" fontId="19" fillId="7" borderId="0" xfId="0" applyFont="1" applyFill="1" applyBorder="1" applyAlignment="1">
      <alignment horizontal="center" vertical="center" shrinkToFit="1"/>
    </xf>
    <xf numFmtId="0" fontId="19" fillId="7" borderId="46" xfId="0" applyFont="1" applyFill="1" applyBorder="1" applyAlignment="1">
      <alignment horizontal="center" vertical="center" shrinkToFit="1"/>
    </xf>
    <xf numFmtId="183" fontId="20" fillId="7" borderId="45" xfId="0" applyNumberFormat="1" applyFont="1" applyFill="1" applyBorder="1" applyAlignment="1">
      <alignment horizontal="center" vertical="center" shrinkToFit="1"/>
    </xf>
    <xf numFmtId="183" fontId="20" fillId="7" borderId="0" xfId="0" applyNumberFormat="1" applyFont="1" applyFill="1" applyBorder="1" applyAlignment="1">
      <alignment horizontal="center" vertical="center" shrinkToFit="1"/>
    </xf>
    <xf numFmtId="183" fontId="20" fillId="7" borderId="46" xfId="0" applyNumberFormat="1" applyFont="1" applyFill="1" applyBorder="1" applyAlignment="1">
      <alignment horizontal="center" vertical="center" shrinkToFit="1"/>
    </xf>
    <xf numFmtId="26" fontId="20" fillId="7" borderId="45" xfId="0" applyNumberFormat="1" applyFont="1" applyFill="1" applyBorder="1" applyAlignment="1">
      <alignment horizontal="center" vertical="center" shrinkToFit="1"/>
    </xf>
    <xf numFmtId="26" fontId="20" fillId="7" borderId="0" xfId="0" applyNumberFormat="1" applyFont="1" applyFill="1" applyBorder="1" applyAlignment="1">
      <alignment horizontal="center" vertical="center" shrinkToFit="1"/>
    </xf>
    <xf numFmtId="26" fontId="20" fillId="7" borderId="46" xfId="0" applyNumberFormat="1" applyFont="1" applyFill="1" applyBorder="1" applyAlignment="1">
      <alignment horizontal="center" vertical="center" shrinkToFit="1"/>
    </xf>
    <xf numFmtId="26" fontId="20" fillId="11" borderId="6" xfId="0" applyNumberFormat="1" applyFont="1" applyFill="1" applyBorder="1" applyAlignment="1">
      <alignment horizontal="center" vertical="center" shrinkToFit="1"/>
    </xf>
    <xf numFmtId="26" fontId="20" fillId="11" borderId="37" xfId="0" applyNumberFormat="1" applyFont="1" applyFill="1" applyBorder="1" applyAlignment="1">
      <alignment horizontal="center" vertical="center" shrinkToFit="1"/>
    </xf>
    <xf numFmtId="26" fontId="20" fillId="11" borderId="39" xfId="0" applyNumberFormat="1" applyFont="1" applyFill="1" applyBorder="1" applyAlignment="1">
      <alignment horizontal="center" vertical="center" shrinkToFit="1"/>
    </xf>
    <xf numFmtId="183" fontId="20" fillId="11" borderId="6" xfId="0" applyNumberFormat="1" applyFont="1" applyFill="1" applyBorder="1" applyAlignment="1">
      <alignment horizontal="center" vertical="center" shrinkToFit="1"/>
    </xf>
    <xf numFmtId="183" fontId="20" fillId="11" borderId="37" xfId="0" applyNumberFormat="1" applyFont="1" applyFill="1" applyBorder="1" applyAlignment="1">
      <alignment horizontal="center" vertical="center" shrinkToFit="1"/>
    </xf>
    <xf numFmtId="183" fontId="20" fillId="11" borderId="39" xfId="0" applyNumberFormat="1" applyFont="1" applyFill="1" applyBorder="1" applyAlignment="1">
      <alignment horizontal="center" vertical="center" shrinkToFit="1"/>
    </xf>
    <xf numFmtId="49" fontId="28" fillId="0" borderId="2" xfId="0" applyNumberFormat="1" applyFont="1" applyBorder="1"/>
    <xf numFmtId="0" fontId="16" fillId="13" borderId="8" xfId="0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178" fontId="4" fillId="6" borderId="16" xfId="0" applyNumberFormat="1" applyFont="1" applyFill="1" applyBorder="1" applyAlignment="1">
      <alignment horizontal="center" vertical="center" shrinkToFit="1"/>
    </xf>
    <xf numFmtId="0" fontId="23" fillId="14" borderId="9" xfId="4" applyBorder="1" applyAlignment="1">
      <alignment horizontal="center" shrinkToFit="1"/>
    </xf>
    <xf numFmtId="0" fontId="23" fillId="14" borderId="4" xfId="4" applyBorder="1" applyAlignment="1">
      <alignment horizontal="center" shrinkToFit="1"/>
    </xf>
    <xf numFmtId="0" fontId="23" fillId="14" borderId="39" xfId="4" applyBorder="1" applyAlignment="1">
      <alignment horizontal="left" shrinkToFit="1"/>
    </xf>
    <xf numFmtId="49" fontId="23" fillId="14" borderId="37" xfId="4" applyNumberFormat="1" applyBorder="1" applyAlignment="1">
      <alignment horizontal="left" shrinkToFit="1"/>
    </xf>
    <xf numFmtId="0" fontId="23" fillId="14" borderId="62" xfId="4" applyBorder="1" applyAlignment="1">
      <alignment horizontal="center" shrinkToFit="1"/>
    </xf>
    <xf numFmtId="0" fontId="23" fillId="14" borderId="39" xfId="4" applyBorder="1" applyAlignment="1">
      <alignment horizontal="left"/>
    </xf>
    <xf numFmtId="178" fontId="23" fillId="14" borderId="1" xfId="4" applyNumberFormat="1" applyBorder="1" applyAlignment="1">
      <alignment horizontal="center" shrinkToFit="1"/>
    </xf>
    <xf numFmtId="178" fontId="23" fillId="14" borderId="4" xfId="4" applyNumberFormat="1" applyBorder="1" applyAlignment="1">
      <alignment horizontal="center" shrinkToFit="1"/>
    </xf>
    <xf numFmtId="178" fontId="23" fillId="14" borderId="6" xfId="4" applyNumberFormat="1" applyBorder="1" applyAlignment="1">
      <alignment horizontal="center" shrinkToFit="1"/>
    </xf>
    <xf numFmtId="0" fontId="23" fillId="14" borderId="1" xfId="4" applyBorder="1" applyAlignment="1">
      <alignment horizontal="left" shrinkToFit="1"/>
    </xf>
    <xf numFmtId="0" fontId="0" fillId="0" borderId="1" xfId="0" applyBorder="1" applyAlignment="1">
      <alignment horizontal="center" shrinkToFit="1"/>
    </xf>
    <xf numFmtId="0" fontId="23" fillId="14" borderId="1" xfId="4" applyBorder="1" applyAlignment="1">
      <alignment horizontal="center" shrinkToFit="1"/>
    </xf>
    <xf numFmtId="49" fontId="23" fillId="14" borderId="2" xfId="4" applyNumberFormat="1" applyBorder="1" applyAlignment="1">
      <alignment horizontal="left" shrinkToFit="1"/>
    </xf>
    <xf numFmtId="0" fontId="23" fillId="14" borderId="26" xfId="4" applyBorder="1" applyAlignment="1">
      <alignment horizontal="left"/>
    </xf>
    <xf numFmtId="0" fontId="23" fillId="14" borderId="1" xfId="4" applyBorder="1" applyAlignment="1">
      <alignment shrinkToFit="1"/>
    </xf>
    <xf numFmtId="49" fontId="23" fillId="14" borderId="2" xfId="4" applyNumberFormat="1" applyBorder="1" applyAlignment="1">
      <alignment shrinkToFit="1"/>
    </xf>
    <xf numFmtId="0" fontId="23" fillId="14" borderId="26" xfId="4" applyBorder="1" applyAlignment="1">
      <alignment horizontal="left" shrinkToFit="1"/>
    </xf>
    <xf numFmtId="0" fontId="23" fillId="14" borderId="1" xfId="4" applyBorder="1" applyAlignment="1">
      <alignment horizontal="center" vertical="center" shrinkToFit="1"/>
    </xf>
    <xf numFmtId="9" fontId="4" fillId="6" borderId="3" xfId="0" applyNumberFormat="1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0" fontId="23" fillId="14" borderId="1" xfId="4" applyBorder="1" applyAlignment="1"/>
    <xf numFmtId="49" fontId="23" fillId="14" borderId="2" xfId="4" applyNumberFormat="1" applyBorder="1" applyAlignment="1">
      <alignment horizontal="left"/>
    </xf>
    <xf numFmtId="179" fontId="23" fillId="14" borderId="39" xfId="4" applyNumberFormat="1" applyBorder="1" applyAlignment="1">
      <alignment horizontal="left"/>
    </xf>
    <xf numFmtId="0" fontId="23" fillId="14" borderId="26" xfId="4" applyBorder="1" applyAlignment="1"/>
    <xf numFmtId="49" fontId="23" fillId="14" borderId="29" xfId="4" applyNumberFormat="1" applyBorder="1" applyAlignment="1"/>
    <xf numFmtId="0" fontId="4" fillId="0" borderId="34" xfId="0" applyFont="1" applyBorder="1" applyAlignment="1">
      <alignment horizontal="center" shrinkToFit="1"/>
    </xf>
    <xf numFmtId="0" fontId="4" fillId="0" borderId="35" xfId="0" applyFont="1" applyBorder="1" applyAlignment="1">
      <alignment horizontal="center" shrinkToFit="1"/>
    </xf>
    <xf numFmtId="0" fontId="4" fillId="0" borderId="18" xfId="0" applyFont="1" applyBorder="1" applyAlignment="1">
      <alignment horizontal="center" shrinkToFit="1"/>
    </xf>
    <xf numFmtId="0" fontId="4" fillId="6" borderId="18" xfId="0" applyFont="1" applyFill="1" applyBorder="1" applyAlignment="1">
      <alignment horizontal="center" shrinkToFit="1"/>
    </xf>
    <xf numFmtId="0" fontId="4" fillId="6" borderId="34" xfId="0" applyFont="1" applyFill="1" applyBorder="1" applyAlignment="1">
      <alignment horizontal="center" shrinkToFit="1"/>
    </xf>
    <xf numFmtId="0" fontId="4" fillId="6" borderId="35" xfId="0" applyFont="1" applyFill="1" applyBorder="1" applyAlignment="1">
      <alignment horizontal="center" shrinkToFit="1"/>
    </xf>
    <xf numFmtId="179" fontId="4" fillId="0" borderId="12" xfId="0" applyNumberFormat="1" applyFont="1" applyBorder="1" applyAlignment="1">
      <alignment horizontal="center" shrinkToFit="1"/>
    </xf>
    <xf numFmtId="0" fontId="15" fillId="0" borderId="2" xfId="0" applyFont="1" applyBorder="1" applyAlignment="1">
      <alignment horizontal="center" shrinkToFit="1"/>
    </xf>
    <xf numFmtId="0" fontId="15" fillId="0" borderId="29" xfId="0" applyFont="1" applyBorder="1" applyAlignment="1">
      <alignment horizontal="center" shrinkToFit="1"/>
    </xf>
    <xf numFmtId="0" fontId="15" fillId="0" borderId="17" xfId="0" applyFont="1" applyBorder="1" applyAlignment="1">
      <alignment horizontal="center" shrinkToFit="1"/>
    </xf>
    <xf numFmtId="0" fontId="16" fillId="13" borderId="8" xfId="0" applyFont="1" applyFill="1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0" fillId="0" borderId="2" xfId="0" applyBorder="1" applyAlignment="1">
      <alignment horizontal="center" shrinkToFit="1"/>
    </xf>
    <xf numFmtId="0" fontId="0" fillId="0" borderId="29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0" fontId="13" fillId="0" borderId="2" xfId="0" applyFont="1" applyBorder="1" applyAlignment="1">
      <alignment horizontal="center" shrinkToFit="1"/>
    </xf>
    <xf numFmtId="0" fontId="13" fillId="0" borderId="29" xfId="0" applyFont="1" applyBorder="1" applyAlignment="1">
      <alignment horizontal="center" shrinkToFit="1"/>
    </xf>
    <xf numFmtId="0" fontId="13" fillId="0" borderId="17" xfId="0" applyFont="1" applyBorder="1" applyAlignment="1">
      <alignment horizontal="center" shrinkToFit="1"/>
    </xf>
    <xf numFmtId="176" fontId="13" fillId="0" borderId="0" xfId="0" applyNumberFormat="1" applyFont="1" applyFill="1" applyBorder="1" applyAlignment="1">
      <alignment horizontal="center" shrinkToFit="1"/>
    </xf>
    <xf numFmtId="26" fontId="13" fillId="0" borderId="0" xfId="0" applyNumberFormat="1" applyFont="1" applyFill="1" applyBorder="1" applyAlignment="1">
      <alignment horizontal="center" shrinkToFit="1"/>
    </xf>
    <xf numFmtId="0" fontId="23" fillId="2" borderId="2" xfId="4" applyFill="1" applyBorder="1" applyAlignment="1">
      <alignment horizontal="center" shrinkToFit="1"/>
    </xf>
    <xf numFmtId="0" fontId="23" fillId="2" borderId="29" xfId="4" applyFill="1" applyBorder="1" applyAlignment="1">
      <alignment horizontal="center" shrinkToFit="1"/>
    </xf>
    <xf numFmtId="179" fontId="4" fillId="6" borderId="53" xfId="0" applyNumberFormat="1" applyFont="1" applyFill="1" applyBorder="1" applyAlignment="1">
      <alignment horizontal="center" vertical="center" shrinkToFit="1"/>
    </xf>
    <xf numFmtId="179" fontId="4" fillId="6" borderId="55" xfId="0" applyNumberFormat="1" applyFont="1" applyFill="1" applyBorder="1" applyAlignment="1">
      <alignment horizontal="center" vertical="center" shrinkToFit="1"/>
    </xf>
    <xf numFmtId="0" fontId="14" fillId="0" borderId="51" xfId="0" applyFont="1" applyBorder="1" applyAlignment="1">
      <alignment horizontal="left" shrinkToFit="1"/>
    </xf>
    <xf numFmtId="0" fontId="14" fillId="0" borderId="37" xfId="0" applyFont="1" applyBorder="1" applyAlignment="1">
      <alignment horizontal="left" shrinkToFit="1"/>
    </xf>
    <xf numFmtId="0" fontId="14" fillId="0" borderId="47" xfId="0" applyFont="1" applyBorder="1" applyAlignment="1">
      <alignment horizontal="left" shrinkToFit="1"/>
    </xf>
    <xf numFmtId="0" fontId="4" fillId="6" borderId="10" xfId="0" applyFont="1" applyFill="1" applyBorder="1" applyAlignment="1">
      <alignment horizontal="center" shrinkToFit="1"/>
    </xf>
    <xf numFmtId="0" fontId="4" fillId="6" borderId="3" xfId="0" applyFont="1" applyFill="1" applyBorder="1" applyAlignment="1">
      <alignment horizontal="center" shrinkToFit="1"/>
    </xf>
    <xf numFmtId="179" fontId="4" fillId="6" borderId="3" xfId="0" applyNumberFormat="1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0" fontId="17" fillId="6" borderId="34" xfId="0" applyFont="1" applyFill="1" applyBorder="1" applyAlignment="1">
      <alignment horizontal="center" shrinkToFit="1"/>
    </xf>
    <xf numFmtId="0" fontId="17" fillId="6" borderId="35" xfId="0" applyFont="1" applyFill="1" applyBorder="1" applyAlignment="1">
      <alignment horizontal="center" shrinkToFit="1"/>
    </xf>
    <xf numFmtId="0" fontId="17" fillId="6" borderId="18" xfId="0" applyFont="1" applyFill="1" applyBorder="1" applyAlignment="1">
      <alignment horizontal="center" shrinkToFit="1"/>
    </xf>
    <xf numFmtId="0" fontId="4" fillId="0" borderId="21" xfId="0" applyFont="1" applyBorder="1" applyAlignment="1">
      <alignment horizontal="center" shrinkToFit="1"/>
    </xf>
    <xf numFmtId="0" fontId="4" fillId="0" borderId="22" xfId="0" applyFont="1" applyBorder="1" applyAlignment="1">
      <alignment horizontal="center" shrinkToFit="1"/>
    </xf>
    <xf numFmtId="178" fontId="16" fillId="6" borderId="25" xfId="0" applyNumberFormat="1" applyFont="1" applyFill="1" applyBorder="1" applyAlignment="1">
      <alignment horizontal="center" vertical="center" shrinkToFit="1"/>
    </xf>
    <xf numFmtId="178" fontId="16" fillId="6" borderId="24" xfId="0" applyNumberFormat="1" applyFont="1" applyFill="1" applyBorder="1" applyAlignment="1">
      <alignment horizontal="center" vertical="center" shrinkToFit="1"/>
    </xf>
    <xf numFmtId="178" fontId="16" fillId="6" borderId="22" xfId="0" applyNumberFormat="1" applyFont="1" applyFill="1" applyBorder="1" applyAlignment="1">
      <alignment horizontal="center" vertical="center" shrinkToFit="1"/>
    </xf>
    <xf numFmtId="178" fontId="16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4" fillId="0" borderId="42" xfId="0" applyFont="1" applyBorder="1" applyAlignment="1">
      <alignment horizontal="left" shrinkToFit="1"/>
    </xf>
    <xf numFmtId="0" fontId="14" fillId="0" borderId="29" xfId="0" applyFont="1" applyBorder="1" applyAlignment="1">
      <alignment horizontal="left" shrinkToFit="1"/>
    </xf>
    <xf numFmtId="0" fontId="14" fillId="0" borderId="17" xfId="0" applyFont="1" applyBorder="1" applyAlignment="1">
      <alignment horizontal="left" shrinkToFit="1"/>
    </xf>
    <xf numFmtId="0" fontId="4" fillId="6" borderId="13" xfId="0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4" xfId="0" applyFont="1" applyFill="1" applyBorder="1" applyAlignment="1">
      <alignment horizontal="center" shrinkToFit="1"/>
    </xf>
    <xf numFmtId="0" fontId="14" fillId="0" borderId="43" xfId="0" applyFont="1" applyBorder="1" applyAlignment="1">
      <alignment horizontal="left" shrinkToFit="1"/>
    </xf>
    <xf numFmtId="0" fontId="14" fillId="0" borderId="49" xfId="0" applyFont="1" applyBorder="1" applyAlignment="1">
      <alignment horizontal="left" shrinkToFit="1"/>
    </xf>
    <xf numFmtId="0" fontId="4" fillId="6" borderId="9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4" fillId="6" borderId="13" xfId="0" applyFont="1" applyFill="1" applyBorder="1" applyAlignment="1">
      <alignment horizontal="center" vertical="center"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9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0" fontId="4" fillId="6" borderId="10" xfId="0" applyFont="1" applyFill="1" applyBorder="1" applyAlignment="1">
      <alignment horizontal="center" vertical="center" shrinkToFit="1"/>
    </xf>
    <xf numFmtId="0" fontId="4" fillId="6" borderId="3" xfId="0" applyFont="1" applyFill="1" applyBorder="1" applyAlignment="1">
      <alignment horizontal="center" vertical="center" shrinkToFit="1"/>
    </xf>
    <xf numFmtId="180" fontId="4" fillId="6" borderId="14" xfId="0" applyNumberFormat="1" applyFont="1" applyFill="1" applyBorder="1" applyAlignment="1">
      <alignment horizontal="center" vertical="center" shrinkToFit="1"/>
    </xf>
    <xf numFmtId="180" fontId="4" fillId="6" borderId="1" xfId="0" applyNumberFormat="1" applyFont="1" applyFill="1" applyBorder="1" applyAlignment="1">
      <alignment horizontal="center" vertical="center" shrinkToFit="1"/>
    </xf>
    <xf numFmtId="180" fontId="4" fillId="6" borderId="3" xfId="0" applyNumberFormat="1" applyFont="1" applyFill="1" applyBorder="1" applyAlignment="1">
      <alignment horizontal="center" vertical="center" shrinkToFit="1"/>
    </xf>
    <xf numFmtId="178" fontId="4" fillId="6" borderId="14" xfId="0" applyNumberFormat="1" applyFont="1" applyFill="1" applyBorder="1" applyAlignment="1">
      <alignment horizontal="center" vertical="center" shrinkToFit="1"/>
    </xf>
    <xf numFmtId="178" fontId="4" fillId="6" borderId="1" xfId="0" applyNumberFormat="1" applyFont="1" applyFill="1" applyBorder="1" applyAlignment="1">
      <alignment horizontal="center" vertical="center" shrinkToFit="1"/>
    </xf>
    <xf numFmtId="178" fontId="4" fillId="6" borderId="3" xfId="0" applyNumberFormat="1" applyFont="1" applyFill="1" applyBorder="1" applyAlignment="1">
      <alignment horizontal="center" vertical="center" shrinkToFit="1"/>
    </xf>
    <xf numFmtId="178" fontId="4" fillId="6" borderId="28" xfId="0" applyNumberFormat="1" applyFont="1" applyFill="1" applyBorder="1" applyAlignment="1">
      <alignment horizontal="center" vertical="center" shrinkToFit="1"/>
    </xf>
    <xf numFmtId="178" fontId="4" fillId="6" borderId="15" xfId="0" applyNumberFormat="1" applyFont="1" applyFill="1" applyBorder="1" applyAlignment="1">
      <alignment horizontal="center" vertical="center" shrinkToFit="1"/>
    </xf>
    <xf numFmtId="178" fontId="4" fillId="6" borderId="16" xfId="0" applyNumberFormat="1" applyFont="1" applyFill="1" applyBorder="1" applyAlignment="1">
      <alignment horizontal="center" vertical="center" shrinkToFit="1"/>
    </xf>
    <xf numFmtId="0" fontId="4" fillId="0" borderId="27" xfId="0" applyFont="1" applyBorder="1" applyAlignment="1">
      <alignment horizontal="center" shrinkToFit="1"/>
    </xf>
    <xf numFmtId="0" fontId="4" fillId="0" borderId="25" xfId="0" applyFont="1" applyBorder="1" applyAlignment="1">
      <alignment horizontal="center" shrinkToFit="1"/>
    </xf>
    <xf numFmtId="0" fontId="4" fillId="0" borderId="24" xfId="0" applyFont="1" applyBorder="1" applyAlignment="1">
      <alignment horizontal="center" shrinkToFit="1"/>
    </xf>
    <xf numFmtId="0" fontId="4" fillId="0" borderId="31" xfId="0" applyFont="1" applyBorder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4" fillId="0" borderId="32" xfId="0" applyFont="1" applyBorder="1" applyAlignment="1">
      <alignment horizontal="center" shrinkToFit="1"/>
    </xf>
    <xf numFmtId="0" fontId="4" fillId="0" borderId="23" xfId="0" applyFont="1" applyBorder="1" applyAlignment="1">
      <alignment horizontal="center" shrinkToFit="1"/>
    </xf>
    <xf numFmtId="0" fontId="2" fillId="6" borderId="34" xfId="0" applyFont="1" applyFill="1" applyBorder="1" applyAlignment="1">
      <alignment horizontal="center"/>
    </xf>
    <xf numFmtId="0" fontId="2" fillId="6" borderId="35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 vertical="center" shrinkToFit="1"/>
    </xf>
    <xf numFmtId="0" fontId="23" fillId="14" borderId="2" xfId="4" applyBorder="1" applyAlignment="1">
      <alignment horizontal="center" shrinkToFit="1"/>
    </xf>
    <xf numFmtId="0" fontId="23" fillId="14" borderId="29" xfId="4" applyBorder="1" applyAlignment="1">
      <alignment horizontal="center" shrinkToFit="1"/>
    </xf>
    <xf numFmtId="0" fontId="23" fillId="14" borderId="17" xfId="4" applyBorder="1" applyAlignment="1">
      <alignment horizontal="center" shrinkToFit="1"/>
    </xf>
    <xf numFmtId="0" fontId="23" fillId="14" borderId="6" xfId="4" applyBorder="1" applyAlignment="1">
      <alignment horizontal="center" shrinkToFit="1"/>
    </xf>
    <xf numFmtId="0" fontId="23" fillId="14" borderId="37" xfId="4" applyBorder="1" applyAlignment="1">
      <alignment horizontal="center" shrinkToFit="1"/>
    </xf>
    <xf numFmtId="0" fontId="23" fillId="14" borderId="47" xfId="4" applyBorder="1" applyAlignment="1">
      <alignment horizontal="center" shrinkToFit="1"/>
    </xf>
    <xf numFmtId="26" fontId="20" fillId="6" borderId="30" xfId="0" applyNumberFormat="1" applyFont="1" applyFill="1" applyBorder="1" applyAlignment="1">
      <alignment horizontal="center" vertical="center" shrinkToFit="1"/>
    </xf>
    <xf numFmtId="26" fontId="20" fillId="6" borderId="43" xfId="0" applyNumberFormat="1" applyFont="1" applyFill="1" applyBorder="1" applyAlignment="1">
      <alignment horizontal="center" vertical="center" shrinkToFit="1"/>
    </xf>
    <xf numFmtId="26" fontId="20" fillId="6" borderId="44" xfId="0" applyNumberFormat="1" applyFont="1" applyFill="1" applyBorder="1" applyAlignment="1">
      <alignment horizontal="center" vertical="center" shrinkToFit="1"/>
    </xf>
    <xf numFmtId="26" fontId="20" fillId="6" borderId="45" xfId="0" applyNumberFormat="1" applyFont="1" applyFill="1" applyBorder="1" applyAlignment="1">
      <alignment horizontal="center" vertical="center" shrinkToFit="1"/>
    </xf>
    <xf numFmtId="26" fontId="20" fillId="6" borderId="0" xfId="0" applyNumberFormat="1" applyFont="1" applyFill="1" applyBorder="1" applyAlignment="1">
      <alignment horizontal="center" vertical="center" shrinkToFit="1"/>
    </xf>
    <xf numFmtId="26" fontId="20" fillId="6" borderId="46" xfId="0" applyNumberFormat="1" applyFont="1" applyFill="1" applyBorder="1" applyAlignment="1">
      <alignment horizontal="center" vertical="center" shrinkToFit="1"/>
    </xf>
    <xf numFmtId="26" fontId="20" fillId="6" borderId="6" xfId="0" applyNumberFormat="1" applyFont="1" applyFill="1" applyBorder="1" applyAlignment="1">
      <alignment horizontal="center" vertical="center" shrinkToFit="1"/>
    </xf>
    <xf numFmtId="26" fontId="20" fillId="6" borderId="37" xfId="0" applyNumberFormat="1" applyFont="1" applyFill="1" applyBorder="1" applyAlignment="1">
      <alignment horizontal="center" vertical="center" shrinkToFit="1"/>
    </xf>
    <xf numFmtId="26" fontId="20" fillId="6" borderId="39" xfId="0" applyNumberFormat="1" applyFont="1" applyFill="1" applyBorder="1" applyAlignment="1">
      <alignment horizontal="center" vertical="center" shrinkToFit="1"/>
    </xf>
    <xf numFmtId="183" fontId="20" fillId="6" borderId="30" xfId="0" applyNumberFormat="1" applyFont="1" applyFill="1" applyBorder="1" applyAlignment="1">
      <alignment horizontal="center" vertical="center" shrinkToFit="1"/>
    </xf>
    <xf numFmtId="183" fontId="20" fillId="6" borderId="43" xfId="0" applyNumberFormat="1" applyFont="1" applyFill="1" applyBorder="1" applyAlignment="1">
      <alignment horizontal="center" vertical="center" shrinkToFit="1"/>
    </xf>
    <xf numFmtId="183" fontId="20" fillId="6" borderId="44" xfId="0" applyNumberFormat="1" applyFont="1" applyFill="1" applyBorder="1" applyAlignment="1">
      <alignment horizontal="center" vertical="center" shrinkToFit="1"/>
    </xf>
    <xf numFmtId="183" fontId="20" fillId="6" borderId="45" xfId="0" applyNumberFormat="1" applyFont="1" applyFill="1" applyBorder="1" applyAlignment="1">
      <alignment horizontal="center" vertical="center" shrinkToFit="1"/>
    </xf>
    <xf numFmtId="183" fontId="20" fillId="6" borderId="0" xfId="0" applyNumberFormat="1" applyFont="1" applyFill="1" applyBorder="1" applyAlignment="1">
      <alignment horizontal="center" vertical="center" shrinkToFit="1"/>
    </xf>
    <xf numFmtId="183" fontId="20" fillId="6" borderId="46" xfId="0" applyNumberFormat="1" applyFont="1" applyFill="1" applyBorder="1" applyAlignment="1">
      <alignment horizontal="center" vertical="center" shrinkToFit="1"/>
    </xf>
    <xf numFmtId="183" fontId="20" fillId="6" borderId="6" xfId="0" applyNumberFormat="1" applyFont="1" applyFill="1" applyBorder="1" applyAlignment="1">
      <alignment horizontal="center" vertical="center" shrinkToFit="1"/>
    </xf>
    <xf numFmtId="183" fontId="20" fillId="6" borderId="37" xfId="0" applyNumberFormat="1" applyFont="1" applyFill="1" applyBorder="1" applyAlignment="1">
      <alignment horizontal="center" vertical="center" shrinkToFit="1"/>
    </xf>
    <xf numFmtId="183" fontId="20" fillId="6" borderId="39" xfId="0" applyNumberFormat="1" applyFont="1" applyFill="1" applyBorder="1" applyAlignment="1">
      <alignment horizontal="center" vertical="center" shrinkToFit="1"/>
    </xf>
    <xf numFmtId="0" fontId="27" fillId="11" borderId="2" xfId="0" applyFont="1" applyFill="1" applyBorder="1" applyAlignment="1">
      <alignment horizontal="center" vertical="center" shrinkToFit="1"/>
    </xf>
    <xf numFmtId="0" fontId="27" fillId="11" borderId="29" xfId="0" applyFont="1" applyFill="1" applyBorder="1" applyAlignment="1">
      <alignment horizontal="center" vertical="center" shrinkToFit="1"/>
    </xf>
    <xf numFmtId="0" fontId="27" fillId="11" borderId="26" xfId="0" applyFont="1" applyFill="1" applyBorder="1" applyAlignment="1">
      <alignment horizontal="center" vertical="center" shrinkToFit="1"/>
    </xf>
    <xf numFmtId="176" fontId="4" fillId="10" borderId="1" xfId="0" applyNumberFormat="1" applyFont="1" applyFill="1" applyBorder="1" applyAlignment="1">
      <alignment horizontal="center" vertical="center" shrinkToFit="1"/>
    </xf>
    <xf numFmtId="0" fontId="4" fillId="10" borderId="1" xfId="0" applyFont="1" applyFill="1" applyBorder="1" applyAlignment="1">
      <alignment horizontal="center" vertical="center" shrinkToFit="1"/>
    </xf>
    <xf numFmtId="0" fontId="4" fillId="12" borderId="1" xfId="0" applyFont="1" applyFill="1" applyBorder="1" applyAlignment="1">
      <alignment horizontal="center" vertical="center" shrinkToFit="1"/>
    </xf>
    <xf numFmtId="176" fontId="4" fillId="12" borderId="1" xfId="0" applyNumberFormat="1" applyFont="1" applyFill="1" applyBorder="1" applyAlignment="1">
      <alignment horizontal="center" vertical="center" shrinkToFit="1"/>
    </xf>
    <xf numFmtId="9" fontId="4" fillId="12" borderId="1" xfId="0" applyNumberFormat="1" applyFont="1" applyFill="1" applyBorder="1" applyAlignment="1">
      <alignment horizontal="center" vertical="center" shrinkToFit="1"/>
    </xf>
    <xf numFmtId="176" fontId="4" fillId="7" borderId="1" xfId="0" applyNumberFormat="1" applyFont="1" applyFill="1" applyBorder="1" applyAlignment="1">
      <alignment horizontal="center" vertical="center" shrinkToFit="1"/>
    </xf>
    <xf numFmtId="9" fontId="4" fillId="7" borderId="1" xfId="0" applyNumberFormat="1" applyFont="1" applyFill="1" applyBorder="1" applyAlignment="1">
      <alignment horizontal="center" vertical="center" shrinkToFit="1"/>
    </xf>
    <xf numFmtId="176" fontId="4" fillId="11" borderId="2" xfId="0" applyNumberFormat="1" applyFont="1" applyFill="1" applyBorder="1" applyAlignment="1">
      <alignment horizontal="center" vertical="center" shrinkToFit="1"/>
    </xf>
    <xf numFmtId="176" fontId="4" fillId="11" borderId="29" xfId="0" applyNumberFormat="1" applyFont="1" applyFill="1" applyBorder="1" applyAlignment="1">
      <alignment horizontal="center" vertical="center" shrinkToFit="1"/>
    </xf>
    <xf numFmtId="176" fontId="4" fillId="11" borderId="26" xfId="0" applyNumberFormat="1" applyFont="1" applyFill="1" applyBorder="1" applyAlignment="1">
      <alignment horizontal="center" vertical="center" shrinkToFit="1"/>
    </xf>
    <xf numFmtId="9" fontId="4" fillId="10" borderId="1" xfId="0" applyNumberFormat="1" applyFont="1" applyFill="1" applyBorder="1" applyAlignment="1">
      <alignment horizontal="center" vertical="center" shrinkToFit="1"/>
    </xf>
    <xf numFmtId="9" fontId="4" fillId="11" borderId="1" xfId="0" applyNumberFormat="1" applyFont="1" applyFill="1" applyBorder="1" applyAlignment="1">
      <alignment horizontal="center" vertical="center" shrinkToFit="1"/>
    </xf>
    <xf numFmtId="0" fontId="4" fillId="11" borderId="1" xfId="0" applyFont="1" applyFill="1" applyBorder="1" applyAlignment="1">
      <alignment horizontal="center" vertical="center" shrinkToFit="1"/>
    </xf>
    <xf numFmtId="0" fontId="4" fillId="11" borderId="2" xfId="0" applyFont="1" applyFill="1" applyBorder="1" applyAlignment="1">
      <alignment horizontal="center" vertical="center" shrinkToFit="1"/>
    </xf>
    <xf numFmtId="0" fontId="4" fillId="11" borderId="29" xfId="0" applyFont="1" applyFill="1" applyBorder="1" applyAlignment="1">
      <alignment horizontal="center" vertical="center" shrinkToFit="1"/>
    </xf>
    <xf numFmtId="0" fontId="4" fillId="11" borderId="26" xfId="0" applyFont="1" applyFill="1" applyBorder="1" applyAlignment="1">
      <alignment horizontal="center" vertical="center" shrinkToFit="1"/>
    </xf>
    <xf numFmtId="183" fontId="20" fillId="9" borderId="2" xfId="0" applyNumberFormat="1" applyFont="1" applyFill="1" applyBorder="1" applyAlignment="1">
      <alignment horizontal="center" vertical="center" shrinkToFit="1"/>
    </xf>
    <xf numFmtId="183" fontId="20" fillId="9" borderId="29" xfId="0" applyNumberFormat="1" applyFont="1" applyFill="1" applyBorder="1" applyAlignment="1">
      <alignment horizontal="center" vertical="center" shrinkToFit="1"/>
    </xf>
    <xf numFmtId="183" fontId="20" fillId="9" borderId="26" xfId="0" applyNumberFormat="1" applyFont="1" applyFill="1" applyBorder="1" applyAlignment="1">
      <alignment horizontal="center" vertical="center" shrinkToFit="1"/>
    </xf>
    <xf numFmtId="26" fontId="20" fillId="9" borderId="2" xfId="0" applyNumberFormat="1" applyFont="1" applyFill="1" applyBorder="1" applyAlignment="1">
      <alignment horizontal="center" vertical="center" shrinkToFit="1"/>
    </xf>
    <xf numFmtId="26" fontId="20" fillId="9" borderId="29" xfId="0" applyNumberFormat="1" applyFont="1" applyFill="1" applyBorder="1" applyAlignment="1">
      <alignment horizontal="center" vertical="center" shrinkToFit="1"/>
    </xf>
    <xf numFmtId="26" fontId="20" fillId="9" borderId="26" xfId="0" applyNumberFormat="1" applyFont="1" applyFill="1" applyBorder="1" applyAlignment="1">
      <alignment horizontal="center" vertical="center" shrinkToFit="1"/>
    </xf>
    <xf numFmtId="0" fontId="4" fillId="5" borderId="2" xfId="0" applyFont="1" applyFill="1" applyBorder="1" applyAlignment="1">
      <alignment horizontal="center" vertical="center" shrinkToFit="1"/>
    </xf>
    <xf numFmtId="0" fontId="4" fillId="5" borderId="29" xfId="0" applyFont="1" applyFill="1" applyBorder="1" applyAlignment="1">
      <alignment horizontal="center" vertical="center" shrinkToFit="1"/>
    </xf>
    <xf numFmtId="0" fontId="4" fillId="5" borderId="26" xfId="0" applyFont="1" applyFill="1" applyBorder="1" applyAlignment="1">
      <alignment horizontal="center" vertical="center" shrinkToFit="1"/>
    </xf>
    <xf numFmtId="176" fontId="4" fillId="5" borderId="2" xfId="0" applyNumberFormat="1" applyFont="1" applyFill="1" applyBorder="1" applyAlignment="1">
      <alignment horizontal="center" vertical="center" shrinkToFit="1"/>
    </xf>
    <xf numFmtId="176" fontId="4" fillId="5" borderId="29" xfId="0" applyNumberFormat="1" applyFont="1" applyFill="1" applyBorder="1" applyAlignment="1">
      <alignment horizontal="center" vertical="center" shrinkToFit="1"/>
    </xf>
    <xf numFmtId="176" fontId="4" fillId="5" borderId="26" xfId="0" applyNumberFormat="1" applyFont="1" applyFill="1" applyBorder="1" applyAlignment="1">
      <alignment horizontal="center" vertical="center" shrinkToFit="1"/>
    </xf>
    <xf numFmtId="0" fontId="27" fillId="5" borderId="2" xfId="0" applyFont="1" applyFill="1" applyBorder="1" applyAlignment="1">
      <alignment horizontal="center" vertical="center" shrinkToFit="1"/>
    </xf>
    <xf numFmtId="0" fontId="27" fillId="5" borderId="29" xfId="0" applyFont="1" applyFill="1" applyBorder="1" applyAlignment="1">
      <alignment horizontal="center" vertical="center" shrinkToFit="1"/>
    </xf>
    <xf numFmtId="0" fontId="27" fillId="5" borderId="26" xfId="0" applyFont="1" applyFill="1" applyBorder="1" applyAlignment="1">
      <alignment horizontal="center" vertical="center" shrinkToFit="1"/>
    </xf>
    <xf numFmtId="0" fontId="19" fillId="5" borderId="2" xfId="0" applyFont="1" applyFill="1" applyBorder="1" applyAlignment="1">
      <alignment horizontal="center" vertical="center" shrinkToFit="1"/>
    </xf>
    <xf numFmtId="0" fontId="19" fillId="5" borderId="29" xfId="0" applyFont="1" applyFill="1" applyBorder="1" applyAlignment="1">
      <alignment horizontal="center" vertical="center" shrinkToFit="1"/>
    </xf>
    <xf numFmtId="0" fontId="19" fillId="5" borderId="26" xfId="0" applyFont="1" applyFill="1" applyBorder="1" applyAlignment="1">
      <alignment horizontal="center" vertical="center" shrinkToFit="1"/>
    </xf>
    <xf numFmtId="183" fontId="20" fillId="5" borderId="2" xfId="0" applyNumberFormat="1" applyFont="1" applyFill="1" applyBorder="1" applyAlignment="1">
      <alignment horizontal="center" vertical="center" shrinkToFit="1"/>
    </xf>
    <xf numFmtId="183" fontId="20" fillId="5" borderId="29" xfId="0" applyNumberFormat="1" applyFont="1" applyFill="1" applyBorder="1" applyAlignment="1">
      <alignment horizontal="center" vertical="center" shrinkToFit="1"/>
    </xf>
    <xf numFmtId="183" fontId="20" fillId="5" borderId="26" xfId="0" applyNumberFormat="1" applyFont="1" applyFill="1" applyBorder="1" applyAlignment="1">
      <alignment horizontal="center" vertical="center" shrinkToFit="1"/>
    </xf>
    <xf numFmtId="26" fontId="20" fillId="5" borderId="2" xfId="0" applyNumberFormat="1" applyFont="1" applyFill="1" applyBorder="1" applyAlignment="1">
      <alignment horizontal="center" vertical="center" shrinkToFit="1"/>
    </xf>
    <xf numFmtId="26" fontId="20" fillId="5" borderId="29" xfId="0" applyNumberFormat="1" applyFont="1" applyFill="1" applyBorder="1" applyAlignment="1">
      <alignment horizontal="center" vertical="center" shrinkToFit="1"/>
    </xf>
    <xf numFmtId="26" fontId="20" fillId="5" borderId="26" xfId="0" applyNumberFormat="1" applyFont="1" applyFill="1" applyBorder="1" applyAlignment="1">
      <alignment horizontal="center" vertical="center" shrinkToFit="1"/>
    </xf>
    <xf numFmtId="0" fontId="4" fillId="5" borderId="1" xfId="0" applyFont="1" applyFill="1" applyBorder="1" applyAlignment="1">
      <alignment horizontal="center" vertical="center" shrinkToFit="1"/>
    </xf>
    <xf numFmtId="176" fontId="4" fillId="5" borderId="1" xfId="0" applyNumberFormat="1" applyFont="1" applyFill="1" applyBorder="1" applyAlignment="1">
      <alignment horizontal="center" vertical="center" shrinkToFit="1"/>
    </xf>
    <xf numFmtId="9" fontId="4" fillId="5" borderId="2" xfId="0" applyNumberFormat="1" applyFont="1" applyFill="1" applyBorder="1" applyAlignment="1">
      <alignment horizontal="center" vertical="center" shrinkToFit="1"/>
    </xf>
    <xf numFmtId="9" fontId="4" fillId="5" borderId="29" xfId="0" applyNumberFormat="1" applyFont="1" applyFill="1" applyBorder="1" applyAlignment="1">
      <alignment horizontal="center" vertical="center" shrinkToFit="1"/>
    </xf>
    <xf numFmtId="9" fontId="4" fillId="5" borderId="26" xfId="0" applyNumberFormat="1" applyFont="1" applyFill="1" applyBorder="1" applyAlignment="1">
      <alignment horizontal="center" vertical="center" shrinkToFit="1"/>
    </xf>
    <xf numFmtId="0" fontId="4" fillId="9" borderId="11" xfId="0" applyFont="1" applyFill="1" applyBorder="1" applyAlignment="1">
      <alignment horizontal="center" vertical="center" wrapText="1" shrinkToFit="1"/>
    </xf>
    <xf numFmtId="0" fontId="4" fillId="9" borderId="40" xfId="0" applyFont="1" applyFill="1" applyBorder="1" applyAlignment="1">
      <alignment horizontal="center" vertical="center" wrapText="1" shrinkToFit="1"/>
    </xf>
    <xf numFmtId="0" fontId="4" fillId="9" borderId="4" xfId="0" applyFont="1" applyFill="1" applyBorder="1" applyAlignment="1">
      <alignment horizontal="center" vertical="center" wrapText="1" shrinkToFit="1"/>
    </xf>
    <xf numFmtId="0" fontId="4" fillId="5" borderId="11" xfId="0" applyFont="1" applyFill="1" applyBorder="1" applyAlignment="1">
      <alignment horizontal="center" vertical="center" wrapText="1" shrinkToFit="1"/>
    </xf>
    <xf numFmtId="0" fontId="4" fillId="5" borderId="40" xfId="0" applyFont="1" applyFill="1" applyBorder="1" applyAlignment="1">
      <alignment horizontal="center" vertical="center" wrapText="1" shrinkToFit="1"/>
    </xf>
    <xf numFmtId="0" fontId="4" fillId="5" borderId="4" xfId="0" applyFont="1" applyFill="1" applyBorder="1" applyAlignment="1">
      <alignment horizontal="center" vertical="center" wrapText="1" shrinkToFit="1"/>
    </xf>
    <xf numFmtId="0" fontId="4" fillId="6" borderId="11" xfId="0" applyFont="1" applyFill="1" applyBorder="1" applyAlignment="1">
      <alignment horizontal="center" vertical="center" wrapText="1" shrinkToFit="1"/>
    </xf>
    <xf numFmtId="0" fontId="4" fillId="6" borderId="40" xfId="0" applyFont="1" applyFill="1" applyBorder="1" applyAlignment="1">
      <alignment horizontal="center" vertical="center" wrapText="1" shrinkToFit="1"/>
    </xf>
    <xf numFmtId="0" fontId="4" fillId="6" borderId="4" xfId="0" applyFont="1" applyFill="1" applyBorder="1" applyAlignment="1">
      <alignment horizontal="center" vertical="center" wrapText="1" shrinkToFit="1"/>
    </xf>
    <xf numFmtId="0" fontId="4" fillId="10" borderId="11" xfId="0" applyFont="1" applyFill="1" applyBorder="1" applyAlignment="1">
      <alignment horizontal="center" vertical="center" wrapText="1" shrinkToFit="1"/>
    </xf>
    <xf numFmtId="0" fontId="4" fillId="10" borderId="40" xfId="0" applyFont="1" applyFill="1" applyBorder="1" applyAlignment="1">
      <alignment horizontal="center" vertical="center" wrapText="1" shrinkToFit="1"/>
    </xf>
    <xf numFmtId="0" fontId="4" fillId="10" borderId="4" xfId="0" applyFont="1" applyFill="1" applyBorder="1" applyAlignment="1">
      <alignment horizontal="center" vertical="center" wrapText="1" shrinkToFit="1"/>
    </xf>
    <xf numFmtId="0" fontId="4" fillId="7" borderId="11" xfId="0" applyFont="1" applyFill="1" applyBorder="1" applyAlignment="1">
      <alignment horizontal="center" vertical="center" wrapText="1" shrinkToFit="1"/>
    </xf>
    <xf numFmtId="0" fontId="4" fillId="7" borderId="40" xfId="0" applyFont="1" applyFill="1" applyBorder="1" applyAlignment="1">
      <alignment horizontal="center" vertical="center" wrapText="1" shrinkToFit="1"/>
    </xf>
    <xf numFmtId="0" fontId="4" fillId="7" borderId="4" xfId="0" applyFont="1" applyFill="1" applyBorder="1" applyAlignment="1">
      <alignment horizontal="center" vertical="center" wrapText="1" shrinkToFit="1"/>
    </xf>
    <xf numFmtId="0" fontId="4" fillId="11" borderId="11" xfId="0" applyFont="1" applyFill="1" applyBorder="1" applyAlignment="1">
      <alignment horizontal="center" vertical="center" wrapText="1" shrinkToFit="1"/>
    </xf>
    <xf numFmtId="0" fontId="4" fillId="11" borderId="40" xfId="0" applyFont="1" applyFill="1" applyBorder="1" applyAlignment="1">
      <alignment horizontal="center" vertical="center" wrapText="1" shrinkToFit="1"/>
    </xf>
    <xf numFmtId="0" fontId="4" fillId="11" borderId="4" xfId="0" applyFont="1" applyFill="1" applyBorder="1" applyAlignment="1">
      <alignment horizontal="center" vertical="center" wrapText="1" shrinkToFit="1"/>
    </xf>
    <xf numFmtId="0" fontId="4" fillId="12" borderId="44" xfId="0" applyFont="1" applyFill="1" applyBorder="1" applyAlignment="1">
      <alignment horizontal="center" vertical="center" wrapText="1" shrinkToFit="1"/>
    </xf>
    <xf numFmtId="0" fontId="4" fillId="12" borderId="46" xfId="0" applyFont="1" applyFill="1" applyBorder="1" applyAlignment="1">
      <alignment horizontal="center" vertical="center" wrapText="1" shrinkToFit="1"/>
    </xf>
    <xf numFmtId="0" fontId="4" fillId="12" borderId="39" xfId="0" applyFont="1" applyFill="1" applyBorder="1" applyAlignment="1">
      <alignment horizontal="center" vertical="center" wrapText="1" shrinkToFit="1"/>
    </xf>
    <xf numFmtId="0" fontId="4" fillId="9" borderId="2" xfId="0" applyFont="1" applyFill="1" applyBorder="1" applyAlignment="1">
      <alignment horizontal="center" vertical="center" shrinkToFit="1"/>
    </xf>
    <xf numFmtId="0" fontId="4" fillId="9" borderId="29" xfId="0" applyFont="1" applyFill="1" applyBorder="1" applyAlignment="1">
      <alignment horizontal="center" vertical="center" shrinkToFit="1"/>
    </xf>
    <xf numFmtId="0" fontId="4" fillId="9" borderId="26" xfId="0" applyFont="1" applyFill="1" applyBorder="1" applyAlignment="1">
      <alignment horizontal="center" vertical="center" shrinkToFit="1"/>
    </xf>
    <xf numFmtId="0" fontId="4" fillId="6" borderId="2" xfId="0" applyFont="1" applyFill="1" applyBorder="1" applyAlignment="1">
      <alignment horizontal="center" vertical="center" shrinkToFit="1"/>
    </xf>
    <xf numFmtId="0" fontId="4" fillId="6" borderId="29" xfId="0" applyFont="1" applyFill="1" applyBorder="1" applyAlignment="1">
      <alignment horizontal="center" vertical="center" shrinkToFit="1"/>
    </xf>
    <xf numFmtId="0" fontId="4" fillId="6" borderId="26" xfId="0" applyFont="1" applyFill="1" applyBorder="1" applyAlignment="1">
      <alignment horizontal="center" vertical="center" shrinkToFit="1"/>
    </xf>
    <xf numFmtId="0" fontId="4" fillId="10" borderId="2" xfId="0" applyFont="1" applyFill="1" applyBorder="1" applyAlignment="1">
      <alignment horizontal="center" vertical="center" shrinkToFit="1"/>
    </xf>
    <xf numFmtId="0" fontId="4" fillId="10" borderId="29" xfId="0" applyFont="1" applyFill="1" applyBorder="1" applyAlignment="1">
      <alignment horizontal="center" vertical="center" shrinkToFit="1"/>
    </xf>
    <xf numFmtId="0" fontId="4" fillId="10" borderId="26" xfId="0" applyFont="1" applyFill="1" applyBorder="1" applyAlignment="1">
      <alignment horizontal="center" vertical="center" shrinkToFit="1"/>
    </xf>
    <xf numFmtId="0" fontId="4" fillId="7" borderId="2" xfId="0" applyFont="1" applyFill="1" applyBorder="1" applyAlignment="1">
      <alignment horizontal="center" vertical="center" shrinkToFit="1"/>
    </xf>
    <xf numFmtId="0" fontId="4" fillId="7" borderId="29" xfId="0" applyFont="1" applyFill="1" applyBorder="1" applyAlignment="1">
      <alignment horizontal="center" vertical="center" shrinkToFit="1"/>
    </xf>
    <xf numFmtId="0" fontId="4" fillId="7" borderId="26" xfId="0" applyFont="1" applyFill="1" applyBorder="1" applyAlignment="1">
      <alignment horizontal="center" vertical="center" shrinkToFit="1"/>
    </xf>
    <xf numFmtId="0" fontId="4" fillId="12" borderId="5" xfId="0" applyFont="1" applyFill="1" applyBorder="1" applyAlignment="1">
      <alignment horizontal="center" vertical="center" shrinkToFit="1"/>
    </xf>
    <xf numFmtId="0" fontId="4" fillId="12" borderId="56" xfId="0" applyFont="1" applyFill="1" applyBorder="1" applyAlignment="1">
      <alignment horizontal="center" vertical="center" shrinkToFit="1"/>
    </xf>
    <xf numFmtId="0" fontId="4" fillId="12" borderId="64" xfId="0" applyFont="1" applyFill="1" applyBorder="1" applyAlignment="1">
      <alignment horizontal="center" vertical="center" shrinkToFit="1"/>
    </xf>
    <xf numFmtId="0" fontId="4" fillId="12" borderId="26" xfId="0" applyFont="1" applyFill="1" applyBorder="1" applyAlignment="1">
      <alignment horizontal="center" vertical="center" shrinkToFit="1"/>
    </xf>
    <xf numFmtId="0" fontId="4" fillId="7" borderId="1" xfId="0" applyFont="1" applyFill="1" applyBorder="1" applyAlignment="1">
      <alignment horizontal="center" vertical="center" shrinkToFit="1"/>
    </xf>
    <xf numFmtId="10" fontId="20" fillId="0" borderId="58" xfId="0" applyNumberFormat="1" applyFont="1" applyBorder="1" applyAlignment="1">
      <alignment horizontal="center" vertical="center" shrinkToFit="1"/>
    </xf>
    <xf numFmtId="10" fontId="20" fillId="0" borderId="43" xfId="0" applyNumberFormat="1" applyFont="1" applyBorder="1" applyAlignment="1">
      <alignment horizontal="center" vertical="center" shrinkToFit="1"/>
    </xf>
    <xf numFmtId="10" fontId="20" fillId="0" borderId="44" xfId="0" applyNumberFormat="1" applyFont="1" applyBorder="1" applyAlignment="1">
      <alignment horizontal="center" vertical="center" shrinkToFit="1"/>
    </xf>
    <xf numFmtId="10" fontId="20" fillId="0" borderId="31" xfId="0" applyNumberFormat="1" applyFont="1" applyBorder="1" applyAlignment="1">
      <alignment horizontal="center" vertical="center" shrinkToFit="1"/>
    </xf>
    <xf numFmtId="10" fontId="20" fillId="0" borderId="0" xfId="0" applyNumberFormat="1" applyFont="1" applyAlignment="1">
      <alignment horizontal="center" vertical="center" shrinkToFit="1"/>
    </xf>
    <xf numFmtId="10" fontId="20" fillId="0" borderId="46" xfId="0" applyNumberFormat="1" applyFont="1" applyBorder="1" applyAlignment="1">
      <alignment horizontal="center" vertical="center" shrinkToFit="1"/>
    </xf>
    <xf numFmtId="10" fontId="20" fillId="0" borderId="21" xfId="0" applyNumberFormat="1" applyFont="1" applyBorder="1" applyAlignment="1">
      <alignment horizontal="center" vertical="center" shrinkToFit="1"/>
    </xf>
    <xf numFmtId="10" fontId="20" fillId="0" borderId="22" xfId="0" applyNumberFormat="1" applyFont="1" applyBorder="1" applyAlignment="1">
      <alignment horizontal="center" vertical="center" shrinkToFit="1"/>
    </xf>
    <xf numFmtId="10" fontId="20" fillId="0" borderId="60" xfId="0" applyNumberFormat="1" applyFont="1" applyBorder="1" applyAlignment="1">
      <alignment horizontal="center" vertical="center" shrinkToFit="1"/>
    </xf>
    <xf numFmtId="180" fontId="20" fillId="0" borderId="58" xfId="0" applyNumberFormat="1" applyFont="1" applyBorder="1" applyAlignment="1">
      <alignment horizontal="center" vertical="center" shrinkToFit="1"/>
    </xf>
    <xf numFmtId="180" fontId="20" fillId="0" borderId="43" xfId="0" applyNumberFormat="1" applyFont="1" applyBorder="1" applyAlignment="1">
      <alignment horizontal="center" vertical="center" shrinkToFit="1"/>
    </xf>
    <xf numFmtId="180" fontId="20" fillId="0" borderId="59" xfId="0" applyNumberFormat="1" applyFont="1" applyBorder="1" applyAlignment="1">
      <alignment horizontal="center" vertical="center" shrinkToFit="1"/>
    </xf>
    <xf numFmtId="180" fontId="20" fillId="0" borderId="31" xfId="0" applyNumberFormat="1" applyFont="1" applyBorder="1" applyAlignment="1">
      <alignment horizontal="center" vertical="center" shrinkToFit="1"/>
    </xf>
    <xf numFmtId="180" fontId="20" fillId="0" borderId="0" xfId="0" applyNumberFormat="1" applyFont="1" applyAlignment="1">
      <alignment horizontal="center" vertical="center" shrinkToFit="1"/>
    </xf>
    <xf numFmtId="180" fontId="20" fillId="0" borderId="32" xfId="0" applyNumberFormat="1" applyFont="1" applyBorder="1" applyAlignment="1">
      <alignment horizontal="center" vertical="center" shrinkToFit="1"/>
    </xf>
    <xf numFmtId="180" fontId="20" fillId="0" borderId="21" xfId="0" applyNumberFormat="1" applyFont="1" applyBorder="1" applyAlignment="1">
      <alignment horizontal="center" vertical="center" shrinkToFit="1"/>
    </xf>
    <xf numFmtId="180" fontId="20" fillId="0" borderId="22" xfId="0" applyNumberFormat="1" applyFont="1" applyBorder="1" applyAlignment="1">
      <alignment horizontal="center" vertical="center" shrinkToFit="1"/>
    </xf>
    <xf numFmtId="180" fontId="20" fillId="0" borderId="23" xfId="0" applyNumberFormat="1" applyFont="1" applyBorder="1" applyAlignment="1">
      <alignment horizontal="center" vertical="center" shrinkToFit="1"/>
    </xf>
    <xf numFmtId="0" fontId="21" fillId="8" borderId="27" xfId="0" applyFont="1" applyFill="1" applyBorder="1" applyAlignment="1">
      <alignment horizontal="center" vertical="center" shrinkToFit="1"/>
    </xf>
    <xf numFmtId="0" fontId="21" fillId="8" borderId="25" xfId="0" applyFont="1" applyFill="1" applyBorder="1" applyAlignment="1">
      <alignment horizontal="center" vertical="center" shrinkToFit="1"/>
    </xf>
    <xf numFmtId="0" fontId="21" fillId="8" borderId="57" xfId="0" applyFont="1" applyFill="1" applyBorder="1" applyAlignment="1">
      <alignment horizontal="center" vertical="center" shrinkToFit="1"/>
    </xf>
    <xf numFmtId="0" fontId="21" fillId="8" borderId="51" xfId="0" applyFont="1" applyFill="1" applyBorder="1" applyAlignment="1">
      <alignment horizontal="center" vertical="center" shrinkToFit="1"/>
    </xf>
    <xf numFmtId="0" fontId="21" fillId="8" borderId="37" xfId="0" applyFont="1" applyFill="1" applyBorder="1" applyAlignment="1">
      <alignment horizontal="center" vertical="center" shrinkToFit="1"/>
    </xf>
    <xf numFmtId="0" fontId="21" fillId="8" borderId="39" xfId="0" applyFont="1" applyFill="1" applyBorder="1" applyAlignment="1">
      <alignment horizontal="center" vertical="center" shrinkToFit="1"/>
    </xf>
    <xf numFmtId="0" fontId="26" fillId="8" borderId="27" xfId="0" applyFont="1" applyFill="1" applyBorder="1" applyAlignment="1">
      <alignment horizontal="center" vertical="center" shrinkToFit="1"/>
    </xf>
    <xf numFmtId="0" fontId="26" fillId="8" borderId="25" xfId="0" applyFont="1" applyFill="1" applyBorder="1" applyAlignment="1">
      <alignment horizontal="center" vertical="center" shrinkToFit="1"/>
    </xf>
    <xf numFmtId="0" fontId="26" fillId="8" borderId="24" xfId="0" applyFont="1" applyFill="1" applyBorder="1" applyAlignment="1">
      <alignment horizontal="center" vertical="center" shrinkToFit="1"/>
    </xf>
    <xf numFmtId="0" fontId="26" fillId="8" borderId="51" xfId="0" applyFont="1" applyFill="1" applyBorder="1" applyAlignment="1">
      <alignment horizontal="center" vertical="center" shrinkToFit="1"/>
    </xf>
    <xf numFmtId="0" fontId="26" fillId="8" borderId="37" xfId="0" applyFont="1" applyFill="1" applyBorder="1" applyAlignment="1">
      <alignment horizontal="center" vertical="center" shrinkToFit="1"/>
    </xf>
    <xf numFmtId="0" fontId="26" fillId="8" borderId="47" xfId="0" applyFont="1" applyFill="1" applyBorder="1" applyAlignment="1">
      <alignment horizontal="center" vertical="center" shrinkToFit="1"/>
    </xf>
    <xf numFmtId="176" fontId="20" fillId="0" borderId="58" xfId="0" applyNumberFormat="1" applyFont="1" applyBorder="1" applyAlignment="1">
      <alignment horizontal="center" vertical="center" shrinkToFit="1"/>
    </xf>
    <xf numFmtId="0" fontId="20" fillId="0" borderId="43" xfId="0" applyFont="1" applyBorder="1" applyAlignment="1">
      <alignment horizontal="center" vertical="center" shrinkToFit="1"/>
    </xf>
    <xf numFmtId="0" fontId="20" fillId="0" borderId="44" xfId="0" applyFont="1" applyBorder="1" applyAlignment="1">
      <alignment horizontal="center" vertical="center" shrinkToFit="1"/>
    </xf>
    <xf numFmtId="0" fontId="20" fillId="0" borderId="31" xfId="0" applyFont="1" applyBorder="1" applyAlignment="1">
      <alignment horizontal="center" vertical="center" shrinkToFit="1"/>
    </xf>
    <xf numFmtId="0" fontId="20" fillId="0" borderId="0" xfId="0" applyFont="1" applyAlignment="1">
      <alignment horizontal="center" vertical="center" shrinkToFit="1"/>
    </xf>
    <xf numFmtId="0" fontId="20" fillId="0" borderId="46" xfId="0" applyFont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 shrinkToFit="1"/>
    </xf>
    <xf numFmtId="0" fontId="20" fillId="0" borderId="60" xfId="0" applyFont="1" applyBorder="1" applyAlignment="1">
      <alignment horizontal="center" vertical="center" shrinkToFit="1"/>
    </xf>
    <xf numFmtId="0" fontId="20" fillId="0" borderId="58" xfId="0" applyFont="1" applyBorder="1" applyAlignment="1">
      <alignment horizontal="center" vertical="center" shrinkToFit="1"/>
    </xf>
    <xf numFmtId="0" fontId="20" fillId="0" borderId="59" xfId="0" applyFont="1" applyBorder="1" applyAlignment="1">
      <alignment horizontal="center" vertical="center" shrinkToFit="1"/>
    </xf>
    <xf numFmtId="0" fontId="20" fillId="0" borderId="32" xfId="0" applyFont="1" applyBorder="1" applyAlignment="1">
      <alignment horizontal="center" vertical="center" shrinkToFit="1"/>
    </xf>
    <xf numFmtId="0" fontId="20" fillId="0" borderId="23" xfId="0" applyFont="1" applyBorder="1" applyAlignment="1">
      <alignment horizontal="center" vertical="center" shrinkToFit="1"/>
    </xf>
    <xf numFmtId="0" fontId="9" fillId="8" borderId="1" xfId="0" applyFont="1" applyFill="1" applyBorder="1" applyAlignment="1">
      <alignment horizontal="center" vertical="center" shrinkToFit="1"/>
    </xf>
    <xf numFmtId="0" fontId="4" fillId="9" borderId="1" xfId="0" applyFont="1" applyFill="1" applyBorder="1" applyAlignment="1">
      <alignment horizontal="center" vertical="center" shrinkToFit="1"/>
    </xf>
    <xf numFmtId="0" fontId="18" fillId="8" borderId="1" xfId="0" applyFont="1" applyFill="1" applyBorder="1" applyAlignment="1">
      <alignment horizontal="center" shrinkToFit="1"/>
    </xf>
    <xf numFmtId="176" fontId="4" fillId="9" borderId="1" xfId="0" applyNumberFormat="1" applyFont="1" applyFill="1" applyBorder="1" applyAlignment="1">
      <alignment horizontal="center" vertical="center" shrinkToFit="1"/>
    </xf>
    <xf numFmtId="9" fontId="4" fillId="9" borderId="1" xfId="0" applyNumberFormat="1" applyFont="1" applyFill="1" applyBorder="1" applyAlignment="1">
      <alignment horizontal="center" vertical="center" shrinkToFit="1"/>
    </xf>
    <xf numFmtId="183" fontId="20" fillId="5" borderId="30" xfId="0" applyNumberFormat="1" applyFont="1" applyFill="1" applyBorder="1" applyAlignment="1">
      <alignment horizontal="center" vertical="center" shrinkToFit="1"/>
    </xf>
    <xf numFmtId="183" fontId="20" fillId="5" borderId="43" xfId="0" applyNumberFormat="1" applyFont="1" applyFill="1" applyBorder="1" applyAlignment="1">
      <alignment horizontal="center" vertical="center" shrinkToFit="1"/>
    </xf>
    <xf numFmtId="183" fontId="20" fillId="5" borderId="44" xfId="0" applyNumberFormat="1" applyFont="1" applyFill="1" applyBorder="1" applyAlignment="1">
      <alignment horizontal="center" vertical="center" shrinkToFit="1"/>
    </xf>
    <xf numFmtId="183" fontId="20" fillId="5" borderId="45" xfId="0" applyNumberFormat="1" applyFont="1" applyFill="1" applyBorder="1" applyAlignment="1">
      <alignment horizontal="center" vertical="center" shrinkToFit="1"/>
    </xf>
    <xf numFmtId="183" fontId="20" fillId="5" borderId="0" xfId="0" applyNumberFormat="1" applyFont="1" applyFill="1" applyBorder="1" applyAlignment="1">
      <alignment horizontal="center" vertical="center" shrinkToFit="1"/>
    </xf>
    <xf numFmtId="183" fontId="20" fillId="5" borderId="46" xfId="0" applyNumberFormat="1" applyFont="1" applyFill="1" applyBorder="1" applyAlignment="1">
      <alignment horizontal="center" vertical="center" shrinkToFit="1"/>
    </xf>
    <xf numFmtId="183" fontId="20" fillId="5" borderId="6" xfId="0" applyNumberFormat="1" applyFont="1" applyFill="1" applyBorder="1" applyAlignment="1">
      <alignment horizontal="center" vertical="center" shrinkToFit="1"/>
    </xf>
    <xf numFmtId="183" fontId="20" fillId="5" borderId="37" xfId="0" applyNumberFormat="1" applyFont="1" applyFill="1" applyBorder="1" applyAlignment="1">
      <alignment horizontal="center" vertical="center" shrinkToFit="1"/>
    </xf>
    <xf numFmtId="183" fontId="20" fillId="5" borderId="39" xfId="0" applyNumberFormat="1" applyFont="1" applyFill="1" applyBorder="1" applyAlignment="1">
      <alignment horizontal="center" vertical="center" shrinkToFit="1"/>
    </xf>
    <xf numFmtId="183" fontId="20" fillId="9" borderId="30" xfId="0" applyNumberFormat="1" applyFont="1" applyFill="1" applyBorder="1" applyAlignment="1">
      <alignment horizontal="center" vertical="center" shrinkToFit="1"/>
    </xf>
    <xf numFmtId="183" fontId="20" fillId="9" borderId="43" xfId="0" applyNumberFormat="1" applyFont="1" applyFill="1" applyBorder="1" applyAlignment="1">
      <alignment horizontal="center" vertical="center" shrinkToFit="1"/>
    </xf>
    <xf numFmtId="183" fontId="20" fillId="9" borderId="44" xfId="0" applyNumberFormat="1" applyFont="1" applyFill="1" applyBorder="1" applyAlignment="1">
      <alignment horizontal="center" vertical="center" shrinkToFit="1"/>
    </xf>
    <xf numFmtId="183" fontId="20" fillId="9" borderId="45" xfId="0" applyNumberFormat="1" applyFont="1" applyFill="1" applyBorder="1" applyAlignment="1">
      <alignment horizontal="center" vertical="center" shrinkToFit="1"/>
    </xf>
    <xf numFmtId="183" fontId="20" fillId="9" borderId="0" xfId="0" applyNumberFormat="1" applyFont="1" applyFill="1" applyBorder="1" applyAlignment="1">
      <alignment horizontal="center" vertical="center" shrinkToFit="1"/>
    </xf>
    <xf numFmtId="183" fontId="20" fillId="9" borderId="46" xfId="0" applyNumberFormat="1" applyFont="1" applyFill="1" applyBorder="1" applyAlignment="1">
      <alignment horizontal="center" vertical="center" shrinkToFit="1"/>
    </xf>
    <xf numFmtId="183" fontId="20" fillId="9" borderId="6" xfId="0" applyNumberFormat="1" applyFont="1" applyFill="1" applyBorder="1" applyAlignment="1">
      <alignment horizontal="center" vertical="center" shrinkToFit="1"/>
    </xf>
    <xf numFmtId="183" fontId="20" fillId="9" borderId="37" xfId="0" applyNumberFormat="1" applyFont="1" applyFill="1" applyBorder="1" applyAlignment="1">
      <alignment horizontal="center" vertical="center" shrinkToFit="1"/>
    </xf>
    <xf numFmtId="183" fontId="20" fillId="9" borderId="39" xfId="0" applyNumberFormat="1" applyFont="1" applyFill="1" applyBorder="1" applyAlignment="1">
      <alignment horizontal="center" vertical="center" shrinkToFit="1"/>
    </xf>
    <xf numFmtId="26" fontId="20" fillId="9" borderId="30" xfId="0" applyNumberFormat="1" applyFont="1" applyFill="1" applyBorder="1" applyAlignment="1">
      <alignment horizontal="center" vertical="center" shrinkToFit="1"/>
    </xf>
    <xf numFmtId="26" fontId="20" fillId="9" borderId="43" xfId="0" applyNumberFormat="1" applyFont="1" applyFill="1" applyBorder="1" applyAlignment="1">
      <alignment horizontal="center" vertical="center" shrinkToFit="1"/>
    </xf>
    <xf numFmtId="26" fontId="20" fillId="9" borderId="44" xfId="0" applyNumberFormat="1" applyFont="1" applyFill="1" applyBorder="1" applyAlignment="1">
      <alignment horizontal="center" vertical="center" shrinkToFit="1"/>
    </xf>
    <xf numFmtId="26" fontId="20" fillId="9" borderId="45" xfId="0" applyNumberFormat="1" applyFont="1" applyFill="1" applyBorder="1" applyAlignment="1">
      <alignment horizontal="center" vertical="center" shrinkToFit="1"/>
    </xf>
    <xf numFmtId="26" fontId="20" fillId="9" borderId="0" xfId="0" applyNumberFormat="1" applyFont="1" applyFill="1" applyBorder="1" applyAlignment="1">
      <alignment horizontal="center" vertical="center" shrinkToFit="1"/>
    </xf>
    <xf numFmtId="26" fontId="20" fillId="9" borderId="46" xfId="0" applyNumberFormat="1" applyFont="1" applyFill="1" applyBorder="1" applyAlignment="1">
      <alignment horizontal="center" vertical="center" shrinkToFit="1"/>
    </xf>
    <xf numFmtId="26" fontId="20" fillId="9" borderId="6" xfId="0" applyNumberFormat="1" applyFont="1" applyFill="1" applyBorder="1" applyAlignment="1">
      <alignment horizontal="center" vertical="center" shrinkToFit="1"/>
    </xf>
    <xf numFmtId="26" fontId="20" fillId="9" borderId="37" xfId="0" applyNumberFormat="1" applyFont="1" applyFill="1" applyBorder="1" applyAlignment="1">
      <alignment horizontal="center" vertical="center" shrinkToFit="1"/>
    </xf>
    <xf numFmtId="26" fontId="20" fillId="9" borderId="39" xfId="0" applyNumberFormat="1" applyFont="1" applyFill="1" applyBorder="1" applyAlignment="1">
      <alignment horizontal="center" vertical="center" shrinkToFit="1"/>
    </xf>
    <xf numFmtId="26" fontId="20" fillId="5" borderId="30" xfId="0" applyNumberFormat="1" applyFont="1" applyFill="1" applyBorder="1" applyAlignment="1">
      <alignment horizontal="center" vertical="center" shrinkToFit="1"/>
    </xf>
    <xf numFmtId="26" fontId="20" fillId="5" borderId="43" xfId="0" applyNumberFormat="1" applyFont="1" applyFill="1" applyBorder="1" applyAlignment="1">
      <alignment horizontal="center" vertical="center" shrinkToFit="1"/>
    </xf>
    <xf numFmtId="26" fontId="20" fillId="5" borderId="44" xfId="0" applyNumberFormat="1" applyFont="1" applyFill="1" applyBorder="1" applyAlignment="1">
      <alignment horizontal="center" vertical="center" shrinkToFit="1"/>
    </xf>
    <xf numFmtId="26" fontId="20" fillId="5" borderId="45" xfId="0" applyNumberFormat="1" applyFont="1" applyFill="1" applyBorder="1" applyAlignment="1">
      <alignment horizontal="center" vertical="center" shrinkToFit="1"/>
    </xf>
    <xf numFmtId="26" fontId="20" fillId="5" borderId="0" xfId="0" applyNumberFormat="1" applyFont="1" applyFill="1" applyBorder="1" applyAlignment="1">
      <alignment horizontal="center" vertical="center" shrinkToFit="1"/>
    </xf>
    <xf numFmtId="26" fontId="20" fillId="5" borderId="46" xfId="0" applyNumberFormat="1" applyFont="1" applyFill="1" applyBorder="1" applyAlignment="1">
      <alignment horizontal="center" vertical="center" shrinkToFit="1"/>
    </xf>
    <xf numFmtId="26" fontId="20" fillId="5" borderId="6" xfId="0" applyNumberFormat="1" applyFont="1" applyFill="1" applyBorder="1" applyAlignment="1">
      <alignment horizontal="center" vertical="center" shrinkToFit="1"/>
    </xf>
    <xf numFmtId="26" fontId="20" fillId="5" borderId="37" xfId="0" applyNumberFormat="1" applyFont="1" applyFill="1" applyBorder="1" applyAlignment="1">
      <alignment horizontal="center" vertical="center" shrinkToFit="1"/>
    </xf>
    <xf numFmtId="26" fontId="20" fillId="5" borderId="39" xfId="0" applyNumberFormat="1" applyFont="1" applyFill="1" applyBorder="1" applyAlignment="1">
      <alignment horizontal="center" vertical="center" shrinkToFit="1"/>
    </xf>
    <xf numFmtId="176" fontId="4" fillId="11" borderId="1" xfId="0" applyNumberFormat="1" applyFont="1" applyFill="1" applyBorder="1" applyAlignment="1">
      <alignment horizontal="center" vertical="center" shrinkToFit="1"/>
    </xf>
    <xf numFmtId="26" fontId="20" fillId="10" borderId="30" xfId="0" applyNumberFormat="1" applyFont="1" applyFill="1" applyBorder="1" applyAlignment="1">
      <alignment horizontal="center" vertical="center" shrinkToFit="1"/>
    </xf>
    <xf numFmtId="26" fontId="20" fillId="10" borderId="43" xfId="0" applyNumberFormat="1" applyFont="1" applyFill="1" applyBorder="1" applyAlignment="1">
      <alignment horizontal="center" vertical="center" shrinkToFit="1"/>
    </xf>
    <xf numFmtId="26" fontId="20" fillId="10" borderId="44" xfId="0" applyNumberFormat="1" applyFont="1" applyFill="1" applyBorder="1" applyAlignment="1">
      <alignment horizontal="center" vertical="center" shrinkToFit="1"/>
    </xf>
    <xf numFmtId="26" fontId="20" fillId="10" borderId="45" xfId="0" applyNumberFormat="1" applyFont="1" applyFill="1" applyBorder="1" applyAlignment="1">
      <alignment horizontal="center" vertical="center" shrinkToFit="1"/>
    </xf>
    <xf numFmtId="26" fontId="20" fillId="10" borderId="0" xfId="0" applyNumberFormat="1" applyFont="1" applyFill="1" applyBorder="1" applyAlignment="1">
      <alignment horizontal="center" vertical="center" shrinkToFit="1"/>
    </xf>
    <xf numFmtId="26" fontId="20" fillId="10" borderId="46" xfId="0" applyNumberFormat="1" applyFont="1" applyFill="1" applyBorder="1" applyAlignment="1">
      <alignment horizontal="center" vertical="center" shrinkToFit="1"/>
    </xf>
    <xf numFmtId="26" fontId="20" fillId="10" borderId="6" xfId="0" applyNumberFormat="1" applyFont="1" applyFill="1" applyBorder="1" applyAlignment="1">
      <alignment horizontal="center" vertical="center" shrinkToFit="1"/>
    </xf>
    <xf numFmtId="26" fontId="20" fillId="10" borderId="37" xfId="0" applyNumberFormat="1" applyFont="1" applyFill="1" applyBorder="1" applyAlignment="1">
      <alignment horizontal="center" vertical="center" shrinkToFit="1"/>
    </xf>
    <xf numFmtId="26" fontId="20" fillId="10" borderId="39" xfId="0" applyNumberFormat="1" applyFont="1" applyFill="1" applyBorder="1" applyAlignment="1">
      <alignment horizontal="center" vertical="center" shrinkToFit="1"/>
    </xf>
    <xf numFmtId="183" fontId="20" fillId="10" borderId="30" xfId="0" applyNumberFormat="1" applyFont="1" applyFill="1" applyBorder="1" applyAlignment="1">
      <alignment horizontal="center" vertical="center" shrinkToFit="1"/>
    </xf>
    <xf numFmtId="183" fontId="20" fillId="10" borderId="43" xfId="0" applyNumberFormat="1" applyFont="1" applyFill="1" applyBorder="1" applyAlignment="1">
      <alignment horizontal="center" vertical="center" shrinkToFit="1"/>
    </xf>
    <xf numFmtId="183" fontId="20" fillId="10" borderId="44" xfId="0" applyNumberFormat="1" applyFont="1" applyFill="1" applyBorder="1" applyAlignment="1">
      <alignment horizontal="center" vertical="center" shrinkToFit="1"/>
    </xf>
    <xf numFmtId="183" fontId="20" fillId="10" borderId="45" xfId="0" applyNumberFormat="1" applyFont="1" applyFill="1" applyBorder="1" applyAlignment="1">
      <alignment horizontal="center" vertical="center" shrinkToFit="1"/>
    </xf>
    <xf numFmtId="183" fontId="20" fillId="10" borderId="0" xfId="0" applyNumberFormat="1" applyFont="1" applyFill="1" applyBorder="1" applyAlignment="1">
      <alignment horizontal="center" vertical="center" shrinkToFit="1"/>
    </xf>
    <xf numFmtId="183" fontId="20" fillId="10" borderId="46" xfId="0" applyNumberFormat="1" applyFont="1" applyFill="1" applyBorder="1" applyAlignment="1">
      <alignment horizontal="center" vertical="center" shrinkToFit="1"/>
    </xf>
    <xf numFmtId="183" fontId="20" fillId="10" borderId="6" xfId="0" applyNumberFormat="1" applyFont="1" applyFill="1" applyBorder="1" applyAlignment="1">
      <alignment horizontal="center" vertical="center" shrinkToFit="1"/>
    </xf>
    <xf numFmtId="183" fontId="20" fillId="10" borderId="37" xfId="0" applyNumberFormat="1" applyFont="1" applyFill="1" applyBorder="1" applyAlignment="1">
      <alignment horizontal="center" vertical="center" shrinkToFit="1"/>
    </xf>
    <xf numFmtId="183" fontId="20" fillId="10" borderId="39" xfId="0" applyNumberFormat="1" applyFont="1" applyFill="1" applyBorder="1" applyAlignment="1">
      <alignment horizontal="center" vertical="center" shrinkToFit="1"/>
    </xf>
    <xf numFmtId="176" fontId="4" fillId="9" borderId="2" xfId="0" applyNumberFormat="1" applyFont="1" applyFill="1" applyBorder="1" applyAlignment="1">
      <alignment horizontal="center" vertical="center" shrinkToFit="1"/>
    </xf>
    <xf numFmtId="176" fontId="4" fillId="9" borderId="29" xfId="0" applyNumberFormat="1" applyFont="1" applyFill="1" applyBorder="1" applyAlignment="1">
      <alignment horizontal="center" vertical="center" shrinkToFit="1"/>
    </xf>
    <xf numFmtId="176" fontId="4" fillId="9" borderId="26" xfId="0" applyNumberFormat="1" applyFont="1" applyFill="1" applyBorder="1" applyAlignment="1">
      <alignment horizontal="center" vertical="center" shrinkToFit="1"/>
    </xf>
    <xf numFmtId="9" fontId="4" fillId="9" borderId="2" xfId="0" applyNumberFormat="1" applyFont="1" applyFill="1" applyBorder="1" applyAlignment="1">
      <alignment horizontal="center" vertical="center" shrinkToFit="1"/>
    </xf>
    <xf numFmtId="9" fontId="4" fillId="9" borderId="29" xfId="0" applyNumberFormat="1" applyFont="1" applyFill="1" applyBorder="1" applyAlignment="1">
      <alignment horizontal="center" vertical="center" shrinkToFit="1"/>
    </xf>
    <xf numFmtId="9" fontId="4" fillId="9" borderId="26" xfId="0" applyNumberFormat="1" applyFont="1" applyFill="1" applyBorder="1" applyAlignment="1">
      <alignment horizontal="center" vertical="center" shrinkToFit="1"/>
    </xf>
    <xf numFmtId="176" fontId="4" fillId="6" borderId="2" xfId="0" applyNumberFormat="1" applyFont="1" applyFill="1" applyBorder="1" applyAlignment="1">
      <alignment horizontal="center" vertical="center" shrinkToFit="1"/>
    </xf>
    <xf numFmtId="176" fontId="4" fillId="6" borderId="29" xfId="0" applyNumberFormat="1" applyFont="1" applyFill="1" applyBorder="1" applyAlignment="1">
      <alignment horizontal="center" vertical="center" shrinkToFit="1"/>
    </xf>
    <xf numFmtId="176" fontId="4" fillId="6" borderId="26" xfId="0" applyNumberFormat="1" applyFont="1" applyFill="1" applyBorder="1" applyAlignment="1">
      <alignment horizontal="center" vertical="center" shrinkToFit="1"/>
    </xf>
    <xf numFmtId="9" fontId="4" fillId="6" borderId="2" xfId="0" applyNumberFormat="1" applyFont="1" applyFill="1" applyBorder="1" applyAlignment="1">
      <alignment horizontal="center" vertical="center" shrinkToFit="1"/>
    </xf>
    <xf numFmtId="9" fontId="4" fillId="6" borderId="29" xfId="0" applyNumberFormat="1" applyFont="1" applyFill="1" applyBorder="1" applyAlignment="1">
      <alignment horizontal="center" vertical="center" shrinkToFit="1"/>
    </xf>
    <xf numFmtId="9" fontId="4" fillId="6" borderId="26" xfId="0" applyNumberFormat="1" applyFont="1" applyFill="1" applyBorder="1" applyAlignment="1">
      <alignment horizontal="center" vertical="center" shrinkToFit="1"/>
    </xf>
    <xf numFmtId="0" fontId="19" fillId="9" borderId="30" xfId="0" applyFont="1" applyFill="1" applyBorder="1" applyAlignment="1">
      <alignment horizontal="center" vertical="center" shrinkToFit="1"/>
    </xf>
    <xf numFmtId="0" fontId="19" fillId="9" borderId="43" xfId="0" applyFont="1" applyFill="1" applyBorder="1" applyAlignment="1">
      <alignment horizontal="center" vertical="center" shrinkToFit="1"/>
    </xf>
    <xf numFmtId="0" fontId="19" fillId="9" borderId="44" xfId="0" applyFont="1" applyFill="1" applyBorder="1" applyAlignment="1">
      <alignment horizontal="center" vertical="center" shrinkToFit="1"/>
    </xf>
    <xf numFmtId="0" fontId="19" fillId="9" borderId="45" xfId="0" applyFont="1" applyFill="1" applyBorder="1" applyAlignment="1">
      <alignment horizontal="center" vertical="center" shrinkToFit="1"/>
    </xf>
    <xf numFmtId="0" fontId="19" fillId="9" borderId="0" xfId="0" applyFont="1" applyFill="1" applyBorder="1" applyAlignment="1">
      <alignment horizontal="center" vertical="center" shrinkToFit="1"/>
    </xf>
    <xf numFmtId="0" fontId="19" fillId="9" borderId="46" xfId="0" applyFont="1" applyFill="1" applyBorder="1" applyAlignment="1">
      <alignment horizontal="center" vertical="center" shrinkToFit="1"/>
    </xf>
    <xf numFmtId="0" fontId="19" fillId="9" borderId="6" xfId="0" applyFont="1" applyFill="1" applyBorder="1" applyAlignment="1">
      <alignment horizontal="center" vertical="center" shrinkToFit="1"/>
    </xf>
    <xf numFmtId="0" fontId="19" fillId="9" borderId="37" xfId="0" applyFont="1" applyFill="1" applyBorder="1" applyAlignment="1">
      <alignment horizontal="center" vertical="center" shrinkToFit="1"/>
    </xf>
    <xf numFmtId="0" fontId="19" fillId="9" borderId="39" xfId="0" applyFont="1" applyFill="1" applyBorder="1" applyAlignment="1">
      <alignment horizontal="center" vertical="center" shrinkToFit="1"/>
    </xf>
    <xf numFmtId="0" fontId="19" fillId="6" borderId="30" xfId="0" applyFont="1" applyFill="1" applyBorder="1" applyAlignment="1">
      <alignment horizontal="center" vertical="center" shrinkToFit="1"/>
    </xf>
    <xf numFmtId="0" fontId="19" fillId="6" borderId="43" xfId="0" applyFont="1" applyFill="1" applyBorder="1" applyAlignment="1">
      <alignment horizontal="center" vertical="center" shrinkToFit="1"/>
    </xf>
    <xf numFmtId="0" fontId="19" fillId="6" borderId="44" xfId="0" applyFont="1" applyFill="1" applyBorder="1" applyAlignment="1">
      <alignment horizontal="center" vertical="center" shrinkToFit="1"/>
    </xf>
    <xf numFmtId="0" fontId="19" fillId="6" borderId="45" xfId="0" applyFont="1" applyFill="1" applyBorder="1" applyAlignment="1">
      <alignment horizontal="center" vertical="center" shrinkToFit="1"/>
    </xf>
    <xf numFmtId="0" fontId="19" fillId="6" borderId="0" xfId="0" applyFont="1" applyFill="1" applyBorder="1" applyAlignment="1">
      <alignment horizontal="center" vertical="center" shrinkToFit="1"/>
    </xf>
    <xf numFmtId="0" fontId="19" fillId="6" borderId="46" xfId="0" applyFont="1" applyFill="1" applyBorder="1" applyAlignment="1">
      <alignment horizontal="center" vertical="center" shrinkToFit="1"/>
    </xf>
    <xf numFmtId="0" fontId="19" fillId="6" borderId="6" xfId="0" applyFont="1" applyFill="1" applyBorder="1" applyAlignment="1">
      <alignment horizontal="center" vertical="center" shrinkToFit="1"/>
    </xf>
    <xf numFmtId="0" fontId="19" fillId="6" borderId="37" xfId="0" applyFont="1" applyFill="1" applyBorder="1" applyAlignment="1">
      <alignment horizontal="center" vertical="center" shrinkToFit="1"/>
    </xf>
    <xf numFmtId="0" fontId="19" fillId="6" borderId="39" xfId="0" applyFont="1" applyFill="1" applyBorder="1" applyAlignment="1">
      <alignment horizontal="center" vertical="center" shrinkToFit="1"/>
    </xf>
    <xf numFmtId="0" fontId="19" fillId="11" borderId="30" xfId="0" applyFont="1" applyFill="1" applyBorder="1" applyAlignment="1">
      <alignment horizontal="center" vertical="center" shrinkToFit="1"/>
    </xf>
    <xf numFmtId="0" fontId="19" fillId="11" borderId="43" xfId="0" applyFont="1" applyFill="1" applyBorder="1" applyAlignment="1">
      <alignment horizontal="center" vertical="center" shrinkToFit="1"/>
    </xf>
    <xf numFmtId="0" fontId="19" fillId="11" borderId="44" xfId="0" applyFont="1" applyFill="1" applyBorder="1" applyAlignment="1">
      <alignment horizontal="center" vertical="center" shrinkToFit="1"/>
    </xf>
    <xf numFmtId="0" fontId="19" fillId="11" borderId="45" xfId="0" applyFont="1" applyFill="1" applyBorder="1" applyAlignment="1">
      <alignment horizontal="center" vertical="center" shrinkToFit="1"/>
    </xf>
    <xf numFmtId="0" fontId="19" fillId="11" borderId="0" xfId="0" applyFont="1" applyFill="1" applyBorder="1" applyAlignment="1">
      <alignment horizontal="center" vertical="center" shrinkToFit="1"/>
    </xf>
    <xf numFmtId="0" fontId="19" fillId="11" borderId="46" xfId="0" applyFont="1" applyFill="1" applyBorder="1" applyAlignment="1">
      <alignment horizontal="center" vertical="center" shrinkToFit="1"/>
    </xf>
    <xf numFmtId="0" fontId="19" fillId="11" borderId="6" xfId="0" applyFont="1" applyFill="1" applyBorder="1" applyAlignment="1">
      <alignment horizontal="center" vertical="center" shrinkToFit="1"/>
    </xf>
    <xf numFmtId="0" fontId="19" fillId="11" borderId="37" xfId="0" applyFont="1" applyFill="1" applyBorder="1" applyAlignment="1">
      <alignment horizontal="center" vertical="center" shrinkToFit="1"/>
    </xf>
    <xf numFmtId="0" fontId="19" fillId="11" borderId="39" xfId="0" applyFont="1" applyFill="1" applyBorder="1" applyAlignment="1">
      <alignment horizontal="center" vertical="center" shrinkToFit="1"/>
    </xf>
    <xf numFmtId="9" fontId="4" fillId="11" borderId="2" xfId="0" applyNumberFormat="1" applyFont="1" applyFill="1" applyBorder="1" applyAlignment="1">
      <alignment horizontal="center" vertical="center" shrinkToFit="1"/>
    </xf>
    <xf numFmtId="9" fontId="4" fillId="11" borderId="29" xfId="0" applyNumberFormat="1" applyFont="1" applyFill="1" applyBorder="1" applyAlignment="1">
      <alignment horizontal="center" vertical="center" shrinkToFit="1"/>
    </xf>
    <xf numFmtId="9" fontId="4" fillId="11" borderId="26" xfId="0" applyNumberFormat="1" applyFont="1" applyFill="1" applyBorder="1" applyAlignment="1">
      <alignment horizontal="center" vertical="center" shrinkToFit="1"/>
    </xf>
    <xf numFmtId="0" fontId="19" fillId="5" borderId="30" xfId="0" applyFont="1" applyFill="1" applyBorder="1" applyAlignment="1">
      <alignment horizontal="center" vertical="center" shrinkToFit="1"/>
    </xf>
    <xf numFmtId="0" fontId="19" fillId="5" borderId="43" xfId="0" applyFont="1" applyFill="1" applyBorder="1" applyAlignment="1">
      <alignment horizontal="center" vertical="center" shrinkToFit="1"/>
    </xf>
    <xf numFmtId="0" fontId="19" fillId="5" borderId="44" xfId="0" applyFont="1" applyFill="1" applyBorder="1" applyAlignment="1">
      <alignment horizontal="center" vertical="center" shrinkToFit="1"/>
    </xf>
    <xf numFmtId="0" fontId="19" fillId="5" borderId="45" xfId="0" applyFont="1" applyFill="1" applyBorder="1" applyAlignment="1">
      <alignment horizontal="center" vertical="center" shrinkToFit="1"/>
    </xf>
    <xf numFmtId="0" fontId="19" fillId="5" borderId="0" xfId="0" applyFont="1" applyFill="1" applyBorder="1" applyAlignment="1">
      <alignment horizontal="center" vertical="center" shrinkToFit="1"/>
    </xf>
    <xf numFmtId="0" fontId="19" fillId="5" borderId="46" xfId="0" applyFont="1" applyFill="1" applyBorder="1" applyAlignment="1">
      <alignment horizontal="center" vertical="center" shrinkToFit="1"/>
    </xf>
    <xf numFmtId="0" fontId="19" fillId="5" borderId="6" xfId="0" applyFont="1" applyFill="1" applyBorder="1" applyAlignment="1">
      <alignment horizontal="center" vertical="center" shrinkToFit="1"/>
    </xf>
    <xf numFmtId="0" fontId="19" fillId="5" borderId="37" xfId="0" applyFont="1" applyFill="1" applyBorder="1" applyAlignment="1">
      <alignment horizontal="center" vertical="center" shrinkToFit="1"/>
    </xf>
    <xf numFmtId="0" fontId="19" fillId="5" borderId="39" xfId="0" applyFont="1" applyFill="1" applyBorder="1" applyAlignment="1">
      <alignment horizontal="center" vertical="center" shrinkToFit="1"/>
    </xf>
    <xf numFmtId="0" fontId="19" fillId="10" borderId="30" xfId="0" applyFont="1" applyFill="1" applyBorder="1" applyAlignment="1">
      <alignment horizontal="center" vertical="center" shrinkToFit="1"/>
    </xf>
    <xf numFmtId="0" fontId="19" fillId="10" borderId="43" xfId="0" applyFont="1" applyFill="1" applyBorder="1" applyAlignment="1">
      <alignment horizontal="center" vertical="center" shrinkToFit="1"/>
    </xf>
    <xf numFmtId="0" fontId="19" fillId="10" borderId="44" xfId="0" applyFont="1" applyFill="1" applyBorder="1" applyAlignment="1">
      <alignment horizontal="center" vertical="center" shrinkToFit="1"/>
    </xf>
    <xf numFmtId="0" fontId="19" fillId="10" borderId="45" xfId="0" applyFont="1" applyFill="1" applyBorder="1" applyAlignment="1">
      <alignment horizontal="center" vertical="center" shrinkToFit="1"/>
    </xf>
    <xf numFmtId="0" fontId="19" fillId="10" borderId="0" xfId="0" applyFont="1" applyFill="1" applyBorder="1" applyAlignment="1">
      <alignment horizontal="center" vertical="center" shrinkToFit="1"/>
    </xf>
    <xf numFmtId="0" fontId="19" fillId="10" borderId="46" xfId="0" applyFont="1" applyFill="1" applyBorder="1" applyAlignment="1">
      <alignment horizontal="center" vertical="center" shrinkToFit="1"/>
    </xf>
    <xf numFmtId="0" fontId="19" fillId="10" borderId="6" xfId="0" applyFont="1" applyFill="1" applyBorder="1" applyAlignment="1">
      <alignment horizontal="center" vertical="center" shrinkToFit="1"/>
    </xf>
    <xf numFmtId="0" fontId="19" fillId="10" borderId="37" xfId="0" applyFont="1" applyFill="1" applyBorder="1" applyAlignment="1">
      <alignment horizontal="center" vertical="center" shrinkToFit="1"/>
    </xf>
    <xf numFmtId="0" fontId="19" fillId="10" borderId="39" xfId="0" applyFont="1" applyFill="1" applyBorder="1" applyAlignment="1">
      <alignment horizontal="center" vertical="center" shrinkToFit="1"/>
    </xf>
    <xf numFmtId="0" fontId="27" fillId="9" borderId="2" xfId="0" applyFont="1" applyFill="1" applyBorder="1" applyAlignment="1">
      <alignment horizontal="center" vertical="center" shrinkToFit="1"/>
    </xf>
    <xf numFmtId="0" fontId="27" fillId="9" borderId="29" xfId="0" applyFont="1" applyFill="1" applyBorder="1" applyAlignment="1">
      <alignment horizontal="center" vertical="center" shrinkToFit="1"/>
    </xf>
    <xf numFmtId="0" fontId="27" fillId="9" borderId="26" xfId="0" applyFont="1" applyFill="1" applyBorder="1" applyAlignment="1">
      <alignment horizontal="center" vertical="center" shrinkToFit="1"/>
    </xf>
    <xf numFmtId="0" fontId="19" fillId="9" borderId="2" xfId="0" applyFont="1" applyFill="1" applyBorder="1" applyAlignment="1">
      <alignment horizontal="center" vertical="center" shrinkToFit="1"/>
    </xf>
    <xf numFmtId="0" fontId="19" fillId="9" borderId="29" xfId="0" applyFont="1" applyFill="1" applyBorder="1" applyAlignment="1">
      <alignment horizontal="center" vertical="center" shrinkToFit="1"/>
    </xf>
    <xf numFmtId="0" fontId="19" fillId="9" borderId="26" xfId="0" applyFont="1" applyFill="1" applyBorder="1" applyAlignment="1">
      <alignment horizontal="center" vertical="center" shrinkToFit="1"/>
    </xf>
    <xf numFmtId="0" fontId="27" fillId="6" borderId="2" xfId="0" applyFont="1" applyFill="1" applyBorder="1" applyAlignment="1">
      <alignment horizontal="center" vertical="center" shrinkToFit="1"/>
    </xf>
    <xf numFmtId="0" fontId="27" fillId="6" borderId="29" xfId="0" applyFont="1" applyFill="1" applyBorder="1" applyAlignment="1">
      <alignment horizontal="center" vertical="center" shrinkToFit="1"/>
    </xf>
    <xf numFmtId="0" fontId="27" fillId="6" borderId="26" xfId="0" applyFont="1" applyFill="1" applyBorder="1" applyAlignment="1">
      <alignment horizontal="center" vertical="center" shrinkToFit="1"/>
    </xf>
    <xf numFmtId="176" fontId="4" fillId="10" borderId="2" xfId="0" applyNumberFormat="1" applyFont="1" applyFill="1" applyBorder="1" applyAlignment="1">
      <alignment horizontal="center" vertical="center" shrinkToFit="1"/>
    </xf>
    <xf numFmtId="176" fontId="4" fillId="10" borderId="29" xfId="0" applyNumberFormat="1" applyFont="1" applyFill="1" applyBorder="1" applyAlignment="1">
      <alignment horizontal="center" vertical="center" shrinkToFit="1"/>
    </xf>
    <xf numFmtId="176" fontId="4" fillId="10" borderId="26" xfId="0" applyNumberFormat="1" applyFont="1" applyFill="1" applyBorder="1" applyAlignment="1">
      <alignment horizontal="center" vertical="center" shrinkToFit="1"/>
    </xf>
    <xf numFmtId="183" fontId="20" fillId="7" borderId="30" xfId="0" applyNumberFormat="1" applyFont="1" applyFill="1" applyBorder="1" applyAlignment="1">
      <alignment horizontal="center" vertical="center" shrinkToFit="1"/>
    </xf>
    <xf numFmtId="183" fontId="20" fillId="7" borderId="43" xfId="0" applyNumberFormat="1" applyFont="1" applyFill="1" applyBorder="1" applyAlignment="1">
      <alignment horizontal="center" vertical="center" shrinkToFit="1"/>
    </xf>
    <xf numFmtId="183" fontId="20" fillId="7" borderId="44" xfId="0" applyNumberFormat="1" applyFont="1" applyFill="1" applyBorder="1" applyAlignment="1">
      <alignment horizontal="center" vertical="center" shrinkToFit="1"/>
    </xf>
    <xf numFmtId="183" fontId="20" fillId="7" borderId="45" xfId="0" applyNumberFormat="1" applyFont="1" applyFill="1" applyBorder="1" applyAlignment="1">
      <alignment horizontal="center" vertical="center" shrinkToFit="1"/>
    </xf>
    <xf numFmtId="183" fontId="20" fillId="7" borderId="0" xfId="0" applyNumberFormat="1" applyFont="1" applyFill="1" applyBorder="1" applyAlignment="1">
      <alignment horizontal="center" vertical="center" shrinkToFit="1"/>
    </xf>
    <xf numFmtId="183" fontId="20" fillId="7" borderId="46" xfId="0" applyNumberFormat="1" applyFont="1" applyFill="1" applyBorder="1" applyAlignment="1">
      <alignment horizontal="center" vertical="center" shrinkToFit="1"/>
    </xf>
    <xf numFmtId="183" fontId="20" fillId="7" borderId="6" xfId="0" applyNumberFormat="1" applyFont="1" applyFill="1" applyBorder="1" applyAlignment="1">
      <alignment horizontal="center" vertical="center" shrinkToFit="1"/>
    </xf>
    <xf numFmtId="183" fontId="20" fillId="7" borderId="37" xfId="0" applyNumberFormat="1" applyFont="1" applyFill="1" applyBorder="1" applyAlignment="1">
      <alignment horizontal="center" vertical="center" shrinkToFit="1"/>
    </xf>
    <xf numFmtId="183" fontId="20" fillId="7" borderId="39" xfId="0" applyNumberFormat="1" applyFont="1" applyFill="1" applyBorder="1" applyAlignment="1">
      <alignment horizontal="center" vertical="center" shrinkToFit="1"/>
    </xf>
    <xf numFmtId="9" fontId="4" fillId="10" borderId="2" xfId="0" applyNumberFormat="1" applyFont="1" applyFill="1" applyBorder="1" applyAlignment="1">
      <alignment horizontal="center" vertical="center" shrinkToFit="1"/>
    </xf>
    <xf numFmtId="9" fontId="4" fillId="10" borderId="29" xfId="0" applyNumberFormat="1" applyFont="1" applyFill="1" applyBorder="1" applyAlignment="1">
      <alignment horizontal="center" vertical="center" shrinkToFit="1"/>
    </xf>
    <xf numFmtId="9" fontId="4" fillId="10" borderId="26" xfId="0" applyNumberFormat="1" applyFont="1" applyFill="1" applyBorder="1" applyAlignment="1">
      <alignment horizontal="center" vertical="center" shrinkToFit="1"/>
    </xf>
    <xf numFmtId="0" fontId="19" fillId="12" borderId="5" xfId="0" applyFont="1" applyFill="1" applyBorder="1" applyAlignment="1">
      <alignment horizontal="center" vertical="center" shrinkToFit="1"/>
    </xf>
    <xf numFmtId="0" fontId="19" fillId="12" borderId="56" xfId="0" applyFont="1" applyFill="1" applyBorder="1" applyAlignment="1">
      <alignment horizontal="center" vertical="center" shrinkToFit="1"/>
    </xf>
    <xf numFmtId="0" fontId="19" fillId="12" borderId="64" xfId="0" applyFont="1" applyFill="1" applyBorder="1" applyAlignment="1">
      <alignment horizontal="center" vertical="center" shrinkToFit="1"/>
    </xf>
    <xf numFmtId="0" fontId="19" fillId="12" borderId="1" xfId="0" applyFont="1" applyFill="1" applyBorder="1" applyAlignment="1">
      <alignment horizontal="center" vertical="center" shrinkToFit="1"/>
    </xf>
    <xf numFmtId="0" fontId="27" fillId="10" borderId="2" xfId="0" applyFont="1" applyFill="1" applyBorder="1" applyAlignment="1">
      <alignment horizontal="center" vertical="center" shrinkToFit="1"/>
    </xf>
    <xf numFmtId="0" fontId="27" fillId="10" borderId="29" xfId="0" applyFont="1" applyFill="1" applyBorder="1" applyAlignment="1">
      <alignment horizontal="center" vertical="center" shrinkToFit="1"/>
    </xf>
    <xf numFmtId="0" fontId="27" fillId="10" borderId="26" xfId="0" applyFont="1" applyFill="1" applyBorder="1" applyAlignment="1">
      <alignment horizontal="center" vertical="center" shrinkToFit="1"/>
    </xf>
    <xf numFmtId="0" fontId="27" fillId="7" borderId="2" xfId="0" applyFont="1" applyFill="1" applyBorder="1" applyAlignment="1">
      <alignment horizontal="center" vertical="center" shrinkToFit="1"/>
    </xf>
    <xf numFmtId="0" fontId="27" fillId="7" borderId="29" xfId="0" applyFont="1" applyFill="1" applyBorder="1" applyAlignment="1">
      <alignment horizontal="center" vertical="center" shrinkToFit="1"/>
    </xf>
    <xf numFmtId="0" fontId="27" fillId="7" borderId="26" xfId="0" applyFont="1" applyFill="1" applyBorder="1" applyAlignment="1">
      <alignment horizontal="center" vertical="center" shrinkToFit="1"/>
    </xf>
    <xf numFmtId="26" fontId="20" fillId="7" borderId="30" xfId="0" applyNumberFormat="1" applyFont="1" applyFill="1" applyBorder="1" applyAlignment="1">
      <alignment horizontal="center" vertical="center" shrinkToFit="1"/>
    </xf>
    <xf numFmtId="26" fontId="20" fillId="7" borderId="43" xfId="0" applyNumberFormat="1" applyFont="1" applyFill="1" applyBorder="1" applyAlignment="1">
      <alignment horizontal="center" vertical="center" shrinkToFit="1"/>
    </xf>
    <xf numFmtId="26" fontId="20" fillId="7" borderId="44" xfId="0" applyNumberFormat="1" applyFont="1" applyFill="1" applyBorder="1" applyAlignment="1">
      <alignment horizontal="center" vertical="center" shrinkToFit="1"/>
    </xf>
    <xf numFmtId="26" fontId="20" fillId="7" borderId="45" xfId="0" applyNumberFormat="1" applyFont="1" applyFill="1" applyBorder="1" applyAlignment="1">
      <alignment horizontal="center" vertical="center" shrinkToFit="1"/>
    </xf>
    <xf numFmtId="26" fontId="20" fillId="7" borderId="0" xfId="0" applyNumberFormat="1" applyFont="1" applyFill="1" applyBorder="1" applyAlignment="1">
      <alignment horizontal="center" vertical="center" shrinkToFit="1"/>
    </xf>
    <xf numFmtId="26" fontId="20" fillId="7" borderId="46" xfId="0" applyNumberFormat="1" applyFont="1" applyFill="1" applyBorder="1" applyAlignment="1">
      <alignment horizontal="center" vertical="center" shrinkToFit="1"/>
    </xf>
    <xf numFmtId="26" fontId="20" fillId="7" borderId="6" xfId="0" applyNumberFormat="1" applyFont="1" applyFill="1" applyBorder="1" applyAlignment="1">
      <alignment horizontal="center" vertical="center" shrinkToFit="1"/>
    </xf>
    <xf numFmtId="26" fontId="20" fillId="7" borderId="37" xfId="0" applyNumberFormat="1" applyFont="1" applyFill="1" applyBorder="1" applyAlignment="1">
      <alignment horizontal="center" vertical="center" shrinkToFit="1"/>
    </xf>
    <xf numFmtId="26" fontId="20" fillId="7" borderId="39" xfId="0" applyNumberFormat="1" applyFont="1" applyFill="1" applyBorder="1" applyAlignment="1">
      <alignment horizontal="center" vertical="center" shrinkToFit="1"/>
    </xf>
    <xf numFmtId="26" fontId="20" fillId="11" borderId="30" xfId="0" applyNumberFormat="1" applyFont="1" applyFill="1" applyBorder="1" applyAlignment="1">
      <alignment horizontal="center" vertical="center" shrinkToFit="1"/>
    </xf>
    <xf numFmtId="26" fontId="20" fillId="11" borderId="43" xfId="0" applyNumberFormat="1" applyFont="1" applyFill="1" applyBorder="1" applyAlignment="1">
      <alignment horizontal="center" vertical="center" shrinkToFit="1"/>
    </xf>
    <xf numFmtId="26" fontId="20" fillId="11" borderId="44" xfId="0" applyNumberFormat="1" applyFont="1" applyFill="1" applyBorder="1" applyAlignment="1">
      <alignment horizontal="center" vertical="center" shrinkToFit="1"/>
    </xf>
    <xf numFmtId="26" fontId="20" fillId="11" borderId="45" xfId="0" applyNumberFormat="1" applyFont="1" applyFill="1" applyBorder="1" applyAlignment="1">
      <alignment horizontal="center" vertical="center" shrinkToFit="1"/>
    </xf>
    <xf numFmtId="26" fontId="20" fillId="11" borderId="0" xfId="0" applyNumberFormat="1" applyFont="1" applyFill="1" applyBorder="1" applyAlignment="1">
      <alignment horizontal="center" vertical="center" shrinkToFit="1"/>
    </xf>
    <xf numFmtId="26" fontId="20" fillId="11" borderId="46" xfId="0" applyNumberFormat="1" applyFont="1" applyFill="1" applyBorder="1" applyAlignment="1">
      <alignment horizontal="center" vertical="center" shrinkToFit="1"/>
    </xf>
    <xf numFmtId="26" fontId="20" fillId="11" borderId="6" xfId="0" applyNumberFormat="1" applyFont="1" applyFill="1" applyBorder="1" applyAlignment="1">
      <alignment horizontal="center" vertical="center" shrinkToFit="1"/>
    </xf>
    <xf numFmtId="26" fontId="20" fillId="11" borderId="37" xfId="0" applyNumberFormat="1" applyFont="1" applyFill="1" applyBorder="1" applyAlignment="1">
      <alignment horizontal="center" vertical="center" shrinkToFit="1"/>
    </xf>
    <xf numFmtId="26" fontId="20" fillId="11" borderId="39" xfId="0" applyNumberFormat="1" applyFont="1" applyFill="1" applyBorder="1" applyAlignment="1">
      <alignment horizontal="center" vertical="center" shrinkToFit="1"/>
    </xf>
    <xf numFmtId="183" fontId="20" fillId="11" borderId="30" xfId="0" applyNumberFormat="1" applyFont="1" applyFill="1" applyBorder="1" applyAlignment="1">
      <alignment horizontal="center" vertical="center" shrinkToFit="1"/>
    </xf>
    <xf numFmtId="183" fontId="20" fillId="11" borderId="43" xfId="0" applyNumberFormat="1" applyFont="1" applyFill="1" applyBorder="1" applyAlignment="1">
      <alignment horizontal="center" vertical="center" shrinkToFit="1"/>
    </xf>
    <xf numFmtId="183" fontId="20" fillId="11" borderId="44" xfId="0" applyNumberFormat="1" applyFont="1" applyFill="1" applyBorder="1" applyAlignment="1">
      <alignment horizontal="center" vertical="center" shrinkToFit="1"/>
    </xf>
    <xf numFmtId="183" fontId="20" fillId="11" borderId="45" xfId="0" applyNumberFormat="1" applyFont="1" applyFill="1" applyBorder="1" applyAlignment="1">
      <alignment horizontal="center" vertical="center" shrinkToFit="1"/>
    </xf>
    <xf numFmtId="183" fontId="20" fillId="11" borderId="0" xfId="0" applyNumberFormat="1" applyFont="1" applyFill="1" applyBorder="1" applyAlignment="1">
      <alignment horizontal="center" vertical="center" shrinkToFit="1"/>
    </xf>
    <xf numFmtId="183" fontId="20" fillId="11" borderId="46" xfId="0" applyNumberFormat="1" applyFont="1" applyFill="1" applyBorder="1" applyAlignment="1">
      <alignment horizontal="center" vertical="center" shrinkToFit="1"/>
    </xf>
    <xf numFmtId="183" fontId="20" fillId="11" borderId="6" xfId="0" applyNumberFormat="1" applyFont="1" applyFill="1" applyBorder="1" applyAlignment="1">
      <alignment horizontal="center" vertical="center" shrinkToFit="1"/>
    </xf>
    <xf numFmtId="183" fontId="20" fillId="11" borderId="37" xfId="0" applyNumberFormat="1" applyFont="1" applyFill="1" applyBorder="1" applyAlignment="1">
      <alignment horizontal="center" vertical="center" shrinkToFit="1"/>
    </xf>
    <xf numFmtId="183" fontId="20" fillId="11" borderId="39" xfId="0" applyNumberFormat="1" applyFont="1" applyFill="1" applyBorder="1" applyAlignment="1">
      <alignment horizontal="center" vertical="center" shrinkToFit="1"/>
    </xf>
    <xf numFmtId="176" fontId="4" fillId="7" borderId="2" xfId="0" applyNumberFormat="1" applyFont="1" applyFill="1" applyBorder="1" applyAlignment="1">
      <alignment horizontal="center" vertical="center" shrinkToFit="1"/>
    </xf>
    <xf numFmtId="176" fontId="4" fillId="7" borderId="29" xfId="0" applyNumberFormat="1" applyFont="1" applyFill="1" applyBorder="1" applyAlignment="1">
      <alignment horizontal="center" vertical="center" shrinkToFit="1"/>
    </xf>
    <xf numFmtId="176" fontId="4" fillId="7" borderId="26" xfId="0" applyNumberFormat="1" applyFont="1" applyFill="1" applyBorder="1" applyAlignment="1">
      <alignment horizontal="center" vertical="center" shrinkToFit="1"/>
    </xf>
    <xf numFmtId="9" fontId="4" fillId="7" borderId="2" xfId="0" applyNumberFormat="1" applyFont="1" applyFill="1" applyBorder="1" applyAlignment="1">
      <alignment horizontal="center" vertical="center" shrinkToFit="1"/>
    </xf>
    <xf numFmtId="9" fontId="4" fillId="7" borderId="29" xfId="0" applyNumberFormat="1" applyFont="1" applyFill="1" applyBorder="1" applyAlignment="1">
      <alignment horizontal="center" vertical="center" shrinkToFit="1"/>
    </xf>
    <xf numFmtId="9" fontId="4" fillId="7" borderId="26" xfId="0" applyNumberFormat="1" applyFont="1" applyFill="1" applyBorder="1" applyAlignment="1">
      <alignment horizontal="center" vertical="center" shrinkToFit="1"/>
    </xf>
    <xf numFmtId="0" fontId="19" fillId="7" borderId="30" xfId="0" applyFont="1" applyFill="1" applyBorder="1" applyAlignment="1">
      <alignment horizontal="center" vertical="center" shrinkToFit="1"/>
    </xf>
    <xf numFmtId="0" fontId="19" fillId="7" borderId="43" xfId="0" applyFont="1" applyFill="1" applyBorder="1" applyAlignment="1">
      <alignment horizontal="center" vertical="center" shrinkToFit="1"/>
    </xf>
    <xf numFmtId="0" fontId="19" fillId="7" borderId="44" xfId="0" applyFont="1" applyFill="1" applyBorder="1" applyAlignment="1">
      <alignment horizontal="center" vertical="center" shrinkToFit="1"/>
    </xf>
    <xf numFmtId="0" fontId="19" fillId="7" borderId="45" xfId="0" applyFont="1" applyFill="1" applyBorder="1" applyAlignment="1">
      <alignment horizontal="center" vertical="center" shrinkToFit="1"/>
    </xf>
    <xf numFmtId="0" fontId="19" fillId="7" borderId="0" xfId="0" applyFont="1" applyFill="1" applyBorder="1" applyAlignment="1">
      <alignment horizontal="center" vertical="center" shrinkToFit="1"/>
    </xf>
    <xf numFmtId="0" fontId="19" fillId="7" borderId="46" xfId="0" applyFont="1" applyFill="1" applyBorder="1" applyAlignment="1">
      <alignment horizontal="center" vertical="center" shrinkToFit="1"/>
    </xf>
    <xf numFmtId="0" fontId="19" fillId="7" borderId="6" xfId="0" applyFont="1" applyFill="1" applyBorder="1" applyAlignment="1">
      <alignment horizontal="center" vertical="center" shrinkToFit="1"/>
    </xf>
    <xf numFmtId="0" fontId="19" fillId="7" borderId="37" xfId="0" applyFont="1" applyFill="1" applyBorder="1" applyAlignment="1">
      <alignment horizontal="center" vertical="center" shrinkToFit="1"/>
    </xf>
    <xf numFmtId="0" fontId="19" fillId="7" borderId="39" xfId="0" applyFont="1" applyFill="1" applyBorder="1" applyAlignment="1">
      <alignment horizontal="center" vertical="center" shrinkToFit="1"/>
    </xf>
    <xf numFmtId="0" fontId="21" fillId="8" borderId="13" xfId="0" applyFont="1" applyFill="1" applyBorder="1" applyAlignment="1">
      <alignment horizontal="center" vertical="center" shrinkToFit="1"/>
    </xf>
    <xf numFmtId="0" fontId="21" fillId="8" borderId="14" xfId="0" applyFont="1" applyFill="1" applyBorder="1" applyAlignment="1">
      <alignment horizontal="center" vertical="center" shrinkToFit="1"/>
    </xf>
    <xf numFmtId="0" fontId="21" fillId="8" borderId="9" xfId="0" applyFont="1" applyFill="1" applyBorder="1" applyAlignment="1">
      <alignment horizontal="center" vertical="center" shrinkToFit="1"/>
    </xf>
    <xf numFmtId="0" fontId="21" fillId="8" borderId="1" xfId="0" applyFont="1" applyFill="1" applyBorder="1" applyAlignment="1">
      <alignment horizontal="center" vertical="center" shrinkToFit="1"/>
    </xf>
    <xf numFmtId="0" fontId="20" fillId="0" borderId="9" xfId="0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center" shrinkToFit="1"/>
    </xf>
    <xf numFmtId="0" fontId="20" fillId="0" borderId="10" xfId="0" applyFont="1" applyBorder="1" applyAlignment="1">
      <alignment horizontal="center" vertical="center" shrinkToFit="1"/>
    </xf>
    <xf numFmtId="0" fontId="20" fillId="0" borderId="3" xfId="0" applyFont="1" applyBorder="1" applyAlignment="1">
      <alignment horizontal="center" vertical="center" shrinkToFit="1"/>
    </xf>
    <xf numFmtId="183" fontId="20" fillId="0" borderId="1" xfId="0" applyNumberFormat="1" applyFont="1" applyBorder="1" applyAlignment="1">
      <alignment horizontal="center" vertical="center" shrinkToFit="1"/>
    </xf>
    <xf numFmtId="183" fontId="20" fillId="12" borderId="1" xfId="0" applyNumberFormat="1" applyFont="1" applyFill="1" applyBorder="1" applyAlignment="1">
      <alignment horizontal="center" vertical="center" shrinkToFit="1"/>
    </xf>
    <xf numFmtId="0" fontId="21" fillId="8" borderId="28" xfId="0" applyFont="1" applyFill="1" applyBorder="1" applyAlignment="1">
      <alignment horizontal="center" vertical="center" shrinkToFit="1"/>
    </xf>
    <xf numFmtId="0" fontId="21" fillId="8" borderId="15" xfId="0" applyFont="1" applyFill="1" applyBorder="1" applyAlignment="1">
      <alignment horizontal="center" vertical="center" shrinkToFit="1"/>
    </xf>
    <xf numFmtId="183" fontId="20" fillId="12" borderId="5" xfId="0" applyNumberFormat="1" applyFont="1" applyFill="1" applyBorder="1" applyAlignment="1">
      <alignment horizontal="center" vertical="center" shrinkToFit="1"/>
    </xf>
    <xf numFmtId="183" fontId="20" fillId="12" borderId="56" xfId="0" applyNumberFormat="1" applyFont="1" applyFill="1" applyBorder="1" applyAlignment="1">
      <alignment horizontal="center" vertical="center" shrinkToFit="1"/>
    </xf>
    <xf numFmtId="183" fontId="20" fillId="12" borderId="64" xfId="0" applyNumberFormat="1" applyFont="1" applyFill="1" applyBorder="1" applyAlignment="1">
      <alignment horizontal="center" vertical="center" shrinkToFit="1"/>
    </xf>
    <xf numFmtId="26" fontId="20" fillId="12" borderId="5" xfId="0" applyNumberFormat="1" applyFont="1" applyFill="1" applyBorder="1" applyAlignment="1">
      <alignment horizontal="center" vertical="center" shrinkToFit="1"/>
    </xf>
    <xf numFmtId="26" fontId="20" fillId="12" borderId="56" xfId="0" applyNumberFormat="1" applyFont="1" applyFill="1" applyBorder="1" applyAlignment="1">
      <alignment horizontal="center" vertical="center" shrinkToFit="1"/>
    </xf>
    <xf numFmtId="26" fontId="20" fillId="12" borderId="64" xfId="0" applyNumberFormat="1" applyFont="1" applyFill="1" applyBorder="1" applyAlignment="1">
      <alignment horizontal="center" vertical="center" shrinkToFit="1"/>
    </xf>
    <xf numFmtId="176" fontId="20" fillId="0" borderId="1" xfId="0" applyNumberFormat="1" applyFont="1" applyBorder="1" applyAlignment="1">
      <alignment horizontal="center" vertical="center" shrinkToFit="1"/>
    </xf>
    <xf numFmtId="176" fontId="20" fillId="0" borderId="3" xfId="0" applyNumberFormat="1" applyFont="1" applyBorder="1" applyAlignment="1">
      <alignment horizontal="center" vertical="center" shrinkToFit="1"/>
    </xf>
    <xf numFmtId="0" fontId="20" fillId="0" borderId="15" xfId="0" applyFont="1" applyBorder="1" applyAlignment="1">
      <alignment horizontal="center" vertical="center" shrinkToFit="1"/>
    </xf>
    <xf numFmtId="176" fontId="20" fillId="0" borderId="15" xfId="0" applyNumberFormat="1" applyFont="1" applyBorder="1" applyAlignment="1">
      <alignment horizontal="center" vertical="center" shrinkToFit="1"/>
    </xf>
    <xf numFmtId="176" fontId="20" fillId="0" borderId="16" xfId="0" applyNumberFormat="1" applyFont="1" applyBorder="1" applyAlignment="1">
      <alignment horizontal="center" vertical="center" shrinkToFit="1"/>
    </xf>
    <xf numFmtId="0" fontId="20" fillId="12" borderId="1" xfId="0" applyNumberFormat="1" applyFont="1" applyFill="1" applyBorder="1" applyAlignment="1">
      <alignment horizontal="center" vertical="center" shrinkToFit="1"/>
    </xf>
    <xf numFmtId="26" fontId="20" fillId="12" borderId="1" xfId="0" applyNumberFormat="1" applyFont="1" applyFill="1" applyBorder="1" applyAlignment="1">
      <alignment horizontal="center" vertical="center" shrinkToFit="1"/>
    </xf>
    <xf numFmtId="0" fontId="27" fillId="12" borderId="5" xfId="0" applyFont="1" applyFill="1" applyBorder="1" applyAlignment="1">
      <alignment horizontal="center" vertical="center" shrinkToFit="1"/>
    </xf>
    <xf numFmtId="0" fontId="27" fillId="12" borderId="56" xfId="0" applyFont="1" applyFill="1" applyBorder="1" applyAlignment="1">
      <alignment horizontal="center" vertical="center" shrinkToFit="1"/>
    </xf>
    <xf numFmtId="0" fontId="27" fillId="12" borderId="64" xfId="0" applyFont="1" applyFill="1" applyBorder="1" applyAlignment="1">
      <alignment horizontal="center" vertical="center" shrinkToFit="1"/>
    </xf>
  </cellXfs>
  <cellStyles count="5">
    <cellStyle name="Check Cell" xfId="1" builtinId="23"/>
    <cellStyle name="Currency [0]" xfId="2" builtinId="7"/>
    <cellStyle name="Good" xfId="4" builtinId="26"/>
    <cellStyle name="Normal" xfId="0" builtinId="0"/>
    <cellStyle name="Output" xfId="3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topLeftCell="A2" zoomScale="110" zoomScaleNormal="110" zoomScaleSheetLayoutView="100" workbookViewId="0">
      <selection activeCell="R9" sqref="R9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95" t="s">
        <v>77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7"/>
    </row>
    <row r="2" spans="1:44" ht="17.25" thickBot="1" x14ac:dyDescent="0.35">
      <c r="A2" s="295" t="s">
        <v>97</v>
      </c>
      <c r="B2" s="296"/>
      <c r="C2" s="296"/>
      <c r="D2" s="296"/>
      <c r="E2" s="296"/>
      <c r="F2" s="296"/>
      <c r="G2" s="297"/>
      <c r="H2" s="298" t="s">
        <v>49</v>
      </c>
      <c r="I2" s="299"/>
      <c r="J2" s="295" t="s">
        <v>98</v>
      </c>
      <c r="K2" s="297"/>
      <c r="L2" s="299" t="s">
        <v>96</v>
      </c>
      <c r="M2" s="300"/>
      <c r="N2" s="298"/>
      <c r="O2" s="296" t="s">
        <v>99</v>
      </c>
      <c r="P2" s="296"/>
      <c r="Q2" s="297"/>
      <c r="R2" s="299" t="s">
        <v>51</v>
      </c>
      <c r="S2" s="298"/>
      <c r="T2" s="301">
        <v>6</v>
      </c>
      <c r="U2" s="301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15" t="s">
        <v>21</v>
      </c>
      <c r="C4" s="167" t="s">
        <v>7</v>
      </c>
      <c r="D4" s="194" t="s">
        <v>88</v>
      </c>
      <c r="E4" s="167" t="s">
        <v>89</v>
      </c>
      <c r="F4" s="215" t="s">
        <v>25</v>
      </c>
      <c r="G4" s="215" t="s">
        <v>1</v>
      </c>
      <c r="H4" s="215" t="s">
        <v>22</v>
      </c>
      <c r="I4" s="215" t="s">
        <v>20</v>
      </c>
      <c r="J4" s="215" t="s">
        <v>44</v>
      </c>
      <c r="K4" s="215" t="s">
        <v>45</v>
      </c>
      <c r="L4" s="215" t="s">
        <v>47</v>
      </c>
      <c r="M4" s="215" t="s">
        <v>46</v>
      </c>
      <c r="N4" s="215" t="s">
        <v>2</v>
      </c>
      <c r="O4" s="305" t="s">
        <v>8</v>
      </c>
      <c r="P4" s="305"/>
      <c r="Q4" s="305"/>
      <c r="R4" s="215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10380</v>
      </c>
      <c r="C5" s="68" t="s">
        <v>105</v>
      </c>
      <c r="D5" s="200" t="s">
        <v>106</v>
      </c>
      <c r="E5" s="181" t="s">
        <v>107</v>
      </c>
      <c r="F5" s="170">
        <v>830</v>
      </c>
      <c r="G5" s="118" t="s">
        <v>108</v>
      </c>
      <c r="H5" s="91">
        <v>280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306"/>
      <c r="P5" s="307"/>
      <c r="Q5" s="308"/>
      <c r="R5" s="33" t="s">
        <v>99</v>
      </c>
      <c r="S5" s="31">
        <v>0.34375</v>
      </c>
      <c r="T5" s="32">
        <v>0.70833333333333337</v>
      </c>
      <c r="U5" s="92">
        <f t="shared" ref="U5:U15" si="0">(T5-S5)*24</f>
        <v>8.75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10381</v>
      </c>
      <c r="C6" s="67" t="s">
        <v>109</v>
      </c>
      <c r="D6" s="200" t="s">
        <v>110</v>
      </c>
      <c r="E6" s="181" t="s">
        <v>92</v>
      </c>
      <c r="F6" s="171">
        <v>925</v>
      </c>
      <c r="G6" s="118" t="s">
        <v>111</v>
      </c>
      <c r="H6" s="91"/>
      <c r="I6" s="124">
        <v>75.75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09"/>
      <c r="P6" s="310"/>
      <c r="Q6" s="311"/>
      <c r="R6" s="132" t="s">
        <v>100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10382</v>
      </c>
      <c r="C7" s="67" t="s">
        <v>112</v>
      </c>
      <c r="D7" s="200" t="s">
        <v>113</v>
      </c>
      <c r="E7" s="181" t="s">
        <v>92</v>
      </c>
      <c r="F7" s="171">
        <v>940</v>
      </c>
      <c r="G7" s="118" t="s">
        <v>114</v>
      </c>
      <c r="H7" s="91">
        <v>180</v>
      </c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12"/>
      <c r="P7" s="313"/>
      <c r="Q7" s="314"/>
      <c r="R7" s="134" t="s">
        <v>101</v>
      </c>
      <c r="S7" s="31">
        <v>0.33333333333333331</v>
      </c>
      <c r="T7" s="32">
        <v>0.70833333333333337</v>
      </c>
      <c r="U7" s="92">
        <f t="shared" si="0"/>
        <v>9.0000000000000018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10383</v>
      </c>
      <c r="C8" s="27" t="s">
        <v>115</v>
      </c>
      <c r="D8" s="200" t="s">
        <v>116</v>
      </c>
      <c r="E8" s="181" t="s">
        <v>92</v>
      </c>
      <c r="F8" s="171">
        <v>1110</v>
      </c>
      <c r="G8" s="118" t="s">
        <v>114</v>
      </c>
      <c r="H8" s="91">
        <v>150</v>
      </c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15"/>
      <c r="P8" s="316"/>
      <c r="Q8" s="317"/>
      <c r="R8" s="26" t="s">
        <v>102</v>
      </c>
      <c r="S8" s="31">
        <v>0.42708333333333331</v>
      </c>
      <c r="T8" s="32">
        <v>0.66666666666666663</v>
      </c>
      <c r="U8" s="92">
        <f t="shared" si="0"/>
        <v>5.75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10384</v>
      </c>
      <c r="C9" s="63" t="s">
        <v>119</v>
      </c>
      <c r="D9" s="201" t="s">
        <v>120</v>
      </c>
      <c r="E9" s="181" t="s">
        <v>91</v>
      </c>
      <c r="F9" s="172">
        <v>1130</v>
      </c>
      <c r="G9" s="119" t="s">
        <v>121</v>
      </c>
      <c r="H9" s="91"/>
      <c r="I9" s="91"/>
      <c r="J9" s="130" t="str">
        <f t="shared" si="1"/>
        <v>0</v>
      </c>
      <c r="K9" s="130">
        <v>62.5</v>
      </c>
      <c r="L9" s="131"/>
      <c r="M9" s="131"/>
      <c r="N9" s="134" t="s">
        <v>99</v>
      </c>
      <c r="O9" s="315" t="s">
        <v>122</v>
      </c>
      <c r="P9" s="316"/>
      <c r="Q9" s="317"/>
      <c r="R9" s="26" t="s">
        <v>103</v>
      </c>
      <c r="S9" s="31">
        <v>0.35416666666666669</v>
      </c>
      <c r="T9" s="32">
        <v>0.70833333333333337</v>
      </c>
      <c r="U9" s="92">
        <f t="shared" si="0"/>
        <v>8.5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10385</v>
      </c>
      <c r="C10" s="63" t="s">
        <v>117</v>
      </c>
      <c r="D10" s="201" t="s">
        <v>118</v>
      </c>
      <c r="E10" s="181" t="s">
        <v>92</v>
      </c>
      <c r="F10" s="172">
        <v>1140</v>
      </c>
      <c r="G10" s="119" t="s">
        <v>114</v>
      </c>
      <c r="H10" s="123">
        <v>150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302"/>
      <c r="P10" s="303"/>
      <c r="Q10" s="304"/>
      <c r="R10" s="26" t="s">
        <v>104</v>
      </c>
      <c r="S10" s="31">
        <v>0.45833333333333331</v>
      </c>
      <c r="T10" s="32">
        <v>0.66666666666666663</v>
      </c>
      <c r="U10" s="92">
        <f t="shared" si="0"/>
        <v>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10386</v>
      </c>
      <c r="C11" s="18" t="s">
        <v>123</v>
      </c>
      <c r="D11" s="203" t="s">
        <v>124</v>
      </c>
      <c r="E11" s="181" t="s">
        <v>92</v>
      </c>
      <c r="F11" s="66">
        <v>1315</v>
      </c>
      <c r="G11" s="121" t="s">
        <v>111</v>
      </c>
      <c r="H11" s="123"/>
      <c r="I11" s="124">
        <v>75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12"/>
      <c r="P11" s="313"/>
      <c r="Q11" s="314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10387</v>
      </c>
      <c r="C12" s="64" t="s">
        <v>125</v>
      </c>
      <c r="D12" s="204" t="s">
        <v>126</v>
      </c>
      <c r="E12" s="181" t="s">
        <v>92</v>
      </c>
      <c r="F12" s="173">
        <v>1400</v>
      </c>
      <c r="G12" s="119" t="s">
        <v>111</v>
      </c>
      <c r="H12" s="123">
        <v>75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12"/>
      <c r="P12" s="313"/>
      <c r="Q12" s="314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10388</v>
      </c>
      <c r="C13" s="64" t="s">
        <v>127</v>
      </c>
      <c r="D13" s="204" t="s">
        <v>128</v>
      </c>
      <c r="E13" s="181" t="s">
        <v>92</v>
      </c>
      <c r="F13" s="173">
        <v>1410</v>
      </c>
      <c r="G13" s="119" t="s">
        <v>129</v>
      </c>
      <c r="H13" s="169"/>
      <c r="I13" s="168">
        <v>55.55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312"/>
      <c r="P13" s="313"/>
      <c r="Q13" s="314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10389</v>
      </c>
      <c r="C14" s="65" t="s">
        <v>130</v>
      </c>
      <c r="D14" s="205" t="s">
        <v>131</v>
      </c>
      <c r="E14" s="181" t="s">
        <v>91</v>
      </c>
      <c r="F14" s="174">
        <v>1430</v>
      </c>
      <c r="G14" s="122" t="s">
        <v>111</v>
      </c>
      <c r="H14" s="123"/>
      <c r="I14" s="125">
        <v>75.75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12"/>
      <c r="P14" s="313"/>
      <c r="Q14" s="314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10390</v>
      </c>
      <c r="C15" s="65" t="s">
        <v>132</v>
      </c>
      <c r="D15" s="205" t="s">
        <v>133</v>
      </c>
      <c r="E15" s="181" t="s">
        <v>92</v>
      </c>
      <c r="F15" s="174">
        <v>1515</v>
      </c>
      <c r="G15" s="122" t="s">
        <v>134</v>
      </c>
      <c r="H15" s="123">
        <v>65</v>
      </c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99</v>
      </c>
      <c r="O15" s="312"/>
      <c r="P15" s="313"/>
      <c r="Q15" s="314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10391</v>
      </c>
      <c r="C16" s="65" t="s">
        <v>137</v>
      </c>
      <c r="D16" s="205" t="s">
        <v>138</v>
      </c>
      <c r="E16" s="181" t="s">
        <v>92</v>
      </c>
      <c r="F16" s="174">
        <v>1535</v>
      </c>
      <c r="G16" s="122" t="s">
        <v>111</v>
      </c>
      <c r="H16" s="123">
        <v>70</v>
      </c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99</v>
      </c>
      <c r="O16" s="312"/>
      <c r="P16" s="313"/>
      <c r="Q16" s="314"/>
      <c r="R16" s="82">
        <f>H32/U16</f>
        <v>0.28260869565217389</v>
      </c>
      <c r="S16" s="83">
        <f>H32/(U16-U5)</f>
        <v>0.34899328859060402</v>
      </c>
      <c r="T16" s="83">
        <f>C32/U16</f>
        <v>30.207608695652173</v>
      </c>
      <c r="U16" s="83">
        <f>SUM(U5:U15)</f>
        <v>46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10392</v>
      </c>
      <c r="C17" s="18" t="s">
        <v>135</v>
      </c>
      <c r="D17" s="203" t="s">
        <v>136</v>
      </c>
      <c r="E17" s="181" t="s">
        <v>92</v>
      </c>
      <c r="F17" s="66">
        <v>1540</v>
      </c>
      <c r="G17" s="121" t="s">
        <v>129</v>
      </c>
      <c r="H17" s="123">
        <v>75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99</v>
      </c>
      <c r="O17" s="312"/>
      <c r="P17" s="313"/>
      <c r="Q17" s="314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12"/>
      <c r="P18" s="313"/>
      <c r="Q18" s="314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12"/>
      <c r="P19" s="313"/>
      <c r="Q19" s="313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20"/>
      <c r="P20" s="321"/>
      <c r="Q20" s="321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12"/>
      <c r="P21" s="313"/>
      <c r="Q21" s="313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14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12"/>
      <c r="P22" s="313"/>
      <c r="Q22" s="314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18"/>
      <c r="Y23" s="319"/>
      <c r="Z23" s="319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14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2"/>
      <c r="P24" s="313"/>
      <c r="Q24" s="314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14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2"/>
      <c r="P25" s="313"/>
      <c r="Q25" s="314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22">
        <f>((C32+(R26+S26+T26)*0.5))</f>
        <v>1389.55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2"/>
      <c r="P26" s="313"/>
      <c r="Q26" s="314"/>
      <c r="R26" s="112">
        <f>R25*37.5</f>
        <v>0</v>
      </c>
      <c r="S26" s="102">
        <f>S25*41.5</f>
        <v>0</v>
      </c>
      <c r="T26" s="102">
        <f>T25*50</f>
        <v>0</v>
      </c>
      <c r="U26" s="323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2"/>
      <c r="P27" s="313"/>
      <c r="Q27" s="314"/>
      <c r="R27" s="331" t="s">
        <v>56</v>
      </c>
      <c r="S27" s="332"/>
      <c r="T27" s="332"/>
      <c r="U27" s="333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2"/>
      <c r="P28" s="313"/>
      <c r="Q28" s="314"/>
      <c r="R28" s="324"/>
      <c r="S28" s="325"/>
      <c r="T28" s="326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0"/>
      <c r="P29" s="341"/>
      <c r="Q29" s="342"/>
      <c r="R29" s="343"/>
      <c r="S29" s="344"/>
      <c r="T29" s="345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6" t="s">
        <v>48</v>
      </c>
      <c r="B30" s="347"/>
      <c r="C30" s="347"/>
      <c r="D30" s="347"/>
      <c r="E30" s="348"/>
      <c r="F30" s="347"/>
      <c r="G30" s="347"/>
      <c r="H30" s="211">
        <f t="shared" ref="H30:M30" si="3">SUM(H5:H29)</f>
        <v>1045</v>
      </c>
      <c r="I30" s="105">
        <f>SUM(I5:I29)</f>
        <v>282.05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62.5</v>
      </c>
      <c r="L30" s="106">
        <f t="shared" si="3"/>
        <v>0</v>
      </c>
      <c r="M30" s="106">
        <f t="shared" si="3"/>
        <v>0</v>
      </c>
      <c r="N30" s="216" t="s">
        <v>15</v>
      </c>
      <c r="O30" s="216" t="s">
        <v>20</v>
      </c>
      <c r="P30" s="216" t="s">
        <v>45</v>
      </c>
      <c r="Q30" s="96" t="s">
        <v>44</v>
      </c>
      <c r="R30" s="349"/>
      <c r="S30" s="349"/>
      <c r="T30" s="350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1" t="s">
        <v>16</v>
      </c>
      <c r="B31" s="352"/>
      <c r="C31" s="352"/>
      <c r="D31" s="352"/>
      <c r="E31" s="352"/>
      <c r="F31" s="352"/>
      <c r="G31" s="352"/>
      <c r="H31" s="212">
        <f t="shared" ref="H31:J31" si="4">H30+H62+H94</f>
        <v>1045</v>
      </c>
      <c r="I31" s="103">
        <f t="shared" si="4"/>
        <v>282.05</v>
      </c>
      <c r="J31" s="103">
        <f t="shared" si="4"/>
        <v>0</v>
      </c>
      <c r="K31" s="103">
        <f>K30+K62+K94</f>
        <v>62.5</v>
      </c>
      <c r="L31" s="97">
        <f>L30+L62+L94</f>
        <v>0</v>
      </c>
      <c r="M31" s="97">
        <f>M30+M62+M94</f>
        <v>0</v>
      </c>
      <c r="N31" s="217">
        <f>COUNT(H5:H29,H37:H61,H69:H93)</f>
        <v>8</v>
      </c>
      <c r="O31" s="104">
        <f>COUNT(I5:I29,I37:I61,I69:I93)</f>
        <v>4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1045</v>
      </c>
      <c r="T31" s="336">
        <f>H31+I31+L31+M31</f>
        <v>1327.05</v>
      </c>
      <c r="U31" s="337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27" t="s">
        <v>55</v>
      </c>
      <c r="B32" s="328"/>
      <c r="C32" s="107">
        <f>H31+I31+J31+K31</f>
        <v>1389.55</v>
      </c>
      <c r="D32" s="196"/>
      <c r="E32" s="107"/>
      <c r="F32" s="329" t="s">
        <v>53</v>
      </c>
      <c r="G32" s="329"/>
      <c r="H32" s="109">
        <f>COUNT(B5:B29,B37:B61,B69:B93)</f>
        <v>13</v>
      </c>
      <c r="I32" s="330" t="s">
        <v>54</v>
      </c>
      <c r="J32" s="330"/>
      <c r="K32" s="108">
        <f>C32/H32</f>
        <v>106.88846153846154</v>
      </c>
      <c r="L32" s="218"/>
      <c r="M32" s="218"/>
      <c r="N32" s="218">
        <f>H31/C32</f>
        <v>0.75204202799467457</v>
      </c>
      <c r="O32" s="218">
        <f>I31/C32</f>
        <v>0.20297938181425643</v>
      </c>
      <c r="P32" s="218">
        <f>K31/C32</f>
        <v>4.4978590191069055E-2</v>
      </c>
      <c r="Q32" s="110">
        <f>J31/C32</f>
        <v>0</v>
      </c>
      <c r="R32" s="99" t="s">
        <v>82</v>
      </c>
      <c r="S32" s="213">
        <f>I31+M31</f>
        <v>282.05</v>
      </c>
      <c r="T32" s="338"/>
      <c r="U32" s="339"/>
      <c r="V32" s="55"/>
      <c r="W32" s="55"/>
      <c r="X32" s="56" t="s">
        <v>27</v>
      </c>
      <c r="Y32" s="56"/>
      <c r="Z32" s="54">
        <f>I31</f>
        <v>282.05</v>
      </c>
      <c r="AE32" s="37"/>
      <c r="AF32" s="37"/>
      <c r="AG32" s="37"/>
      <c r="AH32" s="37"/>
    </row>
    <row r="33" spans="1:34" ht="17.25" thickBot="1" x14ac:dyDescent="0.35">
      <c r="A33" s="334" t="s">
        <v>24</v>
      </c>
      <c r="B33" s="335"/>
      <c r="C33" s="335"/>
      <c r="D33" s="335"/>
      <c r="E33" s="335"/>
      <c r="F33" s="335"/>
      <c r="G33" s="335"/>
      <c r="H33" s="335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335"/>
      <c r="T33" s="296"/>
      <c r="U33" s="297"/>
      <c r="X33" s="57" t="s">
        <v>29</v>
      </c>
      <c r="Y33" s="57"/>
      <c r="Z33" s="58">
        <f>SUM(Z31:Z32)</f>
        <v>-2462.9499999999998</v>
      </c>
      <c r="AE33" s="37"/>
      <c r="AF33" s="37"/>
      <c r="AG33" s="59"/>
      <c r="AH33" s="37"/>
    </row>
    <row r="34" spans="1:34" ht="17.25" thickBot="1" x14ac:dyDescent="0.35">
      <c r="A34" s="295" t="str">
        <f>A2</f>
        <v>1 - 8 - 2022</v>
      </c>
      <c r="B34" s="296"/>
      <c r="C34" s="296"/>
      <c r="D34" s="296"/>
      <c r="E34" s="296"/>
      <c r="F34" s="296"/>
      <c r="G34" s="297"/>
      <c r="H34" s="298" t="s">
        <v>49</v>
      </c>
      <c r="I34" s="299"/>
      <c r="J34" s="295" t="str">
        <f>J2</f>
        <v>CLOUDY</v>
      </c>
      <c r="K34" s="297"/>
      <c r="L34" s="299" t="s">
        <v>50</v>
      </c>
      <c r="M34" s="300"/>
      <c r="N34" s="298"/>
      <c r="O34" s="296" t="str">
        <f>O2</f>
        <v>JOHN</v>
      </c>
      <c r="P34" s="296"/>
      <c r="Q34" s="297"/>
      <c r="R34" s="299" t="s">
        <v>51</v>
      </c>
      <c r="S34" s="298"/>
      <c r="T34" s="301">
        <f>T2</f>
        <v>6</v>
      </c>
      <c r="U34" s="301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15" t="s">
        <v>21</v>
      </c>
      <c r="C36" s="167" t="s">
        <v>7</v>
      </c>
      <c r="D36" s="194" t="s">
        <v>88</v>
      </c>
      <c r="E36" s="167" t="s">
        <v>89</v>
      </c>
      <c r="F36" s="215" t="s">
        <v>25</v>
      </c>
      <c r="G36" s="215" t="s">
        <v>1</v>
      </c>
      <c r="H36" s="215" t="s">
        <v>22</v>
      </c>
      <c r="I36" s="215" t="s">
        <v>20</v>
      </c>
      <c r="J36" s="215" t="s">
        <v>44</v>
      </c>
      <c r="K36" s="215" t="s">
        <v>45</v>
      </c>
      <c r="L36" s="215" t="s">
        <v>47</v>
      </c>
      <c r="M36" s="215" t="s">
        <v>46</v>
      </c>
      <c r="N36" s="215" t="s">
        <v>2</v>
      </c>
      <c r="O36" s="305" t="s">
        <v>8</v>
      </c>
      <c r="P36" s="305"/>
      <c r="Q36" s="305"/>
      <c r="R36" s="215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2"/>
      <c r="P37" s="313"/>
      <c r="Q37" s="314"/>
      <c r="R37" s="60"/>
      <c r="S37" s="61"/>
      <c r="T37" s="61"/>
      <c r="U37" s="70"/>
    </row>
    <row r="38" spans="1:34" x14ac:dyDescent="0.3">
      <c r="A38" s="128">
        <f>A37+1</f>
        <v>27</v>
      </c>
      <c r="B38" s="214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09"/>
      <c r="P38" s="310"/>
      <c r="Q38" s="311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2"/>
      <c r="P39" s="313"/>
      <c r="Q39" s="314"/>
      <c r="R39" s="79"/>
      <c r="S39" s="13"/>
      <c r="T39" s="12"/>
      <c r="U39" s="72"/>
    </row>
    <row r="40" spans="1:34" x14ac:dyDescent="0.3">
      <c r="A40" s="128">
        <f t="shared" si="7"/>
        <v>29</v>
      </c>
      <c r="B40" s="214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5"/>
      <c r="P40" s="316"/>
      <c r="Q40" s="317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5"/>
      <c r="P41" s="316"/>
      <c r="Q41" s="317"/>
      <c r="R41" s="80"/>
      <c r="S41" s="73"/>
      <c r="T41" s="73"/>
      <c r="U41" s="74"/>
    </row>
    <row r="42" spans="1:34" x14ac:dyDescent="0.3">
      <c r="A42" s="128">
        <f t="shared" si="7"/>
        <v>31</v>
      </c>
      <c r="B42" s="214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2"/>
      <c r="P42" s="303"/>
      <c r="Q42" s="304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2"/>
      <c r="P43" s="313"/>
      <c r="Q43" s="314"/>
      <c r="R43" s="78"/>
      <c r="S43" s="71"/>
      <c r="T43" s="71"/>
      <c r="U43" s="72"/>
    </row>
    <row r="44" spans="1:34" x14ac:dyDescent="0.3">
      <c r="A44" s="128">
        <f t="shared" si="7"/>
        <v>33</v>
      </c>
      <c r="B44" s="214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2"/>
      <c r="P44" s="313"/>
      <c r="Q44" s="314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2"/>
      <c r="P45" s="313"/>
      <c r="Q45" s="314"/>
      <c r="R45" s="5"/>
      <c r="S45" s="71"/>
      <c r="T45" s="71"/>
      <c r="U45" s="72"/>
    </row>
    <row r="46" spans="1:34" x14ac:dyDescent="0.3">
      <c r="A46" s="128">
        <f t="shared" si="7"/>
        <v>35</v>
      </c>
      <c r="B46" s="214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2"/>
      <c r="P46" s="313"/>
      <c r="Q46" s="314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2"/>
      <c r="P47" s="313"/>
      <c r="Q47" s="314"/>
      <c r="R47" s="5"/>
      <c r="S47" s="71"/>
      <c r="T47" s="71"/>
      <c r="U47" s="72"/>
    </row>
    <row r="48" spans="1:34" x14ac:dyDescent="0.3">
      <c r="A48" s="128">
        <f t="shared" si="7"/>
        <v>37</v>
      </c>
      <c r="B48" s="214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2"/>
      <c r="P48" s="313"/>
      <c r="Q48" s="314"/>
      <c r="R48" s="5"/>
      <c r="S48" s="71"/>
      <c r="T48" s="71"/>
      <c r="U48" s="72"/>
    </row>
    <row r="49" spans="1:21" x14ac:dyDescent="0.3">
      <c r="A49" s="128">
        <f t="shared" si="7"/>
        <v>38</v>
      </c>
      <c r="B49" s="214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2"/>
      <c r="P49" s="313"/>
      <c r="Q49" s="314"/>
      <c r="R49" s="5"/>
      <c r="S49" s="71"/>
      <c r="T49" s="75"/>
      <c r="U49" s="72"/>
    </row>
    <row r="50" spans="1:21" x14ac:dyDescent="0.3">
      <c r="A50" s="128">
        <f t="shared" si="7"/>
        <v>39</v>
      </c>
      <c r="B50" s="214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2"/>
      <c r="P50" s="313"/>
      <c r="Q50" s="314"/>
      <c r="R50" s="5"/>
      <c r="S50" s="71"/>
      <c r="T50" s="75"/>
      <c r="U50" s="72"/>
    </row>
    <row r="51" spans="1:21" x14ac:dyDescent="0.3">
      <c r="A51" s="128">
        <f t="shared" si="7"/>
        <v>40</v>
      </c>
      <c r="B51" s="214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2"/>
      <c r="P51" s="313"/>
      <c r="Q51" s="313"/>
      <c r="R51" s="5"/>
      <c r="S51" s="71"/>
      <c r="T51" s="75"/>
      <c r="U51" s="72"/>
    </row>
    <row r="52" spans="1:21" x14ac:dyDescent="0.3">
      <c r="A52" s="128">
        <f t="shared" si="7"/>
        <v>41</v>
      </c>
      <c r="B52" s="214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2"/>
      <c r="P52" s="313"/>
      <c r="Q52" s="313"/>
      <c r="R52" s="81"/>
      <c r="S52" s="68"/>
      <c r="T52" s="76"/>
      <c r="U52" s="77"/>
    </row>
    <row r="53" spans="1:21" x14ac:dyDescent="0.3">
      <c r="A53" s="128">
        <f t="shared" si="7"/>
        <v>42</v>
      </c>
      <c r="B53" s="214"/>
      <c r="C53" s="127"/>
      <c r="D53" s="188"/>
      <c r="E53" s="181"/>
      <c r="F53" s="175"/>
      <c r="G53" s="214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3"/>
      <c r="P53" s="312"/>
      <c r="Q53" s="312"/>
      <c r="R53" s="81"/>
      <c r="S53" s="68"/>
      <c r="T53" s="76"/>
      <c r="U53" s="77"/>
    </row>
    <row r="54" spans="1:21" x14ac:dyDescent="0.3">
      <c r="A54" s="128">
        <f t="shared" si="7"/>
        <v>43</v>
      </c>
      <c r="B54" s="214"/>
      <c r="C54" s="127"/>
      <c r="D54" s="188"/>
      <c r="E54" s="181"/>
      <c r="F54" s="175"/>
      <c r="G54" s="214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3"/>
      <c r="P54" s="312"/>
      <c r="Q54" s="312"/>
      <c r="R54" s="81"/>
      <c r="S54" s="68"/>
      <c r="T54" s="76"/>
      <c r="U54" s="77"/>
    </row>
    <row r="55" spans="1:21" x14ac:dyDescent="0.3">
      <c r="A55" s="128">
        <f t="shared" si="7"/>
        <v>44</v>
      </c>
      <c r="B55" s="214"/>
      <c r="C55" s="127"/>
      <c r="D55" s="188"/>
      <c r="E55" s="181"/>
      <c r="F55" s="175"/>
      <c r="G55" s="214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3"/>
      <c r="P55" s="312"/>
      <c r="Q55" s="312"/>
      <c r="R55" s="81"/>
      <c r="S55" s="68"/>
      <c r="T55" s="76"/>
      <c r="U55" s="77"/>
    </row>
    <row r="56" spans="1:21" x14ac:dyDescent="0.3">
      <c r="A56" s="128">
        <f t="shared" si="7"/>
        <v>45</v>
      </c>
      <c r="B56" s="214"/>
      <c r="C56" s="132"/>
      <c r="D56" s="189"/>
      <c r="E56" s="181"/>
      <c r="F56" s="175"/>
      <c r="G56" s="214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3"/>
      <c r="P56" s="313"/>
      <c r="Q56" s="313"/>
      <c r="R56" s="81"/>
      <c r="S56" s="68"/>
      <c r="T56" s="76"/>
      <c r="U56" s="77"/>
    </row>
    <row r="57" spans="1:21" x14ac:dyDescent="0.3">
      <c r="A57" s="128">
        <f t="shared" si="7"/>
        <v>46</v>
      </c>
      <c r="B57" s="214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2"/>
      <c r="P57" s="313"/>
      <c r="Q57" s="313"/>
      <c r="R57" s="81"/>
      <c r="S57" s="68"/>
      <c r="T57" s="68"/>
      <c r="U57" s="77"/>
    </row>
    <row r="58" spans="1:21" x14ac:dyDescent="0.3">
      <c r="A58" s="128">
        <f t="shared" si="7"/>
        <v>47</v>
      </c>
      <c r="B58" s="214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3"/>
      <c r="P58" s="313"/>
      <c r="Q58" s="313"/>
      <c r="R58" s="81"/>
      <c r="S58" s="68"/>
      <c r="T58" s="68"/>
      <c r="U58" s="77"/>
    </row>
    <row r="59" spans="1:21" x14ac:dyDescent="0.3">
      <c r="A59" s="128">
        <f t="shared" si="7"/>
        <v>48</v>
      </c>
      <c r="B59" s="214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3"/>
      <c r="P59" s="313"/>
      <c r="Q59" s="313"/>
      <c r="R59" s="81"/>
      <c r="S59" s="68"/>
      <c r="T59" s="68"/>
      <c r="U59" s="77"/>
    </row>
    <row r="60" spans="1:21" x14ac:dyDescent="0.3">
      <c r="A60" s="128">
        <f t="shared" si="7"/>
        <v>49</v>
      </c>
      <c r="B60" s="214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2"/>
      <c r="P60" s="313"/>
      <c r="Q60" s="314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14"/>
      <c r="C61" s="30"/>
      <c r="D61" s="198"/>
      <c r="F61" s="30"/>
      <c r="G61" s="214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4"/>
      <c r="P61" s="355"/>
      <c r="Q61" s="356"/>
      <c r="R61" s="81"/>
      <c r="S61" s="68"/>
      <c r="T61" s="68"/>
      <c r="U61" s="77"/>
    </row>
    <row r="62" spans="1:21" x14ac:dyDescent="0.3">
      <c r="A62" s="357" t="s">
        <v>48</v>
      </c>
      <c r="B62" s="358"/>
      <c r="C62" s="358"/>
      <c r="D62" s="358"/>
      <c r="E62" s="358"/>
      <c r="F62" s="358"/>
      <c r="G62" s="358"/>
      <c r="H62" s="358">
        <f t="shared" ref="H62:M62" si="8">SUM(H37:H61)</f>
        <v>0</v>
      </c>
      <c r="I62" s="363">
        <f t="shared" si="8"/>
        <v>0</v>
      </c>
      <c r="J62" s="363">
        <f>J61+J60+J59+J58+J57+J56+J55+J54+J53+J52+J51+J50+J49+J48+J47+J46+J45+J44+J43+J42+J41+J40+J39+J38+J37</f>
        <v>0</v>
      </c>
      <c r="K62" s="363">
        <f>K61+K60+K59+K58+K57+K56+K55+K54+K53+K52+K51+K50+K49+K48+K47+K46+K45+K44+K43+K42+K41+K40+K39+K38+K37</f>
        <v>0</v>
      </c>
      <c r="L62" s="366">
        <f t="shared" si="8"/>
        <v>0</v>
      </c>
      <c r="M62" s="369">
        <f t="shared" si="8"/>
        <v>0</v>
      </c>
      <c r="N62" s="372"/>
      <c r="O62" s="373"/>
      <c r="P62" s="373"/>
      <c r="Q62" s="374"/>
      <c r="R62" s="5"/>
      <c r="S62" s="6"/>
      <c r="T62" s="7"/>
      <c r="U62" s="8"/>
    </row>
    <row r="63" spans="1:21" ht="17.25" thickBot="1" x14ac:dyDescent="0.35">
      <c r="A63" s="359"/>
      <c r="B63" s="360"/>
      <c r="C63" s="360"/>
      <c r="D63" s="360"/>
      <c r="E63" s="360"/>
      <c r="F63" s="360"/>
      <c r="G63" s="360"/>
      <c r="H63" s="360"/>
      <c r="I63" s="364"/>
      <c r="J63" s="364"/>
      <c r="K63" s="364"/>
      <c r="L63" s="367"/>
      <c r="M63" s="370"/>
      <c r="N63" s="375"/>
      <c r="O63" s="376"/>
      <c r="P63" s="376"/>
      <c r="Q63" s="377"/>
      <c r="R63" s="1"/>
      <c r="S63" s="2"/>
      <c r="T63" s="3"/>
      <c r="U63" s="4"/>
    </row>
    <row r="64" spans="1:21" ht="17.25" thickBot="1" x14ac:dyDescent="0.35">
      <c r="A64" s="361"/>
      <c r="B64" s="362"/>
      <c r="C64" s="362"/>
      <c r="D64" s="362"/>
      <c r="E64" s="362"/>
      <c r="F64" s="362"/>
      <c r="G64" s="362"/>
      <c r="H64" s="362"/>
      <c r="I64" s="365"/>
      <c r="J64" s="365"/>
      <c r="K64" s="365"/>
      <c r="L64" s="368"/>
      <c r="M64" s="371"/>
      <c r="N64" s="334"/>
      <c r="O64" s="335"/>
      <c r="P64" s="335"/>
      <c r="Q64" s="378"/>
      <c r="R64" s="379" t="s">
        <v>17</v>
      </c>
      <c r="S64" s="380"/>
      <c r="T64" s="380"/>
      <c r="U64" s="381"/>
    </row>
    <row r="65" spans="1:21" ht="17.25" thickBot="1" x14ac:dyDescent="0.35">
      <c r="A65" s="295" t="s">
        <v>24</v>
      </c>
      <c r="B65" s="296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  <c r="N65" s="296"/>
      <c r="O65" s="296"/>
      <c r="P65" s="296"/>
      <c r="Q65" s="296"/>
      <c r="R65" s="296"/>
      <c r="S65" s="296"/>
      <c r="T65" s="296"/>
      <c r="U65" s="297"/>
    </row>
    <row r="66" spans="1:21" ht="17.25" thickBot="1" x14ac:dyDescent="0.35">
      <c r="A66" s="295" t="str">
        <f>A34</f>
        <v>1 - 8 - 2022</v>
      </c>
      <c r="B66" s="296"/>
      <c r="C66" s="296"/>
      <c r="D66" s="296"/>
      <c r="E66" s="296"/>
      <c r="F66" s="296"/>
      <c r="G66" s="297"/>
      <c r="H66" s="298" t="s">
        <v>49</v>
      </c>
      <c r="I66" s="299"/>
      <c r="J66" s="295" t="str">
        <f>J34</f>
        <v>CLOUDY</v>
      </c>
      <c r="K66" s="297"/>
      <c r="L66" s="299" t="s">
        <v>50</v>
      </c>
      <c r="M66" s="300"/>
      <c r="N66" s="298"/>
      <c r="O66" s="296" t="str">
        <f>O34</f>
        <v>JOHN</v>
      </c>
      <c r="P66" s="296"/>
      <c r="Q66" s="297"/>
      <c r="R66" s="299" t="s">
        <v>51</v>
      </c>
      <c r="S66" s="298"/>
      <c r="T66" s="301">
        <f>T34</f>
        <v>6</v>
      </c>
      <c r="U66" s="301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15" t="s">
        <v>21</v>
      </c>
      <c r="C68" s="167" t="s">
        <v>7</v>
      </c>
      <c r="D68" s="194" t="s">
        <v>88</v>
      </c>
      <c r="E68" s="167" t="s">
        <v>89</v>
      </c>
      <c r="F68" s="215" t="s">
        <v>25</v>
      </c>
      <c r="G68" s="215" t="s">
        <v>1</v>
      </c>
      <c r="H68" s="215" t="s">
        <v>22</v>
      </c>
      <c r="I68" s="215" t="s">
        <v>20</v>
      </c>
      <c r="J68" s="215" t="s">
        <v>44</v>
      </c>
      <c r="K68" s="215" t="s">
        <v>45</v>
      </c>
      <c r="L68" s="215" t="s">
        <v>47</v>
      </c>
      <c r="M68" s="215" t="s">
        <v>46</v>
      </c>
      <c r="N68" s="215" t="s">
        <v>2</v>
      </c>
      <c r="O68" s="305" t="s">
        <v>8</v>
      </c>
      <c r="P68" s="305"/>
      <c r="Q68" s="305"/>
      <c r="R68" s="215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14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2"/>
      <c r="P69" s="313"/>
      <c r="Q69" s="314"/>
      <c r="R69" s="60"/>
      <c r="S69" s="61"/>
      <c r="T69" s="61"/>
      <c r="U69" s="70"/>
    </row>
    <row r="70" spans="1:21" x14ac:dyDescent="0.3">
      <c r="A70" s="128">
        <f>A69+1</f>
        <v>52</v>
      </c>
      <c r="B70" s="214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09"/>
      <c r="P70" s="310"/>
      <c r="Q70" s="311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14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2"/>
      <c r="P71" s="313"/>
      <c r="Q71" s="314"/>
      <c r="R71" s="79"/>
      <c r="S71" s="13"/>
      <c r="T71" s="12"/>
      <c r="U71" s="72"/>
    </row>
    <row r="72" spans="1:21" x14ac:dyDescent="0.3">
      <c r="A72" s="128">
        <f t="shared" si="11"/>
        <v>54</v>
      </c>
      <c r="B72" s="214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5"/>
      <c r="P72" s="316"/>
      <c r="Q72" s="317"/>
      <c r="R72" s="78"/>
      <c r="S72" s="71"/>
      <c r="T72" s="71"/>
      <c r="U72" s="72"/>
    </row>
    <row r="73" spans="1:21" x14ac:dyDescent="0.3">
      <c r="A73" s="128">
        <f t="shared" si="11"/>
        <v>55</v>
      </c>
      <c r="B73" s="214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5"/>
      <c r="P73" s="316"/>
      <c r="Q73" s="317"/>
      <c r="R73" s="80"/>
      <c r="S73" s="73"/>
      <c r="T73" s="73"/>
      <c r="U73" s="74"/>
    </row>
    <row r="74" spans="1:21" x14ac:dyDescent="0.3">
      <c r="A74" s="128">
        <f t="shared" si="11"/>
        <v>56</v>
      </c>
      <c r="B74" s="214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2"/>
      <c r="P74" s="303"/>
      <c r="Q74" s="304"/>
      <c r="R74" s="80"/>
      <c r="S74" s="73"/>
      <c r="T74" s="73"/>
      <c r="U74" s="74"/>
    </row>
    <row r="75" spans="1:21" x14ac:dyDescent="0.3">
      <c r="A75" s="128">
        <f t="shared" si="11"/>
        <v>57</v>
      </c>
      <c r="B75" s="214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2"/>
      <c r="P75" s="313"/>
      <c r="Q75" s="314"/>
      <c r="R75" s="78"/>
      <c r="S75" s="71"/>
      <c r="T75" s="71"/>
      <c r="U75" s="72"/>
    </row>
    <row r="76" spans="1:21" x14ac:dyDescent="0.3">
      <c r="A76" s="128">
        <f t="shared" si="11"/>
        <v>58</v>
      </c>
      <c r="B76" s="214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2"/>
      <c r="P76" s="313"/>
      <c r="Q76" s="314"/>
      <c r="R76" s="5"/>
      <c r="S76" s="71"/>
      <c r="T76" s="71"/>
      <c r="U76" s="72"/>
    </row>
    <row r="77" spans="1:21" x14ac:dyDescent="0.3">
      <c r="A77" s="128">
        <f t="shared" si="11"/>
        <v>59</v>
      </c>
      <c r="B77" s="214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2"/>
      <c r="P77" s="313"/>
      <c r="Q77" s="314"/>
      <c r="R77" s="5"/>
      <c r="S77" s="71"/>
      <c r="T77" s="71"/>
      <c r="U77" s="72"/>
    </row>
    <row r="78" spans="1:21" x14ac:dyDescent="0.3">
      <c r="A78" s="128">
        <f t="shared" si="11"/>
        <v>60</v>
      </c>
      <c r="B78" s="214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2"/>
      <c r="P78" s="313"/>
      <c r="Q78" s="314"/>
      <c r="R78" s="5"/>
      <c r="S78" s="71"/>
      <c r="T78" s="71"/>
      <c r="U78" s="72"/>
    </row>
    <row r="79" spans="1:21" x14ac:dyDescent="0.3">
      <c r="A79" s="128">
        <f t="shared" si="11"/>
        <v>61</v>
      </c>
      <c r="B79" s="214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2"/>
      <c r="P79" s="313"/>
      <c r="Q79" s="314"/>
      <c r="R79" s="5"/>
      <c r="S79" s="71"/>
      <c r="T79" s="71"/>
      <c r="U79" s="72"/>
    </row>
    <row r="80" spans="1:21" x14ac:dyDescent="0.3">
      <c r="A80" s="128">
        <f t="shared" si="11"/>
        <v>62</v>
      </c>
      <c r="B80" s="214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2"/>
      <c r="P80" s="313"/>
      <c r="Q80" s="314"/>
      <c r="R80" s="5"/>
      <c r="S80" s="71"/>
      <c r="T80" s="71"/>
      <c r="U80" s="72"/>
    </row>
    <row r="81" spans="1:21" x14ac:dyDescent="0.3">
      <c r="A81" s="128">
        <f t="shared" si="11"/>
        <v>63</v>
      </c>
      <c r="B81" s="214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2"/>
      <c r="P81" s="313"/>
      <c r="Q81" s="314"/>
      <c r="R81" s="5"/>
      <c r="S81" s="71"/>
      <c r="T81" s="75"/>
      <c r="U81" s="72"/>
    </row>
    <row r="82" spans="1:21" x14ac:dyDescent="0.3">
      <c r="A82" s="128">
        <f t="shared" si="11"/>
        <v>64</v>
      </c>
      <c r="B82" s="214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2"/>
      <c r="P82" s="313"/>
      <c r="Q82" s="314"/>
      <c r="R82" s="5"/>
      <c r="S82" s="71"/>
      <c r="T82" s="75"/>
      <c r="U82" s="72"/>
    </row>
    <row r="83" spans="1:21" x14ac:dyDescent="0.3">
      <c r="A83" s="128">
        <f t="shared" si="11"/>
        <v>65</v>
      </c>
      <c r="B83" s="214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2"/>
      <c r="P83" s="313"/>
      <c r="Q83" s="313"/>
      <c r="R83" s="5"/>
      <c r="S83" s="71"/>
      <c r="T83" s="75"/>
      <c r="U83" s="72"/>
    </row>
    <row r="84" spans="1:21" x14ac:dyDescent="0.3">
      <c r="A84" s="128">
        <f t="shared" si="11"/>
        <v>66</v>
      </c>
      <c r="B84" s="214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2"/>
      <c r="P84" s="313"/>
      <c r="Q84" s="313"/>
      <c r="R84" s="81"/>
      <c r="S84" s="68"/>
      <c r="T84" s="76"/>
      <c r="U84" s="77"/>
    </row>
    <row r="85" spans="1:21" x14ac:dyDescent="0.3">
      <c r="A85" s="128">
        <f t="shared" si="11"/>
        <v>67</v>
      </c>
      <c r="B85" s="214"/>
      <c r="C85" s="127"/>
      <c r="D85" s="188"/>
      <c r="E85" s="181"/>
      <c r="F85" s="175"/>
      <c r="G85" s="214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3"/>
      <c r="P85" s="312"/>
      <c r="Q85" s="312"/>
      <c r="R85" s="81"/>
      <c r="S85" s="68"/>
      <c r="T85" s="76"/>
      <c r="U85" s="77"/>
    </row>
    <row r="86" spans="1:21" x14ac:dyDescent="0.3">
      <c r="A86" s="128">
        <f t="shared" si="11"/>
        <v>68</v>
      </c>
      <c r="B86" s="214"/>
      <c r="C86" s="127"/>
      <c r="D86" s="188"/>
      <c r="E86" s="181"/>
      <c r="F86" s="175"/>
      <c r="G86" s="214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3"/>
      <c r="P86" s="312"/>
      <c r="Q86" s="312"/>
      <c r="R86" s="81"/>
      <c r="S86" s="68"/>
      <c r="T86" s="76"/>
      <c r="U86" s="77"/>
    </row>
    <row r="87" spans="1:21" x14ac:dyDescent="0.3">
      <c r="A87" s="128">
        <f t="shared" si="11"/>
        <v>69</v>
      </c>
      <c r="B87" s="214"/>
      <c r="C87" s="127"/>
      <c r="D87" s="188"/>
      <c r="E87" s="181"/>
      <c r="F87" s="175"/>
      <c r="G87" s="214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3"/>
      <c r="P87" s="312"/>
      <c r="Q87" s="312"/>
      <c r="R87" s="81"/>
      <c r="S87" s="68"/>
      <c r="T87" s="76"/>
      <c r="U87" s="77"/>
    </row>
    <row r="88" spans="1:21" x14ac:dyDescent="0.3">
      <c r="A88" s="128">
        <f t="shared" si="11"/>
        <v>70</v>
      </c>
      <c r="B88" s="214"/>
      <c r="C88" s="132"/>
      <c r="D88" s="189"/>
      <c r="E88" s="181"/>
      <c r="F88" s="175"/>
      <c r="G88" s="214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3"/>
      <c r="P88" s="313"/>
      <c r="Q88" s="313"/>
      <c r="R88" s="81"/>
      <c r="S88" s="68"/>
      <c r="T88" s="76"/>
      <c r="U88" s="77"/>
    </row>
    <row r="89" spans="1:21" x14ac:dyDescent="0.3">
      <c r="A89" s="128">
        <f t="shared" si="11"/>
        <v>71</v>
      </c>
      <c r="B89" s="214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2"/>
      <c r="P89" s="313"/>
      <c r="Q89" s="313"/>
      <c r="R89" s="81"/>
      <c r="S89" s="68"/>
      <c r="T89" s="68"/>
      <c r="U89" s="77"/>
    </row>
    <row r="90" spans="1:21" x14ac:dyDescent="0.3">
      <c r="A90" s="128">
        <f t="shared" si="11"/>
        <v>72</v>
      </c>
      <c r="B90" s="214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3"/>
      <c r="P90" s="313"/>
      <c r="Q90" s="313"/>
      <c r="R90" s="81"/>
      <c r="S90" s="68"/>
      <c r="T90" s="68"/>
      <c r="U90" s="77"/>
    </row>
    <row r="91" spans="1:21" x14ac:dyDescent="0.3">
      <c r="A91" s="128">
        <f t="shared" si="11"/>
        <v>73</v>
      </c>
      <c r="B91" s="214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3"/>
      <c r="P91" s="313"/>
      <c r="Q91" s="313"/>
      <c r="R91" s="81"/>
      <c r="S91" s="68"/>
      <c r="T91" s="68"/>
      <c r="U91" s="77"/>
    </row>
    <row r="92" spans="1:21" x14ac:dyDescent="0.3">
      <c r="A92" s="128">
        <f t="shared" si="11"/>
        <v>74</v>
      </c>
      <c r="B92" s="214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2"/>
      <c r="P92" s="313"/>
      <c r="Q92" s="314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14"/>
      <c r="C93" s="30"/>
      <c r="D93" s="199"/>
      <c r="E93" s="182"/>
      <c r="F93" s="178"/>
      <c r="G93" s="214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4"/>
      <c r="P93" s="355"/>
      <c r="Q93" s="356"/>
      <c r="R93" s="81"/>
      <c r="S93" s="68"/>
      <c r="T93" s="68"/>
      <c r="U93" s="77"/>
    </row>
    <row r="94" spans="1:21" x14ac:dyDescent="0.3">
      <c r="A94" s="357" t="s">
        <v>48</v>
      </c>
      <c r="B94" s="358"/>
      <c r="C94" s="358"/>
      <c r="D94" s="358"/>
      <c r="E94" s="382"/>
      <c r="F94" s="358"/>
      <c r="G94" s="358"/>
      <c r="H94" s="358">
        <f t="shared" ref="H94:M94" si="12">SUM(H69:H93)</f>
        <v>0</v>
      </c>
      <c r="I94" s="363">
        <f t="shared" si="12"/>
        <v>0</v>
      </c>
      <c r="J94" s="363">
        <f>J93+J92+J91+J90+J89+J88+J87+J86+J85+J84+J83+J82+J81+J80+J79+J78+J77+J76+J75+J74+J73+J72+J71+J70+J69</f>
        <v>0</v>
      </c>
      <c r="K94" s="363">
        <f>K93+K92+K91+K90+K89+K88+K87+K86+K85+K84+K83+K82+K81+K80+K79+K78+K77+K76+K75+K74+K73+K72+K71+K70+K69</f>
        <v>0</v>
      </c>
      <c r="L94" s="366">
        <f t="shared" si="12"/>
        <v>0</v>
      </c>
      <c r="M94" s="369">
        <f t="shared" si="12"/>
        <v>0</v>
      </c>
      <c r="N94" s="372"/>
      <c r="O94" s="373"/>
      <c r="P94" s="373"/>
      <c r="Q94" s="374"/>
      <c r="R94" s="5"/>
      <c r="S94" s="6"/>
      <c r="T94" s="7"/>
      <c r="U94" s="8"/>
    </row>
    <row r="95" spans="1:21" ht="17.25" thickBot="1" x14ac:dyDescent="0.35">
      <c r="A95" s="359"/>
      <c r="B95" s="360"/>
      <c r="C95" s="360"/>
      <c r="D95" s="360"/>
      <c r="E95" s="360"/>
      <c r="F95" s="360"/>
      <c r="G95" s="360"/>
      <c r="H95" s="360"/>
      <c r="I95" s="364"/>
      <c r="J95" s="364"/>
      <c r="K95" s="364"/>
      <c r="L95" s="367"/>
      <c r="M95" s="370"/>
      <c r="N95" s="375"/>
      <c r="O95" s="376"/>
      <c r="P95" s="376"/>
      <c r="Q95" s="377"/>
      <c r="R95" s="1"/>
      <c r="S95" s="2"/>
      <c r="T95" s="3"/>
      <c r="U95" s="4"/>
    </row>
    <row r="96" spans="1:21" ht="17.25" thickBot="1" x14ac:dyDescent="0.35">
      <c r="A96" s="361"/>
      <c r="B96" s="362"/>
      <c r="C96" s="362"/>
      <c r="D96" s="362"/>
      <c r="E96" s="362"/>
      <c r="F96" s="362"/>
      <c r="G96" s="362"/>
      <c r="H96" s="362"/>
      <c r="I96" s="365"/>
      <c r="J96" s="365"/>
      <c r="K96" s="365"/>
      <c r="L96" s="368"/>
      <c r="M96" s="371"/>
      <c r="N96" s="334"/>
      <c r="O96" s="335"/>
      <c r="P96" s="335"/>
      <c r="Q96" s="378"/>
      <c r="R96" s="379" t="s">
        <v>52</v>
      </c>
      <c r="S96" s="380"/>
      <c r="T96" s="380"/>
      <c r="U96" s="381"/>
    </row>
  </sheetData>
  <mergeCells count="131"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</mergeCells>
  <phoneticPr fontId="3" type="noConversion"/>
  <dataValidations count="1">
    <dataValidation type="list" allowBlank="1" showInputMessage="1" showErrorMessage="1" sqref="X7 W5 E69:E93 E37:E61 E5:E29" xr:uid="{EBE257AC-77D5-4DA5-A244-6E1D9D03E745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tabSelected="1" topLeftCell="A7" zoomScale="110" zoomScaleNormal="110" zoomScaleSheetLayoutView="77" workbookViewId="0">
      <selection activeCell="F25" sqref="F25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95" t="s">
        <v>77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7"/>
    </row>
    <row r="2" spans="1:44" ht="17.25" thickBot="1" x14ac:dyDescent="0.35">
      <c r="A2" s="295" t="s">
        <v>139</v>
      </c>
      <c r="B2" s="296"/>
      <c r="C2" s="296"/>
      <c r="D2" s="296"/>
      <c r="E2" s="296"/>
      <c r="F2" s="296"/>
      <c r="G2" s="297"/>
      <c r="H2" s="298" t="s">
        <v>49</v>
      </c>
      <c r="I2" s="299"/>
      <c r="J2" s="295" t="s">
        <v>140</v>
      </c>
      <c r="K2" s="297"/>
      <c r="L2" s="299" t="s">
        <v>96</v>
      </c>
      <c r="M2" s="300"/>
      <c r="N2" s="298"/>
      <c r="O2" s="296" t="s">
        <v>100</v>
      </c>
      <c r="P2" s="296"/>
      <c r="Q2" s="297"/>
      <c r="R2" s="299" t="s">
        <v>51</v>
      </c>
      <c r="S2" s="298"/>
      <c r="T2" s="301">
        <v>4</v>
      </c>
      <c r="U2" s="301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05" t="s">
        <v>8</v>
      </c>
      <c r="P4" s="305"/>
      <c r="Q4" s="305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10393</v>
      </c>
      <c r="C5" s="68" t="s">
        <v>142</v>
      </c>
      <c r="D5" s="200" t="s">
        <v>143</v>
      </c>
      <c r="E5" s="181" t="s">
        <v>91</v>
      </c>
      <c r="F5" s="170">
        <v>1000</v>
      </c>
      <c r="G5" s="118" t="s">
        <v>44</v>
      </c>
      <c r="H5" s="91">
        <v>40</v>
      </c>
      <c r="I5" s="124"/>
      <c r="J5" s="130" t="str">
        <f>IF(G5="RSL","55","0")</f>
        <v>55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100</v>
      </c>
      <c r="O5" s="306">
        <v>202207014</v>
      </c>
      <c r="P5" s="307"/>
      <c r="Q5" s="308"/>
      <c r="R5" s="33" t="s">
        <v>100</v>
      </c>
      <c r="S5" s="31">
        <v>0.33333333333333331</v>
      </c>
      <c r="T5" s="32">
        <v>0.69791666666666663</v>
      </c>
      <c r="U5" s="92">
        <f t="shared" ref="U5:U15" si="0">(T5-S5)*24</f>
        <v>8.75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10394</v>
      </c>
      <c r="C6" s="67" t="s">
        <v>144</v>
      </c>
      <c r="D6" s="200" t="s">
        <v>145</v>
      </c>
      <c r="E6" s="181" t="s">
        <v>92</v>
      </c>
      <c r="F6" s="171">
        <v>1030</v>
      </c>
      <c r="G6" s="118" t="s">
        <v>111</v>
      </c>
      <c r="H6" s="91"/>
      <c r="I6" s="124">
        <v>95.95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100</v>
      </c>
      <c r="O6" s="309"/>
      <c r="P6" s="310"/>
      <c r="Q6" s="311"/>
      <c r="R6" s="132" t="s">
        <v>101</v>
      </c>
      <c r="S6" s="31">
        <v>0.33333333333333331</v>
      </c>
      <c r="T6" s="32">
        <v>0.69791666666666663</v>
      </c>
      <c r="U6" s="92">
        <f t="shared" si="0"/>
        <v>8.75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10395</v>
      </c>
      <c r="C7" s="67" t="s">
        <v>146</v>
      </c>
      <c r="D7" s="200" t="s">
        <v>147</v>
      </c>
      <c r="E7" s="181" t="s">
        <v>92</v>
      </c>
      <c r="F7" s="171">
        <v>1045</v>
      </c>
      <c r="G7" s="118" t="s">
        <v>148</v>
      </c>
      <c r="H7" s="91"/>
      <c r="I7" s="124"/>
      <c r="J7" s="130" t="str">
        <f t="shared" si="1"/>
        <v>0</v>
      </c>
      <c r="K7" s="130">
        <v>79.16</v>
      </c>
      <c r="L7" s="131"/>
      <c r="M7" s="131"/>
      <c r="N7" s="134" t="s">
        <v>100</v>
      </c>
      <c r="O7" s="312" t="s">
        <v>149</v>
      </c>
      <c r="P7" s="313"/>
      <c r="Q7" s="314"/>
      <c r="R7" s="134" t="s">
        <v>102</v>
      </c>
      <c r="S7" s="31">
        <v>0.375</v>
      </c>
      <c r="T7" s="32">
        <v>0.66666666666666663</v>
      </c>
      <c r="U7" s="92">
        <f t="shared" si="0"/>
        <v>6.9999999999999991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10396</v>
      </c>
      <c r="C8" s="27" t="s">
        <v>150</v>
      </c>
      <c r="D8" s="200" t="s">
        <v>151</v>
      </c>
      <c r="E8" s="181" t="s">
        <v>92</v>
      </c>
      <c r="F8" s="171">
        <v>1045</v>
      </c>
      <c r="G8" s="118" t="s">
        <v>148</v>
      </c>
      <c r="H8" s="91"/>
      <c r="I8" s="124"/>
      <c r="J8" s="130" t="str">
        <f t="shared" si="1"/>
        <v>0</v>
      </c>
      <c r="K8" s="130">
        <v>79.16</v>
      </c>
      <c r="L8" s="131"/>
      <c r="M8" s="131"/>
      <c r="N8" s="134" t="s">
        <v>100</v>
      </c>
      <c r="O8" s="315" t="s">
        <v>152</v>
      </c>
      <c r="P8" s="316"/>
      <c r="Q8" s="317"/>
      <c r="R8" s="26" t="s">
        <v>141</v>
      </c>
      <c r="S8" s="31">
        <v>0.45833333333333331</v>
      </c>
      <c r="T8" s="32">
        <v>0.69791666666666663</v>
      </c>
      <c r="U8" s="92">
        <f t="shared" si="0"/>
        <v>5.75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10397</v>
      </c>
      <c r="C9" s="63" t="s">
        <v>153</v>
      </c>
      <c r="D9" s="201" t="s">
        <v>154</v>
      </c>
      <c r="E9" s="181" t="s">
        <v>91</v>
      </c>
      <c r="F9" s="172">
        <v>1115</v>
      </c>
      <c r="G9" s="119" t="s">
        <v>134</v>
      </c>
      <c r="H9" s="91">
        <v>60</v>
      </c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100</v>
      </c>
      <c r="O9" s="315"/>
      <c r="P9" s="316"/>
      <c r="Q9" s="317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10398</v>
      </c>
      <c r="C10" s="28" t="s">
        <v>155</v>
      </c>
      <c r="D10" s="202" t="s">
        <v>156</v>
      </c>
      <c r="E10" s="181" t="s">
        <v>92</v>
      </c>
      <c r="F10" s="173">
        <v>1130</v>
      </c>
      <c r="G10" s="120" t="s">
        <v>157</v>
      </c>
      <c r="H10" s="123"/>
      <c r="I10" s="125"/>
      <c r="J10" s="130" t="str">
        <f t="shared" si="1"/>
        <v>0</v>
      </c>
      <c r="K10" s="130">
        <v>70.83</v>
      </c>
      <c r="L10" s="131"/>
      <c r="M10" s="131"/>
      <c r="N10" s="134" t="s">
        <v>100</v>
      </c>
      <c r="O10" s="302" t="s">
        <v>158</v>
      </c>
      <c r="P10" s="303"/>
      <c r="Q10" s="304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10399</v>
      </c>
      <c r="C11" s="18" t="s">
        <v>159</v>
      </c>
      <c r="D11" s="203" t="s">
        <v>160</v>
      </c>
      <c r="E11" s="181" t="s">
        <v>92</v>
      </c>
      <c r="F11" s="66">
        <v>1145</v>
      </c>
      <c r="G11" s="121" t="s">
        <v>161</v>
      </c>
      <c r="H11" s="123">
        <v>250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100</v>
      </c>
      <c r="O11" s="312"/>
      <c r="P11" s="313"/>
      <c r="Q11" s="314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10400</v>
      </c>
      <c r="C12" s="64" t="s">
        <v>162</v>
      </c>
      <c r="D12" s="204" t="s">
        <v>163</v>
      </c>
      <c r="E12" s="181" t="s">
        <v>92</v>
      </c>
      <c r="F12" s="173">
        <v>1200</v>
      </c>
      <c r="G12" s="119" t="s">
        <v>129</v>
      </c>
      <c r="H12" s="123"/>
      <c r="I12" s="125">
        <v>55.55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100</v>
      </c>
      <c r="O12" s="312"/>
      <c r="P12" s="313"/>
      <c r="Q12" s="314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10401</v>
      </c>
      <c r="C13" s="64" t="s">
        <v>164</v>
      </c>
      <c r="D13" s="204" t="s">
        <v>165</v>
      </c>
      <c r="E13" s="181" t="s">
        <v>91</v>
      </c>
      <c r="F13" s="173">
        <v>1230</v>
      </c>
      <c r="G13" s="119" t="s">
        <v>111</v>
      </c>
      <c r="H13" s="169"/>
      <c r="I13" s="168">
        <v>75.75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100</v>
      </c>
      <c r="O13" s="312"/>
      <c r="P13" s="313"/>
      <c r="Q13" s="314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10402</v>
      </c>
      <c r="C14" s="65" t="s">
        <v>166</v>
      </c>
      <c r="D14" s="205" t="s">
        <v>167</v>
      </c>
      <c r="E14" s="181" t="s">
        <v>92</v>
      </c>
      <c r="F14" s="174">
        <v>1325</v>
      </c>
      <c r="G14" s="122" t="s">
        <v>111</v>
      </c>
      <c r="H14" s="123"/>
      <c r="I14" s="125">
        <v>95.95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100</v>
      </c>
      <c r="O14" s="312"/>
      <c r="P14" s="313"/>
      <c r="Q14" s="314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267">
        <v>11</v>
      </c>
      <c r="B15" s="268">
        <v>10403</v>
      </c>
      <c r="C15" s="269" t="s">
        <v>174</v>
      </c>
      <c r="D15" s="270" t="s">
        <v>175</v>
      </c>
      <c r="E15" s="271" t="s">
        <v>92</v>
      </c>
      <c r="F15" s="272">
        <v>1330</v>
      </c>
      <c r="G15" s="268" t="s">
        <v>148</v>
      </c>
      <c r="H15" s="273"/>
      <c r="I15" s="274"/>
      <c r="J15" s="274" t="str">
        <f t="shared" si="1"/>
        <v>0</v>
      </c>
      <c r="K15" s="274">
        <v>100</v>
      </c>
      <c r="L15" s="275"/>
      <c r="M15" s="275">
        <v>600</v>
      </c>
      <c r="N15" s="276" t="s">
        <v>100</v>
      </c>
      <c r="O15" s="383" t="s">
        <v>176</v>
      </c>
      <c r="P15" s="384"/>
      <c r="Q15" s="385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10404</v>
      </c>
      <c r="C16" s="65" t="s">
        <v>168</v>
      </c>
      <c r="D16" s="205" t="s">
        <v>169</v>
      </c>
      <c r="E16" s="181" t="s">
        <v>92</v>
      </c>
      <c r="F16" s="174">
        <v>1330</v>
      </c>
      <c r="G16" s="122" t="s">
        <v>111</v>
      </c>
      <c r="H16" s="123"/>
      <c r="I16" s="124">
        <v>75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100</v>
      </c>
      <c r="O16" s="312"/>
      <c r="P16" s="313"/>
      <c r="Q16" s="314"/>
      <c r="R16" s="82">
        <f>H32/U16</f>
        <v>0.46280991735537191</v>
      </c>
      <c r="S16" s="83">
        <f>H32/(U16-U5)</f>
        <v>0.65116279069767447</v>
      </c>
      <c r="T16" s="83">
        <f>C32/U16</f>
        <v>46.358677685950411</v>
      </c>
      <c r="U16" s="83">
        <f>SUM(U5:U15)</f>
        <v>30.25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10405</v>
      </c>
      <c r="C17" s="18" t="s">
        <v>170</v>
      </c>
      <c r="D17" s="203" t="s">
        <v>171</v>
      </c>
      <c r="E17" s="181" t="s">
        <v>92</v>
      </c>
      <c r="F17" s="66">
        <v>1345</v>
      </c>
      <c r="G17" s="121" t="s">
        <v>114</v>
      </c>
      <c r="H17" s="123">
        <v>120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100</v>
      </c>
      <c r="O17" s="312"/>
      <c r="P17" s="313"/>
      <c r="Q17" s="314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10406</v>
      </c>
      <c r="C18" s="18" t="s">
        <v>172</v>
      </c>
      <c r="D18" s="203" t="s">
        <v>173</v>
      </c>
      <c r="E18" s="181" t="s">
        <v>91</v>
      </c>
      <c r="F18" s="66">
        <v>1430</v>
      </c>
      <c r="G18" s="20" t="s">
        <v>114</v>
      </c>
      <c r="H18" s="123"/>
      <c r="I18" s="124">
        <v>150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100</v>
      </c>
      <c r="O18" s="312"/>
      <c r="P18" s="313"/>
      <c r="Q18" s="314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12"/>
      <c r="P19" s="313"/>
      <c r="Q19" s="313"/>
      <c r="R19" s="93" t="s">
        <v>45</v>
      </c>
      <c r="S19" s="94">
        <f>COUNT(L5:M29,L37:M61,L69:M93)</f>
        <v>1</v>
      </c>
      <c r="T19" s="116">
        <f>SUM(L5:M29,L37:M61,L69:M93)</f>
        <v>600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20"/>
      <c r="P20" s="321"/>
      <c r="Q20" s="321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12"/>
      <c r="P21" s="313"/>
      <c r="Q21" s="313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12"/>
      <c r="P22" s="313"/>
      <c r="Q22" s="314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18"/>
      <c r="Y23" s="319"/>
      <c r="Z23" s="319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2"/>
      <c r="P24" s="313"/>
      <c r="Q24" s="314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2"/>
      <c r="P25" s="313"/>
      <c r="Q25" s="314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22">
        <f>((C32+(R26+S26+T26)*0.5))</f>
        <v>1402.35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2"/>
      <c r="P26" s="313"/>
      <c r="Q26" s="314"/>
      <c r="R26" s="112">
        <f>R25*37.5</f>
        <v>0</v>
      </c>
      <c r="S26" s="102">
        <f>S25*41.5</f>
        <v>0</v>
      </c>
      <c r="T26" s="102">
        <f>T25*50</f>
        <v>0</v>
      </c>
      <c r="U26" s="323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2"/>
      <c r="P27" s="313"/>
      <c r="Q27" s="314"/>
      <c r="R27" s="331" t="s">
        <v>56</v>
      </c>
      <c r="S27" s="332"/>
      <c r="T27" s="332"/>
      <c r="U27" s="333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2"/>
      <c r="P28" s="313"/>
      <c r="Q28" s="314"/>
      <c r="R28" s="324"/>
      <c r="S28" s="325"/>
      <c r="T28" s="326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0"/>
      <c r="P29" s="341"/>
      <c r="Q29" s="342"/>
      <c r="R29" s="343"/>
      <c r="S29" s="344"/>
      <c r="T29" s="345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6" t="s">
        <v>48</v>
      </c>
      <c r="B30" s="347"/>
      <c r="C30" s="347"/>
      <c r="D30" s="347"/>
      <c r="E30" s="348"/>
      <c r="F30" s="347"/>
      <c r="G30" s="347"/>
      <c r="H30" s="264">
        <f t="shared" ref="H30:M30" si="3">SUM(H5:H29)</f>
        <v>470</v>
      </c>
      <c r="I30" s="105">
        <f>SUM(I5:I29)</f>
        <v>548.20000000000005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329.15</v>
      </c>
      <c r="L30" s="106">
        <f t="shared" si="3"/>
        <v>0</v>
      </c>
      <c r="M30" s="106">
        <f t="shared" si="3"/>
        <v>600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49"/>
      <c r="S30" s="349"/>
      <c r="T30" s="350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1" t="s">
        <v>16</v>
      </c>
      <c r="B31" s="352"/>
      <c r="C31" s="352"/>
      <c r="D31" s="352"/>
      <c r="E31" s="352"/>
      <c r="F31" s="352"/>
      <c r="G31" s="352"/>
      <c r="H31" s="265">
        <f t="shared" ref="H31:J31" si="4">H30+H62+H94</f>
        <v>470</v>
      </c>
      <c r="I31" s="103">
        <f t="shared" si="4"/>
        <v>548.20000000000005</v>
      </c>
      <c r="J31" s="103">
        <f t="shared" si="4"/>
        <v>55</v>
      </c>
      <c r="K31" s="103">
        <f>K30+K62+K94</f>
        <v>329.15</v>
      </c>
      <c r="L31" s="97">
        <f>L30+L62+L94</f>
        <v>0</v>
      </c>
      <c r="M31" s="97">
        <f>M30+M62+M94</f>
        <v>600</v>
      </c>
      <c r="N31" s="262">
        <f>COUNT(H5:H29,H37:H61,H69:H93)</f>
        <v>4</v>
      </c>
      <c r="O31" s="104">
        <f>COUNT(I5:I29,I37:I61,I69:I93)</f>
        <v>6</v>
      </c>
      <c r="P31" s="104">
        <f>COUNTIF(G5:G29,"G*")+COUNTIF(G37:G61,"G*")+COUNTIF(G69:G93,"G*")+COUNTIF(G5:G29,"P*")+COUNTIF(G37:G61,"P*")+COUNTIF(G69:G93,"P*")</f>
        <v>4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470</v>
      </c>
      <c r="T31" s="336">
        <f>H31+I31+L31+M31</f>
        <v>1618.2</v>
      </c>
      <c r="U31" s="337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27" t="s">
        <v>55</v>
      </c>
      <c r="B32" s="328"/>
      <c r="C32" s="107">
        <f>H31+I31+J31+K31</f>
        <v>1402.35</v>
      </c>
      <c r="D32" s="196"/>
      <c r="E32" s="107"/>
      <c r="F32" s="329" t="s">
        <v>53</v>
      </c>
      <c r="G32" s="329"/>
      <c r="H32" s="109">
        <f>COUNT(B5:B29,B37:B61,B69:B93)</f>
        <v>14</v>
      </c>
      <c r="I32" s="330" t="s">
        <v>54</v>
      </c>
      <c r="J32" s="330"/>
      <c r="K32" s="108">
        <f>C32/H32</f>
        <v>100.16785714285713</v>
      </c>
      <c r="L32" s="260"/>
      <c r="M32" s="260"/>
      <c r="N32" s="260">
        <f>H31/C32</f>
        <v>0.33515170963026353</v>
      </c>
      <c r="O32" s="260">
        <f>I31/C32</f>
        <v>0.39091524940278821</v>
      </c>
      <c r="P32" s="260">
        <f>K31/C32</f>
        <v>0.23471316005276857</v>
      </c>
      <c r="Q32" s="110">
        <f>J31/C32</f>
        <v>3.9219880914179772E-2</v>
      </c>
      <c r="R32" s="99" t="s">
        <v>82</v>
      </c>
      <c r="S32" s="266">
        <f>I31+M31</f>
        <v>1148.2</v>
      </c>
      <c r="T32" s="338"/>
      <c r="U32" s="339"/>
      <c r="V32" s="55"/>
      <c r="W32" s="55"/>
      <c r="X32" s="56" t="s">
        <v>27</v>
      </c>
      <c r="Y32" s="56"/>
      <c r="Z32" s="54">
        <f>I31</f>
        <v>548.20000000000005</v>
      </c>
      <c r="AE32" s="37"/>
      <c r="AF32" s="37"/>
      <c r="AG32" s="37"/>
      <c r="AH32" s="37"/>
    </row>
    <row r="33" spans="1:34" ht="17.25" thickBot="1" x14ac:dyDescent="0.35">
      <c r="A33" s="334" t="s">
        <v>24</v>
      </c>
      <c r="B33" s="335"/>
      <c r="C33" s="335"/>
      <c r="D33" s="335"/>
      <c r="E33" s="335"/>
      <c r="F33" s="335"/>
      <c r="G33" s="335"/>
      <c r="H33" s="335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335"/>
      <c r="T33" s="296"/>
      <c r="U33" s="297"/>
      <c r="X33" s="57" t="s">
        <v>29</v>
      </c>
      <c r="Y33" s="57"/>
      <c r="Z33" s="58">
        <f>SUM(Z31:Z32)</f>
        <v>-2196.8000000000002</v>
      </c>
      <c r="AE33" s="37"/>
      <c r="AF33" s="37"/>
      <c r="AG33" s="59"/>
      <c r="AH33" s="37"/>
    </row>
    <row r="34" spans="1:34" ht="17.25" thickBot="1" x14ac:dyDescent="0.35">
      <c r="A34" s="295" t="str">
        <f>A2</f>
        <v>2 - 8 - 2022</v>
      </c>
      <c r="B34" s="296"/>
      <c r="C34" s="296"/>
      <c r="D34" s="296"/>
      <c r="E34" s="296"/>
      <c r="F34" s="296"/>
      <c r="G34" s="297"/>
      <c r="H34" s="298" t="s">
        <v>49</v>
      </c>
      <c r="I34" s="299"/>
      <c r="J34" s="295" t="str">
        <f>J2</f>
        <v>SUNNY</v>
      </c>
      <c r="K34" s="297"/>
      <c r="L34" s="299" t="s">
        <v>50</v>
      </c>
      <c r="M34" s="300"/>
      <c r="N34" s="298"/>
      <c r="O34" s="296" t="str">
        <f>O2</f>
        <v>HENDRA</v>
      </c>
      <c r="P34" s="296"/>
      <c r="Q34" s="297"/>
      <c r="R34" s="299" t="s">
        <v>51</v>
      </c>
      <c r="S34" s="298"/>
      <c r="T34" s="301">
        <f>T2</f>
        <v>4</v>
      </c>
      <c r="U34" s="301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05" t="s">
        <v>8</v>
      </c>
      <c r="P36" s="305"/>
      <c r="Q36" s="305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2"/>
      <c r="P37" s="313"/>
      <c r="Q37" s="314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09"/>
      <c r="P38" s="310"/>
      <c r="Q38" s="311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2"/>
      <c r="P39" s="313"/>
      <c r="Q39" s="314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5"/>
      <c r="P40" s="316"/>
      <c r="Q40" s="317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5"/>
      <c r="P41" s="316"/>
      <c r="Q41" s="317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2"/>
      <c r="P42" s="303"/>
      <c r="Q42" s="304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2"/>
      <c r="P43" s="313"/>
      <c r="Q43" s="314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2"/>
      <c r="P44" s="313"/>
      <c r="Q44" s="314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2"/>
      <c r="P45" s="313"/>
      <c r="Q45" s="314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2"/>
      <c r="P46" s="313"/>
      <c r="Q46" s="314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2"/>
      <c r="P47" s="313"/>
      <c r="Q47" s="314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2"/>
      <c r="P48" s="313"/>
      <c r="Q48" s="314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2"/>
      <c r="P49" s="313"/>
      <c r="Q49" s="314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2"/>
      <c r="P50" s="313"/>
      <c r="Q50" s="314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2"/>
      <c r="P51" s="313"/>
      <c r="Q51" s="313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2"/>
      <c r="P52" s="313"/>
      <c r="Q52" s="313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3"/>
      <c r="P53" s="312"/>
      <c r="Q53" s="312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3"/>
      <c r="P54" s="312"/>
      <c r="Q54" s="312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3"/>
      <c r="P55" s="312"/>
      <c r="Q55" s="312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3"/>
      <c r="P56" s="313"/>
      <c r="Q56" s="313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2"/>
      <c r="P57" s="313"/>
      <c r="Q57" s="313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3"/>
      <c r="P58" s="313"/>
      <c r="Q58" s="313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3"/>
      <c r="P59" s="313"/>
      <c r="Q59" s="313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2"/>
      <c r="P60" s="313"/>
      <c r="Q60" s="314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4"/>
      <c r="P61" s="355"/>
      <c r="Q61" s="356"/>
      <c r="R61" s="81"/>
      <c r="S61" s="68"/>
      <c r="T61" s="68"/>
      <c r="U61" s="77"/>
    </row>
    <row r="62" spans="1:21" x14ac:dyDescent="0.3">
      <c r="A62" s="357" t="s">
        <v>48</v>
      </c>
      <c r="B62" s="358"/>
      <c r="C62" s="358"/>
      <c r="D62" s="358"/>
      <c r="E62" s="358"/>
      <c r="F62" s="358"/>
      <c r="G62" s="358"/>
      <c r="H62" s="358">
        <f t="shared" ref="H62:M62" si="8">SUM(H37:H61)</f>
        <v>0</v>
      </c>
      <c r="I62" s="363">
        <f t="shared" si="8"/>
        <v>0</v>
      </c>
      <c r="J62" s="363">
        <f>J61+J60+J59+J58+J57+J56+J55+J54+J53+J52+J51+J50+J49+J48+J47+J46+J45+J44+J43+J42+J41+J40+J39+J38+J37</f>
        <v>0</v>
      </c>
      <c r="K62" s="363">
        <f>K61+K60+K59+K58+K57+K56+K55+K54+K53+K52+K51+K50+K49+K48+K47+K46+K45+K44+K43+K42+K41+K40+K39+K38+K37</f>
        <v>0</v>
      </c>
      <c r="L62" s="366">
        <f t="shared" si="8"/>
        <v>0</v>
      </c>
      <c r="M62" s="369">
        <f t="shared" si="8"/>
        <v>0</v>
      </c>
      <c r="N62" s="372"/>
      <c r="O62" s="373"/>
      <c r="P62" s="373"/>
      <c r="Q62" s="374"/>
      <c r="R62" s="5"/>
      <c r="S62" s="6"/>
      <c r="T62" s="7"/>
      <c r="U62" s="8"/>
    </row>
    <row r="63" spans="1:21" ht="17.25" thickBot="1" x14ac:dyDescent="0.35">
      <c r="A63" s="359"/>
      <c r="B63" s="360"/>
      <c r="C63" s="360"/>
      <c r="D63" s="360"/>
      <c r="E63" s="360"/>
      <c r="F63" s="360"/>
      <c r="G63" s="360"/>
      <c r="H63" s="360"/>
      <c r="I63" s="364"/>
      <c r="J63" s="364"/>
      <c r="K63" s="364"/>
      <c r="L63" s="367"/>
      <c r="M63" s="370"/>
      <c r="N63" s="375"/>
      <c r="O63" s="376"/>
      <c r="P63" s="376"/>
      <c r="Q63" s="377"/>
      <c r="R63" s="1"/>
      <c r="S63" s="2"/>
      <c r="T63" s="3"/>
      <c r="U63" s="4"/>
    </row>
    <row r="64" spans="1:21" ht="17.25" thickBot="1" x14ac:dyDescent="0.35">
      <c r="A64" s="361"/>
      <c r="B64" s="362"/>
      <c r="C64" s="362"/>
      <c r="D64" s="362"/>
      <c r="E64" s="362"/>
      <c r="F64" s="362"/>
      <c r="G64" s="362"/>
      <c r="H64" s="362"/>
      <c r="I64" s="365"/>
      <c r="J64" s="365"/>
      <c r="K64" s="365"/>
      <c r="L64" s="368"/>
      <c r="M64" s="371"/>
      <c r="N64" s="334"/>
      <c r="O64" s="335"/>
      <c r="P64" s="335"/>
      <c r="Q64" s="378"/>
      <c r="R64" s="379" t="s">
        <v>17</v>
      </c>
      <c r="S64" s="380"/>
      <c r="T64" s="380"/>
      <c r="U64" s="381"/>
    </row>
    <row r="65" spans="1:21" ht="17.25" thickBot="1" x14ac:dyDescent="0.35">
      <c r="A65" s="295" t="s">
        <v>24</v>
      </c>
      <c r="B65" s="296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  <c r="N65" s="296"/>
      <c r="O65" s="296"/>
      <c r="P65" s="296"/>
      <c r="Q65" s="296"/>
      <c r="R65" s="296"/>
      <c r="S65" s="296"/>
      <c r="T65" s="296"/>
      <c r="U65" s="297"/>
    </row>
    <row r="66" spans="1:21" ht="17.25" thickBot="1" x14ac:dyDescent="0.35">
      <c r="A66" s="295" t="str">
        <f>A34</f>
        <v>2 - 8 - 2022</v>
      </c>
      <c r="B66" s="296"/>
      <c r="C66" s="296"/>
      <c r="D66" s="296"/>
      <c r="E66" s="296"/>
      <c r="F66" s="296"/>
      <c r="G66" s="297"/>
      <c r="H66" s="298" t="s">
        <v>49</v>
      </c>
      <c r="I66" s="299"/>
      <c r="J66" s="295" t="str">
        <f>J34</f>
        <v>SUNNY</v>
      </c>
      <c r="K66" s="297"/>
      <c r="L66" s="299" t="s">
        <v>50</v>
      </c>
      <c r="M66" s="300"/>
      <c r="N66" s="298"/>
      <c r="O66" s="296" t="str">
        <f>O34</f>
        <v>HENDRA</v>
      </c>
      <c r="P66" s="296"/>
      <c r="Q66" s="297"/>
      <c r="R66" s="299" t="s">
        <v>51</v>
      </c>
      <c r="S66" s="298"/>
      <c r="T66" s="301">
        <f>T34</f>
        <v>4</v>
      </c>
      <c r="U66" s="301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05" t="s">
        <v>8</v>
      </c>
      <c r="P68" s="305"/>
      <c r="Q68" s="305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2"/>
      <c r="P69" s="313"/>
      <c r="Q69" s="314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09"/>
      <c r="P70" s="310"/>
      <c r="Q70" s="311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2"/>
      <c r="P71" s="313"/>
      <c r="Q71" s="314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5"/>
      <c r="P72" s="316"/>
      <c r="Q72" s="317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5"/>
      <c r="P73" s="316"/>
      <c r="Q73" s="317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2"/>
      <c r="P74" s="303"/>
      <c r="Q74" s="304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2"/>
      <c r="P75" s="313"/>
      <c r="Q75" s="314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2"/>
      <c r="P76" s="313"/>
      <c r="Q76" s="314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2"/>
      <c r="P77" s="313"/>
      <c r="Q77" s="314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2"/>
      <c r="P78" s="313"/>
      <c r="Q78" s="314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2"/>
      <c r="P79" s="313"/>
      <c r="Q79" s="314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2"/>
      <c r="P80" s="313"/>
      <c r="Q80" s="314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2"/>
      <c r="P81" s="313"/>
      <c r="Q81" s="314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2"/>
      <c r="P82" s="313"/>
      <c r="Q82" s="314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2"/>
      <c r="P83" s="313"/>
      <c r="Q83" s="313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2"/>
      <c r="P84" s="313"/>
      <c r="Q84" s="313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3"/>
      <c r="P85" s="312"/>
      <c r="Q85" s="312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3"/>
      <c r="P86" s="312"/>
      <c r="Q86" s="312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3"/>
      <c r="P87" s="312"/>
      <c r="Q87" s="312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3"/>
      <c r="P88" s="313"/>
      <c r="Q88" s="313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2"/>
      <c r="P89" s="313"/>
      <c r="Q89" s="313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3"/>
      <c r="P90" s="313"/>
      <c r="Q90" s="313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3"/>
      <c r="P91" s="313"/>
      <c r="Q91" s="313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2"/>
      <c r="P92" s="313"/>
      <c r="Q92" s="314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4"/>
      <c r="P93" s="355"/>
      <c r="Q93" s="356"/>
      <c r="R93" s="81"/>
      <c r="S93" s="68"/>
      <c r="T93" s="68"/>
      <c r="U93" s="77"/>
    </row>
    <row r="94" spans="1:21" x14ac:dyDescent="0.3">
      <c r="A94" s="357" t="s">
        <v>48</v>
      </c>
      <c r="B94" s="358"/>
      <c r="C94" s="358"/>
      <c r="D94" s="358"/>
      <c r="E94" s="382"/>
      <c r="F94" s="358"/>
      <c r="G94" s="358"/>
      <c r="H94" s="358">
        <f t="shared" ref="H94:M94" si="12">SUM(H69:H93)</f>
        <v>0</v>
      </c>
      <c r="I94" s="363">
        <f t="shared" si="12"/>
        <v>0</v>
      </c>
      <c r="J94" s="363">
        <f>J93+J92+J91+J90+J89+J88+J87+J86+J85+J84+J83+J82+J81+J80+J79+J78+J77+J76+J75+J74+J73+J72+J71+J70+J69</f>
        <v>0</v>
      </c>
      <c r="K94" s="363">
        <f>K93+K92+K91+K90+K89+K88+K87+K86+K85+K84+K83+K82+K81+K80+K79+K78+K77+K76+K75+K74+K73+K72+K71+K70+K69</f>
        <v>0</v>
      </c>
      <c r="L94" s="366">
        <f t="shared" si="12"/>
        <v>0</v>
      </c>
      <c r="M94" s="369">
        <f t="shared" si="12"/>
        <v>0</v>
      </c>
      <c r="N94" s="372"/>
      <c r="O94" s="373"/>
      <c r="P94" s="373"/>
      <c r="Q94" s="374"/>
      <c r="R94" s="5"/>
      <c r="S94" s="6"/>
      <c r="T94" s="7"/>
      <c r="U94" s="8"/>
    </row>
    <row r="95" spans="1:21" ht="17.25" thickBot="1" x14ac:dyDescent="0.35">
      <c r="A95" s="359"/>
      <c r="B95" s="360"/>
      <c r="C95" s="360"/>
      <c r="D95" s="360"/>
      <c r="E95" s="360"/>
      <c r="F95" s="360"/>
      <c r="G95" s="360"/>
      <c r="H95" s="360"/>
      <c r="I95" s="364"/>
      <c r="J95" s="364"/>
      <c r="K95" s="364"/>
      <c r="L95" s="367"/>
      <c r="M95" s="370"/>
      <c r="N95" s="375"/>
      <c r="O95" s="376"/>
      <c r="P95" s="376"/>
      <c r="Q95" s="377"/>
      <c r="R95" s="1"/>
      <c r="S95" s="2"/>
      <c r="T95" s="3"/>
      <c r="U95" s="4"/>
    </row>
    <row r="96" spans="1:21" ht="17.25" thickBot="1" x14ac:dyDescent="0.35">
      <c r="A96" s="361"/>
      <c r="B96" s="362"/>
      <c r="C96" s="362"/>
      <c r="D96" s="362"/>
      <c r="E96" s="362"/>
      <c r="F96" s="362"/>
      <c r="G96" s="362"/>
      <c r="H96" s="362"/>
      <c r="I96" s="365"/>
      <c r="J96" s="365"/>
      <c r="K96" s="365"/>
      <c r="L96" s="368"/>
      <c r="M96" s="371"/>
      <c r="N96" s="334"/>
      <c r="O96" s="335"/>
      <c r="P96" s="335"/>
      <c r="Q96" s="378"/>
      <c r="R96" s="379" t="s">
        <v>52</v>
      </c>
      <c r="S96" s="380"/>
      <c r="T96" s="380"/>
      <c r="U96" s="381"/>
    </row>
  </sheetData>
  <mergeCells count="131"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</mergeCells>
  <phoneticPr fontId="3" type="noConversion"/>
  <dataValidations count="1">
    <dataValidation type="list" allowBlank="1" showInputMessage="1" showErrorMessage="1" sqref="X7 W5 E69:E93 E37:E61 E5:E29" xr:uid="{7DE241FF-8063-4C9B-AE4D-985BF0337AF7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Normal="100" zoomScaleSheetLayoutView="77" workbookViewId="0">
      <selection activeCell="R8" sqref="R8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95" t="s">
        <v>77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7"/>
    </row>
    <row r="2" spans="1:44" ht="17.25" thickBot="1" x14ac:dyDescent="0.35">
      <c r="A2" s="295" t="s">
        <v>177</v>
      </c>
      <c r="B2" s="296"/>
      <c r="C2" s="296"/>
      <c r="D2" s="296"/>
      <c r="E2" s="296"/>
      <c r="F2" s="296"/>
      <c r="G2" s="297"/>
      <c r="H2" s="298" t="s">
        <v>49</v>
      </c>
      <c r="I2" s="299"/>
      <c r="J2" s="295" t="s">
        <v>140</v>
      </c>
      <c r="K2" s="297"/>
      <c r="L2" s="299" t="s">
        <v>96</v>
      </c>
      <c r="M2" s="300"/>
      <c r="N2" s="298"/>
      <c r="O2" s="296" t="s">
        <v>99</v>
      </c>
      <c r="P2" s="296"/>
      <c r="Q2" s="297"/>
      <c r="R2" s="299" t="s">
        <v>51</v>
      </c>
      <c r="S2" s="298"/>
      <c r="T2" s="301">
        <v>6</v>
      </c>
      <c r="U2" s="301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05" t="s">
        <v>8</v>
      </c>
      <c r="P4" s="305"/>
      <c r="Q4" s="305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10407</v>
      </c>
      <c r="C5" s="68" t="s">
        <v>178</v>
      </c>
      <c r="D5" s="200" t="s">
        <v>179</v>
      </c>
      <c r="E5" s="181" t="s">
        <v>180</v>
      </c>
      <c r="F5" s="170">
        <v>850</v>
      </c>
      <c r="G5" s="118" t="s">
        <v>114</v>
      </c>
      <c r="H5" s="91">
        <v>130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306"/>
      <c r="P5" s="307"/>
      <c r="Q5" s="308"/>
      <c r="R5" s="33" t="s">
        <v>99</v>
      </c>
      <c r="S5" s="31">
        <v>0.33333333333333331</v>
      </c>
      <c r="T5" s="32">
        <v>0.69791666666666663</v>
      </c>
      <c r="U5" s="92">
        <f t="shared" ref="U5:U15" si="0">(T5-S5)*24</f>
        <v>8.75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10408</v>
      </c>
      <c r="C6" s="67" t="s">
        <v>181</v>
      </c>
      <c r="D6" s="200" t="s">
        <v>182</v>
      </c>
      <c r="E6" s="181" t="s">
        <v>107</v>
      </c>
      <c r="F6" s="171">
        <v>915</v>
      </c>
      <c r="G6" s="118" t="s">
        <v>121</v>
      </c>
      <c r="H6" s="91"/>
      <c r="I6" s="124"/>
      <c r="J6" s="130" t="str">
        <f t="shared" ref="J6:J29" si="1">IF(G6="RSL","55","0")</f>
        <v>0</v>
      </c>
      <c r="K6" s="130">
        <v>62.5</v>
      </c>
      <c r="L6" s="131"/>
      <c r="M6" s="131"/>
      <c r="N6" s="134" t="s">
        <v>99</v>
      </c>
      <c r="O6" s="309" t="s">
        <v>183</v>
      </c>
      <c r="P6" s="310"/>
      <c r="Q6" s="311"/>
      <c r="R6" s="33" t="s">
        <v>100</v>
      </c>
      <c r="S6" s="31">
        <v>0.33333333333333331</v>
      </c>
      <c r="T6" s="32">
        <v>0.69791666666666663</v>
      </c>
      <c r="U6" s="92">
        <f t="shared" si="0"/>
        <v>8.75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10409</v>
      </c>
      <c r="C7" s="67" t="s">
        <v>184</v>
      </c>
      <c r="D7" s="200" t="s">
        <v>185</v>
      </c>
      <c r="E7" s="181" t="s">
        <v>91</v>
      </c>
      <c r="F7" s="171">
        <v>920</v>
      </c>
      <c r="G7" s="118" t="s">
        <v>111</v>
      </c>
      <c r="H7" s="91">
        <v>95</v>
      </c>
      <c r="I7" s="124"/>
      <c r="J7" s="130" t="str">
        <f t="shared" si="1"/>
        <v>0</v>
      </c>
      <c r="K7" s="130" t="str">
        <f t="shared" ref="K7:K29" si="2">IF(G7="GVS","37.5",IF(G7="GVM","41.5",IF(G7="GVL","50",IF(G7="PCS","45.8",IF(G7="PCM","50",IF(G7="PCL","58.3","0"))))))</f>
        <v>0</v>
      </c>
      <c r="L7" s="131"/>
      <c r="M7" s="131"/>
      <c r="N7" s="134" t="s">
        <v>99</v>
      </c>
      <c r="O7" s="312"/>
      <c r="P7" s="313"/>
      <c r="Q7" s="314"/>
      <c r="R7" s="132" t="s">
        <v>101</v>
      </c>
      <c r="S7" s="31">
        <v>0.36458333333333331</v>
      </c>
      <c r="T7" s="32">
        <v>0.69791666666666663</v>
      </c>
      <c r="U7" s="92">
        <f t="shared" si="0"/>
        <v>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10410</v>
      </c>
      <c r="C8" s="27" t="s">
        <v>186</v>
      </c>
      <c r="D8" s="200" t="s">
        <v>187</v>
      </c>
      <c r="E8" s="181" t="s">
        <v>92</v>
      </c>
      <c r="F8" s="171">
        <v>940</v>
      </c>
      <c r="G8" s="118" t="s">
        <v>148</v>
      </c>
      <c r="H8" s="91"/>
      <c r="I8" s="124"/>
      <c r="J8" s="130" t="str">
        <f t="shared" si="1"/>
        <v>0</v>
      </c>
      <c r="K8" s="130">
        <v>79.099999999999994</v>
      </c>
      <c r="L8" s="131"/>
      <c r="M8" s="131"/>
      <c r="N8" s="134" t="s">
        <v>99</v>
      </c>
      <c r="O8" s="315" t="s">
        <v>188</v>
      </c>
      <c r="P8" s="316"/>
      <c r="Q8" s="317"/>
      <c r="R8" s="134" t="s">
        <v>102</v>
      </c>
      <c r="S8" s="31">
        <v>0.375</v>
      </c>
      <c r="T8" s="32">
        <v>0.66666666666666663</v>
      </c>
      <c r="U8" s="92">
        <f t="shared" si="0"/>
        <v>6.9999999999999991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10411</v>
      </c>
      <c r="C9" s="63" t="s">
        <v>189</v>
      </c>
      <c r="D9" s="201" t="s">
        <v>190</v>
      </c>
      <c r="E9" s="181" t="s">
        <v>91</v>
      </c>
      <c r="F9" s="172">
        <v>1025</v>
      </c>
      <c r="G9" s="119" t="s">
        <v>114</v>
      </c>
      <c r="H9" s="91">
        <v>150</v>
      </c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15"/>
      <c r="P9" s="316"/>
      <c r="Q9" s="317"/>
      <c r="R9" s="26" t="s">
        <v>103</v>
      </c>
      <c r="S9" s="31">
        <v>0.35416666666666669</v>
      </c>
      <c r="T9" s="32">
        <v>0.69791666666666663</v>
      </c>
      <c r="U9" s="92">
        <f t="shared" si="0"/>
        <v>8.2499999999999982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10412</v>
      </c>
      <c r="C10" s="28" t="s">
        <v>191</v>
      </c>
      <c r="D10" s="202" t="s">
        <v>192</v>
      </c>
      <c r="E10" s="181" t="s">
        <v>91</v>
      </c>
      <c r="F10" s="173">
        <v>1040</v>
      </c>
      <c r="G10" s="120" t="s">
        <v>111</v>
      </c>
      <c r="H10" s="123">
        <v>95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302"/>
      <c r="P10" s="303"/>
      <c r="Q10" s="304"/>
      <c r="R10" s="26" t="s">
        <v>104</v>
      </c>
      <c r="S10" s="31">
        <v>0.45833333333333331</v>
      </c>
      <c r="T10" s="32">
        <v>0.66666666666666663</v>
      </c>
      <c r="U10" s="92">
        <f t="shared" si="0"/>
        <v>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10413</v>
      </c>
      <c r="C11" s="18" t="s">
        <v>193</v>
      </c>
      <c r="D11" s="203" t="s">
        <v>194</v>
      </c>
      <c r="E11" s="181" t="s">
        <v>92</v>
      </c>
      <c r="F11" s="66">
        <v>1100</v>
      </c>
      <c r="G11" s="121" t="s">
        <v>111</v>
      </c>
      <c r="H11" s="123">
        <v>95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12"/>
      <c r="P11" s="313"/>
      <c r="Q11" s="314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10414</v>
      </c>
      <c r="C12" s="64" t="s">
        <v>195</v>
      </c>
      <c r="D12" s="204" t="s">
        <v>196</v>
      </c>
      <c r="E12" s="181" t="s">
        <v>91</v>
      </c>
      <c r="F12" s="173">
        <v>1100</v>
      </c>
      <c r="G12" s="119" t="s">
        <v>111</v>
      </c>
      <c r="H12" s="123">
        <v>95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12" t="s">
        <v>199</v>
      </c>
      <c r="P12" s="313"/>
      <c r="Q12" s="314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10415</v>
      </c>
      <c r="C13" s="64" t="s">
        <v>197</v>
      </c>
      <c r="D13" s="204" t="s">
        <v>198</v>
      </c>
      <c r="E13" s="181" t="s">
        <v>92</v>
      </c>
      <c r="F13" s="173">
        <v>1205</v>
      </c>
      <c r="G13" s="119" t="s">
        <v>114</v>
      </c>
      <c r="H13" s="169">
        <v>140</v>
      </c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312"/>
      <c r="P13" s="313"/>
      <c r="Q13" s="314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10416</v>
      </c>
      <c r="C14" s="65" t="s">
        <v>200</v>
      </c>
      <c r="D14" s="205"/>
      <c r="E14" s="181" t="s">
        <v>92</v>
      </c>
      <c r="F14" s="174">
        <v>1315</v>
      </c>
      <c r="G14" s="122" t="s">
        <v>108</v>
      </c>
      <c r="H14" s="123">
        <v>150</v>
      </c>
      <c r="I14" s="125">
        <v>230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12"/>
      <c r="P14" s="313"/>
      <c r="Q14" s="314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10417</v>
      </c>
      <c r="C15" s="65" t="s">
        <v>204</v>
      </c>
      <c r="D15" s="205" t="s">
        <v>205</v>
      </c>
      <c r="E15" s="181" t="s">
        <v>92</v>
      </c>
      <c r="F15" s="174">
        <v>1400</v>
      </c>
      <c r="G15" s="122" t="s">
        <v>206</v>
      </c>
      <c r="H15" s="123"/>
      <c r="I15" s="124">
        <v>480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99</v>
      </c>
      <c r="O15" s="312"/>
      <c r="P15" s="313"/>
      <c r="Q15" s="314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10418</v>
      </c>
      <c r="C16" s="65" t="s">
        <v>201</v>
      </c>
      <c r="D16" s="205" t="s">
        <v>202</v>
      </c>
      <c r="E16" s="181" t="s">
        <v>92</v>
      </c>
      <c r="F16" s="174">
        <v>1405</v>
      </c>
      <c r="G16" s="122" t="s">
        <v>129</v>
      </c>
      <c r="H16" s="123">
        <v>75</v>
      </c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99</v>
      </c>
      <c r="O16" s="312"/>
      <c r="P16" s="313"/>
      <c r="Q16" s="314"/>
      <c r="R16" s="82">
        <f>H32/U16</f>
        <v>0.28415300546448086</v>
      </c>
      <c r="S16" s="83">
        <f>H32/(U16-U5)</f>
        <v>0.35135135135135137</v>
      </c>
      <c r="T16" s="83">
        <f>C32/U16</f>
        <v>42.65792349726776</v>
      </c>
      <c r="U16" s="83">
        <f>SUM(U5:U15)</f>
        <v>45.75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10419</v>
      </c>
      <c r="C17" s="18" t="s">
        <v>203</v>
      </c>
      <c r="D17" s="203"/>
      <c r="E17" s="181" t="s">
        <v>92</v>
      </c>
      <c r="F17" s="66">
        <v>1440</v>
      </c>
      <c r="G17" s="121" t="s">
        <v>111</v>
      </c>
      <c r="H17" s="123">
        <v>75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99</v>
      </c>
      <c r="O17" s="312"/>
      <c r="P17" s="313"/>
      <c r="Q17" s="314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12"/>
      <c r="P18" s="313"/>
      <c r="Q18" s="314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12"/>
      <c r="P19" s="313"/>
      <c r="Q19" s="313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20"/>
      <c r="P20" s="321"/>
      <c r="Q20" s="321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12"/>
      <c r="P21" s="313"/>
      <c r="Q21" s="313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12"/>
      <c r="P22" s="313"/>
      <c r="Q22" s="314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18"/>
      <c r="Y23" s="319"/>
      <c r="Z23" s="319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2"/>
      <c r="P24" s="313"/>
      <c r="Q24" s="314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2"/>
      <c r="P25" s="313"/>
      <c r="Q25" s="314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22">
        <f>((C32+(R26+S26+T26)*0.5))</f>
        <v>1951.6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2"/>
      <c r="P26" s="313"/>
      <c r="Q26" s="314"/>
      <c r="R26" s="112">
        <f>R25*37.5</f>
        <v>0</v>
      </c>
      <c r="S26" s="102">
        <f>S25*41.5</f>
        <v>0</v>
      </c>
      <c r="T26" s="102">
        <f>T25*50</f>
        <v>0</v>
      </c>
      <c r="U26" s="323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2"/>
      <c r="P27" s="313"/>
      <c r="Q27" s="314"/>
      <c r="R27" s="331" t="s">
        <v>56</v>
      </c>
      <c r="S27" s="332"/>
      <c r="T27" s="332"/>
      <c r="U27" s="333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2"/>
      <c r="P28" s="313"/>
      <c r="Q28" s="314"/>
      <c r="R28" s="324"/>
      <c r="S28" s="325"/>
      <c r="T28" s="326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0"/>
      <c r="P29" s="341"/>
      <c r="Q29" s="342"/>
      <c r="R29" s="343"/>
      <c r="S29" s="344"/>
      <c r="T29" s="345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6" t="s">
        <v>48</v>
      </c>
      <c r="B30" s="347"/>
      <c r="C30" s="347"/>
      <c r="D30" s="347"/>
      <c r="E30" s="348"/>
      <c r="F30" s="347"/>
      <c r="G30" s="347"/>
      <c r="H30" s="264">
        <f t="shared" ref="H30:M30" si="3">SUM(H5:H29)</f>
        <v>1100</v>
      </c>
      <c r="I30" s="105">
        <f>SUM(I5:I29)</f>
        <v>710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141.6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49"/>
      <c r="S30" s="349"/>
      <c r="T30" s="350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1" t="s">
        <v>16</v>
      </c>
      <c r="B31" s="352"/>
      <c r="C31" s="352"/>
      <c r="D31" s="352"/>
      <c r="E31" s="352"/>
      <c r="F31" s="352"/>
      <c r="G31" s="352"/>
      <c r="H31" s="265">
        <f t="shared" ref="H31:J31" si="4">H30+H62+H94</f>
        <v>1100</v>
      </c>
      <c r="I31" s="103">
        <f t="shared" si="4"/>
        <v>710</v>
      </c>
      <c r="J31" s="103">
        <f t="shared" si="4"/>
        <v>0</v>
      </c>
      <c r="K31" s="103">
        <f>K30+K62+K94</f>
        <v>141.6</v>
      </c>
      <c r="L31" s="97">
        <f>L30+L62+L94</f>
        <v>0</v>
      </c>
      <c r="M31" s="97">
        <f>M30+M62+M94</f>
        <v>0</v>
      </c>
      <c r="N31" s="262">
        <f>COUNT(H5:H29,H37:H61,H69:H93)</f>
        <v>10</v>
      </c>
      <c r="O31" s="104">
        <f>COUNT(I5:I29,I37:I61,I69:I93)</f>
        <v>2</v>
      </c>
      <c r="P31" s="104">
        <f>COUNTIF(G5:G29,"G*")+COUNTIF(G37:G61,"G*")+COUNTIF(G69:G93,"G*")+COUNTIF(G5:G29,"P*")+COUNTIF(G37:G61,"P*")+COUNTIF(G69:G93,"P*")</f>
        <v>2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1100</v>
      </c>
      <c r="T31" s="336">
        <f>H31+I31+L31+M31</f>
        <v>1810</v>
      </c>
      <c r="U31" s="337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27" t="s">
        <v>55</v>
      </c>
      <c r="B32" s="328"/>
      <c r="C32" s="107">
        <f>H31+I31+J31+K31</f>
        <v>1951.6</v>
      </c>
      <c r="D32" s="196"/>
      <c r="E32" s="107"/>
      <c r="F32" s="329" t="s">
        <v>53</v>
      </c>
      <c r="G32" s="329"/>
      <c r="H32" s="109">
        <f>COUNT(B5:B29,B37:B61,B69:B93)</f>
        <v>13</v>
      </c>
      <c r="I32" s="330" t="s">
        <v>54</v>
      </c>
      <c r="J32" s="330"/>
      <c r="K32" s="108">
        <f>C32/H32</f>
        <v>150.12307692307692</v>
      </c>
      <c r="L32" s="260"/>
      <c r="M32" s="260"/>
      <c r="N32" s="260">
        <f>H31/C32</f>
        <v>0.56364009018241445</v>
      </c>
      <c r="O32" s="260">
        <f>I31/C32</f>
        <v>0.36380405820864931</v>
      </c>
      <c r="P32" s="260">
        <f>K31/C32</f>
        <v>7.2555851608936253E-2</v>
      </c>
      <c r="Q32" s="110">
        <f>J31/C32</f>
        <v>0</v>
      </c>
      <c r="R32" s="99" t="s">
        <v>82</v>
      </c>
      <c r="S32" s="266">
        <f>I31+M31</f>
        <v>710</v>
      </c>
      <c r="T32" s="338"/>
      <c r="U32" s="339"/>
      <c r="V32" s="55"/>
      <c r="W32" s="55"/>
      <c r="X32" s="56" t="s">
        <v>27</v>
      </c>
      <c r="Y32" s="56"/>
      <c r="Z32" s="54">
        <f>I31</f>
        <v>710</v>
      </c>
      <c r="AE32" s="37"/>
      <c r="AF32" s="37"/>
      <c r="AG32" s="37"/>
      <c r="AH32" s="37"/>
    </row>
    <row r="33" spans="1:34" ht="17.25" thickBot="1" x14ac:dyDescent="0.35">
      <c r="A33" s="334" t="s">
        <v>24</v>
      </c>
      <c r="B33" s="335"/>
      <c r="C33" s="335"/>
      <c r="D33" s="335"/>
      <c r="E33" s="335"/>
      <c r="F33" s="335"/>
      <c r="G33" s="335"/>
      <c r="H33" s="335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335"/>
      <c r="T33" s="296"/>
      <c r="U33" s="297"/>
      <c r="X33" s="57" t="s">
        <v>29</v>
      </c>
      <c r="Y33" s="57"/>
      <c r="Z33" s="58">
        <f>SUM(Z31:Z32)</f>
        <v>-2035</v>
      </c>
      <c r="AE33" s="37"/>
      <c r="AF33" s="37"/>
      <c r="AG33" s="59"/>
      <c r="AH33" s="37"/>
    </row>
    <row r="34" spans="1:34" ht="17.25" thickBot="1" x14ac:dyDescent="0.35">
      <c r="A34" s="295" t="str">
        <f>A2</f>
        <v>03-08-2022</v>
      </c>
      <c r="B34" s="296"/>
      <c r="C34" s="296"/>
      <c r="D34" s="296"/>
      <c r="E34" s="296"/>
      <c r="F34" s="296"/>
      <c r="G34" s="297"/>
      <c r="H34" s="298" t="s">
        <v>49</v>
      </c>
      <c r="I34" s="299"/>
      <c r="J34" s="295" t="str">
        <f>J2</f>
        <v>SUNNY</v>
      </c>
      <c r="K34" s="297"/>
      <c r="L34" s="299" t="s">
        <v>50</v>
      </c>
      <c r="M34" s="300"/>
      <c r="N34" s="298"/>
      <c r="O34" s="296" t="str">
        <f>O2</f>
        <v>JOHN</v>
      </c>
      <c r="P34" s="296"/>
      <c r="Q34" s="297"/>
      <c r="R34" s="299" t="s">
        <v>51</v>
      </c>
      <c r="S34" s="298"/>
      <c r="T34" s="301">
        <f>T2</f>
        <v>6</v>
      </c>
      <c r="U34" s="301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05" t="s">
        <v>8</v>
      </c>
      <c r="P36" s="305"/>
      <c r="Q36" s="305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2"/>
      <c r="P37" s="313"/>
      <c r="Q37" s="314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09"/>
      <c r="P38" s="310"/>
      <c r="Q38" s="311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2"/>
      <c r="P39" s="313"/>
      <c r="Q39" s="314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5"/>
      <c r="P40" s="316"/>
      <c r="Q40" s="317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5"/>
      <c r="P41" s="316"/>
      <c r="Q41" s="317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2"/>
      <c r="P42" s="303"/>
      <c r="Q42" s="304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2"/>
      <c r="P43" s="313"/>
      <c r="Q43" s="314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2"/>
      <c r="P44" s="313"/>
      <c r="Q44" s="314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2"/>
      <c r="P45" s="313"/>
      <c r="Q45" s="314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2"/>
      <c r="P46" s="313"/>
      <c r="Q46" s="314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2"/>
      <c r="P47" s="313"/>
      <c r="Q47" s="314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2"/>
      <c r="P48" s="313"/>
      <c r="Q48" s="314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2"/>
      <c r="P49" s="313"/>
      <c r="Q49" s="314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2"/>
      <c r="P50" s="313"/>
      <c r="Q50" s="314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2"/>
      <c r="P51" s="313"/>
      <c r="Q51" s="313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2"/>
      <c r="P52" s="313"/>
      <c r="Q52" s="313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3"/>
      <c r="P53" s="312"/>
      <c r="Q53" s="312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3"/>
      <c r="P54" s="312"/>
      <c r="Q54" s="312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3"/>
      <c r="P55" s="312"/>
      <c r="Q55" s="312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3"/>
      <c r="P56" s="313"/>
      <c r="Q56" s="313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2"/>
      <c r="P57" s="313"/>
      <c r="Q57" s="313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3"/>
      <c r="P58" s="313"/>
      <c r="Q58" s="313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3"/>
      <c r="P59" s="313"/>
      <c r="Q59" s="313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2"/>
      <c r="P60" s="313"/>
      <c r="Q60" s="314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4"/>
      <c r="P61" s="355"/>
      <c r="Q61" s="356"/>
      <c r="R61" s="81"/>
      <c r="S61" s="68"/>
      <c r="T61" s="68"/>
      <c r="U61" s="77"/>
    </row>
    <row r="62" spans="1:21" x14ac:dyDescent="0.3">
      <c r="A62" s="357" t="s">
        <v>48</v>
      </c>
      <c r="B62" s="358"/>
      <c r="C62" s="358"/>
      <c r="D62" s="358"/>
      <c r="E62" s="358"/>
      <c r="F62" s="358"/>
      <c r="G62" s="358"/>
      <c r="H62" s="358">
        <f t="shared" ref="H62:M62" si="8">SUM(H37:H61)</f>
        <v>0</v>
      </c>
      <c r="I62" s="363">
        <f t="shared" si="8"/>
        <v>0</v>
      </c>
      <c r="J62" s="363">
        <f>J61+J60+J59+J58+J57+J56+J55+J54+J53+J52+J51+J50+J49+J48+J47+J46+J45+J44+J43+J42+J41+J40+J39+J38+J37</f>
        <v>0</v>
      </c>
      <c r="K62" s="363">
        <f>K61+K60+K59+K58+K57+K56+K55+K54+K53+K52+K51+K50+K49+K48+K47+K46+K45+K44+K43+K42+K41+K40+K39+K38+K37</f>
        <v>0</v>
      </c>
      <c r="L62" s="366">
        <f t="shared" si="8"/>
        <v>0</v>
      </c>
      <c r="M62" s="369">
        <f t="shared" si="8"/>
        <v>0</v>
      </c>
      <c r="N62" s="372"/>
      <c r="O62" s="373"/>
      <c r="P62" s="373"/>
      <c r="Q62" s="374"/>
      <c r="R62" s="5"/>
      <c r="S62" s="6"/>
      <c r="T62" s="7"/>
      <c r="U62" s="8"/>
    </row>
    <row r="63" spans="1:21" ht="17.25" thickBot="1" x14ac:dyDescent="0.35">
      <c r="A63" s="359"/>
      <c r="B63" s="360"/>
      <c r="C63" s="360"/>
      <c r="D63" s="360"/>
      <c r="E63" s="360"/>
      <c r="F63" s="360"/>
      <c r="G63" s="360"/>
      <c r="H63" s="360"/>
      <c r="I63" s="364"/>
      <c r="J63" s="364"/>
      <c r="K63" s="364"/>
      <c r="L63" s="367"/>
      <c r="M63" s="370"/>
      <c r="N63" s="375"/>
      <c r="O63" s="376"/>
      <c r="P63" s="376"/>
      <c r="Q63" s="377"/>
      <c r="R63" s="1"/>
      <c r="S63" s="2"/>
      <c r="T63" s="3"/>
      <c r="U63" s="4"/>
    </row>
    <row r="64" spans="1:21" ht="17.25" thickBot="1" x14ac:dyDescent="0.35">
      <c r="A64" s="361"/>
      <c r="B64" s="362"/>
      <c r="C64" s="362"/>
      <c r="D64" s="362"/>
      <c r="E64" s="362"/>
      <c r="F64" s="362"/>
      <c r="G64" s="362"/>
      <c r="H64" s="362"/>
      <c r="I64" s="365"/>
      <c r="J64" s="365"/>
      <c r="K64" s="365"/>
      <c r="L64" s="368"/>
      <c r="M64" s="371"/>
      <c r="N64" s="334"/>
      <c r="O64" s="335"/>
      <c r="P64" s="335"/>
      <c r="Q64" s="378"/>
      <c r="R64" s="379" t="s">
        <v>17</v>
      </c>
      <c r="S64" s="380"/>
      <c r="T64" s="380"/>
      <c r="U64" s="381"/>
    </row>
    <row r="65" spans="1:21" ht="17.25" thickBot="1" x14ac:dyDescent="0.35">
      <c r="A65" s="295" t="s">
        <v>24</v>
      </c>
      <c r="B65" s="296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  <c r="N65" s="296"/>
      <c r="O65" s="296"/>
      <c r="P65" s="296"/>
      <c r="Q65" s="296"/>
      <c r="R65" s="296"/>
      <c r="S65" s="296"/>
      <c r="T65" s="296"/>
      <c r="U65" s="297"/>
    </row>
    <row r="66" spans="1:21" ht="17.25" thickBot="1" x14ac:dyDescent="0.35">
      <c r="A66" s="295" t="str">
        <f>A34</f>
        <v>03-08-2022</v>
      </c>
      <c r="B66" s="296"/>
      <c r="C66" s="296"/>
      <c r="D66" s="296"/>
      <c r="E66" s="296"/>
      <c r="F66" s="296"/>
      <c r="G66" s="297"/>
      <c r="H66" s="298" t="s">
        <v>49</v>
      </c>
      <c r="I66" s="299"/>
      <c r="J66" s="295" t="str">
        <f>J34</f>
        <v>SUNNY</v>
      </c>
      <c r="K66" s="297"/>
      <c r="L66" s="299" t="s">
        <v>50</v>
      </c>
      <c r="M66" s="300"/>
      <c r="N66" s="298"/>
      <c r="O66" s="296" t="str">
        <f>O34</f>
        <v>JOHN</v>
      </c>
      <c r="P66" s="296"/>
      <c r="Q66" s="297"/>
      <c r="R66" s="299" t="s">
        <v>51</v>
      </c>
      <c r="S66" s="298"/>
      <c r="T66" s="301">
        <f>T34</f>
        <v>6</v>
      </c>
      <c r="U66" s="301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05" t="s">
        <v>8</v>
      </c>
      <c r="P68" s="305"/>
      <c r="Q68" s="305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2"/>
      <c r="P69" s="313"/>
      <c r="Q69" s="314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09"/>
      <c r="P70" s="310"/>
      <c r="Q70" s="311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2"/>
      <c r="P71" s="313"/>
      <c r="Q71" s="314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5"/>
      <c r="P72" s="316"/>
      <c r="Q72" s="317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5"/>
      <c r="P73" s="316"/>
      <c r="Q73" s="317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2"/>
      <c r="P74" s="303"/>
      <c r="Q74" s="304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2"/>
      <c r="P75" s="313"/>
      <c r="Q75" s="314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2"/>
      <c r="P76" s="313"/>
      <c r="Q76" s="314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2"/>
      <c r="P77" s="313"/>
      <c r="Q77" s="314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2"/>
      <c r="P78" s="313"/>
      <c r="Q78" s="314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2"/>
      <c r="P79" s="313"/>
      <c r="Q79" s="314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2"/>
      <c r="P80" s="313"/>
      <c r="Q80" s="314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2"/>
      <c r="P81" s="313"/>
      <c r="Q81" s="314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2"/>
      <c r="P82" s="313"/>
      <c r="Q82" s="314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2"/>
      <c r="P83" s="313"/>
      <c r="Q83" s="313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2"/>
      <c r="P84" s="313"/>
      <c r="Q84" s="313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3"/>
      <c r="P85" s="312"/>
      <c r="Q85" s="312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3"/>
      <c r="P86" s="312"/>
      <c r="Q86" s="312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3"/>
      <c r="P87" s="312"/>
      <c r="Q87" s="312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3"/>
      <c r="P88" s="313"/>
      <c r="Q88" s="313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2"/>
      <c r="P89" s="313"/>
      <c r="Q89" s="313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3"/>
      <c r="P90" s="313"/>
      <c r="Q90" s="313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3"/>
      <c r="P91" s="313"/>
      <c r="Q91" s="313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2"/>
      <c r="P92" s="313"/>
      <c r="Q92" s="314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4"/>
      <c r="P93" s="355"/>
      <c r="Q93" s="356"/>
      <c r="R93" s="81"/>
      <c r="S93" s="68"/>
      <c r="T93" s="68"/>
      <c r="U93" s="77"/>
    </row>
    <row r="94" spans="1:21" x14ac:dyDescent="0.3">
      <c r="A94" s="357" t="s">
        <v>48</v>
      </c>
      <c r="B94" s="358"/>
      <c r="C94" s="358"/>
      <c r="D94" s="358"/>
      <c r="E94" s="382"/>
      <c r="F94" s="358"/>
      <c r="G94" s="358"/>
      <c r="H94" s="358">
        <f t="shared" ref="H94:M94" si="12">SUM(H69:H93)</f>
        <v>0</v>
      </c>
      <c r="I94" s="363">
        <f t="shared" si="12"/>
        <v>0</v>
      </c>
      <c r="J94" s="363">
        <f>J93+J92+J91+J90+J89+J88+J87+J86+J85+J84+J83+J82+J81+J80+J79+J78+J77+J76+J75+J74+J73+J72+J71+J70+J69</f>
        <v>0</v>
      </c>
      <c r="K94" s="363">
        <f>K93+K92+K91+K90+K89+K88+K87+K86+K85+K84+K83+K82+K81+K80+K79+K78+K77+K76+K75+K74+K73+K72+K71+K70+K69</f>
        <v>0</v>
      </c>
      <c r="L94" s="366">
        <f t="shared" si="12"/>
        <v>0</v>
      </c>
      <c r="M94" s="369">
        <f t="shared" si="12"/>
        <v>0</v>
      </c>
      <c r="N94" s="372"/>
      <c r="O94" s="373"/>
      <c r="P94" s="373"/>
      <c r="Q94" s="374"/>
      <c r="R94" s="5"/>
      <c r="S94" s="6"/>
      <c r="T94" s="7"/>
      <c r="U94" s="8"/>
    </row>
    <row r="95" spans="1:21" ht="17.25" thickBot="1" x14ac:dyDescent="0.35">
      <c r="A95" s="359"/>
      <c r="B95" s="360"/>
      <c r="C95" s="360"/>
      <c r="D95" s="360"/>
      <c r="E95" s="360"/>
      <c r="F95" s="360"/>
      <c r="G95" s="360"/>
      <c r="H95" s="360"/>
      <c r="I95" s="364"/>
      <c r="J95" s="364"/>
      <c r="K95" s="364"/>
      <c r="L95" s="367"/>
      <c r="M95" s="370"/>
      <c r="N95" s="375"/>
      <c r="O95" s="376"/>
      <c r="P95" s="376"/>
      <c r="Q95" s="377"/>
      <c r="R95" s="1"/>
      <c r="S95" s="2"/>
      <c r="T95" s="3"/>
      <c r="U95" s="4"/>
    </row>
    <row r="96" spans="1:21" ht="17.25" thickBot="1" x14ac:dyDescent="0.35">
      <c r="A96" s="361"/>
      <c r="B96" s="362"/>
      <c r="C96" s="362"/>
      <c r="D96" s="362"/>
      <c r="E96" s="362"/>
      <c r="F96" s="362"/>
      <c r="G96" s="362"/>
      <c r="H96" s="362"/>
      <c r="I96" s="365"/>
      <c r="J96" s="365"/>
      <c r="K96" s="365"/>
      <c r="L96" s="368"/>
      <c r="M96" s="371"/>
      <c r="N96" s="334"/>
      <c r="O96" s="335"/>
      <c r="P96" s="335"/>
      <c r="Q96" s="378"/>
      <c r="R96" s="379" t="s">
        <v>52</v>
      </c>
      <c r="S96" s="380"/>
      <c r="T96" s="380"/>
      <c r="U96" s="381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3" type="noConversion"/>
  <dataValidations disablePrompts="1"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Normal="100" zoomScaleSheetLayoutView="77" workbookViewId="0">
      <selection activeCell="K21" sqref="K21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95" t="s">
        <v>77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7"/>
    </row>
    <row r="2" spans="1:44" ht="17.25" thickBot="1" x14ac:dyDescent="0.35">
      <c r="A2" s="295" t="s">
        <v>207</v>
      </c>
      <c r="B2" s="296"/>
      <c r="C2" s="296"/>
      <c r="D2" s="296"/>
      <c r="E2" s="296"/>
      <c r="F2" s="296"/>
      <c r="G2" s="297"/>
      <c r="H2" s="298" t="s">
        <v>49</v>
      </c>
      <c r="I2" s="299"/>
      <c r="J2" s="295" t="s">
        <v>98</v>
      </c>
      <c r="K2" s="297"/>
      <c r="L2" s="299" t="s">
        <v>96</v>
      </c>
      <c r="M2" s="300"/>
      <c r="N2" s="298"/>
      <c r="O2" s="296" t="s">
        <v>99</v>
      </c>
      <c r="P2" s="296"/>
      <c r="Q2" s="297"/>
      <c r="R2" s="299" t="s">
        <v>51</v>
      </c>
      <c r="S2" s="298"/>
      <c r="T2" s="301">
        <v>4</v>
      </c>
      <c r="U2" s="301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05" t="s">
        <v>8</v>
      </c>
      <c r="P4" s="305"/>
      <c r="Q4" s="305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10420</v>
      </c>
      <c r="C5" s="68" t="s">
        <v>208</v>
      </c>
      <c r="D5" s="200" t="s">
        <v>209</v>
      </c>
      <c r="E5" s="181" t="s">
        <v>107</v>
      </c>
      <c r="F5" s="170">
        <v>905</v>
      </c>
      <c r="G5" s="118" t="s">
        <v>111</v>
      </c>
      <c r="H5" s="91"/>
      <c r="I5" s="124">
        <v>75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306"/>
      <c r="P5" s="307"/>
      <c r="Q5" s="308"/>
      <c r="R5" s="33" t="s">
        <v>99</v>
      </c>
      <c r="S5" s="31">
        <v>0.34375</v>
      </c>
      <c r="T5" s="32">
        <v>0.71875</v>
      </c>
      <c r="U5" s="92">
        <f t="shared" ref="U5:U15" si="0">(T5-S5)*24</f>
        <v>9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10421</v>
      </c>
      <c r="C6" s="67" t="s">
        <v>210</v>
      </c>
      <c r="D6" s="200" t="s">
        <v>211</v>
      </c>
      <c r="E6" s="181" t="s">
        <v>91</v>
      </c>
      <c r="F6" s="171">
        <v>1020</v>
      </c>
      <c r="G6" s="118" t="s">
        <v>206</v>
      </c>
      <c r="H6" s="91">
        <v>550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09"/>
      <c r="P6" s="310"/>
      <c r="Q6" s="311"/>
      <c r="R6" s="33" t="s">
        <v>100</v>
      </c>
      <c r="S6" s="31">
        <v>0.33333333333333331</v>
      </c>
      <c r="T6" s="32">
        <v>0.71875</v>
      </c>
      <c r="U6" s="92">
        <f t="shared" si="0"/>
        <v>9.25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10422</v>
      </c>
      <c r="C7" s="67" t="s">
        <v>212</v>
      </c>
      <c r="D7" s="200" t="s">
        <v>213</v>
      </c>
      <c r="E7" s="181" t="s">
        <v>180</v>
      </c>
      <c r="F7" s="171">
        <v>1130</v>
      </c>
      <c r="G7" s="118" t="s">
        <v>129</v>
      </c>
      <c r="H7" s="91"/>
      <c r="I7" s="124">
        <v>75.75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12"/>
      <c r="P7" s="313"/>
      <c r="Q7" s="314"/>
      <c r="R7" s="134" t="s">
        <v>102</v>
      </c>
      <c r="S7" s="31">
        <v>0.38541666666666669</v>
      </c>
      <c r="T7" s="32">
        <v>0.71875</v>
      </c>
      <c r="U7" s="92">
        <f t="shared" si="0"/>
        <v>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10423</v>
      </c>
      <c r="C8" s="27" t="s">
        <v>214</v>
      </c>
      <c r="D8" s="200" t="s">
        <v>215</v>
      </c>
      <c r="E8" s="181" t="s">
        <v>92</v>
      </c>
      <c r="F8" s="171">
        <v>1130</v>
      </c>
      <c r="G8" s="118" t="s">
        <v>111</v>
      </c>
      <c r="H8" s="91"/>
      <c r="I8" s="124">
        <v>95.95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15"/>
      <c r="P8" s="316"/>
      <c r="Q8" s="317"/>
      <c r="R8" s="26" t="s">
        <v>103</v>
      </c>
      <c r="S8" s="31">
        <v>0.375</v>
      </c>
      <c r="T8" s="32">
        <v>0.71875</v>
      </c>
      <c r="U8" s="92">
        <f t="shared" si="0"/>
        <v>8.25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10424</v>
      </c>
      <c r="C9" s="63" t="s">
        <v>216</v>
      </c>
      <c r="D9" s="201" t="s">
        <v>217</v>
      </c>
      <c r="E9" s="181" t="s">
        <v>92</v>
      </c>
      <c r="F9" s="172">
        <v>1130</v>
      </c>
      <c r="G9" s="119" t="s">
        <v>114</v>
      </c>
      <c r="H9" s="91"/>
      <c r="I9" s="91">
        <v>121.2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15"/>
      <c r="P9" s="316"/>
      <c r="Q9" s="317"/>
      <c r="R9" s="26" t="s">
        <v>224</v>
      </c>
      <c r="S9" s="31">
        <v>0.5</v>
      </c>
      <c r="T9" s="32">
        <v>0.66666666666666663</v>
      </c>
      <c r="U9" s="92">
        <f t="shared" si="0"/>
        <v>3.9999999999999991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10425</v>
      </c>
      <c r="C10" s="28" t="s">
        <v>218</v>
      </c>
      <c r="D10" s="202" t="s">
        <v>219</v>
      </c>
      <c r="E10" s="181" t="s">
        <v>91</v>
      </c>
      <c r="F10" s="173">
        <v>1245</v>
      </c>
      <c r="G10" s="120" t="s">
        <v>111</v>
      </c>
      <c r="H10" s="123">
        <v>75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302"/>
      <c r="P10" s="303"/>
      <c r="Q10" s="304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10426</v>
      </c>
      <c r="C11" s="18" t="s">
        <v>220</v>
      </c>
      <c r="D11" s="203" t="s">
        <v>221</v>
      </c>
      <c r="E11" s="181" t="s">
        <v>92</v>
      </c>
      <c r="F11" s="66">
        <v>1320</v>
      </c>
      <c r="G11" s="121" t="s">
        <v>206</v>
      </c>
      <c r="H11" s="123">
        <v>150</v>
      </c>
      <c r="I11" s="124">
        <v>200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12"/>
      <c r="P11" s="313"/>
      <c r="Q11" s="314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10427</v>
      </c>
      <c r="C12" s="64" t="s">
        <v>222</v>
      </c>
      <c r="D12" s="204" t="s">
        <v>223</v>
      </c>
      <c r="E12" s="181" t="s">
        <v>92</v>
      </c>
      <c r="F12" s="173">
        <v>1400</v>
      </c>
      <c r="G12" s="119" t="s">
        <v>114</v>
      </c>
      <c r="H12" s="123"/>
      <c r="I12" s="125">
        <v>120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12"/>
      <c r="P12" s="313"/>
      <c r="Q12" s="314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10428</v>
      </c>
      <c r="C13" s="64" t="s">
        <v>225</v>
      </c>
      <c r="D13" s="204" t="s">
        <v>226</v>
      </c>
      <c r="E13" s="181" t="s">
        <v>92</v>
      </c>
      <c r="F13" s="173">
        <v>1620</v>
      </c>
      <c r="G13" s="119" t="s">
        <v>129</v>
      </c>
      <c r="H13" s="169"/>
      <c r="I13" s="168">
        <v>75.75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312"/>
      <c r="P13" s="313"/>
      <c r="Q13" s="314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10429</v>
      </c>
      <c r="C14" s="65" t="s">
        <v>227</v>
      </c>
      <c r="D14" s="205" t="s">
        <v>228</v>
      </c>
      <c r="E14" s="181" t="s">
        <v>92</v>
      </c>
      <c r="F14" s="174">
        <v>1630</v>
      </c>
      <c r="G14" s="122" t="s">
        <v>111</v>
      </c>
      <c r="H14" s="123"/>
      <c r="I14" s="125">
        <v>75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12"/>
      <c r="P14" s="313"/>
      <c r="Q14" s="314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12"/>
      <c r="P15" s="313"/>
      <c r="Q15" s="314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12"/>
      <c r="P16" s="313"/>
      <c r="Q16" s="314"/>
      <c r="R16" s="82">
        <f>H32/U16</f>
        <v>0.25974025974025972</v>
      </c>
      <c r="S16" s="83">
        <f>H32/(U16-U5)</f>
        <v>0.33898305084745761</v>
      </c>
      <c r="T16" s="83">
        <f>C32/U16</f>
        <v>41.912987012987017</v>
      </c>
      <c r="U16" s="83">
        <f>SUM(U5:U15)</f>
        <v>38.5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12"/>
      <c r="P17" s="313"/>
      <c r="Q17" s="314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12"/>
      <c r="P18" s="313"/>
      <c r="Q18" s="314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12"/>
      <c r="P19" s="313"/>
      <c r="Q19" s="313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20"/>
      <c r="P20" s="321"/>
      <c r="Q20" s="321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12"/>
      <c r="P21" s="313"/>
      <c r="Q21" s="313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12"/>
      <c r="P22" s="313"/>
      <c r="Q22" s="314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18"/>
      <c r="Y23" s="319"/>
      <c r="Z23" s="319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2"/>
      <c r="P24" s="313"/>
      <c r="Q24" s="314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2"/>
      <c r="P25" s="313"/>
      <c r="Q25" s="314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22">
        <f>((C32+(R26+S26+T26)*0.5))</f>
        <v>1613.65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2"/>
      <c r="P26" s="313"/>
      <c r="Q26" s="314"/>
      <c r="R26" s="112">
        <f>R25*37.5</f>
        <v>0</v>
      </c>
      <c r="S26" s="102">
        <f>S25*41.5</f>
        <v>0</v>
      </c>
      <c r="T26" s="102">
        <f>T25*50</f>
        <v>0</v>
      </c>
      <c r="U26" s="323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2"/>
      <c r="P27" s="313"/>
      <c r="Q27" s="314"/>
      <c r="R27" s="331" t="s">
        <v>56</v>
      </c>
      <c r="S27" s="332"/>
      <c r="T27" s="332"/>
      <c r="U27" s="333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2"/>
      <c r="P28" s="313"/>
      <c r="Q28" s="314"/>
      <c r="R28" s="324"/>
      <c r="S28" s="325"/>
      <c r="T28" s="326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0"/>
      <c r="P29" s="341"/>
      <c r="Q29" s="342"/>
      <c r="R29" s="343"/>
      <c r="S29" s="344"/>
      <c r="T29" s="345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6" t="s">
        <v>48</v>
      </c>
      <c r="B30" s="347"/>
      <c r="C30" s="347"/>
      <c r="D30" s="347"/>
      <c r="E30" s="348"/>
      <c r="F30" s="347"/>
      <c r="G30" s="347"/>
      <c r="H30" s="264">
        <f t="shared" ref="H30:M30" si="3">SUM(H5:H29)</f>
        <v>775</v>
      </c>
      <c r="I30" s="105">
        <f>SUM(I5:I29)</f>
        <v>838.65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49"/>
      <c r="S30" s="349"/>
      <c r="T30" s="350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1" t="s">
        <v>16</v>
      </c>
      <c r="B31" s="352"/>
      <c r="C31" s="352"/>
      <c r="D31" s="352"/>
      <c r="E31" s="352"/>
      <c r="F31" s="352"/>
      <c r="G31" s="352"/>
      <c r="H31" s="265">
        <f t="shared" ref="H31:J31" si="4">H30+H62+H94</f>
        <v>775</v>
      </c>
      <c r="I31" s="103">
        <f t="shared" si="4"/>
        <v>838.65</v>
      </c>
      <c r="J31" s="103">
        <f t="shared" si="4"/>
        <v>0</v>
      </c>
      <c r="K31" s="103">
        <f>K30+K62+K94</f>
        <v>0</v>
      </c>
      <c r="L31" s="97">
        <f>L30+L62+L94</f>
        <v>0</v>
      </c>
      <c r="M31" s="97">
        <f>M30+M62+M94</f>
        <v>0</v>
      </c>
      <c r="N31" s="262">
        <f>COUNT(H5:H29,H37:H61,H69:H93)</f>
        <v>3</v>
      </c>
      <c r="O31" s="104">
        <f>COUNT(I5:I29,I37:I61,I69:I93)</f>
        <v>8</v>
      </c>
      <c r="P31" s="104">
        <f>COUNTIF(G5:G29,"G*")+COUNTIF(G37:G61,"G*")+COUNTIF(G69:G93,"G*")+COUNTIF(G5:G29,"P*")+COUNTIF(G37:G61,"P*")+COUNTIF(G69:G93,"P*")</f>
        <v>0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775</v>
      </c>
      <c r="T31" s="336">
        <f>H31+I31+L31+M31</f>
        <v>1613.65</v>
      </c>
      <c r="U31" s="337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27" t="s">
        <v>55</v>
      </c>
      <c r="B32" s="328"/>
      <c r="C32" s="107">
        <f>H31+I31+J31+K31</f>
        <v>1613.65</v>
      </c>
      <c r="D32" s="196"/>
      <c r="E32" s="107"/>
      <c r="F32" s="329" t="s">
        <v>53</v>
      </c>
      <c r="G32" s="329"/>
      <c r="H32" s="109">
        <f>COUNT(B5:B29,B37:B61,B69:B93)</f>
        <v>10</v>
      </c>
      <c r="I32" s="330" t="s">
        <v>54</v>
      </c>
      <c r="J32" s="330"/>
      <c r="K32" s="108">
        <f>C32/H32</f>
        <v>161.36500000000001</v>
      </c>
      <c r="L32" s="260"/>
      <c r="M32" s="260"/>
      <c r="N32" s="260">
        <f>H31/C32</f>
        <v>0.48027763145663555</v>
      </c>
      <c r="O32" s="260">
        <f>I31/C32</f>
        <v>0.5197223685433644</v>
      </c>
      <c r="P32" s="260">
        <f>K31/C32</f>
        <v>0</v>
      </c>
      <c r="Q32" s="110">
        <f>J31/C32</f>
        <v>0</v>
      </c>
      <c r="R32" s="99" t="s">
        <v>82</v>
      </c>
      <c r="S32" s="266">
        <f>I31+M31</f>
        <v>838.65</v>
      </c>
      <c r="T32" s="338"/>
      <c r="U32" s="339"/>
      <c r="V32" s="55"/>
      <c r="W32" s="55"/>
      <c r="X32" s="56" t="s">
        <v>27</v>
      </c>
      <c r="Y32" s="56"/>
      <c r="Z32" s="54">
        <f>I31</f>
        <v>838.65</v>
      </c>
      <c r="AE32" s="37"/>
      <c r="AF32" s="37"/>
      <c r="AG32" s="37"/>
      <c r="AH32" s="37"/>
    </row>
    <row r="33" spans="1:34" ht="17.25" thickBot="1" x14ac:dyDescent="0.35">
      <c r="A33" s="334" t="s">
        <v>24</v>
      </c>
      <c r="B33" s="335"/>
      <c r="C33" s="335"/>
      <c r="D33" s="335"/>
      <c r="E33" s="335"/>
      <c r="F33" s="335"/>
      <c r="G33" s="335"/>
      <c r="H33" s="335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335"/>
      <c r="T33" s="296"/>
      <c r="U33" s="297"/>
      <c r="X33" s="57" t="s">
        <v>29</v>
      </c>
      <c r="Y33" s="57"/>
      <c r="Z33" s="58">
        <f>SUM(Z31:Z32)</f>
        <v>-1906.35</v>
      </c>
      <c r="AE33" s="37"/>
      <c r="AF33" s="37"/>
      <c r="AG33" s="59"/>
      <c r="AH33" s="37"/>
    </row>
    <row r="34" spans="1:34" ht="17.25" thickBot="1" x14ac:dyDescent="0.35">
      <c r="A34" s="295" t="str">
        <f>A2</f>
        <v>04-08-2022</v>
      </c>
      <c r="B34" s="296"/>
      <c r="C34" s="296"/>
      <c r="D34" s="296"/>
      <c r="E34" s="296"/>
      <c r="F34" s="296"/>
      <c r="G34" s="297"/>
      <c r="H34" s="298" t="s">
        <v>49</v>
      </c>
      <c r="I34" s="299"/>
      <c r="J34" s="295" t="str">
        <f>J2</f>
        <v>CLOUDY</v>
      </c>
      <c r="K34" s="297"/>
      <c r="L34" s="299" t="s">
        <v>50</v>
      </c>
      <c r="M34" s="300"/>
      <c r="N34" s="298"/>
      <c r="O34" s="296" t="str">
        <f>O2</f>
        <v>JOHN</v>
      </c>
      <c r="P34" s="296"/>
      <c r="Q34" s="297"/>
      <c r="R34" s="299" t="s">
        <v>51</v>
      </c>
      <c r="S34" s="298"/>
      <c r="T34" s="301">
        <f>T2</f>
        <v>4</v>
      </c>
      <c r="U34" s="301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05" t="s">
        <v>8</v>
      </c>
      <c r="P36" s="305"/>
      <c r="Q36" s="305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2"/>
      <c r="P37" s="313"/>
      <c r="Q37" s="314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09"/>
      <c r="P38" s="310"/>
      <c r="Q38" s="311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2"/>
      <c r="P39" s="313"/>
      <c r="Q39" s="314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5"/>
      <c r="P40" s="316"/>
      <c r="Q40" s="317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5"/>
      <c r="P41" s="316"/>
      <c r="Q41" s="317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2"/>
      <c r="P42" s="303"/>
      <c r="Q42" s="304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2"/>
      <c r="P43" s="313"/>
      <c r="Q43" s="314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2"/>
      <c r="P44" s="313"/>
      <c r="Q44" s="314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2"/>
      <c r="P45" s="313"/>
      <c r="Q45" s="314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2"/>
      <c r="P46" s="313"/>
      <c r="Q46" s="314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2"/>
      <c r="P47" s="313"/>
      <c r="Q47" s="314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2"/>
      <c r="P48" s="313"/>
      <c r="Q48" s="314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2"/>
      <c r="P49" s="313"/>
      <c r="Q49" s="314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2"/>
      <c r="P50" s="313"/>
      <c r="Q50" s="314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2"/>
      <c r="P51" s="313"/>
      <c r="Q51" s="313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2"/>
      <c r="P52" s="313"/>
      <c r="Q52" s="313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3"/>
      <c r="P53" s="312"/>
      <c r="Q53" s="312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3"/>
      <c r="P54" s="312"/>
      <c r="Q54" s="312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3"/>
      <c r="P55" s="312"/>
      <c r="Q55" s="312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3"/>
      <c r="P56" s="313"/>
      <c r="Q56" s="313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2"/>
      <c r="P57" s="313"/>
      <c r="Q57" s="313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3"/>
      <c r="P58" s="313"/>
      <c r="Q58" s="313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3"/>
      <c r="P59" s="313"/>
      <c r="Q59" s="313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2"/>
      <c r="P60" s="313"/>
      <c r="Q60" s="314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4"/>
      <c r="P61" s="355"/>
      <c r="Q61" s="356"/>
      <c r="R61" s="81"/>
      <c r="S61" s="68"/>
      <c r="T61" s="68"/>
      <c r="U61" s="77"/>
    </row>
    <row r="62" spans="1:21" x14ac:dyDescent="0.3">
      <c r="A62" s="357" t="s">
        <v>48</v>
      </c>
      <c r="B62" s="358"/>
      <c r="C62" s="358"/>
      <c r="D62" s="358"/>
      <c r="E62" s="358"/>
      <c r="F62" s="358"/>
      <c r="G62" s="358"/>
      <c r="H62" s="358">
        <f t="shared" ref="H62:M62" si="8">SUM(H37:H61)</f>
        <v>0</v>
      </c>
      <c r="I62" s="363">
        <f t="shared" si="8"/>
        <v>0</v>
      </c>
      <c r="J62" s="363">
        <f>J61+J60+J59+J58+J57+J56+J55+J54+J53+J52+J51+J50+J49+J48+J47+J46+J45+J44+J43+J42+J41+J40+J39+J38+J37</f>
        <v>0</v>
      </c>
      <c r="K62" s="363">
        <f>K61+K60+K59+K58+K57+K56+K55+K54+K53+K52+K51+K50+K49+K48+K47+K46+K45+K44+K43+K42+K41+K40+K39+K38+K37</f>
        <v>0</v>
      </c>
      <c r="L62" s="366">
        <f t="shared" si="8"/>
        <v>0</v>
      </c>
      <c r="M62" s="369">
        <f t="shared" si="8"/>
        <v>0</v>
      </c>
      <c r="N62" s="372"/>
      <c r="O62" s="373"/>
      <c r="P62" s="373"/>
      <c r="Q62" s="374"/>
      <c r="R62" s="5"/>
      <c r="S62" s="6"/>
      <c r="T62" s="7"/>
      <c r="U62" s="8"/>
    </row>
    <row r="63" spans="1:21" ht="17.25" thickBot="1" x14ac:dyDescent="0.35">
      <c r="A63" s="359"/>
      <c r="B63" s="360"/>
      <c r="C63" s="360"/>
      <c r="D63" s="360"/>
      <c r="E63" s="360"/>
      <c r="F63" s="360"/>
      <c r="G63" s="360"/>
      <c r="H63" s="360"/>
      <c r="I63" s="364"/>
      <c r="J63" s="364"/>
      <c r="K63" s="364"/>
      <c r="L63" s="367"/>
      <c r="M63" s="370"/>
      <c r="N63" s="375"/>
      <c r="O63" s="376"/>
      <c r="P63" s="376"/>
      <c r="Q63" s="377"/>
      <c r="R63" s="1"/>
      <c r="S63" s="2"/>
      <c r="T63" s="3"/>
      <c r="U63" s="4"/>
    </row>
    <row r="64" spans="1:21" ht="17.25" thickBot="1" x14ac:dyDescent="0.35">
      <c r="A64" s="361"/>
      <c r="B64" s="362"/>
      <c r="C64" s="362"/>
      <c r="D64" s="362"/>
      <c r="E64" s="362"/>
      <c r="F64" s="362"/>
      <c r="G64" s="362"/>
      <c r="H64" s="362"/>
      <c r="I64" s="365"/>
      <c r="J64" s="365"/>
      <c r="K64" s="365"/>
      <c r="L64" s="368"/>
      <c r="M64" s="371"/>
      <c r="N64" s="334"/>
      <c r="O64" s="335"/>
      <c r="P64" s="335"/>
      <c r="Q64" s="378"/>
      <c r="R64" s="379" t="s">
        <v>17</v>
      </c>
      <c r="S64" s="380"/>
      <c r="T64" s="380"/>
      <c r="U64" s="381"/>
    </row>
    <row r="65" spans="1:21" ht="17.25" thickBot="1" x14ac:dyDescent="0.35">
      <c r="A65" s="295" t="s">
        <v>24</v>
      </c>
      <c r="B65" s="296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  <c r="N65" s="296"/>
      <c r="O65" s="296"/>
      <c r="P65" s="296"/>
      <c r="Q65" s="296"/>
      <c r="R65" s="296"/>
      <c r="S65" s="296"/>
      <c r="T65" s="296"/>
      <c r="U65" s="297"/>
    </row>
    <row r="66" spans="1:21" ht="17.25" thickBot="1" x14ac:dyDescent="0.35">
      <c r="A66" s="295" t="str">
        <f>A34</f>
        <v>04-08-2022</v>
      </c>
      <c r="B66" s="296"/>
      <c r="C66" s="296"/>
      <c r="D66" s="296"/>
      <c r="E66" s="296"/>
      <c r="F66" s="296"/>
      <c r="G66" s="297"/>
      <c r="H66" s="298" t="s">
        <v>49</v>
      </c>
      <c r="I66" s="299"/>
      <c r="J66" s="295" t="str">
        <f>J34</f>
        <v>CLOUDY</v>
      </c>
      <c r="K66" s="297"/>
      <c r="L66" s="299" t="s">
        <v>50</v>
      </c>
      <c r="M66" s="300"/>
      <c r="N66" s="298"/>
      <c r="O66" s="296" t="str">
        <f>O34</f>
        <v>JOHN</v>
      </c>
      <c r="P66" s="296"/>
      <c r="Q66" s="297"/>
      <c r="R66" s="299" t="s">
        <v>51</v>
      </c>
      <c r="S66" s="298"/>
      <c r="T66" s="301">
        <f>T34</f>
        <v>4</v>
      </c>
      <c r="U66" s="301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05" t="s">
        <v>8</v>
      </c>
      <c r="P68" s="305"/>
      <c r="Q68" s="305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2"/>
      <c r="P69" s="313"/>
      <c r="Q69" s="314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09"/>
      <c r="P70" s="310"/>
      <c r="Q70" s="311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2"/>
      <c r="P71" s="313"/>
      <c r="Q71" s="314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5"/>
      <c r="P72" s="316"/>
      <c r="Q72" s="317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5"/>
      <c r="P73" s="316"/>
      <c r="Q73" s="317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2"/>
      <c r="P74" s="303"/>
      <c r="Q74" s="304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2"/>
      <c r="P75" s="313"/>
      <c r="Q75" s="314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2"/>
      <c r="P76" s="313"/>
      <c r="Q76" s="314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2"/>
      <c r="P77" s="313"/>
      <c r="Q77" s="314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2"/>
      <c r="P78" s="313"/>
      <c r="Q78" s="314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2"/>
      <c r="P79" s="313"/>
      <c r="Q79" s="314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2"/>
      <c r="P80" s="313"/>
      <c r="Q80" s="314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2"/>
      <c r="P81" s="313"/>
      <c r="Q81" s="314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2"/>
      <c r="P82" s="313"/>
      <c r="Q82" s="314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2"/>
      <c r="P83" s="313"/>
      <c r="Q83" s="313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2"/>
      <c r="P84" s="313"/>
      <c r="Q84" s="313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3"/>
      <c r="P85" s="312"/>
      <c r="Q85" s="312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3"/>
      <c r="P86" s="312"/>
      <c r="Q86" s="312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3"/>
      <c r="P87" s="312"/>
      <c r="Q87" s="312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3"/>
      <c r="P88" s="313"/>
      <c r="Q88" s="313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2"/>
      <c r="P89" s="313"/>
      <c r="Q89" s="313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3"/>
      <c r="P90" s="313"/>
      <c r="Q90" s="313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3"/>
      <c r="P91" s="313"/>
      <c r="Q91" s="313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2"/>
      <c r="P92" s="313"/>
      <c r="Q92" s="314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4"/>
      <c r="P93" s="355"/>
      <c r="Q93" s="356"/>
      <c r="R93" s="81"/>
      <c r="S93" s="68"/>
      <c r="T93" s="68"/>
      <c r="U93" s="77"/>
    </row>
    <row r="94" spans="1:21" x14ac:dyDescent="0.3">
      <c r="A94" s="357" t="s">
        <v>48</v>
      </c>
      <c r="B94" s="358"/>
      <c r="C94" s="358"/>
      <c r="D94" s="358"/>
      <c r="E94" s="382"/>
      <c r="F94" s="358"/>
      <c r="G94" s="358"/>
      <c r="H94" s="358">
        <f t="shared" ref="H94:M94" si="12">SUM(H69:H93)</f>
        <v>0</v>
      </c>
      <c r="I94" s="363">
        <f t="shared" si="12"/>
        <v>0</v>
      </c>
      <c r="J94" s="363">
        <f>J93+J92+J91+J90+J89+J88+J87+J86+J85+J84+J83+J82+J81+J80+J79+J78+J77+J76+J75+J74+J73+J72+J71+J70+J69</f>
        <v>0</v>
      </c>
      <c r="K94" s="363">
        <f>K93+K92+K91+K90+K89+K88+K87+K86+K85+K84+K83+K82+K81+K80+K79+K78+K77+K76+K75+K74+K73+K72+K71+K70+K69</f>
        <v>0</v>
      </c>
      <c r="L94" s="366">
        <f t="shared" si="12"/>
        <v>0</v>
      </c>
      <c r="M94" s="369">
        <f t="shared" si="12"/>
        <v>0</v>
      </c>
      <c r="N94" s="372"/>
      <c r="O94" s="373"/>
      <c r="P94" s="373"/>
      <c r="Q94" s="374"/>
      <c r="R94" s="5"/>
      <c r="S94" s="6"/>
      <c r="T94" s="7"/>
      <c r="U94" s="8"/>
    </row>
    <row r="95" spans="1:21" ht="17.25" thickBot="1" x14ac:dyDescent="0.35">
      <c r="A95" s="359"/>
      <c r="B95" s="360"/>
      <c r="C95" s="360"/>
      <c r="D95" s="360"/>
      <c r="E95" s="360"/>
      <c r="F95" s="360"/>
      <c r="G95" s="360"/>
      <c r="H95" s="360"/>
      <c r="I95" s="364"/>
      <c r="J95" s="364"/>
      <c r="K95" s="364"/>
      <c r="L95" s="367"/>
      <c r="M95" s="370"/>
      <c r="N95" s="375"/>
      <c r="O95" s="376"/>
      <c r="P95" s="376"/>
      <c r="Q95" s="377"/>
      <c r="R95" s="1"/>
      <c r="S95" s="2"/>
      <c r="T95" s="3"/>
      <c r="U95" s="4"/>
    </row>
    <row r="96" spans="1:21" ht="17.25" thickBot="1" x14ac:dyDescent="0.35">
      <c r="A96" s="361"/>
      <c r="B96" s="362"/>
      <c r="C96" s="362"/>
      <c r="D96" s="362"/>
      <c r="E96" s="362"/>
      <c r="F96" s="362"/>
      <c r="G96" s="362"/>
      <c r="H96" s="362"/>
      <c r="I96" s="365"/>
      <c r="J96" s="365"/>
      <c r="K96" s="365"/>
      <c r="L96" s="368"/>
      <c r="M96" s="371"/>
      <c r="N96" s="334"/>
      <c r="O96" s="335"/>
      <c r="P96" s="335"/>
      <c r="Q96" s="378"/>
      <c r="R96" s="379" t="s">
        <v>52</v>
      </c>
      <c r="S96" s="380"/>
      <c r="T96" s="380"/>
      <c r="U96" s="381"/>
    </row>
  </sheetData>
  <mergeCells count="131"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3" type="noConversion"/>
  <dataValidations count="1">
    <dataValidation type="list" allowBlank="1" showInputMessage="1" showErrorMessage="1" sqref="X7 W5 E69:E93 E37:E61 E5:E29" xr:uid="{253CB3AB-DBC8-4EED-A776-88990BCC0C68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zoomScaleNormal="100" zoomScaleSheetLayoutView="77" workbookViewId="0">
      <selection activeCell="R9" sqref="R9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95" t="s">
        <v>77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7"/>
    </row>
    <row r="2" spans="1:44" ht="17.25" thickBot="1" x14ac:dyDescent="0.35">
      <c r="A2" s="295" t="s">
        <v>229</v>
      </c>
      <c r="B2" s="296"/>
      <c r="C2" s="296"/>
      <c r="D2" s="296"/>
      <c r="E2" s="296"/>
      <c r="F2" s="296"/>
      <c r="G2" s="297"/>
      <c r="H2" s="298" t="s">
        <v>49</v>
      </c>
      <c r="I2" s="299"/>
      <c r="J2" s="295" t="s">
        <v>140</v>
      </c>
      <c r="K2" s="297"/>
      <c r="L2" s="299" t="s">
        <v>96</v>
      </c>
      <c r="M2" s="300"/>
      <c r="N2" s="298"/>
      <c r="O2" s="296" t="s">
        <v>100</v>
      </c>
      <c r="P2" s="296"/>
      <c r="Q2" s="297"/>
      <c r="R2" s="299" t="s">
        <v>51</v>
      </c>
      <c r="S2" s="298"/>
      <c r="T2" s="301">
        <v>6</v>
      </c>
      <c r="U2" s="301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05" t="s">
        <v>8</v>
      </c>
      <c r="P4" s="305"/>
      <c r="Q4" s="305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10430</v>
      </c>
      <c r="C5" s="68" t="s">
        <v>232</v>
      </c>
      <c r="D5" s="200" t="s">
        <v>233</v>
      </c>
      <c r="E5" s="181" t="s">
        <v>92</v>
      </c>
      <c r="F5" s="170">
        <v>835</v>
      </c>
      <c r="G5" s="118" t="s">
        <v>114</v>
      </c>
      <c r="H5" s="91">
        <v>120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101</v>
      </c>
      <c r="O5" s="306"/>
      <c r="P5" s="307"/>
      <c r="Q5" s="308"/>
      <c r="R5" s="33" t="s">
        <v>100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10431</v>
      </c>
      <c r="C6" s="67" t="s">
        <v>234</v>
      </c>
      <c r="D6" s="200" t="s">
        <v>235</v>
      </c>
      <c r="E6" s="181" t="s">
        <v>92</v>
      </c>
      <c r="F6" s="171">
        <v>845</v>
      </c>
      <c r="G6" s="118" t="s">
        <v>111</v>
      </c>
      <c r="H6" s="91">
        <v>95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100</v>
      </c>
      <c r="O6" s="309"/>
      <c r="P6" s="310"/>
      <c r="Q6" s="311"/>
      <c r="R6" s="132" t="s">
        <v>101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10432</v>
      </c>
      <c r="C7" s="67" t="s">
        <v>236</v>
      </c>
      <c r="D7" s="200" t="s">
        <v>237</v>
      </c>
      <c r="E7" s="181" t="s">
        <v>92</v>
      </c>
      <c r="F7" s="171">
        <v>930</v>
      </c>
      <c r="G7" s="118" t="s">
        <v>114</v>
      </c>
      <c r="H7" s="91"/>
      <c r="I7" s="124">
        <v>150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100</v>
      </c>
      <c r="O7" s="312"/>
      <c r="P7" s="313"/>
      <c r="Q7" s="314"/>
      <c r="R7" s="134" t="s">
        <v>103</v>
      </c>
      <c r="S7" s="31">
        <v>0.35416666666666669</v>
      </c>
      <c r="T7" s="32">
        <v>0.70833333333333337</v>
      </c>
      <c r="U7" s="92">
        <f t="shared" si="0"/>
        <v>8.5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10433</v>
      </c>
      <c r="C8" s="27" t="s">
        <v>238</v>
      </c>
      <c r="D8" s="200" t="s">
        <v>239</v>
      </c>
      <c r="E8" s="181" t="s">
        <v>91</v>
      </c>
      <c r="F8" s="171">
        <v>950</v>
      </c>
      <c r="G8" s="118" t="s">
        <v>148</v>
      </c>
      <c r="H8" s="91"/>
      <c r="I8" s="124"/>
      <c r="J8" s="130" t="str">
        <f t="shared" si="1"/>
        <v>0</v>
      </c>
      <c r="K8" s="130">
        <v>158.32</v>
      </c>
      <c r="L8" s="131"/>
      <c r="M8" s="131"/>
      <c r="N8" s="134" t="s">
        <v>100</v>
      </c>
      <c r="O8" s="315" t="s">
        <v>240</v>
      </c>
      <c r="P8" s="316"/>
      <c r="Q8" s="317"/>
      <c r="R8" s="26" t="s">
        <v>231</v>
      </c>
      <c r="S8" s="31">
        <v>0.41666666666666669</v>
      </c>
      <c r="T8" s="32">
        <v>0.70833333333333337</v>
      </c>
      <c r="U8" s="92">
        <f t="shared" si="0"/>
        <v>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10434</v>
      </c>
      <c r="C9" s="63" t="s">
        <v>241</v>
      </c>
      <c r="D9" s="201" t="s">
        <v>242</v>
      </c>
      <c r="E9" s="181" t="s">
        <v>92</v>
      </c>
      <c r="F9" s="172">
        <v>1015</v>
      </c>
      <c r="G9" s="119" t="s">
        <v>111</v>
      </c>
      <c r="H9" s="91"/>
      <c r="I9" s="91">
        <v>95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100</v>
      </c>
      <c r="O9" s="315"/>
      <c r="P9" s="316"/>
      <c r="Q9" s="317"/>
      <c r="R9" s="26" t="s">
        <v>104</v>
      </c>
      <c r="S9" s="31">
        <v>0.45833333333333331</v>
      </c>
      <c r="T9" s="32">
        <v>0.66666666666666663</v>
      </c>
      <c r="U9" s="92">
        <f t="shared" si="0"/>
        <v>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10435</v>
      </c>
      <c r="C10" s="28" t="s">
        <v>243</v>
      </c>
      <c r="D10" s="202" t="s">
        <v>244</v>
      </c>
      <c r="E10" s="181" t="s">
        <v>91</v>
      </c>
      <c r="F10" s="173">
        <v>1045</v>
      </c>
      <c r="G10" s="120" t="s">
        <v>129</v>
      </c>
      <c r="H10" s="123">
        <v>55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100</v>
      </c>
      <c r="O10" s="302"/>
      <c r="P10" s="303"/>
      <c r="Q10" s="304"/>
      <c r="R10" s="26" t="s">
        <v>400</v>
      </c>
      <c r="S10" s="31">
        <v>0.38541666666666669</v>
      </c>
      <c r="T10" s="32">
        <v>0.6875</v>
      </c>
      <c r="U10" s="92">
        <f t="shared" si="0"/>
        <v>7.25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10436</v>
      </c>
      <c r="C11" s="18" t="s">
        <v>245</v>
      </c>
      <c r="D11" s="203" t="s">
        <v>246</v>
      </c>
      <c r="E11" s="181" t="s">
        <v>92</v>
      </c>
      <c r="F11" s="66">
        <v>1045</v>
      </c>
      <c r="G11" s="121" t="s">
        <v>111</v>
      </c>
      <c r="H11" s="123"/>
      <c r="I11" s="124">
        <v>75.75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101</v>
      </c>
      <c r="O11" s="312"/>
      <c r="P11" s="313"/>
      <c r="Q11" s="314"/>
      <c r="R11" s="26" t="s">
        <v>224</v>
      </c>
      <c r="S11" s="31">
        <v>0.54166666666666663</v>
      </c>
      <c r="T11" s="32">
        <v>0.70833333333333337</v>
      </c>
      <c r="U11" s="92">
        <f t="shared" si="0"/>
        <v>4.0000000000000018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10437</v>
      </c>
      <c r="C12" s="64" t="s">
        <v>247</v>
      </c>
      <c r="D12" s="204" t="s">
        <v>248</v>
      </c>
      <c r="E12" s="181" t="s">
        <v>92</v>
      </c>
      <c r="F12" s="173">
        <v>1100</v>
      </c>
      <c r="G12" s="119" t="s">
        <v>111</v>
      </c>
      <c r="H12" s="123">
        <v>75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101</v>
      </c>
      <c r="O12" s="312"/>
      <c r="P12" s="313"/>
      <c r="Q12" s="314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10438</v>
      </c>
      <c r="C13" s="64" t="s">
        <v>249</v>
      </c>
      <c r="D13" s="204" t="s">
        <v>250</v>
      </c>
      <c r="E13" s="181" t="s">
        <v>92</v>
      </c>
      <c r="F13" s="173">
        <v>1105</v>
      </c>
      <c r="G13" s="119" t="s">
        <v>111</v>
      </c>
      <c r="H13" s="169">
        <v>95</v>
      </c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100</v>
      </c>
      <c r="O13" s="312"/>
      <c r="P13" s="313"/>
      <c r="Q13" s="314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10439</v>
      </c>
      <c r="C14" s="65" t="s">
        <v>251</v>
      </c>
      <c r="D14" s="205" t="s">
        <v>252</v>
      </c>
      <c r="E14" s="181" t="s">
        <v>91</v>
      </c>
      <c r="F14" s="174">
        <v>1110</v>
      </c>
      <c r="G14" s="122" t="s">
        <v>114</v>
      </c>
      <c r="H14" s="123"/>
      <c r="I14" s="125">
        <v>151.5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100</v>
      </c>
      <c r="O14" s="312"/>
      <c r="P14" s="313"/>
      <c r="Q14" s="314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10440</v>
      </c>
      <c r="C15" s="65" t="s">
        <v>253</v>
      </c>
      <c r="D15" s="205" t="s">
        <v>254</v>
      </c>
      <c r="E15" s="181" t="s">
        <v>92</v>
      </c>
      <c r="F15" s="174">
        <v>1110</v>
      </c>
      <c r="G15" s="122" t="s">
        <v>129</v>
      </c>
      <c r="H15" s="123"/>
      <c r="I15" s="124">
        <v>75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100</v>
      </c>
      <c r="O15" s="312"/>
      <c r="P15" s="313"/>
      <c r="Q15" s="314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10441</v>
      </c>
      <c r="C16" s="65" t="s">
        <v>255</v>
      </c>
      <c r="D16" s="205" t="s">
        <v>256</v>
      </c>
      <c r="E16" s="181" t="s">
        <v>92</v>
      </c>
      <c r="F16" s="174">
        <v>1130</v>
      </c>
      <c r="G16" s="122" t="s">
        <v>257</v>
      </c>
      <c r="H16" s="123">
        <v>280</v>
      </c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100</v>
      </c>
      <c r="O16" s="312"/>
      <c r="P16" s="313"/>
      <c r="Q16" s="314"/>
      <c r="R16" s="82">
        <f>H32/U16</f>
        <v>0.38190954773869346</v>
      </c>
      <c r="S16" s="83">
        <f>H32/(U16-U5)</f>
        <v>0.46625766871165641</v>
      </c>
      <c r="T16" s="83">
        <f>C32/U16</f>
        <v>47.302914572864324</v>
      </c>
      <c r="U16" s="83">
        <f>SUM(U5:U15)</f>
        <v>49.75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10442</v>
      </c>
      <c r="C17" s="18" t="s">
        <v>258</v>
      </c>
      <c r="D17" s="203" t="s">
        <v>259</v>
      </c>
      <c r="E17" s="181" t="s">
        <v>91</v>
      </c>
      <c r="F17" s="66">
        <v>1220</v>
      </c>
      <c r="G17" s="121" t="s">
        <v>260</v>
      </c>
      <c r="H17" s="123">
        <v>300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100</v>
      </c>
      <c r="O17" s="312"/>
      <c r="P17" s="313"/>
      <c r="Q17" s="314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10443</v>
      </c>
      <c r="C18" s="18" t="s">
        <v>261</v>
      </c>
      <c r="D18" s="203" t="s">
        <v>262</v>
      </c>
      <c r="E18" s="181" t="s">
        <v>92</v>
      </c>
      <c r="F18" s="66">
        <v>1300</v>
      </c>
      <c r="G18" s="20" t="s">
        <v>114</v>
      </c>
      <c r="H18" s="123"/>
      <c r="I18" s="124">
        <v>151.5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100</v>
      </c>
      <c r="O18" s="312"/>
      <c r="P18" s="313"/>
      <c r="Q18" s="314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10444</v>
      </c>
      <c r="C19" s="18" t="s">
        <v>263</v>
      </c>
      <c r="D19" s="203" t="s">
        <v>264</v>
      </c>
      <c r="E19" s="181" t="s">
        <v>92</v>
      </c>
      <c r="F19" s="66">
        <v>1345</v>
      </c>
      <c r="G19" s="121" t="s">
        <v>111</v>
      </c>
      <c r="H19" s="123">
        <v>95</v>
      </c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100</v>
      </c>
      <c r="O19" s="312"/>
      <c r="P19" s="313"/>
      <c r="Q19" s="313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10445</v>
      </c>
      <c r="C20" s="18" t="s">
        <v>265</v>
      </c>
      <c r="D20" s="203" t="s">
        <v>266</v>
      </c>
      <c r="E20" s="181" t="s">
        <v>91</v>
      </c>
      <c r="F20" s="66">
        <v>1400</v>
      </c>
      <c r="G20" s="121" t="s">
        <v>267</v>
      </c>
      <c r="H20" s="123">
        <v>200</v>
      </c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100</v>
      </c>
      <c r="O20" s="320"/>
      <c r="P20" s="321"/>
      <c r="Q20" s="321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10446</v>
      </c>
      <c r="C21" s="18" t="s">
        <v>268</v>
      </c>
      <c r="D21" s="203" t="s">
        <v>269</v>
      </c>
      <c r="E21" s="181" t="s">
        <v>92</v>
      </c>
      <c r="F21" s="66">
        <v>1445</v>
      </c>
      <c r="G21" s="20" t="s">
        <v>44</v>
      </c>
      <c r="H21" s="123"/>
      <c r="I21" s="124"/>
      <c r="J21" s="130" t="str">
        <f t="shared" si="1"/>
        <v>55</v>
      </c>
      <c r="K21" s="130" t="str">
        <f t="shared" si="2"/>
        <v>0</v>
      </c>
      <c r="L21" s="131"/>
      <c r="M21" s="131"/>
      <c r="N21" s="134" t="s">
        <v>100</v>
      </c>
      <c r="O21" s="312">
        <v>202206054</v>
      </c>
      <c r="P21" s="313"/>
      <c r="Q21" s="313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10447</v>
      </c>
      <c r="C22" s="127" t="s">
        <v>270</v>
      </c>
      <c r="D22" s="206" t="s">
        <v>271</v>
      </c>
      <c r="E22" s="181" t="s">
        <v>92</v>
      </c>
      <c r="F22" s="175">
        <v>1500</v>
      </c>
      <c r="G22" s="263" t="s">
        <v>134</v>
      </c>
      <c r="H22" s="89"/>
      <c r="I22" s="141">
        <v>50.5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100</v>
      </c>
      <c r="O22" s="312"/>
      <c r="P22" s="313"/>
      <c r="Q22" s="314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10448</v>
      </c>
      <c r="C23" s="136" t="s">
        <v>272</v>
      </c>
      <c r="D23" s="207" t="s">
        <v>273</v>
      </c>
      <c r="E23" s="181" t="s">
        <v>92</v>
      </c>
      <c r="F23" s="176">
        <v>1510</v>
      </c>
      <c r="G23" s="165" t="s">
        <v>111</v>
      </c>
      <c r="H23" s="89"/>
      <c r="I23" s="141">
        <v>75.75</v>
      </c>
      <c r="J23" s="130" t="str">
        <f t="shared" si="1"/>
        <v>0</v>
      </c>
      <c r="K23" s="130" t="str">
        <f t="shared" si="2"/>
        <v>0</v>
      </c>
      <c r="L23" s="126"/>
      <c r="M23" s="126"/>
      <c r="N23" s="126" t="s">
        <v>100</v>
      </c>
      <c r="O23" s="163"/>
      <c r="P23" s="164"/>
      <c r="Q23" s="159"/>
      <c r="R23" s="113"/>
      <c r="S23" s="114"/>
      <c r="T23" s="114"/>
      <c r="U23" s="115"/>
      <c r="X23" s="318"/>
      <c r="Y23" s="319"/>
      <c r="Z23" s="319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2"/>
      <c r="P24" s="313"/>
      <c r="Q24" s="314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2"/>
      <c r="P25" s="313"/>
      <c r="Q25" s="314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22">
        <f>((C32+(R26+S26+T26)*0.5))</f>
        <v>2353.3200000000002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2"/>
      <c r="P26" s="313"/>
      <c r="Q26" s="314"/>
      <c r="R26" s="112">
        <f>R25*37.5</f>
        <v>0</v>
      </c>
      <c r="S26" s="102">
        <f>S25*41.5</f>
        <v>0</v>
      </c>
      <c r="T26" s="102">
        <f>T25*50</f>
        <v>0</v>
      </c>
      <c r="U26" s="323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2"/>
      <c r="P27" s="313"/>
      <c r="Q27" s="314"/>
      <c r="R27" s="331" t="s">
        <v>56</v>
      </c>
      <c r="S27" s="332"/>
      <c r="T27" s="332"/>
      <c r="U27" s="333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2"/>
      <c r="P28" s="313"/>
      <c r="Q28" s="314"/>
      <c r="R28" s="324" t="s">
        <v>230</v>
      </c>
      <c r="S28" s="325"/>
      <c r="T28" s="326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0"/>
      <c r="P29" s="341"/>
      <c r="Q29" s="342"/>
      <c r="R29" s="343"/>
      <c r="S29" s="344"/>
      <c r="T29" s="345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6" t="s">
        <v>48</v>
      </c>
      <c r="B30" s="347"/>
      <c r="C30" s="347"/>
      <c r="D30" s="347"/>
      <c r="E30" s="348"/>
      <c r="F30" s="347"/>
      <c r="G30" s="347"/>
      <c r="H30" s="264">
        <f t="shared" ref="H30:M30" si="3">SUM(H5:H29)</f>
        <v>1315</v>
      </c>
      <c r="I30" s="105">
        <f>SUM(I5:I29)</f>
        <v>825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158.32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49"/>
      <c r="S30" s="349"/>
      <c r="T30" s="350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1" t="s">
        <v>16</v>
      </c>
      <c r="B31" s="352"/>
      <c r="C31" s="352"/>
      <c r="D31" s="352"/>
      <c r="E31" s="352"/>
      <c r="F31" s="352"/>
      <c r="G31" s="352"/>
      <c r="H31" s="265">
        <f t="shared" ref="H31:J31" si="4">H30+H62+H94</f>
        <v>1315</v>
      </c>
      <c r="I31" s="103">
        <f t="shared" si="4"/>
        <v>825</v>
      </c>
      <c r="J31" s="103">
        <f t="shared" si="4"/>
        <v>55</v>
      </c>
      <c r="K31" s="103">
        <f>K30+K62+K94</f>
        <v>158.32</v>
      </c>
      <c r="L31" s="97">
        <f>L30+L62+L94</f>
        <v>0</v>
      </c>
      <c r="M31" s="97">
        <f>M30+M62+M94</f>
        <v>0</v>
      </c>
      <c r="N31" s="262">
        <f>COUNT(H5:H29,H37:H61,H69:H93)</f>
        <v>9</v>
      </c>
      <c r="O31" s="104">
        <f>COUNT(I5:I29,I37:I61,I69:I93)</f>
        <v>8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1315</v>
      </c>
      <c r="T31" s="336">
        <f>H31+I31+L31+M31</f>
        <v>2140</v>
      </c>
      <c r="U31" s="337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27" t="s">
        <v>55</v>
      </c>
      <c r="B32" s="328"/>
      <c r="C32" s="107">
        <f>H31+I31+J31+K31</f>
        <v>2353.3200000000002</v>
      </c>
      <c r="D32" s="196"/>
      <c r="E32" s="107"/>
      <c r="F32" s="329" t="s">
        <v>53</v>
      </c>
      <c r="G32" s="329"/>
      <c r="H32" s="109">
        <f>COUNT(B5:B29,B37:B61,B69:B93)</f>
        <v>19</v>
      </c>
      <c r="I32" s="330" t="s">
        <v>54</v>
      </c>
      <c r="J32" s="330"/>
      <c r="K32" s="108">
        <f>C32/H32</f>
        <v>123.85894736842106</v>
      </c>
      <c r="L32" s="260"/>
      <c r="M32" s="260"/>
      <c r="N32" s="260">
        <f>H31/C32</f>
        <v>0.55878503560926684</v>
      </c>
      <c r="O32" s="260">
        <f>I31/C32</f>
        <v>0.35056855846208756</v>
      </c>
      <c r="P32" s="260">
        <f>K31/C32</f>
        <v>6.7275168697839643E-2</v>
      </c>
      <c r="Q32" s="110">
        <f>J31/C32</f>
        <v>2.3371237230805839E-2</v>
      </c>
      <c r="R32" s="99" t="s">
        <v>82</v>
      </c>
      <c r="S32" s="266">
        <f>I31+M31</f>
        <v>825</v>
      </c>
      <c r="T32" s="338"/>
      <c r="U32" s="339"/>
      <c r="V32" s="55"/>
      <c r="W32" s="55"/>
      <c r="X32" s="56" t="s">
        <v>27</v>
      </c>
      <c r="Y32" s="56"/>
      <c r="Z32" s="54">
        <f>I31</f>
        <v>825</v>
      </c>
      <c r="AE32" s="37"/>
      <c r="AF32" s="37"/>
      <c r="AG32" s="37"/>
      <c r="AH32" s="37"/>
    </row>
    <row r="33" spans="1:34" ht="17.25" thickBot="1" x14ac:dyDescent="0.35">
      <c r="A33" s="334" t="s">
        <v>24</v>
      </c>
      <c r="B33" s="335"/>
      <c r="C33" s="335"/>
      <c r="D33" s="335"/>
      <c r="E33" s="335"/>
      <c r="F33" s="335"/>
      <c r="G33" s="335"/>
      <c r="H33" s="335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335"/>
      <c r="T33" s="296"/>
      <c r="U33" s="297"/>
      <c r="X33" s="57" t="s">
        <v>29</v>
      </c>
      <c r="Y33" s="57"/>
      <c r="Z33" s="58">
        <f>SUM(Z31:Z32)</f>
        <v>-1920</v>
      </c>
      <c r="AE33" s="37"/>
      <c r="AF33" s="37"/>
      <c r="AG33" s="59"/>
      <c r="AH33" s="37"/>
    </row>
    <row r="34" spans="1:34" ht="17.25" thickBot="1" x14ac:dyDescent="0.35">
      <c r="A34" s="295" t="str">
        <f>A2</f>
        <v>5 - 8 - 2022</v>
      </c>
      <c r="B34" s="296"/>
      <c r="C34" s="296"/>
      <c r="D34" s="296"/>
      <c r="E34" s="296"/>
      <c r="F34" s="296"/>
      <c r="G34" s="297"/>
      <c r="H34" s="298" t="s">
        <v>49</v>
      </c>
      <c r="I34" s="299"/>
      <c r="J34" s="295" t="str">
        <f>J2</f>
        <v>SUNNY</v>
      </c>
      <c r="K34" s="297"/>
      <c r="L34" s="299" t="s">
        <v>50</v>
      </c>
      <c r="M34" s="300"/>
      <c r="N34" s="298"/>
      <c r="O34" s="296" t="str">
        <f>O2</f>
        <v>HENDRA</v>
      </c>
      <c r="P34" s="296"/>
      <c r="Q34" s="297"/>
      <c r="R34" s="299" t="s">
        <v>51</v>
      </c>
      <c r="S34" s="298"/>
      <c r="T34" s="301">
        <f>T2</f>
        <v>6</v>
      </c>
      <c r="U34" s="301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05" t="s">
        <v>8</v>
      </c>
      <c r="P36" s="305"/>
      <c r="Q36" s="305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2"/>
      <c r="P37" s="313"/>
      <c r="Q37" s="314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09"/>
      <c r="P38" s="310"/>
      <c r="Q38" s="311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2"/>
      <c r="P39" s="313"/>
      <c r="Q39" s="314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5"/>
      <c r="P40" s="316"/>
      <c r="Q40" s="317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5"/>
      <c r="P41" s="316"/>
      <c r="Q41" s="317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2"/>
      <c r="P42" s="303"/>
      <c r="Q42" s="304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2"/>
      <c r="P43" s="313"/>
      <c r="Q43" s="314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2"/>
      <c r="P44" s="313"/>
      <c r="Q44" s="314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2"/>
      <c r="P45" s="313"/>
      <c r="Q45" s="314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2"/>
      <c r="P46" s="313"/>
      <c r="Q46" s="314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2"/>
      <c r="P47" s="313"/>
      <c r="Q47" s="314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2"/>
      <c r="P48" s="313"/>
      <c r="Q48" s="314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2"/>
      <c r="P49" s="313"/>
      <c r="Q49" s="314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2"/>
      <c r="P50" s="313"/>
      <c r="Q50" s="314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2"/>
      <c r="P51" s="313"/>
      <c r="Q51" s="313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2"/>
      <c r="P52" s="313"/>
      <c r="Q52" s="313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3"/>
      <c r="P53" s="312"/>
      <c r="Q53" s="312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3"/>
      <c r="P54" s="312"/>
      <c r="Q54" s="312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3"/>
      <c r="P55" s="312"/>
      <c r="Q55" s="312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3"/>
      <c r="P56" s="313"/>
      <c r="Q56" s="313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2"/>
      <c r="P57" s="313"/>
      <c r="Q57" s="313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3"/>
      <c r="P58" s="313"/>
      <c r="Q58" s="313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3"/>
      <c r="P59" s="313"/>
      <c r="Q59" s="313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2"/>
      <c r="P60" s="313"/>
      <c r="Q60" s="314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4"/>
      <c r="P61" s="355"/>
      <c r="Q61" s="356"/>
      <c r="R61" s="81"/>
      <c r="S61" s="68"/>
      <c r="T61" s="68"/>
      <c r="U61" s="77"/>
    </row>
    <row r="62" spans="1:21" x14ac:dyDescent="0.3">
      <c r="A62" s="357" t="s">
        <v>48</v>
      </c>
      <c r="B62" s="358"/>
      <c r="C62" s="358"/>
      <c r="D62" s="358"/>
      <c r="E62" s="358"/>
      <c r="F62" s="358"/>
      <c r="G62" s="358"/>
      <c r="H62" s="358">
        <f t="shared" ref="H62:M62" si="8">SUM(H37:H61)</f>
        <v>0</v>
      </c>
      <c r="I62" s="363">
        <f t="shared" si="8"/>
        <v>0</v>
      </c>
      <c r="J62" s="363">
        <f>J61+J60+J59+J58+J57+J56+J55+J54+J53+J52+J51+J50+J49+J48+J47+J46+J45+J44+J43+J42+J41+J40+J39+J38+J37</f>
        <v>0</v>
      </c>
      <c r="K62" s="363">
        <f>K61+K60+K59+K58+K57+K56+K55+K54+K53+K52+K51+K50+K49+K48+K47+K46+K45+K44+K43+K42+K41+K40+K39+K38+K37</f>
        <v>0</v>
      </c>
      <c r="L62" s="366">
        <f t="shared" si="8"/>
        <v>0</v>
      </c>
      <c r="M62" s="369">
        <f t="shared" si="8"/>
        <v>0</v>
      </c>
      <c r="N62" s="372"/>
      <c r="O62" s="373"/>
      <c r="P62" s="373"/>
      <c r="Q62" s="374"/>
      <c r="R62" s="5"/>
      <c r="S62" s="6"/>
      <c r="T62" s="7"/>
      <c r="U62" s="8"/>
    </row>
    <row r="63" spans="1:21" ht="17.25" thickBot="1" x14ac:dyDescent="0.35">
      <c r="A63" s="359"/>
      <c r="B63" s="360"/>
      <c r="C63" s="360"/>
      <c r="D63" s="360"/>
      <c r="E63" s="360"/>
      <c r="F63" s="360"/>
      <c r="G63" s="360"/>
      <c r="H63" s="360"/>
      <c r="I63" s="364"/>
      <c r="J63" s="364"/>
      <c r="K63" s="364"/>
      <c r="L63" s="367"/>
      <c r="M63" s="370"/>
      <c r="N63" s="375"/>
      <c r="O63" s="376"/>
      <c r="P63" s="376"/>
      <c r="Q63" s="377"/>
      <c r="R63" s="1"/>
      <c r="S63" s="2"/>
      <c r="T63" s="3"/>
      <c r="U63" s="4"/>
    </row>
    <row r="64" spans="1:21" ht="17.25" thickBot="1" x14ac:dyDescent="0.35">
      <c r="A64" s="361"/>
      <c r="B64" s="362"/>
      <c r="C64" s="362"/>
      <c r="D64" s="362"/>
      <c r="E64" s="362"/>
      <c r="F64" s="362"/>
      <c r="G64" s="362"/>
      <c r="H64" s="362"/>
      <c r="I64" s="365"/>
      <c r="J64" s="365"/>
      <c r="K64" s="365"/>
      <c r="L64" s="368"/>
      <c r="M64" s="371"/>
      <c r="N64" s="334"/>
      <c r="O64" s="335"/>
      <c r="P64" s="335"/>
      <c r="Q64" s="378"/>
      <c r="R64" s="379" t="s">
        <v>17</v>
      </c>
      <c r="S64" s="380"/>
      <c r="T64" s="380"/>
      <c r="U64" s="381"/>
    </row>
    <row r="65" spans="1:21" ht="17.25" thickBot="1" x14ac:dyDescent="0.35">
      <c r="A65" s="295" t="s">
        <v>24</v>
      </c>
      <c r="B65" s="296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  <c r="N65" s="296"/>
      <c r="O65" s="296"/>
      <c r="P65" s="296"/>
      <c r="Q65" s="296"/>
      <c r="R65" s="296"/>
      <c r="S65" s="296"/>
      <c r="T65" s="296"/>
      <c r="U65" s="297"/>
    </row>
    <row r="66" spans="1:21" ht="17.25" thickBot="1" x14ac:dyDescent="0.35">
      <c r="A66" s="295" t="str">
        <f>A34</f>
        <v>5 - 8 - 2022</v>
      </c>
      <c r="B66" s="296"/>
      <c r="C66" s="296"/>
      <c r="D66" s="296"/>
      <c r="E66" s="296"/>
      <c r="F66" s="296"/>
      <c r="G66" s="297"/>
      <c r="H66" s="298" t="s">
        <v>49</v>
      </c>
      <c r="I66" s="299"/>
      <c r="J66" s="295" t="str">
        <f>J34</f>
        <v>SUNNY</v>
      </c>
      <c r="K66" s="297"/>
      <c r="L66" s="299" t="s">
        <v>50</v>
      </c>
      <c r="M66" s="300"/>
      <c r="N66" s="298"/>
      <c r="O66" s="296" t="str">
        <f>O34</f>
        <v>HENDRA</v>
      </c>
      <c r="P66" s="296"/>
      <c r="Q66" s="297"/>
      <c r="R66" s="299" t="s">
        <v>51</v>
      </c>
      <c r="S66" s="298"/>
      <c r="T66" s="301">
        <f>T34</f>
        <v>6</v>
      </c>
      <c r="U66" s="301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05" t="s">
        <v>8</v>
      </c>
      <c r="P68" s="305"/>
      <c r="Q68" s="305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2"/>
      <c r="P69" s="313"/>
      <c r="Q69" s="314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09"/>
      <c r="P70" s="310"/>
      <c r="Q70" s="311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2"/>
      <c r="P71" s="313"/>
      <c r="Q71" s="314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5"/>
      <c r="P72" s="316"/>
      <c r="Q72" s="317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5"/>
      <c r="P73" s="316"/>
      <c r="Q73" s="317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2"/>
      <c r="P74" s="303"/>
      <c r="Q74" s="304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2"/>
      <c r="P75" s="313"/>
      <c r="Q75" s="314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2"/>
      <c r="P76" s="313"/>
      <c r="Q76" s="314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2"/>
      <c r="P77" s="313"/>
      <c r="Q77" s="314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2"/>
      <c r="P78" s="313"/>
      <c r="Q78" s="314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2"/>
      <c r="P79" s="313"/>
      <c r="Q79" s="314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2"/>
      <c r="P80" s="313"/>
      <c r="Q80" s="314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2"/>
      <c r="P81" s="313"/>
      <c r="Q81" s="314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2"/>
      <c r="P82" s="313"/>
      <c r="Q82" s="314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2"/>
      <c r="P83" s="313"/>
      <c r="Q83" s="313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2"/>
      <c r="P84" s="313"/>
      <c r="Q84" s="313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3"/>
      <c r="P85" s="312"/>
      <c r="Q85" s="312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3"/>
      <c r="P86" s="312"/>
      <c r="Q86" s="312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3"/>
      <c r="P87" s="312"/>
      <c r="Q87" s="312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3"/>
      <c r="P88" s="313"/>
      <c r="Q88" s="313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2"/>
      <c r="P89" s="313"/>
      <c r="Q89" s="313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3"/>
      <c r="P90" s="313"/>
      <c r="Q90" s="313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3"/>
      <c r="P91" s="313"/>
      <c r="Q91" s="313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2"/>
      <c r="P92" s="313"/>
      <c r="Q92" s="314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4"/>
      <c r="P93" s="355"/>
      <c r="Q93" s="356"/>
      <c r="R93" s="81"/>
      <c r="S93" s="68"/>
      <c r="T93" s="68"/>
      <c r="U93" s="77"/>
    </row>
    <row r="94" spans="1:21" x14ac:dyDescent="0.3">
      <c r="A94" s="357" t="s">
        <v>48</v>
      </c>
      <c r="B94" s="358"/>
      <c r="C94" s="358"/>
      <c r="D94" s="358"/>
      <c r="E94" s="382"/>
      <c r="F94" s="358"/>
      <c r="G94" s="358"/>
      <c r="H94" s="358">
        <f t="shared" ref="H94:M94" si="12">SUM(H69:H93)</f>
        <v>0</v>
      </c>
      <c r="I94" s="363">
        <f t="shared" si="12"/>
        <v>0</v>
      </c>
      <c r="J94" s="363">
        <f>J93+J92+J91+J90+J89+J88+J87+J86+J85+J84+J83+J82+J81+J80+J79+J78+J77+J76+J75+J74+J73+J72+J71+J70+J69</f>
        <v>0</v>
      </c>
      <c r="K94" s="363">
        <f>K93+K92+K91+K90+K89+K88+K87+K86+K85+K84+K83+K82+K81+K80+K79+K78+K77+K76+K75+K74+K73+K72+K71+K70+K69</f>
        <v>0</v>
      </c>
      <c r="L94" s="366">
        <f t="shared" si="12"/>
        <v>0</v>
      </c>
      <c r="M94" s="369">
        <f t="shared" si="12"/>
        <v>0</v>
      </c>
      <c r="N94" s="372"/>
      <c r="O94" s="373"/>
      <c r="P94" s="373"/>
      <c r="Q94" s="374"/>
      <c r="R94" s="5"/>
      <c r="S94" s="6"/>
      <c r="T94" s="7"/>
      <c r="U94" s="8"/>
    </row>
    <row r="95" spans="1:21" ht="17.25" thickBot="1" x14ac:dyDescent="0.35">
      <c r="A95" s="359"/>
      <c r="B95" s="360"/>
      <c r="C95" s="360"/>
      <c r="D95" s="360"/>
      <c r="E95" s="360"/>
      <c r="F95" s="360"/>
      <c r="G95" s="360"/>
      <c r="H95" s="360"/>
      <c r="I95" s="364"/>
      <c r="J95" s="364"/>
      <c r="K95" s="364"/>
      <c r="L95" s="367"/>
      <c r="M95" s="370"/>
      <c r="N95" s="375"/>
      <c r="O95" s="376"/>
      <c r="P95" s="376"/>
      <c r="Q95" s="377"/>
      <c r="R95" s="1"/>
      <c r="S95" s="2"/>
      <c r="T95" s="3"/>
      <c r="U95" s="4"/>
    </row>
    <row r="96" spans="1:21" ht="17.25" thickBot="1" x14ac:dyDescent="0.35">
      <c r="A96" s="361"/>
      <c r="B96" s="362"/>
      <c r="C96" s="362"/>
      <c r="D96" s="362"/>
      <c r="E96" s="362"/>
      <c r="F96" s="362"/>
      <c r="G96" s="362"/>
      <c r="H96" s="362"/>
      <c r="I96" s="365"/>
      <c r="J96" s="365"/>
      <c r="K96" s="365"/>
      <c r="L96" s="368"/>
      <c r="M96" s="371"/>
      <c r="N96" s="334"/>
      <c r="O96" s="335"/>
      <c r="P96" s="335"/>
      <c r="Q96" s="378"/>
      <c r="R96" s="379" t="s">
        <v>52</v>
      </c>
      <c r="S96" s="380"/>
      <c r="T96" s="380"/>
      <c r="U96" s="381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3" type="noConversion"/>
  <dataValidations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zoomScaleNormal="100" zoomScaleSheetLayoutView="77" workbookViewId="0">
      <selection activeCell="R13" sqref="R13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95" t="s">
        <v>77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7"/>
    </row>
    <row r="2" spans="1:44" ht="17.25" thickBot="1" x14ac:dyDescent="0.35">
      <c r="A2" s="295" t="s">
        <v>274</v>
      </c>
      <c r="B2" s="296"/>
      <c r="C2" s="296"/>
      <c r="D2" s="296"/>
      <c r="E2" s="296"/>
      <c r="F2" s="296"/>
      <c r="G2" s="297"/>
      <c r="H2" s="298" t="s">
        <v>49</v>
      </c>
      <c r="I2" s="299"/>
      <c r="J2" s="295" t="s">
        <v>140</v>
      </c>
      <c r="K2" s="297"/>
      <c r="L2" s="299" t="s">
        <v>96</v>
      </c>
      <c r="M2" s="300"/>
      <c r="N2" s="298"/>
      <c r="O2" s="296" t="s">
        <v>99</v>
      </c>
      <c r="P2" s="296"/>
      <c r="Q2" s="297"/>
      <c r="R2" s="299" t="s">
        <v>51</v>
      </c>
      <c r="S2" s="298"/>
      <c r="T2" s="301">
        <v>8</v>
      </c>
      <c r="U2" s="301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05" t="s">
        <v>8</v>
      </c>
      <c r="P4" s="305"/>
      <c r="Q4" s="305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10449</v>
      </c>
      <c r="C5" s="68" t="s">
        <v>277</v>
      </c>
      <c r="D5" s="200" t="s">
        <v>278</v>
      </c>
      <c r="E5" s="181" t="s">
        <v>180</v>
      </c>
      <c r="F5" s="170">
        <v>815</v>
      </c>
      <c r="G5" s="118" t="s">
        <v>279</v>
      </c>
      <c r="H5" s="91">
        <v>200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33" t="s">
        <v>100</v>
      </c>
      <c r="O5" s="306"/>
      <c r="P5" s="307"/>
      <c r="Q5" s="308"/>
      <c r="R5" s="33" t="s">
        <v>99</v>
      </c>
      <c r="S5" s="31">
        <v>0.35416666666666669</v>
      </c>
      <c r="T5" s="32">
        <v>0.76041666666666663</v>
      </c>
      <c r="U5" s="92">
        <f t="shared" ref="U5:U15" si="0">(T5-S5)*24</f>
        <v>9.7499999999999982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10450</v>
      </c>
      <c r="C6" s="67" t="s">
        <v>280</v>
      </c>
      <c r="D6" s="200" t="s">
        <v>281</v>
      </c>
      <c r="E6" s="181" t="s">
        <v>92</v>
      </c>
      <c r="F6" s="171">
        <v>815</v>
      </c>
      <c r="G6" s="118" t="s">
        <v>111</v>
      </c>
      <c r="H6" s="91"/>
      <c r="I6" s="124">
        <v>75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33" t="s">
        <v>100</v>
      </c>
      <c r="O6" s="309"/>
      <c r="P6" s="310"/>
      <c r="Q6" s="311"/>
      <c r="R6" s="33" t="s">
        <v>100</v>
      </c>
      <c r="S6" s="31">
        <v>0.33333333333333331</v>
      </c>
      <c r="T6" s="32">
        <v>0.76041666666666663</v>
      </c>
      <c r="U6" s="92">
        <f t="shared" si="0"/>
        <v>10.25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10451</v>
      </c>
      <c r="C7" s="67">
        <v>2088</v>
      </c>
      <c r="D7" s="200" t="s">
        <v>282</v>
      </c>
      <c r="E7" s="181" t="s">
        <v>91</v>
      </c>
      <c r="F7" s="171">
        <v>830</v>
      </c>
      <c r="G7" s="118" t="s">
        <v>121</v>
      </c>
      <c r="H7" s="91"/>
      <c r="I7" s="124"/>
      <c r="J7" s="130" t="str">
        <f t="shared" si="1"/>
        <v>0</v>
      </c>
      <c r="K7" s="130">
        <v>62.5</v>
      </c>
      <c r="L7" s="131"/>
      <c r="M7" s="131"/>
      <c r="N7" s="134" t="s">
        <v>99</v>
      </c>
      <c r="O7" s="312" t="s">
        <v>283</v>
      </c>
      <c r="P7" s="313"/>
      <c r="Q7" s="314"/>
      <c r="R7" s="132" t="s">
        <v>101</v>
      </c>
      <c r="S7" s="31">
        <v>0.33333333333333331</v>
      </c>
      <c r="T7" s="32">
        <v>0.70833333333333337</v>
      </c>
      <c r="U7" s="92">
        <f t="shared" si="0"/>
        <v>9.0000000000000018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10452</v>
      </c>
      <c r="C8" s="27" t="s">
        <v>284</v>
      </c>
      <c r="D8" s="200" t="s">
        <v>285</v>
      </c>
      <c r="E8" s="181" t="s">
        <v>92</v>
      </c>
      <c r="F8" s="171">
        <v>925</v>
      </c>
      <c r="G8" s="118" t="s">
        <v>111</v>
      </c>
      <c r="H8" s="91"/>
      <c r="I8" s="124">
        <v>95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15"/>
      <c r="P8" s="316"/>
      <c r="Q8" s="317"/>
      <c r="R8" s="134" t="s">
        <v>102</v>
      </c>
      <c r="S8" s="31">
        <v>0.375</v>
      </c>
      <c r="T8" s="32">
        <v>0.70833333333333337</v>
      </c>
      <c r="U8" s="92">
        <f t="shared" si="0"/>
        <v>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10453</v>
      </c>
      <c r="C9" s="63" t="s">
        <v>286</v>
      </c>
      <c r="D9" s="201" t="s">
        <v>287</v>
      </c>
      <c r="E9" s="181" t="s">
        <v>91</v>
      </c>
      <c r="F9" s="172">
        <v>945</v>
      </c>
      <c r="G9" s="119" t="s">
        <v>44</v>
      </c>
      <c r="H9" s="91"/>
      <c r="I9" s="91"/>
      <c r="J9" s="130" t="str">
        <f t="shared" si="1"/>
        <v>55</v>
      </c>
      <c r="K9" s="130" t="str">
        <f t="shared" si="2"/>
        <v>0</v>
      </c>
      <c r="L9" s="131"/>
      <c r="M9" s="131"/>
      <c r="N9" s="134" t="s">
        <v>99</v>
      </c>
      <c r="O9" s="315" t="s">
        <v>288</v>
      </c>
      <c r="P9" s="316"/>
      <c r="Q9" s="317"/>
      <c r="R9" s="26" t="s">
        <v>103</v>
      </c>
      <c r="S9" s="31">
        <v>0.35416666666666669</v>
      </c>
      <c r="T9" s="32">
        <v>0.76041666666666663</v>
      </c>
      <c r="U9" s="92">
        <f t="shared" si="0"/>
        <v>9.7499999999999982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10454</v>
      </c>
      <c r="C10" s="28" t="s">
        <v>291</v>
      </c>
      <c r="D10" s="202" t="s">
        <v>292</v>
      </c>
      <c r="E10" s="181" t="s">
        <v>91</v>
      </c>
      <c r="F10" s="173">
        <v>1000</v>
      </c>
      <c r="G10" s="120" t="s">
        <v>111</v>
      </c>
      <c r="H10" s="123">
        <v>95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302"/>
      <c r="P10" s="303"/>
      <c r="Q10" s="304"/>
      <c r="R10" s="26" t="s">
        <v>275</v>
      </c>
      <c r="S10" s="31">
        <v>0.39583333333333331</v>
      </c>
      <c r="T10" s="32">
        <v>0.76041666666666663</v>
      </c>
      <c r="U10" s="92">
        <f t="shared" si="0"/>
        <v>8.75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10455</v>
      </c>
      <c r="C11" s="18" t="s">
        <v>289</v>
      </c>
      <c r="D11" s="203" t="s">
        <v>290</v>
      </c>
      <c r="E11" s="181" t="s">
        <v>92</v>
      </c>
      <c r="F11" s="66">
        <v>1000</v>
      </c>
      <c r="G11" s="121" t="s">
        <v>111</v>
      </c>
      <c r="H11" s="123">
        <v>95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12"/>
      <c r="P11" s="313"/>
      <c r="Q11" s="314"/>
      <c r="R11" s="26" t="s">
        <v>276</v>
      </c>
      <c r="S11" s="31">
        <v>0.41666666666666669</v>
      </c>
      <c r="T11" s="32">
        <v>0.76041666666666663</v>
      </c>
      <c r="U11" s="92">
        <f t="shared" si="0"/>
        <v>8.2499999999999982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10456</v>
      </c>
      <c r="C12" s="64" t="s">
        <v>293</v>
      </c>
      <c r="D12" s="204" t="s">
        <v>294</v>
      </c>
      <c r="E12" s="181" t="s">
        <v>92</v>
      </c>
      <c r="F12" s="173">
        <v>1005</v>
      </c>
      <c r="G12" s="119" t="s">
        <v>111</v>
      </c>
      <c r="H12" s="123">
        <v>95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12"/>
      <c r="P12" s="313"/>
      <c r="Q12" s="314"/>
      <c r="R12" s="26" t="s">
        <v>400</v>
      </c>
      <c r="S12" s="31">
        <v>0.40625</v>
      </c>
      <c r="T12" s="32">
        <v>0.76041666666666663</v>
      </c>
      <c r="U12" s="92">
        <f t="shared" si="0"/>
        <v>8.5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10457</v>
      </c>
      <c r="C13" s="64" t="s">
        <v>301</v>
      </c>
      <c r="D13" s="204" t="s">
        <v>302</v>
      </c>
      <c r="E13" s="181" t="s">
        <v>91</v>
      </c>
      <c r="F13" s="173">
        <v>1005</v>
      </c>
      <c r="G13" s="119" t="s">
        <v>148</v>
      </c>
      <c r="H13" s="169"/>
      <c r="I13" s="168"/>
      <c r="J13" s="130" t="str">
        <f t="shared" si="1"/>
        <v>0</v>
      </c>
      <c r="K13" s="130">
        <v>79.099999999999994</v>
      </c>
      <c r="L13" s="131"/>
      <c r="M13" s="131"/>
      <c r="N13" s="134" t="s">
        <v>99</v>
      </c>
      <c r="O13" s="312" t="s">
        <v>303</v>
      </c>
      <c r="P13" s="313"/>
      <c r="Q13" s="314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10458</v>
      </c>
      <c r="C14" s="65" t="s">
        <v>295</v>
      </c>
      <c r="D14" s="205" t="s">
        <v>296</v>
      </c>
      <c r="E14" s="181" t="s">
        <v>92</v>
      </c>
      <c r="F14" s="174">
        <v>1020</v>
      </c>
      <c r="G14" s="122" t="s">
        <v>111</v>
      </c>
      <c r="H14" s="123"/>
      <c r="I14" s="125">
        <v>75.75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12"/>
      <c r="P14" s="313"/>
      <c r="Q14" s="314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10459</v>
      </c>
      <c r="C15" s="65" t="s">
        <v>297</v>
      </c>
      <c r="D15" s="205" t="s">
        <v>298</v>
      </c>
      <c r="E15" s="181" t="s">
        <v>91</v>
      </c>
      <c r="F15" s="174">
        <v>1030</v>
      </c>
      <c r="G15" s="122" t="s">
        <v>108</v>
      </c>
      <c r="H15" s="123"/>
      <c r="I15" s="124">
        <v>484.8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99</v>
      </c>
      <c r="O15" s="312"/>
      <c r="P15" s="313"/>
      <c r="Q15" s="314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10460</v>
      </c>
      <c r="C16" s="65" t="s">
        <v>299</v>
      </c>
      <c r="D16" s="205" t="s">
        <v>300</v>
      </c>
      <c r="E16" s="181" t="s">
        <v>92</v>
      </c>
      <c r="F16" s="174">
        <v>1030</v>
      </c>
      <c r="G16" s="122" t="s">
        <v>111</v>
      </c>
      <c r="H16" s="123">
        <v>95</v>
      </c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99</v>
      </c>
      <c r="O16" s="312"/>
      <c r="P16" s="313"/>
      <c r="Q16" s="314"/>
      <c r="R16" s="82">
        <f>H32/U16</f>
        <v>0.44290657439446368</v>
      </c>
      <c r="S16" s="83">
        <f>H32/(U16-U5)</f>
        <v>0.51200000000000001</v>
      </c>
      <c r="T16" s="83">
        <f>C32/U16</f>
        <v>53.844982698961935</v>
      </c>
      <c r="U16" s="83">
        <f>SUM(U5:U15)</f>
        <v>72.25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10461</v>
      </c>
      <c r="C17" s="18" t="s">
        <v>304</v>
      </c>
      <c r="D17" s="203" t="s">
        <v>305</v>
      </c>
      <c r="E17" s="181" t="s">
        <v>92</v>
      </c>
      <c r="F17" s="66">
        <v>1100</v>
      </c>
      <c r="G17" s="121" t="s">
        <v>114</v>
      </c>
      <c r="H17" s="123">
        <v>150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99</v>
      </c>
      <c r="O17" s="312"/>
      <c r="P17" s="313"/>
      <c r="Q17" s="314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10462</v>
      </c>
      <c r="C18" s="18" t="s">
        <v>306</v>
      </c>
      <c r="D18" s="203" t="s">
        <v>307</v>
      </c>
      <c r="E18" s="181" t="s">
        <v>91</v>
      </c>
      <c r="F18" s="66">
        <v>1220</v>
      </c>
      <c r="G18" s="20" t="s">
        <v>206</v>
      </c>
      <c r="H18" s="123"/>
      <c r="I18" s="124">
        <v>420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99</v>
      </c>
      <c r="O18" s="312"/>
      <c r="P18" s="313"/>
      <c r="Q18" s="314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10463</v>
      </c>
      <c r="C19" s="18" t="s">
        <v>308</v>
      </c>
      <c r="D19" s="203" t="s">
        <v>309</v>
      </c>
      <c r="E19" s="181" t="s">
        <v>92</v>
      </c>
      <c r="F19" s="66">
        <v>1230</v>
      </c>
      <c r="G19" s="121" t="s">
        <v>111</v>
      </c>
      <c r="H19" s="123">
        <v>75</v>
      </c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99</v>
      </c>
      <c r="O19" s="312" t="s">
        <v>199</v>
      </c>
      <c r="P19" s="313"/>
      <c r="Q19" s="313"/>
      <c r="R19" s="93" t="s">
        <v>45</v>
      </c>
      <c r="S19" s="94">
        <f>COUNT(L5:M29,L37:M61,L69:M93)</f>
        <v>2</v>
      </c>
      <c r="T19" s="116">
        <f>SUM(L5:M29,L37:M61,L69:M93)</f>
        <v>1229.75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10464</v>
      </c>
      <c r="C20" s="18" t="s">
        <v>310</v>
      </c>
      <c r="D20" s="203" t="s">
        <v>311</v>
      </c>
      <c r="E20" s="181" t="s">
        <v>92</v>
      </c>
      <c r="F20" s="66">
        <v>1240</v>
      </c>
      <c r="G20" s="121" t="s">
        <v>134</v>
      </c>
      <c r="H20" s="123"/>
      <c r="I20" s="219">
        <v>70.7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99</v>
      </c>
      <c r="O20" s="320"/>
      <c r="P20" s="321"/>
      <c r="Q20" s="321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10465</v>
      </c>
      <c r="C21" s="18" t="s">
        <v>312</v>
      </c>
      <c r="D21" s="203" t="s">
        <v>313</v>
      </c>
      <c r="E21" s="181" t="s">
        <v>92</v>
      </c>
      <c r="F21" s="66">
        <v>1250</v>
      </c>
      <c r="G21" s="20" t="s">
        <v>129</v>
      </c>
      <c r="H21" s="123">
        <v>55</v>
      </c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99</v>
      </c>
      <c r="O21" s="312"/>
      <c r="P21" s="313"/>
      <c r="Q21" s="313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10466</v>
      </c>
      <c r="C22" s="127" t="s">
        <v>314</v>
      </c>
      <c r="D22" s="206" t="s">
        <v>315</v>
      </c>
      <c r="E22" s="181" t="s">
        <v>91</v>
      </c>
      <c r="F22" s="175">
        <v>1300</v>
      </c>
      <c r="G22" s="263" t="s">
        <v>148</v>
      </c>
      <c r="H22" s="89"/>
      <c r="I22" s="141"/>
      <c r="J22" s="130" t="str">
        <f t="shared" si="1"/>
        <v>0</v>
      </c>
      <c r="K22" s="130">
        <v>79.099999999999994</v>
      </c>
      <c r="L22" s="69"/>
      <c r="M22" s="69"/>
      <c r="N22" s="134" t="s">
        <v>99</v>
      </c>
      <c r="O22" s="312" t="s">
        <v>316</v>
      </c>
      <c r="P22" s="313"/>
      <c r="Q22" s="314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10467</v>
      </c>
      <c r="C23" s="136" t="s">
        <v>317</v>
      </c>
      <c r="D23" s="207" t="s">
        <v>318</v>
      </c>
      <c r="E23" s="181" t="s">
        <v>92</v>
      </c>
      <c r="F23" s="176">
        <v>1310</v>
      </c>
      <c r="G23" s="165" t="s">
        <v>114</v>
      </c>
      <c r="H23" s="89"/>
      <c r="I23" s="141">
        <v>140</v>
      </c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99</v>
      </c>
      <c r="O23" s="163"/>
      <c r="P23" s="164"/>
      <c r="Q23" s="159"/>
      <c r="R23" s="113"/>
      <c r="S23" s="114"/>
      <c r="T23" s="114"/>
      <c r="U23" s="115"/>
      <c r="X23" s="318"/>
      <c r="Y23" s="319"/>
      <c r="Z23" s="319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10468</v>
      </c>
      <c r="C24" s="127" t="s">
        <v>319</v>
      </c>
      <c r="D24" s="206" t="s">
        <v>320</v>
      </c>
      <c r="E24" s="181" t="s">
        <v>92</v>
      </c>
      <c r="F24" s="175">
        <v>1315</v>
      </c>
      <c r="G24" s="263" t="s">
        <v>111</v>
      </c>
      <c r="H24" s="89">
        <v>95</v>
      </c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99</v>
      </c>
      <c r="O24" s="312"/>
      <c r="P24" s="313"/>
      <c r="Q24" s="314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>
        <v>10469</v>
      </c>
      <c r="C25" s="132" t="s">
        <v>321</v>
      </c>
      <c r="D25" s="208" t="s">
        <v>322</v>
      </c>
      <c r="E25" s="181" t="s">
        <v>91</v>
      </c>
      <c r="F25" s="175">
        <v>1315</v>
      </c>
      <c r="G25" s="263" t="s">
        <v>111</v>
      </c>
      <c r="H25" s="90">
        <v>95</v>
      </c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99</v>
      </c>
      <c r="O25" s="312"/>
      <c r="P25" s="313"/>
      <c r="Q25" s="314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1</v>
      </c>
      <c r="U25" s="322">
        <f>((C32+(R26+S26+T26)*0.5))</f>
        <v>3915.2999999999997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>
        <v>10470</v>
      </c>
      <c r="C26" s="27" t="s">
        <v>323</v>
      </c>
      <c r="D26" s="209" t="s">
        <v>324</v>
      </c>
      <c r="E26" s="181" t="s">
        <v>92</v>
      </c>
      <c r="F26" s="177">
        <v>1400</v>
      </c>
      <c r="G26" s="20" t="s">
        <v>134</v>
      </c>
      <c r="H26" s="89">
        <v>65</v>
      </c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 t="s">
        <v>99</v>
      </c>
      <c r="O26" s="312"/>
      <c r="P26" s="313"/>
      <c r="Q26" s="314"/>
      <c r="R26" s="112">
        <f>R25*37.5</f>
        <v>0</v>
      </c>
      <c r="S26" s="102">
        <f>S25*41.5</f>
        <v>0</v>
      </c>
      <c r="T26" s="102">
        <f>T25*50</f>
        <v>50</v>
      </c>
      <c r="U26" s="323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>
        <v>10471</v>
      </c>
      <c r="C27" s="27" t="s">
        <v>335</v>
      </c>
      <c r="D27" s="209" t="s">
        <v>336</v>
      </c>
      <c r="E27" s="181" t="s">
        <v>91</v>
      </c>
      <c r="F27" s="177">
        <v>1410</v>
      </c>
      <c r="G27" s="20" t="s">
        <v>206</v>
      </c>
      <c r="H27" s="89">
        <v>480</v>
      </c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 t="s">
        <v>99</v>
      </c>
      <c r="O27" s="312"/>
      <c r="P27" s="313"/>
      <c r="Q27" s="314"/>
      <c r="R27" s="331" t="s">
        <v>56</v>
      </c>
      <c r="S27" s="332"/>
      <c r="T27" s="332"/>
      <c r="U27" s="333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>
        <v>10472</v>
      </c>
      <c r="C28" s="27" t="s">
        <v>325</v>
      </c>
      <c r="D28" s="209" t="s">
        <v>326</v>
      </c>
      <c r="E28" s="181" t="s">
        <v>92</v>
      </c>
      <c r="F28" s="177">
        <v>1410</v>
      </c>
      <c r="G28" s="20" t="s">
        <v>111</v>
      </c>
      <c r="H28" s="89">
        <v>95</v>
      </c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 t="s">
        <v>99</v>
      </c>
      <c r="O28" s="312"/>
      <c r="P28" s="313"/>
      <c r="Q28" s="314"/>
      <c r="R28" s="324"/>
      <c r="S28" s="325"/>
      <c r="T28" s="326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>
        <v>10473</v>
      </c>
      <c r="C29" s="34" t="s">
        <v>333</v>
      </c>
      <c r="D29" s="210" t="s">
        <v>334</v>
      </c>
      <c r="E29" s="182" t="s">
        <v>91</v>
      </c>
      <c r="F29" s="177">
        <v>1430</v>
      </c>
      <c r="G29" s="20" t="s">
        <v>114</v>
      </c>
      <c r="H29" s="89"/>
      <c r="I29" s="89">
        <v>130</v>
      </c>
      <c r="J29" s="130" t="str">
        <f t="shared" si="1"/>
        <v>0</v>
      </c>
      <c r="K29" s="130" t="str">
        <f t="shared" si="2"/>
        <v>0</v>
      </c>
      <c r="L29" s="69"/>
      <c r="M29" s="69"/>
      <c r="N29" s="134" t="s">
        <v>99</v>
      </c>
      <c r="O29" s="340"/>
      <c r="P29" s="341"/>
      <c r="Q29" s="342"/>
      <c r="R29" s="343"/>
      <c r="S29" s="344"/>
      <c r="T29" s="345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6" t="s">
        <v>48</v>
      </c>
      <c r="B30" s="347"/>
      <c r="C30" s="347"/>
      <c r="D30" s="347"/>
      <c r="E30" s="348"/>
      <c r="F30" s="347"/>
      <c r="G30" s="347"/>
      <c r="H30" s="264">
        <f t="shared" ref="H30:M30" si="3">SUM(H5:H29)</f>
        <v>1690</v>
      </c>
      <c r="I30" s="105">
        <f>SUM(I5:I29)</f>
        <v>1491.25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220.7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49"/>
      <c r="S30" s="349"/>
      <c r="T30" s="350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1" t="s">
        <v>16</v>
      </c>
      <c r="B31" s="352"/>
      <c r="C31" s="352"/>
      <c r="D31" s="352"/>
      <c r="E31" s="352"/>
      <c r="F31" s="352"/>
      <c r="G31" s="352"/>
      <c r="H31" s="265">
        <f t="shared" ref="H31:J31" si="4">H30+H62+H94</f>
        <v>1890</v>
      </c>
      <c r="I31" s="103">
        <f t="shared" si="4"/>
        <v>1587.2</v>
      </c>
      <c r="J31" s="103">
        <f t="shared" si="4"/>
        <v>55</v>
      </c>
      <c r="K31" s="103">
        <f>K30+K62+K94</f>
        <v>358.09999999999997</v>
      </c>
      <c r="L31" s="97">
        <f>L30+L62+L94</f>
        <v>0</v>
      </c>
      <c r="M31" s="97">
        <f>M30+M62+M94</f>
        <v>1229.75</v>
      </c>
      <c r="N31" s="262">
        <f>COUNT(H5:H29,H37:H61,H69:H93)</f>
        <v>16</v>
      </c>
      <c r="O31" s="104">
        <f>COUNT(I5:I29,I37:I61,I69:I93)</f>
        <v>9</v>
      </c>
      <c r="P31" s="104">
        <f>COUNTIF(G5:G29,"G*")+COUNTIF(G37:G61,"G*")+COUNTIF(G69:G93,"G*")+COUNTIF(G5:G29,"P*")+COUNTIF(G37:G61,"P*")+COUNTIF(G69:G93,"P*")</f>
        <v>6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1890</v>
      </c>
      <c r="T31" s="336">
        <f>H31+I31+L31+M31</f>
        <v>4706.95</v>
      </c>
      <c r="U31" s="337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27" t="s">
        <v>55</v>
      </c>
      <c r="B32" s="328"/>
      <c r="C32" s="107">
        <f>H31+I31+J31+K31</f>
        <v>3890.2999999999997</v>
      </c>
      <c r="D32" s="196"/>
      <c r="E32" s="107"/>
      <c r="F32" s="329" t="s">
        <v>53</v>
      </c>
      <c r="G32" s="329"/>
      <c r="H32" s="109">
        <f>COUNT(B5:B29,B37:B61,B69:B93)</f>
        <v>32</v>
      </c>
      <c r="I32" s="330" t="s">
        <v>54</v>
      </c>
      <c r="J32" s="330"/>
      <c r="K32" s="108">
        <f>C32/H32</f>
        <v>121.57187499999999</v>
      </c>
      <c r="L32" s="260"/>
      <c r="M32" s="260"/>
      <c r="N32" s="260">
        <f>H31/C32</f>
        <v>0.48582371539469965</v>
      </c>
      <c r="O32" s="260">
        <f>I31/C32</f>
        <v>0.40798910109760178</v>
      </c>
      <c r="P32" s="260">
        <f>K31/C32</f>
        <v>9.2049456340128011E-2</v>
      </c>
      <c r="Q32" s="110">
        <f>J31/C32</f>
        <v>1.4137727167570625E-2</v>
      </c>
      <c r="R32" s="99" t="s">
        <v>82</v>
      </c>
      <c r="S32" s="266">
        <f>I31+M31</f>
        <v>2816.95</v>
      </c>
      <c r="T32" s="338"/>
      <c r="U32" s="339"/>
      <c r="V32" s="55"/>
      <c r="W32" s="55"/>
      <c r="X32" s="56" t="s">
        <v>27</v>
      </c>
      <c r="Y32" s="56"/>
      <c r="Z32" s="54">
        <f>I31</f>
        <v>1587.2</v>
      </c>
      <c r="AE32" s="37"/>
      <c r="AF32" s="37"/>
      <c r="AG32" s="37"/>
      <c r="AH32" s="37"/>
    </row>
    <row r="33" spans="1:34" ht="17.25" thickBot="1" x14ac:dyDescent="0.35">
      <c r="A33" s="334" t="s">
        <v>24</v>
      </c>
      <c r="B33" s="335"/>
      <c r="C33" s="335"/>
      <c r="D33" s="335"/>
      <c r="E33" s="335"/>
      <c r="F33" s="335"/>
      <c r="G33" s="335"/>
      <c r="H33" s="335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335"/>
      <c r="T33" s="296"/>
      <c r="U33" s="297"/>
      <c r="X33" s="57" t="s">
        <v>29</v>
      </c>
      <c r="Y33" s="57"/>
      <c r="Z33" s="58">
        <f>SUM(Z31:Z32)</f>
        <v>-1157.8</v>
      </c>
      <c r="AE33" s="37"/>
      <c r="AF33" s="37"/>
      <c r="AG33" s="59"/>
      <c r="AH33" s="37"/>
    </row>
    <row r="34" spans="1:34" ht="17.25" thickBot="1" x14ac:dyDescent="0.35">
      <c r="A34" s="295" t="str">
        <f>A2</f>
        <v>06-08-2022</v>
      </c>
      <c r="B34" s="296"/>
      <c r="C34" s="296"/>
      <c r="D34" s="296"/>
      <c r="E34" s="296"/>
      <c r="F34" s="296"/>
      <c r="G34" s="297"/>
      <c r="H34" s="298" t="s">
        <v>49</v>
      </c>
      <c r="I34" s="299"/>
      <c r="J34" s="295" t="str">
        <f>J2</f>
        <v>SUNNY</v>
      </c>
      <c r="K34" s="297"/>
      <c r="L34" s="299" t="s">
        <v>50</v>
      </c>
      <c r="M34" s="300"/>
      <c r="N34" s="298"/>
      <c r="O34" s="296" t="str">
        <f>O2</f>
        <v>JOHN</v>
      </c>
      <c r="P34" s="296"/>
      <c r="Q34" s="297"/>
      <c r="R34" s="299" t="s">
        <v>51</v>
      </c>
      <c r="S34" s="298"/>
      <c r="T34" s="301">
        <f>T2</f>
        <v>8</v>
      </c>
      <c r="U34" s="301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05" t="s">
        <v>8</v>
      </c>
      <c r="P36" s="305"/>
      <c r="Q36" s="305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>
        <v>10474</v>
      </c>
      <c r="C37" s="68" t="s">
        <v>337</v>
      </c>
      <c r="D37" s="258" t="s">
        <v>338</v>
      </c>
      <c r="E37" s="181" t="s">
        <v>92</v>
      </c>
      <c r="F37" s="174">
        <v>1440</v>
      </c>
      <c r="G37" s="118" t="s">
        <v>129</v>
      </c>
      <c r="H37" s="91">
        <v>55</v>
      </c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 t="s">
        <v>99</v>
      </c>
      <c r="O37" s="312"/>
      <c r="P37" s="313"/>
      <c r="Q37" s="314"/>
      <c r="R37" s="60"/>
      <c r="S37" s="61"/>
      <c r="T37" s="61"/>
      <c r="U37" s="70"/>
    </row>
    <row r="38" spans="1:34" x14ac:dyDescent="0.3">
      <c r="A38" s="128">
        <f>A37+1</f>
        <v>27</v>
      </c>
      <c r="B38" s="263">
        <v>10475</v>
      </c>
      <c r="C38" s="67" t="s">
        <v>339</v>
      </c>
      <c r="D38" s="195" t="s">
        <v>340</v>
      </c>
      <c r="E38" s="181" t="s">
        <v>91</v>
      </c>
      <c r="F38" s="179">
        <v>1500</v>
      </c>
      <c r="G38" s="118" t="s">
        <v>129</v>
      </c>
      <c r="H38" s="91">
        <v>55</v>
      </c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 t="s">
        <v>99</v>
      </c>
      <c r="O38" s="309"/>
      <c r="P38" s="310"/>
      <c r="Q38" s="311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>
        <v>10476</v>
      </c>
      <c r="C39" s="27" t="s">
        <v>327</v>
      </c>
      <c r="D39" s="183" t="s">
        <v>328</v>
      </c>
      <c r="E39" s="181" t="s">
        <v>91</v>
      </c>
      <c r="F39" s="179">
        <v>1505</v>
      </c>
      <c r="H39" s="91">
        <v>90</v>
      </c>
      <c r="I39" s="124"/>
      <c r="J39" s="130" t="str">
        <f>IF(G43="RSL","55","0")</f>
        <v>0</v>
      </c>
      <c r="K39" s="130" t="str">
        <f>IF(G43="GVS","37.5",IF(G43="GVM","41.5",IF(G43="GVL","50",IF(G43="PCS","45.8",IF(G43="PCM","50",IF(G43="PCL","58.3","0"))))))</f>
        <v>0</v>
      </c>
      <c r="L39" s="131"/>
      <c r="M39" s="131"/>
      <c r="N39" s="69" t="s">
        <v>99</v>
      </c>
      <c r="O39" s="312"/>
      <c r="P39" s="313"/>
      <c r="Q39" s="314"/>
      <c r="R39" s="79"/>
      <c r="S39" s="13"/>
      <c r="T39" s="12"/>
      <c r="U39" s="72"/>
    </row>
    <row r="40" spans="1:34" x14ac:dyDescent="0.3">
      <c r="A40" s="128">
        <f t="shared" si="7"/>
        <v>29</v>
      </c>
      <c r="B40" s="278">
        <v>10477</v>
      </c>
      <c r="C40" s="276" t="s">
        <v>329</v>
      </c>
      <c r="D40" s="279" t="s">
        <v>330</v>
      </c>
      <c r="E40" s="271" t="s">
        <v>92</v>
      </c>
      <c r="F40" s="280">
        <v>1545</v>
      </c>
      <c r="G40" s="278" t="s">
        <v>331</v>
      </c>
      <c r="H40" s="274"/>
      <c r="I40" s="274"/>
      <c r="J40" s="274" t="str">
        <f t="shared" si="6"/>
        <v>0</v>
      </c>
      <c r="K40" s="274" t="str">
        <f t="shared" si="5"/>
        <v>0</v>
      </c>
      <c r="L40" s="275"/>
      <c r="M40" s="275">
        <v>479.75</v>
      </c>
      <c r="N40" s="274" t="s">
        <v>99</v>
      </c>
      <c r="O40" s="383" t="s">
        <v>332</v>
      </c>
      <c r="P40" s="384"/>
      <c r="Q40" s="385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>
        <v>10478</v>
      </c>
      <c r="C41" s="63" t="s">
        <v>341</v>
      </c>
      <c r="D41" s="184" t="s">
        <v>147</v>
      </c>
      <c r="E41" s="181" t="s">
        <v>91</v>
      </c>
      <c r="F41" s="180">
        <v>1610</v>
      </c>
      <c r="G41" s="119" t="s">
        <v>148</v>
      </c>
      <c r="H41" s="91"/>
      <c r="I41" s="91"/>
      <c r="J41" s="130" t="str">
        <f t="shared" si="6"/>
        <v>0</v>
      </c>
      <c r="K41" s="130">
        <v>79.099999999999994</v>
      </c>
      <c r="L41" s="131"/>
      <c r="M41" s="131"/>
      <c r="N41" s="69" t="s">
        <v>99</v>
      </c>
      <c r="O41" s="315" t="s">
        <v>342</v>
      </c>
      <c r="P41" s="316"/>
      <c r="Q41" s="317"/>
      <c r="R41" s="80"/>
      <c r="S41" s="73"/>
      <c r="T41" s="73"/>
      <c r="U41" s="74"/>
    </row>
    <row r="42" spans="1:34" x14ac:dyDescent="0.3">
      <c r="A42" s="128">
        <f t="shared" si="7"/>
        <v>31</v>
      </c>
      <c r="B42" s="278">
        <v>10479</v>
      </c>
      <c r="C42" s="281" t="s">
        <v>343</v>
      </c>
      <c r="D42" s="282" t="s">
        <v>344</v>
      </c>
      <c r="E42" s="271" t="s">
        <v>91</v>
      </c>
      <c r="F42" s="283">
        <v>1620</v>
      </c>
      <c r="G42" s="284" t="s">
        <v>148</v>
      </c>
      <c r="H42" s="273"/>
      <c r="I42" s="273"/>
      <c r="J42" s="274" t="str">
        <f t="shared" si="6"/>
        <v>0</v>
      </c>
      <c r="K42" s="274" t="str">
        <f t="shared" si="5"/>
        <v>58.3</v>
      </c>
      <c r="L42" s="275"/>
      <c r="M42" s="275">
        <v>750</v>
      </c>
      <c r="N42" s="274" t="s">
        <v>99</v>
      </c>
      <c r="O42" s="383" t="s">
        <v>345</v>
      </c>
      <c r="P42" s="384"/>
      <c r="Q42" s="385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>
        <v>10480</v>
      </c>
      <c r="C43" s="18" t="s">
        <v>346</v>
      </c>
      <c r="D43" s="191" t="s">
        <v>347</v>
      </c>
      <c r="E43" s="181" t="s">
        <v>91</v>
      </c>
      <c r="F43" s="66">
        <v>1630</v>
      </c>
      <c r="G43" s="118" t="s">
        <v>111</v>
      </c>
      <c r="H43" s="123"/>
      <c r="I43" s="124">
        <v>95.95</v>
      </c>
      <c r="J43" s="130" t="str">
        <f t="shared" ref="J43" si="8">IF(G43="RSL","55","0")</f>
        <v>0</v>
      </c>
      <c r="K43" s="130" t="str">
        <f t="shared" ref="K43" si="9">IF(G43="GVS","37.5",IF(G43="GVM","41.5",IF(G43="GVL","50",IF(G43="PCS","45.8",IF(G43="PCM","50",IF(G43="PCL","58.3","0"))))))</f>
        <v>0</v>
      </c>
      <c r="L43" s="131"/>
      <c r="M43" s="131"/>
      <c r="N43" s="69" t="s">
        <v>99</v>
      </c>
      <c r="O43" s="312"/>
      <c r="P43" s="313"/>
      <c r="Q43" s="314"/>
      <c r="R43" s="78"/>
      <c r="S43" s="71"/>
      <c r="T43" s="71"/>
      <c r="U43" s="72"/>
    </row>
    <row r="44" spans="1:34" x14ac:dyDescent="0.3">
      <c r="A44" s="128">
        <f t="shared" si="7"/>
        <v>33</v>
      </c>
      <c r="B44" s="277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2"/>
      <c r="P44" s="313"/>
      <c r="Q44" s="314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2"/>
      <c r="P45" s="313"/>
      <c r="Q45" s="314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2"/>
      <c r="P46" s="313"/>
      <c r="Q46" s="314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2"/>
      <c r="P47" s="313"/>
      <c r="Q47" s="314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2"/>
      <c r="P48" s="313"/>
      <c r="Q48" s="314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2"/>
      <c r="P49" s="313"/>
      <c r="Q49" s="314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2"/>
      <c r="P50" s="313"/>
      <c r="Q50" s="314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2"/>
      <c r="P51" s="313"/>
      <c r="Q51" s="313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2"/>
      <c r="P52" s="313"/>
      <c r="Q52" s="313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3"/>
      <c r="P53" s="312"/>
      <c r="Q53" s="312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3"/>
      <c r="P54" s="312"/>
      <c r="Q54" s="312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3"/>
      <c r="P55" s="312"/>
      <c r="Q55" s="312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3"/>
      <c r="P56" s="313"/>
      <c r="Q56" s="313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2"/>
      <c r="P57" s="313"/>
      <c r="Q57" s="313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3"/>
      <c r="P58" s="313"/>
      <c r="Q58" s="313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3"/>
      <c r="P59" s="313"/>
      <c r="Q59" s="313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2"/>
      <c r="P60" s="313"/>
      <c r="Q60" s="314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4"/>
      <c r="P61" s="355"/>
      <c r="Q61" s="356"/>
      <c r="R61" s="81"/>
      <c r="S61" s="68"/>
      <c r="T61" s="68"/>
      <c r="U61" s="77"/>
    </row>
    <row r="62" spans="1:21" x14ac:dyDescent="0.3">
      <c r="A62" s="357" t="s">
        <v>48</v>
      </c>
      <c r="B62" s="358"/>
      <c r="C62" s="358"/>
      <c r="D62" s="358"/>
      <c r="E62" s="358"/>
      <c r="F62" s="358"/>
      <c r="G62" s="358"/>
      <c r="H62" s="358">
        <f t="shared" ref="H62:M62" si="10">SUM(H37:H61)</f>
        <v>200</v>
      </c>
      <c r="I62" s="363">
        <f t="shared" si="10"/>
        <v>95.95</v>
      </c>
      <c r="J62" s="363">
        <f>J61+J60+J59+J58+J57+J56+J55+J54+J53+J52+J51+J50+J49+J48+J47+J46+J45+J44+J43+J42+J41+J40+J39+J38+J37</f>
        <v>0</v>
      </c>
      <c r="K62" s="363">
        <f>K61+K60+K59+K58+K57+K56+K55+K54+K53+K52+K51+K50+K49+K48+K47+K46+K45+K44+K43+K42+K41+K40+K39+K38+K37</f>
        <v>137.39999999999998</v>
      </c>
      <c r="L62" s="366">
        <f t="shared" si="10"/>
        <v>0</v>
      </c>
      <c r="M62" s="369">
        <f t="shared" si="10"/>
        <v>1229.75</v>
      </c>
      <c r="N62" s="372"/>
      <c r="O62" s="373"/>
      <c r="P62" s="373"/>
      <c r="Q62" s="374"/>
      <c r="R62" s="5"/>
      <c r="S62" s="6"/>
      <c r="T62" s="7"/>
      <c r="U62" s="8"/>
    </row>
    <row r="63" spans="1:21" ht="17.25" thickBot="1" x14ac:dyDescent="0.35">
      <c r="A63" s="359"/>
      <c r="B63" s="360"/>
      <c r="C63" s="360"/>
      <c r="D63" s="360"/>
      <c r="E63" s="360"/>
      <c r="F63" s="360"/>
      <c r="G63" s="360"/>
      <c r="H63" s="360"/>
      <c r="I63" s="364"/>
      <c r="J63" s="364"/>
      <c r="K63" s="364"/>
      <c r="L63" s="367"/>
      <c r="M63" s="370"/>
      <c r="N63" s="375"/>
      <c r="O63" s="376"/>
      <c r="P63" s="376"/>
      <c r="Q63" s="377"/>
      <c r="R63" s="1"/>
      <c r="S63" s="2"/>
      <c r="T63" s="3"/>
      <c r="U63" s="4"/>
    </row>
    <row r="64" spans="1:21" ht="17.25" thickBot="1" x14ac:dyDescent="0.35">
      <c r="A64" s="361"/>
      <c r="B64" s="362"/>
      <c r="C64" s="362"/>
      <c r="D64" s="362"/>
      <c r="E64" s="362"/>
      <c r="F64" s="362"/>
      <c r="G64" s="362"/>
      <c r="H64" s="362"/>
      <c r="I64" s="365"/>
      <c r="J64" s="365"/>
      <c r="K64" s="365"/>
      <c r="L64" s="368"/>
      <c r="M64" s="371"/>
      <c r="N64" s="334"/>
      <c r="O64" s="335"/>
      <c r="P64" s="335"/>
      <c r="Q64" s="378"/>
      <c r="R64" s="379" t="s">
        <v>17</v>
      </c>
      <c r="S64" s="380"/>
      <c r="T64" s="380"/>
      <c r="U64" s="381"/>
    </row>
    <row r="65" spans="1:21" ht="17.25" thickBot="1" x14ac:dyDescent="0.35">
      <c r="A65" s="295" t="s">
        <v>24</v>
      </c>
      <c r="B65" s="296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  <c r="N65" s="296"/>
      <c r="O65" s="296"/>
      <c r="P65" s="296"/>
      <c r="Q65" s="296"/>
      <c r="R65" s="296"/>
      <c r="S65" s="296"/>
      <c r="T65" s="296"/>
      <c r="U65" s="297"/>
    </row>
    <row r="66" spans="1:21" ht="17.25" thickBot="1" x14ac:dyDescent="0.35">
      <c r="A66" s="295" t="str">
        <f>A34</f>
        <v>06-08-2022</v>
      </c>
      <c r="B66" s="296"/>
      <c r="C66" s="296"/>
      <c r="D66" s="296"/>
      <c r="E66" s="296"/>
      <c r="F66" s="296"/>
      <c r="G66" s="297"/>
      <c r="H66" s="298" t="s">
        <v>49</v>
      </c>
      <c r="I66" s="299"/>
      <c r="J66" s="295" t="str">
        <f>J34</f>
        <v>SUNNY</v>
      </c>
      <c r="K66" s="297"/>
      <c r="L66" s="299" t="s">
        <v>50</v>
      </c>
      <c r="M66" s="300"/>
      <c r="N66" s="298"/>
      <c r="O66" s="296" t="str">
        <f>O34</f>
        <v>JOHN</v>
      </c>
      <c r="P66" s="296"/>
      <c r="Q66" s="297"/>
      <c r="R66" s="299" t="s">
        <v>51</v>
      </c>
      <c r="S66" s="298"/>
      <c r="T66" s="301">
        <f>T34</f>
        <v>8</v>
      </c>
      <c r="U66" s="301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05" t="s">
        <v>8</v>
      </c>
      <c r="P68" s="305"/>
      <c r="Q68" s="305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11">IF(G69="GVS","37.5",IF(G69="GVM","41.5",IF(G69="GVL","50",IF(G69="PCS","45.8",IF(G69="PCM","50",IF(G69="PCL","58.3","0"))))))</f>
        <v>0</v>
      </c>
      <c r="L69" s="131"/>
      <c r="M69" s="131"/>
      <c r="N69" s="69"/>
      <c r="O69" s="312"/>
      <c r="P69" s="313"/>
      <c r="Q69" s="314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2">IF(G70="RSL","55","0")</f>
        <v>0</v>
      </c>
      <c r="K70" s="130" t="str">
        <f t="shared" si="11"/>
        <v>0</v>
      </c>
      <c r="L70" s="131"/>
      <c r="M70" s="131"/>
      <c r="N70" s="69"/>
      <c r="O70" s="309"/>
      <c r="P70" s="310"/>
      <c r="Q70" s="311"/>
      <c r="R70" s="78"/>
      <c r="S70" s="71"/>
      <c r="T70" s="16"/>
      <c r="U70" s="72"/>
    </row>
    <row r="71" spans="1:21" x14ac:dyDescent="0.3">
      <c r="A71" s="128">
        <f t="shared" ref="A71:A93" si="13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2"/>
        <v>0</v>
      </c>
      <c r="K71" s="130" t="str">
        <f t="shared" si="11"/>
        <v>0</v>
      </c>
      <c r="L71" s="131"/>
      <c r="M71" s="131"/>
      <c r="N71" s="69"/>
      <c r="O71" s="312"/>
      <c r="P71" s="313"/>
      <c r="Q71" s="314"/>
      <c r="R71" s="79"/>
      <c r="S71" s="13"/>
      <c r="T71" s="12"/>
      <c r="U71" s="72"/>
    </row>
    <row r="72" spans="1:21" x14ac:dyDescent="0.3">
      <c r="A72" s="128">
        <f t="shared" si="13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2"/>
        <v>0</v>
      </c>
      <c r="K72" s="130" t="str">
        <f t="shared" si="11"/>
        <v>0</v>
      </c>
      <c r="L72" s="131"/>
      <c r="M72" s="131"/>
      <c r="N72" s="69"/>
      <c r="O72" s="315"/>
      <c r="P72" s="316"/>
      <c r="Q72" s="317"/>
      <c r="R72" s="78"/>
      <c r="S72" s="71"/>
      <c r="T72" s="71"/>
      <c r="U72" s="72"/>
    </row>
    <row r="73" spans="1:21" x14ac:dyDescent="0.3">
      <c r="A73" s="128">
        <f t="shared" si="13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2"/>
        <v>0</v>
      </c>
      <c r="K73" s="130" t="str">
        <f t="shared" si="11"/>
        <v>0</v>
      </c>
      <c r="L73" s="131"/>
      <c r="M73" s="131"/>
      <c r="N73" s="69"/>
      <c r="O73" s="315"/>
      <c r="P73" s="316"/>
      <c r="Q73" s="317"/>
      <c r="R73" s="80"/>
      <c r="S73" s="73"/>
      <c r="T73" s="73"/>
      <c r="U73" s="74"/>
    </row>
    <row r="74" spans="1:21" x14ac:dyDescent="0.3">
      <c r="A74" s="128">
        <f t="shared" si="13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2"/>
        <v>0</v>
      </c>
      <c r="K74" s="130" t="str">
        <f t="shared" si="11"/>
        <v>0</v>
      </c>
      <c r="L74" s="131"/>
      <c r="M74" s="131"/>
      <c r="N74" s="69"/>
      <c r="O74" s="302"/>
      <c r="P74" s="303"/>
      <c r="Q74" s="304"/>
      <c r="R74" s="80"/>
      <c r="S74" s="73"/>
      <c r="T74" s="73"/>
      <c r="U74" s="74"/>
    </row>
    <row r="75" spans="1:21" x14ac:dyDescent="0.3">
      <c r="A75" s="128">
        <f t="shared" si="13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2"/>
        <v>0</v>
      </c>
      <c r="K75" s="130" t="str">
        <f t="shared" si="11"/>
        <v>0</v>
      </c>
      <c r="L75" s="131"/>
      <c r="M75" s="131"/>
      <c r="N75" s="69"/>
      <c r="O75" s="312"/>
      <c r="P75" s="313"/>
      <c r="Q75" s="314"/>
      <c r="R75" s="78"/>
      <c r="S75" s="71"/>
      <c r="T75" s="71"/>
      <c r="U75" s="72"/>
    </row>
    <row r="76" spans="1:21" x14ac:dyDescent="0.3">
      <c r="A76" s="128">
        <f t="shared" si="13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2"/>
        <v>0</v>
      </c>
      <c r="K76" s="130" t="str">
        <f t="shared" si="11"/>
        <v>0</v>
      </c>
      <c r="L76" s="131"/>
      <c r="M76" s="131"/>
      <c r="N76" s="69"/>
      <c r="O76" s="312"/>
      <c r="P76" s="313"/>
      <c r="Q76" s="314"/>
      <c r="R76" s="5"/>
      <c r="S76" s="71"/>
      <c r="T76" s="71"/>
      <c r="U76" s="72"/>
    </row>
    <row r="77" spans="1:21" x14ac:dyDescent="0.3">
      <c r="A77" s="128">
        <f t="shared" si="13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2"/>
        <v>0</v>
      </c>
      <c r="K77" s="130" t="str">
        <f t="shared" si="11"/>
        <v>0</v>
      </c>
      <c r="L77" s="131"/>
      <c r="M77" s="131"/>
      <c r="N77" s="69"/>
      <c r="O77" s="312"/>
      <c r="P77" s="313"/>
      <c r="Q77" s="314"/>
      <c r="R77" s="5"/>
      <c r="S77" s="71"/>
      <c r="T77" s="71"/>
      <c r="U77" s="72"/>
    </row>
    <row r="78" spans="1:21" x14ac:dyDescent="0.3">
      <c r="A78" s="128">
        <f t="shared" si="13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2"/>
        <v>0</v>
      </c>
      <c r="K78" s="130" t="str">
        <f t="shared" si="11"/>
        <v>0</v>
      </c>
      <c r="L78" s="131"/>
      <c r="M78" s="131"/>
      <c r="N78" s="69"/>
      <c r="O78" s="312"/>
      <c r="P78" s="313"/>
      <c r="Q78" s="314"/>
      <c r="R78" s="5"/>
      <c r="S78" s="71"/>
      <c r="T78" s="71"/>
      <c r="U78" s="72"/>
    </row>
    <row r="79" spans="1:21" x14ac:dyDescent="0.3">
      <c r="A79" s="128">
        <f t="shared" si="13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2"/>
        <v>0</v>
      </c>
      <c r="K79" s="130" t="str">
        <f t="shared" si="11"/>
        <v>0</v>
      </c>
      <c r="L79" s="131"/>
      <c r="M79" s="131"/>
      <c r="N79" s="69"/>
      <c r="O79" s="312"/>
      <c r="P79" s="313"/>
      <c r="Q79" s="314"/>
      <c r="R79" s="5"/>
      <c r="S79" s="71"/>
      <c r="T79" s="71"/>
      <c r="U79" s="72"/>
    </row>
    <row r="80" spans="1:21" x14ac:dyDescent="0.3">
      <c r="A80" s="128">
        <f t="shared" si="13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2"/>
        <v>0</v>
      </c>
      <c r="K80" s="130" t="str">
        <f t="shared" si="11"/>
        <v>0</v>
      </c>
      <c r="L80" s="131"/>
      <c r="M80" s="131"/>
      <c r="N80" s="69"/>
      <c r="O80" s="312"/>
      <c r="P80" s="313"/>
      <c r="Q80" s="314"/>
      <c r="R80" s="5"/>
      <c r="S80" s="71"/>
      <c r="T80" s="71"/>
      <c r="U80" s="72"/>
    </row>
    <row r="81" spans="1:21" x14ac:dyDescent="0.3">
      <c r="A81" s="128">
        <f t="shared" si="13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2"/>
        <v>0</v>
      </c>
      <c r="K81" s="130" t="str">
        <f t="shared" si="11"/>
        <v>0</v>
      </c>
      <c r="L81" s="131"/>
      <c r="M81" s="131"/>
      <c r="N81" s="69"/>
      <c r="O81" s="312"/>
      <c r="P81" s="313"/>
      <c r="Q81" s="314"/>
      <c r="R81" s="5"/>
      <c r="S81" s="71"/>
      <c r="T81" s="75"/>
      <c r="U81" s="72"/>
    </row>
    <row r="82" spans="1:21" x14ac:dyDescent="0.3">
      <c r="A82" s="128">
        <f t="shared" si="13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2"/>
        <v>0</v>
      </c>
      <c r="K82" s="130" t="str">
        <f t="shared" si="11"/>
        <v>0</v>
      </c>
      <c r="L82" s="131"/>
      <c r="M82" s="131"/>
      <c r="N82" s="69"/>
      <c r="O82" s="312"/>
      <c r="P82" s="313"/>
      <c r="Q82" s="314"/>
      <c r="R82" s="5"/>
      <c r="S82" s="71"/>
      <c r="T82" s="75"/>
      <c r="U82" s="72"/>
    </row>
    <row r="83" spans="1:21" x14ac:dyDescent="0.3">
      <c r="A83" s="128">
        <f t="shared" si="13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2"/>
        <v>0</v>
      </c>
      <c r="K83" s="130" t="str">
        <f t="shared" si="11"/>
        <v>0</v>
      </c>
      <c r="L83" s="131"/>
      <c r="M83" s="131"/>
      <c r="N83" s="69"/>
      <c r="O83" s="312"/>
      <c r="P83" s="313"/>
      <c r="Q83" s="313"/>
      <c r="R83" s="5"/>
      <c r="S83" s="71"/>
      <c r="T83" s="75"/>
      <c r="U83" s="72"/>
    </row>
    <row r="84" spans="1:21" x14ac:dyDescent="0.3">
      <c r="A84" s="128">
        <f t="shared" si="13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2"/>
        <v>0</v>
      </c>
      <c r="K84" s="130" t="str">
        <f t="shared" si="11"/>
        <v>0</v>
      </c>
      <c r="L84" s="131"/>
      <c r="M84" s="131"/>
      <c r="N84" s="69"/>
      <c r="O84" s="312"/>
      <c r="P84" s="313"/>
      <c r="Q84" s="313"/>
      <c r="R84" s="81"/>
      <c r="S84" s="68"/>
      <c r="T84" s="76"/>
      <c r="U84" s="77"/>
    </row>
    <row r="85" spans="1:21" x14ac:dyDescent="0.3">
      <c r="A85" s="128">
        <f t="shared" si="13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2"/>
        <v>0</v>
      </c>
      <c r="K85" s="130" t="str">
        <f t="shared" si="11"/>
        <v>0</v>
      </c>
      <c r="L85" s="69"/>
      <c r="M85" s="69"/>
      <c r="N85" s="69"/>
      <c r="O85" s="353"/>
      <c r="P85" s="312"/>
      <c r="Q85" s="312"/>
      <c r="R85" s="81"/>
      <c r="S85" s="68"/>
      <c r="T85" s="76"/>
      <c r="U85" s="77"/>
    </row>
    <row r="86" spans="1:21" x14ac:dyDescent="0.3">
      <c r="A86" s="128">
        <f t="shared" si="13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2"/>
        <v>0</v>
      </c>
      <c r="K86" s="130" t="str">
        <f t="shared" si="11"/>
        <v>0</v>
      </c>
      <c r="L86" s="69"/>
      <c r="M86" s="69"/>
      <c r="N86" s="69"/>
      <c r="O86" s="353"/>
      <c r="P86" s="312"/>
      <c r="Q86" s="312"/>
      <c r="R86" s="81"/>
      <c r="S86" s="68"/>
      <c r="T86" s="76"/>
      <c r="U86" s="77"/>
    </row>
    <row r="87" spans="1:21" x14ac:dyDescent="0.3">
      <c r="A87" s="128">
        <f t="shared" si="13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2"/>
        <v>0</v>
      </c>
      <c r="K87" s="130" t="str">
        <f t="shared" si="11"/>
        <v>0</v>
      </c>
      <c r="L87" s="69"/>
      <c r="M87" s="69"/>
      <c r="N87" s="69"/>
      <c r="O87" s="353"/>
      <c r="P87" s="312"/>
      <c r="Q87" s="312"/>
      <c r="R87" s="81"/>
      <c r="S87" s="68"/>
      <c r="T87" s="76"/>
      <c r="U87" s="77"/>
    </row>
    <row r="88" spans="1:21" x14ac:dyDescent="0.3">
      <c r="A88" s="128">
        <f t="shared" si="13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2"/>
        <v>0</v>
      </c>
      <c r="K88" s="130" t="str">
        <f t="shared" si="11"/>
        <v>0</v>
      </c>
      <c r="L88" s="69"/>
      <c r="M88" s="69"/>
      <c r="N88" s="69"/>
      <c r="O88" s="313"/>
      <c r="P88" s="313"/>
      <c r="Q88" s="313"/>
      <c r="R88" s="81"/>
      <c r="S88" s="68"/>
      <c r="T88" s="76"/>
      <c r="U88" s="77"/>
    </row>
    <row r="89" spans="1:21" x14ac:dyDescent="0.3">
      <c r="A89" s="128">
        <f t="shared" si="13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2"/>
        <v>0</v>
      </c>
      <c r="K89" s="130" t="str">
        <f t="shared" si="11"/>
        <v>0</v>
      </c>
      <c r="L89" s="69"/>
      <c r="M89" s="69"/>
      <c r="N89" s="69"/>
      <c r="O89" s="312"/>
      <c r="P89" s="313"/>
      <c r="Q89" s="313"/>
      <c r="R89" s="81"/>
      <c r="S89" s="68"/>
      <c r="T89" s="68"/>
      <c r="U89" s="77"/>
    </row>
    <row r="90" spans="1:21" x14ac:dyDescent="0.3">
      <c r="A90" s="128">
        <f t="shared" si="13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2"/>
        <v>0</v>
      </c>
      <c r="K90" s="130" t="str">
        <f t="shared" si="11"/>
        <v>0</v>
      </c>
      <c r="L90" s="69"/>
      <c r="M90" s="69"/>
      <c r="N90" s="69"/>
      <c r="O90" s="313"/>
      <c r="P90" s="313"/>
      <c r="Q90" s="313"/>
      <c r="R90" s="81"/>
      <c r="S90" s="68"/>
      <c r="T90" s="68"/>
      <c r="U90" s="77"/>
    </row>
    <row r="91" spans="1:21" x14ac:dyDescent="0.3">
      <c r="A91" s="128">
        <f t="shared" si="13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2"/>
        <v>0</v>
      </c>
      <c r="K91" s="130" t="str">
        <f t="shared" si="11"/>
        <v>0</v>
      </c>
      <c r="L91" s="69"/>
      <c r="M91" s="69"/>
      <c r="N91" s="69"/>
      <c r="O91" s="313"/>
      <c r="P91" s="313"/>
      <c r="Q91" s="313"/>
      <c r="R91" s="81"/>
      <c r="S91" s="68"/>
      <c r="T91" s="68"/>
      <c r="U91" s="77"/>
    </row>
    <row r="92" spans="1:21" x14ac:dyDescent="0.3">
      <c r="A92" s="128">
        <f t="shared" si="13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2"/>
        <v>0</v>
      </c>
      <c r="K92" s="130" t="str">
        <f t="shared" si="11"/>
        <v>0</v>
      </c>
      <c r="L92" s="69"/>
      <c r="M92" s="69"/>
      <c r="N92" s="69"/>
      <c r="O92" s="312"/>
      <c r="P92" s="313"/>
      <c r="Q92" s="314"/>
      <c r="R92" s="81"/>
      <c r="S92" s="68"/>
      <c r="T92" s="68"/>
      <c r="U92" s="77"/>
    </row>
    <row r="93" spans="1:21" ht="17.25" thickBot="1" x14ac:dyDescent="0.35">
      <c r="A93" s="128">
        <f t="shared" si="13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2"/>
        <v>0</v>
      </c>
      <c r="K93" s="130" t="str">
        <f t="shared" si="11"/>
        <v>0</v>
      </c>
      <c r="L93" s="149"/>
      <c r="M93" s="149"/>
      <c r="N93" s="149"/>
      <c r="O93" s="354"/>
      <c r="P93" s="355"/>
      <c r="Q93" s="356"/>
      <c r="R93" s="81"/>
      <c r="S93" s="68"/>
      <c r="T93" s="68"/>
      <c r="U93" s="77"/>
    </row>
    <row r="94" spans="1:21" x14ac:dyDescent="0.3">
      <c r="A94" s="357" t="s">
        <v>48</v>
      </c>
      <c r="B94" s="358"/>
      <c r="C94" s="358"/>
      <c r="D94" s="358"/>
      <c r="E94" s="382"/>
      <c r="F94" s="358"/>
      <c r="G94" s="358"/>
      <c r="H94" s="358">
        <f t="shared" ref="H94:M94" si="14">SUM(H69:H93)</f>
        <v>0</v>
      </c>
      <c r="I94" s="363">
        <f t="shared" si="14"/>
        <v>0</v>
      </c>
      <c r="J94" s="363">
        <f>J93+J92+J91+J90+J89+J88+J87+J86+J85+J84+J83+J82+J81+J80+J79+J78+J77+J76+J75+J74+J73+J72+J71+J70+J69</f>
        <v>0</v>
      </c>
      <c r="K94" s="363">
        <f>K93+K92+K91+K90+K89+K88+K87+K86+K85+K84+K83+K82+K81+K80+K79+K78+K77+K76+K75+K74+K73+K72+K71+K70+K69</f>
        <v>0</v>
      </c>
      <c r="L94" s="366">
        <f t="shared" si="14"/>
        <v>0</v>
      </c>
      <c r="M94" s="369">
        <f t="shared" si="14"/>
        <v>0</v>
      </c>
      <c r="N94" s="372"/>
      <c r="O94" s="373"/>
      <c r="P94" s="373"/>
      <c r="Q94" s="374"/>
      <c r="R94" s="5"/>
      <c r="S94" s="6"/>
      <c r="T94" s="7"/>
      <c r="U94" s="8"/>
    </row>
    <row r="95" spans="1:21" ht="17.25" thickBot="1" x14ac:dyDescent="0.35">
      <c r="A95" s="359"/>
      <c r="B95" s="360"/>
      <c r="C95" s="360"/>
      <c r="D95" s="360"/>
      <c r="E95" s="360"/>
      <c r="F95" s="360"/>
      <c r="G95" s="360"/>
      <c r="H95" s="360"/>
      <c r="I95" s="364"/>
      <c r="J95" s="364"/>
      <c r="K95" s="364"/>
      <c r="L95" s="367"/>
      <c r="M95" s="370"/>
      <c r="N95" s="375"/>
      <c r="O95" s="376"/>
      <c r="P95" s="376"/>
      <c r="Q95" s="377"/>
      <c r="R95" s="1"/>
      <c r="S95" s="2"/>
      <c r="T95" s="3"/>
      <c r="U95" s="4"/>
    </row>
    <row r="96" spans="1:21" ht="17.25" thickBot="1" x14ac:dyDescent="0.35">
      <c r="A96" s="361"/>
      <c r="B96" s="362"/>
      <c r="C96" s="362"/>
      <c r="D96" s="362"/>
      <c r="E96" s="362"/>
      <c r="F96" s="362"/>
      <c r="G96" s="362"/>
      <c r="H96" s="362"/>
      <c r="I96" s="365"/>
      <c r="J96" s="365"/>
      <c r="K96" s="365"/>
      <c r="L96" s="368"/>
      <c r="M96" s="371"/>
      <c r="N96" s="334"/>
      <c r="O96" s="335"/>
      <c r="P96" s="335"/>
      <c r="Q96" s="378"/>
      <c r="R96" s="379" t="s">
        <v>52</v>
      </c>
      <c r="S96" s="380"/>
      <c r="T96" s="380"/>
      <c r="U96" s="381"/>
    </row>
  </sheetData>
  <mergeCells count="131"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</mergeCells>
  <phoneticPr fontId="3" type="noConversion"/>
  <dataValidations disablePrompts="1" count="1">
    <dataValidation type="list" allowBlank="1" showInputMessage="1" showErrorMessage="1" sqref="X7 W5 E69:E93 E37:E61 E5:E29" xr:uid="{8580CCEC-6A92-44A7-B0AE-56278535338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zoomScaleNormal="100" zoomScaleSheetLayoutView="77" workbookViewId="0">
      <selection activeCell="R12" sqref="R12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95" t="s">
        <v>77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7"/>
    </row>
    <row r="2" spans="1:44" ht="17.25" thickBot="1" x14ac:dyDescent="0.35">
      <c r="A2" s="295" t="s">
        <v>348</v>
      </c>
      <c r="B2" s="296"/>
      <c r="C2" s="296"/>
      <c r="D2" s="296"/>
      <c r="E2" s="296"/>
      <c r="F2" s="296"/>
      <c r="G2" s="297"/>
      <c r="H2" s="298" t="s">
        <v>49</v>
      </c>
      <c r="I2" s="299"/>
      <c r="J2" s="295" t="s">
        <v>140</v>
      </c>
      <c r="K2" s="297"/>
      <c r="L2" s="299" t="s">
        <v>96</v>
      </c>
      <c r="M2" s="300"/>
      <c r="N2" s="298"/>
      <c r="O2" s="296" t="s">
        <v>99</v>
      </c>
      <c r="P2" s="296"/>
      <c r="Q2" s="297"/>
      <c r="R2" s="299" t="s">
        <v>51</v>
      </c>
      <c r="S2" s="298"/>
      <c r="T2" s="301">
        <v>7</v>
      </c>
      <c r="U2" s="301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05" t="s">
        <v>8</v>
      </c>
      <c r="P4" s="305"/>
      <c r="Q4" s="305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268">
        <v>10481</v>
      </c>
      <c r="C5" s="290" t="s">
        <v>350</v>
      </c>
      <c r="D5" s="291" t="s">
        <v>282</v>
      </c>
      <c r="E5" s="271" t="s">
        <v>107</v>
      </c>
      <c r="F5" s="292">
        <v>850</v>
      </c>
      <c r="G5" s="268" t="s">
        <v>121</v>
      </c>
      <c r="H5" s="274"/>
      <c r="I5" s="274"/>
      <c r="J5" s="274" t="str">
        <f>IF(G5="RSL","55","0")</f>
        <v>0</v>
      </c>
      <c r="K5" s="274">
        <v>62.5</v>
      </c>
      <c r="L5" s="275"/>
      <c r="M5" s="275">
        <v>378.75</v>
      </c>
      <c r="N5" s="276" t="s">
        <v>99</v>
      </c>
      <c r="O5" s="386" t="s">
        <v>349</v>
      </c>
      <c r="P5" s="387"/>
      <c r="Q5" s="388"/>
      <c r="R5" s="33" t="s">
        <v>99</v>
      </c>
      <c r="S5" s="31">
        <v>0.35416666666666669</v>
      </c>
      <c r="T5" s="32">
        <v>0.70833333333333337</v>
      </c>
      <c r="U5" s="92">
        <f t="shared" ref="U5:U15" si="0">(T5-S5)*24</f>
        <v>8.5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10482</v>
      </c>
      <c r="C6" s="67" t="s">
        <v>351</v>
      </c>
      <c r="D6" s="200" t="s">
        <v>352</v>
      </c>
      <c r="E6" s="181" t="s">
        <v>91</v>
      </c>
      <c r="F6" s="171">
        <v>915</v>
      </c>
      <c r="G6" s="118" t="s">
        <v>129</v>
      </c>
      <c r="H6" s="91"/>
      <c r="I6" s="124">
        <v>75.75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09"/>
      <c r="P6" s="310"/>
      <c r="Q6" s="311"/>
      <c r="R6" s="33" t="s">
        <v>100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10483</v>
      </c>
      <c r="C7" s="67" t="s">
        <v>353</v>
      </c>
      <c r="D7" s="200" t="s">
        <v>354</v>
      </c>
      <c r="E7" s="181" t="s">
        <v>92</v>
      </c>
      <c r="F7" s="171">
        <v>920</v>
      </c>
      <c r="G7" s="118" t="s">
        <v>129</v>
      </c>
      <c r="H7" s="91"/>
      <c r="I7" s="124">
        <v>55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12"/>
      <c r="P7" s="313"/>
      <c r="Q7" s="314"/>
      <c r="R7" s="132" t="s">
        <v>101</v>
      </c>
      <c r="S7" s="31">
        <v>0.33333333333333331</v>
      </c>
      <c r="T7" s="32">
        <v>0.70833333333333337</v>
      </c>
      <c r="U7" s="92">
        <f t="shared" si="0"/>
        <v>9.0000000000000018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10484</v>
      </c>
      <c r="C8" s="27" t="s">
        <v>355</v>
      </c>
      <c r="D8" s="200" t="s">
        <v>356</v>
      </c>
      <c r="E8" s="181" t="s">
        <v>91</v>
      </c>
      <c r="F8" s="171">
        <v>945</v>
      </c>
      <c r="G8" s="118" t="s">
        <v>148</v>
      </c>
      <c r="H8" s="91"/>
      <c r="I8" s="124"/>
      <c r="J8" s="130" t="str">
        <f t="shared" si="1"/>
        <v>0</v>
      </c>
      <c r="K8" s="130">
        <v>79.099999999999994</v>
      </c>
      <c r="L8" s="131"/>
      <c r="M8" s="131"/>
      <c r="N8" s="134" t="s">
        <v>99</v>
      </c>
      <c r="O8" s="315" t="s">
        <v>357</v>
      </c>
      <c r="P8" s="316"/>
      <c r="Q8" s="317"/>
      <c r="R8" s="26" t="s">
        <v>103</v>
      </c>
      <c r="S8" s="31">
        <v>0.35416666666666669</v>
      </c>
      <c r="T8" s="32">
        <v>0.70833333333333337</v>
      </c>
      <c r="U8" s="92">
        <f t="shared" si="0"/>
        <v>8.5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10485</v>
      </c>
      <c r="C9" s="27" t="s">
        <v>358</v>
      </c>
      <c r="D9" s="200" t="s">
        <v>359</v>
      </c>
      <c r="E9" s="181" t="s">
        <v>92</v>
      </c>
      <c r="F9" s="171">
        <v>1015</v>
      </c>
      <c r="G9" s="118" t="s">
        <v>114</v>
      </c>
      <c r="H9" s="91">
        <v>130</v>
      </c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15"/>
      <c r="P9" s="316"/>
      <c r="Q9" s="317"/>
      <c r="R9" s="26" t="s">
        <v>275</v>
      </c>
      <c r="S9" s="31">
        <v>0.39583333333333331</v>
      </c>
      <c r="T9" s="32">
        <v>0.70833333333333337</v>
      </c>
      <c r="U9" s="92">
        <f t="shared" si="0"/>
        <v>7.5000000000000018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10486</v>
      </c>
      <c r="C10" s="28" t="s">
        <v>360</v>
      </c>
      <c r="D10" s="202" t="s">
        <v>361</v>
      </c>
      <c r="E10" s="181" t="s">
        <v>92</v>
      </c>
      <c r="F10" s="173">
        <v>1035</v>
      </c>
      <c r="G10" s="120" t="s">
        <v>111</v>
      </c>
      <c r="H10" s="123">
        <v>95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302"/>
      <c r="P10" s="303"/>
      <c r="Q10" s="304"/>
      <c r="R10" s="26" t="s">
        <v>276</v>
      </c>
      <c r="S10" s="31">
        <v>0.35416666666666669</v>
      </c>
      <c r="T10" s="32">
        <v>0.70833333333333337</v>
      </c>
      <c r="U10" s="92">
        <f t="shared" si="0"/>
        <v>8.5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10487</v>
      </c>
      <c r="C11" s="18" t="s">
        <v>362</v>
      </c>
      <c r="D11" s="203" t="s">
        <v>363</v>
      </c>
      <c r="E11" s="181" t="s">
        <v>92</v>
      </c>
      <c r="F11" s="66">
        <v>1035</v>
      </c>
      <c r="G11" s="121" t="s">
        <v>129</v>
      </c>
      <c r="H11" s="123">
        <v>55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12"/>
      <c r="P11" s="313"/>
      <c r="Q11" s="314"/>
      <c r="R11" s="26" t="s">
        <v>400</v>
      </c>
      <c r="S11" s="31">
        <v>0.38541666666666669</v>
      </c>
      <c r="T11" s="32">
        <v>0.52083333333333337</v>
      </c>
      <c r="U11" s="92">
        <f t="shared" si="0"/>
        <v>3.2500000000000004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10488</v>
      </c>
      <c r="C12" s="64" t="s">
        <v>389</v>
      </c>
      <c r="D12" s="204" t="s">
        <v>390</v>
      </c>
      <c r="E12" s="181" t="s">
        <v>91</v>
      </c>
      <c r="F12" s="173">
        <v>1110</v>
      </c>
      <c r="G12" s="119" t="s">
        <v>114</v>
      </c>
      <c r="H12" s="123"/>
      <c r="I12" s="125">
        <v>150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12"/>
      <c r="P12" s="313"/>
      <c r="Q12" s="314"/>
      <c r="R12" s="26"/>
      <c r="S12" s="31">
        <v>0.61458333333333337</v>
      </c>
      <c r="T12" s="32">
        <v>0.70833333333333337</v>
      </c>
      <c r="U12" s="92">
        <f t="shared" si="0"/>
        <v>2.25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10489</v>
      </c>
      <c r="C13" s="64" t="s">
        <v>399</v>
      </c>
      <c r="D13" s="204" t="s">
        <v>364</v>
      </c>
      <c r="E13" s="181" t="s">
        <v>92</v>
      </c>
      <c r="F13" s="173">
        <v>1110</v>
      </c>
      <c r="G13" s="119" t="s">
        <v>111</v>
      </c>
      <c r="H13" s="123"/>
      <c r="I13" s="125">
        <v>95.95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312"/>
      <c r="P13" s="313"/>
      <c r="Q13" s="314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10490</v>
      </c>
      <c r="C14" s="65" t="s">
        <v>399</v>
      </c>
      <c r="D14" s="204" t="s">
        <v>365</v>
      </c>
      <c r="E14" s="181" t="s">
        <v>91</v>
      </c>
      <c r="F14" s="173">
        <v>1130</v>
      </c>
      <c r="G14" s="122" t="s">
        <v>148</v>
      </c>
      <c r="H14" s="123"/>
      <c r="I14" s="125"/>
      <c r="J14" s="130" t="str">
        <f t="shared" si="1"/>
        <v>0</v>
      </c>
      <c r="K14" s="130">
        <v>79.099999999999994</v>
      </c>
      <c r="L14" s="131"/>
      <c r="M14" s="131"/>
      <c r="N14" s="134" t="s">
        <v>99</v>
      </c>
      <c r="O14" s="312" t="s">
        <v>366</v>
      </c>
      <c r="P14" s="313"/>
      <c r="Q14" s="314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10491</v>
      </c>
      <c r="C15" s="65" t="s">
        <v>367</v>
      </c>
      <c r="D15" s="205" t="s">
        <v>368</v>
      </c>
      <c r="E15" s="181" t="s">
        <v>91</v>
      </c>
      <c r="F15" s="174">
        <v>1130</v>
      </c>
      <c r="G15" s="122" t="s">
        <v>111</v>
      </c>
      <c r="H15" s="123"/>
      <c r="I15" s="124">
        <v>95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99</v>
      </c>
      <c r="O15" s="312"/>
      <c r="P15" s="313"/>
      <c r="Q15" s="314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10492</v>
      </c>
      <c r="C16" s="65" t="s">
        <v>369</v>
      </c>
      <c r="D16" s="205" t="s">
        <v>370</v>
      </c>
      <c r="E16" s="181" t="s">
        <v>91</v>
      </c>
      <c r="F16" s="174">
        <v>1145</v>
      </c>
      <c r="G16" s="122" t="s">
        <v>206</v>
      </c>
      <c r="H16" s="123"/>
      <c r="I16" s="124">
        <v>484.8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99</v>
      </c>
      <c r="O16" s="312"/>
      <c r="P16" s="313"/>
      <c r="Q16" s="314"/>
      <c r="R16" s="82">
        <f>H32/U16</f>
        <v>0.4247787610619469</v>
      </c>
      <c r="S16" s="83">
        <f>H32/(U16-U5)</f>
        <v>0.5</v>
      </c>
      <c r="T16" s="83">
        <f>C32/U16</f>
        <v>42.732743362831862</v>
      </c>
      <c r="U16" s="83">
        <f>SUM(U5:U15)</f>
        <v>56.5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10493</v>
      </c>
      <c r="C17" s="18" t="s">
        <v>371</v>
      </c>
      <c r="D17" s="203" t="s">
        <v>372</v>
      </c>
      <c r="E17" s="181" t="s">
        <v>91</v>
      </c>
      <c r="F17" s="66">
        <v>1145</v>
      </c>
      <c r="G17" s="121" t="s">
        <v>111</v>
      </c>
      <c r="H17" s="123"/>
      <c r="I17" s="124">
        <v>75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99</v>
      </c>
      <c r="O17" s="312"/>
      <c r="P17" s="313"/>
      <c r="Q17" s="314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278">
        <v>10494</v>
      </c>
      <c r="C18" s="293" t="s">
        <v>373</v>
      </c>
      <c r="D18" s="294" t="s">
        <v>374</v>
      </c>
      <c r="E18" s="271" t="s">
        <v>91</v>
      </c>
      <c r="F18" s="280">
        <v>1220</v>
      </c>
      <c r="G18" s="278" t="s">
        <v>148</v>
      </c>
      <c r="H18" s="273"/>
      <c r="I18" s="274"/>
      <c r="J18" s="274" t="str">
        <f t="shared" si="1"/>
        <v>0</v>
      </c>
      <c r="K18" s="274">
        <v>79.099999999999994</v>
      </c>
      <c r="L18" s="275"/>
      <c r="M18" s="275">
        <v>479.75</v>
      </c>
      <c r="N18" s="276" t="s">
        <v>99</v>
      </c>
      <c r="O18" s="383" t="s">
        <v>375</v>
      </c>
      <c r="P18" s="384"/>
      <c r="Q18" s="385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10495</v>
      </c>
      <c r="C19" s="18" t="s">
        <v>376</v>
      </c>
      <c r="D19" s="203" t="s">
        <v>377</v>
      </c>
      <c r="E19" s="181" t="s">
        <v>91</v>
      </c>
      <c r="F19" s="66">
        <v>1230</v>
      </c>
      <c r="G19" s="121" t="s">
        <v>129</v>
      </c>
      <c r="H19" s="123"/>
      <c r="I19" s="124">
        <v>55.55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99</v>
      </c>
      <c r="O19" s="312"/>
      <c r="P19" s="313"/>
      <c r="Q19" s="313"/>
      <c r="R19" s="93" t="s">
        <v>45</v>
      </c>
      <c r="S19" s="94">
        <f>COUNT(L5:M29,L37:M61,L69:M93)</f>
        <v>4</v>
      </c>
      <c r="T19" s="116">
        <f>SUM(L5:M29,L37:M61,L69:M93)</f>
        <v>1713.25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10496</v>
      </c>
      <c r="C20" s="18" t="s">
        <v>378</v>
      </c>
      <c r="D20" s="203" t="s">
        <v>379</v>
      </c>
      <c r="E20" s="181" t="s">
        <v>92</v>
      </c>
      <c r="F20" s="66">
        <v>1245</v>
      </c>
      <c r="G20" s="121" t="s">
        <v>129</v>
      </c>
      <c r="H20" s="123">
        <v>55</v>
      </c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99</v>
      </c>
      <c r="O20" s="320"/>
      <c r="P20" s="321"/>
      <c r="Q20" s="321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268">
        <v>10497</v>
      </c>
      <c r="C21" s="293" t="s">
        <v>380</v>
      </c>
      <c r="D21" s="294" t="s">
        <v>381</v>
      </c>
      <c r="E21" s="271" t="s">
        <v>92</v>
      </c>
      <c r="F21" s="280">
        <v>1247</v>
      </c>
      <c r="G21" s="278" t="s">
        <v>148</v>
      </c>
      <c r="H21" s="273"/>
      <c r="I21" s="274"/>
      <c r="J21" s="274" t="str">
        <f t="shared" si="1"/>
        <v>0</v>
      </c>
      <c r="K21" s="274">
        <v>79.099999999999994</v>
      </c>
      <c r="L21" s="275"/>
      <c r="M21" s="275">
        <v>479.75</v>
      </c>
      <c r="N21" s="276" t="s">
        <v>99</v>
      </c>
      <c r="O21" s="383" t="s">
        <v>382</v>
      </c>
      <c r="P21" s="384"/>
      <c r="Q21" s="384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10498</v>
      </c>
      <c r="C22" s="127" t="s">
        <v>399</v>
      </c>
      <c r="D22" s="206" t="s">
        <v>383</v>
      </c>
      <c r="E22" s="181" t="s">
        <v>92</v>
      </c>
      <c r="F22" s="175">
        <v>1300</v>
      </c>
      <c r="G22" s="263" t="s">
        <v>134</v>
      </c>
      <c r="H22" s="89">
        <v>100</v>
      </c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99</v>
      </c>
      <c r="O22" s="312"/>
      <c r="P22" s="313"/>
      <c r="Q22" s="314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268">
        <v>10499</v>
      </c>
      <c r="C23" s="281" t="s">
        <v>386</v>
      </c>
      <c r="D23" s="282" t="s">
        <v>387</v>
      </c>
      <c r="E23" s="271" t="s">
        <v>91</v>
      </c>
      <c r="F23" s="283">
        <v>1450</v>
      </c>
      <c r="G23" s="278" t="s">
        <v>121</v>
      </c>
      <c r="H23" s="273"/>
      <c r="I23" s="273"/>
      <c r="J23" s="274" t="str">
        <f t="shared" si="1"/>
        <v>0</v>
      </c>
      <c r="K23" s="274">
        <v>62.5</v>
      </c>
      <c r="L23" s="274">
        <v>375</v>
      </c>
      <c r="M23" s="274"/>
      <c r="N23" s="276" t="s">
        <v>99</v>
      </c>
      <c r="O23" s="383" t="s">
        <v>388</v>
      </c>
      <c r="P23" s="384"/>
      <c r="Q23" s="384"/>
      <c r="R23" s="113"/>
      <c r="S23" s="114"/>
      <c r="T23" s="114"/>
      <c r="U23" s="115"/>
      <c r="X23" s="318"/>
      <c r="Y23" s="319"/>
      <c r="Z23" s="319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10500</v>
      </c>
      <c r="C24" s="127" t="s">
        <v>391</v>
      </c>
      <c r="D24" s="206" t="s">
        <v>392</v>
      </c>
      <c r="E24" s="181" t="s">
        <v>91</v>
      </c>
      <c r="F24" s="175">
        <v>1425</v>
      </c>
      <c r="G24" s="263" t="s">
        <v>111</v>
      </c>
      <c r="H24" s="89"/>
      <c r="I24" s="141">
        <v>95.95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99</v>
      </c>
      <c r="O24" s="312"/>
      <c r="P24" s="313"/>
      <c r="Q24" s="314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>
        <v>10501</v>
      </c>
      <c r="C25" s="132" t="s">
        <v>384</v>
      </c>
      <c r="D25" s="208" t="s">
        <v>385</v>
      </c>
      <c r="E25" s="181" t="s">
        <v>91</v>
      </c>
      <c r="F25" s="175">
        <v>1430</v>
      </c>
      <c r="G25" s="263" t="s">
        <v>129</v>
      </c>
      <c r="H25" s="90"/>
      <c r="I25" s="90">
        <v>55</v>
      </c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99</v>
      </c>
      <c r="O25" s="312"/>
      <c r="P25" s="313"/>
      <c r="Q25" s="314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22">
        <f>((C32+(R26+S26+T26)*0.5))</f>
        <v>2414.4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>
        <v>10502</v>
      </c>
      <c r="C26" s="27" t="s">
        <v>393</v>
      </c>
      <c r="D26" s="209" t="s">
        <v>394</v>
      </c>
      <c r="E26" s="181" t="s">
        <v>91</v>
      </c>
      <c r="F26" s="177">
        <v>1500</v>
      </c>
      <c r="G26" s="20" t="s">
        <v>111</v>
      </c>
      <c r="H26" s="89">
        <v>150</v>
      </c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 t="s">
        <v>99</v>
      </c>
      <c r="O26" s="312"/>
      <c r="P26" s="313"/>
      <c r="Q26" s="314"/>
      <c r="R26" s="112">
        <f>R25*37.5</f>
        <v>0</v>
      </c>
      <c r="S26" s="102">
        <f>S25*41.5</f>
        <v>0</v>
      </c>
      <c r="T26" s="102">
        <f>T25*50</f>
        <v>0</v>
      </c>
      <c r="U26" s="323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>
        <v>10503</v>
      </c>
      <c r="C27" s="27" t="s">
        <v>397</v>
      </c>
      <c r="D27" s="209" t="s">
        <v>398</v>
      </c>
      <c r="E27" s="181" t="s">
        <v>91</v>
      </c>
      <c r="F27" s="177">
        <v>1500</v>
      </c>
      <c r="G27" s="20" t="s">
        <v>129</v>
      </c>
      <c r="H27" s="89"/>
      <c r="I27" s="141">
        <v>75</v>
      </c>
      <c r="J27" s="130" t="str">
        <f t="shared" si="1"/>
        <v>0</v>
      </c>
      <c r="K27" s="130" t="str">
        <f t="shared" si="2"/>
        <v>0</v>
      </c>
      <c r="L27" s="69"/>
      <c r="M27" s="69"/>
      <c r="N27" s="134" t="s">
        <v>99</v>
      </c>
      <c r="O27" s="312"/>
      <c r="P27" s="313"/>
      <c r="Q27" s="314"/>
      <c r="R27" s="331" t="s">
        <v>56</v>
      </c>
      <c r="S27" s="332"/>
      <c r="T27" s="332"/>
      <c r="U27" s="333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>
        <v>10504</v>
      </c>
      <c r="C28" s="27" t="s">
        <v>395</v>
      </c>
      <c r="D28" s="209" t="s">
        <v>396</v>
      </c>
      <c r="E28" s="181" t="s">
        <v>91</v>
      </c>
      <c r="F28" s="177">
        <v>1610</v>
      </c>
      <c r="G28" s="20" t="s">
        <v>129</v>
      </c>
      <c r="H28" s="89">
        <v>75</v>
      </c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 t="s">
        <v>99</v>
      </c>
      <c r="O28" s="312"/>
      <c r="P28" s="313"/>
      <c r="Q28" s="314"/>
      <c r="R28" s="324"/>
      <c r="S28" s="325"/>
      <c r="T28" s="326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0"/>
      <c r="P29" s="341"/>
      <c r="Q29" s="342"/>
      <c r="R29" s="343"/>
      <c r="S29" s="344"/>
      <c r="T29" s="345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6" t="s">
        <v>48</v>
      </c>
      <c r="B30" s="347"/>
      <c r="C30" s="347"/>
      <c r="D30" s="347"/>
      <c r="E30" s="348"/>
      <c r="F30" s="347"/>
      <c r="G30" s="347"/>
      <c r="H30" s="288">
        <f t="shared" ref="H30:M30" si="3">SUM(H5:H29)</f>
        <v>660</v>
      </c>
      <c r="I30" s="105">
        <f>SUM(I5:I29)</f>
        <v>1313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441.4</v>
      </c>
      <c r="L30" s="106">
        <f t="shared" si="3"/>
        <v>375</v>
      </c>
      <c r="M30" s="106">
        <f t="shared" si="3"/>
        <v>1338.25</v>
      </c>
      <c r="N30" s="286" t="s">
        <v>15</v>
      </c>
      <c r="O30" s="286" t="s">
        <v>20</v>
      </c>
      <c r="P30" s="286" t="s">
        <v>45</v>
      </c>
      <c r="Q30" s="96" t="s">
        <v>44</v>
      </c>
      <c r="R30" s="349"/>
      <c r="S30" s="349"/>
      <c r="T30" s="350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1" t="s">
        <v>16</v>
      </c>
      <c r="B31" s="352"/>
      <c r="C31" s="352"/>
      <c r="D31" s="352"/>
      <c r="E31" s="352"/>
      <c r="F31" s="352"/>
      <c r="G31" s="352"/>
      <c r="H31" s="289">
        <f t="shared" ref="H31:J31" si="4">H30+H62+H94</f>
        <v>660</v>
      </c>
      <c r="I31" s="103">
        <f t="shared" si="4"/>
        <v>1313</v>
      </c>
      <c r="J31" s="103">
        <f t="shared" si="4"/>
        <v>0</v>
      </c>
      <c r="K31" s="103">
        <f>K30+K62+K94</f>
        <v>441.4</v>
      </c>
      <c r="L31" s="97">
        <f>L30+L62+L94</f>
        <v>375</v>
      </c>
      <c r="M31" s="97">
        <f>M30+M62+M94</f>
        <v>1338.25</v>
      </c>
      <c r="N31" s="287">
        <f>COUNT(H5:H29,H37:H61,H69:H93)</f>
        <v>7</v>
      </c>
      <c r="O31" s="104">
        <f>COUNT(I5:I29,I37:I61,I69:I93)</f>
        <v>11</v>
      </c>
      <c r="P31" s="104">
        <f>COUNTIF(G5:G29,"G*")+COUNTIF(G37:G61,"G*")+COUNTIF(G69:G93,"G*")+COUNTIF(G5:G29,"P*")+COUNTIF(G37:G61,"P*")+COUNTIF(G69:G93,"P*")</f>
        <v>6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1035</v>
      </c>
      <c r="T31" s="336">
        <f>H31+I31+L31+M31</f>
        <v>3686.25</v>
      </c>
      <c r="U31" s="337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27" t="s">
        <v>55</v>
      </c>
      <c r="B32" s="328"/>
      <c r="C32" s="107">
        <f>H31+I31+J31+K31</f>
        <v>2414.4</v>
      </c>
      <c r="D32" s="196"/>
      <c r="E32" s="107"/>
      <c r="F32" s="329" t="s">
        <v>53</v>
      </c>
      <c r="G32" s="329"/>
      <c r="H32" s="109">
        <f>COUNT(B5:B29,B37:B61,B69:B93)</f>
        <v>24</v>
      </c>
      <c r="I32" s="330" t="s">
        <v>54</v>
      </c>
      <c r="J32" s="330"/>
      <c r="K32" s="108">
        <f>C32/H32</f>
        <v>100.60000000000001</v>
      </c>
      <c r="L32" s="285"/>
      <c r="M32" s="285"/>
      <c r="N32" s="285">
        <f>H31/C32</f>
        <v>0.27335984095427435</v>
      </c>
      <c r="O32" s="285">
        <f>I31/C32</f>
        <v>0.5438204108681246</v>
      </c>
      <c r="P32" s="285">
        <f>K31/C32</f>
        <v>0.18281974817760105</v>
      </c>
      <c r="Q32" s="110">
        <f>J31/C32</f>
        <v>0</v>
      </c>
      <c r="R32" s="99" t="s">
        <v>82</v>
      </c>
      <c r="S32" s="266">
        <f>I31+M31</f>
        <v>2651.25</v>
      </c>
      <c r="T32" s="338"/>
      <c r="U32" s="339"/>
      <c r="V32" s="55"/>
      <c r="W32" s="55"/>
      <c r="X32" s="56" t="s">
        <v>27</v>
      </c>
      <c r="Y32" s="56"/>
      <c r="Z32" s="54">
        <f>I31</f>
        <v>1313</v>
      </c>
      <c r="AE32" s="37"/>
      <c r="AF32" s="37"/>
      <c r="AG32" s="37"/>
      <c r="AH32" s="37"/>
    </row>
    <row r="33" spans="1:34" ht="17.25" thickBot="1" x14ac:dyDescent="0.35">
      <c r="A33" s="334" t="s">
        <v>24</v>
      </c>
      <c r="B33" s="335"/>
      <c r="C33" s="335"/>
      <c r="D33" s="335"/>
      <c r="E33" s="335"/>
      <c r="F33" s="335"/>
      <c r="G33" s="335"/>
      <c r="H33" s="335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335"/>
      <c r="T33" s="296"/>
      <c r="U33" s="297"/>
      <c r="X33" s="57" t="s">
        <v>29</v>
      </c>
      <c r="Y33" s="57"/>
      <c r="Z33" s="58">
        <f>SUM(Z31:Z32)</f>
        <v>-1432</v>
      </c>
      <c r="AE33" s="37"/>
      <c r="AF33" s="37"/>
      <c r="AG33" s="59"/>
      <c r="AH33" s="37"/>
    </row>
    <row r="34" spans="1:34" ht="17.25" thickBot="1" x14ac:dyDescent="0.35">
      <c r="A34" s="295" t="str">
        <f>A2</f>
        <v>07-08-2022</v>
      </c>
      <c r="B34" s="296"/>
      <c r="C34" s="296"/>
      <c r="D34" s="296"/>
      <c r="E34" s="296"/>
      <c r="F34" s="296"/>
      <c r="G34" s="297"/>
      <c r="H34" s="298" t="s">
        <v>49</v>
      </c>
      <c r="I34" s="299"/>
      <c r="J34" s="295" t="str">
        <f>J2</f>
        <v>SUNNY</v>
      </c>
      <c r="K34" s="297"/>
      <c r="L34" s="299" t="s">
        <v>50</v>
      </c>
      <c r="M34" s="300"/>
      <c r="N34" s="298"/>
      <c r="O34" s="296" t="str">
        <f>O2</f>
        <v>JOHN</v>
      </c>
      <c r="P34" s="296"/>
      <c r="Q34" s="297"/>
      <c r="R34" s="299" t="s">
        <v>51</v>
      </c>
      <c r="S34" s="298"/>
      <c r="T34" s="301">
        <f>T2</f>
        <v>7</v>
      </c>
      <c r="U34" s="301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05" t="s">
        <v>8</v>
      </c>
      <c r="P36" s="305"/>
      <c r="Q36" s="305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2"/>
      <c r="P37" s="313"/>
      <c r="Q37" s="314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09"/>
      <c r="P38" s="310"/>
      <c r="Q38" s="311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2"/>
      <c r="P39" s="313"/>
      <c r="Q39" s="314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5"/>
      <c r="P40" s="316"/>
      <c r="Q40" s="317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5"/>
      <c r="P41" s="316"/>
      <c r="Q41" s="317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2"/>
      <c r="P42" s="303"/>
      <c r="Q42" s="304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2"/>
      <c r="P43" s="313"/>
      <c r="Q43" s="314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2"/>
      <c r="P44" s="313"/>
      <c r="Q44" s="314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2"/>
      <c r="P45" s="313"/>
      <c r="Q45" s="314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2"/>
      <c r="P46" s="313"/>
      <c r="Q46" s="314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2"/>
      <c r="P47" s="313"/>
      <c r="Q47" s="314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2"/>
      <c r="P48" s="313"/>
      <c r="Q48" s="314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2"/>
      <c r="P49" s="313"/>
      <c r="Q49" s="314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2"/>
      <c r="P50" s="313"/>
      <c r="Q50" s="314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2"/>
      <c r="P51" s="313"/>
      <c r="Q51" s="313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2"/>
      <c r="P52" s="313"/>
      <c r="Q52" s="313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3"/>
      <c r="P53" s="312"/>
      <c r="Q53" s="312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3"/>
      <c r="P54" s="312"/>
      <c r="Q54" s="312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3"/>
      <c r="P55" s="312"/>
      <c r="Q55" s="312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3"/>
      <c r="P56" s="313"/>
      <c r="Q56" s="313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2"/>
      <c r="P57" s="313"/>
      <c r="Q57" s="313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3"/>
      <c r="P58" s="313"/>
      <c r="Q58" s="313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3"/>
      <c r="P59" s="313"/>
      <c r="Q59" s="313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2"/>
      <c r="P60" s="313"/>
      <c r="Q60" s="314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4"/>
      <c r="P61" s="355"/>
      <c r="Q61" s="356"/>
      <c r="R61" s="81"/>
      <c r="S61" s="68"/>
      <c r="T61" s="68"/>
      <c r="U61" s="77"/>
    </row>
    <row r="62" spans="1:21" x14ac:dyDescent="0.3">
      <c r="A62" s="357" t="s">
        <v>48</v>
      </c>
      <c r="B62" s="358"/>
      <c r="C62" s="358"/>
      <c r="D62" s="358"/>
      <c r="E62" s="358"/>
      <c r="F62" s="358"/>
      <c r="G62" s="358"/>
      <c r="H62" s="358">
        <f t="shared" ref="H62:M62" si="8">SUM(H37:H61)</f>
        <v>0</v>
      </c>
      <c r="I62" s="363">
        <f t="shared" si="8"/>
        <v>0</v>
      </c>
      <c r="J62" s="363">
        <f>J61+J60+J59+J58+J57+J56+J55+J54+J53+J52+J51+J50+J49+J48+J47+J46+J45+J44+J43+J42+J41+J40+J39+J38+J37</f>
        <v>0</v>
      </c>
      <c r="K62" s="363">
        <f>K61+K60+K59+K58+K57+K56+K55+K54+K53+K52+K51+K50+K49+K48+K47+K46+K45+K44+K43+K42+K41+K40+K39+K38+K37</f>
        <v>0</v>
      </c>
      <c r="L62" s="366">
        <f t="shared" si="8"/>
        <v>0</v>
      </c>
      <c r="M62" s="369">
        <f t="shared" si="8"/>
        <v>0</v>
      </c>
      <c r="N62" s="372"/>
      <c r="O62" s="373"/>
      <c r="P62" s="373"/>
      <c r="Q62" s="374"/>
      <c r="R62" s="5"/>
      <c r="S62" s="6"/>
      <c r="T62" s="7"/>
      <c r="U62" s="8"/>
    </row>
    <row r="63" spans="1:21" ht="17.25" thickBot="1" x14ac:dyDescent="0.35">
      <c r="A63" s="359"/>
      <c r="B63" s="360"/>
      <c r="C63" s="360"/>
      <c r="D63" s="360"/>
      <c r="E63" s="360"/>
      <c r="F63" s="360"/>
      <c r="G63" s="360"/>
      <c r="H63" s="360"/>
      <c r="I63" s="364"/>
      <c r="J63" s="364"/>
      <c r="K63" s="364"/>
      <c r="L63" s="367"/>
      <c r="M63" s="370"/>
      <c r="N63" s="375"/>
      <c r="O63" s="376"/>
      <c r="P63" s="376"/>
      <c r="Q63" s="377"/>
      <c r="R63" s="1"/>
      <c r="S63" s="2"/>
      <c r="T63" s="3"/>
      <c r="U63" s="4"/>
    </row>
    <row r="64" spans="1:21" ht="17.25" thickBot="1" x14ac:dyDescent="0.35">
      <c r="A64" s="361"/>
      <c r="B64" s="362"/>
      <c r="C64" s="362"/>
      <c r="D64" s="362"/>
      <c r="E64" s="362"/>
      <c r="F64" s="362"/>
      <c r="G64" s="362"/>
      <c r="H64" s="362"/>
      <c r="I64" s="365"/>
      <c r="J64" s="365"/>
      <c r="K64" s="365"/>
      <c r="L64" s="368"/>
      <c r="M64" s="371"/>
      <c r="N64" s="334"/>
      <c r="O64" s="335"/>
      <c r="P64" s="335"/>
      <c r="Q64" s="378"/>
      <c r="R64" s="379" t="s">
        <v>17</v>
      </c>
      <c r="S64" s="380"/>
      <c r="T64" s="380"/>
      <c r="U64" s="381"/>
    </row>
    <row r="65" spans="1:21" ht="17.25" thickBot="1" x14ac:dyDescent="0.35">
      <c r="A65" s="295" t="s">
        <v>24</v>
      </c>
      <c r="B65" s="296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  <c r="N65" s="296"/>
      <c r="O65" s="296"/>
      <c r="P65" s="296"/>
      <c r="Q65" s="296"/>
      <c r="R65" s="296"/>
      <c r="S65" s="296"/>
      <c r="T65" s="296"/>
      <c r="U65" s="297"/>
    </row>
    <row r="66" spans="1:21" ht="17.25" thickBot="1" x14ac:dyDescent="0.35">
      <c r="A66" s="295" t="str">
        <f>A34</f>
        <v>07-08-2022</v>
      </c>
      <c r="B66" s="296"/>
      <c r="C66" s="296"/>
      <c r="D66" s="296"/>
      <c r="E66" s="296"/>
      <c r="F66" s="296"/>
      <c r="G66" s="297"/>
      <c r="H66" s="298" t="s">
        <v>49</v>
      </c>
      <c r="I66" s="299"/>
      <c r="J66" s="295" t="str">
        <f>J34</f>
        <v>SUNNY</v>
      </c>
      <c r="K66" s="297"/>
      <c r="L66" s="299" t="s">
        <v>50</v>
      </c>
      <c r="M66" s="300"/>
      <c r="N66" s="298"/>
      <c r="O66" s="296" t="str">
        <f>O34</f>
        <v>JOHN</v>
      </c>
      <c r="P66" s="296"/>
      <c r="Q66" s="297"/>
      <c r="R66" s="299" t="s">
        <v>51</v>
      </c>
      <c r="S66" s="298"/>
      <c r="T66" s="301">
        <f>T34</f>
        <v>7</v>
      </c>
      <c r="U66" s="301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05" t="s">
        <v>8</v>
      </c>
      <c r="P68" s="305"/>
      <c r="Q68" s="305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2"/>
      <c r="P69" s="313"/>
      <c r="Q69" s="314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09"/>
      <c r="P70" s="310"/>
      <c r="Q70" s="311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2"/>
      <c r="P71" s="313"/>
      <c r="Q71" s="314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5"/>
      <c r="P72" s="316"/>
      <c r="Q72" s="317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5"/>
      <c r="P73" s="316"/>
      <c r="Q73" s="317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2"/>
      <c r="P74" s="303"/>
      <c r="Q74" s="304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2"/>
      <c r="P75" s="313"/>
      <c r="Q75" s="314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2"/>
      <c r="P76" s="313"/>
      <c r="Q76" s="314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2"/>
      <c r="P77" s="313"/>
      <c r="Q77" s="314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2"/>
      <c r="P78" s="313"/>
      <c r="Q78" s="314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2"/>
      <c r="P79" s="313"/>
      <c r="Q79" s="314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2"/>
      <c r="P80" s="313"/>
      <c r="Q80" s="314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2"/>
      <c r="P81" s="313"/>
      <c r="Q81" s="314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2"/>
      <c r="P82" s="313"/>
      <c r="Q82" s="314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2"/>
      <c r="P83" s="313"/>
      <c r="Q83" s="313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2"/>
      <c r="P84" s="313"/>
      <c r="Q84" s="313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3"/>
      <c r="P85" s="312"/>
      <c r="Q85" s="312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3"/>
      <c r="P86" s="312"/>
      <c r="Q86" s="312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3"/>
      <c r="P87" s="312"/>
      <c r="Q87" s="312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3"/>
      <c r="P88" s="313"/>
      <c r="Q88" s="313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2"/>
      <c r="P89" s="313"/>
      <c r="Q89" s="313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3"/>
      <c r="P90" s="313"/>
      <c r="Q90" s="313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3"/>
      <c r="P91" s="313"/>
      <c r="Q91" s="313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2"/>
      <c r="P92" s="313"/>
      <c r="Q92" s="314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4"/>
      <c r="P93" s="355"/>
      <c r="Q93" s="356"/>
      <c r="R93" s="81"/>
      <c r="S93" s="68"/>
      <c r="T93" s="68"/>
      <c r="U93" s="77"/>
    </row>
    <row r="94" spans="1:21" x14ac:dyDescent="0.3">
      <c r="A94" s="357" t="s">
        <v>48</v>
      </c>
      <c r="B94" s="358"/>
      <c r="C94" s="358"/>
      <c r="D94" s="358"/>
      <c r="E94" s="382"/>
      <c r="F94" s="358"/>
      <c r="G94" s="358"/>
      <c r="H94" s="358">
        <f t="shared" ref="H94:M94" si="12">SUM(H69:H93)</f>
        <v>0</v>
      </c>
      <c r="I94" s="363">
        <f t="shared" si="12"/>
        <v>0</v>
      </c>
      <c r="J94" s="363">
        <f>J93+J92+J91+J90+J89+J88+J87+J86+J85+J84+J83+J82+J81+J80+J79+J78+J77+J76+J75+J74+J73+J72+J71+J70+J69</f>
        <v>0</v>
      </c>
      <c r="K94" s="363">
        <f>K93+K92+K91+K90+K89+K88+K87+K86+K85+K84+K83+K82+K81+K80+K79+K78+K77+K76+K75+K74+K73+K72+K71+K70+K69</f>
        <v>0</v>
      </c>
      <c r="L94" s="366">
        <f t="shared" si="12"/>
        <v>0</v>
      </c>
      <c r="M94" s="369">
        <f t="shared" si="12"/>
        <v>0</v>
      </c>
      <c r="N94" s="372"/>
      <c r="O94" s="373"/>
      <c r="P94" s="373"/>
      <c r="Q94" s="374"/>
      <c r="R94" s="5"/>
      <c r="S94" s="6"/>
      <c r="T94" s="7"/>
      <c r="U94" s="8"/>
    </row>
    <row r="95" spans="1:21" ht="17.25" thickBot="1" x14ac:dyDescent="0.35">
      <c r="A95" s="359"/>
      <c r="B95" s="360"/>
      <c r="C95" s="360"/>
      <c r="D95" s="360"/>
      <c r="E95" s="360"/>
      <c r="F95" s="360"/>
      <c r="G95" s="360"/>
      <c r="H95" s="360"/>
      <c r="I95" s="364"/>
      <c r="J95" s="364"/>
      <c r="K95" s="364"/>
      <c r="L95" s="367"/>
      <c r="M95" s="370"/>
      <c r="N95" s="375"/>
      <c r="O95" s="376"/>
      <c r="P95" s="376"/>
      <c r="Q95" s="377"/>
      <c r="R95" s="1"/>
      <c r="S95" s="2"/>
      <c r="T95" s="3"/>
      <c r="U95" s="4"/>
    </row>
    <row r="96" spans="1:21" ht="17.25" thickBot="1" x14ac:dyDescent="0.35">
      <c r="A96" s="361"/>
      <c r="B96" s="362"/>
      <c r="C96" s="362"/>
      <c r="D96" s="362"/>
      <c r="E96" s="362"/>
      <c r="F96" s="362"/>
      <c r="G96" s="362"/>
      <c r="H96" s="362"/>
      <c r="I96" s="365"/>
      <c r="J96" s="365"/>
      <c r="K96" s="365"/>
      <c r="L96" s="368"/>
      <c r="M96" s="371"/>
      <c r="N96" s="334"/>
      <c r="O96" s="335"/>
      <c r="P96" s="335"/>
      <c r="Q96" s="378"/>
      <c r="R96" s="379" t="s">
        <v>52</v>
      </c>
      <c r="S96" s="380"/>
      <c r="T96" s="380"/>
      <c r="U96" s="381"/>
    </row>
  </sheetData>
  <mergeCells count="132"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O23:Q23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</mergeCells>
  <phoneticPr fontId="3" type="noConversion"/>
  <dataValidations count="1">
    <dataValidation type="list" allowBlank="1" showInputMessage="1" showErrorMessage="1" sqref="X7 W5 E69:E93 E37:E61 E5:E29" xr:uid="{6FE8855B-C09F-4E3D-BF4A-9200362931E1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opLeftCell="A18" workbookViewId="0">
      <selection activeCell="H23" sqref="H23:K23"/>
    </sheetView>
  </sheetViews>
  <sheetFormatPr defaultColWidth="9" defaultRowHeight="16.5" x14ac:dyDescent="0.3"/>
  <cols>
    <col min="1" max="477" width="2.625" style="35" customWidth="1"/>
    <col min="478" max="16384" width="9" style="35"/>
  </cols>
  <sheetData>
    <row r="1" spans="1:30" ht="32.25" customHeight="1" x14ac:dyDescent="0.3">
      <c r="A1" s="538"/>
      <c r="B1" s="538"/>
      <c r="C1" s="538"/>
      <c r="D1" s="538"/>
      <c r="E1" s="536" t="s">
        <v>59</v>
      </c>
      <c r="F1" s="536"/>
      <c r="G1" s="536"/>
      <c r="H1" s="536" t="s">
        <v>60</v>
      </c>
      <c r="I1" s="536"/>
      <c r="J1" s="536"/>
      <c r="K1" s="536"/>
      <c r="L1" s="536" t="s">
        <v>61</v>
      </c>
      <c r="M1" s="536"/>
      <c r="N1" s="536"/>
      <c r="O1" s="536"/>
      <c r="P1" s="536"/>
      <c r="Q1" s="536" t="s">
        <v>62</v>
      </c>
      <c r="R1" s="536"/>
      <c r="S1" s="536"/>
      <c r="T1" s="536"/>
      <c r="U1" s="536"/>
      <c r="V1" s="536" t="s">
        <v>63</v>
      </c>
      <c r="W1" s="536"/>
      <c r="X1" s="536"/>
      <c r="Y1" s="536"/>
      <c r="Z1" s="536"/>
      <c r="AA1" s="536" t="s">
        <v>64</v>
      </c>
      <c r="AB1" s="536"/>
      <c r="AC1" s="536"/>
      <c r="AD1" s="536"/>
    </row>
    <row r="2" spans="1:30" ht="20.100000000000001" customHeight="1" x14ac:dyDescent="0.3">
      <c r="A2" s="455" t="s">
        <v>66</v>
      </c>
      <c r="B2" s="478" t="s">
        <v>57</v>
      </c>
      <c r="C2" s="478"/>
      <c r="D2" s="537"/>
      <c r="E2" s="537">
        <f>MON!N31</f>
        <v>8</v>
      </c>
      <c r="F2" s="537"/>
      <c r="G2" s="537"/>
      <c r="H2" s="539">
        <f>MON!S31</f>
        <v>1045</v>
      </c>
      <c r="I2" s="539"/>
      <c r="J2" s="539"/>
      <c r="K2" s="539"/>
      <c r="L2" s="540">
        <f>MON!N32</f>
        <v>0.75204202799467457</v>
      </c>
      <c r="M2" s="540"/>
      <c r="N2" s="540"/>
      <c r="O2" s="540"/>
      <c r="P2" s="540"/>
      <c r="Q2" s="608">
        <f>SUM(E2:G5)</f>
        <v>13</v>
      </c>
      <c r="R2" s="609"/>
      <c r="S2" s="609"/>
      <c r="T2" s="609"/>
      <c r="U2" s="610"/>
      <c r="V2" s="550">
        <f>SUM(H2,H3,H5)</f>
        <v>1327.05</v>
      </c>
      <c r="W2" s="551"/>
      <c r="X2" s="551"/>
      <c r="Y2" s="551"/>
      <c r="Z2" s="552"/>
      <c r="AA2" s="559">
        <f>V2/Q2</f>
        <v>102.08076923076922</v>
      </c>
      <c r="AB2" s="560"/>
      <c r="AC2" s="560"/>
      <c r="AD2" s="561"/>
    </row>
    <row r="3" spans="1:30" ht="20.100000000000001" customHeight="1" x14ac:dyDescent="0.3">
      <c r="A3" s="456"/>
      <c r="B3" s="478" t="s">
        <v>58</v>
      </c>
      <c r="C3" s="478"/>
      <c r="D3" s="537"/>
      <c r="E3" s="537">
        <f>MON!O31</f>
        <v>4</v>
      </c>
      <c r="F3" s="537"/>
      <c r="G3" s="537"/>
      <c r="H3" s="539">
        <f>MON!S32</f>
        <v>282.05</v>
      </c>
      <c r="I3" s="539"/>
      <c r="J3" s="539"/>
      <c r="K3" s="539"/>
      <c r="L3" s="540">
        <f>MON!O32</f>
        <v>0.20297938181425643</v>
      </c>
      <c r="M3" s="540"/>
      <c r="N3" s="540"/>
      <c r="O3" s="540"/>
      <c r="P3" s="540"/>
      <c r="Q3" s="611"/>
      <c r="R3" s="612"/>
      <c r="S3" s="612"/>
      <c r="T3" s="612"/>
      <c r="U3" s="613"/>
      <c r="V3" s="553"/>
      <c r="W3" s="554"/>
      <c r="X3" s="554"/>
      <c r="Y3" s="554"/>
      <c r="Z3" s="555"/>
      <c r="AA3" s="562"/>
      <c r="AB3" s="563"/>
      <c r="AC3" s="563"/>
      <c r="AD3" s="564"/>
    </row>
    <row r="4" spans="1:30" ht="20.100000000000001" customHeight="1" x14ac:dyDescent="0.3">
      <c r="A4" s="456"/>
      <c r="B4" s="478" t="s">
        <v>45</v>
      </c>
      <c r="C4" s="478"/>
      <c r="D4" s="537"/>
      <c r="E4" s="537">
        <f>MON!P31</f>
        <v>1</v>
      </c>
      <c r="F4" s="537"/>
      <c r="G4" s="537"/>
      <c r="H4" s="539">
        <f>MON!K31</f>
        <v>62.5</v>
      </c>
      <c r="I4" s="539"/>
      <c r="J4" s="539"/>
      <c r="K4" s="539"/>
      <c r="L4" s="540">
        <f>MON!P32</f>
        <v>4.4978590191069055E-2</v>
      </c>
      <c r="M4" s="540"/>
      <c r="N4" s="540"/>
      <c r="O4" s="540"/>
      <c r="P4" s="540"/>
      <c r="Q4" s="611"/>
      <c r="R4" s="612"/>
      <c r="S4" s="612"/>
      <c r="T4" s="612"/>
      <c r="U4" s="613"/>
      <c r="V4" s="553"/>
      <c r="W4" s="554"/>
      <c r="X4" s="554"/>
      <c r="Y4" s="554"/>
      <c r="Z4" s="555"/>
      <c r="AA4" s="562"/>
      <c r="AB4" s="563"/>
      <c r="AC4" s="563"/>
      <c r="AD4" s="564"/>
    </row>
    <row r="5" spans="1:30" ht="20.100000000000001" customHeight="1" x14ac:dyDescent="0.3">
      <c r="A5" s="456"/>
      <c r="B5" s="476" t="s">
        <v>65</v>
      </c>
      <c r="C5" s="477"/>
      <c r="D5" s="478"/>
      <c r="E5" s="476">
        <f>MON!Q31</f>
        <v>0</v>
      </c>
      <c r="F5" s="477"/>
      <c r="G5" s="478"/>
      <c r="H5" s="596">
        <f>MON!J31</f>
        <v>0</v>
      </c>
      <c r="I5" s="597"/>
      <c r="J5" s="597"/>
      <c r="K5" s="598"/>
      <c r="L5" s="599">
        <f>MON!Q32</f>
        <v>0</v>
      </c>
      <c r="M5" s="600"/>
      <c r="N5" s="600"/>
      <c r="O5" s="600"/>
      <c r="P5" s="601"/>
      <c r="Q5" s="614"/>
      <c r="R5" s="615"/>
      <c r="S5" s="615"/>
      <c r="T5" s="615"/>
      <c r="U5" s="616"/>
      <c r="V5" s="556"/>
      <c r="W5" s="557"/>
      <c r="X5" s="557"/>
      <c r="Y5" s="557"/>
      <c r="Z5" s="558"/>
      <c r="AA5" s="565"/>
      <c r="AB5" s="566"/>
      <c r="AC5" s="566"/>
      <c r="AD5" s="567"/>
    </row>
    <row r="6" spans="1:30" ht="20.100000000000001" customHeight="1" x14ac:dyDescent="0.3">
      <c r="A6" s="457"/>
      <c r="B6" s="476" t="s">
        <v>94</v>
      </c>
      <c r="C6" s="477"/>
      <c r="D6" s="478"/>
      <c r="E6" s="476">
        <f>MON!U16</f>
        <v>46</v>
      </c>
      <c r="F6" s="477"/>
      <c r="G6" s="478"/>
      <c r="H6" s="596" t="s">
        <v>95</v>
      </c>
      <c r="I6" s="597"/>
      <c r="J6" s="597"/>
      <c r="K6" s="598"/>
      <c r="L6" s="656">
        <f>MON!T2</f>
        <v>6</v>
      </c>
      <c r="M6" s="657"/>
      <c r="N6" s="657"/>
      <c r="O6" s="657"/>
      <c r="P6" s="658"/>
      <c r="Q6" s="659"/>
      <c r="R6" s="660"/>
      <c r="S6" s="660"/>
      <c r="T6" s="660"/>
      <c r="U6" s="661"/>
      <c r="V6" s="426"/>
      <c r="W6" s="427"/>
      <c r="X6" s="427"/>
      <c r="Y6" s="427"/>
      <c r="Z6" s="428"/>
      <c r="AA6" s="429"/>
      <c r="AB6" s="430"/>
      <c r="AC6" s="430"/>
      <c r="AD6" s="431"/>
    </row>
    <row r="7" spans="1:30" ht="20.100000000000001" customHeight="1" x14ac:dyDescent="0.3">
      <c r="A7" s="458" t="s">
        <v>67</v>
      </c>
      <c r="B7" s="434" t="s">
        <v>57</v>
      </c>
      <c r="C7" s="434"/>
      <c r="D7" s="450"/>
      <c r="E7" s="450">
        <f>TUE!N31</f>
        <v>4</v>
      </c>
      <c r="F7" s="450"/>
      <c r="G7" s="450"/>
      <c r="H7" s="451">
        <f>TUE!S31</f>
        <v>470</v>
      </c>
      <c r="I7" s="451"/>
      <c r="J7" s="451"/>
      <c r="K7" s="451"/>
      <c r="L7" s="452">
        <f>TUE!N32</f>
        <v>0.33515170963026353</v>
      </c>
      <c r="M7" s="453"/>
      <c r="N7" s="453"/>
      <c r="O7" s="453"/>
      <c r="P7" s="454"/>
      <c r="Q7" s="638">
        <f>SUM(E7:G10)</f>
        <v>15</v>
      </c>
      <c r="R7" s="639"/>
      <c r="S7" s="639"/>
      <c r="T7" s="639"/>
      <c r="U7" s="640"/>
      <c r="V7" s="541">
        <f>SUM(H7,H8,H10)</f>
        <v>1673.2</v>
      </c>
      <c r="W7" s="542"/>
      <c r="X7" s="542"/>
      <c r="Y7" s="542"/>
      <c r="Z7" s="543"/>
      <c r="AA7" s="568">
        <f>V7/Q7</f>
        <v>111.54666666666667</v>
      </c>
      <c r="AB7" s="569"/>
      <c r="AC7" s="569"/>
      <c r="AD7" s="570"/>
    </row>
    <row r="8" spans="1:30" ht="20.100000000000001" customHeight="1" x14ac:dyDescent="0.3">
      <c r="A8" s="459"/>
      <c r="B8" s="434" t="s">
        <v>58</v>
      </c>
      <c r="C8" s="434"/>
      <c r="D8" s="450"/>
      <c r="E8" s="450">
        <f>TUE!O31</f>
        <v>6</v>
      </c>
      <c r="F8" s="450"/>
      <c r="G8" s="450"/>
      <c r="H8" s="451">
        <f>TUE!S32</f>
        <v>1148.2</v>
      </c>
      <c r="I8" s="451"/>
      <c r="J8" s="451"/>
      <c r="K8" s="451"/>
      <c r="L8" s="452">
        <f>TUE!O32</f>
        <v>0.39091524940278821</v>
      </c>
      <c r="M8" s="453"/>
      <c r="N8" s="453"/>
      <c r="O8" s="453"/>
      <c r="P8" s="454"/>
      <c r="Q8" s="641"/>
      <c r="R8" s="642"/>
      <c r="S8" s="642"/>
      <c r="T8" s="642"/>
      <c r="U8" s="643"/>
      <c r="V8" s="544"/>
      <c r="W8" s="545"/>
      <c r="X8" s="545"/>
      <c r="Y8" s="545"/>
      <c r="Z8" s="546"/>
      <c r="AA8" s="571"/>
      <c r="AB8" s="572"/>
      <c r="AC8" s="572"/>
      <c r="AD8" s="573"/>
    </row>
    <row r="9" spans="1:30" ht="20.100000000000001" customHeight="1" x14ac:dyDescent="0.3">
      <c r="A9" s="459"/>
      <c r="B9" s="434" t="s">
        <v>45</v>
      </c>
      <c r="C9" s="434"/>
      <c r="D9" s="450"/>
      <c r="E9" s="450">
        <f>TUE!P31</f>
        <v>4</v>
      </c>
      <c r="F9" s="450"/>
      <c r="G9" s="450"/>
      <c r="H9" s="451">
        <f>TUE!K31</f>
        <v>329.15</v>
      </c>
      <c r="I9" s="451"/>
      <c r="J9" s="451"/>
      <c r="K9" s="451"/>
      <c r="L9" s="452">
        <f>TUE!P32</f>
        <v>0.23471316005276857</v>
      </c>
      <c r="M9" s="453"/>
      <c r="N9" s="453"/>
      <c r="O9" s="453"/>
      <c r="P9" s="454"/>
      <c r="Q9" s="641"/>
      <c r="R9" s="642"/>
      <c r="S9" s="642"/>
      <c r="T9" s="642"/>
      <c r="U9" s="643"/>
      <c r="V9" s="544"/>
      <c r="W9" s="545"/>
      <c r="X9" s="545"/>
      <c r="Y9" s="545"/>
      <c r="Z9" s="546"/>
      <c r="AA9" s="571"/>
      <c r="AB9" s="572"/>
      <c r="AC9" s="572"/>
      <c r="AD9" s="573"/>
    </row>
    <row r="10" spans="1:30" ht="20.100000000000001" customHeight="1" x14ac:dyDescent="0.3">
      <c r="A10" s="459"/>
      <c r="B10" s="432" t="s">
        <v>65</v>
      </c>
      <c r="C10" s="433"/>
      <c r="D10" s="434"/>
      <c r="E10" s="432">
        <f>TUE!Q31</f>
        <v>1</v>
      </c>
      <c r="F10" s="433"/>
      <c r="G10" s="434"/>
      <c r="H10" s="435">
        <f>TUE!J31</f>
        <v>55</v>
      </c>
      <c r="I10" s="436"/>
      <c r="J10" s="436"/>
      <c r="K10" s="437"/>
      <c r="L10" s="452">
        <f>TUE!Q32</f>
        <v>3.9219880914179772E-2</v>
      </c>
      <c r="M10" s="453"/>
      <c r="N10" s="453"/>
      <c r="O10" s="453"/>
      <c r="P10" s="454"/>
      <c r="Q10" s="644"/>
      <c r="R10" s="645"/>
      <c r="S10" s="645"/>
      <c r="T10" s="645"/>
      <c r="U10" s="646"/>
      <c r="V10" s="547"/>
      <c r="W10" s="548"/>
      <c r="X10" s="548"/>
      <c r="Y10" s="548"/>
      <c r="Z10" s="549"/>
      <c r="AA10" s="574"/>
      <c r="AB10" s="575"/>
      <c r="AC10" s="575"/>
      <c r="AD10" s="576"/>
    </row>
    <row r="11" spans="1:30" ht="20.100000000000001" customHeight="1" x14ac:dyDescent="0.3">
      <c r="A11" s="460"/>
      <c r="B11" s="432" t="s">
        <v>94</v>
      </c>
      <c r="C11" s="433"/>
      <c r="D11" s="434"/>
      <c r="E11" s="432">
        <f>TUE!U16</f>
        <v>30.25</v>
      </c>
      <c r="F11" s="433"/>
      <c r="G11" s="434"/>
      <c r="H11" s="435" t="s">
        <v>95</v>
      </c>
      <c r="I11" s="436"/>
      <c r="J11" s="436"/>
      <c r="K11" s="437"/>
      <c r="L11" s="438">
        <f>TUE!T2</f>
        <v>4</v>
      </c>
      <c r="M11" s="439"/>
      <c r="N11" s="439"/>
      <c r="O11" s="439"/>
      <c r="P11" s="440"/>
      <c r="Q11" s="441"/>
      <c r="R11" s="442"/>
      <c r="S11" s="442"/>
      <c r="T11" s="442"/>
      <c r="U11" s="443"/>
      <c r="V11" s="444"/>
      <c r="W11" s="445"/>
      <c r="X11" s="445"/>
      <c r="Y11" s="445"/>
      <c r="Z11" s="446"/>
      <c r="AA11" s="447"/>
      <c r="AB11" s="448"/>
      <c r="AC11" s="448"/>
      <c r="AD11" s="449"/>
    </row>
    <row r="12" spans="1:30" ht="20.100000000000001" customHeight="1" x14ac:dyDescent="0.3">
      <c r="A12" s="461" t="s">
        <v>68</v>
      </c>
      <c r="B12" s="481" t="s">
        <v>57</v>
      </c>
      <c r="C12" s="481"/>
      <c r="D12" s="360"/>
      <c r="E12" s="360">
        <f>WED!N31</f>
        <v>10</v>
      </c>
      <c r="F12" s="360"/>
      <c r="G12" s="360"/>
      <c r="H12" s="602">
        <f>WED!S31</f>
        <v>1100</v>
      </c>
      <c r="I12" s="603"/>
      <c r="J12" s="603"/>
      <c r="K12" s="604"/>
      <c r="L12" s="605">
        <f>WED!N32</f>
        <v>0.56364009018241445</v>
      </c>
      <c r="M12" s="606"/>
      <c r="N12" s="606"/>
      <c r="O12" s="606"/>
      <c r="P12" s="607"/>
      <c r="Q12" s="617">
        <f>SUM(E12:G15)</f>
        <v>14</v>
      </c>
      <c r="R12" s="618"/>
      <c r="S12" s="618"/>
      <c r="T12" s="618"/>
      <c r="U12" s="619"/>
      <c r="V12" s="398">
        <f>SUM(H12,H13,H15)</f>
        <v>1810</v>
      </c>
      <c r="W12" s="399"/>
      <c r="X12" s="399"/>
      <c r="Y12" s="399"/>
      <c r="Z12" s="400"/>
      <c r="AA12" s="389">
        <f>V12/Q12</f>
        <v>129.28571428571428</v>
      </c>
      <c r="AB12" s="390"/>
      <c r="AC12" s="390"/>
      <c r="AD12" s="391"/>
    </row>
    <row r="13" spans="1:30" ht="20.100000000000001" customHeight="1" x14ac:dyDescent="0.3">
      <c r="A13" s="462"/>
      <c r="B13" s="481" t="s">
        <v>58</v>
      </c>
      <c r="C13" s="481"/>
      <c r="D13" s="360"/>
      <c r="E13" s="360">
        <f>WED!O31</f>
        <v>2</v>
      </c>
      <c r="F13" s="360"/>
      <c r="G13" s="360"/>
      <c r="H13" s="602">
        <f>WED!S32</f>
        <v>710</v>
      </c>
      <c r="I13" s="603"/>
      <c r="J13" s="603"/>
      <c r="K13" s="604"/>
      <c r="L13" s="605">
        <f>WED!O32</f>
        <v>0.36380405820864931</v>
      </c>
      <c r="M13" s="606"/>
      <c r="N13" s="606"/>
      <c r="O13" s="606"/>
      <c r="P13" s="607"/>
      <c r="Q13" s="620"/>
      <c r="R13" s="621"/>
      <c r="S13" s="621"/>
      <c r="T13" s="621"/>
      <c r="U13" s="622"/>
      <c r="V13" s="401"/>
      <c r="W13" s="402"/>
      <c r="X13" s="402"/>
      <c r="Y13" s="402"/>
      <c r="Z13" s="403"/>
      <c r="AA13" s="392"/>
      <c r="AB13" s="393"/>
      <c r="AC13" s="393"/>
      <c r="AD13" s="394"/>
    </row>
    <row r="14" spans="1:30" ht="20.100000000000001" customHeight="1" x14ac:dyDescent="0.3">
      <c r="A14" s="462"/>
      <c r="B14" s="481" t="s">
        <v>45</v>
      </c>
      <c r="C14" s="481"/>
      <c r="D14" s="360"/>
      <c r="E14" s="360">
        <f>WED!P31</f>
        <v>2</v>
      </c>
      <c r="F14" s="360"/>
      <c r="G14" s="360"/>
      <c r="H14" s="602">
        <f>WED!K31</f>
        <v>141.6</v>
      </c>
      <c r="I14" s="603"/>
      <c r="J14" s="603"/>
      <c r="K14" s="604"/>
      <c r="L14" s="605">
        <f>WED!P32</f>
        <v>7.2555851608936253E-2</v>
      </c>
      <c r="M14" s="606"/>
      <c r="N14" s="606"/>
      <c r="O14" s="606"/>
      <c r="P14" s="607"/>
      <c r="Q14" s="620"/>
      <c r="R14" s="621"/>
      <c r="S14" s="621"/>
      <c r="T14" s="621"/>
      <c r="U14" s="622"/>
      <c r="V14" s="401"/>
      <c r="W14" s="402"/>
      <c r="X14" s="402"/>
      <c r="Y14" s="402"/>
      <c r="Z14" s="403"/>
      <c r="AA14" s="392"/>
      <c r="AB14" s="393"/>
      <c r="AC14" s="393"/>
      <c r="AD14" s="394"/>
    </row>
    <row r="15" spans="1:30" ht="20.100000000000001" customHeight="1" x14ac:dyDescent="0.3">
      <c r="A15" s="462"/>
      <c r="B15" s="479" t="s">
        <v>65</v>
      </c>
      <c r="C15" s="480"/>
      <c r="D15" s="481"/>
      <c r="E15" s="479">
        <f>WED!Q31</f>
        <v>0</v>
      </c>
      <c r="F15" s="480"/>
      <c r="G15" s="481"/>
      <c r="H15" s="602">
        <f>WED!J31</f>
        <v>0</v>
      </c>
      <c r="I15" s="603"/>
      <c r="J15" s="603"/>
      <c r="K15" s="604"/>
      <c r="L15" s="605">
        <f>WED!Q32</f>
        <v>0</v>
      </c>
      <c r="M15" s="606"/>
      <c r="N15" s="606"/>
      <c r="O15" s="606"/>
      <c r="P15" s="607"/>
      <c r="Q15" s="623"/>
      <c r="R15" s="624"/>
      <c r="S15" s="624"/>
      <c r="T15" s="624"/>
      <c r="U15" s="625"/>
      <c r="V15" s="404"/>
      <c r="W15" s="405"/>
      <c r="X15" s="405"/>
      <c r="Y15" s="405"/>
      <c r="Z15" s="406"/>
      <c r="AA15" s="395"/>
      <c r="AB15" s="396"/>
      <c r="AC15" s="396"/>
      <c r="AD15" s="397"/>
    </row>
    <row r="16" spans="1:30" ht="20.100000000000001" customHeight="1" x14ac:dyDescent="0.3">
      <c r="A16" s="463"/>
      <c r="B16" s="479" t="s">
        <v>94</v>
      </c>
      <c r="C16" s="480"/>
      <c r="D16" s="481"/>
      <c r="E16" s="479">
        <f>WED!U16</f>
        <v>45.75</v>
      </c>
      <c r="F16" s="480"/>
      <c r="G16" s="481"/>
      <c r="H16" s="602" t="s">
        <v>95</v>
      </c>
      <c r="I16" s="603"/>
      <c r="J16" s="603"/>
      <c r="K16" s="604"/>
      <c r="L16" s="662">
        <f>WED!T2</f>
        <v>6</v>
      </c>
      <c r="M16" s="663"/>
      <c r="N16" s="663"/>
      <c r="O16" s="663"/>
      <c r="P16" s="664"/>
      <c r="Q16" s="234"/>
      <c r="R16" s="235"/>
      <c r="S16" s="235"/>
      <c r="T16" s="235"/>
      <c r="U16" s="236"/>
      <c r="V16" s="225"/>
      <c r="W16" s="226"/>
      <c r="X16" s="226"/>
      <c r="Y16" s="226"/>
      <c r="Z16" s="227"/>
      <c r="AA16" s="222"/>
      <c r="AB16" s="223"/>
      <c r="AC16" s="223"/>
      <c r="AD16" s="224"/>
    </row>
    <row r="17" spans="1:30" ht="20.100000000000001" customHeight="1" x14ac:dyDescent="0.3">
      <c r="A17" s="464" t="s">
        <v>69</v>
      </c>
      <c r="B17" s="484" t="s">
        <v>57</v>
      </c>
      <c r="C17" s="484"/>
      <c r="D17" s="411"/>
      <c r="E17" s="411">
        <f>THU!N31</f>
        <v>3</v>
      </c>
      <c r="F17" s="411"/>
      <c r="G17" s="411"/>
      <c r="H17" s="410">
        <f>THU!S31</f>
        <v>775</v>
      </c>
      <c r="I17" s="410"/>
      <c r="J17" s="410"/>
      <c r="K17" s="410"/>
      <c r="L17" s="420">
        <f>THU!N32</f>
        <v>0.48027763145663555</v>
      </c>
      <c r="M17" s="420"/>
      <c r="N17" s="420"/>
      <c r="O17" s="420"/>
      <c r="P17" s="420"/>
      <c r="Q17" s="647">
        <f>SUM(E17:G20)</f>
        <v>11</v>
      </c>
      <c r="R17" s="648"/>
      <c r="S17" s="648"/>
      <c r="T17" s="648"/>
      <c r="U17" s="649"/>
      <c r="V17" s="587">
        <f>SUM(H17,H18,H20)</f>
        <v>1613.65</v>
      </c>
      <c r="W17" s="588"/>
      <c r="X17" s="588"/>
      <c r="Y17" s="588"/>
      <c r="Z17" s="589"/>
      <c r="AA17" s="578">
        <f>V17/Q17</f>
        <v>146.69545454545457</v>
      </c>
      <c r="AB17" s="579"/>
      <c r="AC17" s="579"/>
      <c r="AD17" s="580"/>
    </row>
    <row r="18" spans="1:30" ht="20.100000000000001" customHeight="1" x14ac:dyDescent="0.3">
      <c r="A18" s="465"/>
      <c r="B18" s="484" t="s">
        <v>58</v>
      </c>
      <c r="C18" s="484"/>
      <c r="D18" s="411"/>
      <c r="E18" s="411">
        <f>THU!O31</f>
        <v>8</v>
      </c>
      <c r="F18" s="411"/>
      <c r="G18" s="411"/>
      <c r="H18" s="410">
        <f>THU!S32</f>
        <v>838.65</v>
      </c>
      <c r="I18" s="410"/>
      <c r="J18" s="410"/>
      <c r="K18" s="410"/>
      <c r="L18" s="420">
        <f>THU!O32</f>
        <v>0.5197223685433644</v>
      </c>
      <c r="M18" s="420"/>
      <c r="N18" s="420"/>
      <c r="O18" s="420"/>
      <c r="P18" s="420"/>
      <c r="Q18" s="650"/>
      <c r="R18" s="651"/>
      <c r="S18" s="651"/>
      <c r="T18" s="651"/>
      <c r="U18" s="652"/>
      <c r="V18" s="590"/>
      <c r="W18" s="591"/>
      <c r="X18" s="591"/>
      <c r="Y18" s="591"/>
      <c r="Z18" s="592"/>
      <c r="AA18" s="581"/>
      <c r="AB18" s="582"/>
      <c r="AC18" s="582"/>
      <c r="AD18" s="583"/>
    </row>
    <row r="19" spans="1:30" ht="20.100000000000001" customHeight="1" x14ac:dyDescent="0.3">
      <c r="A19" s="465"/>
      <c r="B19" s="484" t="s">
        <v>45</v>
      </c>
      <c r="C19" s="484"/>
      <c r="D19" s="411"/>
      <c r="E19" s="411">
        <f>THU!P31</f>
        <v>0</v>
      </c>
      <c r="F19" s="411"/>
      <c r="G19" s="411"/>
      <c r="H19" s="410">
        <f>THU!K31</f>
        <v>0</v>
      </c>
      <c r="I19" s="410"/>
      <c r="J19" s="410"/>
      <c r="K19" s="410"/>
      <c r="L19" s="420">
        <f>THU!P32</f>
        <v>0</v>
      </c>
      <c r="M19" s="420"/>
      <c r="N19" s="420"/>
      <c r="O19" s="420"/>
      <c r="P19" s="420"/>
      <c r="Q19" s="650"/>
      <c r="R19" s="651"/>
      <c r="S19" s="651"/>
      <c r="T19" s="651"/>
      <c r="U19" s="652"/>
      <c r="V19" s="590"/>
      <c r="W19" s="591"/>
      <c r="X19" s="591"/>
      <c r="Y19" s="591"/>
      <c r="Z19" s="592"/>
      <c r="AA19" s="581"/>
      <c r="AB19" s="582"/>
      <c r="AC19" s="582"/>
      <c r="AD19" s="583"/>
    </row>
    <row r="20" spans="1:30" ht="20.100000000000001" customHeight="1" x14ac:dyDescent="0.3">
      <c r="A20" s="465"/>
      <c r="B20" s="482" t="s">
        <v>65</v>
      </c>
      <c r="C20" s="483"/>
      <c r="D20" s="484"/>
      <c r="E20" s="482">
        <f>THU!Q31</f>
        <v>0</v>
      </c>
      <c r="F20" s="483"/>
      <c r="G20" s="484"/>
      <c r="H20" s="665">
        <f>THU!J31</f>
        <v>0</v>
      </c>
      <c r="I20" s="666"/>
      <c r="J20" s="666"/>
      <c r="K20" s="667"/>
      <c r="L20" s="677">
        <f>THU!Q32</f>
        <v>0</v>
      </c>
      <c r="M20" s="678"/>
      <c r="N20" s="678"/>
      <c r="O20" s="678"/>
      <c r="P20" s="679"/>
      <c r="Q20" s="653"/>
      <c r="R20" s="654"/>
      <c r="S20" s="654"/>
      <c r="T20" s="654"/>
      <c r="U20" s="655"/>
      <c r="V20" s="593"/>
      <c r="W20" s="594"/>
      <c r="X20" s="594"/>
      <c r="Y20" s="594"/>
      <c r="Z20" s="595"/>
      <c r="AA20" s="584"/>
      <c r="AB20" s="585"/>
      <c r="AC20" s="585"/>
      <c r="AD20" s="586"/>
    </row>
    <row r="21" spans="1:30" ht="20.100000000000001" customHeight="1" x14ac:dyDescent="0.3">
      <c r="A21" s="466"/>
      <c r="B21" s="482" t="s">
        <v>94</v>
      </c>
      <c r="C21" s="483"/>
      <c r="D21" s="484"/>
      <c r="E21" s="482">
        <f>THU!U16</f>
        <v>38.5</v>
      </c>
      <c r="F21" s="483"/>
      <c r="G21" s="484"/>
      <c r="H21" s="665" t="s">
        <v>95</v>
      </c>
      <c r="I21" s="666"/>
      <c r="J21" s="666"/>
      <c r="K21" s="667"/>
      <c r="L21" s="684">
        <f>THU!T2</f>
        <v>4</v>
      </c>
      <c r="M21" s="685"/>
      <c r="N21" s="685"/>
      <c r="O21" s="685"/>
      <c r="P21" s="686"/>
      <c r="Q21" s="240"/>
      <c r="R21" s="241"/>
      <c r="S21" s="241"/>
      <c r="T21" s="241"/>
      <c r="U21" s="242"/>
      <c r="V21" s="231"/>
      <c r="W21" s="232"/>
      <c r="X21" s="232"/>
      <c r="Y21" s="232"/>
      <c r="Z21" s="233"/>
      <c r="AA21" s="228"/>
      <c r="AB21" s="229"/>
      <c r="AC21" s="229"/>
      <c r="AD21" s="230"/>
    </row>
    <row r="22" spans="1:30" ht="20.100000000000001" customHeight="1" x14ac:dyDescent="0.3">
      <c r="A22" s="467" t="s">
        <v>93</v>
      </c>
      <c r="B22" s="487" t="s">
        <v>57</v>
      </c>
      <c r="C22" s="487"/>
      <c r="D22" s="492"/>
      <c r="E22" s="492">
        <f>FRI!N31</f>
        <v>9</v>
      </c>
      <c r="F22" s="492"/>
      <c r="G22" s="492"/>
      <c r="H22" s="415">
        <f>FRI!S31</f>
        <v>1315</v>
      </c>
      <c r="I22" s="415"/>
      <c r="J22" s="415"/>
      <c r="K22" s="415"/>
      <c r="L22" s="416">
        <f>FRI!N32</f>
        <v>0.55878503560926684</v>
      </c>
      <c r="M22" s="416"/>
      <c r="N22" s="416"/>
      <c r="O22" s="416"/>
      <c r="P22" s="416"/>
      <c r="Q22" s="723">
        <f>SUM(E22:G25)</f>
        <v>19</v>
      </c>
      <c r="R22" s="724"/>
      <c r="S22" s="724"/>
      <c r="T22" s="724"/>
      <c r="U22" s="725"/>
      <c r="V22" s="668">
        <f>SUM(H22,H23,H25)</f>
        <v>2195</v>
      </c>
      <c r="W22" s="669"/>
      <c r="X22" s="669"/>
      <c r="Y22" s="669"/>
      <c r="Z22" s="670"/>
      <c r="AA22" s="690">
        <f>V22/Q22</f>
        <v>115.52631578947368</v>
      </c>
      <c r="AB22" s="691"/>
      <c r="AC22" s="691"/>
      <c r="AD22" s="692"/>
    </row>
    <row r="23" spans="1:30" ht="20.100000000000001" customHeight="1" x14ac:dyDescent="0.3">
      <c r="A23" s="468"/>
      <c r="B23" s="487" t="s">
        <v>58</v>
      </c>
      <c r="C23" s="487"/>
      <c r="D23" s="492"/>
      <c r="E23" s="492">
        <f>FRI!O31</f>
        <v>8</v>
      </c>
      <c r="F23" s="492"/>
      <c r="G23" s="492"/>
      <c r="H23" s="415">
        <f>FRI!S32</f>
        <v>825</v>
      </c>
      <c r="I23" s="415"/>
      <c r="J23" s="415"/>
      <c r="K23" s="415"/>
      <c r="L23" s="416">
        <f>FRI!O32</f>
        <v>0.35056855846208756</v>
      </c>
      <c r="M23" s="416"/>
      <c r="N23" s="416"/>
      <c r="O23" s="416"/>
      <c r="P23" s="416"/>
      <c r="Q23" s="726"/>
      <c r="R23" s="727"/>
      <c r="S23" s="727"/>
      <c r="T23" s="727"/>
      <c r="U23" s="728"/>
      <c r="V23" s="671"/>
      <c r="W23" s="672"/>
      <c r="X23" s="672"/>
      <c r="Y23" s="672"/>
      <c r="Z23" s="673"/>
      <c r="AA23" s="693"/>
      <c r="AB23" s="694"/>
      <c r="AC23" s="694"/>
      <c r="AD23" s="695"/>
    </row>
    <row r="24" spans="1:30" ht="20.100000000000001" customHeight="1" x14ac:dyDescent="0.3">
      <c r="A24" s="468"/>
      <c r="B24" s="487" t="s">
        <v>45</v>
      </c>
      <c r="C24" s="487"/>
      <c r="D24" s="492"/>
      <c r="E24" s="492">
        <f>FRI!P31</f>
        <v>1</v>
      </c>
      <c r="F24" s="492"/>
      <c r="G24" s="492"/>
      <c r="H24" s="415">
        <f>FRI!K31</f>
        <v>158.32</v>
      </c>
      <c r="I24" s="415"/>
      <c r="J24" s="415"/>
      <c r="K24" s="415"/>
      <c r="L24" s="416">
        <f>FRI!P32</f>
        <v>6.7275168697839643E-2</v>
      </c>
      <c r="M24" s="416"/>
      <c r="N24" s="416"/>
      <c r="O24" s="416"/>
      <c r="P24" s="416"/>
      <c r="Q24" s="726"/>
      <c r="R24" s="727"/>
      <c r="S24" s="727"/>
      <c r="T24" s="727"/>
      <c r="U24" s="728"/>
      <c r="V24" s="671"/>
      <c r="W24" s="672"/>
      <c r="X24" s="672"/>
      <c r="Y24" s="672"/>
      <c r="Z24" s="673"/>
      <c r="AA24" s="693"/>
      <c r="AB24" s="694"/>
      <c r="AC24" s="694"/>
      <c r="AD24" s="695"/>
    </row>
    <row r="25" spans="1:30" ht="20.100000000000001" customHeight="1" x14ac:dyDescent="0.3">
      <c r="A25" s="468"/>
      <c r="B25" s="485" t="s">
        <v>65</v>
      </c>
      <c r="C25" s="486"/>
      <c r="D25" s="487"/>
      <c r="E25" s="485">
        <f>FRI!Q31</f>
        <v>1</v>
      </c>
      <c r="F25" s="486"/>
      <c r="G25" s="487"/>
      <c r="H25" s="717">
        <f>FRI!J31</f>
        <v>55</v>
      </c>
      <c r="I25" s="718"/>
      <c r="J25" s="718"/>
      <c r="K25" s="719"/>
      <c r="L25" s="720">
        <f>FRI!Q32</f>
        <v>2.3371237230805839E-2</v>
      </c>
      <c r="M25" s="721"/>
      <c r="N25" s="721"/>
      <c r="O25" s="721"/>
      <c r="P25" s="722"/>
      <c r="Q25" s="729"/>
      <c r="R25" s="730"/>
      <c r="S25" s="730"/>
      <c r="T25" s="730"/>
      <c r="U25" s="731"/>
      <c r="V25" s="674"/>
      <c r="W25" s="675"/>
      <c r="X25" s="675"/>
      <c r="Y25" s="675"/>
      <c r="Z25" s="676"/>
      <c r="AA25" s="696"/>
      <c r="AB25" s="697"/>
      <c r="AC25" s="697"/>
      <c r="AD25" s="698"/>
    </row>
    <row r="26" spans="1:30" ht="20.100000000000001" customHeight="1" x14ac:dyDescent="0.3">
      <c r="A26" s="469"/>
      <c r="B26" s="485" t="s">
        <v>94</v>
      </c>
      <c r="C26" s="486"/>
      <c r="D26" s="487"/>
      <c r="E26" s="485">
        <f>FRI!U16</f>
        <v>49.75</v>
      </c>
      <c r="F26" s="486"/>
      <c r="G26" s="487"/>
      <c r="H26" s="717" t="s">
        <v>95</v>
      </c>
      <c r="I26" s="718"/>
      <c r="J26" s="718"/>
      <c r="K26" s="719"/>
      <c r="L26" s="687">
        <f>FRI!T2</f>
        <v>6</v>
      </c>
      <c r="M26" s="688"/>
      <c r="N26" s="688"/>
      <c r="O26" s="688"/>
      <c r="P26" s="689"/>
      <c r="Q26" s="243"/>
      <c r="R26" s="244"/>
      <c r="S26" s="244"/>
      <c r="T26" s="244"/>
      <c r="U26" s="245"/>
      <c r="V26" s="246"/>
      <c r="W26" s="247"/>
      <c r="X26" s="247"/>
      <c r="Y26" s="247"/>
      <c r="Z26" s="248"/>
      <c r="AA26" s="249"/>
      <c r="AB26" s="250"/>
      <c r="AC26" s="250"/>
      <c r="AD26" s="251"/>
    </row>
    <row r="27" spans="1:30" ht="20.100000000000001" customHeight="1" x14ac:dyDescent="0.3">
      <c r="A27" s="470" t="s">
        <v>70</v>
      </c>
      <c r="B27" s="425" t="s">
        <v>57</v>
      </c>
      <c r="C27" s="425"/>
      <c r="D27" s="422"/>
      <c r="E27" s="422">
        <f>SAT!N31</f>
        <v>16</v>
      </c>
      <c r="F27" s="422"/>
      <c r="G27" s="422"/>
      <c r="H27" s="577">
        <f>SAT!S31</f>
        <v>1890</v>
      </c>
      <c r="I27" s="577"/>
      <c r="J27" s="577"/>
      <c r="K27" s="577"/>
      <c r="L27" s="421">
        <f>SAT!N32</f>
        <v>0.48582371539469965</v>
      </c>
      <c r="M27" s="421"/>
      <c r="N27" s="421"/>
      <c r="O27" s="421"/>
      <c r="P27" s="421"/>
      <c r="Q27" s="626">
        <f>SUM(E27:G30)</f>
        <v>32</v>
      </c>
      <c r="R27" s="627"/>
      <c r="S27" s="627"/>
      <c r="T27" s="627"/>
      <c r="U27" s="628"/>
      <c r="V27" s="708">
        <f>SUM(H27,H28,H30)</f>
        <v>4761.95</v>
      </c>
      <c r="W27" s="709"/>
      <c r="X27" s="709"/>
      <c r="Y27" s="709"/>
      <c r="Z27" s="710"/>
      <c r="AA27" s="699">
        <f>V27/Q27</f>
        <v>148.81093749999999</v>
      </c>
      <c r="AB27" s="700"/>
      <c r="AC27" s="700"/>
      <c r="AD27" s="701"/>
    </row>
    <row r="28" spans="1:30" ht="20.100000000000001" customHeight="1" x14ac:dyDescent="0.3">
      <c r="A28" s="471"/>
      <c r="B28" s="425" t="s">
        <v>58</v>
      </c>
      <c r="C28" s="425"/>
      <c r="D28" s="422"/>
      <c r="E28" s="422">
        <f>SAT!O31</f>
        <v>9</v>
      </c>
      <c r="F28" s="422"/>
      <c r="G28" s="422"/>
      <c r="H28" s="577">
        <f>SAT!S32</f>
        <v>2816.95</v>
      </c>
      <c r="I28" s="577"/>
      <c r="J28" s="577"/>
      <c r="K28" s="577"/>
      <c r="L28" s="421">
        <f>SAT!O32</f>
        <v>0.40798910109760178</v>
      </c>
      <c r="M28" s="421"/>
      <c r="N28" s="421"/>
      <c r="O28" s="421"/>
      <c r="P28" s="421"/>
      <c r="Q28" s="629"/>
      <c r="R28" s="630"/>
      <c r="S28" s="630"/>
      <c r="T28" s="630"/>
      <c r="U28" s="631"/>
      <c r="V28" s="711"/>
      <c r="W28" s="712"/>
      <c r="X28" s="712"/>
      <c r="Y28" s="712"/>
      <c r="Z28" s="713"/>
      <c r="AA28" s="702"/>
      <c r="AB28" s="703"/>
      <c r="AC28" s="703"/>
      <c r="AD28" s="704"/>
    </row>
    <row r="29" spans="1:30" ht="20.100000000000001" customHeight="1" x14ac:dyDescent="0.3">
      <c r="A29" s="471"/>
      <c r="B29" s="425" t="s">
        <v>45</v>
      </c>
      <c r="C29" s="425"/>
      <c r="D29" s="422"/>
      <c r="E29" s="422">
        <f>SAT!P31</f>
        <v>6</v>
      </c>
      <c r="F29" s="422"/>
      <c r="G29" s="422"/>
      <c r="H29" s="577">
        <f>SAT!K31</f>
        <v>358.09999999999997</v>
      </c>
      <c r="I29" s="577"/>
      <c r="J29" s="577"/>
      <c r="K29" s="577"/>
      <c r="L29" s="421">
        <f>SAT!P32</f>
        <v>9.2049456340128011E-2</v>
      </c>
      <c r="M29" s="421"/>
      <c r="N29" s="421"/>
      <c r="O29" s="421"/>
      <c r="P29" s="421"/>
      <c r="Q29" s="629"/>
      <c r="R29" s="630"/>
      <c r="S29" s="630"/>
      <c r="T29" s="630"/>
      <c r="U29" s="631"/>
      <c r="V29" s="711"/>
      <c r="W29" s="712"/>
      <c r="X29" s="712"/>
      <c r="Y29" s="712"/>
      <c r="Z29" s="713"/>
      <c r="AA29" s="702"/>
      <c r="AB29" s="703"/>
      <c r="AC29" s="703"/>
      <c r="AD29" s="704"/>
    </row>
    <row r="30" spans="1:30" ht="20.100000000000001" customHeight="1" x14ac:dyDescent="0.3">
      <c r="A30" s="471"/>
      <c r="B30" s="423" t="s">
        <v>65</v>
      </c>
      <c r="C30" s="424"/>
      <c r="D30" s="425"/>
      <c r="E30" s="423">
        <f>SAT!Q31</f>
        <v>1</v>
      </c>
      <c r="F30" s="424"/>
      <c r="G30" s="425"/>
      <c r="H30" s="417">
        <f>SAT!J31</f>
        <v>55</v>
      </c>
      <c r="I30" s="418"/>
      <c r="J30" s="418"/>
      <c r="K30" s="419"/>
      <c r="L30" s="635">
        <f>SAT!Q32</f>
        <v>1.4137727167570625E-2</v>
      </c>
      <c r="M30" s="636"/>
      <c r="N30" s="636"/>
      <c r="O30" s="636"/>
      <c r="P30" s="637"/>
      <c r="Q30" s="632"/>
      <c r="R30" s="633"/>
      <c r="S30" s="633"/>
      <c r="T30" s="633"/>
      <c r="U30" s="634"/>
      <c r="V30" s="714"/>
      <c r="W30" s="715"/>
      <c r="X30" s="715"/>
      <c r="Y30" s="715"/>
      <c r="Z30" s="716"/>
      <c r="AA30" s="705"/>
      <c r="AB30" s="706"/>
      <c r="AC30" s="706"/>
      <c r="AD30" s="707"/>
    </row>
    <row r="31" spans="1:30" ht="20.100000000000001" customHeight="1" x14ac:dyDescent="0.3">
      <c r="A31" s="472"/>
      <c r="B31" s="423" t="s">
        <v>94</v>
      </c>
      <c r="C31" s="424"/>
      <c r="D31" s="425"/>
      <c r="E31" s="423">
        <f>SAT!U16</f>
        <v>72.25</v>
      </c>
      <c r="F31" s="424"/>
      <c r="G31" s="425"/>
      <c r="H31" s="417" t="s">
        <v>95</v>
      </c>
      <c r="I31" s="418"/>
      <c r="J31" s="418"/>
      <c r="K31" s="419"/>
      <c r="L31" s="407">
        <f>SAT!T2</f>
        <v>8</v>
      </c>
      <c r="M31" s="408"/>
      <c r="N31" s="408"/>
      <c r="O31" s="408"/>
      <c r="P31" s="409"/>
      <c r="Q31" s="237"/>
      <c r="R31" s="238"/>
      <c r="S31" s="238"/>
      <c r="T31" s="238"/>
      <c r="U31" s="239"/>
      <c r="V31" s="255"/>
      <c r="W31" s="256"/>
      <c r="X31" s="256"/>
      <c r="Y31" s="256"/>
      <c r="Z31" s="257"/>
      <c r="AA31" s="252"/>
      <c r="AB31" s="253"/>
      <c r="AC31" s="253"/>
      <c r="AD31" s="254"/>
    </row>
    <row r="32" spans="1:30" ht="20.100000000000001" customHeight="1" x14ac:dyDescent="0.3">
      <c r="A32" s="473" t="s">
        <v>71</v>
      </c>
      <c r="B32" s="491" t="s">
        <v>57</v>
      </c>
      <c r="C32" s="412"/>
      <c r="D32" s="412"/>
      <c r="E32" s="412">
        <f>SUN!N31</f>
        <v>7</v>
      </c>
      <c r="F32" s="412"/>
      <c r="G32" s="412"/>
      <c r="H32" s="413">
        <f>SUN!S31</f>
        <v>1035</v>
      </c>
      <c r="I32" s="413"/>
      <c r="J32" s="413"/>
      <c r="K32" s="413"/>
      <c r="L32" s="414">
        <f>SUN!N32</f>
        <v>0.27335984095427435</v>
      </c>
      <c r="M32" s="414"/>
      <c r="N32" s="414"/>
      <c r="O32" s="414"/>
      <c r="P32" s="414"/>
      <c r="Q32" s="683">
        <f>SUM(E32:G35)</f>
        <v>24</v>
      </c>
      <c r="R32" s="683"/>
      <c r="S32" s="683"/>
      <c r="T32" s="683"/>
      <c r="U32" s="683"/>
      <c r="V32" s="741">
        <f>SUM(H32,H33,H35)</f>
        <v>3686.25</v>
      </c>
      <c r="W32" s="741"/>
      <c r="X32" s="741"/>
      <c r="Y32" s="741"/>
      <c r="Z32" s="741"/>
      <c r="AA32" s="755">
        <f>V32/Q32</f>
        <v>153.59375</v>
      </c>
      <c r="AB32" s="756"/>
      <c r="AC32" s="756"/>
      <c r="AD32" s="756"/>
    </row>
    <row r="33" spans="1:30" ht="20.100000000000001" customHeight="1" x14ac:dyDescent="0.3">
      <c r="A33" s="474"/>
      <c r="B33" s="491" t="s">
        <v>58</v>
      </c>
      <c r="C33" s="412"/>
      <c r="D33" s="412"/>
      <c r="E33" s="412">
        <f>SUN!O31</f>
        <v>11</v>
      </c>
      <c r="F33" s="412"/>
      <c r="G33" s="412"/>
      <c r="H33" s="413">
        <f>SUN!S32</f>
        <v>2651.25</v>
      </c>
      <c r="I33" s="413"/>
      <c r="J33" s="413"/>
      <c r="K33" s="413"/>
      <c r="L33" s="414">
        <f>SUN!O32</f>
        <v>0.5438204108681246</v>
      </c>
      <c r="M33" s="414"/>
      <c r="N33" s="414"/>
      <c r="O33" s="414"/>
      <c r="P33" s="414"/>
      <c r="Q33" s="683"/>
      <c r="R33" s="683"/>
      <c r="S33" s="683"/>
      <c r="T33" s="683"/>
      <c r="U33" s="683"/>
      <c r="V33" s="741"/>
      <c r="W33" s="741"/>
      <c r="X33" s="741"/>
      <c r="Y33" s="741"/>
      <c r="Z33" s="741"/>
      <c r="AA33" s="756"/>
      <c r="AB33" s="756"/>
      <c r="AC33" s="756"/>
      <c r="AD33" s="756"/>
    </row>
    <row r="34" spans="1:30" ht="20.100000000000001" customHeight="1" x14ac:dyDescent="0.3">
      <c r="A34" s="474"/>
      <c r="B34" s="491" t="s">
        <v>45</v>
      </c>
      <c r="C34" s="412"/>
      <c r="D34" s="412"/>
      <c r="E34" s="412">
        <f>SUN!P31</f>
        <v>6</v>
      </c>
      <c r="F34" s="412"/>
      <c r="G34" s="412"/>
      <c r="H34" s="413">
        <f>SUN!K31</f>
        <v>441.4</v>
      </c>
      <c r="I34" s="413"/>
      <c r="J34" s="413"/>
      <c r="K34" s="413"/>
      <c r="L34" s="414">
        <f>SUN!P32</f>
        <v>0.18281974817760105</v>
      </c>
      <c r="M34" s="414"/>
      <c r="N34" s="414"/>
      <c r="O34" s="414"/>
      <c r="P34" s="414"/>
      <c r="Q34" s="683"/>
      <c r="R34" s="683"/>
      <c r="S34" s="683"/>
      <c r="T34" s="683"/>
      <c r="U34" s="683"/>
      <c r="V34" s="741"/>
      <c r="W34" s="741"/>
      <c r="X34" s="741"/>
      <c r="Y34" s="741"/>
      <c r="Z34" s="741"/>
      <c r="AA34" s="756"/>
      <c r="AB34" s="756"/>
      <c r="AC34" s="756"/>
      <c r="AD34" s="756"/>
    </row>
    <row r="35" spans="1:30" ht="20.100000000000001" customHeight="1" x14ac:dyDescent="0.3">
      <c r="A35" s="474"/>
      <c r="B35" s="491" t="s">
        <v>65</v>
      </c>
      <c r="C35" s="412"/>
      <c r="D35" s="412"/>
      <c r="E35" s="412">
        <f>SUN!Q31</f>
        <v>0</v>
      </c>
      <c r="F35" s="412"/>
      <c r="G35" s="412"/>
      <c r="H35" s="413">
        <f>SUN!J31</f>
        <v>0</v>
      </c>
      <c r="I35" s="413"/>
      <c r="J35" s="413"/>
      <c r="K35" s="413"/>
      <c r="L35" s="414">
        <f>SUN!Q32</f>
        <v>0</v>
      </c>
      <c r="M35" s="414"/>
      <c r="N35" s="414"/>
      <c r="O35" s="414"/>
      <c r="P35" s="414"/>
      <c r="Q35" s="683"/>
      <c r="R35" s="683"/>
      <c r="S35" s="683"/>
      <c r="T35" s="683"/>
      <c r="U35" s="683"/>
      <c r="V35" s="741"/>
      <c r="W35" s="741"/>
      <c r="X35" s="741"/>
      <c r="Y35" s="741"/>
      <c r="Z35" s="741"/>
      <c r="AA35" s="756"/>
      <c r="AB35" s="756"/>
      <c r="AC35" s="756"/>
      <c r="AD35" s="756"/>
    </row>
    <row r="36" spans="1:30" ht="20.100000000000001" customHeight="1" thickBot="1" x14ac:dyDescent="0.35">
      <c r="A36" s="475"/>
      <c r="B36" s="488" t="s">
        <v>94</v>
      </c>
      <c r="C36" s="489"/>
      <c r="D36" s="490"/>
      <c r="E36" s="488">
        <f>SUN!U16</f>
        <v>56.5</v>
      </c>
      <c r="F36" s="489"/>
      <c r="G36" s="490"/>
      <c r="H36" s="488" t="s">
        <v>95</v>
      </c>
      <c r="I36" s="489"/>
      <c r="J36" s="489"/>
      <c r="K36" s="490"/>
      <c r="L36" s="757">
        <f>SUN!T2</f>
        <v>7</v>
      </c>
      <c r="M36" s="758"/>
      <c r="N36" s="758"/>
      <c r="O36" s="758"/>
      <c r="P36" s="759"/>
      <c r="Q36" s="680"/>
      <c r="R36" s="681"/>
      <c r="S36" s="681"/>
      <c r="T36" s="681"/>
      <c r="U36" s="682"/>
      <c r="V36" s="744"/>
      <c r="W36" s="745"/>
      <c r="X36" s="745"/>
      <c r="Y36" s="745"/>
      <c r="Z36" s="746"/>
      <c r="AA36" s="747"/>
      <c r="AB36" s="748"/>
      <c r="AC36" s="748"/>
      <c r="AD36" s="749"/>
    </row>
    <row r="37" spans="1:30" ht="16.5" customHeight="1" x14ac:dyDescent="0.3">
      <c r="A37" s="732" t="s">
        <v>72</v>
      </c>
      <c r="B37" s="733"/>
      <c r="C37" s="733"/>
      <c r="D37" s="733"/>
      <c r="E37" s="733" t="s">
        <v>73</v>
      </c>
      <c r="F37" s="733"/>
      <c r="G37" s="733"/>
      <c r="H37" s="733"/>
      <c r="I37" s="733"/>
      <c r="J37" s="733"/>
      <c r="K37" s="733" t="s">
        <v>74</v>
      </c>
      <c r="L37" s="733"/>
      <c r="M37" s="733"/>
      <c r="N37" s="733"/>
      <c r="O37" s="733" t="s">
        <v>65</v>
      </c>
      <c r="P37" s="733"/>
      <c r="Q37" s="733"/>
      <c r="R37" s="733"/>
      <c r="S37" s="733"/>
      <c r="T37" s="733" t="s">
        <v>75</v>
      </c>
      <c r="U37" s="733"/>
      <c r="V37" s="733"/>
      <c r="W37" s="733"/>
      <c r="X37" s="733"/>
      <c r="Y37" s="733" t="s">
        <v>76</v>
      </c>
      <c r="Z37" s="733"/>
      <c r="AA37" s="733"/>
      <c r="AB37" s="733"/>
      <c r="AC37" s="733"/>
      <c r="AD37" s="742"/>
    </row>
    <row r="38" spans="1:30" ht="16.5" customHeight="1" x14ac:dyDescent="0.3">
      <c r="A38" s="734"/>
      <c r="B38" s="735"/>
      <c r="C38" s="735"/>
      <c r="D38" s="735"/>
      <c r="E38" s="735"/>
      <c r="F38" s="735"/>
      <c r="G38" s="735"/>
      <c r="H38" s="735"/>
      <c r="I38" s="735"/>
      <c r="J38" s="735"/>
      <c r="K38" s="735"/>
      <c r="L38" s="735"/>
      <c r="M38" s="735"/>
      <c r="N38" s="735"/>
      <c r="O38" s="735"/>
      <c r="P38" s="735"/>
      <c r="Q38" s="735"/>
      <c r="R38" s="735"/>
      <c r="S38" s="735"/>
      <c r="T38" s="735"/>
      <c r="U38" s="735"/>
      <c r="V38" s="735"/>
      <c r="W38" s="735"/>
      <c r="X38" s="735"/>
      <c r="Y38" s="735"/>
      <c r="Z38" s="735"/>
      <c r="AA38" s="735"/>
      <c r="AB38" s="735"/>
      <c r="AC38" s="735"/>
      <c r="AD38" s="743"/>
    </row>
    <row r="39" spans="1:30" ht="16.5" customHeight="1" x14ac:dyDescent="0.3">
      <c r="A39" s="736">
        <f>SUM(Q2:U35)</f>
        <v>128</v>
      </c>
      <c r="B39" s="737"/>
      <c r="C39" s="737"/>
      <c r="D39" s="737"/>
      <c r="E39" s="740">
        <f>SUM(V2:Z35)</f>
        <v>17067.099999999999</v>
      </c>
      <c r="F39" s="737"/>
      <c r="G39" s="737"/>
      <c r="H39" s="737"/>
      <c r="I39" s="737"/>
      <c r="J39" s="737"/>
      <c r="K39" s="740">
        <f>E39/A39</f>
        <v>133.33671874999999</v>
      </c>
      <c r="L39" s="737"/>
      <c r="M39" s="737"/>
      <c r="N39" s="737"/>
      <c r="O39" s="737">
        <f>SUM(MON:SUN!Q31)</f>
        <v>3</v>
      </c>
      <c r="P39" s="737"/>
      <c r="Q39" s="737"/>
      <c r="R39" s="737"/>
      <c r="S39" s="737"/>
      <c r="T39" s="737">
        <f>SUM(MON:SUN!P31)</f>
        <v>20</v>
      </c>
      <c r="U39" s="737"/>
      <c r="V39" s="737"/>
      <c r="W39" s="737"/>
      <c r="X39" s="737"/>
      <c r="Y39" s="737">
        <f>SUM(MON:SUN!S19)</f>
        <v>7</v>
      </c>
      <c r="Z39" s="737"/>
      <c r="AA39" s="737"/>
      <c r="AB39" s="737"/>
      <c r="AC39" s="737"/>
      <c r="AD39" s="752"/>
    </row>
    <row r="40" spans="1:30" ht="16.5" customHeight="1" x14ac:dyDescent="0.3">
      <c r="A40" s="736"/>
      <c r="B40" s="737"/>
      <c r="C40" s="737"/>
      <c r="D40" s="737"/>
      <c r="E40" s="737"/>
      <c r="F40" s="737"/>
      <c r="G40" s="737"/>
      <c r="H40" s="737"/>
      <c r="I40" s="737"/>
      <c r="J40" s="737"/>
      <c r="K40" s="737"/>
      <c r="L40" s="737"/>
      <c r="M40" s="737"/>
      <c r="N40" s="737"/>
      <c r="O40" s="737"/>
      <c r="P40" s="737"/>
      <c r="Q40" s="737"/>
      <c r="R40" s="737"/>
      <c r="S40" s="737"/>
      <c r="T40" s="737"/>
      <c r="U40" s="737"/>
      <c r="V40" s="737"/>
      <c r="W40" s="737"/>
      <c r="X40" s="737"/>
      <c r="Y40" s="737"/>
      <c r="Z40" s="737"/>
      <c r="AA40" s="737"/>
      <c r="AB40" s="737"/>
      <c r="AC40" s="737"/>
      <c r="AD40" s="752"/>
    </row>
    <row r="41" spans="1:30" ht="16.5" customHeight="1" x14ac:dyDescent="0.3">
      <c r="A41" s="736"/>
      <c r="B41" s="737"/>
      <c r="C41" s="737"/>
      <c r="D41" s="737"/>
      <c r="E41" s="737"/>
      <c r="F41" s="737"/>
      <c r="G41" s="737"/>
      <c r="H41" s="737"/>
      <c r="I41" s="737"/>
      <c r="J41" s="737"/>
      <c r="K41" s="737"/>
      <c r="L41" s="737"/>
      <c r="M41" s="737"/>
      <c r="N41" s="737"/>
      <c r="O41" s="750">
        <f>SUM(MON:SUN!J31)</f>
        <v>165</v>
      </c>
      <c r="P41" s="750"/>
      <c r="Q41" s="750"/>
      <c r="R41" s="750"/>
      <c r="S41" s="750"/>
      <c r="T41" s="750">
        <f>SUM(MON:SUN!K31)</f>
        <v>1491.0699999999997</v>
      </c>
      <c r="U41" s="750"/>
      <c r="V41" s="750"/>
      <c r="W41" s="750"/>
      <c r="X41" s="750"/>
      <c r="Y41" s="750">
        <f>SUM(MON:SUN!T19)</f>
        <v>3543</v>
      </c>
      <c r="Z41" s="750"/>
      <c r="AA41" s="750"/>
      <c r="AB41" s="750"/>
      <c r="AC41" s="750"/>
      <c r="AD41" s="753"/>
    </row>
    <row r="42" spans="1:30" ht="16.5" customHeight="1" thickBot="1" x14ac:dyDescent="0.35">
      <c r="A42" s="738"/>
      <c r="B42" s="739"/>
      <c r="C42" s="739"/>
      <c r="D42" s="739"/>
      <c r="E42" s="739"/>
      <c r="F42" s="739"/>
      <c r="G42" s="739"/>
      <c r="H42" s="739"/>
      <c r="I42" s="739"/>
      <c r="J42" s="739"/>
      <c r="K42" s="739"/>
      <c r="L42" s="739"/>
      <c r="M42" s="739"/>
      <c r="N42" s="739"/>
      <c r="O42" s="751"/>
      <c r="P42" s="751"/>
      <c r="Q42" s="751"/>
      <c r="R42" s="751"/>
      <c r="S42" s="751"/>
      <c r="T42" s="751"/>
      <c r="U42" s="751"/>
      <c r="V42" s="751"/>
      <c r="W42" s="751"/>
      <c r="X42" s="751"/>
      <c r="Y42" s="751"/>
      <c r="Z42" s="751"/>
      <c r="AA42" s="751"/>
      <c r="AB42" s="751"/>
      <c r="AC42" s="751"/>
      <c r="AD42" s="754"/>
    </row>
    <row r="43" spans="1:30" ht="17.45" customHeight="1" x14ac:dyDescent="0.3">
      <c r="A43" s="511" t="s">
        <v>84</v>
      </c>
      <c r="B43" s="512"/>
      <c r="C43" s="512"/>
      <c r="D43" s="512"/>
      <c r="E43" s="513"/>
      <c r="F43" s="511" t="s">
        <v>85</v>
      </c>
      <c r="G43" s="512"/>
      <c r="H43" s="512"/>
      <c r="I43" s="512"/>
      <c r="J43" s="513"/>
      <c r="K43" s="511" t="s">
        <v>86</v>
      </c>
      <c r="L43" s="512"/>
      <c r="M43" s="512"/>
      <c r="N43" s="512"/>
      <c r="O43" s="513"/>
      <c r="P43" s="511" t="s">
        <v>87</v>
      </c>
      <c r="Q43" s="512"/>
      <c r="R43" s="512"/>
      <c r="S43" s="512"/>
      <c r="T43" s="513"/>
      <c r="U43" s="511" t="s">
        <v>90</v>
      </c>
      <c r="V43" s="512"/>
      <c r="W43" s="512"/>
      <c r="X43" s="512"/>
      <c r="Y43" s="513"/>
      <c r="Z43" s="517" t="s">
        <v>95</v>
      </c>
      <c r="AA43" s="518"/>
      <c r="AB43" s="518"/>
      <c r="AC43" s="518"/>
      <c r="AD43" s="519"/>
    </row>
    <row r="44" spans="1:30" ht="17.45" customHeight="1" x14ac:dyDescent="0.3">
      <c r="A44" s="514"/>
      <c r="B44" s="515"/>
      <c r="C44" s="515"/>
      <c r="D44" s="515"/>
      <c r="E44" s="516"/>
      <c r="F44" s="514"/>
      <c r="G44" s="515"/>
      <c r="H44" s="515"/>
      <c r="I44" s="515"/>
      <c r="J44" s="516"/>
      <c r="K44" s="514"/>
      <c r="L44" s="515"/>
      <c r="M44" s="515"/>
      <c r="N44" s="515"/>
      <c r="O44" s="516"/>
      <c r="P44" s="514"/>
      <c r="Q44" s="515"/>
      <c r="R44" s="515"/>
      <c r="S44" s="515"/>
      <c r="T44" s="516"/>
      <c r="U44" s="514"/>
      <c r="V44" s="515"/>
      <c r="W44" s="515"/>
      <c r="X44" s="515"/>
      <c r="Y44" s="516"/>
      <c r="Z44" s="520"/>
      <c r="AA44" s="521"/>
      <c r="AB44" s="521"/>
      <c r="AC44" s="521"/>
      <c r="AD44" s="522"/>
    </row>
    <row r="45" spans="1:30" x14ac:dyDescent="0.3">
      <c r="A45" s="523">
        <f>SUM(H2,H7,H12,H17,H22,H27,H32)</f>
        <v>7630</v>
      </c>
      <c r="B45" s="524"/>
      <c r="C45" s="524"/>
      <c r="D45" s="524"/>
      <c r="E45" s="525"/>
      <c r="F45" s="523">
        <f>SUM(,H3,H8,H13,H18,H23,H28,H33)</f>
        <v>9272.1</v>
      </c>
      <c r="G45" s="524"/>
      <c r="H45" s="524"/>
      <c r="I45" s="524"/>
      <c r="J45" s="525"/>
      <c r="K45" s="523">
        <f>SUM(H5,H10,H15,H20,H25,H30,H35)</f>
        <v>165</v>
      </c>
      <c r="L45" s="524"/>
      <c r="M45" s="524"/>
      <c r="N45" s="524"/>
      <c r="O45" s="525"/>
      <c r="P45" s="523">
        <f>SUM(H4,H9,H14,H19,H24,H29,H34)</f>
        <v>1491.0699999999997</v>
      </c>
      <c r="Q45" s="524"/>
      <c r="R45" s="524"/>
      <c r="S45" s="524"/>
      <c r="T45" s="525"/>
      <c r="U45" s="532">
        <f>SUM(E6,E11,E16,E21,E26,E31,E36)</f>
        <v>339</v>
      </c>
      <c r="V45" s="524"/>
      <c r="W45" s="524"/>
      <c r="X45" s="524"/>
      <c r="Y45" s="525"/>
      <c r="Z45" s="532">
        <f>SUM(L6,L11,L16,L21,L26,L31,L36)</f>
        <v>41</v>
      </c>
      <c r="AA45" s="524"/>
      <c r="AB45" s="524"/>
      <c r="AC45" s="524"/>
      <c r="AD45" s="533"/>
    </row>
    <row r="46" spans="1:30" x14ac:dyDescent="0.3">
      <c r="A46" s="526"/>
      <c r="B46" s="527"/>
      <c r="C46" s="527"/>
      <c r="D46" s="527"/>
      <c r="E46" s="528"/>
      <c r="F46" s="526"/>
      <c r="G46" s="527"/>
      <c r="H46" s="527"/>
      <c r="I46" s="527"/>
      <c r="J46" s="528"/>
      <c r="K46" s="526"/>
      <c r="L46" s="527"/>
      <c r="M46" s="527"/>
      <c r="N46" s="527"/>
      <c r="O46" s="528"/>
      <c r="P46" s="526"/>
      <c r="Q46" s="527"/>
      <c r="R46" s="527"/>
      <c r="S46" s="527"/>
      <c r="T46" s="528"/>
      <c r="U46" s="526"/>
      <c r="V46" s="527"/>
      <c r="W46" s="527"/>
      <c r="X46" s="527"/>
      <c r="Y46" s="528"/>
      <c r="Z46" s="526"/>
      <c r="AA46" s="527"/>
      <c r="AB46" s="527"/>
      <c r="AC46" s="527"/>
      <c r="AD46" s="534"/>
    </row>
    <row r="47" spans="1:30" x14ac:dyDescent="0.3">
      <c r="A47" s="526"/>
      <c r="B47" s="527"/>
      <c r="C47" s="527"/>
      <c r="D47" s="527"/>
      <c r="E47" s="528"/>
      <c r="F47" s="526"/>
      <c r="G47" s="527"/>
      <c r="H47" s="527"/>
      <c r="I47" s="527"/>
      <c r="J47" s="528"/>
      <c r="K47" s="526"/>
      <c r="L47" s="527"/>
      <c r="M47" s="527"/>
      <c r="N47" s="527"/>
      <c r="O47" s="528"/>
      <c r="P47" s="526"/>
      <c r="Q47" s="527"/>
      <c r="R47" s="527"/>
      <c r="S47" s="527"/>
      <c r="T47" s="528"/>
      <c r="U47" s="526"/>
      <c r="V47" s="527"/>
      <c r="W47" s="527"/>
      <c r="X47" s="527"/>
      <c r="Y47" s="528"/>
      <c r="Z47" s="526"/>
      <c r="AA47" s="527"/>
      <c r="AB47" s="527"/>
      <c r="AC47" s="527"/>
      <c r="AD47" s="534"/>
    </row>
    <row r="48" spans="1:30" ht="17.25" thickBot="1" x14ac:dyDescent="0.35">
      <c r="A48" s="529"/>
      <c r="B48" s="530"/>
      <c r="C48" s="530"/>
      <c r="D48" s="530"/>
      <c r="E48" s="531"/>
      <c r="F48" s="529"/>
      <c r="G48" s="530"/>
      <c r="H48" s="530"/>
      <c r="I48" s="530"/>
      <c r="J48" s="531"/>
      <c r="K48" s="529"/>
      <c r="L48" s="530"/>
      <c r="M48" s="530"/>
      <c r="N48" s="530"/>
      <c r="O48" s="531"/>
      <c r="P48" s="529"/>
      <c r="Q48" s="530"/>
      <c r="R48" s="530"/>
      <c r="S48" s="530"/>
      <c r="T48" s="531"/>
      <c r="U48" s="529"/>
      <c r="V48" s="530"/>
      <c r="W48" s="530"/>
      <c r="X48" s="530"/>
      <c r="Y48" s="531"/>
      <c r="Z48" s="529"/>
      <c r="AA48" s="530"/>
      <c r="AB48" s="530"/>
      <c r="AC48" s="530"/>
      <c r="AD48" s="535"/>
    </row>
    <row r="49" spans="1:30" ht="17.45" customHeight="1" x14ac:dyDescent="0.3">
      <c r="A49" s="493">
        <f>A45/E39</f>
        <v>0.44705896139355839</v>
      </c>
      <c r="B49" s="494"/>
      <c r="C49" s="494"/>
      <c r="D49" s="494"/>
      <c r="E49" s="495"/>
      <c r="F49" s="493">
        <f>F45/E39</f>
        <v>0.54327331532597811</v>
      </c>
      <c r="G49" s="494"/>
      <c r="H49" s="494"/>
      <c r="I49" s="494"/>
      <c r="J49" s="495"/>
      <c r="K49" s="493">
        <f>K45/E39</f>
        <v>9.6677232804635825E-3</v>
      </c>
      <c r="L49" s="494"/>
      <c r="M49" s="494"/>
      <c r="N49" s="494"/>
      <c r="O49" s="495"/>
      <c r="P49" s="493">
        <f>P45/E39</f>
        <v>8.7365164556368682E-2</v>
      </c>
      <c r="Q49" s="494"/>
      <c r="R49" s="494"/>
      <c r="S49" s="494"/>
      <c r="T49" s="495"/>
      <c r="U49" s="502">
        <f>U45/7</f>
        <v>48.428571428571431</v>
      </c>
      <c r="V49" s="503"/>
      <c r="W49" s="503"/>
      <c r="X49" s="503"/>
      <c r="Y49" s="504"/>
      <c r="Z49" s="502">
        <f>U45/Z45</f>
        <v>8.2682926829268286</v>
      </c>
      <c r="AA49" s="503"/>
      <c r="AB49" s="503"/>
      <c r="AC49" s="503"/>
      <c r="AD49" s="504"/>
    </row>
    <row r="50" spans="1:30" ht="17.45" customHeight="1" x14ac:dyDescent="0.3">
      <c r="A50" s="496"/>
      <c r="B50" s="497"/>
      <c r="C50" s="497"/>
      <c r="D50" s="497"/>
      <c r="E50" s="498"/>
      <c r="F50" s="496"/>
      <c r="G50" s="497"/>
      <c r="H50" s="497"/>
      <c r="I50" s="497"/>
      <c r="J50" s="498"/>
      <c r="K50" s="496"/>
      <c r="L50" s="497"/>
      <c r="M50" s="497"/>
      <c r="N50" s="497"/>
      <c r="O50" s="498"/>
      <c r="P50" s="496"/>
      <c r="Q50" s="497"/>
      <c r="R50" s="497"/>
      <c r="S50" s="497"/>
      <c r="T50" s="498"/>
      <c r="U50" s="505"/>
      <c r="V50" s="506"/>
      <c r="W50" s="506"/>
      <c r="X50" s="506"/>
      <c r="Y50" s="507"/>
      <c r="Z50" s="505"/>
      <c r="AA50" s="506"/>
      <c r="AB50" s="506"/>
      <c r="AC50" s="506"/>
      <c r="AD50" s="507"/>
    </row>
    <row r="51" spans="1:30" ht="17.45" customHeight="1" x14ac:dyDescent="0.3">
      <c r="A51" s="496"/>
      <c r="B51" s="497"/>
      <c r="C51" s="497"/>
      <c r="D51" s="497"/>
      <c r="E51" s="498"/>
      <c r="F51" s="496"/>
      <c r="G51" s="497"/>
      <c r="H51" s="497"/>
      <c r="I51" s="497"/>
      <c r="J51" s="498"/>
      <c r="K51" s="496"/>
      <c r="L51" s="497"/>
      <c r="M51" s="497"/>
      <c r="N51" s="497"/>
      <c r="O51" s="498"/>
      <c r="P51" s="496"/>
      <c r="Q51" s="497"/>
      <c r="R51" s="497"/>
      <c r="S51" s="497"/>
      <c r="T51" s="498"/>
      <c r="U51" s="505"/>
      <c r="V51" s="506"/>
      <c r="W51" s="506"/>
      <c r="X51" s="506"/>
      <c r="Y51" s="507"/>
      <c r="Z51" s="505"/>
      <c r="AA51" s="506"/>
      <c r="AB51" s="506"/>
      <c r="AC51" s="506"/>
      <c r="AD51" s="507"/>
    </row>
    <row r="52" spans="1:30" ht="18" customHeight="1" thickBot="1" x14ac:dyDescent="0.35">
      <c r="A52" s="499"/>
      <c r="B52" s="500"/>
      <c r="C52" s="500"/>
      <c r="D52" s="500"/>
      <c r="E52" s="501"/>
      <c r="F52" s="499"/>
      <c r="G52" s="500"/>
      <c r="H52" s="500"/>
      <c r="I52" s="500"/>
      <c r="J52" s="501"/>
      <c r="K52" s="499"/>
      <c r="L52" s="500"/>
      <c r="M52" s="500"/>
      <c r="N52" s="500"/>
      <c r="O52" s="501"/>
      <c r="P52" s="499"/>
      <c r="Q52" s="500"/>
      <c r="R52" s="500"/>
      <c r="S52" s="500"/>
      <c r="T52" s="501"/>
      <c r="U52" s="508"/>
      <c r="V52" s="509"/>
      <c r="W52" s="509"/>
      <c r="X52" s="509"/>
      <c r="Y52" s="510"/>
      <c r="Z52" s="508"/>
      <c r="AA52" s="509"/>
      <c r="AB52" s="509"/>
      <c r="AC52" s="509"/>
      <c r="AD52" s="510"/>
    </row>
  </sheetData>
  <mergeCells count="217"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E1C9DB2C-D584-492E-BFEC-8BE1DA239B72}"/>
</file>

<file path=customXml/itemProps2.xml><?xml version="1.0" encoding="utf-8"?>
<ds:datastoreItem xmlns:ds="http://schemas.openxmlformats.org/officeDocument/2006/customXml" ds:itemID="{E6325035-1DE4-40F4-9D11-B04C588D366B}"/>
</file>

<file path=customXml/itemProps3.xml><?xml version="1.0" encoding="utf-8"?>
<ds:datastoreItem xmlns:ds="http://schemas.openxmlformats.org/officeDocument/2006/customXml" ds:itemID="{A4497A21-6203-4D09-BC24-BBDFE6BAF4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Chatswood B2</cp:lastModifiedBy>
  <cp:lastPrinted>2021-12-02T06:53:47Z</cp:lastPrinted>
  <dcterms:created xsi:type="dcterms:W3CDTF">2011-11-24T03:16:40Z</dcterms:created>
  <dcterms:modified xsi:type="dcterms:W3CDTF">2022-08-07T22:19:39Z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